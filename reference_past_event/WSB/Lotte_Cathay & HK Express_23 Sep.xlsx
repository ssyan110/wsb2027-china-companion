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an110/Desktop/"/>
    </mc:Choice>
  </mc:AlternateContent>
  <xr:revisionPtr revIDLastSave="0" documentId="13_ncr:1_{FC4E4132-17D9-F04F-9C59-472A10989607}" xr6:coauthVersionLast="47" xr6:coauthVersionMax="47" xr10:uidLastSave="{00000000-0000-0000-0000-000000000000}"/>
  <bookViews>
    <workbookView xWindow="0" yWindow="620" windowWidth="28800" windowHeight="16460" xr2:uid="{C42D4507-B61F-564D-B2E0-4E7F22AEF988}"/>
  </bookViews>
  <sheets>
    <sheet name="List" sheetId="1" r:id="rId1"/>
    <sheet name="SUMMARY" sheetId="2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5" i="1" l="1"/>
  <c r="B76" i="1"/>
  <c r="B74" i="1"/>
  <c r="C1" i="1"/>
  <c r="B3" i="1"/>
  <c r="B4" i="1"/>
  <c r="B16" i="1"/>
  <c r="B17" i="1"/>
  <c r="B9" i="1"/>
  <c r="B15" i="1"/>
  <c r="B11" i="1"/>
  <c r="B12" i="1"/>
  <c r="B13" i="1"/>
  <c r="B14" i="1"/>
  <c r="B73" i="1"/>
  <c r="B72" i="1"/>
  <c r="B42" i="1"/>
  <c r="B43" i="1"/>
  <c r="B54" i="1"/>
  <c r="B55" i="1"/>
  <c r="B66" i="1"/>
  <c r="B67" i="1"/>
  <c r="B58" i="1"/>
  <c r="B59" i="1"/>
  <c r="B60" i="1"/>
  <c r="B61" i="1"/>
  <c r="B63" i="1"/>
  <c r="B64" i="1"/>
  <c r="B62" i="1"/>
  <c r="B68" i="1"/>
  <c r="B69" i="1"/>
  <c r="B70" i="1"/>
  <c r="B71" i="1"/>
  <c r="B10" i="1"/>
  <c r="B18" i="1"/>
  <c r="B19" i="1"/>
  <c r="B7" i="1"/>
  <c r="B8" i="1"/>
  <c r="B5" i="1"/>
  <c r="B6" i="1"/>
  <c r="B20" i="1"/>
  <c r="B21" i="1"/>
  <c r="B84" i="1"/>
  <c r="B85" i="1"/>
  <c r="B77" i="1"/>
  <c r="B78" i="1"/>
  <c r="B79" i="1"/>
  <c r="B80" i="1"/>
  <c r="B88" i="1"/>
  <c r="B86" i="1"/>
  <c r="B87" i="1"/>
  <c r="B89" i="1"/>
  <c r="B90" i="1"/>
  <c r="B91" i="1"/>
  <c r="B92" i="1"/>
  <c r="B93" i="1"/>
  <c r="B94" i="1"/>
  <c r="B95" i="1"/>
  <c r="B96" i="1"/>
  <c r="B53" i="1"/>
  <c r="B65" i="1"/>
  <c r="B57" i="1"/>
  <c r="B56" i="1"/>
  <c r="B31" i="1"/>
  <c r="B32" i="1"/>
  <c r="B36" i="1"/>
  <c r="B37" i="1"/>
  <c r="B38" i="1"/>
  <c r="B33" i="1"/>
  <c r="B40" i="1"/>
  <c r="B41" i="1"/>
  <c r="B50" i="1"/>
  <c r="B51" i="1"/>
  <c r="B52" i="1"/>
  <c r="B44" i="1"/>
  <c r="B45" i="1"/>
  <c r="B46" i="1"/>
  <c r="B47" i="1"/>
  <c r="B48" i="1"/>
  <c r="B49" i="1"/>
  <c r="B39" i="1"/>
  <c r="B34" i="1"/>
  <c r="B35" i="1"/>
  <c r="B22" i="1"/>
  <c r="B23" i="1"/>
  <c r="B24" i="1"/>
  <c r="B25" i="1"/>
  <c r="B26" i="1"/>
  <c r="B27" i="1"/>
  <c r="B30" i="1"/>
  <c r="B28" i="1"/>
  <c r="B29" i="1"/>
  <c r="B81" i="1"/>
  <c r="B82" i="1"/>
  <c r="B83" i="1"/>
</calcChain>
</file>

<file path=xl/sharedStrings.xml><?xml version="1.0" encoding="utf-8"?>
<sst xmlns="http://schemas.openxmlformats.org/spreadsheetml/2006/main" count="1276" uniqueCount="334">
  <si>
    <t>Confirmation</t>
  </si>
  <si>
    <t>Primary registrant</t>
  </si>
  <si>
    <t>First Name</t>
  </si>
  <si>
    <t>Last Name</t>
  </si>
  <si>
    <t>Gender</t>
  </si>
  <si>
    <t>Invitee</t>
  </si>
  <si>
    <t>CEO</t>
  </si>
  <si>
    <t>Group</t>
  </si>
  <si>
    <t>D. Airline</t>
  </si>
  <si>
    <t>D. Flt</t>
  </si>
  <si>
    <t>D. Date</t>
  </si>
  <si>
    <t>D. Time</t>
  </si>
  <si>
    <t>D. Airport</t>
  </si>
  <si>
    <t>HOTEL</t>
  </si>
  <si>
    <t>Pax Type</t>
  </si>
  <si>
    <t>.</t>
  </si>
  <si>
    <t>Changed Flight (ONSITE)</t>
  </si>
  <si>
    <t>98NTWZ2834T</t>
  </si>
  <si>
    <t>Vanessa</t>
  </si>
  <si>
    <t>Delgado</t>
  </si>
  <si>
    <t>Female</t>
  </si>
  <si>
    <t>Alejandra Yelpo</t>
  </si>
  <si>
    <t>B</t>
  </si>
  <si>
    <t>Cathay Pacific</t>
  </si>
  <si>
    <t>ICN-T1</t>
  </si>
  <si>
    <t>CX 417</t>
  </si>
  <si>
    <t>FAIRMONT</t>
  </si>
  <si>
    <t>Adult</t>
  </si>
  <si>
    <t>23NWJT99LG3</t>
  </si>
  <si>
    <t>Salome</t>
  </si>
  <si>
    <t>Urquiza</t>
  </si>
  <si>
    <t>Guest</t>
  </si>
  <si>
    <t>XGND7YCPXL7</t>
  </si>
  <si>
    <t>Kannika</t>
  </si>
  <si>
    <t>Seung</t>
  </si>
  <si>
    <t>Arlex Flores 2</t>
  </si>
  <si>
    <t>CX 411</t>
  </si>
  <si>
    <t>KJNN8X2RK5W</t>
  </si>
  <si>
    <t>Ryan Daniel</t>
  </si>
  <si>
    <t>Lipson</t>
  </si>
  <si>
    <t>Male</t>
  </si>
  <si>
    <t>7LN2F2NR2TC</t>
  </si>
  <si>
    <t>Eron</t>
  </si>
  <si>
    <t>Senfuma</t>
  </si>
  <si>
    <t>CX 439</t>
  </si>
  <si>
    <t>NDNT7TZP99B</t>
  </si>
  <si>
    <t>RHNMXXVRSTZ</t>
  </si>
  <si>
    <t>Sarahlynn Siny</t>
  </si>
  <si>
    <t>Rith</t>
  </si>
  <si>
    <t>SQNX7R8KBSX</t>
  </si>
  <si>
    <t>Rogers Nicholas</t>
  </si>
  <si>
    <t>Muyanja</t>
  </si>
  <si>
    <t>KVNZ6J6CKSK</t>
  </si>
  <si>
    <t>Sopheak</t>
  </si>
  <si>
    <t>Touch</t>
  </si>
  <si>
    <t>QCNDXTYBBFG</t>
  </si>
  <si>
    <t>Sophen</t>
  </si>
  <si>
    <t>Nou</t>
  </si>
  <si>
    <t>RZNF7PKF6VF</t>
  </si>
  <si>
    <t>Skylar Dara</t>
  </si>
  <si>
    <t>Kid</t>
  </si>
  <si>
    <t>NVNDGFQL98G</t>
  </si>
  <si>
    <t>VLNXVYL2DKH</t>
  </si>
  <si>
    <t>Li Jiao</t>
  </si>
  <si>
    <t>Ni</t>
  </si>
  <si>
    <t>Chloe Xu</t>
  </si>
  <si>
    <t>CX 419</t>
  </si>
  <si>
    <t>LOTTE</t>
  </si>
  <si>
    <t>93NNLPWKZF6</t>
  </si>
  <si>
    <t>DNNN22S3MCL</t>
  </si>
  <si>
    <t>Feng Jiao</t>
  </si>
  <si>
    <t>Lin</t>
  </si>
  <si>
    <t>2DNW5ZZSH2V</t>
  </si>
  <si>
    <t>Chunxia</t>
  </si>
  <si>
    <t>Fan</t>
  </si>
  <si>
    <t>Congqun Jian</t>
  </si>
  <si>
    <t>INTER PARNAS</t>
  </si>
  <si>
    <t>8WNDZMG7HZB</t>
  </si>
  <si>
    <t>Candy Hairong</t>
  </si>
  <si>
    <t>Guo</t>
  </si>
  <si>
    <t>Child</t>
  </si>
  <si>
    <t>G5N2XLYHV2T</t>
  </si>
  <si>
    <t>Emerlita Santiaguel</t>
  </si>
  <si>
    <t>De Castro</t>
  </si>
  <si>
    <t>Erich Colet</t>
  </si>
  <si>
    <t>JW MARRIOTT</t>
  </si>
  <si>
    <t>GSN6GNVDWSL</t>
  </si>
  <si>
    <t>Katrina Liane</t>
  </si>
  <si>
    <t>Saria</t>
  </si>
  <si>
    <t>VTNP3LTCQN2</t>
  </si>
  <si>
    <t>Karamjeet</t>
  </si>
  <si>
    <t>Kaur</t>
  </si>
  <si>
    <t>Kevin Lee</t>
  </si>
  <si>
    <t>WJNZ6XNYPB9</t>
  </si>
  <si>
    <t>Tarlochan</t>
  </si>
  <si>
    <t>Singh</t>
  </si>
  <si>
    <t>2BNKB9BJJJF</t>
  </si>
  <si>
    <t>Taranjot</t>
  </si>
  <si>
    <t>Bhari</t>
  </si>
  <si>
    <t>3DNQF54SVQH</t>
  </si>
  <si>
    <t>Prabhjot Gurkaram</t>
  </si>
  <si>
    <t>R2NKMM9C6YD</t>
  </si>
  <si>
    <t>MSN7BQQBVJ3</t>
  </si>
  <si>
    <t>Sidhdeep Singh</t>
  </si>
  <si>
    <t>95NLDDHZ36J</t>
  </si>
  <si>
    <t>Anthony</t>
  </si>
  <si>
    <t>Roberts</t>
  </si>
  <si>
    <t>K3NVYQBGT3M</t>
  </si>
  <si>
    <t>Markeesha</t>
  </si>
  <si>
    <t>Rasheed</t>
  </si>
  <si>
    <t>5FN8MPVQYG7</t>
  </si>
  <si>
    <t>Leslie Lena</t>
  </si>
  <si>
    <t>Williams</t>
  </si>
  <si>
    <t>XYN7CLG5MD8</t>
  </si>
  <si>
    <t>Maria Elena</t>
  </si>
  <si>
    <t>Torres Cabrera</t>
  </si>
  <si>
    <t>5MNBNV9RKRD</t>
  </si>
  <si>
    <t>Jayden</t>
  </si>
  <si>
    <t>Torres</t>
  </si>
  <si>
    <t>3BNMHNBP725</t>
  </si>
  <si>
    <t>Maria Guadalupe</t>
  </si>
  <si>
    <t>Perez</t>
  </si>
  <si>
    <t>7BNHC59PHCD</t>
  </si>
  <si>
    <t>Lexi</t>
  </si>
  <si>
    <t>Garcia Torres</t>
  </si>
  <si>
    <t>CVN9QMMM339</t>
  </si>
  <si>
    <t>SCNW27CHB97</t>
  </si>
  <si>
    <t>Oluwabukola Adejoke</t>
  </si>
  <si>
    <t>Aremo</t>
  </si>
  <si>
    <t>Kimmy Le</t>
  </si>
  <si>
    <t>96NTJ726Z6Z</t>
  </si>
  <si>
    <t>Libni</t>
  </si>
  <si>
    <t>Borras Mendoza</t>
  </si>
  <si>
    <t>7WNFNKD2HVP</t>
  </si>
  <si>
    <t>Xavier Sigfrido</t>
  </si>
  <si>
    <t>Alonso Rosales</t>
  </si>
  <si>
    <t>59N3DVTHY89</t>
  </si>
  <si>
    <t>Anita Alacrito</t>
  </si>
  <si>
    <t>Dioquino</t>
  </si>
  <si>
    <t>Mia Rosal</t>
  </si>
  <si>
    <t>DJNHYMR46W9</t>
  </si>
  <si>
    <t>Alvin Maiquez</t>
  </si>
  <si>
    <t>3MNPZ66B3VL</t>
  </si>
  <si>
    <t>Mailanie</t>
  </si>
  <si>
    <t>Meyer</t>
  </si>
  <si>
    <t>HLNPRFDCY88</t>
  </si>
  <si>
    <t>John Douglas</t>
  </si>
  <si>
    <t>NJNQ7JQLHY5</t>
  </si>
  <si>
    <t>Minerva</t>
  </si>
  <si>
    <t>Sapitula</t>
  </si>
  <si>
    <t>cathay pacific</t>
  </si>
  <si>
    <t>GFNNYC7CT43</t>
  </si>
  <si>
    <t>Marites Dimalaluan</t>
  </si>
  <si>
    <t>De Claro</t>
  </si>
  <si>
    <t>ZGN5V6BLXPJ</t>
  </si>
  <si>
    <t>Lian Jiao</t>
  </si>
  <si>
    <t>Gao</t>
  </si>
  <si>
    <t>Shirley Cheng</t>
  </si>
  <si>
    <t>THE PLAZA</t>
  </si>
  <si>
    <t>T7NDLN54KN6</t>
  </si>
  <si>
    <t>Guo Phan</t>
  </si>
  <si>
    <t>Chen</t>
  </si>
  <si>
    <t>4GNV4TM97FM</t>
  </si>
  <si>
    <t>Xinquan</t>
  </si>
  <si>
    <t>5VNHBZSNRHM</t>
  </si>
  <si>
    <t>Zhuo Jin</t>
  </si>
  <si>
    <t>Zhang</t>
  </si>
  <si>
    <t>MGN5N4VJTKT</t>
  </si>
  <si>
    <t>Yun Mei</t>
  </si>
  <si>
    <t>Shi</t>
  </si>
  <si>
    <t>W5NKZYG3HZ5</t>
  </si>
  <si>
    <t>Jin Yun</t>
  </si>
  <si>
    <t>28NTVH2Y3VJ</t>
  </si>
  <si>
    <t>GBNG7BJFD9D</t>
  </si>
  <si>
    <t>Shun Kam</t>
  </si>
  <si>
    <t>Lam</t>
  </si>
  <si>
    <t>4FNPG5DQTC5</t>
  </si>
  <si>
    <t>Lily</t>
  </si>
  <si>
    <t>Lau</t>
  </si>
  <si>
    <t>KNNNHR5GDS3</t>
  </si>
  <si>
    <t>Janet</t>
  </si>
  <si>
    <t>Mei</t>
  </si>
  <si>
    <t>MZNMZXBDJNJ</t>
  </si>
  <si>
    <t>Hellen Wei</t>
  </si>
  <si>
    <t>CWNKJZKJ9JQ</t>
  </si>
  <si>
    <t>Lilianna Shirley</t>
  </si>
  <si>
    <t>Cheng</t>
  </si>
  <si>
    <t>ZZN73Y24WCN</t>
  </si>
  <si>
    <t>Shirley Si</t>
  </si>
  <si>
    <t>5RNP9TJMJTK</t>
  </si>
  <si>
    <t>David Chung</t>
  </si>
  <si>
    <t>76N9SSZXT3H</t>
  </si>
  <si>
    <t>Dylan David</t>
  </si>
  <si>
    <t>XMNDW4KN3FM</t>
  </si>
  <si>
    <t>Gui Zhen</t>
  </si>
  <si>
    <t>Gong</t>
  </si>
  <si>
    <t>XXN958DHPGL</t>
  </si>
  <si>
    <t>Tianqi</t>
  </si>
  <si>
    <t>7MND7D794WQ</t>
  </si>
  <si>
    <t>Justen David</t>
  </si>
  <si>
    <t>DZN9WYD2XK8</t>
  </si>
  <si>
    <t>TFNK23YJKQ5</t>
  </si>
  <si>
    <t>Laurent</t>
  </si>
  <si>
    <t>Lheritier</t>
  </si>
  <si>
    <t>Sunny Su</t>
  </si>
  <si>
    <t>GWNSM4GR2ZG</t>
  </si>
  <si>
    <t>En Lin</t>
  </si>
  <si>
    <t>Chan</t>
  </si>
  <si>
    <t>Tiffany Ke</t>
  </si>
  <si>
    <t>VLNWL67NQ95</t>
  </si>
  <si>
    <t>Helen</t>
  </si>
  <si>
    <t>Coffman</t>
  </si>
  <si>
    <t>Victor Salvador 1</t>
  </si>
  <si>
    <t>KXN5TYGGSYL</t>
  </si>
  <si>
    <t>Emily</t>
  </si>
  <si>
    <t>Mateo</t>
  </si>
  <si>
    <t>Victor Salvador 2</t>
  </si>
  <si>
    <t>QVNLGFX5PY7</t>
  </si>
  <si>
    <t>Helen Ying</t>
  </si>
  <si>
    <t>Xuan Nguyen (TX)</t>
  </si>
  <si>
    <t>Z6NTN9SFFCG</t>
  </si>
  <si>
    <t>Jinan</t>
  </si>
  <si>
    <t>Ruan</t>
  </si>
  <si>
    <t>T7NGGGRZ4XS</t>
  </si>
  <si>
    <t>Hsiao-Zu Joyce</t>
  </si>
  <si>
    <t>ZJN6XBWFCJ8</t>
  </si>
  <si>
    <t>Christopher John</t>
  </si>
  <si>
    <t>Hagad</t>
  </si>
  <si>
    <t>ZYNP7W2W6VQ</t>
  </si>
  <si>
    <t>Celina Josephine</t>
  </si>
  <si>
    <t>PZNGFGCYRND</t>
  </si>
  <si>
    <t>RBNPFZPHRNL</t>
  </si>
  <si>
    <t>Crispin</t>
  </si>
  <si>
    <t>Camacho</t>
  </si>
  <si>
    <t>Y2NLDG2NV54</t>
  </si>
  <si>
    <t>Mardy</t>
  </si>
  <si>
    <t>Tes</t>
  </si>
  <si>
    <t>M9NND8CXTNR</t>
  </si>
  <si>
    <t>Channdarah</t>
  </si>
  <si>
    <t>7NNBRPQX5FD</t>
  </si>
  <si>
    <t>Michelle</t>
  </si>
  <si>
    <t>Som</t>
  </si>
  <si>
    <t>KXNT8YZMQ62</t>
  </si>
  <si>
    <t>Sary</t>
  </si>
  <si>
    <t>Taing</t>
  </si>
  <si>
    <t>8YN8DXKN7RX</t>
  </si>
  <si>
    <t>Soleak</t>
  </si>
  <si>
    <t>2WNZPQP3TGV</t>
  </si>
  <si>
    <t>Theresa</t>
  </si>
  <si>
    <t>So</t>
  </si>
  <si>
    <t>CATHAY PACIFIC</t>
  </si>
  <si>
    <t>6QNQ9J83PXG</t>
  </si>
  <si>
    <t>Koeun Nhan</t>
  </si>
  <si>
    <t>Tri</t>
  </si>
  <si>
    <t>ZSN987B4XX6</t>
  </si>
  <si>
    <t>Tu Huynh</t>
  </si>
  <si>
    <t>RCN67698SCD</t>
  </si>
  <si>
    <t>Kalani Hanh</t>
  </si>
  <si>
    <t>RWNMNFWMFYG</t>
  </si>
  <si>
    <t>Ayden Long</t>
  </si>
  <si>
    <t>Tang</t>
  </si>
  <si>
    <t>6BNBBQ3VXY3</t>
  </si>
  <si>
    <t>Kossette Kalila</t>
  </si>
  <si>
    <t>KDNJKK47TCL</t>
  </si>
  <si>
    <t>Chanthy</t>
  </si>
  <si>
    <t>Khuon</t>
  </si>
  <si>
    <t>RVN48JCLG4S</t>
  </si>
  <si>
    <t>Lemlem</t>
  </si>
  <si>
    <t>Kassa</t>
  </si>
  <si>
    <t>Yesigat Kebede</t>
  </si>
  <si>
    <t>CGN5T5G5NR8</t>
  </si>
  <si>
    <t>Alem</t>
  </si>
  <si>
    <t>Aske</t>
  </si>
  <si>
    <t>8NNZHHJKGLS</t>
  </si>
  <si>
    <t>Daniel</t>
  </si>
  <si>
    <t>Kassahun</t>
  </si>
  <si>
    <t>5NN4BMKWRW8</t>
  </si>
  <si>
    <t>Fanaye</t>
  </si>
  <si>
    <t>7GN7LPB3TL3</t>
  </si>
  <si>
    <t>Leltewein</t>
  </si>
  <si>
    <t>ZKNCXRLYF5H</t>
  </si>
  <si>
    <t>Weleta</t>
  </si>
  <si>
    <t>Haregewein</t>
  </si>
  <si>
    <t>P4N3XY964CZ</t>
  </si>
  <si>
    <t>Seble</t>
  </si>
  <si>
    <t>Mekonnen</t>
  </si>
  <si>
    <t>KTN7MDSTMG4</t>
  </si>
  <si>
    <t>Aster</t>
  </si>
  <si>
    <t>Adamu</t>
  </si>
  <si>
    <t>2MNGS3V7LQ8</t>
  </si>
  <si>
    <t>LVN3M5T7H6W</t>
  </si>
  <si>
    <t>Yonas Eshetu</t>
  </si>
  <si>
    <t>Woldetsadik</t>
  </si>
  <si>
    <t>GLNTYG8RM9K</t>
  </si>
  <si>
    <t>Yaregal Derebe</t>
  </si>
  <si>
    <t>Tefferi</t>
  </si>
  <si>
    <t>QWNXVPJX88H</t>
  </si>
  <si>
    <t>Enani Aklog</t>
  </si>
  <si>
    <t>RHNGBSGTX86</t>
  </si>
  <si>
    <t>Allison Fawn</t>
  </si>
  <si>
    <t>Lee</t>
  </si>
  <si>
    <t>Zhong Shi</t>
  </si>
  <si>
    <t>L6NJ9KG2BC4</t>
  </si>
  <si>
    <t>Fah Sean</t>
  </si>
  <si>
    <t>Leong</t>
  </si>
  <si>
    <t>W5NT3BF5N3P</t>
  </si>
  <si>
    <t>Amy Kar Wing</t>
  </si>
  <si>
    <t>Koo</t>
  </si>
  <si>
    <t>No.</t>
  </si>
  <si>
    <t>Total pax</t>
  </si>
  <si>
    <t>NEW D. Airline</t>
  </si>
  <si>
    <t>NEW D. Flight</t>
  </si>
  <si>
    <t>NEW D. Time</t>
  </si>
  <si>
    <t>Notes</t>
  </si>
  <si>
    <t>HOTEL CODE</t>
  </si>
  <si>
    <t>NEW D. Airport</t>
  </si>
  <si>
    <t>4BNL4RTWK2Z</t>
  </si>
  <si>
    <t>Q5NTHRJTKMN</t>
  </si>
  <si>
    <t>74NQCYNSGKX</t>
  </si>
  <si>
    <t>C7NNF5P48N4</t>
  </si>
  <si>
    <t>Jun Cheng</t>
  </si>
  <si>
    <t>Zhao</t>
  </si>
  <si>
    <t>Victor</t>
  </si>
  <si>
    <t>Kyi</t>
  </si>
  <si>
    <t>Cecily</t>
  </si>
  <si>
    <t>James Zhang</t>
  </si>
  <si>
    <t>HK Express</t>
  </si>
  <si>
    <t>UO 627</t>
  </si>
  <si>
    <t>UO 619</t>
  </si>
  <si>
    <t>Count of Pax</t>
  </si>
  <si>
    <t>HOTELS</t>
  </si>
  <si>
    <t>Air Canada</t>
  </si>
  <si>
    <t>AC64</t>
  </si>
  <si>
    <t>Harjot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</si>
</sst>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TimesNewRomanPSMT"/>
      <family val="2"/>
    </font>
    <font>
      <b/>
      <sz val="12"/>
      <color theme="1"/>
      <name val="TimesNewRomanPSMT"/>
      <family val="2"/>
    </font>
    <font>
      <b/>
      <sz val="12"/>
      <color theme="1"/>
      <name val="TimesNewRomanPSMT"/>
    </font>
    <font>
      <sz val="8"/>
      <name val="TimesNewRomanPSMT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0" xfId="0" applyNumberFormat="1"/>
    <xf numFmtId="20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5">
    <dxf>
      <numFmt numFmtId="25" formatCode="hh:mm"/>
    </dxf>
    <dxf>
      <numFmt numFmtId="164" formatCode="d\-mmm\-yy"/>
    </dxf>
    <dxf>
      <numFmt numFmtId="0" formatCode="General"/>
    </dxf>
    <dxf>
      <font>
        <b/>
      </font>
      <alignment horizontal="center" vertical="center" textRotation="0" wrapText="1" indent="0" justifyLastLine="0" shrinkToFit="0" readingOrder="0"/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1" xr9:uid="{4B85CDB4-2BC9-6D41-A3B3-87DCB912CA10}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y Nguyen" refreshedDate="45922.699469675928" createdVersion="8" refreshedVersion="8" minRefreshableVersion="3" recordCount="94" xr:uid="{8B60F284-7D58-8044-8747-976E8A122E87}">
  <cacheSource type="worksheet">
    <worksheetSource name="Table1"/>
  </cacheSource>
  <cacheFields count="23">
    <cacheField name="No." numFmtId="0">
      <sharedItems containsSemiMixedTypes="0" containsString="0" containsNumber="1" containsInteger="1" minValue="1" maxValue="94"/>
    </cacheField>
    <cacheField name="Confirmation" numFmtId="0">
      <sharedItems/>
    </cacheField>
    <cacheField name="Primary registrant" numFmtId="0">
      <sharedItems/>
    </cacheField>
    <cacheField name="First Name" numFmtId="0">
      <sharedItems/>
    </cacheField>
    <cacheField name="Last Name" numFmtId="0">
      <sharedItems/>
    </cacheField>
    <cacheField name="Gender" numFmtId="0">
      <sharedItems/>
    </cacheField>
    <cacheField name="Invitee" numFmtId="0">
      <sharedItems/>
    </cacheField>
    <cacheField name="CEO" numFmtId="0">
      <sharedItems/>
    </cacheField>
    <cacheField name="Group" numFmtId="0">
      <sharedItems/>
    </cacheField>
    <cacheField name="D. Airline" numFmtId="0">
      <sharedItems/>
    </cacheField>
    <cacheField name="D. Flt" numFmtId="0">
      <sharedItems count="6">
        <s v="CX 417"/>
        <s v="CX 439"/>
        <s v="CX 411"/>
        <s v="CX 419"/>
        <s v="UO 627"/>
        <s v="UO 619"/>
      </sharedItems>
    </cacheField>
    <cacheField name="D. Date" numFmtId="15">
      <sharedItems containsSemiMixedTypes="0" containsNonDate="0" containsDate="1" containsString="0" minDate="2025-09-23T00:00:00" maxDate="2025-09-24T00:00:00"/>
    </cacheField>
    <cacheField name="D. Time" numFmtId="20">
      <sharedItems containsSemiMixedTypes="0" containsNonDate="0" containsDate="1" containsString="0" minDate="1899-12-30T10:10:00" maxDate="1899-12-30T22:30:00"/>
    </cacheField>
    <cacheField name="D. Airport" numFmtId="0">
      <sharedItems/>
    </cacheField>
    <cacheField name="NEW D. Airline" numFmtId="0">
      <sharedItems containsNonDate="0" containsString="0" containsBlank="1"/>
    </cacheField>
    <cacheField name="NEW D. Flight" numFmtId="0">
      <sharedItems containsNonDate="0" containsString="0" containsBlank="1"/>
    </cacheField>
    <cacheField name="NEW D. Time" numFmtId="0">
      <sharedItems containsNonDate="0" containsString="0" containsBlank="1"/>
    </cacheField>
    <cacheField name="NEW D. Airport" numFmtId="0">
      <sharedItems containsNonDate="0" containsString="0" containsBlank="1"/>
    </cacheField>
    <cacheField name="Notes" numFmtId="0">
      <sharedItems containsNonDate="0" containsString="0" containsBlank="1"/>
    </cacheField>
    <cacheField name="HOTEL CODE" numFmtId="0">
      <sharedItems containsSemiMixedTypes="0" containsString="0" containsNumber="1" containsInteger="1" minValue="15262611" maxValue="462716433"/>
    </cacheField>
    <cacheField name="HOTEL" numFmtId="0">
      <sharedItems count="5">
        <s v="FAIRMONT"/>
        <s v="INTER PARNAS"/>
        <s v="JW MARRIOTT"/>
        <s v="LOTTE"/>
        <s v="THE PLAZA"/>
      </sharedItems>
    </cacheField>
    <cacheField name="Pax Type" numFmtId="0">
      <sharedItems/>
    </cacheField>
    <cacheField name="Changed Flight (ONSITE)" numFmtId="0">
      <sharedItems containsNonDate="0" containsDate="1" containsString="0" containsBlank="1" minDate="2025-09-06T00:00:00" maxDate="2025-09-0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n v="1"/>
    <s v="98NTWZ2834T"/>
    <s v="98NTWZ2834T"/>
    <s v="Vanessa"/>
    <s v="Delgado"/>
    <s v="Female"/>
    <s v="Invitee"/>
    <s v="Alejandra Yelpo"/>
    <s v="B"/>
    <s v="Cathay Pacific"/>
    <x v="0"/>
    <d v="2025-09-23T00:00:00"/>
    <d v="1899-12-30T10:10:00"/>
    <s v="ICN-T1"/>
    <m/>
    <m/>
    <m/>
    <m/>
    <m/>
    <n v="462716344"/>
    <x v="0"/>
    <s v="Adult"/>
    <m/>
  </r>
  <r>
    <n v="2"/>
    <s v="23NWJT99LG3"/>
    <s v="98NTWZ2834T"/>
    <s v="Salome"/>
    <s v="Urquiza"/>
    <s v="Female"/>
    <s v="Guest"/>
    <s v="Alejandra Yelpo"/>
    <s v="B"/>
    <s v="Cathay Pacific"/>
    <x v="0"/>
    <d v="2025-09-23T00:00:00"/>
    <d v="1899-12-30T10:10:00"/>
    <s v="ICN-T1"/>
    <m/>
    <m/>
    <m/>
    <m/>
    <m/>
    <n v="462716344"/>
    <x v="0"/>
    <s v="Adult"/>
    <m/>
  </r>
  <r>
    <n v="3"/>
    <s v="3MNPZ66B3VL"/>
    <s v="3MNPZ66B3VL"/>
    <s v="Mailanie"/>
    <s v="Meyer"/>
    <s v="Female"/>
    <s v="Invitee"/>
    <s v="Mia Rosal"/>
    <s v="B"/>
    <s v="Cathay Pacific"/>
    <x v="1"/>
    <d v="2025-09-23T00:00:00"/>
    <d v="1899-12-30T13:40:00"/>
    <s v="ICN-T1"/>
    <m/>
    <m/>
    <m/>
    <m/>
    <m/>
    <n v="462716424"/>
    <x v="0"/>
    <s v="Adult"/>
    <m/>
  </r>
  <r>
    <n v="4"/>
    <s v="HLNPRFDCY88"/>
    <s v="3MNPZ66B3VL"/>
    <s v="John Douglas"/>
    <s v="Meyer"/>
    <s v="Male"/>
    <s v="Guest"/>
    <s v="Mia Rosal"/>
    <s v="B"/>
    <s v="Cathay Pacific"/>
    <x v="1"/>
    <d v="2025-09-23T00:00:00"/>
    <d v="1899-12-30T13:40:00"/>
    <s v="ICN-T1"/>
    <m/>
    <m/>
    <m/>
    <m/>
    <m/>
    <n v="462716424"/>
    <x v="0"/>
    <s v="Adult"/>
    <m/>
  </r>
  <r>
    <n v="5"/>
    <s v="59N3DVTHY89"/>
    <s v="59N3DVTHY89"/>
    <s v="Anita Alacrito"/>
    <s v="Dioquino"/>
    <s v="Male"/>
    <s v="Invitee"/>
    <s v="Mia Rosal"/>
    <s v="B"/>
    <s v="Cathay Pacific"/>
    <x v="1"/>
    <d v="2025-09-23T00:00:00"/>
    <d v="1899-12-30T13:40:00"/>
    <s v="ICN-T1"/>
    <m/>
    <m/>
    <m/>
    <m/>
    <m/>
    <n v="462716419"/>
    <x v="0"/>
    <s v="Adult"/>
    <m/>
  </r>
  <r>
    <n v="6"/>
    <s v="DJNHYMR46W9"/>
    <s v="59N3DVTHY89"/>
    <s v="Alvin Maiquez"/>
    <s v="Dioquino"/>
    <s v="Male"/>
    <s v="Guest"/>
    <s v="Mia Rosal"/>
    <s v="B"/>
    <s v="Cathay Pacific"/>
    <x v="1"/>
    <d v="2025-09-23T00:00:00"/>
    <d v="1899-12-30T13:40:00"/>
    <s v="ICN-T1"/>
    <m/>
    <m/>
    <m/>
    <m/>
    <m/>
    <n v="462716419"/>
    <x v="0"/>
    <s v="Adult"/>
    <m/>
  </r>
  <r>
    <n v="7"/>
    <s v="7LN2F2NR2TC"/>
    <s v="7LN2F2NR2TC"/>
    <s v="Eron"/>
    <s v="Senfuma"/>
    <s v="Female"/>
    <s v="Invitee"/>
    <s v="Arlex Flores 2"/>
    <s v="B"/>
    <s v="Cathay Pacific"/>
    <x v="1"/>
    <d v="2025-09-23T00:00:00"/>
    <d v="1899-12-30T13:40:00"/>
    <s v="ICN-T1"/>
    <m/>
    <m/>
    <m/>
    <m/>
    <m/>
    <n v="462566763"/>
    <x v="0"/>
    <s v="Adult"/>
    <m/>
  </r>
  <r>
    <n v="8"/>
    <s v="CVN9QMMM339"/>
    <s v="SCNW27CHB97"/>
    <s v="Oluwabukola Adejoke"/>
    <s v="Aremo"/>
    <s v="Female"/>
    <s v="Guest"/>
    <s v="Kimmy Le"/>
    <s v="B"/>
    <s v="Cathay Pacific"/>
    <x v="1"/>
    <d v="2025-09-23T00:00:00"/>
    <d v="1899-12-30T13:40:00"/>
    <s v="ICN-T1"/>
    <m/>
    <m/>
    <m/>
    <m/>
    <m/>
    <n v="461563779"/>
    <x v="0"/>
    <s v="Adult"/>
    <m/>
  </r>
  <r>
    <n v="9"/>
    <s v="SQNX7R8KBSX"/>
    <s v="SQNX7R8KBSX"/>
    <s v="Rogers Nicholas"/>
    <s v="Muyanja"/>
    <s v="Male"/>
    <s v="Invitee"/>
    <s v="Arlex Flores 2"/>
    <s v="B"/>
    <s v="Cathay Pacific"/>
    <x v="1"/>
    <d v="2025-09-23T00:00:00"/>
    <d v="1899-12-30T13:40:00"/>
    <s v="ICN-T1"/>
    <m/>
    <m/>
    <m/>
    <m/>
    <m/>
    <n v="462716368"/>
    <x v="0"/>
    <s v="Adult"/>
    <m/>
  </r>
  <r>
    <n v="10"/>
    <s v="KVNZ6J6CKSK"/>
    <s v="KVNZ6J6CKSK"/>
    <s v="Sopheak"/>
    <s v="Touch"/>
    <s v="Female"/>
    <s v="Invitee"/>
    <s v="Arlex Flores 2"/>
    <s v="B"/>
    <s v="Cathay Pacific"/>
    <x v="2"/>
    <d v="2025-09-23T00:00:00"/>
    <d v="1899-12-30T15:10:00"/>
    <s v="ICN-T1"/>
    <m/>
    <m/>
    <m/>
    <m/>
    <m/>
    <n v="462716371"/>
    <x v="0"/>
    <s v="Adult"/>
    <m/>
  </r>
  <r>
    <n v="11"/>
    <s v="QCNDXTYBBFG"/>
    <s v="KVNZ6J6CKSK"/>
    <s v="Sophen"/>
    <s v="Nou"/>
    <s v="Male"/>
    <s v="Guest"/>
    <s v="Arlex Flores 2"/>
    <s v="B"/>
    <s v="Cathay Pacific"/>
    <x v="2"/>
    <d v="2025-09-23T00:00:00"/>
    <d v="1899-12-30T15:10:00"/>
    <s v="ICN-T1"/>
    <m/>
    <m/>
    <m/>
    <m/>
    <m/>
    <n v="462716371"/>
    <x v="0"/>
    <s v="Adult"/>
    <m/>
  </r>
  <r>
    <n v="12"/>
    <s v="RZNF7PKF6VF"/>
    <s v="KVNZ6J6CKSK"/>
    <s v="Skylar Dara"/>
    <s v="Nou"/>
    <s v="Male"/>
    <s v="Guest"/>
    <s v="Arlex Flores 2"/>
    <s v="B"/>
    <s v="Cathay Pacific"/>
    <x v="2"/>
    <d v="2025-09-23T00:00:00"/>
    <d v="1899-12-30T15:10:00"/>
    <s v="ICN-T1"/>
    <m/>
    <m/>
    <m/>
    <m/>
    <m/>
    <n v="462716371"/>
    <x v="0"/>
    <s v="Kid"/>
    <m/>
  </r>
  <r>
    <n v="13"/>
    <s v="NDNT7TZP99B"/>
    <s v="RHNMXXVRSTZ"/>
    <s v="Sarahlynn Siny"/>
    <s v="Rith"/>
    <s v="Female"/>
    <s v="Guest"/>
    <s v="Arlex Flores 2"/>
    <s v="B"/>
    <s v="Cathay Pacific"/>
    <x v="2"/>
    <d v="2025-09-23T00:00:00"/>
    <d v="1899-12-30T15:10:00"/>
    <s v="ICN-T1"/>
    <m/>
    <m/>
    <m/>
    <m/>
    <m/>
    <n v="462716367"/>
    <x v="0"/>
    <s v="Adult"/>
    <m/>
  </r>
  <r>
    <n v="14"/>
    <s v="XGND7YCPXL7"/>
    <s v="XGND7YCPXL7"/>
    <s v="Kannika"/>
    <s v="Seung"/>
    <s v="Female"/>
    <s v="Invitee"/>
    <s v="Arlex Flores 2"/>
    <s v="B"/>
    <s v="Cathay Pacific"/>
    <x v="2"/>
    <d v="2025-09-23T00:00:00"/>
    <d v="1899-12-30T15:10:00"/>
    <s v="ICN-T1"/>
    <m/>
    <m/>
    <m/>
    <m/>
    <m/>
    <n v="462716365"/>
    <x v="0"/>
    <s v="Adult"/>
    <m/>
  </r>
  <r>
    <n v="15"/>
    <s v="KJNN8X2RK5W"/>
    <s v="XGND7YCPXL7"/>
    <s v="Ryan Daniel"/>
    <s v="Lipson"/>
    <s v="Male"/>
    <s v="Guest"/>
    <s v="Arlex Flores 2"/>
    <s v="B"/>
    <s v="Cathay Pacific"/>
    <x v="2"/>
    <d v="2025-09-23T00:00:00"/>
    <d v="1899-12-30T15:10:00"/>
    <s v="ICN-T1"/>
    <m/>
    <m/>
    <m/>
    <m/>
    <m/>
    <n v="462716365"/>
    <x v="0"/>
    <s v="Adult"/>
    <m/>
  </r>
  <r>
    <n v="16"/>
    <s v="96NTJ726Z6Z"/>
    <s v="96NTJ726Z6Z"/>
    <s v="Libni"/>
    <s v="Borras Mendoza"/>
    <s v="Female"/>
    <s v="Invitee"/>
    <s v="Kimmy Le"/>
    <s v="B"/>
    <s v="Cathay Pacific"/>
    <x v="3"/>
    <d v="2025-09-23T00:00:00"/>
    <d v="1899-12-30T20:05:00"/>
    <s v="ICN-T1"/>
    <m/>
    <m/>
    <m/>
    <m/>
    <m/>
    <n v="462716386"/>
    <x v="0"/>
    <s v="Adult"/>
    <m/>
  </r>
  <r>
    <n v="17"/>
    <s v="7WNFNKD2HVP"/>
    <s v="96NTJ726Z6Z"/>
    <s v="Xavier Sigfrido"/>
    <s v="Alonso Rosales"/>
    <s v="Male"/>
    <s v="Guest"/>
    <s v="Kimmy Le"/>
    <s v="B"/>
    <s v="Cathay Pacific"/>
    <x v="3"/>
    <d v="2025-09-23T00:00:00"/>
    <d v="1899-12-30T20:05:00"/>
    <s v="ICN-T1"/>
    <m/>
    <m/>
    <m/>
    <m/>
    <m/>
    <n v="462716386"/>
    <x v="0"/>
    <s v="Adult"/>
    <m/>
  </r>
  <r>
    <n v="18"/>
    <s v="NJNQ7JQLHY5"/>
    <s v="NJNQ7JQLHY5"/>
    <s v="Minerva"/>
    <s v="Sapitula"/>
    <s v="Female"/>
    <s v="Invitee"/>
    <s v="Mia Rosal"/>
    <s v="B"/>
    <s v="Cathay Pacific"/>
    <x v="3"/>
    <d v="2025-09-23T00:00:00"/>
    <d v="1899-12-30T20:05:00"/>
    <s v="ICN-T1"/>
    <m/>
    <m/>
    <m/>
    <m/>
    <m/>
    <n v="462716433"/>
    <x v="0"/>
    <s v="Adult"/>
    <m/>
  </r>
  <r>
    <n v="19"/>
    <s v="GFNNYC7CT43"/>
    <s v="NJNQ7JQLHY5"/>
    <s v="Marites Dimalaluan"/>
    <s v="De Claro"/>
    <s v="Female"/>
    <s v="Guest"/>
    <s v="Mia Rosal"/>
    <s v="B"/>
    <s v="Cathay Pacific"/>
    <x v="3"/>
    <d v="2025-09-23T00:00:00"/>
    <d v="1899-12-30T20:05:00"/>
    <s v="ICN-T1"/>
    <m/>
    <m/>
    <m/>
    <m/>
    <m/>
    <n v="462716433"/>
    <x v="0"/>
    <s v="Adult"/>
    <m/>
  </r>
  <r>
    <n v="20"/>
    <s v="8NNZHHJKGLS"/>
    <s v="8NNZHHJKGLS"/>
    <s v="Daniel"/>
    <s v="Kassahun"/>
    <s v="Male"/>
    <s v="Invitee"/>
    <s v="Yesigat Kebede"/>
    <s v="B"/>
    <s v="Cathay Pacific"/>
    <x v="0"/>
    <d v="2025-09-23T00:00:00"/>
    <d v="1899-12-30T10:10:00"/>
    <s v="ICN-T1"/>
    <m/>
    <m/>
    <m/>
    <m/>
    <m/>
    <n v="43864889"/>
    <x v="1"/>
    <s v="Adult"/>
    <m/>
  </r>
  <r>
    <n v="21"/>
    <s v="5NN4BMKWRW8"/>
    <s v="8NNZHHJKGLS"/>
    <s v="Fanaye"/>
    <s v="Kassahun"/>
    <s v="Female"/>
    <s v="Guest"/>
    <s v="Yesigat Kebede"/>
    <s v="B"/>
    <s v="Cathay Pacific"/>
    <x v="0"/>
    <d v="2025-09-23T00:00:00"/>
    <d v="1899-12-30T10:10:00"/>
    <s v="ICN-T1"/>
    <m/>
    <m/>
    <m/>
    <m/>
    <m/>
    <n v="43864889"/>
    <x v="1"/>
    <s v="Adult"/>
    <m/>
  </r>
  <r>
    <n v="22"/>
    <s v="7GN7LPB3TL3"/>
    <s v="8NNZHHJKGLS"/>
    <s v="Leltewein"/>
    <s v="Kassahun"/>
    <s v="Female"/>
    <s v="Guest"/>
    <s v="Yesigat Kebede"/>
    <s v="B"/>
    <s v="Cathay Pacific"/>
    <x v="0"/>
    <d v="2025-09-23T00:00:00"/>
    <d v="1899-12-30T10:10:00"/>
    <s v="ICN-T1"/>
    <m/>
    <m/>
    <m/>
    <m/>
    <m/>
    <n v="20359921"/>
    <x v="1"/>
    <s v="Adult"/>
    <m/>
  </r>
  <r>
    <n v="23"/>
    <s v="ZKNCXRLYF5H"/>
    <s v="8NNZHHJKGLS"/>
    <s v="Weleta"/>
    <s v="Haregewein"/>
    <s v="Female"/>
    <s v="Guest"/>
    <s v="Yesigat Kebede"/>
    <s v="B"/>
    <s v="Cathay Pacific"/>
    <x v="0"/>
    <d v="2025-09-23T00:00:00"/>
    <d v="1899-12-30T10:10:00"/>
    <s v="ICN-T1"/>
    <m/>
    <m/>
    <m/>
    <m/>
    <m/>
    <n v="20359921"/>
    <x v="1"/>
    <s v="Adult"/>
    <m/>
  </r>
  <r>
    <n v="24"/>
    <s v="P4N3XY964CZ"/>
    <s v="8NNZHHJKGLS"/>
    <s v="Seble"/>
    <s v="Mekonnen"/>
    <s v="Female"/>
    <s v="Guest"/>
    <s v="Yesigat Kebede"/>
    <s v="B"/>
    <s v="Cathay Pacific"/>
    <x v="0"/>
    <d v="2025-09-23T00:00:00"/>
    <d v="1899-12-30T10:10:00"/>
    <s v="ICN-T1"/>
    <m/>
    <m/>
    <m/>
    <m/>
    <m/>
    <n v="63029083"/>
    <x v="1"/>
    <s v="Adult"/>
    <m/>
  </r>
  <r>
    <n v="25"/>
    <s v="KTN7MDSTMG4"/>
    <s v="8NNZHHJKGLS"/>
    <s v="Aster"/>
    <s v="Adamu"/>
    <s v="Female"/>
    <s v="Guest"/>
    <s v="Yesigat Kebede"/>
    <s v="B"/>
    <s v="Cathay Pacific"/>
    <x v="0"/>
    <d v="2025-09-23T00:00:00"/>
    <d v="1899-12-30T10:10:00"/>
    <s v="ICN-T1"/>
    <m/>
    <m/>
    <m/>
    <m/>
    <m/>
    <n v="63029083"/>
    <x v="1"/>
    <s v="Adult"/>
    <m/>
  </r>
  <r>
    <n v="26"/>
    <s v="GLNTYG8RM9K"/>
    <s v="GLNTYG8RM9K"/>
    <s v="Yaregal Derebe"/>
    <s v="Tefferi"/>
    <s v="Male"/>
    <s v="Invitee"/>
    <s v="Yesigat Kebede"/>
    <s v="B"/>
    <s v="Cathay Pacific"/>
    <x v="0"/>
    <d v="2025-09-23T00:00:00"/>
    <d v="1899-12-30T10:10:00"/>
    <s v="ICN-T1"/>
    <m/>
    <m/>
    <m/>
    <m/>
    <m/>
    <n v="83361672"/>
    <x v="1"/>
    <s v="Adult"/>
    <m/>
  </r>
  <r>
    <n v="27"/>
    <s v="QWNXVPJX88H"/>
    <s v="GLNTYG8RM9K"/>
    <s v="Enani Aklog"/>
    <s v="Mekonnen"/>
    <s v="Female"/>
    <s v="Guest"/>
    <s v="Yesigat Kebede"/>
    <s v="B"/>
    <s v="Cathay Pacific"/>
    <x v="0"/>
    <d v="2025-09-23T00:00:00"/>
    <d v="1899-12-30T10:10:00"/>
    <s v="ICN-T1"/>
    <m/>
    <m/>
    <m/>
    <m/>
    <m/>
    <n v="83361672"/>
    <x v="1"/>
    <s v="Adult"/>
    <m/>
  </r>
  <r>
    <n v="28"/>
    <s v="2MNGS3V7LQ8"/>
    <s v="LVN3M5T7H6W"/>
    <s v="Yonas Eshetu"/>
    <s v="Woldetsadik"/>
    <s v="Male"/>
    <s v="Guest"/>
    <s v="Yesigat Kebede"/>
    <s v="B"/>
    <s v="Cathay Pacific"/>
    <x v="0"/>
    <d v="2025-09-23T00:00:00"/>
    <d v="1899-12-30T10:10:00"/>
    <s v="ICN-T1"/>
    <m/>
    <m/>
    <m/>
    <m/>
    <m/>
    <n v="47635921"/>
    <x v="1"/>
    <s v="Adult"/>
    <m/>
  </r>
  <r>
    <n v="29"/>
    <s v="QVNLGFX5PY7"/>
    <s v="QVNLGFX5PY7"/>
    <s v="Helen Ying"/>
    <s v="Chen"/>
    <s v="Female"/>
    <s v="Invitee"/>
    <s v="Xuan Nguyen (TX)"/>
    <s v="B"/>
    <s v="Cathay Pacific"/>
    <x v="0"/>
    <d v="2025-09-23T00:00:00"/>
    <d v="1899-12-30T10:10:00"/>
    <s v="ICN-T1"/>
    <m/>
    <m/>
    <m/>
    <m/>
    <m/>
    <n v="21950397"/>
    <x v="1"/>
    <s v="Adult"/>
    <m/>
  </r>
  <r>
    <n v="30"/>
    <s v="Z6NTN9SFFCG"/>
    <s v="QVNLGFX5PY7"/>
    <s v="Jinan"/>
    <s v="Ruan"/>
    <s v="Male"/>
    <s v="Guest"/>
    <s v="Xuan Nguyen (TX)"/>
    <s v="B"/>
    <s v="Cathay Pacific"/>
    <x v="0"/>
    <d v="2025-09-23T00:00:00"/>
    <d v="1899-12-30T10:10:00"/>
    <s v="ICN-T1"/>
    <m/>
    <m/>
    <m/>
    <m/>
    <m/>
    <n v="21950397"/>
    <x v="1"/>
    <s v="Adult"/>
    <m/>
  </r>
  <r>
    <n v="31"/>
    <s v="PZNGFGCYRND"/>
    <s v="RBNPFZPHRNL"/>
    <s v="Crispin"/>
    <s v="Camacho"/>
    <s v="Male"/>
    <s v="Guest"/>
    <s v="Xuan Nguyen (TX)"/>
    <s v="B"/>
    <s v="Cathay Pacific"/>
    <x v="0"/>
    <d v="2025-09-23T00:00:00"/>
    <d v="1899-12-30T10:10:00"/>
    <s v="ICN-T1"/>
    <m/>
    <m/>
    <m/>
    <m/>
    <m/>
    <n v="66108609"/>
    <x v="1"/>
    <s v="Adult"/>
    <d v="2025-09-06T00:00:00"/>
  </r>
  <r>
    <n v="32"/>
    <s v="RVN48JCLG4S"/>
    <s v="RVN48JCLG4S"/>
    <s v="Lemlem"/>
    <s v="Kassa"/>
    <s v="Female"/>
    <s v="Invitee"/>
    <s v="Yesigat Kebede"/>
    <s v="B"/>
    <s v="Cathay Pacific"/>
    <x v="0"/>
    <d v="2025-09-23T00:00:00"/>
    <d v="1899-12-30T10:10:00"/>
    <s v="ICN-T1"/>
    <m/>
    <m/>
    <m/>
    <m/>
    <m/>
    <n v="46496160"/>
    <x v="1"/>
    <s v="Adult"/>
    <m/>
  </r>
  <r>
    <n v="33"/>
    <s v="CGN5T5G5NR8"/>
    <s v="RVN48JCLG4S"/>
    <s v="Alem"/>
    <s v="Aske"/>
    <s v="Female"/>
    <s v="Guest"/>
    <s v="Yesigat Kebede"/>
    <s v="B"/>
    <s v="Cathay Pacific"/>
    <x v="0"/>
    <d v="2025-09-23T00:00:00"/>
    <d v="1899-12-30T10:10:00"/>
    <s v="ICN-T1"/>
    <m/>
    <m/>
    <m/>
    <m/>
    <m/>
    <n v="46496160"/>
    <x v="1"/>
    <s v="Adult"/>
    <m/>
  </r>
  <r>
    <n v="34"/>
    <s v="T7NGGGRZ4XS"/>
    <s v="T7NGGGRZ4XS"/>
    <s v="Hsiao-Zu Joyce"/>
    <s v="Chen"/>
    <s v="Female"/>
    <s v="Invitee"/>
    <s v="Xuan Nguyen (TX)"/>
    <s v="B"/>
    <s v="Cathay Pacific"/>
    <x v="0"/>
    <d v="2025-09-23T00:00:00"/>
    <d v="1899-12-30T10:10:00"/>
    <s v="ICN-T1"/>
    <m/>
    <m/>
    <m/>
    <m/>
    <m/>
    <n v="80509682"/>
    <x v="1"/>
    <s v="Adult"/>
    <m/>
  </r>
  <r>
    <n v="35"/>
    <s v="ZJN6XBWFCJ8"/>
    <s v="T7NGGGRZ4XS"/>
    <s v="Christopher John"/>
    <s v="Hagad"/>
    <s v="Male"/>
    <s v="Guest"/>
    <s v="Xuan Nguyen (TX)"/>
    <s v="B"/>
    <s v="Cathay Pacific"/>
    <x v="0"/>
    <d v="2025-09-23T00:00:00"/>
    <d v="1899-12-30T10:10:00"/>
    <s v="ICN-T1"/>
    <m/>
    <m/>
    <m/>
    <m/>
    <m/>
    <n v="80509682"/>
    <x v="1"/>
    <s v="Adult"/>
    <m/>
  </r>
  <r>
    <n v="36"/>
    <s v="ZYNP7W2W6VQ"/>
    <s v="T7NGGGRZ4XS"/>
    <s v="Celina Josephine"/>
    <s v="Hagad"/>
    <s v="Female"/>
    <s v="Guest"/>
    <s v="Xuan Nguyen (TX)"/>
    <s v="B"/>
    <s v="Cathay Pacific"/>
    <x v="0"/>
    <d v="2025-09-23T00:00:00"/>
    <d v="1899-12-30T10:10:00"/>
    <s v="ICN-T1"/>
    <m/>
    <m/>
    <m/>
    <m/>
    <m/>
    <n v="80509682"/>
    <x v="1"/>
    <s v="Child"/>
    <m/>
  </r>
  <r>
    <n v="37"/>
    <s v="KDNJKK47TCL"/>
    <s v="KDNJKK47TCL"/>
    <s v="Chanthy"/>
    <s v="Khuon"/>
    <s v="Female"/>
    <s v="Invitee"/>
    <s v="Xuan Nguyen (TX)"/>
    <s v="B"/>
    <s v="Cathay Pacific"/>
    <x v="1"/>
    <d v="2025-09-23T00:00:00"/>
    <d v="1899-12-30T13:40:00"/>
    <s v="ICN-T1"/>
    <m/>
    <m/>
    <m/>
    <m/>
    <m/>
    <n v="25343186"/>
    <x v="1"/>
    <s v="Adult"/>
    <m/>
  </r>
  <r>
    <n v="38"/>
    <s v="Y2NLDG2NV54"/>
    <s v="Y2NLDG2NV54"/>
    <s v="Mardy"/>
    <s v="Tes"/>
    <s v="Female"/>
    <s v="Invitee"/>
    <s v="Xuan Nguyen (TX)"/>
    <s v="B"/>
    <s v="Cathay Pacific"/>
    <x v="1"/>
    <d v="2025-09-23T00:00:00"/>
    <d v="1899-12-30T13:40:00"/>
    <s v="ICN-T1"/>
    <m/>
    <m/>
    <m/>
    <m/>
    <m/>
    <n v="63103044"/>
    <x v="1"/>
    <s v="Adult"/>
    <m/>
  </r>
  <r>
    <n v="39"/>
    <s v="M9NND8CXTNR"/>
    <s v="Y2NLDG2NV54"/>
    <s v="Channdarah"/>
    <s v="Tes"/>
    <s v="Male"/>
    <s v="Guest"/>
    <s v="Xuan Nguyen (TX)"/>
    <s v="B"/>
    <s v="Cathay Pacific"/>
    <x v="1"/>
    <d v="2025-09-23T00:00:00"/>
    <d v="1899-12-30T13:40:00"/>
    <s v="ICN-T1"/>
    <m/>
    <m/>
    <m/>
    <m/>
    <m/>
    <n v="63103044"/>
    <x v="1"/>
    <s v="Adult"/>
    <m/>
  </r>
  <r>
    <n v="40"/>
    <s v="2DNW5ZZSH2V"/>
    <s v="2DNW5ZZSH2V"/>
    <s v="Chunxia"/>
    <s v="Fan"/>
    <s v="Female"/>
    <s v="Invitee"/>
    <s v="Congqun Jian"/>
    <s v="B"/>
    <s v="Cathay Pacific"/>
    <x v="2"/>
    <d v="2025-09-23T00:00:00"/>
    <d v="1899-12-30T15:10:00"/>
    <s v="ICN-T1"/>
    <m/>
    <m/>
    <m/>
    <m/>
    <m/>
    <n v="84750472"/>
    <x v="1"/>
    <s v="Adult"/>
    <m/>
  </r>
  <r>
    <n v="41"/>
    <s v="8WNDZMG7HZB"/>
    <s v="2DNW5ZZSH2V"/>
    <s v="Candy Hairong"/>
    <s v="Guo"/>
    <s v="Female"/>
    <s v="Guest"/>
    <s v="Congqun Jian"/>
    <s v="B"/>
    <s v="Cathay Pacific"/>
    <x v="2"/>
    <d v="2025-09-23T00:00:00"/>
    <d v="1899-12-30T15:10:00"/>
    <s v="ICN-T1"/>
    <m/>
    <m/>
    <m/>
    <m/>
    <m/>
    <n v="84750472"/>
    <x v="1"/>
    <s v="Child"/>
    <m/>
  </r>
  <r>
    <n v="42"/>
    <s v="2WNZPQP3TGV"/>
    <s v="2WNZPQP3TGV"/>
    <s v="Theresa"/>
    <s v="So"/>
    <s v="Female"/>
    <s v="Invitee"/>
    <s v="Xuan Nguyen (TX)"/>
    <s v="B"/>
    <s v="Cathay Pacific"/>
    <x v="2"/>
    <d v="2025-09-23T00:00:00"/>
    <d v="1899-12-30T15:10:00"/>
    <s v="ICN-T1"/>
    <m/>
    <m/>
    <m/>
    <m/>
    <m/>
    <n v="47056737"/>
    <x v="1"/>
    <s v="Adult"/>
    <m/>
  </r>
  <r>
    <n v="43"/>
    <s v="6QNQ9J83PXG"/>
    <s v="6QNQ9J83PXG"/>
    <s v="Koeun Nhan"/>
    <s v="Tri"/>
    <s v="Female"/>
    <s v="Invitee"/>
    <s v="Xuan Nguyen (TX)"/>
    <s v="B"/>
    <s v="Cathay Pacific"/>
    <x v="2"/>
    <d v="2025-09-23T00:00:00"/>
    <d v="1899-12-30T15:10:00"/>
    <s v="ICN-T1"/>
    <m/>
    <m/>
    <m/>
    <m/>
    <m/>
    <n v="29553233"/>
    <x v="1"/>
    <s v="Adult"/>
    <m/>
  </r>
  <r>
    <n v="44"/>
    <s v="ZSN987B4XX6"/>
    <s v="6QNQ9J83PXG"/>
    <s v="Tu Huynh"/>
    <s v="Tri"/>
    <s v="Male"/>
    <s v="Guest"/>
    <s v="Xuan Nguyen (TX)"/>
    <s v="B"/>
    <s v="Cathay Pacific"/>
    <x v="2"/>
    <d v="2025-09-23T00:00:00"/>
    <d v="1899-12-30T15:10:00"/>
    <s v="ICN-T1"/>
    <m/>
    <m/>
    <m/>
    <m/>
    <m/>
    <n v="29553233"/>
    <x v="1"/>
    <s v="Adult"/>
    <m/>
  </r>
  <r>
    <n v="45"/>
    <s v="RCN67698SCD"/>
    <s v="6QNQ9J83PXG"/>
    <s v="Kalani Hanh"/>
    <s v="Tri"/>
    <s v="Male"/>
    <s v="Guest"/>
    <s v="Xuan Nguyen (TX)"/>
    <s v="B"/>
    <s v="Cathay Pacific"/>
    <x v="2"/>
    <d v="2025-09-23T00:00:00"/>
    <d v="1899-12-30T15:10:00"/>
    <s v="ICN-T1"/>
    <m/>
    <m/>
    <m/>
    <m/>
    <m/>
    <n v="29553233"/>
    <x v="1"/>
    <s v="Child"/>
    <m/>
  </r>
  <r>
    <n v="46"/>
    <s v="RWNMNFWMFYG"/>
    <s v="6QNQ9J83PXG"/>
    <s v="Ayden Long"/>
    <s v="Tang"/>
    <s v="Male"/>
    <s v="Guest"/>
    <s v="Xuan Nguyen (TX)"/>
    <s v="B"/>
    <s v="Cathay Pacific"/>
    <x v="2"/>
    <d v="2025-09-23T00:00:00"/>
    <d v="1899-12-30T15:10:00"/>
    <s v="ICN-T1"/>
    <m/>
    <m/>
    <m/>
    <m/>
    <m/>
    <n v="49293512"/>
    <x v="1"/>
    <s v="Adult"/>
    <m/>
  </r>
  <r>
    <n v="47"/>
    <s v="6BNBBQ3VXY3"/>
    <s v="6QNQ9J83PXG"/>
    <s v="Kossette Kalila"/>
    <s v="Tri"/>
    <s v="Female"/>
    <s v="Guest"/>
    <s v="Xuan Nguyen (TX)"/>
    <s v="B"/>
    <s v="Cathay Pacific"/>
    <x v="2"/>
    <d v="2025-09-23T00:00:00"/>
    <d v="1899-12-30T15:10:00"/>
    <s v="ICN-T1"/>
    <m/>
    <m/>
    <m/>
    <m/>
    <m/>
    <n v="49293512"/>
    <x v="1"/>
    <s v="Adult"/>
    <m/>
  </r>
  <r>
    <n v="48"/>
    <s v="7NNBRPQX5FD"/>
    <s v="7NNBRPQX5FD"/>
    <s v="Michelle"/>
    <s v="Som"/>
    <s v="Female"/>
    <s v="Invitee"/>
    <s v="Xuan Nguyen (TX)"/>
    <s v="B"/>
    <s v="Cathay Pacific"/>
    <x v="2"/>
    <d v="2025-09-23T00:00:00"/>
    <d v="1899-12-30T15:10:00"/>
    <s v="ICN-T1"/>
    <m/>
    <m/>
    <m/>
    <m/>
    <m/>
    <n v="63868417"/>
    <x v="1"/>
    <s v="Adult"/>
    <m/>
  </r>
  <r>
    <n v="49"/>
    <s v="KXNT8YZMQ62"/>
    <s v="7NNBRPQX5FD"/>
    <s v="Sary"/>
    <s v="Taing"/>
    <s v="Female"/>
    <s v="Guest"/>
    <s v="Xuan Nguyen (TX)"/>
    <s v="B"/>
    <s v="Cathay Pacific"/>
    <x v="2"/>
    <d v="2025-09-23T00:00:00"/>
    <d v="1899-12-30T15:10:00"/>
    <s v="ICN-T1"/>
    <m/>
    <m/>
    <m/>
    <m/>
    <m/>
    <n v="63868417"/>
    <x v="1"/>
    <s v="Adult"/>
    <m/>
  </r>
  <r>
    <n v="50"/>
    <s v="8YN8DXKN7RX"/>
    <s v="7NNBRPQX5FD"/>
    <s v="Soleak"/>
    <s v="Som"/>
    <s v="Female"/>
    <s v="Guest"/>
    <s v="Xuan Nguyen (TX)"/>
    <s v="B"/>
    <s v="Cathay Pacific"/>
    <x v="2"/>
    <d v="2025-09-23T00:00:00"/>
    <d v="1899-12-30T15:10:00"/>
    <s v="ICN-T1"/>
    <m/>
    <m/>
    <m/>
    <m/>
    <m/>
    <n v="49994599"/>
    <x v="1"/>
    <s v="Adult"/>
    <m/>
  </r>
  <r>
    <n v="51"/>
    <s v="DZN9WYD2XK8"/>
    <s v="TFNK23YJKQ5"/>
    <s v="Laurent"/>
    <s v="Lheritier"/>
    <s v="Male"/>
    <s v="Guest"/>
    <s v="Sunny Su"/>
    <s v="B"/>
    <s v="Cathay Pacific"/>
    <x v="2"/>
    <d v="2025-09-23T00:00:00"/>
    <d v="1899-12-30T15:10:00"/>
    <s v="ICN-T1"/>
    <m/>
    <m/>
    <m/>
    <m/>
    <m/>
    <n v="88217738"/>
    <x v="1"/>
    <s v="Adult"/>
    <m/>
  </r>
  <r>
    <n v="52"/>
    <s v="G5N2XLYHV2T"/>
    <s v="G5N2XLYHV2T"/>
    <s v="Emerlita Santiaguel"/>
    <s v="De Castro"/>
    <s v="Female"/>
    <s v="Invitee"/>
    <s v="Erich Colet"/>
    <s v="B"/>
    <s v="Cathay Pacific"/>
    <x v="0"/>
    <d v="2025-09-23T00:00:00"/>
    <d v="1899-12-30T10:10:00"/>
    <s v="ICN-T1"/>
    <m/>
    <m/>
    <m/>
    <m/>
    <m/>
    <n v="78780150"/>
    <x v="2"/>
    <s v="Adult"/>
    <m/>
  </r>
  <r>
    <n v="53"/>
    <s v="GSN6GNVDWSL"/>
    <s v="G5N2XLYHV2T"/>
    <s v="Katrina Liane"/>
    <s v="Saria"/>
    <s v="Female"/>
    <s v="Guest"/>
    <s v="Erich Colet"/>
    <s v="B"/>
    <s v="Cathay Pacific"/>
    <x v="0"/>
    <d v="2025-09-23T00:00:00"/>
    <d v="1899-12-30T10:10:00"/>
    <s v="ICN-T1"/>
    <m/>
    <m/>
    <m/>
    <m/>
    <m/>
    <n v="78780150"/>
    <x v="2"/>
    <s v="Adult"/>
    <m/>
  </r>
  <r>
    <n v="54"/>
    <s v="KXN5TYGGSYL"/>
    <s v="KXN5TYGGSYL"/>
    <s v="Emily"/>
    <s v="Mateo"/>
    <s v="Female"/>
    <s v="Invitee"/>
    <s v="Victor Salvador 2"/>
    <s v="B"/>
    <s v="Cathay Pacific"/>
    <x v="0"/>
    <d v="2025-09-23T00:00:00"/>
    <d v="1899-12-30T10:10:00"/>
    <s v="ICN-T1"/>
    <m/>
    <m/>
    <m/>
    <m/>
    <m/>
    <n v="78782400"/>
    <x v="2"/>
    <s v="Adult"/>
    <m/>
  </r>
  <r>
    <n v="55"/>
    <s v="VLNWL67NQ95"/>
    <s v="VLNWL67NQ95"/>
    <s v="Helen"/>
    <s v="Coffman"/>
    <s v="Female"/>
    <s v="Invitee"/>
    <s v="Victor Salvador 1"/>
    <s v="B"/>
    <s v="Cathay Pacific"/>
    <x v="0"/>
    <d v="2025-09-23T00:00:00"/>
    <d v="1899-12-30T10:10:00"/>
    <s v="ICN-T1"/>
    <m/>
    <m/>
    <m/>
    <m/>
    <m/>
    <n v="78782015"/>
    <x v="2"/>
    <s v="Adult"/>
    <m/>
  </r>
  <r>
    <n v="56"/>
    <s v="2BNKB9BJJJF"/>
    <s v="2BNKB9BJJJF"/>
    <s v="Taranjot"/>
    <s v="Bhari"/>
    <s v="Female"/>
    <s v="Invitee"/>
    <s v="Kevin Lee"/>
    <s v="B"/>
    <s v="Cathay Pacific"/>
    <x v="1"/>
    <d v="2025-09-23T00:00:00"/>
    <d v="1899-12-30T13:40:00"/>
    <s v="ICN-T1"/>
    <m/>
    <m/>
    <m/>
    <m/>
    <m/>
    <n v="15262654"/>
    <x v="3"/>
    <s v="Adult"/>
    <m/>
  </r>
  <r>
    <n v="57"/>
    <s v="3DNQF54SVQH"/>
    <s v="2BNKB9BJJJF"/>
    <s v="Prabhjot Gurkaram"/>
    <s v="Kaur"/>
    <s v="Female"/>
    <s v="Guest"/>
    <s v="Kevin Lee"/>
    <s v="B"/>
    <s v="Cathay Pacific"/>
    <x v="1"/>
    <d v="2025-09-23T00:00:00"/>
    <d v="1899-12-30T13:40:00"/>
    <s v="ICN-T1"/>
    <m/>
    <m/>
    <m/>
    <m/>
    <m/>
    <n v="15262654"/>
    <x v="3"/>
    <s v="Adult"/>
    <m/>
  </r>
  <r>
    <n v="58"/>
    <s v="R2NKMM9C6YD"/>
    <s v="2BNKB9BJJJF"/>
    <s v="Nicole Danielle"/>
    <s v="Bigelow"/>
    <s v="Female"/>
    <s v="Guest"/>
    <s v="Kevin Lee"/>
    <s v="B"/>
    <s v="Cathay Pacific"/>
    <x v="1"/>
    <d v="2025-09-23T00:00:00"/>
    <d v="1899-12-30T13:40:00"/>
    <s v="ICN-T1"/>
    <m/>
    <m/>
    <m/>
    <m/>
    <m/>
    <n v="15262655"/>
    <x v="3"/>
    <s v="Adult"/>
    <m/>
  </r>
  <r>
    <n v="59"/>
    <s v="MSN7BQQBVJ3"/>
    <s v="2BNKB9BJJJF"/>
    <s v="Sidhdeep Singh"/>
    <s v="Bhari"/>
    <s v="Male"/>
    <s v="Guest"/>
    <s v="Kevin Lee"/>
    <s v="B"/>
    <s v="Cathay Pacific"/>
    <x v="1"/>
    <d v="2025-09-23T00:00:00"/>
    <d v="1899-12-30T13:40:00"/>
    <s v="ICN-T1"/>
    <m/>
    <m/>
    <m/>
    <m/>
    <m/>
    <n v="15262655"/>
    <x v="3"/>
    <s v="Adult"/>
    <m/>
  </r>
  <r>
    <n v="60"/>
    <s v="5FN8MPVQYG7"/>
    <s v="5FN8MPVQYG7"/>
    <s v="Leslie Lena"/>
    <s v="Williams"/>
    <s v="Female"/>
    <s v="Invitee"/>
    <s v="Kevin Lee"/>
    <s v="B"/>
    <s v="Cathay Pacific"/>
    <x v="1"/>
    <d v="2025-09-23T00:00:00"/>
    <d v="1899-12-30T13:40:00"/>
    <s v="ICN-T1"/>
    <m/>
    <m/>
    <m/>
    <m/>
    <m/>
    <n v="15262657"/>
    <x v="3"/>
    <s v="Adult"/>
    <m/>
  </r>
  <r>
    <n v="61"/>
    <s v="95NLDDHZ36J"/>
    <s v="95NLDDHZ36J"/>
    <s v="Anthony"/>
    <s v="Roberts"/>
    <s v="Male"/>
    <s v="Invitee"/>
    <s v="Kevin Lee"/>
    <s v="B"/>
    <s v="Cathay Pacific"/>
    <x v="1"/>
    <d v="2025-09-23T00:00:00"/>
    <d v="1899-12-30T13:40:00"/>
    <s v="ICN-T1"/>
    <m/>
    <m/>
    <m/>
    <m/>
    <m/>
    <n v="15262656"/>
    <x v="3"/>
    <s v="Adult"/>
    <m/>
  </r>
  <r>
    <n v="62"/>
    <s v="K3NVYQBGT3M"/>
    <s v="95NLDDHZ36J"/>
    <s v="Markeesha"/>
    <s v="Rasheed"/>
    <s v="Female"/>
    <s v="Guest"/>
    <s v="Kevin Lee"/>
    <s v="B"/>
    <s v="Cathay Pacific"/>
    <x v="1"/>
    <d v="2025-09-23T00:00:00"/>
    <d v="1899-12-30T13:40:00"/>
    <s v="ICN-T1"/>
    <m/>
    <m/>
    <m/>
    <m/>
    <m/>
    <n v="15262656"/>
    <x v="3"/>
    <s v="Adult"/>
    <m/>
  </r>
  <r>
    <n v="63"/>
    <s v="GWNSM4GR2ZG"/>
    <s v="GWNSM4GR2ZG"/>
    <s v="En Lin"/>
    <s v="Chan"/>
    <s v="Female"/>
    <s v="Invitee"/>
    <s v="Tiffany Ke"/>
    <s v="B"/>
    <s v="Cathay Pacific"/>
    <x v="1"/>
    <d v="2025-09-23T00:00:00"/>
    <d v="1899-12-30T13:40:00"/>
    <s v="ICN-T1"/>
    <m/>
    <m/>
    <m/>
    <m/>
    <m/>
    <n v="15262723"/>
    <x v="3"/>
    <s v="Adult"/>
    <m/>
  </r>
  <r>
    <n v="64"/>
    <s v="VTNP3LTCQN2"/>
    <s v="VTNP3LTCQN2"/>
    <s v="Karamjeet"/>
    <s v="Kaur"/>
    <s v="Female"/>
    <s v="Invitee"/>
    <s v="Kevin Lee"/>
    <s v="B"/>
    <s v="Cathay Pacific"/>
    <x v="1"/>
    <d v="2025-09-23T00:00:00"/>
    <d v="1899-12-30T13:40:00"/>
    <s v="ICN-T1"/>
    <m/>
    <m/>
    <m/>
    <m/>
    <m/>
    <n v="15262653"/>
    <x v="3"/>
    <s v="Adult"/>
    <m/>
  </r>
  <r>
    <n v="65"/>
    <s v="WJNZ6XNYPB9"/>
    <s v="VTNP3LTCQN2"/>
    <s v="Tarlochan"/>
    <s v="Singh"/>
    <s v="Male"/>
    <s v="Guest"/>
    <s v="Kevin Lee"/>
    <s v="B"/>
    <s v="Cathay Pacific"/>
    <x v="1"/>
    <d v="2025-09-23T00:00:00"/>
    <d v="1899-12-30T13:40:00"/>
    <s v="ICN-T1"/>
    <m/>
    <m/>
    <m/>
    <m/>
    <m/>
    <n v="15262653"/>
    <x v="3"/>
    <s v="Adult"/>
    <m/>
  </r>
  <r>
    <n v="66"/>
    <s v="XYN7CLG5MD8"/>
    <s v="XYN7CLG5MD8"/>
    <s v="Maria Elena"/>
    <s v="Torres Cabrera"/>
    <s v="Female"/>
    <s v="Invitee"/>
    <s v="Kevin Lee"/>
    <s v="B"/>
    <s v="Cathay Pacific"/>
    <x v="1"/>
    <d v="2025-09-23T00:00:00"/>
    <d v="1899-12-30T13:40:00"/>
    <s v="ICN-T1"/>
    <m/>
    <m/>
    <m/>
    <m/>
    <m/>
    <n v="15262658"/>
    <x v="3"/>
    <s v="Adult"/>
    <m/>
  </r>
  <r>
    <n v="67"/>
    <s v="5MNBNV9RKRD"/>
    <s v="XYN7CLG5MD8"/>
    <s v="Jayden"/>
    <s v="Torres"/>
    <s v="Male"/>
    <s v="Guest"/>
    <s v="Kevin Lee"/>
    <s v="B"/>
    <s v="Cathay Pacific"/>
    <x v="1"/>
    <d v="2025-09-23T00:00:00"/>
    <d v="1899-12-30T13:40:00"/>
    <s v="ICN-T1"/>
    <m/>
    <m/>
    <m/>
    <m/>
    <m/>
    <n v="15262658"/>
    <x v="3"/>
    <s v="Adult"/>
    <m/>
  </r>
  <r>
    <n v="68"/>
    <s v="3BNMHNBP725"/>
    <s v="XYN7CLG5MD8"/>
    <s v="Maria Guadalupe"/>
    <s v="Perez"/>
    <s v="Female"/>
    <s v="Guest"/>
    <s v="Kevin Lee"/>
    <s v="B"/>
    <s v="Cathay Pacific"/>
    <x v="1"/>
    <d v="2025-09-23T00:00:00"/>
    <d v="1899-12-30T13:40:00"/>
    <s v="ICN-T1"/>
    <m/>
    <m/>
    <m/>
    <m/>
    <m/>
    <n v="15262659"/>
    <x v="3"/>
    <s v="Adult"/>
    <m/>
  </r>
  <r>
    <n v="69"/>
    <s v="7BNHC59PHCD"/>
    <s v="XYN7CLG5MD8"/>
    <s v="Lexi"/>
    <s v="Garcia Torres"/>
    <s v="Female"/>
    <s v="Guest"/>
    <s v="Kevin Lee"/>
    <s v="B"/>
    <s v="Cathay Pacific"/>
    <x v="1"/>
    <d v="2025-09-23T00:00:00"/>
    <d v="1899-12-30T13:40:00"/>
    <s v="ICN-T1"/>
    <m/>
    <m/>
    <m/>
    <m/>
    <m/>
    <n v="15262659"/>
    <x v="3"/>
    <s v="Adult"/>
    <m/>
  </r>
  <r>
    <n v="70"/>
    <s v="93NNLPWKZF6"/>
    <s v="DNNN22S3MCL"/>
    <s v="Feng Jiao"/>
    <s v="Lin"/>
    <s v="Female"/>
    <s v="Guest"/>
    <s v="Chloe Xu"/>
    <s v="B"/>
    <s v="Cathay Pacific"/>
    <x v="3"/>
    <d v="2025-09-23T00:00:00"/>
    <d v="1899-12-30T20:05:00"/>
    <s v="ICN-T1"/>
    <m/>
    <m/>
    <m/>
    <m/>
    <m/>
    <n v="15262618"/>
    <x v="3"/>
    <s v="Adult"/>
    <m/>
  </r>
  <r>
    <n v="71"/>
    <s v="NVNDGFQL98G"/>
    <s v="VLNXVYL2DKH"/>
    <s v="Li Jiao"/>
    <s v="Ni"/>
    <s v="Female"/>
    <s v="Guest"/>
    <s v="Chloe Xu"/>
    <s v="B"/>
    <s v="Cathay Pacific"/>
    <x v="3"/>
    <d v="2025-09-23T00:00:00"/>
    <d v="1899-12-30T20:05:00"/>
    <s v="ICN-T1"/>
    <m/>
    <m/>
    <m/>
    <m/>
    <m/>
    <n v="15262611"/>
    <x v="3"/>
    <s v="Adult"/>
    <m/>
  </r>
  <r>
    <n v="72"/>
    <s v="4BNL4RTWK2Z"/>
    <s v="C7NNF5P48N4"/>
    <s v="Jun Cheng"/>
    <s v="Zhao"/>
    <s v="Male"/>
    <s v="Guest"/>
    <s v="James Zhang"/>
    <s v="B"/>
    <s v="HK Express"/>
    <x v="4"/>
    <d v="2025-09-23T00:00:00"/>
    <d v="1899-12-30T22:30:00"/>
    <s v="ICN-T1"/>
    <m/>
    <m/>
    <m/>
    <m/>
    <m/>
    <n v="15262628"/>
    <x v="3"/>
    <s v="Adult"/>
    <m/>
  </r>
  <r>
    <n v="73"/>
    <s v="Q5NTHRJTKMN"/>
    <s v="Q5NTHRJTKMN"/>
    <s v="Victor"/>
    <s v="Kyi"/>
    <s v="Male"/>
    <s v="Invitee"/>
    <s v="Zhong Shi"/>
    <s v="B"/>
    <s v="HK Express"/>
    <x v="5"/>
    <d v="2025-09-23T00:00:00"/>
    <d v="1899-12-30T12:45:00"/>
    <s v="ICN-T1"/>
    <m/>
    <m/>
    <m/>
    <m/>
    <m/>
    <n v="79764969"/>
    <x v="4"/>
    <s v="Adult"/>
    <m/>
  </r>
  <r>
    <n v="74"/>
    <s v="74NQCYNSGKX"/>
    <s v="Q5NTHRJTKMN"/>
    <s v="Cecily"/>
    <s v="Kyi"/>
    <s v="Female"/>
    <s v="Guest"/>
    <s v="Zhong Shi"/>
    <s v="B"/>
    <s v="HK Express"/>
    <x v="5"/>
    <d v="2025-09-23T00:00:00"/>
    <d v="1899-12-30T12:45:00"/>
    <s v="ICN-T1"/>
    <m/>
    <m/>
    <m/>
    <m/>
    <m/>
    <n v="79764969"/>
    <x v="4"/>
    <s v="Adult"/>
    <m/>
  </r>
  <r>
    <n v="75"/>
    <s v="4GNV4TM97FM"/>
    <s v="4GNV4TM97FM"/>
    <s v="Xinquan"/>
    <s v="Gao"/>
    <s v="Male"/>
    <s v="Invitee"/>
    <s v="Shirley Cheng"/>
    <s v="B"/>
    <s v="Cathay Pacific"/>
    <x v="1"/>
    <d v="2025-09-23T00:00:00"/>
    <d v="1899-12-30T13:40:00"/>
    <s v="ICN-T1"/>
    <m/>
    <m/>
    <m/>
    <m/>
    <m/>
    <n v="79754340"/>
    <x v="4"/>
    <s v="Adult"/>
    <m/>
  </r>
  <r>
    <n v="76"/>
    <s v="5VNHBZSNRHM"/>
    <s v="4GNV4TM97FM"/>
    <s v="Zhuo Jin"/>
    <s v="Zhang"/>
    <s v="Female"/>
    <s v="Guest"/>
    <s v="Shirley Cheng"/>
    <s v="B"/>
    <s v="Cathay Pacific"/>
    <x v="1"/>
    <d v="2025-09-23T00:00:00"/>
    <d v="1899-12-30T13:40:00"/>
    <s v="ICN-T1"/>
    <m/>
    <m/>
    <m/>
    <m/>
    <m/>
    <n v="79754340"/>
    <x v="4"/>
    <s v="Adult"/>
    <m/>
  </r>
  <r>
    <n v="77"/>
    <s v="MGN5N4VJTKT"/>
    <s v="MGN5N4VJTKT"/>
    <s v="Yun Mei"/>
    <s v="Shi"/>
    <s v="Female"/>
    <s v="Invitee"/>
    <s v="Shirley Cheng"/>
    <s v="B"/>
    <s v="Cathay Pacific"/>
    <x v="1"/>
    <d v="2025-09-23T00:00:00"/>
    <d v="1899-12-30T13:40:00"/>
    <s v="ICN-T1"/>
    <m/>
    <m/>
    <m/>
    <m/>
    <m/>
    <n v="79754729"/>
    <x v="4"/>
    <s v="Adult"/>
    <m/>
  </r>
  <r>
    <n v="78"/>
    <s v="W5NKZYG3HZ5"/>
    <s v="MGN5N4VJTKT"/>
    <s v="Jin Yun"/>
    <s v="Gao"/>
    <s v="Female"/>
    <s v="Guest"/>
    <s v="Shirley Cheng"/>
    <s v="B"/>
    <s v="Cathay Pacific"/>
    <x v="1"/>
    <d v="2025-09-23T00:00:00"/>
    <d v="1899-12-30T13:40:00"/>
    <s v="ICN-T1"/>
    <m/>
    <m/>
    <m/>
    <m/>
    <m/>
    <n v="79754729"/>
    <x v="4"/>
    <s v="Adult"/>
    <m/>
  </r>
  <r>
    <n v="79"/>
    <s v="RHNGBSGTX86"/>
    <s v="RHNGBSGTX86"/>
    <s v="Allison Fawn"/>
    <s v="Lee"/>
    <s v="Female"/>
    <s v="Invitee"/>
    <s v="Zhong Shi"/>
    <s v="B"/>
    <s v="Cathay Pacific"/>
    <x v="1"/>
    <d v="2025-09-23T00:00:00"/>
    <d v="1899-12-30T13:40:00"/>
    <s v="ICN-T1"/>
    <m/>
    <m/>
    <m/>
    <m/>
    <m/>
    <n v="79765264"/>
    <x v="4"/>
    <s v="Adult"/>
    <m/>
  </r>
  <r>
    <n v="80"/>
    <s v="L6NJ9KG2BC4"/>
    <s v="RHNGBSGTX86"/>
    <s v="Fah Sean"/>
    <s v="Leong"/>
    <s v="Male"/>
    <s v="Guest"/>
    <s v="Zhong Shi"/>
    <s v="B"/>
    <s v="Cathay Pacific"/>
    <x v="1"/>
    <d v="2025-09-23T00:00:00"/>
    <d v="1899-12-30T13:40:00"/>
    <s v="ICN-T1"/>
    <m/>
    <m/>
    <m/>
    <m/>
    <m/>
    <n v="79765264"/>
    <x v="4"/>
    <s v="Adult"/>
    <m/>
  </r>
  <r>
    <n v="81"/>
    <s v="W5NT3BF5N3P"/>
    <s v="W5NT3BF5N3P"/>
    <s v="Amy Kar Wing"/>
    <s v="Koo"/>
    <s v="Female"/>
    <s v="Invitee"/>
    <s v="Zhong Shi"/>
    <s v="B"/>
    <s v="Cathay Pacific"/>
    <x v="1"/>
    <d v="2025-09-23T00:00:00"/>
    <d v="1899-12-30T13:40:00"/>
    <s v="ICN-T1"/>
    <m/>
    <m/>
    <m/>
    <m/>
    <m/>
    <n v="79768260"/>
    <x v="4"/>
    <s v="Adult"/>
    <m/>
  </r>
  <r>
    <n v="82"/>
    <s v="ZGN5V6BLXPJ"/>
    <s v="ZGN5V6BLXPJ"/>
    <s v="Lian Jiao"/>
    <s v="Gao"/>
    <s v="Female"/>
    <s v="Invitee"/>
    <s v="Shirley Cheng"/>
    <s v="B"/>
    <s v="Cathay Pacific"/>
    <x v="1"/>
    <d v="2025-09-23T00:00:00"/>
    <d v="1899-12-30T13:40:00"/>
    <s v="ICN-T1"/>
    <m/>
    <m/>
    <m/>
    <m/>
    <m/>
    <n v="79754071"/>
    <x v="4"/>
    <s v="Adult"/>
    <m/>
  </r>
  <r>
    <n v="83"/>
    <s v="T7NDLN54KN6"/>
    <s v="ZGN5V6BLXPJ"/>
    <s v="Guo Phan"/>
    <s v="Chen"/>
    <s v="Male"/>
    <s v="Guest"/>
    <s v="Shirley Cheng"/>
    <s v="B"/>
    <s v="Cathay Pacific"/>
    <x v="1"/>
    <d v="2025-09-23T00:00:00"/>
    <d v="1899-12-30T13:40:00"/>
    <s v="ICN-T1"/>
    <m/>
    <m/>
    <m/>
    <m/>
    <m/>
    <n v="79754071"/>
    <x v="4"/>
    <s v="Adult"/>
    <m/>
  </r>
  <r>
    <n v="84"/>
    <s v="4FNPG5DQTC5"/>
    <s v="4FNPG5DQTC5"/>
    <s v="Lily"/>
    <s v="Lau"/>
    <s v="Female"/>
    <s v="Invitee"/>
    <s v="Shirley Cheng"/>
    <s v="B"/>
    <s v="Cathay Pacific"/>
    <x v="2"/>
    <d v="2025-09-23T00:00:00"/>
    <d v="1899-12-30T15:10:00"/>
    <s v="ICN-T1"/>
    <m/>
    <m/>
    <m/>
    <m/>
    <m/>
    <n v="79755986"/>
    <x v="4"/>
    <s v="Adult"/>
    <m/>
  </r>
  <r>
    <n v="85"/>
    <s v="KNNNHR5GDS3"/>
    <s v="4FNPG5DQTC5"/>
    <s v="Janet"/>
    <s v="Mei"/>
    <s v="Female"/>
    <s v="Guest"/>
    <s v="Shirley Cheng"/>
    <s v="B"/>
    <s v="Cathay Pacific"/>
    <x v="2"/>
    <d v="2025-09-23T00:00:00"/>
    <d v="1899-12-30T15:10:00"/>
    <s v="ICN-T1"/>
    <m/>
    <m/>
    <m/>
    <m/>
    <m/>
    <n v="79755986"/>
    <x v="4"/>
    <s v="Adult"/>
    <m/>
  </r>
  <r>
    <n v="86"/>
    <s v="28NTVH2Y3VJ"/>
    <s v="GBNG7BJFD9D"/>
    <s v="Shun Kam"/>
    <s v="Lam"/>
    <s v="Female"/>
    <s v="Guest"/>
    <s v="Shirley Cheng"/>
    <s v="B"/>
    <s v="Cathay Pacific"/>
    <x v="2"/>
    <d v="2025-09-23T00:00:00"/>
    <d v="1899-12-30T15:10:00"/>
    <s v="ICN-T1"/>
    <m/>
    <m/>
    <m/>
    <m/>
    <m/>
    <n v="79755059"/>
    <x v="4"/>
    <s v="Adult"/>
    <m/>
  </r>
  <r>
    <n v="87"/>
    <s v="MZNMZXBDJNJ"/>
    <s v="MZNMZXBDJNJ"/>
    <s v="Hellen Wei"/>
    <s v="Chen"/>
    <s v="Female"/>
    <s v="Invitee"/>
    <s v="Shirley Cheng"/>
    <s v="B"/>
    <s v="Cathay Pacific"/>
    <x v="2"/>
    <d v="2025-09-23T00:00:00"/>
    <d v="1899-12-30T15:10:00"/>
    <s v="ICN-T1"/>
    <m/>
    <m/>
    <m/>
    <m/>
    <m/>
    <n v="79756284"/>
    <x v="4"/>
    <s v="Adult"/>
    <m/>
  </r>
  <r>
    <n v="88"/>
    <s v="CWNKJZKJ9JQ"/>
    <s v="MZNMZXBDJNJ"/>
    <s v="Lilianna Shirley"/>
    <s v="Cheng"/>
    <s v="Female"/>
    <s v="Guest"/>
    <s v="Shirley Cheng"/>
    <s v="B"/>
    <s v="Cathay Pacific"/>
    <x v="2"/>
    <d v="2025-09-23T00:00:00"/>
    <d v="1899-12-30T15:10:00"/>
    <s v="ICN-T1"/>
    <m/>
    <m/>
    <m/>
    <m/>
    <m/>
    <n v="79756284"/>
    <x v="4"/>
    <s v="Adult"/>
    <m/>
  </r>
  <r>
    <n v="89"/>
    <s v="ZZN73Y24WCN"/>
    <s v="ZZN73Y24WCN"/>
    <s v="Shirley Si"/>
    <s v="Cheng"/>
    <s v="Female"/>
    <s v="Invitee"/>
    <s v="Shirley Cheng"/>
    <s v="B"/>
    <s v="Cathay Pacific"/>
    <x v="2"/>
    <d v="2025-09-23T00:00:00"/>
    <d v="1899-12-30T15:10:00"/>
    <s v="ICN-T1"/>
    <m/>
    <m/>
    <m/>
    <m/>
    <m/>
    <n v="79756729"/>
    <x v="4"/>
    <s v="Adult"/>
    <m/>
  </r>
  <r>
    <n v="90"/>
    <s v="5RNP9TJMJTK"/>
    <s v="ZZN73Y24WCN"/>
    <s v="David Chung"/>
    <s v="Cheng"/>
    <s v="Male"/>
    <s v="Guest"/>
    <s v="Shirley Cheng"/>
    <s v="B"/>
    <s v="Cathay Pacific"/>
    <x v="2"/>
    <d v="2025-09-23T00:00:00"/>
    <d v="1899-12-30T15:10:00"/>
    <s v="ICN-T1"/>
    <m/>
    <m/>
    <m/>
    <m/>
    <m/>
    <n v="79756729"/>
    <x v="4"/>
    <s v="Adult"/>
    <m/>
  </r>
  <r>
    <n v="91"/>
    <s v="76N9SSZXT3H"/>
    <s v="ZZN73Y24WCN"/>
    <s v="Dylan David"/>
    <s v="Cheng"/>
    <s v="Male"/>
    <s v="Guest"/>
    <s v="Shirley Cheng"/>
    <s v="B"/>
    <s v="Cathay Pacific"/>
    <x v="2"/>
    <d v="2025-09-23T00:00:00"/>
    <d v="1899-12-30T15:10:00"/>
    <s v="ICN-T1"/>
    <m/>
    <m/>
    <m/>
    <m/>
    <m/>
    <n v="79756729"/>
    <x v="4"/>
    <s v="Child"/>
    <m/>
  </r>
  <r>
    <n v="92"/>
    <s v="XMNDW4KN3FM"/>
    <s v="ZZN73Y24WCN"/>
    <s v="Gui Zhen"/>
    <s v="Gong"/>
    <s v="Female"/>
    <s v="Guest"/>
    <s v="Shirley Cheng"/>
    <s v="B"/>
    <s v="Cathay Pacific"/>
    <x v="2"/>
    <d v="2025-09-23T00:00:00"/>
    <d v="1899-12-30T15:10:00"/>
    <s v="ICN-T1"/>
    <m/>
    <m/>
    <m/>
    <m/>
    <m/>
    <n v="93625207"/>
    <x v="4"/>
    <s v="Adult"/>
    <m/>
  </r>
  <r>
    <n v="93"/>
    <s v="XXN958DHPGL"/>
    <s v="ZZN73Y24WCN"/>
    <s v="Tianqi"/>
    <s v="Chen"/>
    <s v="Male"/>
    <s v="Guest"/>
    <s v="Shirley Cheng"/>
    <s v="B"/>
    <s v="Cathay Pacific"/>
    <x v="2"/>
    <d v="2025-09-23T00:00:00"/>
    <d v="1899-12-30T15:10:00"/>
    <s v="ICN-T1"/>
    <m/>
    <m/>
    <m/>
    <m/>
    <m/>
    <n v="93625207"/>
    <x v="4"/>
    <s v="Adult"/>
    <m/>
  </r>
  <r>
    <n v="94"/>
    <s v="7MND7D794WQ"/>
    <s v="ZZN73Y24WCN"/>
    <s v="Justen David"/>
    <s v="Cheng"/>
    <s v="Male"/>
    <s v="Guest"/>
    <s v="Shirley Cheng"/>
    <s v="B"/>
    <s v="Cathay Pacific"/>
    <x v="2"/>
    <d v="2025-09-23T00:00:00"/>
    <d v="1899-12-30T15:10:00"/>
    <s v="ICN-T1"/>
    <m/>
    <m/>
    <m/>
    <m/>
    <m/>
    <n v="93625207"/>
    <x v="4"/>
    <s v="Chil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8C5EF-49CD-2343-B192-29FDCF0B1961}" name="PivotTable1" cacheId="1" applyNumberFormats="0" applyBorderFormats="0" applyFontFormats="0" applyPatternFormats="0" applyAlignmentFormats="0" applyWidthHeightFormats="1" dataCaption="Values" grandTotalCaption="Total pax" updatedVersion="8" minRefreshableVersion="3" useAutoFormatting="1" itemPrintTitles="1" createdVersion="8" indent="0" outline="1" outlineData="1" multipleFieldFilters="0" rowHeaderCaption="HOTELS" colHeaderCaption=".">
  <location ref="B2:I9" firstHeaderRow="1" firstDataRow="2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2"/>
        <item x="0"/>
        <item x="3"/>
        <item x="1"/>
        <item x="4"/>
        <item x="5"/>
        <item t="default"/>
      </items>
    </pivotField>
    <pivotField numFmtId="15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ax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FF956-4030-6E4E-8E09-F4691CF3A2EE}" name="Table1" displayName="Table1" ref="B2:X96" totalsRowShown="0" headerRowDxfId="3">
  <autoFilter ref="B2:X96" xr:uid="{4F6FF956-4030-6E4E-8E09-F4691CF3A2EE}">
    <filterColumn colId="20">
      <filters>
        <filter val="LOTTE"/>
      </filters>
    </filterColumn>
  </autoFilter>
  <sortState xmlns:xlrd2="http://schemas.microsoft.com/office/spreadsheetml/2017/richdata2" ref="B3:X96">
    <sortCondition ref="V3:V96"/>
    <sortCondition ref="N3:N96"/>
    <sortCondition ref="L3:L96"/>
    <sortCondition ref="D3:D96"/>
  </sortState>
  <tableColumns count="23">
    <tableColumn id="19" xr3:uid="{A08BF238-89A0-AC49-BDBC-953900922066}" name="No." dataDxfId="2">
      <calculatedColumnFormula>ROW()-2</calculatedColumnFormula>
    </tableColumn>
    <tableColumn id="1" xr3:uid="{DD628206-2CA6-C547-821D-22F8B3BEBAD3}" name="Confirmation"/>
    <tableColumn id="2" xr3:uid="{6C068E3D-036B-B447-A0CD-AE9BF81A6D94}" name="Primary registrant"/>
    <tableColumn id="3" xr3:uid="{97DC3547-1F6B-7144-AFEE-6791A37F03A8}" name="First Name"/>
    <tableColumn id="4" xr3:uid="{026BADF9-8AFF-6C46-A7BF-A884C5753EAE}" name="Last Name"/>
    <tableColumn id="5" xr3:uid="{8222AC24-80F6-0346-B262-01F4FB8D40F0}" name="Gender"/>
    <tableColumn id="6" xr3:uid="{0B3B6CE6-587A-2448-B855-E4D9A350DE8F}" name="Invitee"/>
    <tableColumn id="7" xr3:uid="{0910D5BA-0873-9F49-8CF8-C9D767F30A8B}" name="CEO"/>
    <tableColumn id="8" xr3:uid="{6AC125B5-4928-2C4C-9FF7-5F4C78979B5D}" name="Group"/>
    <tableColumn id="9" xr3:uid="{780DE6D0-467D-2A44-97CB-B17943B3A3A9}" name="D. Airline"/>
    <tableColumn id="10" xr3:uid="{2C8292A5-A2EF-FB4A-8099-A1B7C5B32EF4}" name="D. Flt"/>
    <tableColumn id="11" xr3:uid="{DF76893C-C75B-3544-A406-521F4CF289C8}" name="D. Date" dataDxfId="1"/>
    <tableColumn id="12" xr3:uid="{8AB12B44-2DA7-E243-AC3D-5CE9DE52119C}" name="D. Time" dataDxfId="0"/>
    <tableColumn id="13" xr3:uid="{FDA2665D-45DB-214B-9043-76CBCFB63F49}" name="D. Airport"/>
    <tableColumn id="22" xr3:uid="{00763688-3C99-C341-8D37-31AE4C62EB42}" name="NEW D. Airline"/>
    <tableColumn id="23" xr3:uid="{E5E5DB88-680F-C440-B2FD-7E20B1C2E23F}" name="NEW D. Flight"/>
    <tableColumn id="21" xr3:uid="{877444D4-52CA-314C-8945-B3A98F0E675C}" name="NEW D. Time"/>
    <tableColumn id="24" xr3:uid="{D341B38C-24D7-8D44-AB32-C4E31B8E9FF1}" name="NEW D. Airport"/>
    <tableColumn id="20" xr3:uid="{162A479F-D697-F14D-8C78-E853E16A6796}" name="Notes"/>
    <tableColumn id="14" xr3:uid="{E7A93D11-4461-FE40-85BA-1C71C6A18374}" name="HOTEL CODE"/>
    <tableColumn id="15" xr3:uid="{CA979298-C2F0-C141-9453-B1C511E9043A}" name="HOTEL"/>
    <tableColumn id="16" xr3:uid="{270AF743-F127-3743-9F31-EB2E9FD9E7CD}" name="Pax Type"/>
    <tableColumn id="18" xr3:uid="{64BB59EE-8D49-D54C-AAB9-110536567782}" name="Changed Flight (ONSITE)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DF16-EA0B-FE4A-B10F-50EFD1572E89}">
  <dimension ref="B1:X96"/>
  <sheetViews>
    <sheetView tabSelected="1" zoomScale="160" zoomScaleNormal="160" workbookViewId="0">
      <pane xSplit="3" ySplit="2" topLeftCell="F58" activePane="bottomRight" state="frozen"/>
      <selection pane="topRight" activeCell="D1" sqref="D1"/>
      <selection pane="bottomLeft" activeCell="A3" sqref="A3"/>
      <selection pane="bottomRight" activeCell="H66" sqref="H66"/>
    </sheetView>
  </sheetViews>
  <sheetFormatPr baseColWidth="10" defaultRowHeight="16"/>
  <cols>
    <col min="2" max="2" width="6.6640625" bestFit="1" customWidth="1"/>
    <col min="3" max="3" width="19.33203125" customWidth="1"/>
    <col min="4" max="4" width="13" customWidth="1"/>
    <col min="5" max="5" width="31" customWidth="1"/>
    <col min="10" max="10" width="11.83203125" customWidth="1"/>
    <col min="11" max="11" width="18.1640625" bestFit="1" customWidth="1"/>
    <col min="12" max="12" width="12.5" customWidth="1"/>
    <col min="14" max="14" width="12.5" customWidth="1"/>
    <col min="15" max="15" width="9.6640625" customWidth="1"/>
    <col min="16" max="16" width="19.83203125" bestFit="1" customWidth="1"/>
    <col min="17" max="17" width="19" bestFit="1" customWidth="1"/>
    <col min="18" max="18" width="18.33203125" bestFit="1" customWidth="1"/>
    <col min="19" max="19" width="20.5" bestFit="1" customWidth="1"/>
    <col min="20" max="20" width="11" bestFit="1" customWidth="1"/>
    <col min="21" max="21" width="11.5" customWidth="1"/>
    <col min="22" max="22" width="15.6640625" bestFit="1" customWidth="1"/>
    <col min="23" max="23" width="11" customWidth="1"/>
    <col min="24" max="24" width="12" customWidth="1"/>
  </cols>
  <sheetData>
    <row r="1" spans="2:24">
      <c r="C1">
        <f>SUBTOTAL(3,Table1[Confirmation])</f>
        <v>17</v>
      </c>
    </row>
    <row r="2" spans="2:24" ht="51">
      <c r="B2" s="6" t="s">
        <v>308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7" t="s">
        <v>10</v>
      </c>
      <c r="N2" s="6" t="s">
        <v>11</v>
      </c>
      <c r="O2" s="6" t="s">
        <v>12</v>
      </c>
      <c r="P2" s="10" t="s">
        <v>310</v>
      </c>
      <c r="Q2" s="10" t="s">
        <v>311</v>
      </c>
      <c r="R2" s="10" t="s">
        <v>312</v>
      </c>
      <c r="S2" s="10" t="s">
        <v>315</v>
      </c>
      <c r="T2" s="10" t="s">
        <v>313</v>
      </c>
      <c r="U2" s="9" t="s">
        <v>314</v>
      </c>
      <c r="V2" s="6" t="s">
        <v>13</v>
      </c>
      <c r="W2" s="6" t="s">
        <v>14</v>
      </c>
      <c r="X2" s="8" t="s">
        <v>16</v>
      </c>
    </row>
    <row r="3" spans="2:24" hidden="1">
      <c r="B3">
        <f t="shared" ref="B3:B34" si="0">ROW()-2</f>
        <v>1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5</v>
      </c>
      <c r="I3" t="s">
        <v>21</v>
      </c>
      <c r="J3" t="s">
        <v>22</v>
      </c>
      <c r="K3" t="s">
        <v>23</v>
      </c>
      <c r="L3" t="s">
        <v>25</v>
      </c>
      <c r="M3" s="1">
        <v>45923</v>
      </c>
      <c r="N3" s="2">
        <v>0.42361111110949423</v>
      </c>
      <c r="O3" t="s">
        <v>24</v>
      </c>
      <c r="U3">
        <v>462716344</v>
      </c>
      <c r="V3" t="s">
        <v>26</v>
      </c>
      <c r="W3" t="s">
        <v>27</v>
      </c>
      <c r="X3" s="3"/>
    </row>
    <row r="4" spans="2:24" hidden="1">
      <c r="B4">
        <f t="shared" si="0"/>
        <v>2</v>
      </c>
      <c r="C4" t="s">
        <v>28</v>
      </c>
      <c r="D4" t="s">
        <v>17</v>
      </c>
      <c r="E4" t="s">
        <v>29</v>
      </c>
      <c r="F4" t="s">
        <v>30</v>
      </c>
      <c r="G4" t="s">
        <v>20</v>
      </c>
      <c r="H4" t="s">
        <v>31</v>
      </c>
      <c r="I4" t="s">
        <v>21</v>
      </c>
      <c r="J4" t="s">
        <v>22</v>
      </c>
      <c r="K4" t="s">
        <v>23</v>
      </c>
      <c r="L4" t="s">
        <v>25</v>
      </c>
      <c r="M4" s="1">
        <v>45923</v>
      </c>
      <c r="N4" s="2">
        <v>0.42361111110949423</v>
      </c>
      <c r="O4" t="s">
        <v>24</v>
      </c>
      <c r="U4">
        <v>462716344</v>
      </c>
      <c r="V4" t="s">
        <v>26</v>
      </c>
      <c r="W4" t="s">
        <v>27</v>
      </c>
      <c r="X4" s="3"/>
    </row>
    <row r="5" spans="2:24" hidden="1">
      <c r="B5">
        <f t="shared" si="0"/>
        <v>3</v>
      </c>
      <c r="C5" t="s">
        <v>142</v>
      </c>
      <c r="D5" t="s">
        <v>142</v>
      </c>
      <c r="E5" t="s">
        <v>143</v>
      </c>
      <c r="F5" t="s">
        <v>144</v>
      </c>
      <c r="G5" t="s">
        <v>20</v>
      </c>
      <c r="H5" t="s">
        <v>5</v>
      </c>
      <c r="I5" t="s">
        <v>139</v>
      </c>
      <c r="J5" t="s">
        <v>22</v>
      </c>
      <c r="K5" t="s">
        <v>23</v>
      </c>
      <c r="L5" t="s">
        <v>44</v>
      </c>
      <c r="M5" s="1">
        <v>45923</v>
      </c>
      <c r="N5" s="2">
        <v>0.56944444444525288</v>
      </c>
      <c r="O5" t="s">
        <v>24</v>
      </c>
      <c r="U5">
        <v>462716424</v>
      </c>
      <c r="V5" t="s">
        <v>26</v>
      </c>
      <c r="W5" t="s">
        <v>27</v>
      </c>
      <c r="X5" s="3"/>
    </row>
    <row r="6" spans="2:24" hidden="1">
      <c r="B6">
        <f t="shared" si="0"/>
        <v>4</v>
      </c>
      <c r="C6" t="s">
        <v>145</v>
      </c>
      <c r="D6" t="s">
        <v>142</v>
      </c>
      <c r="E6" t="s">
        <v>146</v>
      </c>
      <c r="F6" t="s">
        <v>144</v>
      </c>
      <c r="G6" t="s">
        <v>40</v>
      </c>
      <c r="H6" t="s">
        <v>31</v>
      </c>
      <c r="I6" t="s">
        <v>139</v>
      </c>
      <c r="J6" t="s">
        <v>22</v>
      </c>
      <c r="K6" t="s">
        <v>23</v>
      </c>
      <c r="L6" t="s">
        <v>44</v>
      </c>
      <c r="M6" s="1">
        <v>45923</v>
      </c>
      <c r="N6" s="2">
        <v>0.56944444444525288</v>
      </c>
      <c r="O6" t="s">
        <v>24</v>
      </c>
      <c r="U6">
        <v>462716424</v>
      </c>
      <c r="V6" t="s">
        <v>26</v>
      </c>
      <c r="W6" t="s">
        <v>27</v>
      </c>
      <c r="X6" s="3"/>
    </row>
    <row r="7" spans="2:24" hidden="1">
      <c r="B7">
        <f t="shared" si="0"/>
        <v>5</v>
      </c>
      <c r="C7" t="s">
        <v>136</v>
      </c>
      <c r="D7" t="s">
        <v>136</v>
      </c>
      <c r="E7" t="s">
        <v>137</v>
      </c>
      <c r="F7" t="s">
        <v>138</v>
      </c>
      <c r="G7" t="s">
        <v>40</v>
      </c>
      <c r="H7" t="s">
        <v>5</v>
      </c>
      <c r="I7" t="s">
        <v>139</v>
      </c>
      <c r="J7" t="s">
        <v>22</v>
      </c>
      <c r="K7" t="s">
        <v>23</v>
      </c>
      <c r="L7" t="s">
        <v>44</v>
      </c>
      <c r="M7" s="1">
        <v>45923</v>
      </c>
      <c r="N7" s="2">
        <v>0.56944444444525288</v>
      </c>
      <c r="O7" t="s">
        <v>24</v>
      </c>
      <c r="U7">
        <v>462716419</v>
      </c>
      <c r="V7" t="s">
        <v>26</v>
      </c>
      <c r="W7" t="s">
        <v>27</v>
      </c>
      <c r="X7" s="3"/>
    </row>
    <row r="8" spans="2:24" hidden="1">
      <c r="B8">
        <f t="shared" si="0"/>
        <v>6</v>
      </c>
      <c r="C8" t="s">
        <v>140</v>
      </c>
      <c r="D8" t="s">
        <v>136</v>
      </c>
      <c r="E8" t="s">
        <v>141</v>
      </c>
      <c r="F8" t="s">
        <v>138</v>
      </c>
      <c r="G8" t="s">
        <v>40</v>
      </c>
      <c r="H8" t="s">
        <v>31</v>
      </c>
      <c r="I8" t="s">
        <v>139</v>
      </c>
      <c r="J8" t="s">
        <v>22</v>
      </c>
      <c r="K8" t="s">
        <v>23</v>
      </c>
      <c r="L8" t="s">
        <v>44</v>
      </c>
      <c r="M8" s="1">
        <v>45923</v>
      </c>
      <c r="N8" s="2">
        <v>0.56944444444525288</v>
      </c>
      <c r="O8" t="s">
        <v>24</v>
      </c>
      <c r="U8">
        <v>462716419</v>
      </c>
      <c r="V8" t="s">
        <v>26</v>
      </c>
      <c r="W8" t="s">
        <v>27</v>
      </c>
      <c r="X8" s="3"/>
    </row>
    <row r="9" spans="2:24" hidden="1">
      <c r="B9">
        <f t="shared" si="0"/>
        <v>7</v>
      </c>
      <c r="C9" t="s">
        <v>41</v>
      </c>
      <c r="D9" t="s">
        <v>41</v>
      </c>
      <c r="E9" t="s">
        <v>42</v>
      </c>
      <c r="F9" t="s">
        <v>43</v>
      </c>
      <c r="G9" t="s">
        <v>20</v>
      </c>
      <c r="H9" t="s">
        <v>5</v>
      </c>
      <c r="I9" t="s">
        <v>35</v>
      </c>
      <c r="J9" t="s">
        <v>22</v>
      </c>
      <c r="K9" t="s">
        <v>23</v>
      </c>
      <c r="L9" t="s">
        <v>44</v>
      </c>
      <c r="M9" s="1">
        <v>45923</v>
      </c>
      <c r="N9" s="2">
        <v>0.56944444444525288</v>
      </c>
      <c r="O9" t="s">
        <v>24</v>
      </c>
      <c r="U9">
        <v>462566763</v>
      </c>
      <c r="V9" t="s">
        <v>26</v>
      </c>
      <c r="W9" t="s">
        <v>27</v>
      </c>
      <c r="X9" s="3"/>
    </row>
    <row r="10" spans="2:24" hidden="1">
      <c r="B10">
        <f t="shared" si="0"/>
        <v>8</v>
      </c>
      <c r="C10" t="s">
        <v>125</v>
      </c>
      <c r="D10" t="s">
        <v>126</v>
      </c>
      <c r="E10" t="s">
        <v>127</v>
      </c>
      <c r="F10" t="s">
        <v>128</v>
      </c>
      <c r="G10" t="s">
        <v>20</v>
      </c>
      <c r="H10" t="s">
        <v>31</v>
      </c>
      <c r="I10" t="s">
        <v>129</v>
      </c>
      <c r="J10" t="s">
        <v>22</v>
      </c>
      <c r="K10" t="s">
        <v>23</v>
      </c>
      <c r="L10" t="s">
        <v>44</v>
      </c>
      <c r="M10" s="1">
        <v>45923</v>
      </c>
      <c r="N10" s="2">
        <v>0.56944444444525288</v>
      </c>
      <c r="O10" t="s">
        <v>24</v>
      </c>
      <c r="U10">
        <v>461563779</v>
      </c>
      <c r="V10" t="s">
        <v>26</v>
      </c>
      <c r="W10" t="s">
        <v>27</v>
      </c>
      <c r="X10" s="3"/>
    </row>
    <row r="11" spans="2:24" hidden="1">
      <c r="B11">
        <f t="shared" si="0"/>
        <v>9</v>
      </c>
      <c r="C11" t="s">
        <v>49</v>
      </c>
      <c r="D11" t="s">
        <v>49</v>
      </c>
      <c r="E11" t="s">
        <v>50</v>
      </c>
      <c r="F11" t="s">
        <v>51</v>
      </c>
      <c r="G11" t="s">
        <v>40</v>
      </c>
      <c r="H11" t="s">
        <v>5</v>
      </c>
      <c r="I11" t="s">
        <v>35</v>
      </c>
      <c r="J11" t="s">
        <v>22</v>
      </c>
      <c r="K11" t="s">
        <v>23</v>
      </c>
      <c r="L11" t="s">
        <v>44</v>
      </c>
      <c r="M11" s="1">
        <v>45923</v>
      </c>
      <c r="N11" s="2">
        <v>0.56944444444525288</v>
      </c>
      <c r="O11" t="s">
        <v>24</v>
      </c>
      <c r="U11">
        <v>462716368</v>
      </c>
      <c r="V11" t="s">
        <v>26</v>
      </c>
      <c r="W11" t="s">
        <v>27</v>
      </c>
      <c r="X11" s="3"/>
    </row>
    <row r="12" spans="2:24" hidden="1">
      <c r="B12">
        <f t="shared" si="0"/>
        <v>10</v>
      </c>
      <c r="C12" t="s">
        <v>52</v>
      </c>
      <c r="D12" t="s">
        <v>52</v>
      </c>
      <c r="E12" t="s">
        <v>53</v>
      </c>
      <c r="F12" t="s">
        <v>54</v>
      </c>
      <c r="G12" t="s">
        <v>20</v>
      </c>
      <c r="H12" t="s">
        <v>5</v>
      </c>
      <c r="I12" t="s">
        <v>35</v>
      </c>
      <c r="J12" t="s">
        <v>22</v>
      </c>
      <c r="K12" t="s">
        <v>23</v>
      </c>
      <c r="L12" t="s">
        <v>36</v>
      </c>
      <c r="M12" s="1">
        <v>45923</v>
      </c>
      <c r="N12" s="2">
        <v>0.63194444444525288</v>
      </c>
      <c r="O12" t="s">
        <v>24</v>
      </c>
      <c r="U12">
        <v>462716371</v>
      </c>
      <c r="V12" t="s">
        <v>26</v>
      </c>
      <c r="W12" t="s">
        <v>27</v>
      </c>
      <c r="X12" s="3"/>
    </row>
    <row r="13" spans="2:24" hidden="1">
      <c r="B13">
        <f t="shared" si="0"/>
        <v>11</v>
      </c>
      <c r="C13" t="s">
        <v>55</v>
      </c>
      <c r="D13" t="s">
        <v>52</v>
      </c>
      <c r="E13" t="s">
        <v>56</v>
      </c>
      <c r="F13" t="s">
        <v>57</v>
      </c>
      <c r="G13" t="s">
        <v>40</v>
      </c>
      <c r="H13" t="s">
        <v>31</v>
      </c>
      <c r="I13" t="s">
        <v>35</v>
      </c>
      <c r="J13" t="s">
        <v>22</v>
      </c>
      <c r="K13" t="s">
        <v>23</v>
      </c>
      <c r="L13" t="s">
        <v>36</v>
      </c>
      <c r="M13" s="1">
        <v>45923</v>
      </c>
      <c r="N13" s="2">
        <v>0.63194444444525288</v>
      </c>
      <c r="O13" t="s">
        <v>24</v>
      </c>
      <c r="U13">
        <v>462716371</v>
      </c>
      <c r="V13" t="s">
        <v>26</v>
      </c>
      <c r="W13" t="s">
        <v>27</v>
      </c>
      <c r="X13" s="3"/>
    </row>
    <row r="14" spans="2:24" hidden="1">
      <c r="B14">
        <f t="shared" si="0"/>
        <v>12</v>
      </c>
      <c r="C14" t="s">
        <v>58</v>
      </c>
      <c r="D14" t="s">
        <v>52</v>
      </c>
      <c r="E14" t="s">
        <v>59</v>
      </c>
      <c r="F14" t="s">
        <v>57</v>
      </c>
      <c r="G14" t="s">
        <v>40</v>
      </c>
      <c r="H14" t="s">
        <v>31</v>
      </c>
      <c r="I14" t="s">
        <v>35</v>
      </c>
      <c r="J14" t="s">
        <v>22</v>
      </c>
      <c r="K14" t="s">
        <v>23</v>
      </c>
      <c r="L14" t="s">
        <v>36</v>
      </c>
      <c r="M14" s="1">
        <v>45923</v>
      </c>
      <c r="N14" s="2">
        <v>0.63194444444525288</v>
      </c>
      <c r="O14" t="s">
        <v>24</v>
      </c>
      <c r="U14">
        <v>462716371</v>
      </c>
      <c r="V14" t="s">
        <v>26</v>
      </c>
      <c r="W14" t="s">
        <v>60</v>
      </c>
      <c r="X14" s="3"/>
    </row>
    <row r="15" spans="2:24" hidden="1">
      <c r="B15">
        <f t="shared" si="0"/>
        <v>13</v>
      </c>
      <c r="C15" t="s">
        <v>45</v>
      </c>
      <c r="D15" t="s">
        <v>46</v>
      </c>
      <c r="E15" t="s">
        <v>47</v>
      </c>
      <c r="F15" t="s">
        <v>48</v>
      </c>
      <c r="G15" t="s">
        <v>20</v>
      </c>
      <c r="H15" t="s">
        <v>31</v>
      </c>
      <c r="I15" t="s">
        <v>35</v>
      </c>
      <c r="J15" t="s">
        <v>22</v>
      </c>
      <c r="K15" t="s">
        <v>23</v>
      </c>
      <c r="L15" t="s">
        <v>36</v>
      </c>
      <c r="M15" s="1">
        <v>45923</v>
      </c>
      <c r="N15" s="2">
        <v>0.63194444444525288</v>
      </c>
      <c r="O15" t="s">
        <v>24</v>
      </c>
      <c r="U15">
        <v>462716367</v>
      </c>
      <c r="V15" t="s">
        <v>26</v>
      </c>
      <c r="W15" t="s">
        <v>27</v>
      </c>
      <c r="X15" s="3"/>
    </row>
    <row r="16" spans="2:24" hidden="1">
      <c r="B16">
        <f t="shared" si="0"/>
        <v>14</v>
      </c>
      <c r="C16" t="s">
        <v>32</v>
      </c>
      <c r="D16" t="s">
        <v>32</v>
      </c>
      <c r="E16" t="s">
        <v>33</v>
      </c>
      <c r="F16" t="s">
        <v>34</v>
      </c>
      <c r="G16" t="s">
        <v>20</v>
      </c>
      <c r="H16" t="s">
        <v>5</v>
      </c>
      <c r="I16" t="s">
        <v>35</v>
      </c>
      <c r="J16" t="s">
        <v>22</v>
      </c>
      <c r="K16" t="s">
        <v>23</v>
      </c>
      <c r="L16" t="s">
        <v>36</v>
      </c>
      <c r="M16" s="1">
        <v>45923</v>
      </c>
      <c r="N16" s="2">
        <v>0.63194444444525288</v>
      </c>
      <c r="O16" t="s">
        <v>24</v>
      </c>
      <c r="U16">
        <v>462716365</v>
      </c>
      <c r="V16" t="s">
        <v>26</v>
      </c>
      <c r="W16" t="s">
        <v>27</v>
      </c>
      <c r="X16" s="3"/>
    </row>
    <row r="17" spans="2:24" hidden="1">
      <c r="B17">
        <f t="shared" si="0"/>
        <v>15</v>
      </c>
      <c r="C17" t="s">
        <v>37</v>
      </c>
      <c r="D17" t="s">
        <v>32</v>
      </c>
      <c r="E17" t="s">
        <v>38</v>
      </c>
      <c r="F17" t="s">
        <v>39</v>
      </c>
      <c r="G17" t="s">
        <v>40</v>
      </c>
      <c r="H17" t="s">
        <v>31</v>
      </c>
      <c r="I17" t="s">
        <v>35</v>
      </c>
      <c r="J17" t="s">
        <v>22</v>
      </c>
      <c r="K17" t="s">
        <v>23</v>
      </c>
      <c r="L17" t="s">
        <v>36</v>
      </c>
      <c r="M17" s="1">
        <v>45923</v>
      </c>
      <c r="N17" s="2">
        <v>0.63194444444525288</v>
      </c>
      <c r="O17" t="s">
        <v>24</v>
      </c>
      <c r="U17">
        <v>462716365</v>
      </c>
      <c r="V17" t="s">
        <v>26</v>
      </c>
      <c r="W17" t="s">
        <v>27</v>
      </c>
      <c r="X17" s="3"/>
    </row>
    <row r="18" spans="2:24" hidden="1">
      <c r="B18">
        <f t="shared" si="0"/>
        <v>16</v>
      </c>
      <c r="C18" t="s">
        <v>130</v>
      </c>
      <c r="D18" t="s">
        <v>130</v>
      </c>
      <c r="E18" t="s">
        <v>131</v>
      </c>
      <c r="F18" t="s">
        <v>132</v>
      </c>
      <c r="G18" t="s">
        <v>20</v>
      </c>
      <c r="H18" t="s">
        <v>5</v>
      </c>
      <c r="I18" t="s">
        <v>129</v>
      </c>
      <c r="J18" t="s">
        <v>22</v>
      </c>
      <c r="K18" t="s">
        <v>23</v>
      </c>
      <c r="L18" t="s">
        <v>66</v>
      </c>
      <c r="M18" s="1">
        <v>45923</v>
      </c>
      <c r="N18" s="2">
        <v>0.83680555555474712</v>
      </c>
      <c r="O18" t="s">
        <v>24</v>
      </c>
      <c r="U18">
        <v>462716386</v>
      </c>
      <c r="V18" t="s">
        <v>26</v>
      </c>
      <c r="W18" t="s">
        <v>27</v>
      </c>
      <c r="X18" s="3"/>
    </row>
    <row r="19" spans="2:24" hidden="1">
      <c r="B19">
        <f t="shared" si="0"/>
        <v>17</v>
      </c>
      <c r="C19" t="s">
        <v>133</v>
      </c>
      <c r="D19" t="s">
        <v>130</v>
      </c>
      <c r="E19" t="s">
        <v>134</v>
      </c>
      <c r="F19" t="s">
        <v>135</v>
      </c>
      <c r="G19" t="s">
        <v>40</v>
      </c>
      <c r="H19" t="s">
        <v>31</v>
      </c>
      <c r="I19" t="s">
        <v>129</v>
      </c>
      <c r="J19" t="s">
        <v>22</v>
      </c>
      <c r="K19" t="s">
        <v>23</v>
      </c>
      <c r="L19" t="s">
        <v>66</v>
      </c>
      <c r="M19" s="1">
        <v>45923</v>
      </c>
      <c r="N19" s="2">
        <v>0.83680555555474712</v>
      </c>
      <c r="O19" t="s">
        <v>24</v>
      </c>
      <c r="U19">
        <v>462716386</v>
      </c>
      <c r="V19" t="s">
        <v>26</v>
      </c>
      <c r="W19" t="s">
        <v>27</v>
      </c>
      <c r="X19" s="3"/>
    </row>
    <row r="20" spans="2:24" hidden="1">
      <c r="B20">
        <f t="shared" si="0"/>
        <v>18</v>
      </c>
      <c r="C20" t="s">
        <v>147</v>
      </c>
      <c r="D20" t="s">
        <v>147</v>
      </c>
      <c r="E20" t="s">
        <v>148</v>
      </c>
      <c r="F20" t="s">
        <v>149</v>
      </c>
      <c r="G20" t="s">
        <v>20</v>
      </c>
      <c r="H20" t="s">
        <v>5</v>
      </c>
      <c r="I20" t="s">
        <v>139</v>
      </c>
      <c r="J20" t="s">
        <v>22</v>
      </c>
      <c r="K20" t="s">
        <v>150</v>
      </c>
      <c r="L20" t="s">
        <v>66</v>
      </c>
      <c r="M20" s="1">
        <v>45923</v>
      </c>
      <c r="N20" s="2">
        <v>0.83680555555474712</v>
      </c>
      <c r="O20" t="s">
        <v>24</v>
      </c>
      <c r="U20">
        <v>462716433</v>
      </c>
      <c r="V20" t="s">
        <v>26</v>
      </c>
      <c r="W20" t="s">
        <v>27</v>
      </c>
      <c r="X20" s="3"/>
    </row>
    <row r="21" spans="2:24" hidden="1">
      <c r="B21">
        <f t="shared" si="0"/>
        <v>19</v>
      </c>
      <c r="C21" t="s">
        <v>151</v>
      </c>
      <c r="D21" t="s">
        <v>147</v>
      </c>
      <c r="E21" t="s">
        <v>152</v>
      </c>
      <c r="F21" t="s">
        <v>153</v>
      </c>
      <c r="G21" t="s">
        <v>20</v>
      </c>
      <c r="H21" t="s">
        <v>31</v>
      </c>
      <c r="I21" t="s">
        <v>139</v>
      </c>
      <c r="J21" t="s">
        <v>22</v>
      </c>
      <c r="K21" t="s">
        <v>150</v>
      </c>
      <c r="L21" t="s">
        <v>66</v>
      </c>
      <c r="M21" s="1">
        <v>45923</v>
      </c>
      <c r="N21" s="2">
        <v>0.83680555555474712</v>
      </c>
      <c r="O21" t="s">
        <v>24</v>
      </c>
      <c r="U21">
        <v>462716433</v>
      </c>
      <c r="V21" t="s">
        <v>26</v>
      </c>
      <c r="W21" t="s">
        <v>27</v>
      </c>
      <c r="X21" s="3"/>
    </row>
    <row r="22" spans="2:24" hidden="1">
      <c r="B22">
        <f t="shared" si="0"/>
        <v>20</v>
      </c>
      <c r="C22" t="s">
        <v>273</v>
      </c>
      <c r="D22" t="s">
        <v>273</v>
      </c>
      <c r="E22" t="s">
        <v>274</v>
      </c>
      <c r="F22" t="s">
        <v>275</v>
      </c>
      <c r="G22" t="s">
        <v>40</v>
      </c>
      <c r="H22" t="s">
        <v>5</v>
      </c>
      <c r="I22" t="s">
        <v>269</v>
      </c>
      <c r="J22" t="s">
        <v>22</v>
      </c>
      <c r="K22" t="s">
        <v>23</v>
      </c>
      <c r="L22" t="s">
        <v>25</v>
      </c>
      <c r="M22" s="1">
        <v>45923</v>
      </c>
      <c r="N22" s="2">
        <v>0.42361111110949423</v>
      </c>
      <c r="O22" t="s">
        <v>24</v>
      </c>
      <c r="U22">
        <v>43864889</v>
      </c>
      <c r="V22" t="s">
        <v>76</v>
      </c>
      <c r="W22" t="s">
        <v>27</v>
      </c>
    </row>
    <row r="23" spans="2:24" hidden="1">
      <c r="B23">
        <f t="shared" si="0"/>
        <v>21</v>
      </c>
      <c r="C23" t="s">
        <v>276</v>
      </c>
      <c r="D23" t="s">
        <v>273</v>
      </c>
      <c r="E23" t="s">
        <v>277</v>
      </c>
      <c r="F23" t="s">
        <v>275</v>
      </c>
      <c r="G23" t="s">
        <v>20</v>
      </c>
      <c r="H23" t="s">
        <v>31</v>
      </c>
      <c r="I23" t="s">
        <v>269</v>
      </c>
      <c r="J23" t="s">
        <v>22</v>
      </c>
      <c r="K23" t="s">
        <v>23</v>
      </c>
      <c r="L23" t="s">
        <v>25</v>
      </c>
      <c r="M23" s="1">
        <v>45923</v>
      </c>
      <c r="N23" s="2">
        <v>0.42361111110949423</v>
      </c>
      <c r="O23" t="s">
        <v>24</v>
      </c>
      <c r="U23">
        <v>43864889</v>
      </c>
      <c r="V23" t="s">
        <v>76</v>
      </c>
      <c r="W23" t="s">
        <v>27</v>
      </c>
    </row>
    <row r="24" spans="2:24" hidden="1">
      <c r="B24">
        <f t="shared" si="0"/>
        <v>22</v>
      </c>
      <c r="C24" t="s">
        <v>278</v>
      </c>
      <c r="D24" t="s">
        <v>273</v>
      </c>
      <c r="E24" t="s">
        <v>279</v>
      </c>
      <c r="F24" t="s">
        <v>275</v>
      </c>
      <c r="G24" t="s">
        <v>20</v>
      </c>
      <c r="H24" t="s">
        <v>31</v>
      </c>
      <c r="I24" t="s">
        <v>269</v>
      </c>
      <c r="J24" t="s">
        <v>22</v>
      </c>
      <c r="K24" t="s">
        <v>23</v>
      </c>
      <c r="L24" t="s">
        <v>25</v>
      </c>
      <c r="M24" s="1">
        <v>45923</v>
      </c>
      <c r="N24" s="2">
        <v>0.42361111110949423</v>
      </c>
      <c r="O24" t="s">
        <v>24</v>
      </c>
      <c r="U24">
        <v>20359921</v>
      </c>
      <c r="V24" t="s">
        <v>76</v>
      </c>
      <c r="W24" t="s">
        <v>27</v>
      </c>
    </row>
    <row r="25" spans="2:24" hidden="1">
      <c r="B25">
        <f t="shared" si="0"/>
        <v>23</v>
      </c>
      <c r="C25" t="s">
        <v>280</v>
      </c>
      <c r="D25" t="s">
        <v>273</v>
      </c>
      <c r="E25" t="s">
        <v>281</v>
      </c>
      <c r="F25" t="s">
        <v>282</v>
      </c>
      <c r="G25" t="s">
        <v>20</v>
      </c>
      <c r="H25" t="s">
        <v>31</v>
      </c>
      <c r="I25" t="s">
        <v>269</v>
      </c>
      <c r="J25" t="s">
        <v>22</v>
      </c>
      <c r="K25" t="s">
        <v>23</v>
      </c>
      <c r="L25" t="s">
        <v>25</v>
      </c>
      <c r="M25" s="1">
        <v>45923</v>
      </c>
      <c r="N25" s="2">
        <v>0.42361111110949423</v>
      </c>
      <c r="O25" t="s">
        <v>24</v>
      </c>
      <c r="U25">
        <v>20359921</v>
      </c>
      <c r="V25" t="s">
        <v>76</v>
      </c>
      <c r="W25" t="s">
        <v>27</v>
      </c>
    </row>
    <row r="26" spans="2:24" hidden="1">
      <c r="B26">
        <f t="shared" si="0"/>
        <v>24</v>
      </c>
      <c r="C26" t="s">
        <v>283</v>
      </c>
      <c r="D26" t="s">
        <v>273</v>
      </c>
      <c r="E26" t="s">
        <v>284</v>
      </c>
      <c r="F26" t="s">
        <v>285</v>
      </c>
      <c r="G26" t="s">
        <v>20</v>
      </c>
      <c r="H26" t="s">
        <v>31</v>
      </c>
      <c r="I26" t="s">
        <v>269</v>
      </c>
      <c r="J26" t="s">
        <v>22</v>
      </c>
      <c r="K26" t="s">
        <v>23</v>
      </c>
      <c r="L26" t="s">
        <v>25</v>
      </c>
      <c r="M26" s="1">
        <v>45923</v>
      </c>
      <c r="N26" s="2">
        <v>0.42361111110949423</v>
      </c>
      <c r="O26" t="s">
        <v>24</v>
      </c>
      <c r="U26">
        <v>63029083</v>
      </c>
      <c r="V26" t="s">
        <v>76</v>
      </c>
      <c r="W26" t="s">
        <v>27</v>
      </c>
    </row>
    <row r="27" spans="2:24" hidden="1">
      <c r="B27">
        <f t="shared" si="0"/>
        <v>25</v>
      </c>
      <c r="C27" t="s">
        <v>286</v>
      </c>
      <c r="D27" t="s">
        <v>273</v>
      </c>
      <c r="E27" t="s">
        <v>287</v>
      </c>
      <c r="F27" t="s">
        <v>288</v>
      </c>
      <c r="G27" t="s">
        <v>20</v>
      </c>
      <c r="H27" t="s">
        <v>31</v>
      </c>
      <c r="I27" t="s">
        <v>269</v>
      </c>
      <c r="J27" t="s">
        <v>22</v>
      </c>
      <c r="K27" t="s">
        <v>23</v>
      </c>
      <c r="L27" t="s">
        <v>25</v>
      </c>
      <c r="M27" s="1">
        <v>45923</v>
      </c>
      <c r="N27" s="2">
        <v>0.42361111110949423</v>
      </c>
      <c r="O27" t="s">
        <v>24</v>
      </c>
      <c r="U27">
        <v>63029083</v>
      </c>
      <c r="V27" t="s">
        <v>76</v>
      </c>
      <c r="W27" t="s">
        <v>27</v>
      </c>
    </row>
    <row r="28" spans="2:24" hidden="1">
      <c r="B28">
        <f t="shared" si="0"/>
        <v>26</v>
      </c>
      <c r="C28" t="s">
        <v>293</v>
      </c>
      <c r="D28" t="s">
        <v>293</v>
      </c>
      <c r="E28" t="s">
        <v>294</v>
      </c>
      <c r="F28" t="s">
        <v>295</v>
      </c>
      <c r="G28" t="s">
        <v>40</v>
      </c>
      <c r="H28" t="s">
        <v>5</v>
      </c>
      <c r="I28" t="s">
        <v>269</v>
      </c>
      <c r="J28" t="s">
        <v>22</v>
      </c>
      <c r="K28" t="s">
        <v>23</v>
      </c>
      <c r="L28" t="s">
        <v>25</v>
      </c>
      <c r="M28" s="1">
        <v>45923</v>
      </c>
      <c r="N28" s="2">
        <v>0.42361111110949423</v>
      </c>
      <c r="O28" t="s">
        <v>24</v>
      </c>
      <c r="U28">
        <v>83361672</v>
      </c>
      <c r="V28" t="s">
        <v>76</v>
      </c>
      <c r="W28" t="s">
        <v>27</v>
      </c>
    </row>
    <row r="29" spans="2:24" hidden="1">
      <c r="B29">
        <f t="shared" si="0"/>
        <v>27</v>
      </c>
      <c r="C29" t="s">
        <v>296</v>
      </c>
      <c r="D29" t="s">
        <v>293</v>
      </c>
      <c r="E29" t="s">
        <v>297</v>
      </c>
      <c r="F29" t="s">
        <v>285</v>
      </c>
      <c r="G29" t="s">
        <v>20</v>
      </c>
      <c r="H29" t="s">
        <v>31</v>
      </c>
      <c r="I29" t="s">
        <v>269</v>
      </c>
      <c r="J29" t="s">
        <v>22</v>
      </c>
      <c r="K29" t="s">
        <v>23</v>
      </c>
      <c r="L29" t="s">
        <v>25</v>
      </c>
      <c r="M29" s="1">
        <v>45923</v>
      </c>
      <c r="N29" s="2">
        <v>0.42361111110949423</v>
      </c>
      <c r="O29" t="s">
        <v>24</v>
      </c>
      <c r="U29">
        <v>83361672</v>
      </c>
      <c r="V29" t="s">
        <v>76</v>
      </c>
      <c r="W29" t="s">
        <v>27</v>
      </c>
    </row>
    <row r="30" spans="2:24" hidden="1">
      <c r="B30">
        <f t="shared" si="0"/>
        <v>28</v>
      </c>
      <c r="C30" t="s">
        <v>289</v>
      </c>
      <c r="D30" t="s">
        <v>290</v>
      </c>
      <c r="E30" t="s">
        <v>291</v>
      </c>
      <c r="F30" t="s">
        <v>292</v>
      </c>
      <c r="G30" t="s">
        <v>40</v>
      </c>
      <c r="H30" t="s">
        <v>31</v>
      </c>
      <c r="I30" t="s">
        <v>269</v>
      </c>
      <c r="J30" t="s">
        <v>22</v>
      </c>
      <c r="K30" t="s">
        <v>23</v>
      </c>
      <c r="L30" t="s">
        <v>25</v>
      </c>
      <c r="M30" s="1">
        <v>45923</v>
      </c>
      <c r="N30" s="2">
        <v>0.42361111110949423</v>
      </c>
      <c r="O30" t="s">
        <v>24</v>
      </c>
      <c r="U30">
        <v>47635921</v>
      </c>
      <c r="V30" t="s">
        <v>76</v>
      </c>
      <c r="W30" t="s">
        <v>27</v>
      </c>
    </row>
    <row r="31" spans="2:24" hidden="1">
      <c r="B31">
        <f t="shared" si="0"/>
        <v>29</v>
      </c>
      <c r="C31" t="s">
        <v>217</v>
      </c>
      <c r="D31" t="s">
        <v>217</v>
      </c>
      <c r="E31" t="s">
        <v>218</v>
      </c>
      <c r="F31" t="s">
        <v>161</v>
      </c>
      <c r="G31" t="s">
        <v>20</v>
      </c>
      <c r="H31" t="s">
        <v>5</v>
      </c>
      <c r="I31" t="s">
        <v>219</v>
      </c>
      <c r="J31" t="s">
        <v>22</v>
      </c>
      <c r="K31" t="s">
        <v>23</v>
      </c>
      <c r="L31" t="s">
        <v>25</v>
      </c>
      <c r="M31" s="1">
        <v>45923</v>
      </c>
      <c r="N31" s="2">
        <v>0.42361111110949423</v>
      </c>
      <c r="O31" t="s">
        <v>24</v>
      </c>
      <c r="U31">
        <v>21950397</v>
      </c>
      <c r="V31" t="s">
        <v>76</v>
      </c>
      <c r="W31" t="s">
        <v>27</v>
      </c>
      <c r="X31" s="3"/>
    </row>
    <row r="32" spans="2:24" hidden="1">
      <c r="B32">
        <f t="shared" si="0"/>
        <v>30</v>
      </c>
      <c r="C32" t="s">
        <v>220</v>
      </c>
      <c r="D32" t="s">
        <v>217</v>
      </c>
      <c r="E32" t="s">
        <v>221</v>
      </c>
      <c r="F32" t="s">
        <v>222</v>
      </c>
      <c r="G32" t="s">
        <v>40</v>
      </c>
      <c r="H32" t="s">
        <v>31</v>
      </c>
      <c r="I32" t="s">
        <v>219</v>
      </c>
      <c r="J32" t="s">
        <v>22</v>
      </c>
      <c r="K32" t="s">
        <v>23</v>
      </c>
      <c r="L32" t="s">
        <v>25</v>
      </c>
      <c r="M32" s="1">
        <v>45923</v>
      </c>
      <c r="N32" s="2">
        <v>0.42361111110949423</v>
      </c>
      <c r="O32" t="s">
        <v>24</v>
      </c>
      <c r="U32">
        <v>21950397</v>
      </c>
      <c r="V32" t="s">
        <v>76</v>
      </c>
      <c r="W32" t="s">
        <v>27</v>
      </c>
      <c r="X32" s="3"/>
    </row>
    <row r="33" spans="2:24" hidden="1">
      <c r="B33">
        <f t="shared" si="0"/>
        <v>31</v>
      </c>
      <c r="C33" t="s">
        <v>230</v>
      </c>
      <c r="D33" t="s">
        <v>231</v>
      </c>
      <c r="E33" t="s">
        <v>232</v>
      </c>
      <c r="F33" t="s">
        <v>233</v>
      </c>
      <c r="G33" t="s">
        <v>40</v>
      </c>
      <c r="H33" t="s">
        <v>31</v>
      </c>
      <c r="I33" t="s">
        <v>219</v>
      </c>
      <c r="J33" t="s">
        <v>22</v>
      </c>
      <c r="K33" t="s">
        <v>23</v>
      </c>
      <c r="L33" t="s">
        <v>25</v>
      </c>
      <c r="M33" s="1">
        <v>45923</v>
      </c>
      <c r="N33" s="2">
        <v>0.42361111110949423</v>
      </c>
      <c r="O33" t="s">
        <v>24</v>
      </c>
      <c r="U33">
        <v>66108609</v>
      </c>
      <c r="V33" t="s">
        <v>76</v>
      </c>
      <c r="W33" t="s">
        <v>27</v>
      </c>
      <c r="X33" s="3">
        <v>45906</v>
      </c>
    </row>
    <row r="34" spans="2:24" hidden="1">
      <c r="B34">
        <f t="shared" si="0"/>
        <v>32</v>
      </c>
      <c r="C34" t="s">
        <v>266</v>
      </c>
      <c r="D34" t="s">
        <v>266</v>
      </c>
      <c r="E34" t="s">
        <v>267</v>
      </c>
      <c r="F34" t="s">
        <v>268</v>
      </c>
      <c r="G34" t="s">
        <v>20</v>
      </c>
      <c r="H34" t="s">
        <v>5</v>
      </c>
      <c r="I34" t="s">
        <v>269</v>
      </c>
      <c r="J34" t="s">
        <v>22</v>
      </c>
      <c r="K34" t="s">
        <v>23</v>
      </c>
      <c r="L34" t="s">
        <v>25</v>
      </c>
      <c r="M34" s="1">
        <v>45923</v>
      </c>
      <c r="N34" s="2">
        <v>0.42361111110949423</v>
      </c>
      <c r="O34" t="s">
        <v>24</v>
      </c>
      <c r="U34">
        <v>46496160</v>
      </c>
      <c r="V34" t="s">
        <v>76</v>
      </c>
      <c r="W34" t="s">
        <v>27</v>
      </c>
    </row>
    <row r="35" spans="2:24" hidden="1">
      <c r="B35">
        <f t="shared" ref="B35:B66" si="1">ROW()-2</f>
        <v>33</v>
      </c>
      <c r="C35" t="s">
        <v>270</v>
      </c>
      <c r="D35" t="s">
        <v>266</v>
      </c>
      <c r="E35" t="s">
        <v>271</v>
      </c>
      <c r="F35" t="s">
        <v>272</v>
      </c>
      <c r="G35" t="s">
        <v>20</v>
      </c>
      <c r="H35" t="s">
        <v>31</v>
      </c>
      <c r="I35" t="s">
        <v>269</v>
      </c>
      <c r="J35" t="s">
        <v>22</v>
      </c>
      <c r="K35" t="s">
        <v>23</v>
      </c>
      <c r="L35" t="s">
        <v>25</v>
      </c>
      <c r="M35" s="1">
        <v>45923</v>
      </c>
      <c r="N35" s="2">
        <v>0.42361111110949423</v>
      </c>
      <c r="O35" t="s">
        <v>24</v>
      </c>
      <c r="U35">
        <v>46496160</v>
      </c>
      <c r="V35" t="s">
        <v>76</v>
      </c>
      <c r="W35" t="s">
        <v>27</v>
      </c>
    </row>
    <row r="36" spans="2:24" hidden="1">
      <c r="B36">
        <f t="shared" si="1"/>
        <v>34</v>
      </c>
      <c r="C36" t="s">
        <v>223</v>
      </c>
      <c r="D36" t="s">
        <v>223</v>
      </c>
      <c r="E36" t="s">
        <v>224</v>
      </c>
      <c r="F36" t="s">
        <v>161</v>
      </c>
      <c r="G36" t="s">
        <v>20</v>
      </c>
      <c r="H36" t="s">
        <v>5</v>
      </c>
      <c r="I36" t="s">
        <v>219</v>
      </c>
      <c r="J36" t="s">
        <v>22</v>
      </c>
      <c r="K36" t="s">
        <v>23</v>
      </c>
      <c r="L36" t="s">
        <v>25</v>
      </c>
      <c r="M36" s="1">
        <v>45923</v>
      </c>
      <c r="N36" s="2">
        <v>0.42361111110949423</v>
      </c>
      <c r="O36" t="s">
        <v>24</v>
      </c>
      <c r="U36">
        <v>80509682</v>
      </c>
      <c r="V36" t="s">
        <v>76</v>
      </c>
      <c r="W36" t="s">
        <v>27</v>
      </c>
      <c r="X36" s="3"/>
    </row>
    <row r="37" spans="2:24" hidden="1">
      <c r="B37">
        <f t="shared" si="1"/>
        <v>35</v>
      </c>
      <c r="C37" t="s">
        <v>225</v>
      </c>
      <c r="D37" t="s">
        <v>223</v>
      </c>
      <c r="E37" t="s">
        <v>226</v>
      </c>
      <c r="F37" t="s">
        <v>227</v>
      </c>
      <c r="G37" t="s">
        <v>40</v>
      </c>
      <c r="H37" t="s">
        <v>31</v>
      </c>
      <c r="I37" t="s">
        <v>219</v>
      </c>
      <c r="J37" t="s">
        <v>22</v>
      </c>
      <c r="K37" t="s">
        <v>23</v>
      </c>
      <c r="L37" t="s">
        <v>25</v>
      </c>
      <c r="M37" s="1">
        <v>45923</v>
      </c>
      <c r="N37" s="2">
        <v>0.42361111110949423</v>
      </c>
      <c r="O37" t="s">
        <v>24</v>
      </c>
      <c r="U37">
        <v>80509682</v>
      </c>
      <c r="V37" t="s">
        <v>76</v>
      </c>
      <c r="W37" t="s">
        <v>27</v>
      </c>
      <c r="X37" s="3"/>
    </row>
    <row r="38" spans="2:24" hidden="1">
      <c r="B38">
        <f t="shared" si="1"/>
        <v>36</v>
      </c>
      <c r="C38" t="s">
        <v>228</v>
      </c>
      <c r="D38" t="s">
        <v>223</v>
      </c>
      <c r="E38" t="s">
        <v>229</v>
      </c>
      <c r="F38" t="s">
        <v>227</v>
      </c>
      <c r="G38" t="s">
        <v>20</v>
      </c>
      <c r="H38" t="s">
        <v>31</v>
      </c>
      <c r="I38" t="s">
        <v>219</v>
      </c>
      <c r="J38" t="s">
        <v>22</v>
      </c>
      <c r="K38" t="s">
        <v>23</v>
      </c>
      <c r="L38" t="s">
        <v>25</v>
      </c>
      <c r="M38" s="1">
        <v>45923</v>
      </c>
      <c r="N38" s="2">
        <v>0.42361111110949423</v>
      </c>
      <c r="O38" t="s">
        <v>24</v>
      </c>
      <c r="U38">
        <v>80509682</v>
      </c>
      <c r="V38" t="s">
        <v>76</v>
      </c>
      <c r="W38" t="s">
        <v>80</v>
      </c>
      <c r="X38" s="3"/>
    </row>
    <row r="39" spans="2:24" hidden="1">
      <c r="B39">
        <f t="shared" si="1"/>
        <v>37</v>
      </c>
      <c r="C39" t="s">
        <v>263</v>
      </c>
      <c r="D39" t="s">
        <v>263</v>
      </c>
      <c r="E39" t="s">
        <v>264</v>
      </c>
      <c r="F39" t="s">
        <v>265</v>
      </c>
      <c r="G39" t="s">
        <v>20</v>
      </c>
      <c r="H39" t="s">
        <v>5</v>
      </c>
      <c r="I39" t="s">
        <v>219</v>
      </c>
      <c r="J39" t="s">
        <v>22</v>
      </c>
      <c r="K39" t="s">
        <v>23</v>
      </c>
      <c r="L39" t="s">
        <v>44</v>
      </c>
      <c r="M39" s="1">
        <v>45923</v>
      </c>
      <c r="N39" s="2">
        <v>0.56944444444525288</v>
      </c>
      <c r="O39" t="s">
        <v>24</v>
      </c>
      <c r="U39">
        <v>25343186</v>
      </c>
      <c r="V39" t="s">
        <v>76</v>
      </c>
      <c r="W39" t="s">
        <v>27</v>
      </c>
    </row>
    <row r="40" spans="2:24" hidden="1">
      <c r="B40">
        <f t="shared" si="1"/>
        <v>38</v>
      </c>
      <c r="C40" t="s">
        <v>234</v>
      </c>
      <c r="D40" t="s">
        <v>234</v>
      </c>
      <c r="E40" t="s">
        <v>235</v>
      </c>
      <c r="F40" t="s">
        <v>236</v>
      </c>
      <c r="G40" t="s">
        <v>20</v>
      </c>
      <c r="H40" t="s">
        <v>5</v>
      </c>
      <c r="I40" t="s">
        <v>219</v>
      </c>
      <c r="J40" t="s">
        <v>22</v>
      </c>
      <c r="K40" t="s">
        <v>23</v>
      </c>
      <c r="L40" t="s">
        <v>44</v>
      </c>
      <c r="M40" s="1">
        <v>45923</v>
      </c>
      <c r="N40" s="2">
        <v>0.56944444444525288</v>
      </c>
      <c r="O40" t="s">
        <v>24</v>
      </c>
      <c r="U40">
        <v>63103044</v>
      </c>
      <c r="V40" t="s">
        <v>76</v>
      </c>
      <c r="W40" t="s">
        <v>27</v>
      </c>
    </row>
    <row r="41" spans="2:24" hidden="1">
      <c r="B41">
        <f t="shared" si="1"/>
        <v>39</v>
      </c>
      <c r="C41" t="s">
        <v>237</v>
      </c>
      <c r="D41" t="s">
        <v>234</v>
      </c>
      <c r="E41" t="s">
        <v>238</v>
      </c>
      <c r="F41" t="s">
        <v>236</v>
      </c>
      <c r="G41" t="s">
        <v>40</v>
      </c>
      <c r="H41" t="s">
        <v>31</v>
      </c>
      <c r="I41" t="s">
        <v>219</v>
      </c>
      <c r="J41" t="s">
        <v>22</v>
      </c>
      <c r="K41" t="s">
        <v>23</v>
      </c>
      <c r="L41" t="s">
        <v>44</v>
      </c>
      <c r="M41" s="1">
        <v>45923</v>
      </c>
      <c r="N41" s="2">
        <v>0.56944444444525288</v>
      </c>
      <c r="O41" t="s">
        <v>24</v>
      </c>
      <c r="U41">
        <v>63103044</v>
      </c>
      <c r="V41" t="s">
        <v>76</v>
      </c>
      <c r="W41" t="s">
        <v>27</v>
      </c>
    </row>
    <row r="42" spans="2:24" hidden="1">
      <c r="B42">
        <f t="shared" si="1"/>
        <v>40</v>
      </c>
      <c r="C42" t="s">
        <v>72</v>
      </c>
      <c r="D42" t="s">
        <v>72</v>
      </c>
      <c r="E42" t="s">
        <v>73</v>
      </c>
      <c r="F42" t="s">
        <v>74</v>
      </c>
      <c r="G42" t="s">
        <v>20</v>
      </c>
      <c r="H42" t="s">
        <v>5</v>
      </c>
      <c r="I42" t="s">
        <v>75</v>
      </c>
      <c r="J42" t="s">
        <v>22</v>
      </c>
      <c r="K42" t="s">
        <v>23</v>
      </c>
      <c r="L42" t="s">
        <v>36</v>
      </c>
      <c r="M42" s="1">
        <v>45923</v>
      </c>
      <c r="N42" s="2">
        <v>0.63194444444525288</v>
      </c>
      <c r="O42" t="s">
        <v>24</v>
      </c>
      <c r="U42">
        <v>84750472</v>
      </c>
      <c r="V42" t="s">
        <v>76</v>
      </c>
      <c r="W42" t="s">
        <v>27</v>
      </c>
      <c r="X42" s="3"/>
    </row>
    <row r="43" spans="2:24" hidden="1">
      <c r="B43">
        <f t="shared" si="1"/>
        <v>41</v>
      </c>
      <c r="C43" t="s">
        <v>77</v>
      </c>
      <c r="D43" t="s">
        <v>72</v>
      </c>
      <c r="E43" t="s">
        <v>78</v>
      </c>
      <c r="F43" t="s">
        <v>79</v>
      </c>
      <c r="G43" t="s">
        <v>20</v>
      </c>
      <c r="H43" t="s">
        <v>31</v>
      </c>
      <c r="I43" t="s">
        <v>75</v>
      </c>
      <c r="J43" t="s">
        <v>22</v>
      </c>
      <c r="K43" t="s">
        <v>23</v>
      </c>
      <c r="L43" t="s">
        <v>36</v>
      </c>
      <c r="M43" s="1">
        <v>45923</v>
      </c>
      <c r="N43" s="2">
        <v>0.63194444444525288</v>
      </c>
      <c r="O43" t="s">
        <v>24</v>
      </c>
      <c r="U43">
        <v>84750472</v>
      </c>
      <c r="V43" t="s">
        <v>76</v>
      </c>
      <c r="W43" t="s">
        <v>80</v>
      </c>
      <c r="X43" s="3"/>
    </row>
    <row r="44" spans="2:24" hidden="1">
      <c r="B44">
        <f t="shared" si="1"/>
        <v>42</v>
      </c>
      <c r="C44" t="s">
        <v>247</v>
      </c>
      <c r="D44" t="s">
        <v>247</v>
      </c>
      <c r="E44" t="s">
        <v>248</v>
      </c>
      <c r="F44" t="s">
        <v>249</v>
      </c>
      <c r="G44" t="s">
        <v>20</v>
      </c>
      <c r="H44" t="s">
        <v>5</v>
      </c>
      <c r="I44" t="s">
        <v>219</v>
      </c>
      <c r="J44" t="s">
        <v>22</v>
      </c>
      <c r="K44" t="s">
        <v>250</v>
      </c>
      <c r="L44" t="s">
        <v>36</v>
      </c>
      <c r="M44" s="1">
        <v>45923</v>
      </c>
      <c r="N44" s="2">
        <v>0.63194444444525288</v>
      </c>
      <c r="O44" t="s">
        <v>24</v>
      </c>
      <c r="U44">
        <v>47056737</v>
      </c>
      <c r="V44" t="s">
        <v>76</v>
      </c>
      <c r="W44" t="s">
        <v>27</v>
      </c>
    </row>
    <row r="45" spans="2:24" hidden="1">
      <c r="B45">
        <f t="shared" si="1"/>
        <v>43</v>
      </c>
      <c r="C45" t="s">
        <v>251</v>
      </c>
      <c r="D45" t="s">
        <v>251</v>
      </c>
      <c r="E45" t="s">
        <v>252</v>
      </c>
      <c r="F45" t="s">
        <v>253</v>
      </c>
      <c r="G45" t="s">
        <v>20</v>
      </c>
      <c r="H45" t="s">
        <v>5</v>
      </c>
      <c r="I45" t="s">
        <v>219</v>
      </c>
      <c r="J45" t="s">
        <v>22</v>
      </c>
      <c r="K45" t="s">
        <v>23</v>
      </c>
      <c r="L45" t="s">
        <v>36</v>
      </c>
      <c r="M45" s="1">
        <v>45923</v>
      </c>
      <c r="N45" s="2">
        <v>0.63194444444525288</v>
      </c>
      <c r="O45" t="s">
        <v>24</v>
      </c>
      <c r="U45">
        <v>29553233</v>
      </c>
      <c r="V45" t="s">
        <v>76</v>
      </c>
      <c r="W45" t="s">
        <v>27</v>
      </c>
    </row>
    <row r="46" spans="2:24" hidden="1">
      <c r="B46">
        <f t="shared" si="1"/>
        <v>44</v>
      </c>
      <c r="C46" t="s">
        <v>254</v>
      </c>
      <c r="D46" t="s">
        <v>251</v>
      </c>
      <c r="E46" t="s">
        <v>255</v>
      </c>
      <c r="F46" t="s">
        <v>253</v>
      </c>
      <c r="G46" t="s">
        <v>40</v>
      </c>
      <c r="H46" t="s">
        <v>31</v>
      </c>
      <c r="I46" t="s">
        <v>219</v>
      </c>
      <c r="J46" t="s">
        <v>22</v>
      </c>
      <c r="K46" t="s">
        <v>23</v>
      </c>
      <c r="L46" t="s">
        <v>36</v>
      </c>
      <c r="M46" s="1">
        <v>45923</v>
      </c>
      <c r="N46" s="2">
        <v>0.63194444444525288</v>
      </c>
      <c r="O46" t="s">
        <v>24</v>
      </c>
      <c r="U46">
        <v>29553233</v>
      </c>
      <c r="V46" t="s">
        <v>76</v>
      </c>
      <c r="W46" t="s">
        <v>27</v>
      </c>
    </row>
    <row r="47" spans="2:24" hidden="1">
      <c r="B47">
        <f t="shared" si="1"/>
        <v>45</v>
      </c>
      <c r="C47" t="s">
        <v>256</v>
      </c>
      <c r="D47" t="s">
        <v>251</v>
      </c>
      <c r="E47" t="s">
        <v>257</v>
      </c>
      <c r="F47" t="s">
        <v>253</v>
      </c>
      <c r="G47" t="s">
        <v>40</v>
      </c>
      <c r="H47" t="s">
        <v>31</v>
      </c>
      <c r="I47" t="s">
        <v>219</v>
      </c>
      <c r="J47" t="s">
        <v>22</v>
      </c>
      <c r="K47" t="s">
        <v>23</v>
      </c>
      <c r="L47" t="s">
        <v>36</v>
      </c>
      <c r="M47" s="1">
        <v>45923</v>
      </c>
      <c r="N47" s="2">
        <v>0.63194444444525288</v>
      </c>
      <c r="O47" t="s">
        <v>24</v>
      </c>
      <c r="U47">
        <v>29553233</v>
      </c>
      <c r="V47" t="s">
        <v>76</v>
      </c>
      <c r="W47" t="s">
        <v>80</v>
      </c>
    </row>
    <row r="48" spans="2:24" hidden="1">
      <c r="B48">
        <f t="shared" si="1"/>
        <v>46</v>
      </c>
      <c r="C48" t="s">
        <v>258</v>
      </c>
      <c r="D48" t="s">
        <v>251</v>
      </c>
      <c r="E48" t="s">
        <v>259</v>
      </c>
      <c r="F48" t="s">
        <v>260</v>
      </c>
      <c r="G48" t="s">
        <v>40</v>
      </c>
      <c r="H48" t="s">
        <v>31</v>
      </c>
      <c r="I48" t="s">
        <v>219</v>
      </c>
      <c r="J48" t="s">
        <v>22</v>
      </c>
      <c r="K48" t="s">
        <v>23</v>
      </c>
      <c r="L48" t="s">
        <v>36</v>
      </c>
      <c r="M48" s="1">
        <v>45923</v>
      </c>
      <c r="N48" s="2">
        <v>0.63194444444525288</v>
      </c>
      <c r="O48" t="s">
        <v>24</v>
      </c>
      <c r="U48">
        <v>49293512</v>
      </c>
      <c r="V48" t="s">
        <v>76</v>
      </c>
      <c r="W48" t="s">
        <v>27</v>
      </c>
    </row>
    <row r="49" spans="2:24" hidden="1">
      <c r="B49">
        <f t="shared" si="1"/>
        <v>47</v>
      </c>
      <c r="C49" t="s">
        <v>261</v>
      </c>
      <c r="D49" t="s">
        <v>251</v>
      </c>
      <c r="E49" t="s">
        <v>262</v>
      </c>
      <c r="F49" t="s">
        <v>253</v>
      </c>
      <c r="G49" t="s">
        <v>20</v>
      </c>
      <c r="H49" t="s">
        <v>31</v>
      </c>
      <c r="I49" t="s">
        <v>219</v>
      </c>
      <c r="J49" t="s">
        <v>22</v>
      </c>
      <c r="K49" t="s">
        <v>23</v>
      </c>
      <c r="L49" t="s">
        <v>36</v>
      </c>
      <c r="M49" s="1">
        <v>45923</v>
      </c>
      <c r="N49" s="2">
        <v>0.63194444444525288</v>
      </c>
      <c r="O49" t="s">
        <v>24</v>
      </c>
      <c r="U49">
        <v>49293512</v>
      </c>
      <c r="V49" t="s">
        <v>76</v>
      </c>
      <c r="W49" t="s">
        <v>27</v>
      </c>
    </row>
    <row r="50" spans="2:24" hidden="1">
      <c r="B50">
        <f t="shared" si="1"/>
        <v>48</v>
      </c>
      <c r="C50" t="s">
        <v>239</v>
      </c>
      <c r="D50" t="s">
        <v>239</v>
      </c>
      <c r="E50" t="s">
        <v>240</v>
      </c>
      <c r="F50" t="s">
        <v>241</v>
      </c>
      <c r="G50" t="s">
        <v>20</v>
      </c>
      <c r="H50" t="s">
        <v>5</v>
      </c>
      <c r="I50" t="s">
        <v>219</v>
      </c>
      <c r="J50" t="s">
        <v>22</v>
      </c>
      <c r="K50" t="s">
        <v>23</v>
      </c>
      <c r="L50" t="s">
        <v>36</v>
      </c>
      <c r="M50" s="1">
        <v>45923</v>
      </c>
      <c r="N50" s="2">
        <v>0.63194444444525288</v>
      </c>
      <c r="O50" t="s">
        <v>24</v>
      </c>
      <c r="U50">
        <v>63868417</v>
      </c>
      <c r="V50" t="s">
        <v>76</v>
      </c>
      <c r="W50" t="s">
        <v>27</v>
      </c>
    </row>
    <row r="51" spans="2:24" hidden="1">
      <c r="B51">
        <f t="shared" si="1"/>
        <v>49</v>
      </c>
      <c r="C51" t="s">
        <v>242</v>
      </c>
      <c r="D51" t="s">
        <v>239</v>
      </c>
      <c r="E51" t="s">
        <v>243</v>
      </c>
      <c r="F51" t="s">
        <v>244</v>
      </c>
      <c r="G51" t="s">
        <v>20</v>
      </c>
      <c r="H51" t="s">
        <v>31</v>
      </c>
      <c r="I51" t="s">
        <v>219</v>
      </c>
      <c r="J51" t="s">
        <v>22</v>
      </c>
      <c r="K51" t="s">
        <v>23</v>
      </c>
      <c r="L51" t="s">
        <v>36</v>
      </c>
      <c r="M51" s="1">
        <v>45923</v>
      </c>
      <c r="N51" s="2">
        <v>0.63194444444525288</v>
      </c>
      <c r="O51" t="s">
        <v>24</v>
      </c>
      <c r="U51">
        <v>63868417</v>
      </c>
      <c r="V51" t="s">
        <v>76</v>
      </c>
      <c r="W51" t="s">
        <v>27</v>
      </c>
    </row>
    <row r="52" spans="2:24" hidden="1">
      <c r="B52">
        <f t="shared" si="1"/>
        <v>50</v>
      </c>
      <c r="C52" t="s">
        <v>245</v>
      </c>
      <c r="D52" t="s">
        <v>239</v>
      </c>
      <c r="E52" t="s">
        <v>246</v>
      </c>
      <c r="F52" t="s">
        <v>241</v>
      </c>
      <c r="G52" t="s">
        <v>20</v>
      </c>
      <c r="H52" t="s">
        <v>31</v>
      </c>
      <c r="I52" t="s">
        <v>219</v>
      </c>
      <c r="J52" t="s">
        <v>22</v>
      </c>
      <c r="K52" t="s">
        <v>23</v>
      </c>
      <c r="L52" t="s">
        <v>36</v>
      </c>
      <c r="M52" s="1">
        <v>45923</v>
      </c>
      <c r="N52" s="2">
        <v>0.63194444444525288</v>
      </c>
      <c r="O52" t="s">
        <v>24</v>
      </c>
      <c r="U52">
        <v>49994599</v>
      </c>
      <c r="V52" t="s">
        <v>76</v>
      </c>
      <c r="W52" t="s">
        <v>27</v>
      </c>
    </row>
    <row r="53" spans="2:24" hidden="1">
      <c r="B53">
        <f t="shared" si="1"/>
        <v>51</v>
      </c>
      <c r="C53" t="s">
        <v>200</v>
      </c>
      <c r="D53" t="s">
        <v>201</v>
      </c>
      <c r="E53" t="s">
        <v>202</v>
      </c>
      <c r="F53" t="s">
        <v>203</v>
      </c>
      <c r="G53" t="s">
        <v>40</v>
      </c>
      <c r="H53" t="s">
        <v>31</v>
      </c>
      <c r="I53" t="s">
        <v>204</v>
      </c>
      <c r="J53" t="s">
        <v>22</v>
      </c>
      <c r="K53" t="s">
        <v>23</v>
      </c>
      <c r="L53" t="s">
        <v>36</v>
      </c>
      <c r="M53" s="1">
        <v>45923</v>
      </c>
      <c r="N53" s="2">
        <v>0.63194444444525288</v>
      </c>
      <c r="O53" t="s">
        <v>24</v>
      </c>
      <c r="U53">
        <v>88217738</v>
      </c>
      <c r="V53" t="s">
        <v>76</v>
      </c>
      <c r="W53" t="s">
        <v>27</v>
      </c>
      <c r="X53" s="3"/>
    </row>
    <row r="54" spans="2:24" hidden="1">
      <c r="B54">
        <f t="shared" si="1"/>
        <v>52</v>
      </c>
      <c r="C54" t="s">
        <v>81</v>
      </c>
      <c r="D54" t="s">
        <v>81</v>
      </c>
      <c r="E54" t="s">
        <v>82</v>
      </c>
      <c r="F54" t="s">
        <v>83</v>
      </c>
      <c r="G54" t="s">
        <v>20</v>
      </c>
      <c r="H54" t="s">
        <v>5</v>
      </c>
      <c r="I54" t="s">
        <v>84</v>
      </c>
      <c r="J54" t="s">
        <v>22</v>
      </c>
      <c r="K54" t="s">
        <v>23</v>
      </c>
      <c r="L54" t="s">
        <v>25</v>
      </c>
      <c r="M54" s="1">
        <v>45923</v>
      </c>
      <c r="N54" s="2">
        <v>0.42361111110949423</v>
      </c>
      <c r="O54" t="s">
        <v>24</v>
      </c>
      <c r="U54">
        <v>78780150</v>
      </c>
      <c r="V54" t="s">
        <v>85</v>
      </c>
      <c r="W54" t="s">
        <v>27</v>
      </c>
      <c r="X54" s="3"/>
    </row>
    <row r="55" spans="2:24" hidden="1">
      <c r="B55">
        <f t="shared" si="1"/>
        <v>53</v>
      </c>
      <c r="C55" t="s">
        <v>86</v>
      </c>
      <c r="D55" t="s">
        <v>81</v>
      </c>
      <c r="E55" t="s">
        <v>87</v>
      </c>
      <c r="F55" t="s">
        <v>88</v>
      </c>
      <c r="G55" t="s">
        <v>20</v>
      </c>
      <c r="H55" t="s">
        <v>31</v>
      </c>
      <c r="I55" t="s">
        <v>84</v>
      </c>
      <c r="J55" t="s">
        <v>22</v>
      </c>
      <c r="K55" t="s">
        <v>23</v>
      </c>
      <c r="L55" t="s">
        <v>25</v>
      </c>
      <c r="M55" s="1">
        <v>45923</v>
      </c>
      <c r="N55" s="2">
        <v>0.42361111110949423</v>
      </c>
      <c r="O55" t="s">
        <v>24</v>
      </c>
      <c r="U55">
        <v>78780150</v>
      </c>
      <c r="V55" t="s">
        <v>85</v>
      </c>
      <c r="W55" t="s">
        <v>27</v>
      </c>
      <c r="X55" s="3"/>
    </row>
    <row r="56" spans="2:24" hidden="1">
      <c r="B56">
        <f t="shared" si="1"/>
        <v>54</v>
      </c>
      <c r="C56" t="s">
        <v>213</v>
      </c>
      <c r="D56" t="s">
        <v>213</v>
      </c>
      <c r="E56" t="s">
        <v>214</v>
      </c>
      <c r="F56" t="s">
        <v>215</v>
      </c>
      <c r="G56" t="s">
        <v>20</v>
      </c>
      <c r="H56" t="s">
        <v>5</v>
      </c>
      <c r="I56" t="s">
        <v>216</v>
      </c>
      <c r="J56" t="s">
        <v>22</v>
      </c>
      <c r="K56" t="s">
        <v>23</v>
      </c>
      <c r="L56" t="s">
        <v>25</v>
      </c>
      <c r="M56" s="1">
        <v>45923</v>
      </c>
      <c r="N56" s="2">
        <v>0.42361111110949423</v>
      </c>
      <c r="O56" t="s">
        <v>24</v>
      </c>
      <c r="U56">
        <v>78782400</v>
      </c>
      <c r="V56" t="s">
        <v>85</v>
      </c>
      <c r="W56" t="s">
        <v>27</v>
      </c>
      <c r="X56" s="3"/>
    </row>
    <row r="57" spans="2:24" hidden="1">
      <c r="B57">
        <f t="shared" si="1"/>
        <v>55</v>
      </c>
      <c r="C57" t="s">
        <v>209</v>
      </c>
      <c r="D57" t="s">
        <v>209</v>
      </c>
      <c r="E57" t="s">
        <v>210</v>
      </c>
      <c r="F57" t="s">
        <v>211</v>
      </c>
      <c r="G57" t="s">
        <v>20</v>
      </c>
      <c r="H57" t="s">
        <v>5</v>
      </c>
      <c r="I57" t="s">
        <v>212</v>
      </c>
      <c r="J57" t="s">
        <v>22</v>
      </c>
      <c r="K57" t="s">
        <v>23</v>
      </c>
      <c r="L57" t="s">
        <v>25</v>
      </c>
      <c r="M57" s="1">
        <v>45923</v>
      </c>
      <c r="N57" s="2">
        <v>0.42361111110949423</v>
      </c>
      <c r="O57" t="s">
        <v>24</v>
      </c>
      <c r="U57">
        <v>78782015</v>
      </c>
      <c r="V57" t="s">
        <v>85</v>
      </c>
      <c r="W57" t="s">
        <v>27</v>
      </c>
      <c r="X57" s="3"/>
    </row>
    <row r="58" spans="2:24">
      <c r="B58">
        <f t="shared" si="1"/>
        <v>56</v>
      </c>
      <c r="C58" t="s">
        <v>96</v>
      </c>
      <c r="D58" t="s">
        <v>96</v>
      </c>
      <c r="E58" t="s">
        <v>97</v>
      </c>
      <c r="F58" t="s">
        <v>98</v>
      </c>
      <c r="G58" t="s">
        <v>20</v>
      </c>
      <c r="H58" t="s">
        <v>5</v>
      </c>
      <c r="I58" t="s">
        <v>92</v>
      </c>
      <c r="J58" t="s">
        <v>22</v>
      </c>
      <c r="K58" t="s">
        <v>23</v>
      </c>
      <c r="L58" t="s">
        <v>44</v>
      </c>
      <c r="M58" s="1">
        <v>45923</v>
      </c>
      <c r="N58" s="2">
        <v>0.56944444444525288</v>
      </c>
      <c r="O58" t="s">
        <v>24</v>
      </c>
      <c r="P58" t="s">
        <v>331</v>
      </c>
      <c r="Q58" t="s">
        <v>332</v>
      </c>
      <c r="R58" s="2">
        <v>0.73958333333333337</v>
      </c>
      <c r="S58" t="s">
        <v>24</v>
      </c>
      <c r="U58">
        <v>15262654</v>
      </c>
      <c r="V58" t="s">
        <v>67</v>
      </c>
      <c r="W58" t="s">
        <v>27</v>
      </c>
      <c r="X58" s="3"/>
    </row>
    <row r="59" spans="2:24">
      <c r="B59">
        <f t="shared" si="1"/>
        <v>57</v>
      </c>
      <c r="C59" t="s">
        <v>99</v>
      </c>
      <c r="D59" t="s">
        <v>96</v>
      </c>
      <c r="E59" t="s">
        <v>100</v>
      </c>
      <c r="F59" t="s">
        <v>91</v>
      </c>
      <c r="G59" t="s">
        <v>20</v>
      </c>
      <c r="H59" t="s">
        <v>31</v>
      </c>
      <c r="I59" t="s">
        <v>92</v>
      </c>
      <c r="J59" t="s">
        <v>22</v>
      </c>
      <c r="K59" t="s">
        <v>23</v>
      </c>
      <c r="L59" t="s">
        <v>44</v>
      </c>
      <c r="M59" s="1">
        <v>45923</v>
      </c>
      <c r="N59" s="2">
        <v>0.56944444444525288</v>
      </c>
      <c r="O59" t="s">
        <v>24</v>
      </c>
      <c r="P59" t="s">
        <v>331</v>
      </c>
      <c r="Q59" t="s">
        <v>332</v>
      </c>
      <c r="R59" s="2">
        <v>0.73958333333333337</v>
      </c>
      <c r="S59" t="s">
        <v>24</v>
      </c>
      <c r="U59">
        <v>15262654</v>
      </c>
      <c r="V59" t="s">
        <v>67</v>
      </c>
      <c r="W59" t="s">
        <v>27</v>
      </c>
      <c r="X59" s="3"/>
    </row>
    <row r="60" spans="2:24">
      <c r="B60">
        <f t="shared" si="1"/>
        <v>58</v>
      </c>
      <c r="C60" t="s">
        <v>101</v>
      </c>
      <c r="D60" t="s">
        <v>96</v>
      </c>
      <c r="E60" s="11" t="s">
        <v>333</v>
      </c>
      <c r="F60" s="11" t="s">
        <v>98</v>
      </c>
      <c r="G60" t="s">
        <v>20</v>
      </c>
      <c r="H60" t="s">
        <v>31</v>
      </c>
      <c r="I60" t="s">
        <v>92</v>
      </c>
      <c r="J60" t="s">
        <v>22</v>
      </c>
      <c r="K60" t="s">
        <v>23</v>
      </c>
      <c r="L60" t="s">
        <v>44</v>
      </c>
      <c r="M60" s="1">
        <v>45923</v>
      </c>
      <c r="N60" s="2">
        <v>0.56944444444525288</v>
      </c>
      <c r="O60" t="s">
        <v>24</v>
      </c>
      <c r="P60" t="s">
        <v>331</v>
      </c>
      <c r="Q60" t="s">
        <v>332</v>
      </c>
      <c r="R60" s="2">
        <v>0.73958333333333337</v>
      </c>
      <c r="S60" t="s">
        <v>24</v>
      </c>
      <c r="U60">
        <v>15262655</v>
      </c>
      <c r="V60" t="s">
        <v>67</v>
      </c>
      <c r="W60" t="s">
        <v>27</v>
      </c>
      <c r="X60" s="3"/>
    </row>
    <row r="61" spans="2:24">
      <c r="B61">
        <f t="shared" si="1"/>
        <v>59</v>
      </c>
      <c r="C61" t="s">
        <v>102</v>
      </c>
      <c r="D61" t="s">
        <v>96</v>
      </c>
      <c r="E61" t="s">
        <v>103</v>
      </c>
      <c r="F61" t="s">
        <v>98</v>
      </c>
      <c r="G61" t="s">
        <v>40</v>
      </c>
      <c r="H61" t="s">
        <v>31</v>
      </c>
      <c r="I61" t="s">
        <v>92</v>
      </c>
      <c r="J61" t="s">
        <v>22</v>
      </c>
      <c r="K61" t="s">
        <v>23</v>
      </c>
      <c r="L61" t="s">
        <v>44</v>
      </c>
      <c r="M61" s="1">
        <v>45923</v>
      </c>
      <c r="N61" s="2">
        <v>0.56944444444525288</v>
      </c>
      <c r="O61" t="s">
        <v>24</v>
      </c>
      <c r="U61">
        <v>15262655</v>
      </c>
      <c r="V61" t="s">
        <v>67</v>
      </c>
      <c r="W61" t="s">
        <v>27</v>
      </c>
      <c r="X61" s="3"/>
    </row>
    <row r="62" spans="2:24">
      <c r="B62">
        <f t="shared" si="1"/>
        <v>60</v>
      </c>
      <c r="C62" t="s">
        <v>110</v>
      </c>
      <c r="D62" t="s">
        <v>110</v>
      </c>
      <c r="E62" t="s">
        <v>111</v>
      </c>
      <c r="F62" t="s">
        <v>112</v>
      </c>
      <c r="G62" t="s">
        <v>20</v>
      </c>
      <c r="H62" t="s">
        <v>5</v>
      </c>
      <c r="I62" t="s">
        <v>92</v>
      </c>
      <c r="J62" t="s">
        <v>22</v>
      </c>
      <c r="K62" t="s">
        <v>23</v>
      </c>
      <c r="L62" t="s">
        <v>44</v>
      </c>
      <c r="M62" s="1">
        <v>45923</v>
      </c>
      <c r="N62" s="2">
        <v>0.56944444444525288</v>
      </c>
      <c r="O62" t="s">
        <v>24</v>
      </c>
      <c r="U62">
        <v>15262657</v>
      </c>
      <c r="V62" t="s">
        <v>67</v>
      </c>
      <c r="W62" t="s">
        <v>27</v>
      </c>
      <c r="X62" s="3"/>
    </row>
    <row r="63" spans="2:24">
      <c r="B63">
        <f t="shared" si="1"/>
        <v>61</v>
      </c>
      <c r="C63" t="s">
        <v>104</v>
      </c>
      <c r="D63" t="s">
        <v>104</v>
      </c>
      <c r="E63" t="s">
        <v>105</v>
      </c>
      <c r="F63" t="s">
        <v>106</v>
      </c>
      <c r="G63" t="s">
        <v>40</v>
      </c>
      <c r="H63" t="s">
        <v>5</v>
      </c>
      <c r="I63" t="s">
        <v>92</v>
      </c>
      <c r="J63" t="s">
        <v>22</v>
      </c>
      <c r="K63" t="s">
        <v>23</v>
      </c>
      <c r="L63" t="s">
        <v>44</v>
      </c>
      <c r="M63" s="1">
        <v>45923</v>
      </c>
      <c r="N63" s="2">
        <v>0.56944444444525288</v>
      </c>
      <c r="O63" t="s">
        <v>24</v>
      </c>
      <c r="U63">
        <v>15262656</v>
      </c>
      <c r="V63" t="s">
        <v>67</v>
      </c>
      <c r="W63" t="s">
        <v>27</v>
      </c>
      <c r="X63" s="3"/>
    </row>
    <row r="64" spans="2:24">
      <c r="B64">
        <f t="shared" si="1"/>
        <v>62</v>
      </c>
      <c r="C64" t="s">
        <v>107</v>
      </c>
      <c r="D64" t="s">
        <v>104</v>
      </c>
      <c r="E64" t="s">
        <v>108</v>
      </c>
      <c r="F64" t="s">
        <v>109</v>
      </c>
      <c r="G64" t="s">
        <v>20</v>
      </c>
      <c r="H64" t="s">
        <v>31</v>
      </c>
      <c r="I64" t="s">
        <v>92</v>
      </c>
      <c r="J64" t="s">
        <v>22</v>
      </c>
      <c r="K64" t="s">
        <v>23</v>
      </c>
      <c r="L64" t="s">
        <v>44</v>
      </c>
      <c r="M64" s="1">
        <v>45923</v>
      </c>
      <c r="N64" s="2">
        <v>0.56944444444525288</v>
      </c>
      <c r="O64" t="s">
        <v>24</v>
      </c>
      <c r="U64">
        <v>15262656</v>
      </c>
      <c r="V64" t="s">
        <v>67</v>
      </c>
      <c r="W64" t="s">
        <v>27</v>
      </c>
      <c r="X64" s="3"/>
    </row>
    <row r="65" spans="2:24">
      <c r="B65">
        <f t="shared" si="1"/>
        <v>63</v>
      </c>
      <c r="C65" t="s">
        <v>205</v>
      </c>
      <c r="D65" t="s">
        <v>205</v>
      </c>
      <c r="E65" t="s">
        <v>206</v>
      </c>
      <c r="F65" t="s">
        <v>207</v>
      </c>
      <c r="G65" t="s">
        <v>20</v>
      </c>
      <c r="H65" t="s">
        <v>5</v>
      </c>
      <c r="I65" t="s">
        <v>208</v>
      </c>
      <c r="J65" t="s">
        <v>22</v>
      </c>
      <c r="K65" t="s">
        <v>23</v>
      </c>
      <c r="L65" t="s">
        <v>44</v>
      </c>
      <c r="M65" s="1">
        <v>45923</v>
      </c>
      <c r="N65" s="2">
        <v>0.56944444444525288</v>
      </c>
      <c r="O65" t="s">
        <v>24</v>
      </c>
      <c r="U65">
        <v>15262723</v>
      </c>
      <c r="V65" t="s">
        <v>67</v>
      </c>
      <c r="W65" t="s">
        <v>27</v>
      </c>
      <c r="X65" s="3"/>
    </row>
    <row r="66" spans="2:24">
      <c r="B66">
        <f t="shared" si="1"/>
        <v>64</v>
      </c>
      <c r="C66" t="s">
        <v>89</v>
      </c>
      <c r="D66" t="s">
        <v>89</v>
      </c>
      <c r="E66" t="s">
        <v>90</v>
      </c>
      <c r="F66" t="s">
        <v>91</v>
      </c>
      <c r="G66" t="s">
        <v>20</v>
      </c>
      <c r="H66" t="s">
        <v>5</v>
      </c>
      <c r="I66" t="s">
        <v>92</v>
      </c>
      <c r="J66" t="s">
        <v>22</v>
      </c>
      <c r="K66" t="s">
        <v>23</v>
      </c>
      <c r="L66" t="s">
        <v>44</v>
      </c>
      <c r="M66" s="1">
        <v>45923</v>
      </c>
      <c r="N66" s="2">
        <v>0.56944444444525288</v>
      </c>
      <c r="O66" t="s">
        <v>24</v>
      </c>
      <c r="P66" t="s">
        <v>331</v>
      </c>
      <c r="Q66" t="s">
        <v>332</v>
      </c>
      <c r="R66" s="2">
        <v>0.73958333333333337</v>
      </c>
      <c r="S66" t="s">
        <v>24</v>
      </c>
      <c r="U66">
        <v>15262653</v>
      </c>
      <c r="V66" t="s">
        <v>67</v>
      </c>
      <c r="W66" t="s">
        <v>27</v>
      </c>
      <c r="X66" s="3"/>
    </row>
    <row r="67" spans="2:24">
      <c r="B67">
        <f t="shared" ref="B67:B96" si="2">ROW()-2</f>
        <v>65</v>
      </c>
      <c r="C67" t="s">
        <v>93</v>
      </c>
      <c r="D67" t="s">
        <v>89</v>
      </c>
      <c r="E67" t="s">
        <v>94</v>
      </c>
      <c r="F67" t="s">
        <v>95</v>
      </c>
      <c r="G67" t="s">
        <v>40</v>
      </c>
      <c r="H67" t="s">
        <v>31</v>
      </c>
      <c r="I67" t="s">
        <v>92</v>
      </c>
      <c r="J67" t="s">
        <v>22</v>
      </c>
      <c r="K67" t="s">
        <v>23</v>
      </c>
      <c r="L67" t="s">
        <v>44</v>
      </c>
      <c r="M67" s="1">
        <v>45923</v>
      </c>
      <c r="N67" s="2">
        <v>0.56944444444525288</v>
      </c>
      <c r="O67" t="s">
        <v>24</v>
      </c>
      <c r="P67" t="s">
        <v>331</v>
      </c>
      <c r="Q67" t="s">
        <v>332</v>
      </c>
      <c r="R67" s="2">
        <v>0.73958333333333337</v>
      </c>
      <c r="S67" t="s">
        <v>24</v>
      </c>
      <c r="U67">
        <v>15262653</v>
      </c>
      <c r="V67" t="s">
        <v>67</v>
      </c>
      <c r="W67" t="s">
        <v>27</v>
      </c>
      <c r="X67" s="3"/>
    </row>
    <row r="68" spans="2:24">
      <c r="B68">
        <f t="shared" si="2"/>
        <v>66</v>
      </c>
      <c r="C68" t="s">
        <v>113</v>
      </c>
      <c r="D68" t="s">
        <v>113</v>
      </c>
      <c r="E68" t="s">
        <v>114</v>
      </c>
      <c r="F68" t="s">
        <v>115</v>
      </c>
      <c r="G68" t="s">
        <v>20</v>
      </c>
      <c r="H68" t="s">
        <v>5</v>
      </c>
      <c r="I68" t="s">
        <v>92</v>
      </c>
      <c r="J68" t="s">
        <v>22</v>
      </c>
      <c r="K68" t="s">
        <v>23</v>
      </c>
      <c r="L68" t="s">
        <v>44</v>
      </c>
      <c r="M68" s="1">
        <v>45923</v>
      </c>
      <c r="N68" s="2">
        <v>0.56944444444525288</v>
      </c>
      <c r="O68" t="s">
        <v>24</v>
      </c>
      <c r="U68">
        <v>15262658</v>
      </c>
      <c r="V68" t="s">
        <v>67</v>
      </c>
      <c r="W68" t="s">
        <v>27</v>
      </c>
      <c r="X68" s="3"/>
    </row>
    <row r="69" spans="2:24">
      <c r="B69">
        <f t="shared" si="2"/>
        <v>67</v>
      </c>
      <c r="C69" t="s">
        <v>116</v>
      </c>
      <c r="D69" t="s">
        <v>113</v>
      </c>
      <c r="E69" t="s">
        <v>117</v>
      </c>
      <c r="F69" t="s">
        <v>118</v>
      </c>
      <c r="G69" t="s">
        <v>40</v>
      </c>
      <c r="H69" t="s">
        <v>31</v>
      </c>
      <c r="I69" t="s">
        <v>92</v>
      </c>
      <c r="J69" t="s">
        <v>22</v>
      </c>
      <c r="K69" t="s">
        <v>23</v>
      </c>
      <c r="L69" t="s">
        <v>44</v>
      </c>
      <c r="M69" s="1">
        <v>45923</v>
      </c>
      <c r="N69" s="2">
        <v>0.56944444444525288</v>
      </c>
      <c r="O69" t="s">
        <v>24</v>
      </c>
      <c r="U69">
        <v>15262658</v>
      </c>
      <c r="V69" t="s">
        <v>67</v>
      </c>
      <c r="W69" t="s">
        <v>27</v>
      </c>
      <c r="X69" s="3"/>
    </row>
    <row r="70" spans="2:24">
      <c r="B70">
        <f t="shared" si="2"/>
        <v>68</v>
      </c>
      <c r="C70" t="s">
        <v>119</v>
      </c>
      <c r="D70" t="s">
        <v>113</v>
      </c>
      <c r="E70" t="s">
        <v>120</v>
      </c>
      <c r="F70" t="s">
        <v>121</v>
      </c>
      <c r="G70" t="s">
        <v>20</v>
      </c>
      <c r="H70" t="s">
        <v>31</v>
      </c>
      <c r="I70" t="s">
        <v>92</v>
      </c>
      <c r="J70" t="s">
        <v>22</v>
      </c>
      <c r="K70" t="s">
        <v>23</v>
      </c>
      <c r="L70" t="s">
        <v>44</v>
      </c>
      <c r="M70" s="1">
        <v>45923</v>
      </c>
      <c r="N70" s="2">
        <v>0.56944444444525288</v>
      </c>
      <c r="O70" t="s">
        <v>24</v>
      </c>
      <c r="U70">
        <v>15262659</v>
      </c>
      <c r="V70" t="s">
        <v>67</v>
      </c>
      <c r="W70" t="s">
        <v>27</v>
      </c>
      <c r="X70" s="3"/>
    </row>
    <row r="71" spans="2:24">
      <c r="B71">
        <f t="shared" si="2"/>
        <v>69</v>
      </c>
      <c r="C71" t="s">
        <v>122</v>
      </c>
      <c r="D71" t="s">
        <v>113</v>
      </c>
      <c r="E71" t="s">
        <v>123</v>
      </c>
      <c r="F71" t="s">
        <v>124</v>
      </c>
      <c r="G71" t="s">
        <v>20</v>
      </c>
      <c r="H71" t="s">
        <v>31</v>
      </c>
      <c r="I71" t="s">
        <v>92</v>
      </c>
      <c r="J71" t="s">
        <v>22</v>
      </c>
      <c r="K71" t="s">
        <v>23</v>
      </c>
      <c r="L71" t="s">
        <v>44</v>
      </c>
      <c r="M71" s="1">
        <v>45923</v>
      </c>
      <c r="N71" s="2">
        <v>0.56944444444525288</v>
      </c>
      <c r="O71" t="s">
        <v>24</v>
      </c>
      <c r="U71">
        <v>15262659</v>
      </c>
      <c r="V71" t="s">
        <v>67</v>
      </c>
      <c r="W71" t="s">
        <v>27</v>
      </c>
      <c r="X71" s="3"/>
    </row>
    <row r="72" spans="2:24">
      <c r="B72">
        <f t="shared" si="2"/>
        <v>70</v>
      </c>
      <c r="C72" t="s">
        <v>68</v>
      </c>
      <c r="D72" t="s">
        <v>69</v>
      </c>
      <c r="E72" t="s">
        <v>70</v>
      </c>
      <c r="F72" t="s">
        <v>71</v>
      </c>
      <c r="G72" t="s">
        <v>20</v>
      </c>
      <c r="H72" t="s">
        <v>31</v>
      </c>
      <c r="I72" t="s">
        <v>65</v>
      </c>
      <c r="J72" t="s">
        <v>22</v>
      </c>
      <c r="K72" t="s">
        <v>23</v>
      </c>
      <c r="L72" t="s">
        <v>66</v>
      </c>
      <c r="M72" s="1">
        <v>45923</v>
      </c>
      <c r="N72" s="2">
        <v>0.83680555555474712</v>
      </c>
      <c r="O72" t="s">
        <v>24</v>
      </c>
      <c r="U72">
        <v>15262618</v>
      </c>
      <c r="V72" t="s">
        <v>67</v>
      </c>
      <c r="W72" t="s">
        <v>27</v>
      </c>
      <c r="X72" s="3"/>
    </row>
    <row r="73" spans="2:24">
      <c r="B73">
        <f t="shared" si="2"/>
        <v>71</v>
      </c>
      <c r="C73" t="s">
        <v>61</v>
      </c>
      <c r="D73" t="s">
        <v>62</v>
      </c>
      <c r="E73" t="s">
        <v>63</v>
      </c>
      <c r="F73" t="s">
        <v>64</v>
      </c>
      <c r="G73" t="s">
        <v>20</v>
      </c>
      <c r="H73" t="s">
        <v>31</v>
      </c>
      <c r="I73" t="s">
        <v>65</v>
      </c>
      <c r="J73" t="s">
        <v>22</v>
      </c>
      <c r="K73" t="s">
        <v>23</v>
      </c>
      <c r="L73" t="s">
        <v>66</v>
      </c>
      <c r="M73" s="1">
        <v>45923</v>
      </c>
      <c r="N73" s="2">
        <v>0.83680555555474712</v>
      </c>
      <c r="O73" t="s">
        <v>24</v>
      </c>
      <c r="U73">
        <v>15262611</v>
      </c>
      <c r="V73" t="s">
        <v>67</v>
      </c>
      <c r="W73" t="s">
        <v>27</v>
      </c>
      <c r="X73" s="3"/>
    </row>
    <row r="74" spans="2:24">
      <c r="B74">
        <f t="shared" si="2"/>
        <v>72</v>
      </c>
      <c r="C74" t="s">
        <v>316</v>
      </c>
      <c r="D74" t="s">
        <v>319</v>
      </c>
      <c r="E74" t="s">
        <v>320</v>
      </c>
      <c r="F74" t="s">
        <v>321</v>
      </c>
      <c r="G74" t="s">
        <v>40</v>
      </c>
      <c r="H74" t="s">
        <v>31</v>
      </c>
      <c r="I74" t="s">
        <v>325</v>
      </c>
      <c r="J74" t="s">
        <v>22</v>
      </c>
      <c r="K74" t="s">
        <v>326</v>
      </c>
      <c r="L74" t="s">
        <v>327</v>
      </c>
      <c r="M74" s="1">
        <v>45923</v>
      </c>
      <c r="N74" s="2">
        <v>0.9375</v>
      </c>
      <c r="O74" t="s">
        <v>24</v>
      </c>
      <c r="U74">
        <v>15262628</v>
      </c>
      <c r="V74" t="s">
        <v>67</v>
      </c>
      <c r="W74" t="s">
        <v>27</v>
      </c>
    </row>
    <row r="75" spans="2:24" hidden="1">
      <c r="B75">
        <f t="shared" si="2"/>
        <v>73</v>
      </c>
      <c r="C75" t="s">
        <v>317</v>
      </c>
      <c r="D75" t="s">
        <v>317</v>
      </c>
      <c r="E75" t="s">
        <v>322</v>
      </c>
      <c r="F75" t="s">
        <v>323</v>
      </c>
      <c r="G75" t="s">
        <v>40</v>
      </c>
      <c r="H75" t="s">
        <v>5</v>
      </c>
      <c r="I75" t="s">
        <v>301</v>
      </c>
      <c r="J75" t="s">
        <v>22</v>
      </c>
      <c r="K75" t="s">
        <v>326</v>
      </c>
      <c r="L75" t="s">
        <v>328</v>
      </c>
      <c r="M75" s="1">
        <v>45923</v>
      </c>
      <c r="N75" s="2">
        <v>0.53125</v>
      </c>
      <c r="O75" t="s">
        <v>24</v>
      </c>
      <c r="U75">
        <v>79764969</v>
      </c>
      <c r="V75" t="s">
        <v>158</v>
      </c>
      <c r="W75" t="s">
        <v>27</v>
      </c>
    </row>
    <row r="76" spans="2:24" hidden="1">
      <c r="B76">
        <f t="shared" si="2"/>
        <v>74</v>
      </c>
      <c r="C76" t="s">
        <v>318</v>
      </c>
      <c r="D76" t="s">
        <v>317</v>
      </c>
      <c r="E76" t="s">
        <v>324</v>
      </c>
      <c r="F76" t="s">
        <v>323</v>
      </c>
      <c r="G76" t="s">
        <v>20</v>
      </c>
      <c r="H76" t="s">
        <v>31</v>
      </c>
      <c r="I76" t="s">
        <v>301</v>
      </c>
      <c r="J76" t="s">
        <v>22</v>
      </c>
      <c r="K76" t="s">
        <v>326</v>
      </c>
      <c r="L76" t="s">
        <v>328</v>
      </c>
      <c r="M76" s="1">
        <v>45923</v>
      </c>
      <c r="N76" s="2">
        <v>0.53125</v>
      </c>
      <c r="O76" t="s">
        <v>24</v>
      </c>
      <c r="U76">
        <v>79764969</v>
      </c>
      <c r="V76" t="s">
        <v>158</v>
      </c>
      <c r="W76" t="s">
        <v>27</v>
      </c>
    </row>
    <row r="77" spans="2:24" hidden="1">
      <c r="B77">
        <f t="shared" si="2"/>
        <v>75</v>
      </c>
      <c r="C77" t="s">
        <v>162</v>
      </c>
      <c r="D77" t="s">
        <v>162</v>
      </c>
      <c r="E77" t="s">
        <v>163</v>
      </c>
      <c r="F77" t="s">
        <v>156</v>
      </c>
      <c r="G77" t="s">
        <v>40</v>
      </c>
      <c r="H77" t="s">
        <v>5</v>
      </c>
      <c r="I77" t="s">
        <v>157</v>
      </c>
      <c r="J77" t="s">
        <v>22</v>
      </c>
      <c r="K77" t="s">
        <v>23</v>
      </c>
      <c r="L77" t="s">
        <v>44</v>
      </c>
      <c r="M77" s="1">
        <v>45923</v>
      </c>
      <c r="N77" s="2">
        <v>0.56944444444525288</v>
      </c>
      <c r="O77" t="s">
        <v>24</v>
      </c>
      <c r="U77">
        <v>79754340</v>
      </c>
      <c r="V77" t="s">
        <v>158</v>
      </c>
      <c r="W77" t="s">
        <v>27</v>
      </c>
      <c r="X77" s="3"/>
    </row>
    <row r="78" spans="2:24" hidden="1">
      <c r="B78">
        <f t="shared" si="2"/>
        <v>76</v>
      </c>
      <c r="C78" t="s">
        <v>164</v>
      </c>
      <c r="D78" t="s">
        <v>162</v>
      </c>
      <c r="E78" t="s">
        <v>165</v>
      </c>
      <c r="F78" t="s">
        <v>166</v>
      </c>
      <c r="G78" t="s">
        <v>20</v>
      </c>
      <c r="H78" t="s">
        <v>31</v>
      </c>
      <c r="I78" t="s">
        <v>157</v>
      </c>
      <c r="J78" t="s">
        <v>22</v>
      </c>
      <c r="K78" t="s">
        <v>23</v>
      </c>
      <c r="L78" t="s">
        <v>44</v>
      </c>
      <c r="M78" s="1">
        <v>45923</v>
      </c>
      <c r="N78" s="2">
        <v>0.56944444444525288</v>
      </c>
      <c r="O78" t="s">
        <v>24</v>
      </c>
      <c r="U78">
        <v>79754340</v>
      </c>
      <c r="V78" t="s">
        <v>158</v>
      </c>
      <c r="W78" t="s">
        <v>27</v>
      </c>
      <c r="X78" s="3"/>
    </row>
    <row r="79" spans="2:24" hidden="1">
      <c r="B79">
        <f t="shared" si="2"/>
        <v>77</v>
      </c>
      <c r="C79" t="s">
        <v>167</v>
      </c>
      <c r="D79" t="s">
        <v>167</v>
      </c>
      <c r="E79" t="s">
        <v>168</v>
      </c>
      <c r="F79" t="s">
        <v>169</v>
      </c>
      <c r="G79" t="s">
        <v>20</v>
      </c>
      <c r="H79" t="s">
        <v>5</v>
      </c>
      <c r="I79" t="s">
        <v>157</v>
      </c>
      <c r="J79" t="s">
        <v>22</v>
      </c>
      <c r="K79" t="s">
        <v>23</v>
      </c>
      <c r="L79" t="s">
        <v>44</v>
      </c>
      <c r="M79" s="1">
        <v>45923</v>
      </c>
      <c r="N79" s="2">
        <v>0.56944444444525288</v>
      </c>
      <c r="O79" t="s">
        <v>24</v>
      </c>
      <c r="U79">
        <v>79754729</v>
      </c>
      <c r="V79" t="s">
        <v>158</v>
      </c>
      <c r="W79" t="s">
        <v>27</v>
      </c>
      <c r="X79" s="3"/>
    </row>
    <row r="80" spans="2:24" hidden="1">
      <c r="B80">
        <f t="shared" si="2"/>
        <v>78</v>
      </c>
      <c r="C80" t="s">
        <v>170</v>
      </c>
      <c r="D80" t="s">
        <v>167</v>
      </c>
      <c r="E80" t="s">
        <v>171</v>
      </c>
      <c r="F80" t="s">
        <v>156</v>
      </c>
      <c r="G80" t="s">
        <v>20</v>
      </c>
      <c r="H80" t="s">
        <v>31</v>
      </c>
      <c r="I80" t="s">
        <v>157</v>
      </c>
      <c r="J80" t="s">
        <v>22</v>
      </c>
      <c r="K80" t="s">
        <v>23</v>
      </c>
      <c r="L80" t="s">
        <v>44</v>
      </c>
      <c r="M80" s="1">
        <v>45923</v>
      </c>
      <c r="N80" s="2">
        <v>0.56944444444525288</v>
      </c>
      <c r="O80" t="s">
        <v>24</v>
      </c>
      <c r="U80">
        <v>79754729</v>
      </c>
      <c r="V80" t="s">
        <v>158</v>
      </c>
      <c r="W80" t="s">
        <v>27</v>
      </c>
      <c r="X80" s="3"/>
    </row>
    <row r="81" spans="2:24" hidden="1">
      <c r="B81">
        <f t="shared" si="2"/>
        <v>79</v>
      </c>
      <c r="C81" t="s">
        <v>298</v>
      </c>
      <c r="D81" t="s">
        <v>298</v>
      </c>
      <c r="E81" t="s">
        <v>299</v>
      </c>
      <c r="F81" t="s">
        <v>300</v>
      </c>
      <c r="G81" t="s">
        <v>20</v>
      </c>
      <c r="H81" t="s">
        <v>5</v>
      </c>
      <c r="I81" t="s">
        <v>301</v>
      </c>
      <c r="J81" t="s">
        <v>22</v>
      </c>
      <c r="K81" t="s">
        <v>23</v>
      </c>
      <c r="L81" t="s">
        <v>44</v>
      </c>
      <c r="M81" s="1">
        <v>45923</v>
      </c>
      <c r="N81" s="2">
        <v>0.56944444444525288</v>
      </c>
      <c r="O81" t="s">
        <v>24</v>
      </c>
      <c r="U81">
        <v>79765264</v>
      </c>
      <c r="V81" t="s">
        <v>158</v>
      </c>
      <c r="W81" t="s">
        <v>27</v>
      </c>
    </row>
    <row r="82" spans="2:24" hidden="1">
      <c r="B82">
        <f t="shared" si="2"/>
        <v>80</v>
      </c>
      <c r="C82" t="s">
        <v>302</v>
      </c>
      <c r="D82" t="s">
        <v>298</v>
      </c>
      <c r="E82" t="s">
        <v>303</v>
      </c>
      <c r="F82" t="s">
        <v>304</v>
      </c>
      <c r="G82" t="s">
        <v>40</v>
      </c>
      <c r="H82" t="s">
        <v>31</v>
      </c>
      <c r="I82" t="s">
        <v>301</v>
      </c>
      <c r="J82" t="s">
        <v>22</v>
      </c>
      <c r="K82" t="s">
        <v>23</v>
      </c>
      <c r="L82" t="s">
        <v>44</v>
      </c>
      <c r="M82" s="1">
        <v>45923</v>
      </c>
      <c r="N82" s="2">
        <v>0.56944444444525288</v>
      </c>
      <c r="O82" t="s">
        <v>24</v>
      </c>
      <c r="U82">
        <v>79765264</v>
      </c>
      <c r="V82" t="s">
        <v>158</v>
      </c>
      <c r="W82" t="s">
        <v>27</v>
      </c>
    </row>
    <row r="83" spans="2:24" hidden="1">
      <c r="B83">
        <f t="shared" si="2"/>
        <v>81</v>
      </c>
      <c r="C83" t="s">
        <v>305</v>
      </c>
      <c r="D83" t="s">
        <v>305</v>
      </c>
      <c r="E83" t="s">
        <v>306</v>
      </c>
      <c r="F83" t="s">
        <v>307</v>
      </c>
      <c r="G83" t="s">
        <v>20</v>
      </c>
      <c r="H83" t="s">
        <v>5</v>
      </c>
      <c r="I83" t="s">
        <v>301</v>
      </c>
      <c r="J83" t="s">
        <v>22</v>
      </c>
      <c r="K83" t="s">
        <v>23</v>
      </c>
      <c r="L83" t="s">
        <v>44</v>
      </c>
      <c r="M83" s="1">
        <v>45923</v>
      </c>
      <c r="N83" s="2">
        <v>0.56944444444525288</v>
      </c>
      <c r="O83" t="s">
        <v>24</v>
      </c>
      <c r="U83">
        <v>79768260</v>
      </c>
      <c r="V83" t="s">
        <v>158</v>
      </c>
      <c r="W83" t="s">
        <v>27</v>
      </c>
    </row>
    <row r="84" spans="2:24" hidden="1">
      <c r="B84">
        <f t="shared" si="2"/>
        <v>82</v>
      </c>
      <c r="C84" t="s">
        <v>154</v>
      </c>
      <c r="D84" t="s">
        <v>154</v>
      </c>
      <c r="E84" t="s">
        <v>155</v>
      </c>
      <c r="F84" t="s">
        <v>156</v>
      </c>
      <c r="G84" t="s">
        <v>20</v>
      </c>
      <c r="H84" t="s">
        <v>5</v>
      </c>
      <c r="I84" t="s">
        <v>157</v>
      </c>
      <c r="J84" t="s">
        <v>22</v>
      </c>
      <c r="K84" t="s">
        <v>23</v>
      </c>
      <c r="L84" t="s">
        <v>44</v>
      </c>
      <c r="M84" s="1">
        <v>45923</v>
      </c>
      <c r="N84" s="2">
        <v>0.56944444444525288</v>
      </c>
      <c r="O84" t="s">
        <v>24</v>
      </c>
      <c r="U84">
        <v>79754071</v>
      </c>
      <c r="V84" t="s">
        <v>158</v>
      </c>
      <c r="W84" t="s">
        <v>27</v>
      </c>
      <c r="X84" s="3"/>
    </row>
    <row r="85" spans="2:24" hidden="1">
      <c r="B85">
        <f t="shared" si="2"/>
        <v>83</v>
      </c>
      <c r="C85" t="s">
        <v>159</v>
      </c>
      <c r="D85" t="s">
        <v>154</v>
      </c>
      <c r="E85" t="s">
        <v>160</v>
      </c>
      <c r="F85" t="s">
        <v>161</v>
      </c>
      <c r="G85" t="s">
        <v>40</v>
      </c>
      <c r="H85" t="s">
        <v>31</v>
      </c>
      <c r="I85" t="s">
        <v>157</v>
      </c>
      <c r="J85" t="s">
        <v>22</v>
      </c>
      <c r="K85" t="s">
        <v>23</v>
      </c>
      <c r="L85" t="s">
        <v>44</v>
      </c>
      <c r="M85" s="1">
        <v>45923</v>
      </c>
      <c r="N85" s="2">
        <v>0.56944444444525288</v>
      </c>
      <c r="O85" t="s">
        <v>24</v>
      </c>
      <c r="U85">
        <v>79754071</v>
      </c>
      <c r="V85" t="s">
        <v>158</v>
      </c>
      <c r="W85" t="s">
        <v>27</v>
      </c>
      <c r="X85" s="3"/>
    </row>
    <row r="86" spans="2:24" hidden="1">
      <c r="B86">
        <f t="shared" si="2"/>
        <v>84</v>
      </c>
      <c r="C86" t="s">
        <v>176</v>
      </c>
      <c r="D86" t="s">
        <v>176</v>
      </c>
      <c r="E86" t="s">
        <v>177</v>
      </c>
      <c r="F86" t="s">
        <v>178</v>
      </c>
      <c r="G86" t="s">
        <v>20</v>
      </c>
      <c r="H86" t="s">
        <v>5</v>
      </c>
      <c r="I86" t="s">
        <v>157</v>
      </c>
      <c r="J86" t="s">
        <v>22</v>
      </c>
      <c r="K86" t="s">
        <v>23</v>
      </c>
      <c r="L86" t="s">
        <v>36</v>
      </c>
      <c r="M86" s="1">
        <v>45923</v>
      </c>
      <c r="N86" s="2">
        <v>0.63194444444525288</v>
      </c>
      <c r="O86" t="s">
        <v>24</v>
      </c>
      <c r="U86">
        <v>79755986</v>
      </c>
      <c r="V86" t="s">
        <v>158</v>
      </c>
      <c r="W86" t="s">
        <v>27</v>
      </c>
      <c r="X86" s="3"/>
    </row>
    <row r="87" spans="2:24" hidden="1">
      <c r="B87">
        <f t="shared" si="2"/>
        <v>85</v>
      </c>
      <c r="C87" t="s">
        <v>179</v>
      </c>
      <c r="D87" t="s">
        <v>176</v>
      </c>
      <c r="E87" t="s">
        <v>180</v>
      </c>
      <c r="F87" t="s">
        <v>181</v>
      </c>
      <c r="G87" t="s">
        <v>20</v>
      </c>
      <c r="H87" t="s">
        <v>31</v>
      </c>
      <c r="I87" t="s">
        <v>157</v>
      </c>
      <c r="J87" t="s">
        <v>22</v>
      </c>
      <c r="K87" t="s">
        <v>23</v>
      </c>
      <c r="L87" t="s">
        <v>36</v>
      </c>
      <c r="M87" s="1">
        <v>45923</v>
      </c>
      <c r="N87" s="2">
        <v>0.63194444444525288</v>
      </c>
      <c r="O87" t="s">
        <v>24</v>
      </c>
      <c r="U87">
        <v>79755986</v>
      </c>
      <c r="V87" t="s">
        <v>158</v>
      </c>
      <c r="W87" t="s">
        <v>27</v>
      </c>
      <c r="X87" s="3"/>
    </row>
    <row r="88" spans="2:24" hidden="1">
      <c r="B88">
        <f t="shared" si="2"/>
        <v>86</v>
      </c>
      <c r="C88" t="s">
        <v>172</v>
      </c>
      <c r="D88" t="s">
        <v>173</v>
      </c>
      <c r="E88" t="s">
        <v>174</v>
      </c>
      <c r="F88" t="s">
        <v>175</v>
      </c>
      <c r="G88" t="s">
        <v>20</v>
      </c>
      <c r="H88" t="s">
        <v>31</v>
      </c>
      <c r="I88" t="s">
        <v>157</v>
      </c>
      <c r="J88" t="s">
        <v>22</v>
      </c>
      <c r="K88" t="s">
        <v>23</v>
      </c>
      <c r="L88" t="s">
        <v>36</v>
      </c>
      <c r="M88" s="1">
        <v>45923</v>
      </c>
      <c r="N88" s="2">
        <v>0.63194444444525288</v>
      </c>
      <c r="O88" t="s">
        <v>24</v>
      </c>
      <c r="U88">
        <v>79755059</v>
      </c>
      <c r="V88" t="s">
        <v>158</v>
      </c>
      <c r="W88" t="s">
        <v>27</v>
      </c>
      <c r="X88" s="3"/>
    </row>
    <row r="89" spans="2:24" hidden="1">
      <c r="B89">
        <f t="shared" si="2"/>
        <v>87</v>
      </c>
      <c r="C89" t="s">
        <v>182</v>
      </c>
      <c r="D89" t="s">
        <v>182</v>
      </c>
      <c r="E89" t="s">
        <v>183</v>
      </c>
      <c r="F89" t="s">
        <v>161</v>
      </c>
      <c r="G89" t="s">
        <v>20</v>
      </c>
      <c r="H89" t="s">
        <v>5</v>
      </c>
      <c r="I89" t="s">
        <v>157</v>
      </c>
      <c r="J89" t="s">
        <v>22</v>
      </c>
      <c r="K89" t="s">
        <v>23</v>
      </c>
      <c r="L89" t="s">
        <v>36</v>
      </c>
      <c r="M89" s="1">
        <v>45923</v>
      </c>
      <c r="N89" s="2">
        <v>0.63194444444525288</v>
      </c>
      <c r="O89" t="s">
        <v>24</v>
      </c>
      <c r="U89">
        <v>79756284</v>
      </c>
      <c r="V89" t="s">
        <v>158</v>
      </c>
      <c r="W89" t="s">
        <v>27</v>
      </c>
      <c r="X89" s="3"/>
    </row>
    <row r="90" spans="2:24" hidden="1">
      <c r="B90">
        <f t="shared" si="2"/>
        <v>88</v>
      </c>
      <c r="C90" t="s">
        <v>184</v>
      </c>
      <c r="D90" t="s">
        <v>182</v>
      </c>
      <c r="E90" t="s">
        <v>185</v>
      </c>
      <c r="F90" t="s">
        <v>186</v>
      </c>
      <c r="G90" t="s">
        <v>20</v>
      </c>
      <c r="H90" t="s">
        <v>31</v>
      </c>
      <c r="I90" t="s">
        <v>157</v>
      </c>
      <c r="J90" t="s">
        <v>22</v>
      </c>
      <c r="K90" t="s">
        <v>23</v>
      </c>
      <c r="L90" t="s">
        <v>36</v>
      </c>
      <c r="M90" s="1">
        <v>45923</v>
      </c>
      <c r="N90" s="2">
        <v>0.63194444444525288</v>
      </c>
      <c r="O90" t="s">
        <v>24</v>
      </c>
      <c r="U90">
        <v>79756284</v>
      </c>
      <c r="V90" t="s">
        <v>158</v>
      </c>
      <c r="W90" t="s">
        <v>27</v>
      </c>
      <c r="X90" s="3"/>
    </row>
    <row r="91" spans="2:24" hidden="1">
      <c r="B91">
        <f t="shared" si="2"/>
        <v>89</v>
      </c>
      <c r="C91" t="s">
        <v>187</v>
      </c>
      <c r="D91" t="s">
        <v>187</v>
      </c>
      <c r="E91" t="s">
        <v>188</v>
      </c>
      <c r="F91" t="s">
        <v>186</v>
      </c>
      <c r="G91" t="s">
        <v>20</v>
      </c>
      <c r="H91" t="s">
        <v>5</v>
      </c>
      <c r="I91" t="s">
        <v>157</v>
      </c>
      <c r="J91" t="s">
        <v>22</v>
      </c>
      <c r="K91" t="s">
        <v>23</v>
      </c>
      <c r="L91" t="s">
        <v>36</v>
      </c>
      <c r="M91" s="1">
        <v>45923</v>
      </c>
      <c r="N91" s="2">
        <v>0.63194444444525288</v>
      </c>
      <c r="O91" t="s">
        <v>24</v>
      </c>
      <c r="U91">
        <v>79756729</v>
      </c>
      <c r="V91" t="s">
        <v>158</v>
      </c>
      <c r="W91" t="s">
        <v>27</v>
      </c>
      <c r="X91" s="3"/>
    </row>
    <row r="92" spans="2:24" hidden="1">
      <c r="B92">
        <f t="shared" si="2"/>
        <v>90</v>
      </c>
      <c r="C92" t="s">
        <v>189</v>
      </c>
      <c r="D92" t="s">
        <v>187</v>
      </c>
      <c r="E92" t="s">
        <v>190</v>
      </c>
      <c r="F92" t="s">
        <v>186</v>
      </c>
      <c r="G92" t="s">
        <v>40</v>
      </c>
      <c r="H92" t="s">
        <v>31</v>
      </c>
      <c r="I92" t="s">
        <v>157</v>
      </c>
      <c r="J92" t="s">
        <v>22</v>
      </c>
      <c r="K92" t="s">
        <v>23</v>
      </c>
      <c r="L92" t="s">
        <v>36</v>
      </c>
      <c r="M92" s="1">
        <v>45923</v>
      </c>
      <c r="N92" s="2">
        <v>0.63194444444525288</v>
      </c>
      <c r="O92" t="s">
        <v>24</v>
      </c>
      <c r="U92">
        <v>79756729</v>
      </c>
      <c r="V92" t="s">
        <v>158</v>
      </c>
      <c r="W92" t="s">
        <v>27</v>
      </c>
      <c r="X92" s="3"/>
    </row>
    <row r="93" spans="2:24" hidden="1">
      <c r="B93">
        <f t="shared" si="2"/>
        <v>91</v>
      </c>
      <c r="C93" t="s">
        <v>191</v>
      </c>
      <c r="D93" t="s">
        <v>187</v>
      </c>
      <c r="E93" t="s">
        <v>192</v>
      </c>
      <c r="F93" t="s">
        <v>186</v>
      </c>
      <c r="G93" t="s">
        <v>40</v>
      </c>
      <c r="H93" t="s">
        <v>31</v>
      </c>
      <c r="I93" t="s">
        <v>157</v>
      </c>
      <c r="J93" t="s">
        <v>22</v>
      </c>
      <c r="K93" t="s">
        <v>23</v>
      </c>
      <c r="L93" t="s">
        <v>36</v>
      </c>
      <c r="M93" s="1">
        <v>45923</v>
      </c>
      <c r="N93" s="2">
        <v>0.63194444444525288</v>
      </c>
      <c r="O93" t="s">
        <v>24</v>
      </c>
      <c r="U93">
        <v>79756729</v>
      </c>
      <c r="V93" t="s">
        <v>158</v>
      </c>
      <c r="W93" t="s">
        <v>80</v>
      </c>
      <c r="X93" s="3"/>
    </row>
    <row r="94" spans="2:24" hidden="1">
      <c r="B94">
        <f t="shared" si="2"/>
        <v>92</v>
      </c>
      <c r="C94" t="s">
        <v>193</v>
      </c>
      <c r="D94" t="s">
        <v>187</v>
      </c>
      <c r="E94" t="s">
        <v>194</v>
      </c>
      <c r="F94" t="s">
        <v>195</v>
      </c>
      <c r="G94" t="s">
        <v>20</v>
      </c>
      <c r="H94" t="s">
        <v>31</v>
      </c>
      <c r="I94" t="s">
        <v>157</v>
      </c>
      <c r="J94" t="s">
        <v>22</v>
      </c>
      <c r="K94" t="s">
        <v>23</v>
      </c>
      <c r="L94" t="s">
        <v>36</v>
      </c>
      <c r="M94" s="1">
        <v>45923</v>
      </c>
      <c r="N94" s="2">
        <v>0.63194444444525288</v>
      </c>
      <c r="O94" t="s">
        <v>24</v>
      </c>
      <c r="U94">
        <v>93625207</v>
      </c>
      <c r="V94" t="s">
        <v>158</v>
      </c>
      <c r="W94" t="s">
        <v>27</v>
      </c>
      <c r="X94" s="3"/>
    </row>
    <row r="95" spans="2:24" hidden="1">
      <c r="B95">
        <f t="shared" si="2"/>
        <v>93</v>
      </c>
      <c r="C95" t="s">
        <v>196</v>
      </c>
      <c r="D95" t="s">
        <v>187</v>
      </c>
      <c r="E95" t="s">
        <v>197</v>
      </c>
      <c r="F95" t="s">
        <v>161</v>
      </c>
      <c r="G95" t="s">
        <v>40</v>
      </c>
      <c r="H95" t="s">
        <v>31</v>
      </c>
      <c r="I95" t="s">
        <v>157</v>
      </c>
      <c r="J95" t="s">
        <v>22</v>
      </c>
      <c r="K95" t="s">
        <v>23</v>
      </c>
      <c r="L95" t="s">
        <v>36</v>
      </c>
      <c r="M95" s="1">
        <v>45923</v>
      </c>
      <c r="N95" s="2">
        <v>0.63194444444525288</v>
      </c>
      <c r="O95" t="s">
        <v>24</v>
      </c>
      <c r="U95">
        <v>93625207</v>
      </c>
      <c r="V95" t="s">
        <v>158</v>
      </c>
      <c r="W95" t="s">
        <v>27</v>
      </c>
      <c r="X95" s="3"/>
    </row>
    <row r="96" spans="2:24" hidden="1">
      <c r="B96">
        <f t="shared" si="2"/>
        <v>94</v>
      </c>
      <c r="C96" t="s">
        <v>198</v>
      </c>
      <c r="D96" t="s">
        <v>187</v>
      </c>
      <c r="E96" t="s">
        <v>199</v>
      </c>
      <c r="F96" t="s">
        <v>186</v>
      </c>
      <c r="G96" t="s">
        <v>40</v>
      </c>
      <c r="H96" t="s">
        <v>31</v>
      </c>
      <c r="I96" t="s">
        <v>157</v>
      </c>
      <c r="J96" t="s">
        <v>22</v>
      </c>
      <c r="K96" t="s">
        <v>23</v>
      </c>
      <c r="L96" t="s">
        <v>36</v>
      </c>
      <c r="M96" s="1">
        <v>45923</v>
      </c>
      <c r="N96" s="2">
        <v>0.63194444444525288</v>
      </c>
      <c r="O96" t="s">
        <v>24</v>
      </c>
      <c r="U96">
        <v>93625207</v>
      </c>
      <c r="V96" t="s">
        <v>158</v>
      </c>
      <c r="W96" t="s">
        <v>80</v>
      </c>
      <c r="X96" s="3"/>
    </row>
  </sheetData>
  <phoneticPr fontId="3" type="noConversion"/>
  <pageMargins left="0.7" right="0.7" top="0.75" bottom="0.75" header="0.3" footer="0.3"/>
  <pageSetup paperSize="9"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3402-427E-C14B-8CB9-FB2F630DC379}">
  <dimension ref="B2:I9"/>
  <sheetViews>
    <sheetView workbookViewId="0">
      <selection activeCell="H7" sqref="H7"/>
    </sheetView>
  </sheetViews>
  <sheetFormatPr baseColWidth="10" defaultRowHeight="16"/>
  <cols>
    <col min="2" max="2" width="17.5" bestFit="1" customWidth="1"/>
    <col min="3" max="8" width="9.83203125" customWidth="1"/>
    <col min="9" max="9" width="9.33203125" bestFit="1" customWidth="1"/>
  </cols>
  <sheetData>
    <row r="2" spans="2:9">
      <c r="B2" s="4" t="s">
        <v>329</v>
      </c>
      <c r="C2" s="4" t="s">
        <v>15</v>
      </c>
    </row>
    <row r="3" spans="2:9">
      <c r="B3" s="4" t="s">
        <v>330</v>
      </c>
      <c r="C3" t="s">
        <v>36</v>
      </c>
      <c r="D3" t="s">
        <v>25</v>
      </c>
      <c r="E3" t="s">
        <v>66</v>
      </c>
      <c r="F3" t="s">
        <v>44</v>
      </c>
      <c r="G3" t="s">
        <v>327</v>
      </c>
      <c r="H3" t="s">
        <v>328</v>
      </c>
      <c r="I3" t="s">
        <v>309</v>
      </c>
    </row>
    <row r="4" spans="2:9">
      <c r="B4" s="5" t="s">
        <v>26</v>
      </c>
      <c r="C4">
        <v>6</v>
      </c>
      <c r="D4">
        <v>2</v>
      </c>
      <c r="E4">
        <v>4</v>
      </c>
      <c r="F4">
        <v>7</v>
      </c>
      <c r="I4">
        <v>19</v>
      </c>
    </row>
    <row r="5" spans="2:9">
      <c r="B5" s="5" t="s">
        <v>76</v>
      </c>
      <c r="C5">
        <v>12</v>
      </c>
      <c r="D5">
        <v>17</v>
      </c>
      <c r="F5">
        <v>3</v>
      </c>
      <c r="I5">
        <v>32</v>
      </c>
    </row>
    <row r="6" spans="2:9">
      <c r="B6" s="5" t="s">
        <v>85</v>
      </c>
      <c r="D6">
        <v>4</v>
      </c>
      <c r="I6">
        <v>4</v>
      </c>
    </row>
    <row r="7" spans="2:9">
      <c r="B7" s="5" t="s">
        <v>67</v>
      </c>
      <c r="E7">
        <v>2</v>
      </c>
      <c r="F7">
        <v>14</v>
      </c>
      <c r="G7">
        <v>1</v>
      </c>
      <c r="I7">
        <v>17</v>
      </c>
    </row>
    <row r="8" spans="2:9">
      <c r="B8" s="5" t="s">
        <v>158</v>
      </c>
      <c r="C8">
        <v>11</v>
      </c>
      <c r="F8">
        <v>9</v>
      </c>
      <c r="H8">
        <v>2</v>
      </c>
      <c r="I8">
        <v>22</v>
      </c>
    </row>
    <row r="9" spans="2:9">
      <c r="B9" s="5" t="s">
        <v>309</v>
      </c>
      <c r="C9">
        <v>29</v>
      </c>
      <c r="D9">
        <v>23</v>
      </c>
      <c r="E9">
        <v>6</v>
      </c>
      <c r="F9">
        <v>33</v>
      </c>
      <c r="G9">
        <v>1</v>
      </c>
      <c r="H9">
        <v>2</v>
      </c>
      <c r="I9">
        <v>94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962030C32AD4BBCFDDB36A17CA3F1" ma:contentTypeVersion="14" ma:contentTypeDescription="Create a new document." ma:contentTypeScope="" ma:versionID="5761be0bf4b142f5ecec5e089f0e3acc">
  <xsd:schema xmlns:xsd="http://www.w3.org/2001/XMLSchema" xmlns:xs="http://www.w3.org/2001/XMLSchema" xmlns:p="http://schemas.microsoft.com/office/2006/metadata/properties" xmlns:ns2="d33ae075-394d-4e55-b0ad-505a7721498e" xmlns:ns3="e7e13fcd-dff2-415b-92dd-721a82e062f4" targetNamespace="http://schemas.microsoft.com/office/2006/metadata/properties" ma:root="true" ma:fieldsID="b75366660b4c5ab3d8b6540644156e8f" ns2:_="" ns3:_="">
    <xsd:import namespace="d33ae075-394d-4e55-b0ad-505a7721498e"/>
    <xsd:import namespace="e7e13fcd-dff2-415b-92dd-721a82e06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3ae075-394d-4e55-b0ad-505a77214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7c8c34-749a-4fb8-ba25-3fe2a278b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13fcd-dff2-415b-92dd-721a82e06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000ef2-d9f1-4586-9ee2-48224ebd34ff}" ma:internalName="TaxCatchAll" ma:showField="CatchAllData" ma:web="e7e13fcd-dff2-415b-92dd-721a82e06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e13fcd-dff2-415b-92dd-721a82e062f4" xsi:nil="true"/>
    <lcf76f155ced4ddcb4097134ff3c332f xmlns="d33ae075-394d-4e55-b0ad-505a772149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DC0F46-6A32-415E-B7AC-037F99B8C3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283DB1-5C14-4176-B712-BFBA464290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3ae075-394d-4e55-b0ad-505a7721498e"/>
    <ds:schemaRef ds:uri="e7e13fcd-dff2-415b-92dd-721a82e062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C159F2-058F-4825-A290-04E85DC39FB4}">
  <ds:schemaRefs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e7e13fcd-dff2-415b-92dd-721a82e062f4"/>
    <ds:schemaRef ds:uri="http://schemas.microsoft.com/office/2006/metadata/properties"/>
    <ds:schemaRef ds:uri="d33ae075-394d-4e55-b0ad-505a7721498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Windy Nguyen</dc:creator>
  <cp:lastModifiedBy>Adam Yan - Journey Beyond Asia</cp:lastModifiedBy>
  <cp:lastPrinted>2025-09-22T10:30:21Z</cp:lastPrinted>
  <dcterms:created xsi:type="dcterms:W3CDTF">2025-09-22T09:33:45Z</dcterms:created>
  <dcterms:modified xsi:type="dcterms:W3CDTF">2025-09-22T10:32:01Z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0x01010091B962030C32AD4BBCFDDB36A17CA3F1</vt:lpwstr>
  </property>
  <property fmtid="{D5CDD505-2E9C-101B-9397-08002B2CF9AE}" pid="3" name="MediaServiceImageTags">
    <vt:lpwstr/>
  </property>
</Properties>
</file>