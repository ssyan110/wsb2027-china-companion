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"/>
    </mc:Choice>
  </mc:AlternateContent>
  <xr:revisionPtr revIDLastSave="0" documentId="13_ncr:1_{3940BD26-9BDB-B840-91B7-B339F0ED9BF5}" xr6:coauthVersionLast="47" xr6:coauthVersionMax="47" xr10:uidLastSave="{00000000-0000-0000-0000-000000000000}"/>
  <bookViews>
    <workbookView xWindow="0" yWindow="0" windowWidth="28800" windowHeight="18000" activeTab="1" xr2:uid="{C7B8BDEA-0A7C-4103-B7A8-279C325E74AA}"/>
  </bookViews>
  <sheets>
    <sheet name="Old arrangement" sheetId="1" state="hidden" r:id="rId1"/>
    <sheet name="B.Departure Grouping_amended" sheetId="2" r:id="rId2"/>
  </sheets>
  <externalReferences>
    <externalReference r:id="rId3"/>
  </externalReferences>
  <definedNames>
    <definedName name="_Order1">255</definedName>
    <definedName name="_Sort" localSheetId="1">#REF!</definedName>
    <definedName name="_Sort">#REF!</definedName>
    <definedName name="JBA_CODE">[1]Allocation!$AC$2:$AC$3234</definedName>
    <definedName name="status_gray" localSheetId="1">#REF!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" i="2" l="1"/>
  <c r="O67" i="2" l="1"/>
  <c r="H70" i="2"/>
  <c r="AN383" i="2"/>
  <c r="AN382" i="2"/>
  <c r="AN381" i="2"/>
  <c r="AN380" i="2"/>
  <c r="AN379" i="2"/>
  <c r="AN378" i="2"/>
  <c r="AN377" i="2"/>
  <c r="AN376" i="2"/>
  <c r="AN375" i="2"/>
  <c r="AN374" i="2"/>
  <c r="AN373" i="2"/>
  <c r="AN372" i="2"/>
  <c r="AN371" i="2"/>
  <c r="AN370" i="2"/>
  <c r="AN369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T241" i="2"/>
  <c r="S241" i="2"/>
  <c r="R241" i="2"/>
  <c r="Q241" i="2"/>
  <c r="P241" i="2"/>
  <c r="N241" i="2"/>
  <c r="M241" i="2"/>
  <c r="L241" i="2"/>
  <c r="K241" i="2"/>
  <c r="AN240" i="2"/>
  <c r="AN239" i="2"/>
  <c r="H239" i="2"/>
  <c r="AN238" i="2"/>
  <c r="H238" i="2"/>
  <c r="AN237" i="2"/>
  <c r="O237" i="2"/>
  <c r="H237" i="2"/>
  <c r="G237" i="2" s="1"/>
  <c r="F237" i="2" s="1"/>
  <c r="E237" i="2" s="1"/>
  <c r="D237" i="2" s="1"/>
  <c r="C237" i="2" s="1"/>
  <c r="B237" i="2" s="1"/>
  <c r="AN236" i="2"/>
  <c r="O236" i="2"/>
  <c r="H236" i="2"/>
  <c r="F236" i="2" s="1"/>
  <c r="E236" i="2" s="1"/>
  <c r="D236" i="2" s="1"/>
  <c r="AN235" i="2"/>
  <c r="H235" i="2"/>
  <c r="AN234" i="2"/>
  <c r="H234" i="2"/>
  <c r="AN233" i="2"/>
  <c r="H233" i="2"/>
  <c r="AN232" i="2"/>
  <c r="H232" i="2"/>
  <c r="AN231" i="2"/>
  <c r="H231" i="2"/>
  <c r="AN230" i="2"/>
  <c r="H230" i="2"/>
  <c r="AN229" i="2"/>
  <c r="H229" i="2"/>
  <c r="AN228" i="2"/>
  <c r="O228" i="2"/>
  <c r="H228" i="2"/>
  <c r="G228" i="2" s="1"/>
  <c r="F228" i="2" s="1"/>
  <c r="E228" i="2" s="1"/>
  <c r="D228" i="2" s="1"/>
  <c r="C228" i="2" s="1"/>
  <c r="B228" i="2" s="1"/>
  <c r="H227" i="2"/>
  <c r="H226" i="2"/>
  <c r="AN225" i="2"/>
  <c r="H225" i="2"/>
  <c r="AN224" i="2"/>
  <c r="H224" i="2"/>
  <c r="AN223" i="2"/>
  <c r="H223" i="2"/>
  <c r="AN222" i="2"/>
  <c r="H222" i="2"/>
  <c r="AN221" i="2"/>
  <c r="H221" i="2"/>
  <c r="AN220" i="2"/>
  <c r="O220" i="2"/>
  <c r="H220" i="2"/>
  <c r="G220" i="2" s="1"/>
  <c r="F220" i="2" s="1"/>
  <c r="E220" i="2" s="1"/>
  <c r="D220" i="2" s="1"/>
  <c r="C220" i="2" s="1"/>
  <c r="B220" i="2" s="1"/>
  <c r="AN219" i="2"/>
  <c r="H219" i="2"/>
  <c r="AN218" i="2"/>
  <c r="H218" i="2"/>
  <c r="AN217" i="2"/>
  <c r="H217" i="2"/>
  <c r="AN216" i="2"/>
  <c r="H216" i="2"/>
  <c r="AN215" i="2"/>
  <c r="H215" i="2"/>
  <c r="AN214" i="2"/>
  <c r="O214" i="2"/>
  <c r="H214" i="2"/>
  <c r="G214" i="2" s="1"/>
  <c r="F214" i="2" s="1"/>
  <c r="E214" i="2" s="1"/>
  <c r="D214" i="2" s="1"/>
  <c r="C214" i="2" s="1"/>
  <c r="B214" i="2" s="1"/>
  <c r="AN213" i="2"/>
  <c r="H213" i="2"/>
  <c r="AN212" i="2"/>
  <c r="H212" i="2"/>
  <c r="AN211" i="2"/>
  <c r="O211" i="2"/>
  <c r="H211" i="2"/>
  <c r="G211" i="2" s="1"/>
  <c r="F211" i="2" s="1"/>
  <c r="E211" i="2" s="1"/>
  <c r="D211" i="2" s="1"/>
  <c r="AN210" i="2"/>
  <c r="H210" i="2"/>
  <c r="AN209" i="2"/>
  <c r="H209" i="2"/>
  <c r="G208" i="2" s="1"/>
  <c r="F208" i="2" s="1"/>
  <c r="E208" i="2" s="1"/>
  <c r="D208" i="2" s="1"/>
  <c r="C208" i="2" s="1"/>
  <c r="B208" i="2" s="1"/>
  <c r="AN208" i="2"/>
  <c r="O208" i="2"/>
  <c r="H208" i="2"/>
  <c r="AN207" i="2"/>
  <c r="H207" i="2"/>
  <c r="AN206" i="2"/>
  <c r="H206" i="2"/>
  <c r="AN205" i="2"/>
  <c r="H205" i="2"/>
  <c r="AN204" i="2"/>
  <c r="O204" i="2"/>
  <c r="H204" i="2"/>
  <c r="F204" i="2" s="1"/>
  <c r="E204" i="2" s="1"/>
  <c r="D204" i="2" s="1"/>
  <c r="C204" i="2" s="1"/>
  <c r="B204" i="2" s="1"/>
  <c r="AN203" i="2"/>
  <c r="H203" i="2"/>
  <c r="AN202" i="2"/>
  <c r="H202" i="2"/>
  <c r="H201" i="2"/>
  <c r="AN200" i="2"/>
  <c r="H200" i="2"/>
  <c r="AN199" i="2"/>
  <c r="H199" i="2"/>
  <c r="F199" i="2"/>
  <c r="E199" i="2" s="1"/>
  <c r="D199" i="2" s="1"/>
  <c r="C202" i="2" s="1"/>
  <c r="B202" i="2" s="1"/>
  <c r="AN198" i="2"/>
  <c r="H198" i="2"/>
  <c r="AN197" i="2"/>
  <c r="AN196" i="2"/>
  <c r="H196" i="2"/>
  <c r="AN195" i="2"/>
  <c r="O195" i="2"/>
  <c r="H195" i="2"/>
  <c r="G195" i="2" s="1"/>
  <c r="F195" i="2" s="1"/>
  <c r="E195" i="2" s="1"/>
  <c r="D195" i="2" s="1"/>
  <c r="C195" i="2" s="1"/>
  <c r="B195" i="2" s="1"/>
  <c r="AN194" i="2"/>
  <c r="H194" i="2"/>
  <c r="AN192" i="2"/>
  <c r="H192" i="2"/>
  <c r="AN191" i="2"/>
  <c r="O191" i="2"/>
  <c r="H191" i="2"/>
  <c r="F191" i="2" s="1"/>
  <c r="E191" i="2" s="1"/>
  <c r="D191" i="2" s="1"/>
  <c r="C191" i="2" s="1"/>
  <c r="B191" i="2" s="1"/>
  <c r="AN190" i="2"/>
  <c r="O190" i="2"/>
  <c r="H190" i="2"/>
  <c r="F190" i="2" s="1"/>
  <c r="E190" i="2" s="1"/>
  <c r="D190" i="2" s="1"/>
  <c r="AN189" i="2"/>
  <c r="H189" i="2"/>
  <c r="AN188" i="2"/>
  <c r="O188" i="2"/>
  <c r="H188" i="2"/>
  <c r="G188" i="2" s="1"/>
  <c r="F188" i="2" s="1"/>
  <c r="E188" i="2" s="1"/>
  <c r="D188" i="2" s="1"/>
  <c r="C188" i="2" s="1"/>
  <c r="B188" i="2" s="1"/>
  <c r="AN187" i="2"/>
  <c r="H187" i="2"/>
  <c r="AN186" i="2"/>
  <c r="H186" i="2"/>
  <c r="AN185" i="2"/>
  <c r="H185" i="2"/>
  <c r="AN184" i="2"/>
  <c r="H184" i="2"/>
  <c r="AN183" i="2"/>
  <c r="H183" i="2"/>
  <c r="AN182" i="2"/>
  <c r="O182" i="2"/>
  <c r="H182" i="2"/>
  <c r="G182" i="2"/>
  <c r="F182" i="2" s="1"/>
  <c r="E182" i="2" s="1"/>
  <c r="D182" i="2" s="1"/>
  <c r="C182" i="2" s="1"/>
  <c r="B182" i="2" s="1"/>
  <c r="AN181" i="2"/>
  <c r="O181" i="2"/>
  <c r="H181" i="2"/>
  <c r="F181" i="2" s="1"/>
  <c r="C181" i="2" s="1"/>
  <c r="B181" i="2" s="1"/>
  <c r="AN180" i="2"/>
  <c r="H180" i="2"/>
  <c r="AN179" i="2"/>
  <c r="H179" i="2"/>
  <c r="AN178" i="2"/>
  <c r="H178" i="2"/>
  <c r="AN177" i="2"/>
  <c r="H177" i="2"/>
  <c r="AN176" i="2"/>
  <c r="O176" i="2"/>
  <c r="H176" i="2"/>
  <c r="F176" i="2" s="1"/>
  <c r="E176" i="2" s="1"/>
  <c r="D176" i="2" s="1"/>
  <c r="C176" i="2" s="1"/>
  <c r="B176" i="2" s="1"/>
  <c r="AN175" i="2"/>
  <c r="H175" i="2"/>
  <c r="AN174" i="2"/>
  <c r="H174" i="2"/>
  <c r="AN173" i="2"/>
  <c r="H173" i="2"/>
  <c r="AN172" i="2"/>
  <c r="H172" i="2"/>
  <c r="AN171" i="2"/>
  <c r="H171" i="2"/>
  <c r="G171" i="2" s="1"/>
  <c r="F171" i="2" s="1"/>
  <c r="E171" i="2" s="1"/>
  <c r="D171" i="2" s="1"/>
  <c r="C171" i="2" s="1"/>
  <c r="B171" i="2" s="1"/>
  <c r="AN170" i="2"/>
  <c r="H170" i="2"/>
  <c r="AN169" i="2"/>
  <c r="H169" i="2"/>
  <c r="AN168" i="2"/>
  <c r="H168" i="2"/>
  <c r="AN167" i="2"/>
  <c r="H167" i="2"/>
  <c r="AN166" i="2"/>
  <c r="H166" i="2"/>
  <c r="AN165" i="2"/>
  <c r="O165" i="2"/>
  <c r="H165" i="2"/>
  <c r="F165" i="2" s="1"/>
  <c r="G165" i="2" s="1"/>
  <c r="AN164" i="2"/>
  <c r="H164" i="2"/>
  <c r="AN163" i="2"/>
  <c r="H163" i="2"/>
  <c r="AN162" i="2"/>
  <c r="H162" i="2"/>
  <c r="AN161" i="2"/>
  <c r="O161" i="2"/>
  <c r="H161" i="2"/>
  <c r="G161" i="2" s="1"/>
  <c r="F161" i="2" s="1"/>
  <c r="E161" i="2" s="1"/>
  <c r="D161" i="2" s="1"/>
  <c r="C161" i="2" s="1"/>
  <c r="B161" i="2" s="1"/>
  <c r="AN160" i="2"/>
  <c r="H160" i="2"/>
  <c r="AN159" i="2"/>
  <c r="AL159" i="2"/>
  <c r="AK159" i="2"/>
  <c r="AJ159" i="2"/>
  <c r="AI159" i="2"/>
  <c r="AG159" i="2"/>
  <c r="AF159" i="2"/>
  <c r="AE159" i="2"/>
  <c r="H159" i="2"/>
  <c r="AN158" i="2"/>
  <c r="AH158" i="2"/>
  <c r="AA158" i="2"/>
  <c r="X158" i="2" s="1"/>
  <c r="W158" i="2" s="1"/>
  <c r="AN157" i="2"/>
  <c r="AH157" i="2"/>
  <c r="AA157" i="2"/>
  <c r="X157" i="2" s="1"/>
  <c r="W157" i="2" s="1"/>
  <c r="H157" i="2"/>
  <c r="AN156" i="2"/>
  <c r="AH156" i="2"/>
  <c r="AA156" i="2"/>
  <c r="Z156" i="2" s="1"/>
  <c r="Y156" i="2" s="1"/>
  <c r="O156" i="2"/>
  <c r="H156" i="2"/>
  <c r="G156" i="2"/>
  <c r="F156" i="2" s="1"/>
  <c r="E156" i="2" s="1"/>
  <c r="D156" i="2" s="1"/>
  <c r="AN155" i="2"/>
  <c r="H155" i="2"/>
  <c r="AN154" i="2"/>
  <c r="H154" i="2"/>
  <c r="AN153" i="2"/>
  <c r="AA153" i="2"/>
  <c r="AA152" i="2" s="1"/>
  <c r="O153" i="2"/>
  <c r="H153" i="2"/>
  <c r="G153" i="2" s="1"/>
  <c r="F153" i="2" s="1"/>
  <c r="E153" i="2" s="1"/>
  <c r="D153" i="2" s="1"/>
  <c r="C153" i="2" s="1"/>
  <c r="B153" i="2" s="1"/>
  <c r="AN152" i="2"/>
  <c r="AH152" i="2"/>
  <c r="AH159" i="2" s="1"/>
  <c r="O152" i="2"/>
  <c r="H152" i="2"/>
  <c r="E152" i="2" s="1"/>
  <c r="D152" i="2" s="1"/>
  <c r="AN151" i="2"/>
  <c r="AN150" i="2"/>
  <c r="AN149" i="2"/>
  <c r="AN148" i="2"/>
  <c r="AN147" i="2"/>
  <c r="AN146" i="2"/>
  <c r="AN145" i="2"/>
  <c r="AN144" i="2"/>
  <c r="T144" i="2"/>
  <c r="S144" i="2"/>
  <c r="R144" i="2"/>
  <c r="Q144" i="2"/>
  <c r="P144" i="2"/>
  <c r="AH6" i="2" s="1"/>
  <c r="N144" i="2"/>
  <c r="M144" i="2"/>
  <c r="L144" i="2"/>
  <c r="K144" i="2"/>
  <c r="AN143" i="2"/>
  <c r="AN142" i="2"/>
  <c r="O142" i="2"/>
  <c r="G142" i="2"/>
  <c r="E142" i="2" s="1"/>
  <c r="D142" i="2" s="1"/>
  <c r="AN141" i="2"/>
  <c r="H141" i="2"/>
  <c r="AN140" i="2"/>
  <c r="H140" i="2"/>
  <c r="AN139" i="2"/>
  <c r="O139" i="2"/>
  <c r="H139" i="2"/>
  <c r="F139" i="2" s="1"/>
  <c r="E139" i="2" s="1"/>
  <c r="D139" i="2" s="1"/>
  <c r="C139" i="2" s="1"/>
  <c r="B139" i="2" s="1"/>
  <c r="H138" i="2"/>
  <c r="AN137" i="2"/>
  <c r="H137" i="2"/>
  <c r="AN136" i="2"/>
  <c r="H136" i="2"/>
  <c r="AN135" i="2"/>
  <c r="H135" i="2"/>
  <c r="AN134" i="2"/>
  <c r="O134" i="2"/>
  <c r="H134" i="2"/>
  <c r="F134" i="2" s="1"/>
  <c r="E134" i="2" s="1"/>
  <c r="D134" i="2" s="1"/>
  <c r="C134" i="2" s="1"/>
  <c r="B134" i="2" s="1"/>
  <c r="H133" i="2"/>
  <c r="AN132" i="2"/>
  <c r="H132" i="2"/>
  <c r="AN131" i="2"/>
  <c r="H131" i="2"/>
  <c r="AN130" i="2"/>
  <c r="H130" i="2"/>
  <c r="AN129" i="2"/>
  <c r="H129" i="2"/>
  <c r="AN128" i="2"/>
  <c r="H128" i="2"/>
  <c r="AN127" i="2"/>
  <c r="O127" i="2"/>
  <c r="H127" i="2"/>
  <c r="G127" i="2" s="1"/>
  <c r="F127" i="2" s="1"/>
  <c r="E127" i="2" s="1"/>
  <c r="D127" i="2" s="1"/>
  <c r="C127" i="2" s="1"/>
  <c r="B127" i="2" s="1"/>
  <c r="AN126" i="2"/>
  <c r="H126" i="2"/>
  <c r="AN125" i="2"/>
  <c r="H125" i="2"/>
  <c r="AN124" i="2"/>
  <c r="H124" i="2"/>
  <c r="AN123" i="2"/>
  <c r="H123" i="2"/>
  <c r="G122" i="2" s="1"/>
  <c r="E122" i="2" s="1"/>
  <c r="D122" i="2" s="1"/>
  <c r="C122" i="2" s="1"/>
  <c r="B122" i="2" s="1"/>
  <c r="AN122" i="2"/>
  <c r="O122" i="2"/>
  <c r="H122" i="2"/>
  <c r="AN121" i="2"/>
  <c r="H121" i="2"/>
  <c r="AN120" i="2"/>
  <c r="H120" i="2"/>
  <c r="AN119" i="2"/>
  <c r="H119" i="2"/>
  <c r="H118" i="2"/>
  <c r="AN117" i="2"/>
  <c r="H117" i="2"/>
  <c r="AN116" i="2"/>
  <c r="H116" i="2"/>
  <c r="AN115" i="2"/>
  <c r="H115" i="2"/>
  <c r="G115" i="2"/>
  <c r="F115" i="2" s="1"/>
  <c r="E115" i="2" s="1"/>
  <c r="D115" i="2" s="1"/>
  <c r="C115" i="2" s="1"/>
  <c r="AN114" i="2"/>
  <c r="H114" i="2"/>
  <c r="AN113" i="2"/>
  <c r="H113" i="2"/>
  <c r="AN112" i="2"/>
  <c r="H112" i="2"/>
  <c r="AN111" i="2"/>
  <c r="O111" i="2"/>
  <c r="H111" i="2"/>
  <c r="G111" i="2" s="1"/>
  <c r="E111" i="2" s="1"/>
  <c r="D111" i="2" s="1"/>
  <c r="C111" i="2" s="1"/>
  <c r="B111" i="2" s="1"/>
  <c r="AN110" i="2"/>
  <c r="H110" i="2"/>
  <c r="AN109" i="2"/>
  <c r="H109" i="2"/>
  <c r="H108" i="2"/>
  <c r="F108" i="2" s="1"/>
  <c r="H107" i="2"/>
  <c r="AN106" i="2"/>
  <c r="H106" i="2"/>
  <c r="AN105" i="2"/>
  <c r="H105" i="2"/>
  <c r="F105" i="2" s="1"/>
  <c r="E105" i="2" s="1"/>
  <c r="D105" i="2" s="1"/>
  <c r="AN104" i="2"/>
  <c r="H104" i="2"/>
  <c r="AN103" i="2"/>
  <c r="H103" i="2"/>
  <c r="AN102" i="2"/>
  <c r="H102" i="2"/>
  <c r="AN101" i="2"/>
  <c r="O101" i="2"/>
  <c r="H101" i="2"/>
  <c r="G101" i="2" s="1"/>
  <c r="F101" i="2" s="1"/>
  <c r="E101" i="2" s="1"/>
  <c r="D101" i="2" s="1"/>
  <c r="C101" i="2" s="1"/>
  <c r="B101" i="2" s="1"/>
  <c r="AN100" i="2"/>
  <c r="H100" i="2"/>
  <c r="AN99" i="2"/>
  <c r="H99" i="2"/>
  <c r="AN98" i="2"/>
  <c r="H98" i="2"/>
  <c r="AN97" i="2"/>
  <c r="H97" i="2"/>
  <c r="AN96" i="2"/>
  <c r="H96" i="2"/>
  <c r="AN95" i="2"/>
  <c r="O95" i="2"/>
  <c r="H95" i="2"/>
  <c r="G95" i="2" s="1"/>
  <c r="F95" i="2" s="1"/>
  <c r="E95" i="2" s="1"/>
  <c r="D95" i="2" s="1"/>
  <c r="C95" i="2" s="1"/>
  <c r="B95" i="2" s="1"/>
  <c r="AN94" i="2"/>
  <c r="H94" i="2"/>
  <c r="AN93" i="2"/>
  <c r="H93" i="2"/>
  <c r="AN92" i="2"/>
  <c r="H92" i="2"/>
  <c r="AN91" i="2"/>
  <c r="H91" i="2"/>
  <c r="AN90" i="2"/>
  <c r="O90" i="2"/>
  <c r="H90" i="2"/>
  <c r="G90" i="2" s="1"/>
  <c r="F90" i="2" s="1"/>
  <c r="C90" i="2" s="1"/>
  <c r="B90" i="2" s="1"/>
  <c r="AN89" i="2"/>
  <c r="H89" i="2"/>
  <c r="AN88" i="2"/>
  <c r="H88" i="2"/>
  <c r="AN87" i="2"/>
  <c r="H87" i="2"/>
  <c r="G85" i="2" s="1"/>
  <c r="F85" i="2" s="1"/>
  <c r="E85" i="2" s="1"/>
  <c r="D85" i="2" s="1"/>
  <c r="C85" i="2" s="1"/>
  <c r="B85" i="2" s="1"/>
  <c r="AN86" i="2"/>
  <c r="H86" i="2"/>
  <c r="AN85" i="2"/>
  <c r="O85" i="2"/>
  <c r="H85" i="2"/>
  <c r="AN84" i="2"/>
  <c r="H84" i="2"/>
  <c r="AN83" i="2"/>
  <c r="H83" i="2"/>
  <c r="AN82" i="2"/>
  <c r="H82" i="2"/>
  <c r="F82" i="2" s="1"/>
  <c r="E82" i="2" s="1"/>
  <c r="D82" i="2" s="1"/>
  <c r="C82" i="2" s="1"/>
  <c r="B82" i="2" s="1"/>
  <c r="AN81" i="2"/>
  <c r="H81" i="2"/>
  <c r="AN80" i="2"/>
  <c r="H80" i="2"/>
  <c r="AN79" i="2"/>
  <c r="O79" i="2"/>
  <c r="H79" i="2"/>
  <c r="F79" i="2" s="1"/>
  <c r="E79" i="2" s="1"/>
  <c r="D79" i="2" s="1"/>
  <c r="C79" i="2" s="1"/>
  <c r="B79" i="2" s="1"/>
  <c r="AN78" i="2"/>
  <c r="H78" i="2"/>
  <c r="AN77" i="2"/>
  <c r="H77" i="2"/>
  <c r="AN76" i="2"/>
  <c r="H76" i="2"/>
  <c r="AN75" i="2"/>
  <c r="H75" i="2"/>
  <c r="G76" i="2" s="1"/>
  <c r="F76" i="2" s="1"/>
  <c r="E76" i="2" s="1"/>
  <c r="D76" i="2" s="1"/>
  <c r="C75" i="2" s="1"/>
  <c r="B75" i="2" s="1"/>
  <c r="H74" i="2"/>
  <c r="AN73" i="2"/>
  <c r="AN72" i="2"/>
  <c r="H72" i="2"/>
  <c r="B72" i="2"/>
  <c r="AN71" i="2"/>
  <c r="H71" i="2"/>
  <c r="AN69" i="2"/>
  <c r="H69" i="2"/>
  <c r="AN68" i="2"/>
  <c r="H68" i="2"/>
  <c r="AN67" i="2"/>
  <c r="H67" i="2"/>
  <c r="G67" i="2" s="1"/>
  <c r="F67" i="2" s="1"/>
  <c r="E67" i="2" s="1"/>
  <c r="D67" i="2" s="1"/>
  <c r="AN66" i="2"/>
  <c r="H66" i="2"/>
  <c r="AN65" i="2"/>
  <c r="H65" i="2"/>
  <c r="AN64" i="2"/>
  <c r="H64" i="2"/>
  <c r="AN63" i="2"/>
  <c r="H63" i="2"/>
  <c r="AN62" i="2"/>
  <c r="H62" i="2"/>
  <c r="AN61" i="2"/>
  <c r="O61" i="2"/>
  <c r="H61" i="2"/>
  <c r="G61" i="2" s="1"/>
  <c r="F61" i="2" s="1"/>
  <c r="E61" i="2" s="1"/>
  <c r="D61" i="2" s="1"/>
  <c r="C61" i="2" s="1"/>
  <c r="B61" i="2" s="1"/>
  <c r="AN60" i="2"/>
  <c r="H60" i="2"/>
  <c r="AN59" i="2"/>
  <c r="H59" i="2"/>
  <c r="AN58" i="2"/>
  <c r="H58" i="2"/>
  <c r="AN57" i="2"/>
  <c r="H57" i="2"/>
  <c r="AN56" i="2"/>
  <c r="AM56" i="2"/>
  <c r="AK3" i="2" s="1"/>
  <c r="AL56" i="2"/>
  <c r="AJ3" i="2" s="1"/>
  <c r="AK56" i="2"/>
  <c r="AI3" i="2" s="1"/>
  <c r="AJ56" i="2"/>
  <c r="O56" i="2"/>
  <c r="H56" i="2"/>
  <c r="H55" i="2"/>
  <c r="AN54" i="2"/>
  <c r="AI54" i="2"/>
  <c r="AB54" i="2"/>
  <c r="AA54" i="2" s="1"/>
  <c r="Z54" i="2" s="1"/>
  <c r="H54" i="2"/>
  <c r="G54" i="2" s="1"/>
  <c r="F54" i="2" s="1"/>
  <c r="E54" i="2" s="1"/>
  <c r="D54" i="2" s="1"/>
  <c r="C54" i="2" s="1"/>
  <c r="B54" i="2" s="1"/>
  <c r="AN53" i="2"/>
  <c r="AN52" i="2"/>
  <c r="AI52" i="2"/>
  <c r="AA52" i="2"/>
  <c r="Z52" i="2" s="1"/>
  <c r="O52" i="2"/>
  <c r="H52" i="2"/>
  <c r="F52" i="2" s="1"/>
  <c r="E52" i="2" s="1"/>
  <c r="D52" i="2" s="1"/>
  <c r="AN51" i="2"/>
  <c r="AN50" i="2"/>
  <c r="AN49" i="2"/>
  <c r="AN48" i="2"/>
  <c r="AN47" i="2"/>
  <c r="AN46" i="2"/>
  <c r="P46" i="2"/>
  <c r="O46" i="2"/>
  <c r="AK6" i="2" s="1"/>
  <c r="N46" i="2"/>
  <c r="M46" i="2"/>
  <c r="L46" i="2"/>
  <c r="J46" i="2"/>
  <c r="I46" i="2"/>
  <c r="AN45" i="2"/>
  <c r="F45" i="2"/>
  <c r="AN44" i="2"/>
  <c r="F44" i="2"/>
  <c r="AN43" i="2"/>
  <c r="F43" i="2"/>
  <c r="AN42" i="2"/>
  <c r="F42" i="2"/>
  <c r="AN41" i="2"/>
  <c r="K41" i="2"/>
  <c r="F41" i="2"/>
  <c r="E41" i="2" s="1"/>
  <c r="D41" i="2" s="1"/>
  <c r="C41" i="2" s="1"/>
  <c r="B41" i="2" s="1"/>
  <c r="AN40" i="2"/>
  <c r="F40" i="2"/>
  <c r="AN39" i="2"/>
  <c r="K39" i="2"/>
  <c r="F39" i="2"/>
  <c r="E39" i="2" s="1"/>
  <c r="D39" i="2" s="1"/>
  <c r="C39" i="2" s="1"/>
  <c r="B39" i="2" s="1"/>
  <c r="AN38" i="2"/>
  <c r="F38" i="2"/>
  <c r="AN37" i="2"/>
  <c r="F37" i="2"/>
  <c r="AN36" i="2"/>
  <c r="F36" i="2"/>
  <c r="AN35" i="2"/>
  <c r="K35" i="2"/>
  <c r="F35" i="2"/>
  <c r="E35" i="2" s="1"/>
  <c r="D35" i="2" s="1"/>
  <c r="C35" i="2" s="1"/>
  <c r="B35" i="2" s="1"/>
  <c r="AN34" i="2"/>
  <c r="F34" i="2"/>
  <c r="AN33" i="2"/>
  <c r="K33" i="2"/>
  <c r="F33" i="2"/>
  <c r="E33" i="2" s="1"/>
  <c r="D33" i="2" s="1"/>
  <c r="C33" i="2" s="1"/>
  <c r="B33" i="2" s="1"/>
  <c r="AN32" i="2"/>
  <c r="F32" i="2"/>
  <c r="AN31" i="2"/>
  <c r="K31" i="2"/>
  <c r="F31" i="2"/>
  <c r="D31" i="2" s="1"/>
  <c r="C31" i="2" s="1"/>
  <c r="B31" i="2" s="1"/>
  <c r="AN30" i="2"/>
  <c r="F30" i="2"/>
  <c r="AN29" i="2"/>
  <c r="K29" i="2"/>
  <c r="F29" i="2"/>
  <c r="E29" i="2" s="1"/>
  <c r="D29" i="2" s="1"/>
  <c r="C29" i="2" s="1"/>
  <c r="B29" i="2" s="1"/>
  <c r="AN28" i="2"/>
  <c r="F28" i="2"/>
  <c r="AN27" i="2"/>
  <c r="K27" i="2"/>
  <c r="F27" i="2"/>
  <c r="E27" i="2" s="1"/>
  <c r="AN26" i="2"/>
  <c r="K26" i="2"/>
  <c r="F26" i="2"/>
  <c r="D26" i="2" s="1"/>
  <c r="AN25" i="2"/>
  <c r="K25" i="2"/>
  <c r="F25" i="2"/>
  <c r="D25" i="2" s="1"/>
  <c r="C25" i="2" s="1"/>
  <c r="B25" i="2" s="1"/>
  <c r="AN24" i="2"/>
  <c r="F24" i="2"/>
  <c r="AN23" i="2"/>
  <c r="F23" i="2"/>
  <c r="AN22" i="2"/>
  <c r="F22" i="2"/>
  <c r="AN21" i="2"/>
  <c r="K21" i="2"/>
  <c r="F21" i="2"/>
  <c r="D21" i="2" s="1"/>
  <c r="C21" i="2" s="1"/>
  <c r="B21" i="2" s="1"/>
  <c r="AN20" i="2"/>
  <c r="F20" i="2"/>
  <c r="AN19" i="2"/>
  <c r="F19" i="2"/>
  <c r="AN18" i="2"/>
  <c r="F18" i="2"/>
  <c r="AN17" i="2"/>
  <c r="K17" i="2"/>
  <c r="F17" i="2"/>
  <c r="D17" i="2" s="1"/>
  <c r="C17" i="2" s="1"/>
  <c r="B17" i="2" s="1"/>
  <c r="AN16" i="2"/>
  <c r="F16" i="2"/>
  <c r="AN15" i="2"/>
  <c r="F15" i="2"/>
  <c r="AN14" i="2"/>
  <c r="F14" i="2"/>
  <c r="AN13" i="2"/>
  <c r="F13" i="2"/>
  <c r="AN12" i="2"/>
  <c r="K12" i="2"/>
  <c r="F12" i="2"/>
  <c r="E12" i="2" s="1"/>
  <c r="D12" i="2" s="1"/>
  <c r="C12" i="2" s="1"/>
  <c r="B12" i="2" s="1"/>
  <c r="AN11" i="2"/>
  <c r="F11" i="2"/>
  <c r="AN10" i="2"/>
  <c r="F10" i="2"/>
  <c r="AN9" i="2"/>
  <c r="F9" i="2"/>
  <c r="AN8" i="2"/>
  <c r="K8" i="2"/>
  <c r="F8" i="2"/>
  <c r="E8" i="2" s="1"/>
  <c r="C8" i="2" s="1"/>
  <c r="B8" i="2" s="1"/>
  <c r="AN7" i="2"/>
  <c r="F7" i="2"/>
  <c r="AN6" i="2"/>
  <c r="F6" i="2"/>
  <c r="AN5" i="2"/>
  <c r="F5" i="2"/>
  <c r="AN4" i="2"/>
  <c r="AB4" i="2"/>
  <c r="AH3" i="2" s="1"/>
  <c r="AA4" i="2"/>
  <c r="K4" i="2"/>
  <c r="F4" i="2"/>
  <c r="E4" i="2" s="1"/>
  <c r="D4" i="2" s="1"/>
  <c r="C4" i="2" s="1"/>
  <c r="B4" i="2" s="1"/>
  <c r="AN3" i="2"/>
  <c r="V3" i="2"/>
  <c r="T3" i="2" s="1"/>
  <c r="S3" i="2" s="1"/>
  <c r="K3" i="2"/>
  <c r="F3" i="2"/>
  <c r="D3" i="2" s="1"/>
  <c r="C3" i="2" s="1"/>
  <c r="B3" i="2" s="1"/>
  <c r="AN2" i="2"/>
  <c r="AJ6" i="2" l="1"/>
  <c r="AI6" i="2"/>
  <c r="K46" i="2"/>
  <c r="AL6" i="2"/>
  <c r="O241" i="2"/>
  <c r="O144" i="2"/>
  <c r="G176" i="2"/>
  <c r="C27" i="2"/>
  <c r="B27" i="2" s="1"/>
  <c r="C26" i="2"/>
  <c r="B26" i="2" s="1"/>
  <c r="E165" i="2"/>
  <c r="D165" i="2" s="1"/>
  <c r="C165" i="2" s="1"/>
  <c r="B165" i="2" s="1"/>
  <c r="H60" i="1" l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T239" i="1"/>
  <c r="S239" i="1"/>
  <c r="R239" i="1"/>
  <c r="Q239" i="1"/>
  <c r="P239" i="1"/>
  <c r="N239" i="1"/>
  <c r="M239" i="1"/>
  <c r="L239" i="1"/>
  <c r="K239" i="1"/>
  <c r="AN238" i="1"/>
  <c r="AN237" i="1"/>
  <c r="H237" i="1"/>
  <c r="AN236" i="1"/>
  <c r="H236" i="1"/>
  <c r="AN235" i="1"/>
  <c r="O235" i="1"/>
  <c r="H235" i="1"/>
  <c r="G235" i="1" s="1"/>
  <c r="F235" i="1" s="1"/>
  <c r="E235" i="1" s="1"/>
  <c r="D235" i="1" s="1"/>
  <c r="C235" i="1" s="1"/>
  <c r="B235" i="1" s="1"/>
  <c r="AN234" i="1"/>
  <c r="O234" i="1"/>
  <c r="H234" i="1"/>
  <c r="F234" i="1" s="1"/>
  <c r="E234" i="1" s="1"/>
  <c r="D234" i="1" s="1"/>
  <c r="AN233" i="1"/>
  <c r="H233" i="1"/>
  <c r="AN232" i="1"/>
  <c r="H232" i="1"/>
  <c r="AN231" i="1"/>
  <c r="H231" i="1"/>
  <c r="AN230" i="1"/>
  <c r="H230" i="1"/>
  <c r="AN229" i="1"/>
  <c r="H229" i="1"/>
  <c r="AN228" i="1"/>
  <c r="H228" i="1"/>
  <c r="AN227" i="1"/>
  <c r="H227" i="1"/>
  <c r="AN226" i="1"/>
  <c r="O226" i="1"/>
  <c r="H226" i="1"/>
  <c r="G226" i="1" s="1"/>
  <c r="F226" i="1" s="1"/>
  <c r="E226" i="1" s="1"/>
  <c r="D226" i="1" s="1"/>
  <c r="C226" i="1" s="1"/>
  <c r="B226" i="1" s="1"/>
  <c r="H225" i="1"/>
  <c r="H224" i="1"/>
  <c r="AN223" i="1"/>
  <c r="H223" i="1"/>
  <c r="AN222" i="1"/>
  <c r="H222" i="1"/>
  <c r="AN221" i="1"/>
  <c r="H221" i="1"/>
  <c r="AN220" i="1"/>
  <c r="H220" i="1"/>
  <c r="AN219" i="1"/>
  <c r="H219" i="1"/>
  <c r="AN218" i="1"/>
  <c r="O218" i="1"/>
  <c r="H218" i="1"/>
  <c r="G218" i="1" s="1"/>
  <c r="F218" i="1" s="1"/>
  <c r="E218" i="1" s="1"/>
  <c r="D218" i="1" s="1"/>
  <c r="C218" i="1" s="1"/>
  <c r="B218" i="1" s="1"/>
  <c r="AN217" i="1"/>
  <c r="H217" i="1"/>
  <c r="AN216" i="1"/>
  <c r="H216" i="1"/>
  <c r="AN215" i="1"/>
  <c r="H215" i="1"/>
  <c r="AN214" i="1"/>
  <c r="H214" i="1"/>
  <c r="AN213" i="1"/>
  <c r="H213" i="1"/>
  <c r="AN212" i="1"/>
  <c r="O212" i="1"/>
  <c r="H212" i="1"/>
  <c r="G212" i="1" s="1"/>
  <c r="F212" i="1" s="1"/>
  <c r="E212" i="1" s="1"/>
  <c r="D212" i="1" s="1"/>
  <c r="C212" i="1" s="1"/>
  <c r="B212" i="1" s="1"/>
  <c r="AN211" i="1"/>
  <c r="H211" i="1"/>
  <c r="AN210" i="1"/>
  <c r="H210" i="1"/>
  <c r="AN209" i="1"/>
  <c r="O209" i="1"/>
  <c r="H209" i="1"/>
  <c r="G209" i="1" s="1"/>
  <c r="F209" i="1" s="1"/>
  <c r="E209" i="1" s="1"/>
  <c r="D209" i="1" s="1"/>
  <c r="AN208" i="1"/>
  <c r="H208" i="1"/>
  <c r="AN207" i="1"/>
  <c r="H207" i="1"/>
  <c r="G206" i="1" s="1"/>
  <c r="F206" i="1" s="1"/>
  <c r="E206" i="1" s="1"/>
  <c r="D206" i="1" s="1"/>
  <c r="C206" i="1" s="1"/>
  <c r="B206" i="1" s="1"/>
  <c r="AN206" i="1"/>
  <c r="O206" i="1"/>
  <c r="H206" i="1"/>
  <c r="AN205" i="1"/>
  <c r="H205" i="1"/>
  <c r="AN204" i="1"/>
  <c r="H204" i="1"/>
  <c r="AN203" i="1"/>
  <c r="H203" i="1"/>
  <c r="AN202" i="1"/>
  <c r="O202" i="1"/>
  <c r="H202" i="1"/>
  <c r="F202" i="1" s="1"/>
  <c r="E202" i="1" s="1"/>
  <c r="D202" i="1" s="1"/>
  <c r="C202" i="1" s="1"/>
  <c r="B202" i="1" s="1"/>
  <c r="AN201" i="1"/>
  <c r="H201" i="1"/>
  <c r="AN200" i="1"/>
  <c r="H200" i="1"/>
  <c r="H199" i="1"/>
  <c r="AN198" i="1"/>
  <c r="H198" i="1"/>
  <c r="AN197" i="1"/>
  <c r="H197" i="1"/>
  <c r="F197" i="1"/>
  <c r="E197" i="1" s="1"/>
  <c r="D197" i="1" s="1"/>
  <c r="C200" i="1" s="1"/>
  <c r="B200" i="1" s="1"/>
  <c r="AN196" i="1"/>
  <c r="H196" i="1"/>
  <c r="AN195" i="1"/>
  <c r="H195" i="1"/>
  <c r="AN194" i="1"/>
  <c r="H194" i="1"/>
  <c r="AN193" i="1"/>
  <c r="O193" i="1"/>
  <c r="H193" i="1"/>
  <c r="G193" i="1" s="1"/>
  <c r="F193" i="1" s="1"/>
  <c r="E193" i="1" s="1"/>
  <c r="D193" i="1" s="1"/>
  <c r="C193" i="1" s="1"/>
  <c r="B193" i="1" s="1"/>
  <c r="AN192" i="1"/>
  <c r="H192" i="1"/>
  <c r="AN191" i="1"/>
  <c r="H191" i="1"/>
  <c r="AN190" i="1"/>
  <c r="O190" i="1"/>
  <c r="H190" i="1"/>
  <c r="F190" i="1" s="1"/>
  <c r="C190" i="1" s="1"/>
  <c r="B190" i="1" s="1"/>
  <c r="AN189" i="1"/>
  <c r="O189" i="1"/>
  <c r="H189" i="1"/>
  <c r="F189" i="1" s="1"/>
  <c r="E189" i="1" s="1"/>
  <c r="D189" i="1" s="1"/>
  <c r="AN188" i="1"/>
  <c r="H188" i="1"/>
  <c r="AN187" i="1"/>
  <c r="O187" i="1"/>
  <c r="H187" i="1"/>
  <c r="G187" i="1" s="1"/>
  <c r="F187" i="1" s="1"/>
  <c r="E187" i="1" s="1"/>
  <c r="D187" i="1" s="1"/>
  <c r="C187" i="1" s="1"/>
  <c r="B187" i="1" s="1"/>
  <c r="AN186" i="1"/>
  <c r="H186" i="1"/>
  <c r="AN185" i="1"/>
  <c r="H185" i="1"/>
  <c r="AN184" i="1"/>
  <c r="H184" i="1"/>
  <c r="AN183" i="1"/>
  <c r="H183" i="1"/>
  <c r="AN182" i="1"/>
  <c r="H182" i="1"/>
  <c r="AN181" i="1"/>
  <c r="O181" i="1"/>
  <c r="H181" i="1"/>
  <c r="G181" i="1" s="1"/>
  <c r="F181" i="1" s="1"/>
  <c r="E181" i="1" s="1"/>
  <c r="D181" i="1" s="1"/>
  <c r="C181" i="1" s="1"/>
  <c r="B181" i="1" s="1"/>
  <c r="AN180" i="1"/>
  <c r="O180" i="1"/>
  <c r="H180" i="1"/>
  <c r="F180" i="1" s="1"/>
  <c r="C180" i="1" s="1"/>
  <c r="B180" i="1" s="1"/>
  <c r="AN179" i="1"/>
  <c r="H179" i="1"/>
  <c r="AN178" i="1"/>
  <c r="H178" i="1"/>
  <c r="AN177" i="1"/>
  <c r="H177" i="1"/>
  <c r="AN176" i="1"/>
  <c r="H176" i="1"/>
  <c r="AN175" i="1"/>
  <c r="O175" i="1"/>
  <c r="H175" i="1"/>
  <c r="F175" i="1" s="1"/>
  <c r="AN174" i="1"/>
  <c r="H174" i="1"/>
  <c r="AN173" i="1"/>
  <c r="H173" i="1"/>
  <c r="AN172" i="1"/>
  <c r="H172" i="1"/>
  <c r="AN171" i="1"/>
  <c r="H171" i="1"/>
  <c r="AN170" i="1"/>
  <c r="O170" i="1"/>
  <c r="H170" i="1"/>
  <c r="G170" i="1" s="1"/>
  <c r="F170" i="1" s="1"/>
  <c r="E170" i="1" s="1"/>
  <c r="D170" i="1" s="1"/>
  <c r="C170" i="1" s="1"/>
  <c r="B170" i="1" s="1"/>
  <c r="AN169" i="1"/>
  <c r="H169" i="1"/>
  <c r="AN168" i="1"/>
  <c r="H168" i="1"/>
  <c r="AN167" i="1"/>
  <c r="H167" i="1"/>
  <c r="AN166" i="1"/>
  <c r="H166" i="1"/>
  <c r="AN165" i="1"/>
  <c r="H165" i="1"/>
  <c r="AN164" i="1"/>
  <c r="O164" i="1"/>
  <c r="H164" i="1"/>
  <c r="F164" i="1" s="1"/>
  <c r="G164" i="1" s="1"/>
  <c r="AN163" i="1"/>
  <c r="H163" i="1"/>
  <c r="AN162" i="1"/>
  <c r="H162" i="1"/>
  <c r="AN161" i="1"/>
  <c r="H161" i="1"/>
  <c r="AN160" i="1"/>
  <c r="O160" i="1"/>
  <c r="H160" i="1"/>
  <c r="G160" i="1" s="1"/>
  <c r="F160" i="1" s="1"/>
  <c r="E160" i="1" s="1"/>
  <c r="D160" i="1" s="1"/>
  <c r="C160" i="1" s="1"/>
  <c r="B160" i="1" s="1"/>
  <c r="AN159" i="1"/>
  <c r="H159" i="1"/>
  <c r="AN158" i="1"/>
  <c r="AL158" i="1"/>
  <c r="AK158" i="1"/>
  <c r="AJ158" i="1"/>
  <c r="AI158" i="1"/>
  <c r="AG158" i="1"/>
  <c r="AF158" i="1"/>
  <c r="AE158" i="1"/>
  <c r="H158" i="1"/>
  <c r="AN157" i="1"/>
  <c r="AH157" i="1"/>
  <c r="AA157" i="1"/>
  <c r="X157" i="1" s="1"/>
  <c r="W157" i="1" s="1"/>
  <c r="AN156" i="1"/>
  <c r="AH156" i="1"/>
  <c r="AA156" i="1"/>
  <c r="X156" i="1" s="1"/>
  <c r="W156" i="1" s="1"/>
  <c r="H156" i="1"/>
  <c r="AN155" i="1"/>
  <c r="AH155" i="1"/>
  <c r="AA155" i="1"/>
  <c r="Z155" i="1" s="1"/>
  <c r="Y155" i="1" s="1"/>
  <c r="O155" i="1"/>
  <c r="H155" i="1"/>
  <c r="G155" i="1" s="1"/>
  <c r="F155" i="1" s="1"/>
  <c r="E155" i="1" s="1"/>
  <c r="D155" i="1" s="1"/>
  <c r="AN154" i="1"/>
  <c r="H154" i="1"/>
  <c r="AN153" i="1"/>
  <c r="H153" i="1"/>
  <c r="AN152" i="1"/>
  <c r="AA152" i="1"/>
  <c r="AA151" i="1" s="1"/>
  <c r="O152" i="1"/>
  <c r="H152" i="1"/>
  <c r="G152" i="1" s="1"/>
  <c r="F152" i="1" s="1"/>
  <c r="E152" i="1" s="1"/>
  <c r="D152" i="1" s="1"/>
  <c r="C152" i="1" s="1"/>
  <c r="B152" i="1" s="1"/>
  <c r="AN151" i="1"/>
  <c r="AH151" i="1"/>
  <c r="O151" i="1"/>
  <c r="H151" i="1"/>
  <c r="E151" i="1" s="1"/>
  <c r="D151" i="1" s="1"/>
  <c r="AN150" i="1"/>
  <c r="AN149" i="1"/>
  <c r="AN148" i="1"/>
  <c r="AN147" i="1"/>
  <c r="AN146" i="1"/>
  <c r="AN145" i="1"/>
  <c r="AN144" i="1"/>
  <c r="AN143" i="1"/>
  <c r="T143" i="1"/>
  <c r="S143" i="1"/>
  <c r="R143" i="1"/>
  <c r="Q143" i="1"/>
  <c r="P143" i="1"/>
  <c r="N143" i="1"/>
  <c r="M143" i="1"/>
  <c r="L143" i="1"/>
  <c r="K143" i="1"/>
  <c r="AN142" i="1"/>
  <c r="AN141" i="1"/>
  <c r="O141" i="1"/>
  <c r="G141" i="1"/>
  <c r="E141" i="1" s="1"/>
  <c r="D141" i="1" s="1"/>
  <c r="AN140" i="1"/>
  <c r="H140" i="1"/>
  <c r="AN139" i="1"/>
  <c r="H139" i="1"/>
  <c r="AN138" i="1"/>
  <c r="O138" i="1"/>
  <c r="H138" i="1"/>
  <c r="F138" i="1" s="1"/>
  <c r="E138" i="1" s="1"/>
  <c r="D138" i="1" s="1"/>
  <c r="C138" i="1" s="1"/>
  <c r="B138" i="1" s="1"/>
  <c r="H137" i="1"/>
  <c r="AN136" i="1"/>
  <c r="H136" i="1"/>
  <c r="AN135" i="1"/>
  <c r="H135" i="1"/>
  <c r="AN134" i="1"/>
  <c r="H134" i="1"/>
  <c r="AN133" i="1"/>
  <c r="O133" i="1"/>
  <c r="H133" i="1"/>
  <c r="F133" i="1" s="1"/>
  <c r="E133" i="1" s="1"/>
  <c r="D133" i="1" s="1"/>
  <c r="C133" i="1" s="1"/>
  <c r="B133" i="1" s="1"/>
  <c r="H132" i="1"/>
  <c r="AN131" i="1"/>
  <c r="H131" i="1"/>
  <c r="AN130" i="1"/>
  <c r="H130" i="1"/>
  <c r="AN129" i="1"/>
  <c r="H129" i="1"/>
  <c r="AN128" i="1"/>
  <c r="H128" i="1"/>
  <c r="AN127" i="1"/>
  <c r="H127" i="1"/>
  <c r="AN126" i="1"/>
  <c r="O126" i="1"/>
  <c r="H126" i="1"/>
  <c r="G126" i="1" s="1"/>
  <c r="F126" i="1" s="1"/>
  <c r="E126" i="1" s="1"/>
  <c r="D126" i="1" s="1"/>
  <c r="C126" i="1" s="1"/>
  <c r="B126" i="1" s="1"/>
  <c r="AN125" i="1"/>
  <c r="H125" i="1"/>
  <c r="AN124" i="1"/>
  <c r="H124" i="1"/>
  <c r="AN123" i="1"/>
  <c r="H123" i="1"/>
  <c r="AN122" i="1"/>
  <c r="H122" i="1"/>
  <c r="G121" i="1" s="1"/>
  <c r="E121" i="1" s="1"/>
  <c r="D121" i="1" s="1"/>
  <c r="C121" i="1" s="1"/>
  <c r="B121" i="1" s="1"/>
  <c r="AN121" i="1"/>
  <c r="O121" i="1"/>
  <c r="H121" i="1"/>
  <c r="AN120" i="1"/>
  <c r="H120" i="1"/>
  <c r="AN119" i="1"/>
  <c r="H119" i="1"/>
  <c r="AN118" i="1"/>
  <c r="H118" i="1"/>
  <c r="H117" i="1"/>
  <c r="AN116" i="1"/>
  <c r="H116" i="1"/>
  <c r="AN115" i="1"/>
  <c r="H115" i="1"/>
  <c r="AN114" i="1"/>
  <c r="H114" i="1"/>
  <c r="G114" i="1" s="1"/>
  <c r="F114" i="1" s="1"/>
  <c r="E114" i="1" s="1"/>
  <c r="D114" i="1" s="1"/>
  <c r="AN113" i="1"/>
  <c r="H113" i="1"/>
  <c r="AN112" i="1"/>
  <c r="H112" i="1"/>
  <c r="AN111" i="1"/>
  <c r="H111" i="1"/>
  <c r="AN110" i="1"/>
  <c r="O110" i="1"/>
  <c r="H110" i="1"/>
  <c r="G110" i="1" s="1"/>
  <c r="E110" i="1" s="1"/>
  <c r="D110" i="1" s="1"/>
  <c r="C110" i="1" s="1"/>
  <c r="B110" i="1" s="1"/>
  <c r="AN109" i="1"/>
  <c r="H109" i="1"/>
  <c r="AN108" i="1"/>
  <c r="H108" i="1"/>
  <c r="H107" i="1"/>
  <c r="F107" i="1" s="1"/>
  <c r="H106" i="1"/>
  <c r="AN105" i="1"/>
  <c r="H105" i="1"/>
  <c r="AN104" i="1"/>
  <c r="H104" i="1"/>
  <c r="F104" i="1" s="1"/>
  <c r="E104" i="1" s="1"/>
  <c r="D104" i="1" s="1"/>
  <c r="AN103" i="1"/>
  <c r="H103" i="1"/>
  <c r="AN102" i="1"/>
  <c r="H102" i="1"/>
  <c r="AN101" i="1"/>
  <c r="H101" i="1"/>
  <c r="AN100" i="1"/>
  <c r="O100" i="1"/>
  <c r="H100" i="1"/>
  <c r="G100" i="1" s="1"/>
  <c r="F100" i="1" s="1"/>
  <c r="E100" i="1" s="1"/>
  <c r="D100" i="1" s="1"/>
  <c r="C100" i="1" s="1"/>
  <c r="B100" i="1" s="1"/>
  <c r="AN99" i="1"/>
  <c r="H99" i="1"/>
  <c r="AN98" i="1"/>
  <c r="H98" i="1"/>
  <c r="AN97" i="1"/>
  <c r="H97" i="1"/>
  <c r="AN96" i="1"/>
  <c r="H96" i="1"/>
  <c r="AN95" i="1"/>
  <c r="H95" i="1"/>
  <c r="AN94" i="1"/>
  <c r="O94" i="1"/>
  <c r="H94" i="1"/>
  <c r="G94" i="1" s="1"/>
  <c r="F94" i="1" s="1"/>
  <c r="E94" i="1" s="1"/>
  <c r="D94" i="1" s="1"/>
  <c r="C94" i="1" s="1"/>
  <c r="B94" i="1" s="1"/>
  <c r="AN93" i="1"/>
  <c r="H93" i="1"/>
  <c r="AN92" i="1"/>
  <c r="H92" i="1"/>
  <c r="AN91" i="1"/>
  <c r="H91" i="1"/>
  <c r="AN90" i="1"/>
  <c r="H90" i="1"/>
  <c r="AN89" i="1"/>
  <c r="O89" i="1"/>
  <c r="H89" i="1"/>
  <c r="G89" i="1" s="1"/>
  <c r="F89" i="1" s="1"/>
  <c r="C89" i="1" s="1"/>
  <c r="B89" i="1" s="1"/>
  <c r="AN88" i="1"/>
  <c r="H88" i="1"/>
  <c r="AN87" i="1"/>
  <c r="H87" i="1"/>
  <c r="AN86" i="1"/>
  <c r="H86" i="1"/>
  <c r="AN85" i="1"/>
  <c r="H85" i="1"/>
  <c r="AN84" i="1"/>
  <c r="O84" i="1"/>
  <c r="H84" i="1"/>
  <c r="G84" i="1"/>
  <c r="F84" i="1" s="1"/>
  <c r="E84" i="1" s="1"/>
  <c r="D84" i="1" s="1"/>
  <c r="C84" i="1" s="1"/>
  <c r="B84" i="1" s="1"/>
  <c r="AN83" i="1"/>
  <c r="H83" i="1"/>
  <c r="AN82" i="1"/>
  <c r="H82" i="1"/>
  <c r="AN81" i="1"/>
  <c r="H81" i="1"/>
  <c r="F81" i="1" s="1"/>
  <c r="E81" i="1" s="1"/>
  <c r="D81" i="1" s="1"/>
  <c r="C81" i="1" s="1"/>
  <c r="B81" i="1" s="1"/>
  <c r="AN80" i="1"/>
  <c r="H80" i="1"/>
  <c r="AN79" i="1"/>
  <c r="H79" i="1"/>
  <c r="AN78" i="1"/>
  <c r="O78" i="1"/>
  <c r="H78" i="1"/>
  <c r="F78" i="1" s="1"/>
  <c r="E78" i="1" s="1"/>
  <c r="D78" i="1" s="1"/>
  <c r="C78" i="1" s="1"/>
  <c r="B78" i="1" s="1"/>
  <c r="AN77" i="1"/>
  <c r="H77" i="1"/>
  <c r="AN76" i="1"/>
  <c r="H76" i="1"/>
  <c r="AN75" i="1"/>
  <c r="H75" i="1"/>
  <c r="AN74" i="1"/>
  <c r="H74" i="1"/>
  <c r="G75" i="1" s="1"/>
  <c r="F75" i="1" s="1"/>
  <c r="E75" i="1" s="1"/>
  <c r="D75" i="1" s="1"/>
  <c r="C74" i="1" s="1"/>
  <c r="B74" i="1" s="1"/>
  <c r="H73" i="1"/>
  <c r="AN72" i="1"/>
  <c r="AN71" i="1"/>
  <c r="H71" i="1"/>
  <c r="B71" i="1"/>
  <c r="AN70" i="1"/>
  <c r="H70" i="1"/>
  <c r="AN69" i="1"/>
  <c r="H69" i="1"/>
  <c r="AN68" i="1"/>
  <c r="H68" i="1"/>
  <c r="AN67" i="1"/>
  <c r="H67" i="1"/>
  <c r="G67" i="1" s="1"/>
  <c r="F67" i="1" s="1"/>
  <c r="E67" i="1" s="1"/>
  <c r="D67" i="1" s="1"/>
  <c r="AN66" i="1"/>
  <c r="H66" i="1"/>
  <c r="AN65" i="1"/>
  <c r="H65" i="1"/>
  <c r="AN64" i="1"/>
  <c r="H64" i="1"/>
  <c r="AN63" i="1"/>
  <c r="H63" i="1"/>
  <c r="AN62" i="1"/>
  <c r="H62" i="1"/>
  <c r="AN61" i="1"/>
  <c r="O61" i="1"/>
  <c r="H61" i="1"/>
  <c r="G61" i="1" s="1"/>
  <c r="F61" i="1" s="1"/>
  <c r="E61" i="1" s="1"/>
  <c r="D61" i="1" s="1"/>
  <c r="C61" i="1" s="1"/>
  <c r="B61" i="1" s="1"/>
  <c r="AN59" i="1"/>
  <c r="H59" i="1"/>
  <c r="AN58" i="1"/>
  <c r="H58" i="1"/>
  <c r="AN57" i="1"/>
  <c r="H57" i="1"/>
  <c r="AN56" i="1"/>
  <c r="H56" i="1"/>
  <c r="AN55" i="1"/>
  <c r="AM55" i="1"/>
  <c r="AL55" i="1"/>
  <c r="AK55" i="1"/>
  <c r="AI3" i="1" s="1"/>
  <c r="AJ55" i="1"/>
  <c r="H55" i="1"/>
  <c r="AN54" i="1"/>
  <c r="AI54" i="1"/>
  <c r="AB54" i="1"/>
  <c r="AA54" i="1" s="1"/>
  <c r="Z54" i="1" s="1"/>
  <c r="O54" i="1"/>
  <c r="H54" i="1"/>
  <c r="G54" i="1" s="1"/>
  <c r="F54" i="1" s="1"/>
  <c r="E54" i="1" s="1"/>
  <c r="D54" i="1" s="1"/>
  <c r="C54" i="1" s="1"/>
  <c r="B54" i="1" s="1"/>
  <c r="AN53" i="1"/>
  <c r="AN52" i="1"/>
  <c r="AI52" i="1"/>
  <c r="AA52" i="1"/>
  <c r="Z52" i="1" s="1"/>
  <c r="O52" i="1"/>
  <c r="H52" i="1"/>
  <c r="F52" i="1" s="1"/>
  <c r="E52" i="1" s="1"/>
  <c r="D52" i="1" s="1"/>
  <c r="AN51" i="1"/>
  <c r="AN50" i="1"/>
  <c r="AN49" i="1"/>
  <c r="AN48" i="1"/>
  <c r="AN47" i="1"/>
  <c r="AN46" i="1"/>
  <c r="P46" i="1"/>
  <c r="O46" i="1"/>
  <c r="N46" i="1"/>
  <c r="M46" i="1"/>
  <c r="L46" i="1"/>
  <c r="J46" i="1"/>
  <c r="I46" i="1"/>
  <c r="AN45" i="1"/>
  <c r="F45" i="1"/>
  <c r="AN44" i="1"/>
  <c r="F44" i="1"/>
  <c r="AN43" i="1"/>
  <c r="F43" i="1"/>
  <c r="AN42" i="1"/>
  <c r="F42" i="1"/>
  <c r="AN41" i="1"/>
  <c r="K41" i="1"/>
  <c r="F41" i="1"/>
  <c r="E41" i="1" s="1"/>
  <c r="D41" i="1" s="1"/>
  <c r="C41" i="1" s="1"/>
  <c r="B41" i="1" s="1"/>
  <c r="AN40" i="1"/>
  <c r="F40" i="1"/>
  <c r="AN39" i="1"/>
  <c r="K39" i="1"/>
  <c r="F39" i="1"/>
  <c r="E39" i="1" s="1"/>
  <c r="D39" i="1" s="1"/>
  <c r="C39" i="1" s="1"/>
  <c r="B39" i="1" s="1"/>
  <c r="AN38" i="1"/>
  <c r="F38" i="1"/>
  <c r="AN37" i="1"/>
  <c r="F37" i="1"/>
  <c r="AN36" i="1"/>
  <c r="F36" i="1"/>
  <c r="AN35" i="1"/>
  <c r="K35" i="1"/>
  <c r="F35" i="1"/>
  <c r="E35" i="1" s="1"/>
  <c r="D35" i="1" s="1"/>
  <c r="C35" i="1" s="1"/>
  <c r="B35" i="1" s="1"/>
  <c r="AN34" i="1"/>
  <c r="F34" i="1"/>
  <c r="AN33" i="1"/>
  <c r="K33" i="1"/>
  <c r="F33" i="1"/>
  <c r="E33" i="1" s="1"/>
  <c r="D33" i="1" s="1"/>
  <c r="C33" i="1" s="1"/>
  <c r="B33" i="1" s="1"/>
  <c r="AN32" i="1"/>
  <c r="F32" i="1"/>
  <c r="AN31" i="1"/>
  <c r="K31" i="1"/>
  <c r="F31" i="1"/>
  <c r="D31" i="1" s="1"/>
  <c r="C31" i="1" s="1"/>
  <c r="B31" i="1" s="1"/>
  <c r="AN30" i="1"/>
  <c r="F30" i="1"/>
  <c r="AN29" i="1"/>
  <c r="K29" i="1"/>
  <c r="F29" i="1"/>
  <c r="E29" i="1" s="1"/>
  <c r="D29" i="1" s="1"/>
  <c r="C29" i="1" s="1"/>
  <c r="B29" i="1" s="1"/>
  <c r="AN28" i="1"/>
  <c r="F28" i="1"/>
  <c r="AN27" i="1"/>
  <c r="K27" i="1"/>
  <c r="F27" i="1"/>
  <c r="E27" i="1" s="1"/>
  <c r="AN26" i="1"/>
  <c r="K26" i="1"/>
  <c r="F26" i="1"/>
  <c r="D26" i="1" s="1"/>
  <c r="AN25" i="1"/>
  <c r="K25" i="1"/>
  <c r="F25" i="1"/>
  <c r="D25" i="1" s="1"/>
  <c r="C25" i="1" s="1"/>
  <c r="B25" i="1" s="1"/>
  <c r="AN24" i="1"/>
  <c r="F24" i="1"/>
  <c r="AN23" i="1"/>
  <c r="F23" i="1"/>
  <c r="AN22" i="1"/>
  <c r="F22" i="1"/>
  <c r="AN21" i="1"/>
  <c r="K21" i="1"/>
  <c r="F21" i="1"/>
  <c r="D21" i="1" s="1"/>
  <c r="C21" i="1" s="1"/>
  <c r="B21" i="1" s="1"/>
  <c r="AN20" i="1"/>
  <c r="F20" i="1"/>
  <c r="AN19" i="1"/>
  <c r="F19" i="1"/>
  <c r="AN18" i="1"/>
  <c r="F18" i="1"/>
  <c r="AN17" i="1"/>
  <c r="K17" i="1"/>
  <c r="F17" i="1"/>
  <c r="D17" i="1" s="1"/>
  <c r="C17" i="1" s="1"/>
  <c r="B17" i="1" s="1"/>
  <c r="AN16" i="1"/>
  <c r="F16" i="1"/>
  <c r="AN15" i="1"/>
  <c r="F15" i="1"/>
  <c r="AN14" i="1"/>
  <c r="F14" i="1"/>
  <c r="AN13" i="1"/>
  <c r="F13" i="1"/>
  <c r="AN12" i="1"/>
  <c r="K12" i="1"/>
  <c r="F12" i="1"/>
  <c r="E12" i="1" s="1"/>
  <c r="D12" i="1" s="1"/>
  <c r="C12" i="1" s="1"/>
  <c r="B12" i="1" s="1"/>
  <c r="AN11" i="1"/>
  <c r="F11" i="1"/>
  <c r="AN10" i="1"/>
  <c r="F10" i="1"/>
  <c r="AN9" i="1"/>
  <c r="F9" i="1"/>
  <c r="AN8" i="1"/>
  <c r="K8" i="1"/>
  <c r="F8" i="1"/>
  <c r="E8" i="1" s="1"/>
  <c r="C8" i="1" s="1"/>
  <c r="B8" i="1" s="1"/>
  <c r="AN7" i="1"/>
  <c r="F7" i="1"/>
  <c r="AN6" i="1"/>
  <c r="AJ6" i="1"/>
  <c r="AI6" i="1"/>
  <c r="F6" i="1"/>
  <c r="AN5" i="1"/>
  <c r="F5" i="1"/>
  <c r="AN4" i="1"/>
  <c r="AB4" i="1"/>
  <c r="AA4" i="1"/>
  <c r="K4" i="1"/>
  <c r="F4" i="1"/>
  <c r="E4" i="1" s="1"/>
  <c r="D4" i="1" s="1"/>
  <c r="C4" i="1" s="1"/>
  <c r="B4" i="1" s="1"/>
  <c r="AN3" i="1"/>
  <c r="AK3" i="1"/>
  <c r="AJ3" i="1"/>
  <c r="V3" i="1"/>
  <c r="T3" i="1" s="1"/>
  <c r="S3" i="1" s="1"/>
  <c r="K3" i="1"/>
  <c r="F3" i="1"/>
  <c r="D3" i="1" s="1"/>
  <c r="C3" i="1" s="1"/>
  <c r="B3" i="1" s="1"/>
  <c r="AN2" i="1"/>
  <c r="AL6" i="1" l="1"/>
  <c r="AH158" i="1"/>
  <c r="AH3" i="1"/>
  <c r="K46" i="1"/>
  <c r="AK6" i="1"/>
  <c r="AH6" i="1"/>
  <c r="O239" i="1"/>
  <c r="O143" i="1"/>
  <c r="E175" i="1"/>
  <c r="D175" i="1" s="1"/>
  <c r="C175" i="1" s="1"/>
  <c r="B175" i="1" s="1"/>
  <c r="G175" i="1"/>
  <c r="C27" i="1"/>
  <c r="B27" i="1" s="1"/>
  <c r="C26" i="1"/>
  <c r="B26" i="1" s="1"/>
  <c r="E164" i="1"/>
  <c r="D164" i="1" s="1"/>
  <c r="C164" i="1" s="1"/>
  <c r="B1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</authors>
  <commentList>
    <comment ref="A1" authorId="0" shapeId="0" xr:uid="{7C527C15-320B-4F65-89CF-DAECBE3DFED6}">
      <text>
        <r>
          <rPr>
            <sz val="12"/>
            <color theme="1"/>
            <rFont val="Calibri"/>
            <family val="1"/>
            <scheme val="minor"/>
          </rPr>
          <t>Updated all the times in the sheet - Lucy
======</t>
        </r>
      </text>
    </comment>
    <comment ref="AH53" authorId="0" shapeId="0" xr:uid="{31900997-66DE-47B3-8CE6-B4C4EF79D085}">
      <text>
        <r>
          <rPr>
            <sz val="12"/>
            <color theme="1"/>
            <rFont val="Calibri"/>
            <family val="1"/>
            <scheme val="minor"/>
          </rPr>
          <t>JW +1
======</t>
        </r>
      </text>
    </comment>
    <comment ref="K93" authorId="0" shapeId="0" xr:uid="{4D13F067-284B-4F48-89CD-7CF8F2DFEBE2}">
      <text>
        <r>
          <rPr>
            <sz val="12"/>
            <color theme="1"/>
            <rFont val="Calibri"/>
            <family val="1"/>
            <scheme val="minor"/>
          </rPr>
          <t>IN -1
======</t>
        </r>
      </text>
    </comment>
    <comment ref="M100" authorId="0" shapeId="0" xr:uid="{8EDE3C6C-4ACE-4AC5-984F-C296B26A28D7}">
      <text>
        <r>
          <rPr>
            <sz val="12"/>
            <color theme="1"/>
            <rFont val="Calibri"/>
            <family val="1"/>
            <scheme val="minor"/>
          </rPr>
          <t>IN +1
======</t>
        </r>
      </text>
    </comment>
    <comment ref="K109" authorId="1" shapeId="0" xr:uid="{BD8436E7-7B58-4151-AC1D-D9DFF5F906C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 no show</t>
        </r>
      </text>
    </comment>
    <comment ref="N122" authorId="0" shapeId="0" xr:uid="{9BCC23B8-B527-4965-8A13-FD0E4485BA14}">
      <text>
        <r>
          <rPr>
            <sz val="12"/>
            <color theme="1"/>
            <rFont val="Calibri"/>
            <family val="1"/>
            <scheme val="minor"/>
          </rPr>
          <t>JW +2
======</t>
        </r>
      </text>
    </comment>
    <comment ref="AA154" authorId="0" shapeId="0" xr:uid="{23369E3B-36E6-46ED-8AAA-14895E902FF2}">
      <text>
        <r>
          <rPr>
            <sz val="12"/>
            <color theme="1"/>
            <rFont val="Calibri"/>
            <family val="1"/>
            <scheme val="minor"/>
          </rPr>
          <t>======
ID#AAABqboD_F4
Jaein Jin    (2025-09-01 07:39:00)
GMP (INTL / DOME) opens at 05:00
Driver will drop guest at INTL first, then proceed to DOME. 
*INTL (3H prior) / DOME (2H prior)
------
ID#AAABqboD_GI
Phuc Dang    (2025-09-01 09:28:59)
ok</t>
        </r>
      </text>
    </comment>
    <comment ref="AH158" authorId="0" shapeId="0" xr:uid="{AB1FE4C2-E300-4FA6-BAFA-6BB40B47F12C}">
      <text>
        <r>
          <rPr>
            <sz val="12"/>
            <color theme="1"/>
            <rFont val="Calibri"/>
            <family val="1"/>
            <scheme val="minor"/>
          </rPr>
          <t>======
ID#AAABqY1DjUY
Gaon Lim    (2025-08-30 07:16:24)
Wrong formula - must be 31pax
------
ID#AAABqXJ7R0I
Phuc Dang    (2025-08-30 09:59:31)
AH154 was not counted in the formular. I've just fixed this, but pls be informed that I only count the total number of vehicle in the file.
------
ID#AAABqXJ7R00
Gaon Lim    (2025-08-30 11:24:17)
noted</t>
        </r>
      </text>
    </comment>
    <comment ref="AM176" authorId="0" shapeId="0" xr:uid="{CC2DBDA2-7B03-4AC9-9683-3656F5F3CFBE}">
      <text>
        <r>
          <rPr>
            <sz val="12"/>
            <color theme="1"/>
            <rFont val="Calibri"/>
            <family val="1"/>
            <scheme val="minor"/>
          </rPr>
          <t>IN +1
======</t>
        </r>
      </text>
    </comment>
    <comment ref="L179" authorId="0" shapeId="0" xr:uid="{281715B0-641D-463B-B0D4-4F013CDFD042}">
      <text>
        <r>
          <rPr>
            <sz val="12"/>
            <color theme="1"/>
            <rFont val="Calibri"/>
            <family val="1"/>
            <scheme val="minor"/>
          </rPr>
          <t>P +1
======</t>
        </r>
      </text>
    </comment>
    <comment ref="L204" authorId="0" shapeId="0" xr:uid="{31EB4670-F3B8-4107-9344-330AA82A5681}">
      <text>
        <r>
          <rPr>
            <sz val="12"/>
            <color theme="1"/>
            <rFont val="Calibri"/>
            <family val="1"/>
            <scheme val="minor"/>
          </rPr>
          <t>P +2
======</t>
        </r>
      </text>
    </comment>
    <comment ref="E226" authorId="0" shapeId="0" xr:uid="{EA0FEB35-58FD-42A8-881A-21C96A476B4D}">
      <text>
        <r>
          <rPr>
            <sz val="12"/>
            <color theme="1"/>
            <rFont val="Calibri"/>
            <family val="1"/>
            <scheme val="minor"/>
          </rPr>
          <t>======
ID#AAABqZZYJ_U
Gaon Lim    (2025-08-30 12:54:46)
Rush hour</t>
        </r>
      </text>
    </comment>
    <comment ref="E235" authorId="0" shapeId="0" xr:uid="{9650D8DD-6868-4221-96FD-9B16A252CB3D}">
      <text>
        <r>
          <rPr>
            <sz val="12"/>
            <color theme="1"/>
            <rFont val="Calibri"/>
            <family val="1"/>
            <scheme val="minor"/>
          </rPr>
          <t>======
ID#AAABqZZYJ_Y
Gaon Lim    (2025-08-30 12:57:23)
Super rush hour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E5353AF-1471-4756-AB36-D5D2B0F29A4A}">
      <text>
        <r>
          <rPr>
            <sz val="12"/>
            <color theme="1"/>
            <rFont val="Calibri"/>
            <family val="1"/>
            <scheme val="minor"/>
          </rPr>
          <t>Updated all the times in the sheet - Lucy
======</t>
        </r>
      </text>
    </comment>
    <comment ref="AH53" authorId="0" shapeId="0" xr:uid="{1AF3D282-101A-4214-82F4-601591DD01B5}">
      <text>
        <r>
          <rPr>
            <sz val="12"/>
            <color theme="1"/>
            <rFont val="Calibri"/>
            <family val="1"/>
            <scheme val="minor"/>
          </rPr>
          <t>JW +1
======</t>
        </r>
      </text>
    </comment>
    <comment ref="K94" authorId="0" shapeId="0" xr:uid="{176DD509-F79A-4242-9361-00B8534964DD}">
      <text>
        <r>
          <rPr>
            <sz val="12"/>
            <color theme="1"/>
            <rFont val="Calibri"/>
            <family val="1"/>
            <scheme val="minor"/>
          </rPr>
          <t>IN -1
======</t>
        </r>
      </text>
    </comment>
    <comment ref="L101" authorId="0" shapeId="0" xr:uid="{13D15149-E720-468D-BC4A-3B1964675AF4}">
      <text>
        <r>
          <rPr>
            <sz val="12"/>
            <color theme="1"/>
            <rFont val="Calibri"/>
            <family val="1"/>
            <scheme val="minor"/>
          </rPr>
          <t>IN +1
======</t>
        </r>
      </text>
    </comment>
    <comment ref="N123" authorId="0" shapeId="0" xr:uid="{DDCDA110-6215-4FF3-AF90-B6249B8E05A1}">
      <text>
        <r>
          <rPr>
            <sz val="12"/>
            <color theme="1"/>
            <rFont val="Calibri"/>
            <family val="1"/>
            <scheme val="minor"/>
          </rPr>
          <t>JW +2
======</t>
        </r>
      </text>
    </comment>
    <comment ref="AA155" authorId="0" shapeId="0" xr:uid="{8EE648F6-5813-4325-B6C2-09BF51940545}">
      <text>
        <r>
          <rPr>
            <sz val="12"/>
            <color theme="1"/>
            <rFont val="Calibri"/>
            <family val="1"/>
            <scheme val="minor"/>
          </rPr>
          <t>======
ID#AAABqboD_F4
Jaein Jin    (2025-09-01 07:39:00)
GMP (INTL / DOME) opens at 05:00
Driver will drop guest at INTL first, then proceed to DOME. 
*INTL (3H prior) / DOME (2H prior)
------
ID#AAABqboD_GI
Phuc Dang    (2025-09-01 09:28:59)
ok</t>
        </r>
      </text>
    </comment>
    <comment ref="AH159" authorId="0" shapeId="0" xr:uid="{25BF3C34-8DB6-4479-9F51-EB56E1A2273F}">
      <text>
        <r>
          <rPr>
            <sz val="12"/>
            <color theme="1"/>
            <rFont val="Calibri"/>
            <family val="1"/>
            <scheme val="minor"/>
          </rPr>
          <t>======
ID#AAABqY1DjUY
Gaon Lim    (2025-08-30 07:16:24)
Wrong formula - must be 31pax
------
ID#AAABqXJ7R0I
Phuc Dang    (2025-08-30 09:59:31)
AH154 was not counted in the formular. I've just fixed this, but pls be informed that I only count the total number of vehicle in the file.
------
ID#AAABqXJ7R00
Gaon Lim    (2025-08-30 11:24:17)
noted</t>
        </r>
      </text>
    </comment>
    <comment ref="L180" authorId="0" shapeId="0" xr:uid="{25BE7B0F-8874-4349-8F4A-EF059C6179B4}">
      <text>
        <r>
          <rPr>
            <sz val="12"/>
            <color theme="1"/>
            <rFont val="Calibri"/>
            <family val="1"/>
            <scheme val="minor"/>
          </rPr>
          <t>P +1
======</t>
        </r>
      </text>
    </comment>
    <comment ref="L206" authorId="0" shapeId="0" xr:uid="{6A8A35C1-8454-4607-9283-CC43D84EB744}">
      <text>
        <r>
          <rPr>
            <sz val="12"/>
            <color theme="1"/>
            <rFont val="Calibri"/>
            <family val="1"/>
            <scheme val="minor"/>
          </rPr>
          <t>P +2
======</t>
        </r>
      </text>
    </comment>
    <comment ref="E228" authorId="0" shapeId="0" xr:uid="{9928C5F8-8D13-43C6-9B66-F200AE063F74}">
      <text>
        <r>
          <rPr>
            <sz val="12"/>
            <color theme="1"/>
            <rFont val="Calibri"/>
            <family val="1"/>
            <scheme val="minor"/>
          </rPr>
          <t>======
ID#AAABqZZYJ_U
Gaon Lim    (2025-08-30 12:54:46)
Rush hour</t>
        </r>
      </text>
    </comment>
    <comment ref="E237" authorId="0" shapeId="0" xr:uid="{845FA375-F025-41F6-926F-1A29655F05FC}">
      <text>
        <r>
          <rPr>
            <sz val="12"/>
            <color theme="1"/>
            <rFont val="Calibri"/>
            <family val="1"/>
            <scheme val="minor"/>
          </rPr>
          <t>======
ID#AAABqZZYJ_Y
Gaon Lim    (2025-08-30 12:57:23)
Super rush hour</t>
        </r>
      </text>
    </comment>
  </commentList>
</comments>
</file>

<file path=xl/sharedStrings.xml><?xml version="1.0" encoding="utf-8"?>
<sst xmlns="http://schemas.openxmlformats.org/spreadsheetml/2006/main" count="3139" uniqueCount="278">
  <si>
    <t>FAIRMONT - ICN</t>
  </si>
  <si>
    <t>1H(T1)/1H20(T2)</t>
  </si>
  <si>
    <t>1H30/1H50(RUSH)</t>
  </si>
  <si>
    <t>FAIRMONT - GMP</t>
  </si>
  <si>
    <t>GROUP</t>
  </si>
  <si>
    <t>DATE</t>
  </si>
  <si>
    <t>HOTEl</t>
  </si>
  <si>
    <t>FLIGHT</t>
  </si>
  <si>
    <t>Meeting Time</t>
  </si>
  <si>
    <t>Fairmont 
Meet</t>
  </si>
  <si>
    <t>Fairmont 
Depart</t>
  </si>
  <si>
    <t>T1 Arr</t>
  </si>
  <si>
    <t>T2 Arr</t>
  </si>
  <si>
    <t>AIRPORT A.TIME</t>
  </si>
  <si>
    <t>F.TIME</t>
  </si>
  <si>
    <t>T1</t>
  </si>
  <si>
    <t>T2</t>
  </si>
  <si>
    <t>TOTAL PAX</t>
  </si>
  <si>
    <t>VAN</t>
  </si>
  <si>
    <t>SOLATI</t>
  </si>
  <si>
    <t>SPRINTER</t>
  </si>
  <si>
    <t>BUS</t>
  </si>
  <si>
    <t>Truck</t>
  </si>
  <si>
    <t>Domestic</t>
  </si>
  <si>
    <t>International</t>
  </si>
  <si>
    <t>TOTAL DEP. B</t>
  </si>
  <si>
    <t>B</t>
  </si>
  <si>
    <t>FAIRMONT</t>
  </si>
  <si>
    <t>VN 441</t>
  </si>
  <si>
    <t>JL 92</t>
  </si>
  <si>
    <t>GIMPO</t>
  </si>
  <si>
    <t>KE 621</t>
  </si>
  <si>
    <t>Total Number</t>
  </si>
  <si>
    <t>OZ 701</t>
  </si>
  <si>
    <t>van</t>
  </si>
  <si>
    <t>solati</t>
  </si>
  <si>
    <t>sprinter</t>
  </si>
  <si>
    <t>bus</t>
  </si>
  <si>
    <t>TRUCK</t>
  </si>
  <si>
    <t>OZ 112</t>
  </si>
  <si>
    <t>T1&amp;T2</t>
  </si>
  <si>
    <t>AF 267</t>
  </si>
  <si>
    <t>RS 701</t>
  </si>
  <si>
    <t>DL 7869</t>
  </si>
  <si>
    <t>KE 31</t>
  </si>
  <si>
    <t>KE 723</t>
  </si>
  <si>
    <t>CX 417</t>
  </si>
  <si>
    <t>KE 703</t>
  </si>
  <si>
    <t>DL 158</t>
  </si>
  <si>
    <t>MM 704</t>
  </si>
  <si>
    <t>VN 409</t>
  </si>
  <si>
    <t>VJ 961</t>
  </si>
  <si>
    <t>SQ 611</t>
  </si>
  <si>
    <t>OZ 6620</t>
  </si>
  <si>
    <t>UA 806</t>
  </si>
  <si>
    <t>BR 169</t>
  </si>
  <si>
    <t>TW 303</t>
  </si>
  <si>
    <t>OZ 202</t>
  </si>
  <si>
    <t>YP 101</t>
  </si>
  <si>
    <t>CX 439</t>
  </si>
  <si>
    <t>CX 411</t>
  </si>
  <si>
    <t>KE 23</t>
  </si>
  <si>
    <t>DL 188</t>
  </si>
  <si>
    <t>KE 41</t>
  </si>
  <si>
    <t>UA 892</t>
  </si>
  <si>
    <t>AA 280</t>
  </si>
  <si>
    <t>AC 64</t>
  </si>
  <si>
    <t>KE 651</t>
  </si>
  <si>
    <t>OZ 272</t>
  </si>
  <si>
    <t>DL 26</t>
  </si>
  <si>
    <t>KE 5035</t>
  </si>
  <si>
    <t>AC 62</t>
  </si>
  <si>
    <t>OZ 703</t>
  </si>
  <si>
    <t>DL 172</t>
  </si>
  <si>
    <t>CX 419</t>
  </si>
  <si>
    <t>KE 625</t>
  </si>
  <si>
    <t>OZ 204</t>
  </si>
  <si>
    <t>WS 87</t>
  </si>
  <si>
    <t>5J 131</t>
  </si>
  <si>
    <t>JBA call taxi for this guest</t>
  </si>
  <si>
    <t>EK 323</t>
  </si>
  <si>
    <t>INTER PARNAS</t>
  </si>
  <si>
    <t>Total Pax</t>
  </si>
  <si>
    <t>2H15/2H35(RUSH)</t>
  </si>
  <si>
    <t>1H45/2H05(RUSH)</t>
  </si>
  <si>
    <t>1h45</t>
  </si>
  <si>
    <t>1h15</t>
  </si>
  <si>
    <t>PR 467</t>
  </si>
  <si>
    <t>PARNAS &amp; JW MARRIOTT - ICN</t>
  </si>
  <si>
    <t>1H45(T1orT2)/2H05(T1&amp;T2)</t>
  </si>
  <si>
    <t>1H15(T1orT2)/1H35(T1&amp;T2)</t>
  </si>
  <si>
    <t>PARNAS &amp; JW MARRIOTT - GMP</t>
  </si>
  <si>
    <t>45m</t>
  </si>
  <si>
    <t>5J 185</t>
  </si>
  <si>
    <t>Parnas meet</t>
  </si>
  <si>
    <t>Parnas depart</t>
  </si>
  <si>
    <t>JW meet</t>
  </si>
  <si>
    <t>JW depart</t>
  </si>
  <si>
    <t>PARNAS-T1</t>
  </si>
  <si>
    <t>PARNAS-T2</t>
  </si>
  <si>
    <t>JW-T1</t>
  </si>
  <si>
    <t>JW-T2</t>
  </si>
  <si>
    <t>Parnas
GMP-D</t>
  </si>
  <si>
    <t>JW
GMP-D</t>
  </si>
  <si>
    <t>Parnas
GMP-I</t>
  </si>
  <si>
    <t>JW
GMP-I</t>
  </si>
  <si>
    <t>7C 1101</t>
  </si>
  <si>
    <t>PR 485</t>
  </si>
  <si>
    <t>NH 862</t>
  </si>
  <si>
    <t>TW 241</t>
  </si>
  <si>
    <t>JL 90</t>
  </si>
  <si>
    <t>OZ 102</t>
  </si>
  <si>
    <t>JW: 27 (T1 &amp; T2)</t>
  </si>
  <si>
    <t>OZ 1045</t>
  </si>
  <si>
    <t>KE 469</t>
  </si>
  <si>
    <t>BX 172</t>
  </si>
  <si>
    <t>DL 7851</t>
  </si>
  <si>
    <t>combine JW &amp; IN (T1 &amp; T2)</t>
  </si>
  <si>
    <t>7C 1103</t>
  </si>
  <si>
    <t>KE 37</t>
  </si>
  <si>
    <t>KE 457</t>
  </si>
  <si>
    <t>KE 897</t>
  </si>
  <si>
    <t>JW: 24 (T1 &amp; T2)</t>
  </si>
  <si>
    <t>VJ 863</t>
  </si>
  <si>
    <t>IN: 25 pax (T1)</t>
  </si>
  <si>
    <t>MU 580</t>
  </si>
  <si>
    <t>CZ 314</t>
  </si>
  <si>
    <t>IN: 4 (T2)</t>
  </si>
  <si>
    <t>JW (T1 &amp; T2)</t>
  </si>
  <si>
    <t>Z2 885</t>
  </si>
  <si>
    <t>NQ 122</t>
  </si>
  <si>
    <t>JW: 25 (T1)</t>
  </si>
  <si>
    <t>KE 789</t>
  </si>
  <si>
    <t>combine JW &amp; IN (t1)</t>
  </si>
  <si>
    <t>NH 6954</t>
  </si>
  <si>
    <t>OZ 114</t>
  </si>
  <si>
    <t>combine JW &amp; IN (T1)</t>
  </si>
  <si>
    <t>KE 833</t>
  </si>
  <si>
    <t>3U 3974</t>
  </si>
  <si>
    <t>JW: 6 (T1)</t>
  </si>
  <si>
    <t>OZ 335</t>
  </si>
  <si>
    <t>KE 725</t>
  </si>
  <si>
    <t>DL 7860</t>
  </si>
  <si>
    <t>KE 187</t>
  </si>
  <si>
    <t>IN: 18 (T1 &amp; T2)</t>
  </si>
  <si>
    <t>OZ 751</t>
  </si>
  <si>
    <t>KE 671</t>
  </si>
  <si>
    <t>CZ 3062</t>
  </si>
  <si>
    <t>JW: 19 (T1 &amp; T2)</t>
  </si>
  <si>
    <t>IN: 18 (T2)</t>
  </si>
  <si>
    <t>9C 8560</t>
  </si>
  <si>
    <t>TG 653</t>
  </si>
  <si>
    <t>VN 403</t>
  </si>
  <si>
    <t>JW (T1)</t>
  </si>
  <si>
    <t>KE 461</t>
  </si>
  <si>
    <t>DL 170</t>
  </si>
  <si>
    <t>KE 645</t>
  </si>
  <si>
    <t>JW: 32  (T1)</t>
  </si>
  <si>
    <t>JW: 1bus +1truck</t>
  </si>
  <si>
    <t>IN: 1 bus only</t>
  </si>
  <si>
    <t>KE 623</t>
  </si>
  <si>
    <t>IN: 21 (T1)</t>
  </si>
  <si>
    <t>KE 689</t>
  </si>
  <si>
    <t>7C 2103</t>
  </si>
  <si>
    <t>combine JW &amp; IN (T2)</t>
  </si>
  <si>
    <t>IN (T2)</t>
  </si>
  <si>
    <t>DL 196</t>
  </si>
  <si>
    <t>KE 477</t>
  </si>
  <si>
    <t>KE 615</t>
  </si>
  <si>
    <t>DL 7833</t>
  </si>
  <si>
    <t>KE 11</t>
  </si>
  <si>
    <t>PR 469</t>
  </si>
  <si>
    <t>KE 85</t>
  </si>
  <si>
    <t>7C 2113</t>
  </si>
  <si>
    <t>OZ 212</t>
  </si>
  <si>
    <t>7C 2125</t>
  </si>
  <si>
    <t>OZ 709</t>
  </si>
  <si>
    <t>YP 131</t>
  </si>
  <si>
    <t>7C 2107</t>
  </si>
  <si>
    <t>JQ 48</t>
  </si>
  <si>
    <t>7C 2621</t>
  </si>
  <si>
    <t>OZ 707</t>
  </si>
  <si>
    <t>JW MARRIOTT</t>
  </si>
  <si>
    <t>JW: 9 (T1) -sprinter</t>
  </si>
  <si>
    <t>KE 647</t>
  </si>
  <si>
    <t>JW: 4 (T2)</t>
  </si>
  <si>
    <t>KE 621 on 24 Sep</t>
  </si>
  <si>
    <t>Clients depart on 24 Sep, wanna join last bus to airport</t>
  </si>
  <si>
    <t>2H/2H20(RUSH)</t>
  </si>
  <si>
    <t>1H30/2H(RUSH)</t>
  </si>
  <si>
    <t>LOTTE &amp; PLAZA - ICN</t>
  </si>
  <si>
    <t>1H30(T1orT2)/1H50(T1&amp;T2)</t>
  </si>
  <si>
    <t>1H(T1orT2)/1H30(T1&amp;T2)</t>
  </si>
  <si>
    <t>LOTTE &amp; PLAZA - GMP</t>
  </si>
  <si>
    <t>Plaza meet</t>
  </si>
  <si>
    <t>Plaza depart</t>
  </si>
  <si>
    <t>Lotte meet</t>
  </si>
  <si>
    <t>Lotte depart</t>
  </si>
  <si>
    <t>D.Time</t>
  </si>
  <si>
    <t>D. Flt</t>
  </si>
  <si>
    <t>LOTTE-T1</t>
  </si>
  <si>
    <t>PLAZA-T1</t>
  </si>
  <si>
    <t>LOTTE-T2</t>
  </si>
  <si>
    <t>PLAZA-T2</t>
  </si>
  <si>
    <t>Plaza Meet</t>
  </si>
  <si>
    <t>Plaza Depart</t>
  </si>
  <si>
    <t>Lotte Meet</t>
  </si>
  <si>
    <t>Lotte Depart</t>
  </si>
  <si>
    <t>LOTTE
GMP-D</t>
  </si>
  <si>
    <t>PLAZA
GMP-D</t>
  </si>
  <si>
    <t>LOTTE
GMP-I</t>
  </si>
  <si>
    <t>PLAZA
GMP-I</t>
  </si>
  <si>
    <t>21:30 on 22 SEPT</t>
  </si>
  <si>
    <t>IT 603</t>
  </si>
  <si>
    <t>KE 1803</t>
  </si>
  <si>
    <t>MU 2004</t>
  </si>
  <si>
    <t>BX 8803</t>
  </si>
  <si>
    <t>BX 164</t>
  </si>
  <si>
    <t>7C 1501</t>
  </si>
  <si>
    <t>OZ 1145</t>
  </si>
  <si>
    <t>L: 6 (T1) -solati</t>
  </si>
  <si>
    <t>KE 2117</t>
  </si>
  <si>
    <t>L: 6 (T2) -solati</t>
  </si>
  <si>
    <t>BX 8807</t>
  </si>
  <si>
    <t>LJ 511</t>
  </si>
  <si>
    <t>RS 705</t>
  </si>
  <si>
    <t>KE 127</t>
  </si>
  <si>
    <t>KE 865</t>
  </si>
  <si>
    <t>OZ 222</t>
  </si>
  <si>
    <t>7C 6101</t>
  </si>
  <si>
    <t>DL 7839</t>
  </si>
  <si>
    <t>KE 185</t>
  </si>
  <si>
    <t>7C 1373</t>
  </si>
  <si>
    <t>7C 6001</t>
  </si>
  <si>
    <t>L: 10pax (T1+T2): Sprinter</t>
  </si>
  <si>
    <t>Lotte: 25pax (T1): 1bus</t>
  </si>
  <si>
    <t>VN 431</t>
  </si>
  <si>
    <t>OZ 521</t>
  </si>
  <si>
    <t>CI 161</t>
  </si>
  <si>
    <t>UO 619</t>
  </si>
  <si>
    <t>KE 497</t>
  </si>
  <si>
    <t>KE 175</t>
  </si>
  <si>
    <t>CZ 338</t>
  </si>
  <si>
    <t>MU 5012</t>
  </si>
  <si>
    <t>Plaza: 20pax (T1+T2): 1bus</t>
  </si>
  <si>
    <t>Lotte: 21pax (T1): 1bus</t>
  </si>
  <si>
    <t>P: 50 (T1)</t>
  </si>
  <si>
    <t>L: 17 (T1)</t>
  </si>
  <si>
    <t>7C 2515</t>
  </si>
  <si>
    <t>L: 3 paxs Van (T2)</t>
  </si>
  <si>
    <t>L: 25 pax Bus (T1)</t>
  </si>
  <si>
    <t>OZ 735</t>
  </si>
  <si>
    <t>DL 7843</t>
  </si>
  <si>
    <t>BR 159</t>
  </si>
  <si>
    <t>KE 177</t>
  </si>
  <si>
    <t>THE PLAZA</t>
  </si>
  <si>
    <t>L: 24 (T1 &amp; T2)</t>
  </si>
  <si>
    <t>CI 163</t>
  </si>
  <si>
    <t>MF 878</t>
  </si>
  <si>
    <t>LOTTE</t>
  </si>
  <si>
    <t>KE 719</t>
  </si>
  <si>
    <t>P: 3 (T2)</t>
  </si>
  <si>
    <t>P: 25 (T1 &amp; T2)</t>
  </si>
  <si>
    <t>combine P &amp; L (T1)</t>
  </si>
  <si>
    <t>KE 5</t>
  </si>
  <si>
    <t>KE 53</t>
  </si>
  <si>
    <t>OZ 224</t>
  </si>
  <si>
    <t>TW 531</t>
  </si>
  <si>
    <t>OZ 178</t>
  </si>
  <si>
    <t>L (T1)</t>
  </si>
  <si>
    <t>KL 856</t>
  </si>
  <si>
    <t>UO 627</t>
  </si>
  <si>
    <t>TR 897</t>
  </si>
  <si>
    <t>HA 460 on 24 Sep</t>
  </si>
  <si>
    <t>19:55 on 22 Sep</t>
  </si>
  <si>
    <t>JW: 23 (T1)</t>
  </si>
  <si>
    <t>L: 4 paxs Van (T2)</t>
  </si>
  <si>
    <t xml:space="preserve"> CX 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</si>
</sst>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"/>
    <numFmt numFmtId="165" formatCode="h&quot;:&quot;mm"/>
  </numFmts>
  <fonts count="38">
    <font>
      <sz val="12"/>
      <color theme="1"/>
      <name val="Calibri"/>
      <scheme val="minor"/>
    </font>
    <font>
      <b/>
      <sz val="12"/>
      <color rgb="FFFFFFFF"/>
      <name val="Noto Sans KR"/>
    </font>
    <font>
      <sz val="8"/>
      <color theme="1"/>
      <name val="Noto Sans KR"/>
    </font>
    <font>
      <sz val="12"/>
      <color theme="1"/>
      <name val="Calibri"/>
      <family val="1"/>
      <scheme val="minor"/>
    </font>
    <font>
      <sz val="10"/>
      <color theme="0"/>
      <name val="Noto Sans KR"/>
    </font>
    <font>
      <sz val="10"/>
      <color theme="1"/>
      <name val="Calibri"/>
      <family val="1"/>
      <scheme val="minor"/>
    </font>
    <font>
      <b/>
      <sz val="9"/>
      <color theme="1"/>
      <name val="Noto Sans KR"/>
    </font>
    <font>
      <b/>
      <sz val="9"/>
      <color rgb="FF000000"/>
      <name val="&quot;Noto Sans KR&quot;"/>
    </font>
    <font>
      <b/>
      <sz val="9"/>
      <color rgb="FF000000"/>
      <name val="Noto Sans KR"/>
    </font>
    <font>
      <b/>
      <sz val="8"/>
      <color theme="1"/>
      <name val="Noto Sans KR"/>
    </font>
    <font>
      <sz val="10"/>
      <color theme="1"/>
      <name val="Noto Sans KR"/>
    </font>
    <font>
      <b/>
      <sz val="10"/>
      <color rgb="FFFF0000"/>
      <name val="Noto Sans KR"/>
    </font>
    <font>
      <sz val="8"/>
      <color rgb="FF000000"/>
      <name val="&quot;Noto Sans KR&quot;"/>
    </font>
    <font>
      <sz val="10"/>
      <color rgb="FFFF0000"/>
      <name val="Noto Sans KR"/>
    </font>
    <font>
      <sz val="8"/>
      <color rgb="FFFF0000"/>
      <name val="Noto Sans KR"/>
    </font>
    <font>
      <sz val="8"/>
      <color rgb="FF000000"/>
      <name val="Noto Sans KR"/>
    </font>
    <font>
      <b/>
      <sz val="9"/>
      <color rgb="FFFF0000"/>
      <name val="Noto Sans KR"/>
    </font>
    <font>
      <b/>
      <sz val="10"/>
      <color theme="1"/>
      <name val="Calibri"/>
      <family val="1"/>
      <scheme val="minor"/>
    </font>
    <font>
      <b/>
      <sz val="10"/>
      <color rgb="FFFFFFFF"/>
      <name val="Noto Sans KR"/>
    </font>
    <font>
      <b/>
      <sz val="8"/>
      <color rgb="FF000000"/>
      <name val="Noto Sans KR"/>
    </font>
    <font>
      <b/>
      <sz val="10"/>
      <color rgb="FFFF0000"/>
      <name val="&quot;Noto Sans KR&quot;"/>
    </font>
    <font>
      <strike/>
      <sz val="8"/>
      <color rgb="FF000000"/>
      <name val="&quot;Noto Sans KR&quot;"/>
    </font>
    <font>
      <b/>
      <strike/>
      <sz val="10"/>
      <color rgb="FFFF0000"/>
      <name val="&quot;Noto Sans KR&quot;"/>
    </font>
    <font>
      <sz val="12"/>
      <name val="Times New Roman"/>
      <family val="1"/>
    </font>
    <font>
      <sz val="8"/>
      <color theme="1"/>
      <name val="&quot;Noto Sans KR&quot;"/>
    </font>
    <font>
      <sz val="8"/>
      <name val="Times New Roman"/>
      <family val="1"/>
    </font>
    <font>
      <sz val="10"/>
      <name val="Times New Roman"/>
      <family val="1"/>
    </font>
    <font>
      <b/>
      <sz val="10"/>
      <color rgb="FFFF0000"/>
      <name val="Calibri"/>
      <family val="2"/>
      <scheme val="minor"/>
    </font>
    <font>
      <strike/>
      <sz val="12"/>
      <name val="Times New Roman"/>
      <family val="1"/>
    </font>
    <font>
      <b/>
      <sz val="10"/>
      <color theme="1"/>
      <name val="Noto Sans KR"/>
    </font>
    <font>
      <strike/>
      <sz val="8"/>
      <color theme="1"/>
      <name val="Noto Sans KR"/>
    </font>
    <font>
      <b/>
      <strike/>
      <sz val="10"/>
      <color rgb="FFFF0000"/>
      <name val="Noto Sans KR"/>
    </font>
    <font>
      <b/>
      <sz val="8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rgb="FFFF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4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35FC1"/>
        <bgColor rgb="FF535FC1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theme="2" tint="-0.249977111117893"/>
        <bgColor indexed="64"/>
      </patternFill>
    </fill>
  </fills>
  <borders count="7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/>
      <diagonal/>
    </border>
    <border>
      <left/>
      <right style="hair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rgb="FF000000"/>
      </bottom>
      <diagonal/>
    </border>
    <border>
      <left/>
      <right style="hair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3" fillId="0" borderId="0"/>
  </cellStyleXfs>
  <cellXfs count="9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20" fontId="0" fillId="0" borderId="0" xfId="0" applyNumberForma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readingOrder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10" fillId="0" borderId="0" xfId="0" applyNumberFormat="1" applyFont="1" applyAlignment="1">
      <alignment vertical="center"/>
    </xf>
    <xf numFmtId="20" fontId="2" fillId="0" borderId="6" xfId="0" applyNumberFormat="1" applyFont="1" applyBorder="1" applyAlignment="1">
      <alignment horizontal="center" vertical="center"/>
    </xf>
    <xf numFmtId="20" fontId="11" fillId="0" borderId="6" xfId="0" applyNumberFormat="1" applyFont="1" applyBorder="1" applyAlignment="1">
      <alignment horizontal="center" vertical="center"/>
    </xf>
    <xf numFmtId="20" fontId="12" fillId="9" borderId="0" xfId="0" applyNumberFormat="1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0" fontId="11" fillId="0" borderId="15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20" fontId="12" fillId="9" borderId="16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2" fillId="9" borderId="17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0" fontId="2" fillId="12" borderId="14" xfId="0" applyNumberFormat="1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20" fontId="2" fillId="12" borderId="10" xfId="0" applyNumberFormat="1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readingOrder="1"/>
    </xf>
    <xf numFmtId="0" fontId="6" fillId="14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20" fontId="15" fillId="9" borderId="5" xfId="0" applyNumberFormat="1" applyFont="1" applyFill="1" applyBorder="1" applyAlignment="1">
      <alignment horizontal="center" vertical="center" wrapText="1" readingOrder="1"/>
    </xf>
    <xf numFmtId="20" fontId="12" fillId="0" borderId="0" xfId="0" applyNumberFormat="1" applyFont="1" applyAlignment="1">
      <alignment horizontal="center" vertical="center"/>
    </xf>
    <xf numFmtId="20" fontId="20" fillId="0" borderId="0" xfId="0" applyNumberFormat="1" applyFont="1" applyAlignment="1">
      <alignment horizontal="center" vertical="center"/>
    </xf>
    <xf numFmtId="20" fontId="15" fillId="0" borderId="6" xfId="0" applyNumberFormat="1" applyFont="1" applyBorder="1" applyAlignment="1">
      <alignment horizontal="center" vertical="center" wrapText="1" readingOrder="1"/>
    </xf>
    <xf numFmtId="20" fontId="2" fillId="0" borderId="6" xfId="0" applyNumberFormat="1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2" fillId="15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0" fontId="15" fillId="0" borderId="19" xfId="0" applyNumberFormat="1" applyFont="1" applyBorder="1" applyAlignment="1">
      <alignment horizontal="center" vertical="center" wrapText="1" readingOrder="1"/>
    </xf>
    <xf numFmtId="20" fontId="2" fillId="0" borderId="19" xfId="0" applyNumberFormat="1" applyFont="1" applyBorder="1" applyAlignment="1">
      <alignment horizontal="center" vertical="center" readingOrder="1"/>
    </xf>
    <xf numFmtId="0" fontId="2" fillId="0" borderId="19" xfId="0" applyFont="1" applyBorder="1" applyAlignment="1">
      <alignment horizontal="center" vertical="center" readingOrder="1"/>
    </xf>
    <xf numFmtId="0" fontId="2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 wrapText="1" readingOrder="1"/>
    </xf>
    <xf numFmtId="20" fontId="19" fillId="0" borderId="3" xfId="0" applyNumberFormat="1" applyFont="1" applyBorder="1" applyAlignment="1">
      <alignment horizontal="center" vertical="center" wrapText="1" readingOrder="1"/>
    </xf>
    <xf numFmtId="20" fontId="20" fillId="0" borderId="3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 wrapText="1" readingOrder="1"/>
    </xf>
    <xf numFmtId="20" fontId="15" fillId="0" borderId="10" xfId="0" applyNumberFormat="1" applyFont="1" applyBorder="1" applyAlignment="1">
      <alignment horizontal="center" vertical="center" wrapText="1" readingOrder="1"/>
    </xf>
    <xf numFmtId="20" fontId="2" fillId="0" borderId="10" xfId="0" applyNumberFormat="1" applyFont="1" applyBorder="1" applyAlignment="1">
      <alignment horizontal="center" vertical="center" readingOrder="1"/>
    </xf>
    <xf numFmtId="0" fontId="2" fillId="0" borderId="10" xfId="0" applyFont="1" applyBorder="1" applyAlignment="1">
      <alignment horizontal="center" vertical="center" readingOrder="1"/>
    </xf>
    <xf numFmtId="0" fontId="2" fillId="15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20" fontId="15" fillId="0" borderId="17" xfId="0" applyNumberFormat="1" applyFont="1" applyBorder="1" applyAlignment="1">
      <alignment horizontal="center" vertical="center" wrapText="1" readingOrder="1"/>
    </xf>
    <xf numFmtId="20" fontId="2" fillId="0" borderId="17" xfId="0" applyNumberFormat="1" applyFont="1" applyBorder="1" applyAlignment="1">
      <alignment horizontal="center" vertical="center" readingOrder="1"/>
    </xf>
    <xf numFmtId="0" fontId="2" fillId="0" borderId="17" xfId="0" applyFont="1" applyBorder="1" applyAlignment="1">
      <alignment horizontal="center" vertical="center" readingOrder="1"/>
    </xf>
    <xf numFmtId="0" fontId="2" fillId="0" borderId="17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 wrapText="1" readingOrder="1"/>
    </xf>
    <xf numFmtId="20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13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20" fontId="15" fillId="0" borderId="5" xfId="0" applyNumberFormat="1" applyFont="1" applyBorder="1" applyAlignment="1">
      <alignment horizontal="center" vertical="center" wrapText="1" readingOrder="1"/>
    </xf>
    <xf numFmtId="20" fontId="2" fillId="0" borderId="5" xfId="0" applyNumberFormat="1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/>
    </xf>
    <xf numFmtId="0" fontId="0" fillId="19" borderId="0" xfId="0" applyFill="1"/>
    <xf numFmtId="0" fontId="9" fillId="11" borderId="10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3" fillId="19" borderId="22" xfId="0" applyFont="1" applyFill="1" applyBorder="1"/>
    <xf numFmtId="0" fontId="2" fillId="0" borderId="0" xfId="0" applyFont="1" applyAlignment="1">
      <alignment horizontal="center" vertical="center" readingOrder="1"/>
    </xf>
    <xf numFmtId="0" fontId="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3" fillId="19" borderId="0" xfId="0" applyFont="1" applyFill="1"/>
    <xf numFmtId="0" fontId="11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20" fontId="15" fillId="21" borderId="5" xfId="0" applyNumberFormat="1" applyFont="1" applyFill="1" applyBorder="1" applyAlignment="1">
      <alignment horizontal="center" vertical="center" wrapText="1" readingOrder="1"/>
    </xf>
    <xf numFmtId="20" fontId="2" fillId="21" borderId="5" xfId="0" applyNumberFormat="1" applyFont="1" applyFill="1" applyBorder="1" applyAlignment="1">
      <alignment horizontal="center" vertical="center" readingOrder="1"/>
    </xf>
    <xf numFmtId="0" fontId="2" fillId="21" borderId="0" xfId="0" applyFont="1" applyFill="1" applyAlignment="1">
      <alignment horizontal="center" vertical="center" readingOrder="1"/>
    </xf>
    <xf numFmtId="0" fontId="2" fillId="21" borderId="0" xfId="0" applyFont="1" applyFill="1" applyAlignment="1">
      <alignment horizontal="center" vertical="center"/>
    </xf>
    <xf numFmtId="20" fontId="12" fillId="0" borderId="28" xfId="0" applyNumberFormat="1" applyFont="1" applyBorder="1" applyAlignment="1">
      <alignment horizontal="center" vertical="center"/>
    </xf>
    <xf numFmtId="20" fontId="20" fillId="0" borderId="15" xfId="0" applyNumberFormat="1" applyFont="1" applyBorder="1" applyAlignment="1">
      <alignment horizontal="center" vertical="center"/>
    </xf>
    <xf numFmtId="0" fontId="23" fillId="19" borderId="29" xfId="0" applyFont="1" applyFill="1" applyBorder="1"/>
    <xf numFmtId="0" fontId="0" fillId="19" borderId="16" xfId="0" applyFill="1" applyBorder="1"/>
    <xf numFmtId="20" fontId="25" fillId="16" borderId="29" xfId="0" applyNumberFormat="1" applyFont="1" applyFill="1" applyBorder="1" applyAlignment="1">
      <alignment horizontal="center" vertical="center"/>
    </xf>
    <xf numFmtId="20" fontId="25" fillId="0" borderId="29" xfId="0" applyNumberFormat="1" applyFont="1" applyBorder="1" applyAlignment="1">
      <alignment horizontal="center" vertical="center"/>
    </xf>
    <xf numFmtId="20" fontId="15" fillId="0" borderId="15" xfId="0" applyNumberFormat="1" applyFont="1" applyBorder="1" applyAlignment="1">
      <alignment horizontal="center" vertical="center" wrapText="1" readingOrder="1"/>
    </xf>
    <xf numFmtId="20" fontId="2" fillId="0" borderId="15" xfId="0" applyNumberFormat="1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3" fillId="16" borderId="22" xfId="0" applyFont="1" applyFill="1" applyBorder="1"/>
    <xf numFmtId="0" fontId="23" fillId="16" borderId="33" xfId="0" applyFont="1" applyFill="1" applyBorder="1"/>
    <xf numFmtId="0" fontId="9" fillId="14" borderId="10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 readingOrder="1"/>
    </xf>
    <xf numFmtId="0" fontId="2" fillId="0" borderId="14" xfId="0" applyFont="1" applyBorder="1" applyAlignment="1">
      <alignment horizontal="center" vertical="center" readingOrder="1"/>
    </xf>
    <xf numFmtId="0" fontId="9" fillId="0" borderId="14" xfId="0" applyFont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9" fillId="23" borderId="10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20" fontId="12" fillId="16" borderId="22" xfId="0" applyNumberFormat="1" applyFont="1" applyFill="1" applyBorder="1" applyAlignment="1">
      <alignment vertical="center"/>
    </xf>
    <xf numFmtId="20" fontId="20" fillId="16" borderId="22" xfId="0" applyNumberFormat="1" applyFont="1" applyFill="1" applyBorder="1" applyAlignment="1">
      <alignment vertical="center"/>
    </xf>
    <xf numFmtId="0" fontId="2" fillId="21" borderId="10" xfId="0" applyFont="1" applyFill="1" applyBorder="1" applyAlignment="1">
      <alignment horizontal="center" vertical="center" readingOrder="1"/>
    </xf>
    <xf numFmtId="0" fontId="2" fillId="21" borderId="10" xfId="0" applyFont="1" applyFill="1" applyBorder="1" applyAlignment="1">
      <alignment horizontal="center" vertical="center"/>
    </xf>
    <xf numFmtId="0" fontId="23" fillId="0" borderId="9" xfId="0" applyFont="1" applyBorder="1"/>
    <xf numFmtId="0" fontId="0" fillId="16" borderId="0" xfId="0" applyFill="1"/>
    <xf numFmtId="0" fontId="2" fillId="21" borderId="1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0" fontId="12" fillId="16" borderId="23" xfId="0" applyNumberFormat="1" applyFont="1" applyFill="1" applyBorder="1" applyAlignment="1">
      <alignment vertical="center"/>
    </xf>
    <xf numFmtId="20" fontId="20" fillId="16" borderId="23" xfId="0" applyNumberFormat="1" applyFont="1" applyFill="1" applyBorder="1" applyAlignment="1">
      <alignment vertical="center"/>
    </xf>
    <xf numFmtId="0" fontId="2" fillId="18" borderId="10" xfId="0" applyFont="1" applyFill="1" applyBorder="1" applyAlignment="1">
      <alignment horizontal="center" vertical="center"/>
    </xf>
    <xf numFmtId="20" fontId="20" fillId="16" borderId="19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/>
    </xf>
    <xf numFmtId="20" fontId="15" fillId="12" borderId="1" xfId="0" applyNumberFormat="1" applyFont="1" applyFill="1" applyBorder="1" applyAlignment="1">
      <alignment horizontal="center" vertical="center" wrapText="1" readingOrder="1"/>
    </xf>
    <xf numFmtId="20" fontId="2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20" fontId="15" fillId="12" borderId="15" xfId="0" applyNumberFormat="1" applyFont="1" applyFill="1" applyBorder="1" applyAlignment="1">
      <alignment horizontal="center" vertical="center" wrapText="1" readingOrder="1"/>
    </xf>
    <xf numFmtId="20" fontId="2" fillId="12" borderId="15" xfId="0" applyNumberFormat="1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2" fillId="12" borderId="35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29" fillId="25" borderId="5" xfId="0" applyFont="1" applyFill="1" applyBorder="1" applyAlignment="1">
      <alignment horizontal="center" vertical="center"/>
    </xf>
    <xf numFmtId="0" fontId="29" fillId="26" borderId="5" xfId="0" applyFont="1" applyFill="1" applyBorder="1" applyAlignment="1">
      <alignment horizontal="center" vertical="center"/>
    </xf>
    <xf numFmtId="0" fontId="29" fillId="27" borderId="5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 readingOrder="1"/>
    </xf>
    <xf numFmtId="0" fontId="9" fillId="8" borderId="15" xfId="0" applyFont="1" applyFill="1" applyBorder="1" applyAlignment="1">
      <alignment horizontal="center" vertical="center" readingOrder="1"/>
    </xf>
    <xf numFmtId="0" fontId="9" fillId="0" borderId="15" xfId="0" applyFont="1" applyBorder="1" applyAlignment="1">
      <alignment horizontal="center" vertical="center" wrapText="1" readingOrder="1"/>
    </xf>
    <xf numFmtId="0" fontId="9" fillId="10" borderId="15" xfId="0" applyFont="1" applyFill="1" applyBorder="1" applyAlignment="1">
      <alignment horizontal="center" vertical="center"/>
    </xf>
    <xf numFmtId="20" fontId="15" fillId="9" borderId="1" xfId="0" applyNumberFormat="1" applyFont="1" applyFill="1" applyBorder="1" applyAlignment="1">
      <alignment horizontal="center" vertical="center" wrapText="1" readingOrder="1"/>
    </xf>
    <xf numFmtId="20" fontId="13" fillId="9" borderId="1" xfId="0" applyNumberFormat="1" applyFont="1" applyFill="1" applyBorder="1" applyAlignment="1">
      <alignment horizontal="center" vertical="center" wrapText="1" readingOrder="1"/>
    </xf>
    <xf numFmtId="20" fontId="20" fillId="0" borderId="19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0" fontId="2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20" fontId="2" fillId="9" borderId="14" xfId="0" applyNumberFormat="1" applyFont="1" applyFill="1" applyBorder="1" applyAlignment="1">
      <alignment horizontal="center" vertical="center"/>
    </xf>
    <xf numFmtId="20" fontId="13" fillId="9" borderId="14" xfId="0" applyNumberFormat="1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8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left" vertical="center"/>
    </xf>
    <xf numFmtId="20" fontId="2" fillId="9" borderId="15" xfId="0" applyNumberFormat="1" applyFont="1" applyFill="1" applyBorder="1" applyAlignment="1">
      <alignment horizontal="center" vertical="center"/>
    </xf>
    <xf numFmtId="20" fontId="20" fillId="9" borderId="16" xfId="0" applyNumberFormat="1" applyFont="1" applyFill="1" applyBorder="1" applyAlignment="1">
      <alignment horizontal="center" vertical="center"/>
    </xf>
    <xf numFmtId="20" fontId="2" fillId="0" borderId="1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20" fontId="2" fillId="9" borderId="25" xfId="0" applyNumberFormat="1" applyFont="1" applyFill="1" applyBorder="1" applyAlignment="1">
      <alignment horizontal="center" vertical="center"/>
    </xf>
    <xf numFmtId="20" fontId="11" fillId="9" borderId="25" xfId="0" applyNumberFormat="1" applyFont="1" applyFill="1" applyBorder="1" applyAlignment="1">
      <alignment horizontal="center" vertical="center"/>
    </xf>
    <xf numFmtId="0" fontId="0" fillId="29" borderId="0" xfId="0" applyFill="1"/>
    <xf numFmtId="20" fontId="2" fillId="0" borderId="44" xfId="0" applyNumberFormat="1" applyFont="1" applyBorder="1" applyAlignment="1">
      <alignment horizontal="center" vertical="center"/>
    </xf>
    <xf numFmtId="0" fontId="23" fillId="29" borderId="9" xfId="0" applyFont="1" applyFill="1" applyBorder="1"/>
    <xf numFmtId="20" fontId="2" fillId="0" borderId="45" xfId="0" applyNumberFormat="1" applyFont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/>
    </xf>
    <xf numFmtId="20" fontId="20" fillId="0" borderId="14" xfId="0" applyNumberFormat="1" applyFont="1" applyBorder="1" applyAlignment="1">
      <alignment horizontal="center" vertical="center"/>
    </xf>
    <xf numFmtId="20" fontId="2" fillId="0" borderId="46" xfId="0" applyNumberFormat="1" applyFont="1" applyBorder="1" applyAlignment="1">
      <alignment horizontal="center" vertical="center"/>
    </xf>
    <xf numFmtId="20" fontId="2" fillId="0" borderId="47" xfId="0" applyNumberFormat="1" applyFont="1" applyBorder="1" applyAlignment="1">
      <alignment horizontal="center" vertical="center"/>
    </xf>
    <xf numFmtId="20" fontId="2" fillId="21" borderId="17" xfId="0" applyNumberFormat="1" applyFont="1" applyFill="1" applyBorder="1" applyAlignment="1">
      <alignment horizontal="center" vertical="center"/>
    </xf>
    <xf numFmtId="0" fontId="2" fillId="21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3" fillId="29" borderId="49" xfId="0" applyFont="1" applyFill="1" applyBorder="1"/>
    <xf numFmtId="20" fontId="2" fillId="0" borderId="50" xfId="0" applyNumberFormat="1" applyFont="1" applyBorder="1" applyAlignment="1">
      <alignment horizontal="center" vertical="center"/>
    </xf>
    <xf numFmtId="0" fontId="2" fillId="21" borderId="50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2" fillId="28" borderId="10" xfId="0" applyFont="1" applyFill="1" applyBorder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20" fontId="2" fillId="0" borderId="53" xfId="0" applyNumberFormat="1" applyFont="1" applyBorder="1" applyAlignment="1">
      <alignment horizontal="center" vertical="center"/>
    </xf>
    <xf numFmtId="20" fontId="2" fillId="0" borderId="13" xfId="0" applyNumberFormat="1" applyFont="1" applyBorder="1" applyAlignment="1">
      <alignment horizontal="center" vertical="center"/>
    </xf>
    <xf numFmtId="20" fontId="2" fillId="21" borderId="42" xfId="0" applyNumberFormat="1" applyFont="1" applyFill="1" applyBorder="1" applyAlignment="1">
      <alignment horizontal="center" vertical="center"/>
    </xf>
    <xf numFmtId="20" fontId="2" fillId="21" borderId="6" xfId="0" applyNumberFormat="1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  <xf numFmtId="0" fontId="23" fillId="30" borderId="9" xfId="0" applyFont="1" applyFill="1" applyBorder="1"/>
    <xf numFmtId="0" fontId="25" fillId="30" borderId="9" xfId="0" applyFont="1" applyFill="1" applyBorder="1" applyAlignment="1">
      <alignment vertical="center"/>
    </xf>
    <xf numFmtId="0" fontId="2" fillId="28" borderId="9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/>
    </xf>
    <xf numFmtId="20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15" fillId="0" borderId="36" xfId="0" applyNumberFormat="1" applyFont="1" applyBorder="1" applyAlignment="1">
      <alignment horizontal="center" vertical="center" wrapText="1" readingOrder="1"/>
    </xf>
    <xf numFmtId="20" fontId="15" fillId="0" borderId="13" xfId="0" applyNumberFormat="1" applyFont="1" applyBorder="1" applyAlignment="1">
      <alignment horizontal="center" vertical="center" wrapText="1" readingOrder="1"/>
    </xf>
    <xf numFmtId="20" fontId="15" fillId="0" borderId="42" xfId="0" applyNumberFormat="1" applyFont="1" applyBorder="1" applyAlignment="1">
      <alignment horizontal="center" vertical="center" wrapText="1" readingOrder="1"/>
    </xf>
    <xf numFmtId="20" fontId="12" fillId="16" borderId="61" xfId="0" applyNumberFormat="1" applyFont="1" applyFill="1" applyBorder="1" applyAlignment="1">
      <alignment vertical="center"/>
    </xf>
    <xf numFmtId="20" fontId="20" fillId="16" borderId="62" xfId="0" applyNumberFormat="1" applyFont="1" applyFill="1" applyBorder="1" applyAlignment="1">
      <alignment vertical="center"/>
    </xf>
    <xf numFmtId="0" fontId="23" fillId="0" borderId="60" xfId="0" applyFont="1" applyBorder="1"/>
    <xf numFmtId="0" fontId="23" fillId="16" borderId="0" xfId="0" applyFont="1" applyFill="1"/>
    <xf numFmtId="0" fontId="23" fillId="16" borderId="63" xfId="0" applyFont="1" applyFill="1" applyBorder="1"/>
    <xf numFmtId="0" fontId="23" fillId="16" borderId="64" xfId="0" applyFont="1" applyFill="1" applyBorder="1"/>
    <xf numFmtId="20" fontId="26" fillId="0" borderId="64" xfId="0" applyNumberFormat="1" applyFont="1" applyBorder="1" applyAlignment="1">
      <alignment horizontal="center"/>
    </xf>
    <xf numFmtId="20" fontId="27" fillId="0" borderId="65" xfId="0" applyNumberFormat="1" applyFont="1" applyBorder="1" applyAlignment="1">
      <alignment horizontal="center" vertical="center"/>
    </xf>
    <xf numFmtId="20" fontId="26" fillId="0" borderId="64" xfId="0" applyNumberFormat="1" applyFont="1" applyBorder="1" applyAlignment="1">
      <alignment horizontal="center" vertical="center"/>
    </xf>
    <xf numFmtId="20" fontId="12" fillId="9" borderId="64" xfId="0" applyNumberFormat="1" applyFont="1" applyFill="1" applyBorder="1" applyAlignment="1">
      <alignment vertical="center"/>
    </xf>
    <xf numFmtId="20" fontId="15" fillId="0" borderId="63" xfId="0" applyNumberFormat="1" applyFont="1" applyBorder="1" applyAlignment="1">
      <alignment horizontal="center" vertical="center" wrapText="1" readingOrder="1"/>
    </xf>
    <xf numFmtId="0" fontId="23" fillId="19" borderId="62" xfId="0" applyFont="1" applyFill="1" applyBorder="1"/>
    <xf numFmtId="0" fontId="23" fillId="19" borderId="17" xfId="0" applyFont="1" applyFill="1" applyBorder="1"/>
    <xf numFmtId="20" fontId="15" fillId="0" borderId="9" xfId="0" applyNumberFormat="1" applyFont="1" applyBorder="1" applyAlignment="1">
      <alignment horizontal="center" vertical="center" wrapText="1" readingOrder="1"/>
    </xf>
    <xf numFmtId="20" fontId="2" fillId="0" borderId="9" xfId="0" applyNumberFormat="1" applyFont="1" applyBorder="1" applyAlignment="1">
      <alignment horizontal="center" vertical="center" readingOrder="1"/>
    </xf>
    <xf numFmtId="0" fontId="2" fillId="0" borderId="9" xfId="0" applyFont="1" applyBorder="1" applyAlignment="1">
      <alignment horizontal="center" vertical="center" readingOrder="1"/>
    </xf>
    <xf numFmtId="0" fontId="2" fillId="15" borderId="9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0" fontId="21" fillId="16" borderId="60" xfId="0" applyNumberFormat="1" applyFont="1" applyFill="1" applyBorder="1" applyAlignment="1">
      <alignment horizontal="center" vertical="center"/>
    </xf>
    <xf numFmtId="20" fontId="22" fillId="16" borderId="61" xfId="0" applyNumberFormat="1" applyFont="1" applyFill="1" applyBorder="1" applyAlignment="1">
      <alignment horizontal="center" vertical="center"/>
    </xf>
    <xf numFmtId="20" fontId="2" fillId="12" borderId="63" xfId="0" applyNumberFormat="1" applyFont="1" applyFill="1" applyBorder="1" applyAlignment="1">
      <alignment horizontal="center" vertical="center" readingOrder="1"/>
    </xf>
    <xf numFmtId="0" fontId="2" fillId="12" borderId="63" xfId="0" applyFont="1" applyFill="1" applyBorder="1" applyAlignment="1">
      <alignment horizontal="center" vertical="center" readingOrder="1"/>
    </xf>
    <xf numFmtId="0" fontId="2" fillId="12" borderId="63" xfId="0" applyFont="1" applyFill="1" applyBorder="1" applyAlignment="1">
      <alignment horizontal="center" vertical="center"/>
    </xf>
    <xf numFmtId="0" fontId="11" fillId="12" borderId="63" xfId="0" applyFont="1" applyFill="1" applyBorder="1" applyAlignment="1">
      <alignment horizontal="center" vertical="center"/>
    </xf>
    <xf numFmtId="0" fontId="9" fillId="12" borderId="63" xfId="0" applyFont="1" applyFill="1" applyBorder="1" applyAlignment="1">
      <alignment horizontal="center" vertical="center"/>
    </xf>
    <xf numFmtId="20" fontId="15" fillId="12" borderId="60" xfId="0" applyNumberFormat="1" applyFont="1" applyFill="1" applyBorder="1" applyAlignment="1">
      <alignment horizontal="center" vertical="center" wrapText="1" readingOrder="1"/>
    </xf>
    <xf numFmtId="20" fontId="15" fillId="0" borderId="66" xfId="0" applyNumberFormat="1" applyFont="1" applyBorder="1" applyAlignment="1">
      <alignment horizontal="center" vertical="center" wrapText="1" readingOrder="1"/>
    </xf>
    <xf numFmtId="20" fontId="12" fillId="16" borderId="61" xfId="0" applyNumberFormat="1" applyFont="1" applyFill="1" applyBorder="1" applyAlignment="1">
      <alignment horizontal="center" vertical="center"/>
    </xf>
    <xf numFmtId="20" fontId="20" fillId="16" borderId="62" xfId="0" applyNumberFormat="1" applyFont="1" applyFill="1" applyBorder="1" applyAlignment="1">
      <alignment horizontal="center" vertical="center"/>
    </xf>
    <xf numFmtId="165" fontId="12" fillId="16" borderId="61" xfId="0" applyNumberFormat="1" applyFont="1" applyFill="1" applyBorder="1" applyAlignment="1">
      <alignment horizontal="center" vertical="center"/>
    </xf>
    <xf numFmtId="0" fontId="28" fillId="16" borderId="14" xfId="0" applyFont="1" applyFill="1" applyBorder="1"/>
    <xf numFmtId="0" fontId="23" fillId="16" borderId="17" xfId="0" applyFont="1" applyFill="1" applyBorder="1"/>
    <xf numFmtId="0" fontId="28" fillId="16" borderId="31" xfId="0" applyFont="1" applyFill="1" applyBorder="1"/>
    <xf numFmtId="0" fontId="28" fillId="16" borderId="16" xfId="0" applyFont="1" applyFill="1" applyBorder="1"/>
    <xf numFmtId="0" fontId="23" fillId="16" borderId="29" xfId="0" applyFont="1" applyFill="1" applyBorder="1"/>
    <xf numFmtId="0" fontId="23" fillId="16" borderId="16" xfId="0" applyFont="1" applyFill="1" applyBorder="1"/>
    <xf numFmtId="20" fontId="2" fillId="16" borderId="14" xfId="0" applyNumberFormat="1" applyFont="1" applyFill="1" applyBorder="1" applyAlignment="1">
      <alignment horizontal="center" vertical="center"/>
    </xf>
    <xf numFmtId="20" fontId="11" fillId="16" borderId="14" xfId="0" applyNumberFormat="1" applyFont="1" applyFill="1" applyBorder="1" applyAlignment="1">
      <alignment horizontal="center" vertical="center"/>
    </xf>
    <xf numFmtId="20" fontId="12" fillId="16" borderId="17" xfId="0" applyNumberFormat="1" applyFont="1" applyFill="1" applyBorder="1" applyAlignment="1">
      <alignment horizontal="center" vertical="center"/>
    </xf>
    <xf numFmtId="20" fontId="2" fillId="16" borderId="10" xfId="0" applyNumberFormat="1" applyFont="1" applyFill="1" applyBorder="1" applyAlignment="1">
      <alignment horizontal="center" vertical="center"/>
    </xf>
    <xf numFmtId="20" fontId="11" fillId="16" borderId="10" xfId="0" applyNumberFormat="1" applyFont="1" applyFill="1" applyBorder="1" applyAlignment="1">
      <alignment horizontal="center" vertical="center"/>
    </xf>
    <xf numFmtId="20" fontId="12" fillId="16" borderId="0" xfId="0" applyNumberFormat="1" applyFont="1" applyFill="1" applyAlignment="1">
      <alignment horizontal="center" vertical="center"/>
    </xf>
    <xf numFmtId="0" fontId="9" fillId="23" borderId="30" xfId="0" applyFont="1" applyFill="1" applyBorder="1" applyAlignment="1">
      <alignment horizontal="center" vertical="center"/>
    </xf>
    <xf numFmtId="0" fontId="0" fillId="23" borderId="31" xfId="0" applyFill="1" applyBorder="1"/>
    <xf numFmtId="0" fontId="0" fillId="23" borderId="32" xfId="0" applyFill="1" applyBorder="1"/>
    <xf numFmtId="0" fontId="9" fillId="23" borderId="19" xfId="0" applyFont="1" applyFill="1" applyBorder="1" applyAlignment="1">
      <alignment horizontal="center" vertical="center"/>
    </xf>
    <xf numFmtId="0" fontId="9" fillId="23" borderId="26" xfId="0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20" fontId="3" fillId="0" borderId="0" xfId="1" applyNumberFormat="1" applyAlignment="1">
      <alignment vertical="center"/>
    </xf>
    <xf numFmtId="0" fontId="3" fillId="0" borderId="0" xfId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 readingOrder="1"/>
    </xf>
    <xf numFmtId="0" fontId="6" fillId="5" borderId="1" xfId="1" applyFont="1" applyFill="1" applyBorder="1" applyAlignment="1">
      <alignment horizontal="center" vertical="center" readingOrder="1"/>
    </xf>
    <xf numFmtId="0" fontId="6" fillId="6" borderId="1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readingOrder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6" fontId="10" fillId="0" borderId="0" xfId="1" applyNumberFormat="1" applyFont="1" applyAlignment="1">
      <alignment vertical="center"/>
    </xf>
    <xf numFmtId="20" fontId="2" fillId="0" borderId="6" xfId="1" applyNumberFormat="1" applyFont="1" applyBorder="1" applyAlignment="1">
      <alignment horizontal="center" vertical="center"/>
    </xf>
    <xf numFmtId="20" fontId="11" fillId="0" borderId="6" xfId="1" applyNumberFormat="1" applyFont="1" applyBorder="1" applyAlignment="1">
      <alignment horizontal="center" vertical="center"/>
    </xf>
    <xf numFmtId="20" fontId="12" fillId="9" borderId="0" xfId="1" applyNumberFormat="1" applyFont="1" applyFill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20" fontId="1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2" fillId="10" borderId="7" xfId="1" applyFont="1" applyFill="1" applyBorder="1" applyAlignment="1">
      <alignment horizontal="center" vertical="center"/>
    </xf>
    <xf numFmtId="0" fontId="2" fillId="10" borderId="6" xfId="1" applyFont="1" applyFill="1" applyBorder="1" applyAlignment="1">
      <alignment horizontal="center" vertical="center"/>
    </xf>
    <xf numFmtId="0" fontId="2" fillId="10" borderId="8" xfId="1" applyFont="1" applyFill="1" applyBorder="1" applyAlignment="1">
      <alignment horizontal="center" vertical="center"/>
    </xf>
    <xf numFmtId="20" fontId="2" fillId="0" borderId="10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5" fillId="11" borderId="10" xfId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center" vertical="center"/>
    </xf>
    <xf numFmtId="0" fontId="6" fillId="9" borderId="13" xfId="1" applyFont="1" applyFill="1" applyBorder="1" applyAlignment="1">
      <alignment horizontal="center" vertical="center"/>
    </xf>
    <xf numFmtId="0" fontId="16" fillId="9" borderId="1" xfId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20" fontId="2" fillId="0" borderId="9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2" fillId="11" borderId="9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20" fontId="2" fillId="0" borderId="14" xfId="1" applyNumberFormat="1" applyFont="1" applyBorder="1" applyAlignment="1">
      <alignment horizontal="center" vertical="center"/>
    </xf>
    <xf numFmtId="20" fontId="11" fillId="0" borderId="15" xfId="1" applyNumberFormat="1" applyFont="1" applyBorder="1" applyAlignment="1">
      <alignment horizontal="center" vertical="center"/>
    </xf>
    <xf numFmtId="20" fontId="2" fillId="0" borderId="15" xfId="1" applyNumberFormat="1" applyFont="1" applyBorder="1" applyAlignment="1">
      <alignment horizontal="center" vertical="center"/>
    </xf>
    <xf numFmtId="20" fontId="12" fillId="9" borderId="16" xfId="1" applyNumberFormat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2" fillId="11" borderId="14" xfId="1" applyFont="1" applyFill="1" applyBorder="1" applyAlignment="1">
      <alignment horizontal="center" vertical="center"/>
    </xf>
    <xf numFmtId="20" fontId="11" fillId="0" borderId="14" xfId="1" applyNumberFormat="1" applyFont="1" applyBorder="1" applyAlignment="1">
      <alignment horizontal="center" vertical="center"/>
    </xf>
    <xf numFmtId="20" fontId="12" fillId="9" borderId="17" xfId="1" applyNumberFormat="1" applyFont="1" applyFill="1" applyBorder="1" applyAlignment="1">
      <alignment horizontal="center" vertical="center"/>
    </xf>
    <xf numFmtId="0" fontId="2" fillId="11" borderId="10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20" fontId="2" fillId="12" borderId="14" xfId="1" applyNumberFormat="1" applyFont="1" applyFill="1" applyBorder="1" applyAlignment="1">
      <alignment horizontal="center" vertical="center"/>
    </xf>
    <xf numFmtId="20" fontId="11" fillId="12" borderId="14" xfId="1" applyNumberFormat="1" applyFont="1" applyFill="1" applyBorder="1" applyAlignment="1">
      <alignment horizontal="center" vertical="center"/>
    </xf>
    <xf numFmtId="20" fontId="12" fillId="12" borderId="17" xfId="1" applyNumberFormat="1" applyFont="1" applyFill="1" applyBorder="1" applyAlignment="1">
      <alignment horizontal="center" vertical="center"/>
    </xf>
    <xf numFmtId="0" fontId="2" fillId="12" borderId="14" xfId="1" applyFont="1" applyFill="1" applyBorder="1" applyAlignment="1">
      <alignment horizontal="center" vertical="center"/>
    </xf>
    <xf numFmtId="0" fontId="11" fillId="12" borderId="14" xfId="1" applyFont="1" applyFill="1" applyBorder="1" applyAlignment="1">
      <alignment horizontal="center" vertical="center"/>
    </xf>
    <xf numFmtId="0" fontId="2" fillId="12" borderId="6" xfId="1" applyFont="1" applyFill="1" applyBorder="1" applyAlignment="1">
      <alignment horizontal="center" vertical="center"/>
    </xf>
    <xf numFmtId="0" fontId="2" fillId="12" borderId="0" xfId="1" applyFont="1" applyFill="1" applyAlignment="1">
      <alignment horizontal="center" vertical="center" wrapText="1"/>
    </xf>
    <xf numFmtId="20" fontId="2" fillId="12" borderId="10" xfId="1" applyNumberFormat="1" applyFont="1" applyFill="1" applyBorder="1" applyAlignment="1">
      <alignment horizontal="center" vertical="center"/>
    </xf>
    <xf numFmtId="20" fontId="11" fillId="12" borderId="10" xfId="1" applyNumberFormat="1" applyFont="1" applyFill="1" applyBorder="1" applyAlignment="1">
      <alignment horizontal="center" vertical="center"/>
    </xf>
    <xf numFmtId="20" fontId="12" fillId="12" borderId="0" xfId="1" applyNumberFormat="1" applyFont="1" applyFill="1" applyAlignment="1">
      <alignment horizontal="center" vertical="center"/>
    </xf>
    <xf numFmtId="0" fontId="2" fillId="12" borderId="10" xfId="1" applyFont="1" applyFill="1" applyBorder="1" applyAlignment="1">
      <alignment horizontal="center" vertical="center"/>
    </xf>
    <xf numFmtId="0" fontId="11" fillId="12" borderId="10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center" vertical="center" readingOrder="1"/>
    </xf>
    <xf numFmtId="0" fontId="6" fillId="14" borderId="1" xfId="1" applyFont="1" applyFill="1" applyBorder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9" fillId="10" borderId="5" xfId="1" applyFont="1" applyFill="1" applyBorder="1" applyAlignment="1">
      <alignment horizontal="center" vertical="center" wrapText="1" readingOrder="1"/>
    </xf>
    <xf numFmtId="0" fontId="9" fillId="8" borderId="5" xfId="1" applyFont="1" applyFill="1" applyBorder="1" applyAlignment="1">
      <alignment horizontal="center" vertical="center" readingOrder="1"/>
    </xf>
    <xf numFmtId="0" fontId="2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10" borderId="5" xfId="1" applyFont="1" applyFill="1" applyBorder="1" applyAlignment="1">
      <alignment horizontal="center" vertical="center"/>
    </xf>
    <xf numFmtId="20" fontId="15" fillId="9" borderId="5" xfId="1" applyNumberFormat="1" applyFont="1" applyFill="1" applyBorder="1" applyAlignment="1">
      <alignment horizontal="center" vertical="center" wrapText="1" readingOrder="1"/>
    </xf>
    <xf numFmtId="20" fontId="12" fillId="0" borderId="0" xfId="1" applyNumberFormat="1" applyFont="1" applyAlignment="1">
      <alignment horizontal="center" vertical="center"/>
    </xf>
    <xf numFmtId="20" fontId="20" fillId="0" borderId="0" xfId="1" applyNumberFormat="1" applyFont="1" applyAlignment="1">
      <alignment horizontal="center" vertical="center"/>
    </xf>
    <xf numFmtId="20" fontId="15" fillId="0" borderId="6" xfId="1" applyNumberFormat="1" applyFont="1" applyBorder="1" applyAlignment="1">
      <alignment horizontal="center" vertical="center" wrapText="1" readingOrder="1"/>
    </xf>
    <xf numFmtId="20" fontId="2" fillId="0" borderId="6" xfId="1" applyNumberFormat="1" applyFont="1" applyBorder="1" applyAlignment="1">
      <alignment horizontal="center" vertical="center" readingOrder="1"/>
    </xf>
    <xf numFmtId="0" fontId="2" fillId="0" borderId="6" xfId="1" applyFont="1" applyBorder="1" applyAlignment="1">
      <alignment horizontal="center" vertical="center" readingOrder="1"/>
    </xf>
    <xf numFmtId="0" fontId="2" fillId="15" borderId="6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20" fontId="15" fillId="0" borderId="19" xfId="1" applyNumberFormat="1" applyFont="1" applyBorder="1" applyAlignment="1">
      <alignment horizontal="center" vertical="center" wrapText="1" readingOrder="1"/>
    </xf>
    <xf numFmtId="20" fontId="2" fillId="0" borderId="19" xfId="1" applyNumberFormat="1" applyFont="1" applyBorder="1" applyAlignment="1">
      <alignment horizontal="center" vertical="center" readingOrder="1"/>
    </xf>
    <xf numFmtId="0" fontId="2" fillId="0" borderId="19" xfId="1" applyFont="1" applyBorder="1" applyAlignment="1">
      <alignment horizontal="center" vertical="center" readingOrder="1"/>
    </xf>
    <xf numFmtId="0" fontId="2" fillId="0" borderId="19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20" fontId="15" fillId="0" borderId="3" xfId="1" applyNumberFormat="1" applyFont="1" applyBorder="1" applyAlignment="1">
      <alignment horizontal="center" vertical="center" wrapText="1" readingOrder="1"/>
    </xf>
    <xf numFmtId="20" fontId="19" fillId="0" borderId="3" xfId="1" applyNumberFormat="1" applyFont="1" applyBorder="1" applyAlignment="1">
      <alignment horizontal="center" vertical="center" wrapText="1" readingOrder="1"/>
    </xf>
    <xf numFmtId="20" fontId="20" fillId="0" borderId="3" xfId="1" applyNumberFormat="1" applyFont="1" applyBorder="1" applyAlignment="1">
      <alignment horizontal="center" vertical="center"/>
    </xf>
    <xf numFmtId="165" fontId="15" fillId="0" borderId="3" xfId="1" applyNumberFormat="1" applyFont="1" applyBorder="1" applyAlignment="1">
      <alignment horizontal="center" vertical="center" wrapText="1" readingOrder="1"/>
    </xf>
    <xf numFmtId="20" fontId="15" fillId="0" borderId="10" xfId="1" applyNumberFormat="1" applyFont="1" applyBorder="1" applyAlignment="1">
      <alignment horizontal="center" vertical="center" wrapText="1" readingOrder="1"/>
    </xf>
    <xf numFmtId="20" fontId="2" fillId="0" borderId="10" xfId="1" applyNumberFormat="1" applyFont="1" applyBorder="1" applyAlignment="1">
      <alignment horizontal="center" vertical="center" readingOrder="1"/>
    </xf>
    <xf numFmtId="0" fontId="2" fillId="0" borderId="10" xfId="1" applyFont="1" applyBorder="1" applyAlignment="1">
      <alignment horizontal="center" vertical="center" readingOrder="1"/>
    </xf>
    <xf numFmtId="0" fontId="2" fillId="15" borderId="10" xfId="1" applyFont="1" applyFill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20" fontId="15" fillId="0" borderId="17" xfId="1" applyNumberFormat="1" applyFont="1" applyBorder="1" applyAlignment="1">
      <alignment horizontal="center" vertical="center" wrapText="1" readingOrder="1"/>
    </xf>
    <xf numFmtId="20" fontId="2" fillId="0" borderId="17" xfId="1" applyNumberFormat="1" applyFont="1" applyBorder="1" applyAlignment="1">
      <alignment horizontal="center" vertical="center" readingOrder="1"/>
    </xf>
    <xf numFmtId="0" fontId="2" fillId="0" borderId="17" xfId="1" applyFont="1" applyBorder="1" applyAlignment="1">
      <alignment horizontal="center" vertical="center" readingOrder="1"/>
    </xf>
    <xf numFmtId="0" fontId="2" fillId="0" borderId="17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20" fontId="15" fillId="0" borderId="1" xfId="1" applyNumberFormat="1" applyFont="1" applyBorder="1" applyAlignment="1">
      <alignment horizontal="center" vertical="center" wrapText="1" readingOrder="1"/>
    </xf>
    <xf numFmtId="20" fontId="2" fillId="0" borderId="1" xfId="1" applyNumberFormat="1" applyFont="1" applyBorder="1" applyAlignment="1">
      <alignment horizontal="center" vertical="center" readingOrder="1"/>
    </xf>
    <xf numFmtId="0" fontId="2" fillId="0" borderId="1" xfId="1" applyFont="1" applyBorder="1" applyAlignment="1">
      <alignment horizontal="center" vertical="center" readingOrder="1"/>
    </xf>
    <xf numFmtId="0" fontId="2" fillId="15" borderId="1" xfId="1" applyFont="1" applyFill="1" applyBorder="1" applyAlignment="1">
      <alignment horizontal="center" vertical="center"/>
    </xf>
    <xf numFmtId="0" fontId="11" fillId="31" borderId="1" xfId="1" applyFont="1" applyFill="1" applyBorder="1" applyAlignment="1">
      <alignment horizontal="center" vertical="center"/>
    </xf>
    <xf numFmtId="0" fontId="9" fillId="15" borderId="1" xfId="1" applyFont="1" applyFill="1" applyBorder="1" applyAlignment="1">
      <alignment horizontal="center" vertical="center"/>
    </xf>
    <xf numFmtId="0" fontId="9" fillId="31" borderId="1" xfId="1" applyFont="1" applyFill="1" applyBorder="1" applyAlignment="1">
      <alignment horizontal="center" vertical="center"/>
    </xf>
    <xf numFmtId="0" fontId="9" fillId="32" borderId="1" xfId="1" applyFont="1" applyFill="1" applyBorder="1" applyAlignment="1">
      <alignment horizontal="center" vertical="center"/>
    </xf>
    <xf numFmtId="0" fontId="9" fillId="33" borderId="1" xfId="1" applyFont="1" applyFill="1" applyBorder="1" applyAlignment="1">
      <alignment horizontal="center" vertical="center"/>
    </xf>
    <xf numFmtId="0" fontId="2" fillId="33" borderId="0" xfId="1" applyFont="1" applyFill="1" applyAlignment="1">
      <alignment horizontal="center" vertical="center"/>
    </xf>
    <xf numFmtId="20" fontId="2" fillId="9" borderId="10" xfId="1" applyNumberFormat="1" applyFont="1" applyFill="1" applyBorder="1" applyAlignment="1">
      <alignment horizontal="center" vertical="center"/>
    </xf>
    <xf numFmtId="20" fontId="13" fillId="0" borderId="10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/>
    </xf>
    <xf numFmtId="20" fontId="15" fillId="0" borderId="5" xfId="1" applyNumberFormat="1" applyFont="1" applyBorder="1" applyAlignment="1">
      <alignment horizontal="center" vertical="center" wrapText="1" readingOrder="1"/>
    </xf>
    <xf numFmtId="20" fontId="2" fillId="0" borderId="5" xfId="1" applyNumberFormat="1" applyFont="1" applyBorder="1" applyAlignment="1">
      <alignment horizontal="center" vertical="center" readingOrder="1"/>
    </xf>
    <xf numFmtId="0" fontId="2" fillId="0" borderId="5" xfId="1" applyFont="1" applyBorder="1" applyAlignment="1">
      <alignment horizontal="center" vertical="center" readingOrder="1"/>
    </xf>
    <xf numFmtId="0" fontId="11" fillId="0" borderId="5" xfId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20" fontId="2" fillId="9" borderId="56" xfId="1" applyNumberFormat="1" applyFont="1" applyFill="1" applyBorder="1" applyAlignment="1">
      <alignment horizontal="center" vertical="center"/>
    </xf>
    <xf numFmtId="20" fontId="2" fillId="0" borderId="56" xfId="1" applyNumberFormat="1" applyFont="1" applyBorder="1" applyAlignment="1">
      <alignment horizontal="center" vertical="center"/>
    </xf>
    <xf numFmtId="20" fontId="13" fillId="0" borderId="56" xfId="1" applyNumberFormat="1" applyFont="1" applyBorder="1" applyAlignment="1">
      <alignment horizontal="center" vertical="center"/>
    </xf>
    <xf numFmtId="20" fontId="15" fillId="0" borderId="56" xfId="1" applyNumberFormat="1" applyFont="1" applyBorder="1" applyAlignment="1">
      <alignment horizontal="center" vertical="center" wrapText="1" readingOrder="1"/>
    </xf>
    <xf numFmtId="20" fontId="2" fillId="0" borderId="56" xfId="1" applyNumberFormat="1" applyFont="1" applyBorder="1" applyAlignment="1">
      <alignment horizontal="center" vertical="center" readingOrder="1"/>
    </xf>
    <xf numFmtId="0" fontId="2" fillId="0" borderId="56" xfId="1" applyFont="1" applyBorder="1" applyAlignment="1">
      <alignment horizontal="center" vertical="center" readingOrder="1"/>
    </xf>
    <xf numFmtId="20" fontId="21" fillId="16" borderId="60" xfId="1" applyNumberFormat="1" applyFont="1" applyFill="1" applyBorder="1" applyAlignment="1">
      <alignment vertical="center"/>
    </xf>
    <xf numFmtId="20" fontId="22" fillId="16" borderId="60" xfId="1" applyNumberFormat="1" applyFont="1" applyFill="1" applyBorder="1" applyAlignment="1">
      <alignment vertical="center"/>
    </xf>
    <xf numFmtId="20" fontId="12" fillId="17" borderId="60" xfId="1" applyNumberFormat="1" applyFont="1" applyFill="1" applyBorder="1" applyAlignment="1">
      <alignment vertical="center"/>
    </xf>
    <xf numFmtId="20" fontId="20" fillId="0" borderId="60" xfId="1" applyNumberFormat="1" applyFont="1" applyBorder="1" applyAlignment="1">
      <alignment vertical="center"/>
    </xf>
    <xf numFmtId="20" fontId="12" fillId="0" borderId="60" xfId="1" applyNumberFormat="1" applyFont="1" applyBorder="1" applyAlignment="1">
      <alignment vertical="center"/>
    </xf>
    <xf numFmtId="165" fontId="12" fillId="0" borderId="60" xfId="1" applyNumberFormat="1" applyFont="1" applyBorder="1" applyAlignment="1">
      <alignment vertical="center"/>
    </xf>
    <xf numFmtId="20" fontId="15" fillId="0" borderId="66" xfId="1" applyNumberFormat="1" applyFont="1" applyBorder="1" applyAlignment="1">
      <alignment horizontal="center" vertical="center" wrapText="1" readingOrder="1"/>
    </xf>
    <xf numFmtId="20" fontId="2" fillId="0" borderId="66" xfId="1" applyNumberFormat="1" applyFont="1" applyBorder="1" applyAlignment="1">
      <alignment horizontal="center" vertical="center" readingOrder="1"/>
    </xf>
    <xf numFmtId="0" fontId="2" fillId="0" borderId="66" xfId="1" applyFont="1" applyBorder="1" applyAlignment="1">
      <alignment horizontal="center" vertical="center" readingOrder="1"/>
    </xf>
    <xf numFmtId="0" fontId="2" fillId="15" borderId="66" xfId="1" applyFont="1" applyFill="1" applyBorder="1" applyAlignment="1">
      <alignment horizontal="center" vertical="center"/>
    </xf>
    <xf numFmtId="0" fontId="2" fillId="0" borderId="66" xfId="1" applyFont="1" applyBorder="1" applyAlignment="1">
      <alignment horizontal="center" vertical="center"/>
    </xf>
    <xf numFmtId="0" fontId="11" fillId="15" borderId="68" xfId="1" applyFont="1" applyFill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9" fillId="14" borderId="66" xfId="1" applyFont="1" applyFill="1" applyBorder="1" applyAlignment="1">
      <alignment horizontal="center" vertical="center"/>
    </xf>
    <xf numFmtId="0" fontId="2" fillId="14" borderId="0" xfId="1" applyFont="1" applyFill="1" applyAlignment="1">
      <alignment horizontal="center" vertical="center"/>
    </xf>
    <xf numFmtId="0" fontId="6" fillId="9" borderId="1" xfId="1" applyFont="1" applyFill="1" applyBorder="1" applyAlignment="1">
      <alignment horizontal="center" vertical="center" wrapText="1"/>
    </xf>
    <xf numFmtId="20" fontId="21" fillId="16" borderId="5" xfId="1" applyNumberFormat="1" applyFont="1" applyFill="1" applyBorder="1" applyAlignment="1">
      <alignment vertical="center"/>
    </xf>
    <xf numFmtId="20" fontId="22" fillId="16" borderId="5" xfId="1" applyNumberFormat="1" applyFont="1" applyFill="1" applyBorder="1" applyAlignment="1">
      <alignment vertical="center"/>
    </xf>
    <xf numFmtId="20" fontId="12" fillId="17" borderId="5" xfId="1" applyNumberFormat="1" applyFont="1" applyFill="1" applyBorder="1" applyAlignment="1">
      <alignment vertical="center"/>
    </xf>
    <xf numFmtId="20" fontId="20" fillId="0" borderId="5" xfId="1" applyNumberFormat="1" applyFont="1" applyBorder="1" applyAlignment="1">
      <alignment vertical="center"/>
    </xf>
    <xf numFmtId="20" fontId="12" fillId="0" borderId="5" xfId="1" applyNumberFormat="1" applyFont="1" applyBorder="1" applyAlignment="1">
      <alignment vertical="center"/>
    </xf>
    <xf numFmtId="165" fontId="12" fillId="0" borderId="5" xfId="1" applyNumberFormat="1" applyFont="1" applyBorder="1" applyAlignment="1">
      <alignment vertical="center"/>
    </xf>
    <xf numFmtId="0" fontId="11" fillId="15" borderId="11" xfId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 wrapText="1" readingOrder="1"/>
    </xf>
    <xf numFmtId="0" fontId="9" fillId="0" borderId="0" xfId="1" applyFont="1" applyAlignment="1">
      <alignment horizontal="center" vertical="center" readingOrder="1"/>
    </xf>
    <xf numFmtId="0" fontId="2" fillId="0" borderId="0" xfId="1" applyFont="1" applyAlignment="1">
      <alignment horizontal="center" vertical="center" wrapText="1"/>
    </xf>
    <xf numFmtId="0" fontId="11" fillId="15" borderId="1" xfId="1" applyFont="1" applyFill="1" applyBorder="1" applyAlignment="1">
      <alignment horizontal="center" vertical="center"/>
    </xf>
    <xf numFmtId="0" fontId="9" fillId="15" borderId="10" xfId="1" applyFont="1" applyFill="1" applyBorder="1" applyAlignment="1">
      <alignment horizontal="center" vertical="center"/>
    </xf>
    <xf numFmtId="20" fontId="21" fillId="16" borderId="69" xfId="1" applyNumberFormat="1" applyFont="1" applyFill="1" applyBorder="1" applyAlignment="1">
      <alignment vertical="center"/>
    </xf>
    <xf numFmtId="20" fontId="22" fillId="16" borderId="69" xfId="1" applyNumberFormat="1" applyFont="1" applyFill="1" applyBorder="1" applyAlignment="1">
      <alignment vertical="center"/>
    </xf>
    <xf numFmtId="20" fontId="12" fillId="17" borderId="69" xfId="1" applyNumberFormat="1" applyFont="1" applyFill="1" applyBorder="1" applyAlignment="1">
      <alignment vertical="center"/>
    </xf>
    <xf numFmtId="20" fontId="20" fillId="0" borderId="69" xfId="1" applyNumberFormat="1" applyFont="1" applyBorder="1" applyAlignment="1">
      <alignment vertical="center"/>
    </xf>
    <xf numFmtId="20" fontId="12" fillId="0" borderId="69" xfId="1" applyNumberFormat="1" applyFont="1" applyBorder="1" applyAlignment="1">
      <alignment vertical="center"/>
    </xf>
    <xf numFmtId="165" fontId="12" fillId="0" borderId="69" xfId="1" applyNumberFormat="1" applyFont="1" applyBorder="1" applyAlignment="1">
      <alignment vertical="center"/>
    </xf>
    <xf numFmtId="20" fontId="15" fillId="0" borderId="67" xfId="1" applyNumberFormat="1" applyFont="1" applyBorder="1" applyAlignment="1">
      <alignment horizontal="center" vertical="center" wrapText="1" readingOrder="1"/>
    </xf>
    <xf numFmtId="20" fontId="2" fillId="0" borderId="67" xfId="1" applyNumberFormat="1" applyFont="1" applyBorder="1" applyAlignment="1">
      <alignment horizontal="center" vertical="center" readingOrder="1"/>
    </xf>
    <xf numFmtId="0" fontId="2" fillId="0" borderId="67" xfId="1" applyFont="1" applyBorder="1" applyAlignment="1">
      <alignment horizontal="center" vertical="center" readingOrder="1"/>
    </xf>
    <xf numFmtId="0" fontId="2" fillId="15" borderId="67" xfId="1" applyFont="1" applyFill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0" fontId="11" fillId="0" borderId="67" xfId="1" applyFont="1" applyBorder="1" applyAlignment="1">
      <alignment horizontal="center" vertical="center"/>
    </xf>
    <xf numFmtId="0" fontId="9" fillId="15" borderId="67" xfId="1" applyFont="1" applyFill="1" applyBorder="1" applyAlignment="1">
      <alignment horizontal="center" vertical="center"/>
    </xf>
    <xf numFmtId="0" fontId="9" fillId="0" borderId="67" xfId="1" applyFont="1" applyBorder="1" applyAlignment="1">
      <alignment horizontal="center" vertical="center"/>
    </xf>
    <xf numFmtId="0" fontId="2" fillId="15" borderId="0" xfId="1" applyFont="1" applyFill="1" applyAlignment="1">
      <alignment horizontal="center" vertical="center"/>
    </xf>
    <xf numFmtId="0" fontId="9" fillId="18" borderId="10" xfId="1" applyFont="1" applyFill="1" applyBorder="1" applyAlignment="1">
      <alignment horizontal="center" vertical="center"/>
    </xf>
    <xf numFmtId="0" fontId="2" fillId="18" borderId="0" xfId="1" applyFont="1" applyFill="1" applyAlignment="1">
      <alignment horizontal="center" vertical="center"/>
    </xf>
    <xf numFmtId="0" fontId="3" fillId="19" borderId="0" xfId="1" applyFill="1"/>
    <xf numFmtId="0" fontId="9" fillId="11" borderId="10" xfId="1" applyFont="1" applyFill="1" applyBorder="1" applyAlignment="1">
      <alignment horizontal="center" vertical="center"/>
    </xf>
    <xf numFmtId="0" fontId="2" fillId="11" borderId="0" xfId="1" applyFont="1" applyFill="1" applyAlignment="1">
      <alignment horizontal="center" vertical="center"/>
    </xf>
    <xf numFmtId="0" fontId="23" fillId="19" borderId="22" xfId="1" applyFont="1" applyFill="1" applyBorder="1"/>
    <xf numFmtId="0" fontId="23" fillId="19" borderId="19" xfId="1" applyFont="1" applyFill="1" applyBorder="1"/>
    <xf numFmtId="0" fontId="2" fillId="0" borderId="0" xfId="1" applyFont="1" applyAlignment="1">
      <alignment horizontal="center" vertical="center" readingOrder="1"/>
    </xf>
    <xf numFmtId="0" fontId="2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20" borderId="19" xfId="1" applyFont="1" applyFill="1" applyBorder="1" applyAlignment="1">
      <alignment horizontal="center" vertical="center"/>
    </xf>
    <xf numFmtId="0" fontId="9" fillId="20" borderId="26" xfId="1" applyFont="1" applyFill="1" applyBorder="1" applyAlignment="1">
      <alignment horizontal="center" vertical="center"/>
    </xf>
    <xf numFmtId="0" fontId="2" fillId="20" borderId="0" xfId="1" applyFont="1" applyFill="1" applyAlignment="1">
      <alignment horizontal="center" vertical="center"/>
    </xf>
    <xf numFmtId="0" fontId="23" fillId="19" borderId="0" xfId="1" applyFont="1" applyFill="1"/>
    <xf numFmtId="0" fontId="11" fillId="0" borderId="0" xfId="1" applyFont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20" fontId="12" fillId="0" borderId="28" xfId="1" applyNumberFormat="1" applyFont="1" applyBorder="1" applyAlignment="1">
      <alignment horizontal="center" vertical="center"/>
    </xf>
    <xf numFmtId="20" fontId="20" fillId="0" borderId="15" xfId="1" applyNumberFormat="1" applyFont="1" applyBorder="1" applyAlignment="1">
      <alignment horizontal="center" vertical="center"/>
    </xf>
    <xf numFmtId="0" fontId="23" fillId="19" borderId="29" xfId="1" applyFont="1" applyFill="1" applyBorder="1"/>
    <xf numFmtId="0" fontId="3" fillId="19" borderId="16" xfId="1" applyFill="1" applyBorder="1"/>
    <xf numFmtId="20" fontId="25" fillId="16" borderId="29" xfId="1" applyNumberFormat="1" applyFont="1" applyFill="1" applyBorder="1" applyAlignment="1">
      <alignment horizontal="center" vertical="center"/>
    </xf>
    <xf numFmtId="20" fontId="25" fillId="0" borderId="29" xfId="1" applyNumberFormat="1" applyFont="1" applyBorder="1" applyAlignment="1">
      <alignment horizontal="center" vertical="center"/>
    </xf>
    <xf numFmtId="20" fontId="15" fillId="0" borderId="15" xfId="1" applyNumberFormat="1" applyFont="1" applyBorder="1" applyAlignment="1">
      <alignment horizontal="center" vertical="center" wrapText="1" readingOrder="1"/>
    </xf>
    <xf numFmtId="20" fontId="2" fillId="0" borderId="15" xfId="1" applyNumberFormat="1" applyFont="1" applyBorder="1" applyAlignment="1">
      <alignment horizontal="center" vertical="center" readingOrder="1"/>
    </xf>
    <xf numFmtId="0" fontId="2" fillId="0" borderId="15" xfId="1" applyFont="1" applyBorder="1" applyAlignment="1">
      <alignment horizontal="center" vertical="center" readingOrder="1"/>
    </xf>
    <xf numFmtId="0" fontId="2" fillId="0" borderId="15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0" borderId="30" xfId="1" applyFont="1" applyFill="1" applyBorder="1" applyAlignment="1">
      <alignment horizontal="center" vertical="center"/>
    </xf>
    <xf numFmtId="0" fontId="3" fillId="20" borderId="31" xfId="1" applyFill="1" applyBorder="1"/>
    <xf numFmtId="0" fontId="3" fillId="20" borderId="32" xfId="1" applyFill="1" applyBorder="1"/>
    <xf numFmtId="0" fontId="23" fillId="16" borderId="22" xfId="1" applyFont="1" applyFill="1" applyBorder="1"/>
    <xf numFmtId="0" fontId="23" fillId="16" borderId="33" xfId="1" applyFont="1" applyFill="1" applyBorder="1"/>
    <xf numFmtId="0" fontId="9" fillId="14" borderId="10" xfId="1" applyFont="1" applyFill="1" applyBorder="1" applyAlignment="1">
      <alignment horizontal="center" vertical="center"/>
    </xf>
    <xf numFmtId="0" fontId="9" fillId="18" borderId="1" xfId="1" applyFont="1" applyFill="1" applyBorder="1" applyAlignment="1">
      <alignment horizontal="center" vertical="center"/>
    </xf>
    <xf numFmtId="20" fontId="26" fillId="0" borderId="22" xfId="1" applyNumberFormat="1" applyFont="1" applyBorder="1" applyAlignment="1">
      <alignment horizontal="center"/>
    </xf>
    <xf numFmtId="20" fontId="35" fillId="0" borderId="0" xfId="1" applyNumberFormat="1" applyFont="1" applyAlignment="1">
      <alignment horizontal="center" vertical="center"/>
    </xf>
    <xf numFmtId="20" fontId="26" fillId="0" borderId="33" xfId="1" applyNumberFormat="1" applyFont="1" applyBorder="1" applyAlignment="1">
      <alignment horizontal="center" vertical="center"/>
    </xf>
    <xf numFmtId="20" fontId="12" fillId="9" borderId="22" xfId="1" applyNumberFormat="1" applyFont="1" applyFill="1" applyBorder="1" applyAlignment="1">
      <alignment vertical="center"/>
    </xf>
    <xf numFmtId="20" fontId="15" fillId="0" borderId="14" xfId="1" applyNumberFormat="1" applyFont="1" applyBorder="1" applyAlignment="1">
      <alignment horizontal="center" vertical="center" wrapText="1" readingOrder="1"/>
    </xf>
    <xf numFmtId="20" fontId="2" fillId="0" borderId="14" xfId="1" applyNumberFormat="1" applyFont="1" applyBorder="1" applyAlignment="1">
      <alignment horizontal="center" vertical="center" readingOrder="1"/>
    </xf>
    <xf numFmtId="0" fontId="2" fillId="0" borderId="14" xfId="1" applyFont="1" applyBorder="1" applyAlignment="1">
      <alignment horizontal="center" vertical="center" readingOrder="1"/>
    </xf>
    <xf numFmtId="0" fontId="9" fillId="0" borderId="14" xfId="1" applyFont="1" applyBorder="1" applyAlignment="1">
      <alignment horizontal="center" vertical="center"/>
    </xf>
    <xf numFmtId="0" fontId="9" fillId="14" borderId="14" xfId="1" applyFont="1" applyFill="1" applyBorder="1" applyAlignment="1">
      <alignment horizontal="center" vertical="center"/>
    </xf>
    <xf numFmtId="0" fontId="9" fillId="23" borderId="10" xfId="1" applyFont="1" applyFill="1" applyBorder="1" applyAlignment="1">
      <alignment horizontal="center" vertical="center"/>
    </xf>
    <xf numFmtId="0" fontId="2" fillId="23" borderId="0" xfId="1" applyFont="1" applyFill="1" applyAlignment="1">
      <alignment horizontal="center" vertical="center"/>
    </xf>
    <xf numFmtId="0" fontId="9" fillId="23" borderId="1" xfId="1" applyFont="1" applyFill="1" applyBorder="1" applyAlignment="1">
      <alignment horizontal="center" vertical="center"/>
    </xf>
    <xf numFmtId="0" fontId="2" fillId="18" borderId="0" xfId="1" applyFont="1" applyFill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/>
    </xf>
    <xf numFmtId="20" fontId="12" fillId="16" borderId="22" xfId="1" applyNumberFormat="1" applyFont="1" applyFill="1" applyBorder="1" applyAlignment="1">
      <alignment vertical="center"/>
    </xf>
    <xf numFmtId="20" fontId="20" fillId="16" borderId="22" xfId="1" applyNumberFormat="1" applyFont="1" applyFill="1" applyBorder="1" applyAlignment="1">
      <alignment vertical="center"/>
    </xf>
    <xf numFmtId="20" fontId="15" fillId="9" borderId="5" xfId="1" applyNumberFormat="1" applyFont="1" applyFill="1" applyBorder="1" applyAlignment="1">
      <alignment vertical="center" wrapText="1" readingOrder="1"/>
    </xf>
    <xf numFmtId="0" fontId="23" fillId="0" borderId="9" xfId="1" applyFont="1" applyBorder="1"/>
    <xf numFmtId="0" fontId="23" fillId="0" borderId="14" xfId="1" applyFont="1" applyBorder="1"/>
    <xf numFmtId="20" fontId="20" fillId="16" borderId="0" xfId="1" applyNumberFormat="1" applyFont="1" applyFill="1" applyAlignment="1">
      <alignment vertical="center"/>
    </xf>
    <xf numFmtId="0" fontId="3" fillId="16" borderId="0" xfId="1" applyFill="1"/>
    <xf numFmtId="0" fontId="23" fillId="16" borderId="17" xfId="1" applyFont="1" applyFill="1" applyBorder="1"/>
    <xf numFmtId="0" fontId="2" fillId="14" borderId="6" xfId="1" applyFont="1" applyFill="1" applyBorder="1" applyAlignment="1">
      <alignment horizontal="center" vertical="center"/>
    </xf>
    <xf numFmtId="0" fontId="9" fillId="20" borderId="1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20" fontId="12" fillId="16" borderId="23" xfId="1" applyNumberFormat="1" applyFont="1" applyFill="1" applyBorder="1" applyAlignment="1">
      <alignment vertical="center"/>
    </xf>
    <xf numFmtId="20" fontId="20" fillId="16" borderId="23" xfId="1" applyNumberFormat="1" applyFont="1" applyFill="1" applyBorder="1" applyAlignment="1">
      <alignment vertical="center"/>
    </xf>
    <xf numFmtId="0" fontId="2" fillId="18" borderId="10" xfId="1" applyFont="1" applyFill="1" applyBorder="1" applyAlignment="1">
      <alignment horizontal="center" vertical="center"/>
    </xf>
    <xf numFmtId="20" fontId="20" fillId="16" borderId="19" xfId="1" applyNumberFormat="1" applyFont="1" applyFill="1" applyBorder="1" applyAlignment="1">
      <alignment vertical="center"/>
    </xf>
    <xf numFmtId="0" fontId="2" fillId="18" borderId="1" xfId="1" applyFont="1" applyFill="1" applyBorder="1" applyAlignment="1">
      <alignment horizontal="center" vertical="center"/>
    </xf>
    <xf numFmtId="0" fontId="3" fillId="16" borderId="17" xfId="1" applyFill="1" applyBorder="1"/>
    <xf numFmtId="0" fontId="11" fillId="0" borderId="10" xfId="1" applyFont="1" applyBorder="1" applyAlignment="1">
      <alignment horizontal="center" vertical="center" wrapText="1"/>
    </xf>
    <xf numFmtId="0" fontId="2" fillId="14" borderId="10" xfId="1" applyFont="1" applyFill="1" applyBorder="1" applyAlignment="1">
      <alignment horizontal="center" vertical="center"/>
    </xf>
    <xf numFmtId="0" fontId="28" fillId="12" borderId="14" xfId="1" applyFont="1" applyFill="1" applyBorder="1"/>
    <xf numFmtId="0" fontId="23" fillId="12" borderId="33" xfId="1" applyFont="1" applyFill="1" applyBorder="1"/>
    <xf numFmtId="0" fontId="23" fillId="12" borderId="17" xfId="1" applyFont="1" applyFill="1" applyBorder="1"/>
    <xf numFmtId="20" fontId="15" fillId="12" borderId="1" xfId="1" applyNumberFormat="1" applyFont="1" applyFill="1" applyBorder="1" applyAlignment="1">
      <alignment horizontal="center" vertical="center" wrapText="1" readingOrder="1"/>
    </xf>
    <xf numFmtId="20" fontId="2" fillId="12" borderId="1" xfId="1" applyNumberFormat="1" applyFont="1" applyFill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/>
    </xf>
    <xf numFmtId="0" fontId="2" fillId="12" borderId="0" xfId="1" applyFont="1" applyFill="1" applyAlignment="1">
      <alignment horizontal="center" vertical="center"/>
    </xf>
    <xf numFmtId="0" fontId="2" fillId="17" borderId="1" xfId="1" applyFont="1" applyFill="1" applyBorder="1" applyAlignment="1">
      <alignment horizontal="center" vertical="center"/>
    </xf>
    <xf numFmtId="20" fontId="2" fillId="0" borderId="5" xfId="1" applyNumberFormat="1" applyFont="1" applyBorder="1" applyAlignment="1">
      <alignment horizontal="center" vertical="center"/>
    </xf>
    <xf numFmtId="0" fontId="28" fillId="12" borderId="31" xfId="1" applyFont="1" applyFill="1" applyBorder="1"/>
    <xf numFmtId="0" fontId="28" fillId="12" borderId="16" xfId="1" applyFont="1" applyFill="1" applyBorder="1"/>
    <xf numFmtId="0" fontId="23" fillId="12" borderId="29" xfId="1" applyFont="1" applyFill="1" applyBorder="1"/>
    <xf numFmtId="0" fontId="23" fillId="12" borderId="16" xfId="1" applyFont="1" applyFill="1" applyBorder="1"/>
    <xf numFmtId="20" fontId="15" fillId="12" borderId="15" xfId="1" applyNumberFormat="1" applyFont="1" applyFill="1" applyBorder="1" applyAlignment="1">
      <alignment horizontal="center" vertical="center" wrapText="1" readingOrder="1"/>
    </xf>
    <xf numFmtId="20" fontId="2" fillId="12" borderId="15" xfId="1" applyNumberFormat="1" applyFont="1" applyFill="1" applyBorder="1" applyAlignment="1">
      <alignment horizontal="center" vertical="center"/>
    </xf>
    <xf numFmtId="0" fontId="2" fillId="12" borderId="15" xfId="1" applyFont="1" applyFill="1" applyBorder="1" applyAlignment="1">
      <alignment horizontal="center" vertical="center"/>
    </xf>
    <xf numFmtId="0" fontId="11" fillId="12" borderId="15" xfId="1" applyFont="1" applyFill="1" applyBorder="1" applyAlignment="1">
      <alignment horizontal="center" vertical="center"/>
    </xf>
    <xf numFmtId="0" fontId="2" fillId="12" borderId="35" xfId="1" applyFont="1" applyFill="1" applyBorder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 readingOrder="1"/>
    </xf>
    <xf numFmtId="0" fontId="29" fillId="25" borderId="5" xfId="1" applyFont="1" applyFill="1" applyBorder="1" applyAlignment="1">
      <alignment horizontal="center" vertical="center"/>
    </xf>
    <xf numFmtId="0" fontId="29" fillId="26" borderId="5" xfId="1" applyFont="1" applyFill="1" applyBorder="1" applyAlignment="1">
      <alignment horizontal="center" vertical="center"/>
    </xf>
    <xf numFmtId="0" fontId="29" fillId="27" borderId="5" xfId="1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 wrapText="1" readingOrder="1"/>
    </xf>
    <xf numFmtId="0" fontId="9" fillId="8" borderId="15" xfId="1" applyFont="1" applyFill="1" applyBorder="1" applyAlignment="1">
      <alignment horizontal="center" vertical="center" readingOrder="1"/>
    </xf>
    <xf numFmtId="0" fontId="9" fillId="0" borderId="15" xfId="1" applyFont="1" applyBorder="1" applyAlignment="1">
      <alignment horizontal="center" vertical="center" wrapText="1" readingOrder="1"/>
    </xf>
    <xf numFmtId="0" fontId="9" fillId="10" borderId="15" xfId="1" applyFont="1" applyFill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20" fontId="15" fillId="9" borderId="1" xfId="1" applyNumberFormat="1" applyFont="1" applyFill="1" applyBorder="1" applyAlignment="1">
      <alignment horizontal="center" vertical="center" wrapText="1" readingOrder="1"/>
    </xf>
    <xf numFmtId="20" fontId="13" fillId="9" borderId="1" xfId="1" applyNumberFormat="1" applyFont="1" applyFill="1" applyBorder="1" applyAlignment="1">
      <alignment horizontal="center" vertical="center" wrapText="1" readingOrder="1"/>
    </xf>
    <xf numFmtId="20" fontId="20" fillId="0" borderId="19" xfId="1" applyNumberFormat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20" fontId="2" fillId="0" borderId="25" xfId="1" applyNumberFormat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2" fillId="0" borderId="7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20" fontId="2" fillId="0" borderId="3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" fillId="0" borderId="7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9" fillId="18" borderId="3" xfId="1" applyFont="1" applyFill="1" applyBorder="1" applyAlignment="1">
      <alignment horizontal="center" vertical="center"/>
    </xf>
    <xf numFmtId="0" fontId="2" fillId="18" borderId="3" xfId="1" applyFont="1" applyFill="1" applyBorder="1" applyAlignment="1">
      <alignment horizontal="center" vertical="center"/>
    </xf>
    <xf numFmtId="20" fontId="2" fillId="9" borderId="14" xfId="1" applyNumberFormat="1" applyFont="1" applyFill="1" applyBorder="1" applyAlignment="1">
      <alignment horizontal="center" vertical="center"/>
    </xf>
    <xf numFmtId="20" fontId="13" fillId="9" borderId="14" xfId="1" applyNumberFormat="1" applyFont="1" applyFill="1" applyBorder="1" applyAlignment="1">
      <alignment horizontal="center" vertical="center"/>
    </xf>
    <xf numFmtId="20" fontId="13" fillId="0" borderId="14" xfId="1" applyNumberFormat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6" fillId="9" borderId="14" xfId="1" applyFont="1" applyFill="1" applyBorder="1" applyAlignment="1">
      <alignment horizontal="center" vertical="center"/>
    </xf>
    <xf numFmtId="0" fontId="16" fillId="10" borderId="14" xfId="1" applyFont="1" applyFill="1" applyBorder="1" applyAlignment="1">
      <alignment horizontal="center" vertical="center"/>
    </xf>
    <xf numFmtId="0" fontId="6" fillId="9" borderId="38" xfId="1" applyFont="1" applyFill="1" applyBorder="1" applyAlignment="1">
      <alignment horizontal="center" vertical="center"/>
    </xf>
    <xf numFmtId="0" fontId="11" fillId="21" borderId="3" xfId="1" applyFont="1" applyFill="1" applyBorder="1" applyAlignment="1">
      <alignment horizontal="center" vertical="center"/>
    </xf>
    <xf numFmtId="0" fontId="2" fillId="21" borderId="1" xfId="1" applyFont="1" applyFill="1" applyBorder="1" applyAlignment="1">
      <alignment horizontal="center" vertical="center"/>
    </xf>
    <xf numFmtId="0" fontId="2" fillId="14" borderId="3" xfId="1" applyFont="1" applyFill="1" applyBorder="1" applyAlignment="1">
      <alignment horizontal="center" vertical="center"/>
    </xf>
    <xf numFmtId="0" fontId="2" fillId="28" borderId="3" xfId="1" applyFont="1" applyFill="1" applyBorder="1" applyAlignment="1">
      <alignment horizontal="center" vertical="center"/>
    </xf>
    <xf numFmtId="0" fontId="2" fillId="28" borderId="0" xfId="1" applyFont="1" applyFill="1" applyAlignment="1">
      <alignment horizontal="left" vertical="center"/>
    </xf>
    <xf numFmtId="0" fontId="2" fillId="18" borderId="0" xfId="1" applyFont="1" applyFill="1" applyAlignment="1">
      <alignment horizontal="left" vertical="center"/>
    </xf>
    <xf numFmtId="20" fontId="2" fillId="9" borderId="15" xfId="1" applyNumberFormat="1" applyFont="1" applyFill="1" applyBorder="1" applyAlignment="1">
      <alignment horizontal="center" vertical="center"/>
    </xf>
    <xf numFmtId="20" fontId="20" fillId="9" borderId="16" xfId="1" applyNumberFormat="1" applyFont="1" applyFill="1" applyBorder="1" applyAlignment="1">
      <alignment horizontal="center" vertical="center"/>
    </xf>
    <xf numFmtId="20" fontId="2" fillId="0" borderId="19" xfId="1" applyNumberFormat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20" fontId="2" fillId="9" borderId="25" xfId="1" applyNumberFormat="1" applyFont="1" applyFill="1" applyBorder="1" applyAlignment="1">
      <alignment horizontal="center" vertical="center"/>
    </xf>
    <xf numFmtId="20" fontId="11" fillId="9" borderId="25" xfId="1" applyNumberFormat="1" applyFont="1" applyFill="1" applyBorder="1" applyAlignment="1">
      <alignment horizontal="center" vertical="center"/>
    </xf>
    <xf numFmtId="0" fontId="3" fillId="29" borderId="0" xfId="1" applyFill="1"/>
    <xf numFmtId="20" fontId="2" fillId="0" borderId="44" xfId="1" applyNumberFormat="1" applyFont="1" applyBorder="1" applyAlignment="1">
      <alignment horizontal="center" vertical="center"/>
    </xf>
    <xf numFmtId="0" fontId="23" fillId="29" borderId="9" xfId="1" applyFont="1" applyFill="1" applyBorder="1"/>
    <xf numFmtId="20" fontId="2" fillId="0" borderId="45" xfId="1" applyNumberFormat="1" applyFont="1" applyBorder="1" applyAlignment="1">
      <alignment horizontal="center" vertical="center"/>
    </xf>
    <xf numFmtId="20" fontId="12" fillId="0" borderId="14" xfId="1" applyNumberFormat="1" applyFont="1" applyBorder="1" applyAlignment="1">
      <alignment horizontal="center" vertical="center"/>
    </xf>
    <xf numFmtId="20" fontId="20" fillId="0" borderId="14" xfId="1" applyNumberFormat="1" applyFont="1" applyBorder="1" applyAlignment="1">
      <alignment horizontal="center" vertical="center"/>
    </xf>
    <xf numFmtId="20" fontId="2" fillId="0" borderId="46" xfId="1" applyNumberFormat="1" applyFont="1" applyBorder="1" applyAlignment="1">
      <alignment horizontal="center" vertical="center"/>
    </xf>
    <xf numFmtId="20" fontId="2" fillId="0" borderId="47" xfId="1" applyNumberFormat="1" applyFont="1" applyBorder="1" applyAlignment="1">
      <alignment horizontal="center" vertical="center"/>
    </xf>
    <xf numFmtId="20" fontId="2" fillId="0" borderId="17" xfId="1" applyNumberFormat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3" fillId="29" borderId="49" xfId="1" applyFont="1" applyFill="1" applyBorder="1"/>
    <xf numFmtId="20" fontId="2" fillId="0" borderId="50" xfId="1" applyNumberFormat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2" fillId="28" borderId="10" xfId="1" applyFont="1" applyFill="1" applyBorder="1" applyAlignment="1">
      <alignment horizontal="center" vertical="center"/>
    </xf>
    <xf numFmtId="0" fontId="2" fillId="28" borderId="0" xfId="1" applyFont="1" applyFill="1" applyAlignment="1">
      <alignment horizontal="center" vertical="center"/>
    </xf>
    <xf numFmtId="0" fontId="2" fillId="21" borderId="3" xfId="1" applyFont="1" applyFill="1" applyBorder="1" applyAlignment="1">
      <alignment horizontal="center" vertical="center"/>
    </xf>
    <xf numFmtId="20" fontId="2" fillId="0" borderId="53" xfId="1" applyNumberFormat="1" applyFont="1" applyBorder="1" applyAlignment="1">
      <alignment horizontal="center" vertical="center"/>
    </xf>
    <xf numFmtId="20" fontId="2" fillId="0" borderId="13" xfId="1" applyNumberFormat="1" applyFont="1" applyBorder="1" applyAlignment="1">
      <alignment horizontal="center" vertical="center"/>
    </xf>
    <xf numFmtId="20" fontId="2" fillId="0" borderId="42" xfId="1" applyNumberFormat="1" applyFont="1" applyBorder="1" applyAlignment="1">
      <alignment horizontal="center" vertical="center"/>
    </xf>
    <xf numFmtId="0" fontId="23" fillId="30" borderId="9" xfId="1" applyFont="1" applyFill="1" applyBorder="1"/>
    <xf numFmtId="0" fontId="25" fillId="30" borderId="9" xfId="1" applyFont="1" applyFill="1" applyBorder="1" applyAlignment="1">
      <alignment vertical="center"/>
    </xf>
    <xf numFmtId="0" fontId="2" fillId="28" borderId="9" xfId="1" applyFont="1" applyFill="1" applyBorder="1" applyAlignment="1">
      <alignment horizontal="center" vertical="center"/>
    </xf>
    <xf numFmtId="0" fontId="2" fillId="18" borderId="25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20" fontId="15" fillId="21" borderId="5" xfId="1" applyNumberFormat="1" applyFont="1" applyFill="1" applyBorder="1" applyAlignment="1">
      <alignment horizontal="center" vertical="center" wrapText="1" readingOrder="1"/>
    </xf>
    <xf numFmtId="20" fontId="2" fillId="21" borderId="5" xfId="1" applyNumberFormat="1" applyFont="1" applyFill="1" applyBorder="1" applyAlignment="1">
      <alignment horizontal="center" vertical="center" readingOrder="1"/>
    </xf>
    <xf numFmtId="0" fontId="2" fillId="21" borderId="5" xfId="1" applyFont="1" applyFill="1" applyBorder="1" applyAlignment="1">
      <alignment horizontal="center" vertical="center" readingOrder="1"/>
    </xf>
    <xf numFmtId="0" fontId="2" fillId="21" borderId="5" xfId="1" applyFont="1" applyFill="1" applyBorder="1" applyAlignment="1">
      <alignment horizontal="center" vertical="center"/>
    </xf>
    <xf numFmtId="0" fontId="11" fillId="21" borderId="10" xfId="1" applyFont="1" applyFill="1" applyBorder="1" applyAlignment="1">
      <alignment horizontal="center" vertical="center"/>
    </xf>
    <xf numFmtId="0" fontId="2" fillId="21" borderId="0" xfId="1" applyFont="1" applyFill="1" applyAlignment="1">
      <alignment horizontal="center" vertical="center" readingOrder="1"/>
    </xf>
    <xf numFmtId="20" fontId="2" fillId="21" borderId="1" xfId="1" applyNumberFormat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23" fillId="0" borderId="12" xfId="0" applyFont="1" applyBorder="1"/>
    <xf numFmtId="0" fontId="23" fillId="0" borderId="13" xfId="0" applyFont="1" applyBorder="1"/>
    <xf numFmtId="20" fontId="15" fillId="9" borderId="5" xfId="0" applyNumberFormat="1" applyFont="1" applyFill="1" applyBorder="1" applyAlignment="1">
      <alignment horizontal="center" vertical="center" wrapText="1" readingOrder="1"/>
    </xf>
    <xf numFmtId="20" fontId="15" fillId="9" borderId="9" xfId="0" applyNumberFormat="1" applyFont="1" applyFill="1" applyBorder="1" applyAlignment="1">
      <alignment horizontal="center" vertical="center" wrapText="1" readingOrder="1"/>
    </xf>
    <xf numFmtId="20" fontId="2" fillId="0" borderId="25" xfId="0" applyNumberFormat="1" applyFont="1" applyBorder="1" applyAlignment="1">
      <alignment horizontal="center" vertical="center"/>
    </xf>
    <xf numFmtId="0" fontId="23" fillId="0" borderId="9" xfId="0" applyFont="1" applyBorder="1"/>
    <xf numFmtId="0" fontId="23" fillId="0" borderId="10" xfId="0" applyFont="1" applyBorder="1"/>
    <xf numFmtId="20" fontId="11" fillId="0" borderId="25" xfId="0" applyNumberFormat="1" applyFont="1" applyBorder="1" applyAlignment="1">
      <alignment horizontal="center" vertical="center"/>
    </xf>
    <xf numFmtId="20" fontId="20" fillId="0" borderId="23" xfId="0" applyNumberFormat="1" applyFont="1" applyBorder="1" applyAlignment="1">
      <alignment horizontal="center" vertical="center"/>
    </xf>
    <xf numFmtId="0" fontId="23" fillId="0" borderId="22" xfId="0" applyFont="1" applyBorder="1"/>
    <xf numFmtId="0" fontId="23" fillId="0" borderId="36" xfId="0" applyFont="1" applyBorder="1"/>
    <xf numFmtId="20" fontId="25" fillId="0" borderId="9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20" fontId="32" fillId="0" borderId="9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20" fontId="25" fillId="0" borderId="14" xfId="0" applyNumberFormat="1" applyFont="1" applyBorder="1" applyAlignment="1">
      <alignment horizontal="center" vertical="center"/>
    </xf>
    <xf numFmtId="0" fontId="23" fillId="0" borderId="14" xfId="0" applyFont="1" applyBorder="1"/>
    <xf numFmtId="20" fontId="11" fillId="0" borderId="24" xfId="0" applyNumberFormat="1" applyFont="1" applyBorder="1" applyAlignment="1">
      <alignment horizontal="center" vertical="center"/>
    </xf>
    <xf numFmtId="0" fontId="23" fillId="0" borderId="34" xfId="0" applyFont="1" applyBorder="1"/>
    <xf numFmtId="0" fontId="23" fillId="0" borderId="46" xfId="0" applyFont="1" applyBorder="1"/>
    <xf numFmtId="20" fontId="30" fillId="30" borderId="51" xfId="0" applyNumberFormat="1" applyFont="1" applyFill="1" applyBorder="1" applyAlignment="1">
      <alignment horizontal="center" vertical="center"/>
    </xf>
    <xf numFmtId="20" fontId="30" fillId="30" borderId="37" xfId="0" applyNumberFormat="1" applyFont="1" applyFill="1" applyBorder="1" applyAlignment="1">
      <alignment horizontal="center" vertical="center"/>
    </xf>
    <xf numFmtId="20" fontId="30" fillId="30" borderId="55" xfId="0" applyNumberFormat="1" applyFont="1" applyFill="1" applyBorder="1" applyAlignment="1">
      <alignment horizontal="center" vertical="center"/>
    </xf>
    <xf numFmtId="20" fontId="22" fillId="30" borderId="23" xfId="0" applyNumberFormat="1" applyFont="1" applyFill="1" applyBorder="1" applyAlignment="1">
      <alignment horizontal="center" vertical="center"/>
    </xf>
    <xf numFmtId="0" fontId="28" fillId="30" borderId="22" xfId="0" applyFont="1" applyFill="1" applyBorder="1"/>
    <xf numFmtId="0" fontId="28" fillId="30" borderId="33" xfId="0" applyFont="1" applyFill="1" applyBorder="1"/>
    <xf numFmtId="20" fontId="30" fillId="30" borderId="52" xfId="0" applyNumberFormat="1" applyFont="1" applyFill="1" applyBorder="1" applyAlignment="1">
      <alignment horizontal="center" vertical="center"/>
    </xf>
    <xf numFmtId="0" fontId="28" fillId="30" borderId="54" xfId="0" applyFont="1" applyFill="1" applyBorder="1"/>
    <xf numFmtId="0" fontId="28" fillId="30" borderId="38" xfId="0" applyFont="1" applyFill="1" applyBorder="1"/>
    <xf numFmtId="20" fontId="2" fillId="9" borderId="25" xfId="0" applyNumberFormat="1" applyFont="1" applyFill="1" applyBorder="1" applyAlignment="1">
      <alignment horizontal="center" vertical="center"/>
    </xf>
    <xf numFmtId="20" fontId="11" fillId="9" borderId="25" xfId="0" applyNumberFormat="1" applyFont="1" applyFill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20" fontId="11" fillId="0" borderId="9" xfId="0" applyNumberFormat="1" applyFont="1" applyBorder="1" applyAlignment="1">
      <alignment horizontal="center" vertical="center"/>
    </xf>
    <xf numFmtId="20" fontId="20" fillId="0" borderId="0" xfId="0" applyNumberFormat="1" applyFont="1" applyAlignment="1">
      <alignment horizontal="center" vertical="center"/>
    </xf>
    <xf numFmtId="0" fontId="0" fillId="0" borderId="0" xfId="0"/>
    <xf numFmtId="20" fontId="2" fillId="9" borderId="9" xfId="0" applyNumberFormat="1" applyFont="1" applyFill="1" applyBorder="1" applyAlignment="1">
      <alignment horizontal="center" vertical="center"/>
    </xf>
    <xf numFmtId="20" fontId="12" fillId="0" borderId="25" xfId="0" applyNumberFormat="1" applyFont="1" applyBorder="1" applyAlignment="1">
      <alignment horizontal="center" vertical="center"/>
    </xf>
    <xf numFmtId="20" fontId="12" fillId="0" borderId="9" xfId="0" applyNumberFormat="1" applyFont="1" applyBorder="1" applyAlignment="1">
      <alignment horizontal="center" vertical="center"/>
    </xf>
    <xf numFmtId="20" fontId="20" fillId="0" borderId="25" xfId="0" applyNumberFormat="1" applyFont="1" applyBorder="1" applyAlignment="1">
      <alignment horizontal="center" vertical="center"/>
    </xf>
    <xf numFmtId="20" fontId="20" fillId="0" borderId="9" xfId="0" applyNumberFormat="1" applyFont="1" applyBorder="1" applyAlignment="1">
      <alignment horizontal="center" vertical="center"/>
    </xf>
    <xf numFmtId="20" fontId="2" fillId="0" borderId="24" xfId="0" applyNumberFormat="1" applyFont="1" applyBorder="1" applyAlignment="1">
      <alignment horizontal="center" vertical="center"/>
    </xf>
    <xf numFmtId="20" fontId="2" fillId="0" borderId="34" xfId="0" applyNumberFormat="1" applyFont="1" applyBorder="1" applyAlignment="1">
      <alignment horizontal="center" vertical="center"/>
    </xf>
    <xf numFmtId="20" fontId="12" fillId="0" borderId="49" xfId="0" applyNumberFormat="1" applyFont="1" applyBorder="1" applyAlignment="1">
      <alignment horizontal="center" vertical="center"/>
    </xf>
    <xf numFmtId="20" fontId="20" fillId="0" borderId="49" xfId="0" applyNumberFormat="1" applyFont="1" applyBorder="1" applyAlignment="1">
      <alignment horizontal="center" vertical="center"/>
    </xf>
    <xf numFmtId="0" fontId="23" fillId="0" borderId="33" xfId="0" applyFont="1" applyBorder="1"/>
    <xf numFmtId="20" fontId="20" fillId="0" borderId="19" xfId="0" applyNumberFormat="1" applyFont="1" applyBorder="1" applyAlignment="1">
      <alignment horizontal="center" vertical="center"/>
    </xf>
    <xf numFmtId="0" fontId="23" fillId="0" borderId="43" xfId="0" applyFont="1" applyBorder="1"/>
    <xf numFmtId="20" fontId="2" fillId="0" borderId="37" xfId="0" applyNumberFormat="1" applyFont="1" applyBorder="1" applyAlignment="1">
      <alignment horizontal="center" vertical="center"/>
    </xf>
    <xf numFmtId="0" fontId="23" fillId="0" borderId="37" xfId="0" applyFont="1" applyBorder="1"/>
    <xf numFmtId="20" fontId="11" fillId="0" borderId="22" xfId="0" applyNumberFormat="1" applyFont="1" applyBorder="1" applyAlignment="1">
      <alignment horizontal="center" vertical="center"/>
    </xf>
    <xf numFmtId="20" fontId="2" fillId="0" borderId="22" xfId="0" applyNumberFormat="1" applyFont="1" applyBorder="1" applyAlignment="1">
      <alignment horizontal="center" vertical="center"/>
    </xf>
    <xf numFmtId="20" fontId="20" fillId="0" borderId="22" xfId="0" applyNumberFormat="1" applyFont="1" applyBorder="1" applyAlignment="1">
      <alignment horizontal="center" vertical="center"/>
    </xf>
    <xf numFmtId="20" fontId="31" fillId="9" borderId="25" xfId="0" applyNumberFormat="1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 wrapText="1" readingOrder="1"/>
    </xf>
    <xf numFmtId="164" fontId="2" fillId="0" borderId="37" xfId="0" applyNumberFormat="1" applyFont="1" applyBorder="1" applyAlignment="1">
      <alignment horizontal="center" vertical="center"/>
    </xf>
    <xf numFmtId="0" fontId="23" fillId="0" borderId="39" xfId="0" applyFont="1" applyBorder="1"/>
    <xf numFmtId="20" fontId="13" fillId="0" borderId="9" xfId="0" applyNumberFormat="1" applyFont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/>
    </xf>
    <xf numFmtId="0" fontId="23" fillId="0" borderId="41" xfId="0" applyFont="1" applyBorder="1"/>
    <xf numFmtId="0" fontId="23" fillId="0" borderId="42" xfId="0" applyFont="1" applyBorder="1"/>
    <xf numFmtId="20" fontId="2" fillId="0" borderId="23" xfId="0" applyNumberFormat="1" applyFont="1" applyBorder="1" applyAlignment="1">
      <alignment horizontal="center" vertical="center"/>
    </xf>
    <xf numFmtId="20" fontId="30" fillId="9" borderId="25" xfId="0" applyNumberFormat="1" applyFont="1" applyFill="1" applyBorder="1" applyAlignment="1">
      <alignment horizontal="center" vertical="center"/>
    </xf>
    <xf numFmtId="20" fontId="13" fillId="9" borderId="9" xfId="0" applyNumberFormat="1" applyFont="1" applyFill="1" applyBorder="1" applyAlignment="1">
      <alignment horizontal="center" vertical="center"/>
    </xf>
    <xf numFmtId="20" fontId="12" fillId="0" borderId="22" xfId="0" applyNumberFormat="1" applyFont="1" applyBorder="1" applyAlignment="1">
      <alignment horizontal="center" vertical="center"/>
    </xf>
    <xf numFmtId="0" fontId="23" fillId="0" borderId="17" xfId="0" applyFont="1" applyBorder="1"/>
    <xf numFmtId="20" fontId="12" fillId="9" borderId="22" xfId="0" applyNumberFormat="1" applyFont="1" applyFill="1" applyBorder="1" applyAlignment="1">
      <alignment horizontal="center" vertical="center"/>
    </xf>
    <xf numFmtId="20" fontId="21" fillId="16" borderId="9" xfId="0" applyNumberFormat="1" applyFont="1" applyFill="1" applyBorder="1" applyAlignment="1">
      <alignment horizontal="center" vertical="center"/>
    </xf>
    <xf numFmtId="0" fontId="28" fillId="16" borderId="9" xfId="0" applyFont="1" applyFill="1" applyBorder="1"/>
    <xf numFmtId="20" fontId="22" fillId="16" borderId="9" xfId="0" applyNumberFormat="1" applyFont="1" applyFill="1" applyBorder="1" applyAlignment="1">
      <alignment horizontal="center" vertical="center"/>
    </xf>
    <xf numFmtId="0" fontId="23" fillId="0" borderId="0" xfId="0" applyFont="1"/>
    <xf numFmtId="20" fontId="21" fillId="16" borderId="5" xfId="0" applyNumberFormat="1" applyFont="1" applyFill="1" applyBorder="1" applyAlignment="1">
      <alignment horizontal="center" vertical="center"/>
    </xf>
    <xf numFmtId="20" fontId="22" fillId="16" borderId="34" xfId="0" applyNumberFormat="1" applyFont="1" applyFill="1" applyBorder="1" applyAlignment="1">
      <alignment horizontal="center" vertical="center"/>
    </xf>
    <xf numFmtId="20" fontId="22" fillId="16" borderId="18" xfId="0" applyNumberFormat="1" applyFont="1" applyFill="1" applyBorder="1" applyAlignment="1">
      <alignment horizontal="center" vertical="center"/>
    </xf>
    <xf numFmtId="20" fontId="12" fillId="0" borderId="59" xfId="0" applyNumberFormat="1" applyFont="1" applyBorder="1" applyAlignment="1">
      <alignment horizontal="center" vertical="center"/>
    </xf>
    <xf numFmtId="20" fontId="12" fillId="0" borderId="58" xfId="0" applyNumberFormat="1" applyFont="1" applyBorder="1" applyAlignment="1">
      <alignment horizontal="center" vertical="center"/>
    </xf>
    <xf numFmtId="20" fontId="20" fillId="0" borderId="59" xfId="0" applyNumberFormat="1" applyFont="1" applyBorder="1" applyAlignment="1">
      <alignment horizontal="center" vertical="center"/>
    </xf>
    <xf numFmtId="20" fontId="20" fillId="0" borderId="58" xfId="0" applyNumberFormat="1" applyFont="1" applyBorder="1" applyAlignment="1">
      <alignment horizontal="center" vertical="center"/>
    </xf>
    <xf numFmtId="20" fontId="12" fillId="9" borderId="58" xfId="0" applyNumberFormat="1" applyFont="1" applyFill="1" applyBorder="1" applyAlignment="1">
      <alignment horizontal="center" vertical="center"/>
    </xf>
    <xf numFmtId="20" fontId="20" fillId="0" borderId="24" xfId="0" applyNumberFormat="1" applyFont="1" applyBorder="1" applyAlignment="1">
      <alignment horizontal="center" vertical="center"/>
    </xf>
    <xf numFmtId="20" fontId="12" fillId="0" borderId="23" xfId="0" applyNumberFormat="1" applyFont="1" applyBorder="1" applyAlignment="1">
      <alignment horizontal="center" vertical="center"/>
    </xf>
    <xf numFmtId="20" fontId="12" fillId="0" borderId="60" xfId="0" applyNumberFormat="1" applyFont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/>
    </xf>
    <xf numFmtId="20" fontId="20" fillId="0" borderId="61" xfId="0" applyNumberFormat="1" applyFont="1" applyBorder="1" applyAlignment="1">
      <alignment horizontal="center" vertical="center"/>
    </xf>
    <xf numFmtId="20" fontId="20" fillId="0" borderId="33" xfId="0" applyNumberFormat="1" applyFont="1" applyBorder="1" applyAlignment="1">
      <alignment horizontal="center" vertical="center"/>
    </xf>
    <xf numFmtId="20" fontId="12" fillId="0" borderId="61" xfId="0" applyNumberFormat="1" applyFont="1" applyBorder="1" applyAlignment="1">
      <alignment horizontal="center" vertical="center"/>
    </xf>
    <xf numFmtId="20" fontId="12" fillId="0" borderId="33" xfId="0" applyNumberFormat="1" applyFont="1" applyBorder="1" applyAlignment="1">
      <alignment horizontal="center" vertical="center"/>
    </xf>
    <xf numFmtId="20" fontId="20" fillId="0" borderId="62" xfId="0" applyNumberFormat="1" applyFont="1" applyBorder="1" applyAlignment="1">
      <alignment horizontal="center" vertical="center"/>
    </xf>
    <xf numFmtId="20" fontId="20" fillId="0" borderId="17" xfId="0" applyNumberFormat="1" applyFont="1" applyBorder="1" applyAlignment="1">
      <alignment horizontal="center" vertical="center"/>
    </xf>
    <xf numFmtId="20" fontId="15" fillId="9" borderId="60" xfId="0" applyNumberFormat="1" applyFont="1" applyFill="1" applyBorder="1" applyAlignment="1">
      <alignment horizontal="center" vertical="center" wrapText="1" readingOrder="1"/>
    </xf>
    <xf numFmtId="20" fontId="15" fillId="9" borderId="6" xfId="0" applyNumberFormat="1" applyFont="1" applyFill="1" applyBorder="1" applyAlignment="1">
      <alignment horizontal="center" vertical="center" wrapText="1" readingOrder="1"/>
    </xf>
    <xf numFmtId="20" fontId="20" fillId="0" borderId="60" xfId="0" applyNumberFormat="1" applyFont="1" applyBorder="1" applyAlignment="1">
      <alignment horizontal="center" vertical="center"/>
    </xf>
    <xf numFmtId="20" fontId="12" fillId="0" borderId="19" xfId="0" applyNumberFormat="1" applyFont="1" applyBorder="1" applyAlignment="1">
      <alignment horizontal="center" vertical="center"/>
    </xf>
    <xf numFmtId="20" fontId="24" fillId="0" borderId="23" xfId="0" applyNumberFormat="1" applyFont="1" applyBorder="1" applyAlignment="1">
      <alignment horizontal="center" vertical="center"/>
    </xf>
    <xf numFmtId="20" fontId="12" fillId="0" borderId="24" xfId="0" applyNumberFormat="1" applyFont="1" applyBorder="1" applyAlignment="1">
      <alignment horizontal="center" vertical="center"/>
    </xf>
    <xf numFmtId="20" fontId="24" fillId="0" borderId="25" xfId="0" applyNumberFormat="1" applyFont="1" applyBorder="1" applyAlignment="1">
      <alignment horizontal="center" vertical="center"/>
    </xf>
    <xf numFmtId="20" fontId="12" fillId="9" borderId="25" xfId="0" applyNumberFormat="1" applyFont="1" applyFill="1" applyBorder="1" applyAlignment="1">
      <alignment horizontal="center" vertical="center"/>
    </xf>
    <xf numFmtId="20" fontId="13" fillId="0" borderId="19" xfId="0" applyNumberFormat="1" applyFont="1" applyBorder="1" applyAlignment="1">
      <alignment horizontal="center" vertical="center"/>
    </xf>
    <xf numFmtId="20" fontId="22" fillId="16" borderId="5" xfId="0" applyNumberFormat="1" applyFont="1" applyFill="1" applyBorder="1" applyAlignment="1">
      <alignment horizontal="center" vertical="center"/>
    </xf>
    <xf numFmtId="20" fontId="12" fillId="17" borderId="5" xfId="0" applyNumberFormat="1" applyFont="1" applyFill="1" applyBorder="1" applyAlignment="1">
      <alignment horizontal="center" vertical="center"/>
    </xf>
    <xf numFmtId="20" fontId="20" fillId="0" borderId="5" xfId="0" applyNumberFormat="1" applyFont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20" fontId="24" fillId="0" borderId="22" xfId="0" applyNumberFormat="1" applyFont="1" applyBorder="1" applyAlignment="1">
      <alignment horizontal="center" vertical="center"/>
    </xf>
    <xf numFmtId="20" fontId="12" fillId="9" borderId="60" xfId="0" applyNumberFormat="1" applyFont="1" applyFill="1" applyBorder="1" applyAlignment="1">
      <alignment horizontal="center" vertical="center"/>
    </xf>
    <xf numFmtId="20" fontId="12" fillId="9" borderId="9" xfId="0" applyNumberFormat="1" applyFont="1" applyFill="1" applyBorder="1" applyAlignment="1">
      <alignment horizontal="center" vertical="center"/>
    </xf>
    <xf numFmtId="20" fontId="12" fillId="9" borderId="14" xfId="0" applyNumberFormat="1" applyFont="1" applyFill="1" applyBorder="1" applyAlignment="1">
      <alignment horizontal="center" vertical="center"/>
    </xf>
    <xf numFmtId="20" fontId="24" fillId="0" borderId="60" xfId="0" applyNumberFormat="1" applyFont="1" applyBorder="1" applyAlignment="1">
      <alignment horizontal="center" vertical="center"/>
    </xf>
    <xf numFmtId="20" fontId="24" fillId="0" borderId="9" xfId="0" applyNumberFormat="1" applyFont="1" applyBorder="1" applyAlignment="1">
      <alignment horizontal="center" vertical="center"/>
    </xf>
    <xf numFmtId="20" fontId="24" fillId="0" borderId="14" xfId="0" applyNumberFormat="1" applyFont="1" applyBorder="1" applyAlignment="1">
      <alignment horizontal="center" vertical="center"/>
    </xf>
    <xf numFmtId="0" fontId="0" fillId="19" borderId="62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23" fillId="19" borderId="61" xfId="0" applyFont="1" applyFill="1" applyBorder="1" applyAlignment="1">
      <alignment horizontal="center"/>
    </xf>
    <xf numFmtId="0" fontId="23" fillId="19" borderId="23" xfId="0" applyFont="1" applyFill="1" applyBorder="1" applyAlignment="1">
      <alignment horizontal="center"/>
    </xf>
    <xf numFmtId="0" fontId="23" fillId="19" borderId="29" xfId="0" applyFont="1" applyFill="1" applyBorder="1" applyAlignment="1">
      <alignment horizontal="center"/>
    </xf>
    <xf numFmtId="0" fontId="18" fillId="13" borderId="0" xfId="0" applyFont="1" applyFill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 wrapText="1" readingOrder="1"/>
    </xf>
    <xf numFmtId="164" fontId="2" fillId="0" borderId="18" xfId="0" applyNumberFormat="1" applyFont="1" applyBorder="1" applyAlignment="1">
      <alignment horizontal="center" vertical="center"/>
    </xf>
    <xf numFmtId="20" fontId="2" fillId="9" borderId="19" xfId="0" applyNumberFormat="1" applyFont="1" applyFill="1" applyBorder="1" applyAlignment="1">
      <alignment horizontal="center" vertical="center"/>
    </xf>
    <xf numFmtId="20" fontId="2" fillId="0" borderId="19" xfId="0" applyNumberFormat="1" applyFont="1" applyBorder="1" applyAlignment="1">
      <alignment horizontal="center" vertical="center"/>
    </xf>
    <xf numFmtId="20" fontId="12" fillId="22" borderId="22" xfId="0" applyNumberFormat="1" applyFont="1" applyFill="1" applyBorder="1" applyAlignment="1">
      <alignment horizontal="center" vertical="center"/>
    </xf>
    <xf numFmtId="20" fontId="20" fillId="22" borderId="22" xfId="0" applyNumberFormat="1" applyFont="1" applyFill="1" applyBorder="1" applyAlignment="1">
      <alignment horizontal="center" vertical="center"/>
    </xf>
    <xf numFmtId="20" fontId="11" fillId="9" borderId="5" xfId="0" applyNumberFormat="1" applyFont="1" applyFill="1" applyBorder="1" applyAlignment="1">
      <alignment horizontal="center" vertical="center" wrapText="1" readingOrder="1"/>
    </xf>
    <xf numFmtId="0" fontId="2" fillId="18" borderId="34" xfId="0" applyFont="1" applyFill="1" applyBorder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0" fontId="12" fillId="9" borderId="0" xfId="0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20" fontId="2" fillId="0" borderId="9" xfId="1" applyNumberFormat="1" applyFont="1" applyBorder="1" applyAlignment="1">
      <alignment horizontal="center" vertical="center"/>
    </xf>
    <xf numFmtId="20" fontId="11" fillId="0" borderId="9" xfId="1" applyNumberFormat="1" applyFont="1" applyBorder="1" applyAlignment="1">
      <alignment horizontal="center" vertical="center"/>
    </xf>
    <xf numFmtId="20" fontId="12" fillId="0" borderId="5" xfId="1" applyNumberFormat="1" applyFont="1" applyBorder="1" applyAlignment="1">
      <alignment horizontal="center" vertical="center"/>
    </xf>
    <xf numFmtId="0" fontId="6" fillId="9" borderId="11" xfId="1" applyFont="1" applyFill="1" applyBorder="1" applyAlignment="1">
      <alignment horizontal="center" vertical="center"/>
    </xf>
    <xf numFmtId="20" fontId="12" fillId="9" borderId="0" xfId="1" applyNumberFormat="1" applyFont="1" applyFill="1" applyAlignment="1">
      <alignment horizontal="center" vertical="center"/>
    </xf>
    <xf numFmtId="20" fontId="2" fillId="9" borderId="9" xfId="1" applyNumberFormat="1" applyFont="1" applyFill="1" applyBorder="1" applyAlignment="1">
      <alignment horizontal="center" vertical="center"/>
    </xf>
    <xf numFmtId="20" fontId="12" fillId="0" borderId="0" xfId="1" applyNumberFormat="1" applyFont="1" applyAlignment="1">
      <alignment horizontal="center" vertical="center"/>
    </xf>
    <xf numFmtId="0" fontId="1" fillId="13" borderId="0" xfId="1" applyFont="1" applyFill="1" applyAlignment="1">
      <alignment horizontal="center" vertical="center"/>
    </xf>
    <xf numFmtId="0" fontId="18" fillId="13" borderId="0" xfId="1" applyFont="1" applyFill="1" applyAlignment="1">
      <alignment horizontal="center" vertical="center"/>
    </xf>
    <xf numFmtId="164" fontId="15" fillId="0" borderId="5" xfId="1" applyNumberFormat="1" applyFont="1" applyBorder="1" applyAlignment="1">
      <alignment horizontal="center" vertical="center" wrapText="1" readingOrder="1"/>
    </xf>
    <xf numFmtId="164" fontId="2" fillId="0" borderId="18" xfId="1" applyNumberFormat="1" applyFont="1" applyBorder="1" applyAlignment="1">
      <alignment horizontal="center" vertical="center"/>
    </xf>
    <xf numFmtId="20" fontId="2" fillId="9" borderId="19" xfId="1" applyNumberFormat="1" applyFont="1" applyFill="1" applyBorder="1" applyAlignment="1">
      <alignment horizontal="center" vertical="center"/>
    </xf>
    <xf numFmtId="20" fontId="2" fillId="0" borderId="19" xfId="1" applyNumberFormat="1" applyFont="1" applyBorder="1" applyAlignment="1">
      <alignment horizontal="center" vertical="center"/>
    </xf>
    <xf numFmtId="20" fontId="12" fillId="0" borderId="22" xfId="1" applyNumberFormat="1" applyFont="1" applyBorder="1" applyAlignment="1">
      <alignment horizontal="center" vertical="center"/>
    </xf>
    <xf numFmtId="20" fontId="20" fillId="0" borderId="22" xfId="1" applyNumberFormat="1" applyFont="1" applyBorder="1" applyAlignment="1">
      <alignment horizontal="center" vertical="center"/>
    </xf>
    <xf numFmtId="20" fontId="20" fillId="0" borderId="0" xfId="1" applyNumberFormat="1" applyFont="1" applyAlignment="1">
      <alignment horizontal="center" vertical="center"/>
    </xf>
    <xf numFmtId="20" fontId="12" fillId="0" borderId="23" xfId="1" applyNumberFormat="1" applyFont="1" applyBorder="1" applyAlignment="1">
      <alignment horizontal="center" vertical="center"/>
    </xf>
    <xf numFmtId="20" fontId="20" fillId="0" borderId="24" xfId="1" applyNumberFormat="1" applyFont="1" applyBorder="1" applyAlignment="1">
      <alignment horizontal="center" vertical="center"/>
    </xf>
    <xf numFmtId="20" fontId="12" fillId="0" borderId="25" xfId="1" applyNumberFormat="1" applyFont="1" applyBorder="1" applyAlignment="1">
      <alignment horizontal="center" vertical="center"/>
    </xf>
    <xf numFmtId="20" fontId="13" fillId="0" borderId="19" xfId="1" applyNumberFormat="1" applyFont="1" applyBorder="1" applyAlignment="1">
      <alignment horizontal="center" vertical="center"/>
    </xf>
    <xf numFmtId="20" fontId="12" fillId="0" borderId="67" xfId="1" applyNumberFormat="1" applyFont="1" applyBorder="1" applyAlignment="1">
      <alignment horizontal="center" vertical="center"/>
    </xf>
    <xf numFmtId="20" fontId="20" fillId="0" borderId="5" xfId="1" applyNumberFormat="1" applyFont="1" applyBorder="1" applyAlignment="1">
      <alignment horizontal="center" vertical="center"/>
    </xf>
    <xf numFmtId="20" fontId="20" fillId="0" borderId="67" xfId="1" applyNumberFormat="1" applyFont="1" applyBorder="1" applyAlignment="1">
      <alignment horizontal="center" vertical="center"/>
    </xf>
    <xf numFmtId="20" fontId="12" fillId="17" borderId="5" xfId="1" applyNumberFormat="1" applyFont="1" applyFill="1" applyBorder="1" applyAlignment="1">
      <alignment horizontal="center" vertical="center"/>
    </xf>
    <xf numFmtId="20" fontId="12" fillId="17" borderId="67" xfId="1" applyNumberFormat="1" applyFont="1" applyFill="1" applyBorder="1" applyAlignment="1">
      <alignment horizontal="center" vertical="center"/>
    </xf>
    <xf numFmtId="165" fontId="12" fillId="0" borderId="5" xfId="1" applyNumberFormat="1" applyFont="1" applyBorder="1" applyAlignment="1">
      <alignment horizontal="center" vertical="center"/>
    </xf>
    <xf numFmtId="165" fontId="12" fillId="0" borderId="67" xfId="1" applyNumberFormat="1" applyFont="1" applyBorder="1" applyAlignment="1">
      <alignment horizontal="center" vertical="center"/>
    </xf>
    <xf numFmtId="20" fontId="24" fillId="0" borderId="22" xfId="1" applyNumberFormat="1" applyFont="1" applyBorder="1" applyAlignment="1">
      <alignment horizontal="center" vertical="center"/>
    </xf>
    <xf numFmtId="20" fontId="24" fillId="0" borderId="23" xfId="1" applyNumberFormat="1" applyFont="1" applyBorder="1" applyAlignment="1">
      <alignment horizontal="center" vertical="center"/>
    </xf>
    <xf numFmtId="20" fontId="20" fillId="0" borderId="19" xfId="1" applyNumberFormat="1" applyFont="1" applyBorder="1" applyAlignment="1">
      <alignment horizontal="center" vertical="center"/>
    </xf>
    <xf numFmtId="20" fontId="12" fillId="9" borderId="22" xfId="1" applyNumberFormat="1" applyFont="1" applyFill="1" applyBorder="1" applyAlignment="1">
      <alignment horizontal="center" vertical="center"/>
    </xf>
    <xf numFmtId="0" fontId="3" fillId="19" borderId="19" xfId="1" applyFill="1" applyBorder="1" applyAlignment="1">
      <alignment horizontal="center"/>
    </xf>
    <xf numFmtId="20" fontId="12" fillId="0" borderId="9" xfId="1" applyNumberFormat="1" applyFont="1" applyBorder="1" applyAlignment="1">
      <alignment horizontal="center" vertical="center"/>
    </xf>
    <xf numFmtId="0" fontId="23" fillId="19" borderId="19" xfId="1" applyFont="1" applyFill="1" applyBorder="1" applyAlignment="1">
      <alignment horizontal="center"/>
    </xf>
    <xf numFmtId="20" fontId="20" fillId="0" borderId="9" xfId="1" applyNumberFormat="1" applyFont="1" applyBorder="1" applyAlignment="1">
      <alignment horizontal="center" vertical="center"/>
    </xf>
    <xf numFmtId="20" fontId="12" fillId="22" borderId="22" xfId="1" applyNumberFormat="1" applyFont="1" applyFill="1" applyBorder="1" applyAlignment="1">
      <alignment horizontal="center" vertical="center"/>
    </xf>
    <xf numFmtId="20" fontId="20" fillId="22" borderId="22" xfId="1" applyNumberFormat="1" applyFont="1" applyFill="1" applyBorder="1" applyAlignment="1">
      <alignment horizontal="center" vertical="center"/>
    </xf>
    <xf numFmtId="20" fontId="15" fillId="9" borderId="5" xfId="1" applyNumberFormat="1" applyFont="1" applyFill="1" applyBorder="1" applyAlignment="1">
      <alignment horizontal="center" vertical="center" wrapText="1" readingOrder="1"/>
    </xf>
    <xf numFmtId="20" fontId="11" fillId="9" borderId="5" xfId="1" applyNumberFormat="1" applyFont="1" applyFill="1" applyBorder="1" applyAlignment="1">
      <alignment horizontal="center" vertical="center" wrapText="1" readingOrder="1"/>
    </xf>
    <xf numFmtId="0" fontId="2" fillId="18" borderId="34" xfId="1" applyFont="1" applyFill="1" applyBorder="1" applyAlignment="1">
      <alignment horizontal="center" vertical="center"/>
    </xf>
    <xf numFmtId="20" fontId="20" fillId="0" borderId="23" xfId="1" applyNumberFormat="1" applyFont="1" applyBorder="1" applyAlignment="1">
      <alignment horizontal="center" vertical="center"/>
    </xf>
    <xf numFmtId="20" fontId="12" fillId="0" borderId="24" xfId="1" applyNumberFormat="1" applyFont="1" applyBorder="1" applyAlignment="1">
      <alignment horizontal="center" vertical="center"/>
    </xf>
    <xf numFmtId="20" fontId="24" fillId="0" borderId="25" xfId="1" applyNumberFormat="1" applyFont="1" applyBorder="1" applyAlignment="1">
      <alignment horizontal="center" vertical="center"/>
    </xf>
    <xf numFmtId="20" fontId="20" fillId="0" borderId="25" xfId="1" applyNumberFormat="1" applyFont="1" applyBorder="1" applyAlignment="1">
      <alignment horizontal="center" vertical="center"/>
    </xf>
    <xf numFmtId="20" fontId="12" fillId="9" borderId="25" xfId="1" applyNumberFormat="1" applyFont="1" applyFill="1" applyBorder="1" applyAlignment="1">
      <alignment horizontal="center" vertical="center"/>
    </xf>
    <xf numFmtId="20" fontId="12" fillId="0" borderId="19" xfId="1" applyNumberFormat="1" applyFont="1" applyBorder="1" applyAlignment="1">
      <alignment horizontal="center" vertical="center"/>
    </xf>
    <xf numFmtId="20" fontId="21" fillId="16" borderId="9" xfId="1" applyNumberFormat="1" applyFont="1" applyFill="1" applyBorder="1" applyAlignment="1">
      <alignment horizontal="center" vertical="center"/>
    </xf>
    <xf numFmtId="0" fontId="28" fillId="16" borderId="9" xfId="1" applyFont="1" applyFill="1" applyBorder="1"/>
    <xf numFmtId="20" fontId="22" fillId="16" borderId="9" xfId="1" applyNumberFormat="1" applyFont="1" applyFill="1" applyBorder="1" applyAlignment="1">
      <alignment horizontal="center" vertical="center"/>
    </xf>
    <xf numFmtId="0" fontId="23" fillId="0" borderId="22" xfId="1" applyFont="1" applyBorder="1"/>
    <xf numFmtId="0" fontId="3" fillId="0" borderId="0" xfId="1"/>
    <xf numFmtId="0" fontId="23" fillId="0" borderId="0" xfId="1" applyFont="1"/>
    <xf numFmtId="20" fontId="21" fillId="16" borderId="5" xfId="1" applyNumberFormat="1" applyFont="1" applyFill="1" applyBorder="1" applyAlignment="1">
      <alignment horizontal="center" vertical="center"/>
    </xf>
    <xf numFmtId="20" fontId="22" fillId="16" borderId="5" xfId="1" applyNumberFormat="1" applyFont="1" applyFill="1" applyBorder="1" applyAlignment="1">
      <alignment horizontal="center" vertical="center"/>
    </xf>
    <xf numFmtId="20" fontId="13" fillId="9" borderId="9" xfId="1" applyNumberFormat="1" applyFont="1" applyFill="1" applyBorder="1" applyAlignment="1">
      <alignment horizontal="center" vertical="center"/>
    </xf>
    <xf numFmtId="0" fontId="23" fillId="0" borderId="10" xfId="1" applyFont="1" applyBorder="1"/>
    <xf numFmtId="0" fontId="23" fillId="0" borderId="36" xfId="1" applyFont="1" applyBorder="1"/>
    <xf numFmtId="0" fontId="23" fillId="0" borderId="33" xfId="1" applyFont="1" applyBorder="1"/>
    <xf numFmtId="0" fontId="23" fillId="0" borderId="17" xfId="1" applyFont="1" applyBorder="1"/>
    <xf numFmtId="0" fontId="23" fillId="0" borderId="12" xfId="1" applyFont="1" applyBorder="1"/>
    <xf numFmtId="0" fontId="23" fillId="0" borderId="13" xfId="1" applyFont="1" applyBorder="1"/>
    <xf numFmtId="0" fontId="1" fillId="24" borderId="0" xfId="1" applyFont="1" applyFill="1" applyAlignment="1">
      <alignment horizontal="center" vertical="center"/>
    </xf>
    <xf numFmtId="0" fontId="1" fillId="24" borderId="17" xfId="1" applyFont="1" applyFill="1" applyBorder="1" applyAlignment="1">
      <alignment horizontal="center" vertical="center"/>
    </xf>
    <xf numFmtId="0" fontId="23" fillId="0" borderId="9" xfId="1" applyFont="1" applyBorder="1"/>
    <xf numFmtId="164" fontId="2" fillId="0" borderId="37" xfId="1" applyNumberFormat="1" applyFont="1" applyBorder="1" applyAlignment="1">
      <alignment horizontal="center" vertical="center"/>
    </xf>
    <xf numFmtId="0" fontId="23" fillId="0" borderId="37" xfId="1" applyFont="1" applyBorder="1"/>
    <xf numFmtId="0" fontId="23" fillId="0" borderId="39" xfId="1" applyFont="1" applyBorder="1"/>
    <xf numFmtId="0" fontId="23" fillId="0" borderId="14" xfId="1" applyFont="1" applyBorder="1"/>
    <xf numFmtId="20" fontId="13" fillId="0" borderId="9" xfId="1" applyNumberFormat="1" applyFont="1" applyBorder="1" applyAlignment="1">
      <alignment horizontal="center" vertical="center"/>
    </xf>
    <xf numFmtId="20" fontId="2" fillId="0" borderId="25" xfId="1" applyNumberFormat="1" applyFont="1" applyBorder="1" applyAlignment="1">
      <alignment horizontal="center" vertical="center"/>
    </xf>
    <xf numFmtId="20" fontId="11" fillId="0" borderId="25" xfId="1" applyNumberFormat="1" applyFont="1" applyBorder="1" applyAlignment="1">
      <alignment horizontal="center" vertical="center"/>
    </xf>
    <xf numFmtId="20" fontId="2" fillId="0" borderId="23" xfId="1" applyNumberFormat="1" applyFont="1" applyBorder="1" applyAlignment="1">
      <alignment horizontal="center" vertical="center"/>
    </xf>
    <xf numFmtId="20" fontId="30" fillId="9" borderId="25" xfId="1" applyNumberFormat="1" applyFont="1" applyFill="1" applyBorder="1" applyAlignment="1">
      <alignment horizontal="center" vertical="center"/>
    </xf>
    <xf numFmtId="20" fontId="31" fillId="9" borderId="25" xfId="1" applyNumberFormat="1" applyFont="1" applyFill="1" applyBorder="1" applyAlignment="1">
      <alignment horizontal="center" vertical="center"/>
    </xf>
    <xf numFmtId="0" fontId="23" fillId="0" borderId="43" xfId="1" applyFont="1" applyBorder="1"/>
    <xf numFmtId="0" fontId="6" fillId="9" borderId="40" xfId="1" applyFont="1" applyFill="1" applyBorder="1" applyAlignment="1">
      <alignment horizontal="center" vertical="center"/>
    </xf>
    <xf numFmtId="0" fontId="23" fillId="0" borderId="41" xfId="1" applyFont="1" applyBorder="1"/>
    <xf numFmtId="0" fontId="23" fillId="0" borderId="42" xfId="1" applyFont="1" applyBorder="1"/>
    <xf numFmtId="20" fontId="2" fillId="0" borderId="37" xfId="1" applyNumberFormat="1" applyFont="1" applyBorder="1" applyAlignment="1">
      <alignment horizontal="center" vertical="center"/>
    </xf>
    <xf numFmtId="20" fontId="11" fillId="0" borderId="22" xfId="1" applyNumberFormat="1" applyFont="1" applyBorder="1" applyAlignment="1">
      <alignment horizontal="center" vertical="center"/>
    </xf>
    <xf numFmtId="20" fontId="2" fillId="0" borderId="22" xfId="1" applyNumberFormat="1" applyFont="1" applyBorder="1" applyAlignment="1">
      <alignment horizontal="center" vertical="center"/>
    </xf>
    <xf numFmtId="20" fontId="2" fillId="21" borderId="25" xfId="1" applyNumberFormat="1" applyFont="1" applyFill="1" applyBorder="1" applyAlignment="1">
      <alignment horizontal="center" vertical="center"/>
    </xf>
    <xf numFmtId="0" fontId="23" fillId="21" borderId="9" xfId="1" applyFont="1" applyFill="1" applyBorder="1"/>
    <xf numFmtId="0" fontId="23" fillId="21" borderId="10" xfId="1" applyFont="1" applyFill="1" applyBorder="1"/>
    <xf numFmtId="20" fontId="11" fillId="21" borderId="25" xfId="1" applyNumberFormat="1" applyFont="1" applyFill="1" applyBorder="1" applyAlignment="1">
      <alignment horizontal="center" vertical="center"/>
    </xf>
    <xf numFmtId="20" fontId="2" fillId="34" borderId="25" xfId="1" applyNumberFormat="1" applyFont="1" applyFill="1" applyBorder="1" applyAlignment="1">
      <alignment horizontal="center" vertical="center"/>
    </xf>
    <xf numFmtId="20" fontId="11" fillId="34" borderId="25" xfId="1" applyNumberFormat="1" applyFont="1" applyFill="1" applyBorder="1" applyAlignment="1">
      <alignment horizontal="center" vertical="center"/>
    </xf>
    <xf numFmtId="20" fontId="2" fillId="9" borderId="25" xfId="1" applyNumberFormat="1" applyFont="1" applyFill="1" applyBorder="1" applyAlignment="1">
      <alignment horizontal="center" vertical="center"/>
    </xf>
    <xf numFmtId="20" fontId="2" fillId="0" borderId="24" xfId="1" applyNumberFormat="1" applyFont="1" applyBorder="1" applyAlignment="1">
      <alignment horizontal="center" vertical="center"/>
    </xf>
    <xf numFmtId="20" fontId="2" fillId="0" borderId="34" xfId="1" applyNumberFormat="1" applyFont="1" applyBorder="1" applyAlignment="1">
      <alignment horizontal="center" vertical="center"/>
    </xf>
    <xf numFmtId="20" fontId="12" fillId="0" borderId="49" xfId="1" applyNumberFormat="1" applyFont="1" applyBorder="1" applyAlignment="1">
      <alignment horizontal="center" vertical="center"/>
    </xf>
    <xf numFmtId="20" fontId="20" fillId="0" borderId="49" xfId="1" applyNumberFormat="1" applyFont="1" applyBorder="1" applyAlignment="1">
      <alignment horizontal="center" vertical="center"/>
    </xf>
    <xf numFmtId="20" fontId="2" fillId="35" borderId="25" xfId="1" applyNumberFormat="1" applyFont="1" applyFill="1" applyBorder="1" applyAlignment="1">
      <alignment horizontal="center" vertical="center"/>
    </xf>
    <xf numFmtId="0" fontId="23" fillId="35" borderId="9" xfId="1" applyFont="1" applyFill="1" applyBorder="1"/>
    <xf numFmtId="0" fontId="23" fillId="35" borderId="10" xfId="1" applyFont="1" applyFill="1" applyBorder="1"/>
    <xf numFmtId="20" fontId="11" fillId="35" borderId="25" xfId="1" applyNumberFormat="1" applyFont="1" applyFill="1" applyBorder="1" applyAlignment="1">
      <alignment horizontal="center" vertical="center"/>
    </xf>
    <xf numFmtId="20" fontId="11" fillId="0" borderId="24" xfId="1" applyNumberFormat="1" applyFont="1" applyBorder="1" applyAlignment="1">
      <alignment horizontal="center" vertical="center"/>
    </xf>
    <xf numFmtId="0" fontId="23" fillId="0" borderId="34" xfId="1" applyFont="1" applyBorder="1"/>
    <xf numFmtId="0" fontId="23" fillId="0" borderId="46" xfId="1" applyFont="1" applyBorder="1"/>
    <xf numFmtId="20" fontId="36" fillId="0" borderId="51" xfId="1" applyNumberFormat="1" applyFont="1" applyBorder="1" applyAlignment="1">
      <alignment horizontal="center" vertical="center"/>
    </xf>
    <xf numFmtId="20" fontId="36" fillId="0" borderId="37" xfId="1" applyNumberFormat="1" applyFont="1" applyBorder="1" applyAlignment="1">
      <alignment horizontal="center" vertical="center"/>
    </xf>
    <xf numFmtId="20" fontId="36" fillId="0" borderId="55" xfId="1" applyNumberFormat="1" applyFont="1" applyBorder="1" applyAlignment="1">
      <alignment horizontal="center" vertical="center"/>
    </xf>
    <xf numFmtId="20" fontId="37" fillId="0" borderId="23" xfId="1" applyNumberFormat="1" applyFont="1" applyBorder="1" applyAlignment="1">
      <alignment horizontal="center" vertical="center"/>
    </xf>
    <xf numFmtId="20" fontId="36" fillId="0" borderId="25" xfId="1" applyNumberFormat="1" applyFont="1" applyBorder="1" applyAlignment="1">
      <alignment horizontal="center" vertical="center"/>
    </xf>
    <xf numFmtId="20" fontId="36" fillId="0" borderId="52" xfId="1" applyNumberFormat="1" applyFont="1" applyBorder="1" applyAlignment="1">
      <alignment horizontal="center" vertical="center"/>
    </xf>
    <xf numFmtId="0" fontId="23" fillId="0" borderId="54" xfId="1" applyFont="1" applyBorder="1"/>
    <xf numFmtId="0" fontId="23" fillId="0" borderId="38" xfId="1" applyFont="1" applyBorder="1"/>
    <xf numFmtId="20" fontId="25" fillId="0" borderId="9" xfId="1" applyNumberFormat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20" fontId="32" fillId="0" borderId="9" xfId="1" applyNumberFormat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20" fontId="25" fillId="0" borderId="1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1EED80A4-23DB-4A6F-BA32-CA47B8F59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-my.sharepoint.com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338E-67F9-46A5-AAF9-4DCAF2AE293A}">
  <sheetPr>
    <tabColor rgb="FFFF0000"/>
  </sheetPr>
  <dimension ref="A1:AT1019"/>
  <sheetViews>
    <sheetView zoomScale="75" workbookViewId="0">
      <selection activeCell="I18" sqref="I18"/>
    </sheetView>
  </sheetViews>
  <sheetFormatPr baseColWidth="10" defaultColWidth="11.1640625" defaultRowHeight="15" customHeight="1"/>
  <cols>
    <col min="1" max="1" width="10.1640625" customWidth="1"/>
    <col min="2" max="2" width="11.1640625" bestFit="1" customWidth="1"/>
    <col min="3" max="3" width="12.5" bestFit="1" customWidth="1"/>
    <col min="4" max="4" width="11.83203125" customWidth="1"/>
    <col min="5" max="16" width="10.1640625" customWidth="1"/>
    <col min="17" max="17" width="19.6640625" customWidth="1"/>
    <col min="18" max="18" width="12" customWidth="1"/>
    <col min="19" max="19" width="16.1640625" bestFit="1" customWidth="1"/>
    <col min="20" max="20" width="11.33203125" customWidth="1"/>
    <col min="21" max="21" width="17.5" customWidth="1"/>
    <col min="22" max="22" width="18.6640625" customWidth="1"/>
    <col min="23" max="39" width="10.1640625" customWidth="1"/>
    <col min="40" max="40" width="20.6640625" bestFit="1" customWidth="1"/>
    <col min="41" max="41" width="9" style="1" customWidth="1"/>
    <col min="42" max="42" width="6.5" style="273" customWidth="1"/>
    <col min="43" max="43" width="14.1640625" style="5" customWidth="1"/>
    <col min="44" max="44" width="9" style="5" customWidth="1"/>
    <col min="45" max="45" width="11.1640625" style="6" bestFit="1" customWidth="1"/>
    <col min="46" max="46" width="9" customWidth="1"/>
  </cols>
  <sheetData>
    <row r="1" spans="1:46" ht="22.5" customHeight="1">
      <c r="A1" s="811" t="s">
        <v>0</v>
      </c>
      <c r="B1" s="811"/>
      <c r="C1" s="811"/>
      <c r="D1" s="811"/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 t="s">
        <v>2</v>
      </c>
      <c r="P1" s="1"/>
      <c r="Q1" s="1"/>
      <c r="R1" s="811" t="s">
        <v>3</v>
      </c>
      <c r="S1" s="811"/>
      <c r="T1" s="811"/>
      <c r="U1" s="811"/>
      <c r="V1" s="81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1"/>
      <c r="AK1" s="1"/>
      <c r="AL1" s="1"/>
      <c r="AM1" s="1"/>
      <c r="AN1" s="1"/>
      <c r="AO1" s="3" t="s">
        <v>4</v>
      </c>
      <c r="AP1" s="4" t="s">
        <v>5</v>
      </c>
      <c r="AQ1" s="5" t="s">
        <v>6</v>
      </c>
      <c r="AR1" s="5" t="s">
        <v>7</v>
      </c>
      <c r="AS1" s="6" t="s">
        <v>8</v>
      </c>
      <c r="AT1" s="1"/>
    </row>
    <row r="2" spans="1:46" ht="22.5" customHeight="1">
      <c r="A2" s="7" t="s">
        <v>5</v>
      </c>
      <c r="B2" s="7" t="s">
        <v>9</v>
      </c>
      <c r="C2" s="7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0" t="s">
        <v>7</v>
      </c>
      <c r="I2" s="11" t="s">
        <v>15</v>
      </c>
      <c r="J2" s="11" t="s">
        <v>16</v>
      </c>
      <c r="K2" s="12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"/>
      <c r="R2" s="7" t="s">
        <v>5</v>
      </c>
      <c r="S2" s="7" t="s">
        <v>9</v>
      </c>
      <c r="T2" s="7" t="s">
        <v>10</v>
      </c>
      <c r="U2" s="7"/>
      <c r="V2" s="9" t="s">
        <v>13</v>
      </c>
      <c r="W2" s="14" t="s">
        <v>14</v>
      </c>
      <c r="X2" s="14" t="s">
        <v>7</v>
      </c>
      <c r="Y2" s="11" t="s">
        <v>23</v>
      </c>
      <c r="Z2" s="11" t="s">
        <v>24</v>
      </c>
      <c r="AA2" s="11" t="s">
        <v>17</v>
      </c>
      <c r="AB2" s="13" t="s">
        <v>18</v>
      </c>
      <c r="AC2" s="13" t="s">
        <v>19</v>
      </c>
      <c r="AD2" s="13" t="s">
        <v>20</v>
      </c>
      <c r="AE2" s="13" t="s">
        <v>21</v>
      </c>
      <c r="AF2" s="2"/>
      <c r="AG2" s="15" t="s">
        <v>25</v>
      </c>
      <c r="AH2" s="16" t="s">
        <v>18</v>
      </c>
      <c r="AI2" s="16" t="s">
        <v>19</v>
      </c>
      <c r="AJ2" s="16" t="s">
        <v>20</v>
      </c>
      <c r="AK2" s="17" t="s">
        <v>21</v>
      </c>
      <c r="AL2" s="18"/>
      <c r="AM2" s="1"/>
      <c r="AN2" s="1" t="str">
        <f>AQ2&amp;AR2</f>
        <v>FAIRMONTVN 441</v>
      </c>
      <c r="AO2" s="3" t="s">
        <v>26</v>
      </c>
      <c r="AP2" s="19">
        <v>45923</v>
      </c>
      <c r="AQ2" s="5" t="s">
        <v>27</v>
      </c>
      <c r="AR2" s="5" t="s">
        <v>28</v>
      </c>
      <c r="AS2" s="6">
        <v>0.1076388888888889</v>
      </c>
      <c r="AT2" s="2"/>
    </row>
    <row r="3" spans="1:46" ht="15" customHeight="1">
      <c r="A3" s="812">
        <v>45923</v>
      </c>
      <c r="B3" s="20">
        <f t="shared" ref="B3:B4" si="0">C3-TIME(0,15,0)</f>
        <v>0.10763888888888888</v>
      </c>
      <c r="C3" s="21">
        <f>D3-TIME(1,0,0)</f>
        <v>0.11805555555555555</v>
      </c>
      <c r="D3" s="20">
        <f>F3</f>
        <v>0.15972222222222221</v>
      </c>
      <c r="E3" s="22"/>
      <c r="F3" s="20">
        <f t="shared" ref="F3:F16" si="1">G3-TIME(3,0,0)</f>
        <v>0.15972222222222221</v>
      </c>
      <c r="G3" s="20">
        <v>0.28472222222222221</v>
      </c>
      <c r="H3" s="23" t="s">
        <v>28</v>
      </c>
      <c r="I3" s="23">
        <v>2</v>
      </c>
      <c r="J3" s="23"/>
      <c r="K3" s="24">
        <f>SUM(I3:J3)</f>
        <v>2</v>
      </c>
      <c r="L3" s="23">
        <v>1</v>
      </c>
      <c r="M3" s="23"/>
      <c r="N3" s="23"/>
      <c r="O3" s="23"/>
      <c r="P3" s="23"/>
      <c r="Q3" s="1"/>
      <c r="R3" s="25">
        <v>45923</v>
      </c>
      <c r="S3" s="26">
        <f>T3-TIME(0,15,0)</f>
        <v>0.34722222222222221</v>
      </c>
      <c r="T3" s="27">
        <f>V3-TIME(0,30,0)</f>
        <v>0.3576388888888889</v>
      </c>
      <c r="U3" s="27"/>
      <c r="V3" s="26">
        <f>W3-TIME(3,0,0)</f>
        <v>0.37847222222222221</v>
      </c>
      <c r="W3" s="26">
        <v>0.50347222222222221</v>
      </c>
      <c r="X3" s="28" t="s">
        <v>29</v>
      </c>
      <c r="Y3" s="28"/>
      <c r="Z3" s="28">
        <v>3</v>
      </c>
      <c r="AA3" s="29">
        <v>3</v>
      </c>
      <c r="AB3" s="28">
        <v>1</v>
      </c>
      <c r="AC3" s="28"/>
      <c r="AD3" s="28"/>
      <c r="AE3" s="28"/>
      <c r="AF3" s="2"/>
      <c r="AG3" s="30" t="s">
        <v>30</v>
      </c>
      <c r="AH3" s="31">
        <f>AB4+AJ55+AI158</f>
        <v>4</v>
      </c>
      <c r="AI3" s="31">
        <f>AC4+AK55+AJ158</f>
        <v>2</v>
      </c>
      <c r="AJ3" s="31">
        <f>AD4+AL55+AK158</f>
        <v>0</v>
      </c>
      <c r="AK3" s="32">
        <f>AE4+AM55+AL158</f>
        <v>1</v>
      </c>
      <c r="AL3" s="1"/>
      <c r="AM3" s="1"/>
      <c r="AN3" s="1" t="str">
        <f t="shared" ref="AN3:AN66" si="2">AQ3&amp;AR3</f>
        <v>FAIRMONTKE 621</v>
      </c>
      <c r="AO3" s="3" t="s">
        <v>26</v>
      </c>
      <c r="AP3" s="19">
        <v>45923</v>
      </c>
      <c r="AQ3" s="5" t="s">
        <v>27</v>
      </c>
      <c r="AR3" s="5" t="s">
        <v>31</v>
      </c>
      <c r="AS3" s="6">
        <v>0.13541666666666666</v>
      </c>
      <c r="AT3" s="2"/>
    </row>
    <row r="4" spans="1:46" ht="22.5" customHeight="1">
      <c r="A4" s="812"/>
      <c r="B4" s="714">
        <f t="shared" si="0"/>
        <v>0.13541666666666669</v>
      </c>
      <c r="C4" s="715">
        <f>D4-TIME(1,0,0)</f>
        <v>0.14583333333333334</v>
      </c>
      <c r="D4" s="714">
        <f>E4-TIME(0,20,0)</f>
        <v>0.1875</v>
      </c>
      <c r="E4" s="785">
        <f>F4</f>
        <v>0.2013888888888889</v>
      </c>
      <c r="F4" s="33">
        <f t="shared" si="1"/>
        <v>0.2013888888888889</v>
      </c>
      <c r="G4" s="33">
        <v>0.3263888888888889</v>
      </c>
      <c r="H4" s="34" t="s">
        <v>31</v>
      </c>
      <c r="I4" s="34"/>
      <c r="J4" s="34">
        <v>2</v>
      </c>
      <c r="K4" s="35">
        <f>SUM(I4:J7)</f>
        <v>7</v>
      </c>
      <c r="L4" s="34"/>
      <c r="M4" s="36">
        <v>0</v>
      </c>
      <c r="N4" s="36">
        <v>1</v>
      </c>
      <c r="O4" s="34"/>
      <c r="P4" s="34"/>
      <c r="Q4" s="1"/>
      <c r="R4" s="682" t="s">
        <v>32</v>
      </c>
      <c r="S4" s="682"/>
      <c r="T4" s="682"/>
      <c r="U4" s="682"/>
      <c r="V4" s="682"/>
      <c r="W4" s="682"/>
      <c r="X4" s="682"/>
      <c r="Y4" s="37">
        <v>0</v>
      </c>
      <c r="Z4" s="38">
        <v>3</v>
      </c>
      <c r="AA4" s="39">
        <f>SUM(AA3)</f>
        <v>3</v>
      </c>
      <c r="AB4" s="40">
        <f>AB3</f>
        <v>1</v>
      </c>
      <c r="AC4" s="40">
        <v>0</v>
      </c>
      <c r="AD4" s="40">
        <v>0</v>
      </c>
      <c r="AE4" s="40">
        <v>0</v>
      </c>
      <c r="AF4" s="2"/>
      <c r="AG4" s="1"/>
      <c r="AH4" s="1"/>
      <c r="AI4" s="1"/>
      <c r="AJ4" s="1"/>
      <c r="AK4" s="1"/>
      <c r="AL4" s="1"/>
      <c r="AM4" s="1"/>
      <c r="AN4" s="1" t="str">
        <f t="shared" si="2"/>
        <v>FAIRMONTOZ 701</v>
      </c>
      <c r="AO4" s="3" t="s">
        <v>26</v>
      </c>
      <c r="AP4" s="19">
        <v>45923</v>
      </c>
      <c r="AQ4" s="5" t="s">
        <v>27</v>
      </c>
      <c r="AR4" s="5" t="s">
        <v>33</v>
      </c>
      <c r="AS4" s="6">
        <v>0.13541666666666666</v>
      </c>
      <c r="AT4" s="2"/>
    </row>
    <row r="5" spans="1:46" ht="15" customHeight="1">
      <c r="A5" s="812"/>
      <c r="B5" s="714"/>
      <c r="C5" s="715"/>
      <c r="D5" s="714"/>
      <c r="E5" s="785"/>
      <c r="F5" s="26">
        <f t="shared" si="1"/>
        <v>0.2013888888888889</v>
      </c>
      <c r="G5" s="26">
        <v>0.3263888888888889</v>
      </c>
      <c r="H5" s="28" t="s">
        <v>33</v>
      </c>
      <c r="I5" s="28">
        <v>2</v>
      </c>
      <c r="J5" s="28"/>
      <c r="K5" s="41"/>
      <c r="L5" s="28"/>
      <c r="M5" s="28"/>
      <c r="N5" s="28"/>
      <c r="O5" s="28"/>
      <c r="P5" s="2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 t="s">
        <v>34</v>
      </c>
      <c r="AC5" s="1" t="s">
        <v>35</v>
      </c>
      <c r="AD5" s="1" t="s">
        <v>36</v>
      </c>
      <c r="AE5" s="1" t="s">
        <v>37</v>
      </c>
      <c r="AF5" s="2"/>
      <c r="AG5" s="28" t="s">
        <v>25</v>
      </c>
      <c r="AH5" s="28" t="s">
        <v>18</v>
      </c>
      <c r="AI5" s="28" t="s">
        <v>19</v>
      </c>
      <c r="AJ5" s="28" t="s">
        <v>20</v>
      </c>
      <c r="AK5" s="28" t="s">
        <v>21</v>
      </c>
      <c r="AL5" s="28" t="s">
        <v>38</v>
      </c>
      <c r="AM5" s="1"/>
      <c r="AN5" s="1" t="str">
        <f t="shared" si="2"/>
        <v>FAIRMONTOZ 112</v>
      </c>
      <c r="AO5" s="3" t="s">
        <v>26</v>
      </c>
      <c r="AP5" s="19">
        <v>45923</v>
      </c>
      <c r="AQ5" s="5" t="s">
        <v>27</v>
      </c>
      <c r="AR5" s="5" t="s">
        <v>39</v>
      </c>
      <c r="AS5" s="6">
        <v>0.13541666666666666</v>
      </c>
      <c r="AT5" s="2"/>
    </row>
    <row r="6" spans="1:46" ht="15" customHeight="1">
      <c r="A6" s="812"/>
      <c r="B6" s="714"/>
      <c r="C6" s="715"/>
      <c r="D6" s="714"/>
      <c r="E6" s="785"/>
      <c r="F6" s="26">
        <f t="shared" si="1"/>
        <v>0.2048611111111111</v>
      </c>
      <c r="G6" s="26">
        <v>0.3298611111111111</v>
      </c>
      <c r="H6" s="28" t="s">
        <v>39</v>
      </c>
      <c r="I6" s="28">
        <v>2</v>
      </c>
      <c r="J6" s="28"/>
      <c r="K6" s="41"/>
      <c r="L6" s="28"/>
      <c r="M6" s="28"/>
      <c r="N6" s="28"/>
      <c r="O6" s="28"/>
      <c r="P6" s="2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42" t="s">
        <v>40</v>
      </c>
      <c r="AH6" s="42">
        <f>L46+P143+P239</f>
        <v>6</v>
      </c>
      <c r="AI6" s="42">
        <f>M46+Q143+Q239</f>
        <v>19</v>
      </c>
      <c r="AJ6" s="42">
        <f>N46+R143+R239</f>
        <v>5</v>
      </c>
      <c r="AK6" s="42">
        <f>O46+S143+S239</f>
        <v>46</v>
      </c>
      <c r="AL6" s="42">
        <f>P46+T143+T239</f>
        <v>4</v>
      </c>
      <c r="AM6" s="1"/>
      <c r="AN6" s="1" t="str">
        <f t="shared" si="2"/>
        <v>FAIRMONTAF 267</v>
      </c>
      <c r="AO6" s="3" t="s">
        <v>26</v>
      </c>
      <c r="AP6" s="19">
        <v>45923</v>
      </c>
      <c r="AQ6" s="5" t="s">
        <v>27</v>
      </c>
      <c r="AR6" s="5" t="s">
        <v>41</v>
      </c>
      <c r="AS6" s="6">
        <v>0.13541666666666666</v>
      </c>
      <c r="AT6" s="2"/>
    </row>
    <row r="7" spans="1:46" ht="15" customHeight="1">
      <c r="A7" s="812"/>
      <c r="B7" s="714"/>
      <c r="C7" s="715"/>
      <c r="D7" s="714"/>
      <c r="E7" s="785"/>
      <c r="F7" s="20">
        <f t="shared" si="1"/>
        <v>0.22916666666666669</v>
      </c>
      <c r="G7" s="20">
        <v>0.35416666666666669</v>
      </c>
      <c r="H7" s="23" t="s">
        <v>41</v>
      </c>
      <c r="I7" s="23"/>
      <c r="J7" s="23">
        <v>1</v>
      </c>
      <c r="K7" s="24"/>
      <c r="L7" s="23"/>
      <c r="M7" s="23"/>
      <c r="N7" s="23"/>
      <c r="O7" s="23"/>
      <c r="P7" s="2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>
        <v>15</v>
      </c>
      <c r="AI7" s="1">
        <v>5</v>
      </c>
      <c r="AJ7" s="1">
        <v>1</v>
      </c>
      <c r="AK7" s="1">
        <v>13</v>
      </c>
      <c r="AL7" s="1"/>
      <c r="AM7" s="1"/>
      <c r="AN7" s="1" t="str">
        <f t="shared" si="2"/>
        <v>FAIRMONTRS 701</v>
      </c>
      <c r="AO7" s="3" t="s">
        <v>26</v>
      </c>
      <c r="AP7" s="19">
        <v>45923</v>
      </c>
      <c r="AQ7" s="5" t="s">
        <v>27</v>
      </c>
      <c r="AR7" s="5" t="s">
        <v>42</v>
      </c>
      <c r="AS7" s="6">
        <v>0.21527777777777779</v>
      </c>
      <c r="AT7" s="2"/>
    </row>
    <row r="8" spans="1:46" ht="15" customHeight="1">
      <c r="A8" s="812"/>
      <c r="B8" s="714">
        <f>C8-TIME(0,15,0)</f>
        <v>0.21527777777777779</v>
      </c>
      <c r="C8" s="715">
        <f>E8-TIME(1,0,0)</f>
        <v>0.22569444444444445</v>
      </c>
      <c r="D8" s="718"/>
      <c r="E8" s="809">
        <f>F8</f>
        <v>0.2673611111111111</v>
      </c>
      <c r="F8" s="33">
        <f t="shared" si="1"/>
        <v>0.2673611111111111</v>
      </c>
      <c r="G8" s="33">
        <v>0.3923611111111111</v>
      </c>
      <c r="H8" s="34" t="s">
        <v>42</v>
      </c>
      <c r="I8" s="34"/>
      <c r="J8" s="34">
        <v>2</v>
      </c>
      <c r="K8" s="35">
        <f>SUM(I8:J11)</f>
        <v>25</v>
      </c>
      <c r="L8" s="34"/>
      <c r="M8" s="34"/>
      <c r="N8" s="34"/>
      <c r="O8" s="34">
        <v>1</v>
      </c>
      <c r="P8" s="2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>
        <v>0</v>
      </c>
      <c r="AI8" s="1">
        <v>9</v>
      </c>
      <c r="AJ8" s="1">
        <v>1</v>
      </c>
      <c r="AK8" s="1">
        <v>30</v>
      </c>
      <c r="AL8" s="1"/>
      <c r="AM8" s="1"/>
      <c r="AN8" s="1" t="str">
        <f t="shared" si="2"/>
        <v>FAIRMONTDL 7869</v>
      </c>
      <c r="AO8" s="3" t="s">
        <v>26</v>
      </c>
      <c r="AP8" s="19">
        <v>45923</v>
      </c>
      <c r="AQ8" s="5" t="s">
        <v>27</v>
      </c>
      <c r="AR8" s="5" t="s">
        <v>43</v>
      </c>
      <c r="AS8" s="6">
        <v>0.21527777777777779</v>
      </c>
      <c r="AT8" s="2"/>
    </row>
    <row r="9" spans="1:46" ht="15" customHeight="1">
      <c r="A9" s="812"/>
      <c r="B9" s="714"/>
      <c r="C9" s="715"/>
      <c r="D9" s="718"/>
      <c r="E9" s="809"/>
      <c r="F9" s="26">
        <f t="shared" si="1"/>
        <v>0.27083333333333331</v>
      </c>
      <c r="G9" s="26">
        <v>0.39583333333333331</v>
      </c>
      <c r="H9" s="28" t="s">
        <v>43</v>
      </c>
      <c r="I9" s="28"/>
      <c r="J9" s="28">
        <v>1</v>
      </c>
      <c r="K9" s="41"/>
      <c r="L9" s="28"/>
      <c r="M9" s="28"/>
      <c r="N9" s="28"/>
      <c r="O9" s="28"/>
      <c r="P9" s="28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tr">
        <f t="shared" si="2"/>
        <v>FAIRMONTKE 31</v>
      </c>
      <c r="AO9" s="3" t="s">
        <v>26</v>
      </c>
      <c r="AP9" s="19">
        <v>45923</v>
      </c>
      <c r="AQ9" s="5" t="s">
        <v>27</v>
      </c>
      <c r="AR9" s="5" t="s">
        <v>44</v>
      </c>
      <c r="AS9" s="6">
        <v>0.21527777777777779</v>
      </c>
      <c r="AT9" s="1"/>
    </row>
    <row r="10" spans="1:46" ht="15" customHeight="1">
      <c r="A10" s="812"/>
      <c r="B10" s="714"/>
      <c r="C10" s="715"/>
      <c r="D10" s="718"/>
      <c r="E10" s="809"/>
      <c r="F10" s="26">
        <f t="shared" si="1"/>
        <v>0.27083333333333331</v>
      </c>
      <c r="G10" s="26">
        <v>0.39583333333333331</v>
      </c>
      <c r="H10" s="28" t="s">
        <v>44</v>
      </c>
      <c r="I10" s="28"/>
      <c r="J10" s="28">
        <v>12</v>
      </c>
      <c r="K10" s="41"/>
      <c r="L10" s="28"/>
      <c r="M10" s="28"/>
      <c r="N10" s="28"/>
      <c r="O10" s="28"/>
      <c r="P10" s="28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tr">
        <f t="shared" si="2"/>
        <v>FAIRMONTKE 723</v>
      </c>
      <c r="AO10" s="3" t="s">
        <v>26</v>
      </c>
      <c r="AP10" s="19">
        <v>45923</v>
      </c>
      <c r="AQ10" s="5" t="s">
        <v>27</v>
      </c>
      <c r="AR10" s="5" t="s">
        <v>45</v>
      </c>
      <c r="AS10" s="6">
        <v>0.21527777777777779</v>
      </c>
      <c r="AT10" s="1"/>
    </row>
    <row r="11" spans="1:46" ht="15" customHeight="1">
      <c r="A11" s="812"/>
      <c r="B11" s="714"/>
      <c r="C11" s="715"/>
      <c r="D11" s="718"/>
      <c r="E11" s="809"/>
      <c r="F11" s="20">
        <f t="shared" si="1"/>
        <v>0.27430555555555558</v>
      </c>
      <c r="G11" s="20">
        <v>0.39930555555555558</v>
      </c>
      <c r="H11" s="23" t="s">
        <v>45</v>
      </c>
      <c r="I11" s="23"/>
      <c r="J11" s="23">
        <v>10</v>
      </c>
      <c r="K11" s="24"/>
      <c r="L11" s="23"/>
      <c r="M11" s="23"/>
      <c r="N11" s="23"/>
      <c r="O11" s="23"/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tr">
        <f t="shared" si="2"/>
        <v>FAIRMONTCX 417</v>
      </c>
      <c r="AO11" s="3" t="s">
        <v>26</v>
      </c>
      <c r="AP11" s="19">
        <v>45923</v>
      </c>
      <c r="AQ11" s="5" t="s">
        <v>27</v>
      </c>
      <c r="AR11" s="5" t="s">
        <v>46</v>
      </c>
      <c r="AS11" s="6">
        <v>0.2326388888888889</v>
      </c>
      <c r="AT11" s="1"/>
    </row>
    <row r="12" spans="1:46" ht="15" customHeight="1">
      <c r="A12" s="812"/>
      <c r="B12" s="714">
        <f>C12-TIME(0,15,0)</f>
        <v>0.2326388888888889</v>
      </c>
      <c r="C12" s="715">
        <f>D12-TIME(1,0,0)</f>
        <v>0.24305555555555555</v>
      </c>
      <c r="D12" s="714">
        <f>E12-TIME(0,20,0)</f>
        <v>0.28472222222222221</v>
      </c>
      <c r="E12" s="809">
        <f>F12</f>
        <v>0.2986111111111111</v>
      </c>
      <c r="F12" s="33">
        <f t="shared" si="1"/>
        <v>0.2986111111111111</v>
      </c>
      <c r="G12" s="33">
        <v>0.4236111111111111</v>
      </c>
      <c r="H12" s="34" t="s">
        <v>46</v>
      </c>
      <c r="I12" s="34">
        <v>2</v>
      </c>
      <c r="J12" s="34"/>
      <c r="K12" s="35">
        <f>SUM(I12:J16)</f>
        <v>25</v>
      </c>
      <c r="L12" s="34"/>
      <c r="M12" s="34"/>
      <c r="N12" s="34"/>
      <c r="O12" s="34">
        <v>1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tr">
        <f t="shared" si="2"/>
        <v>FAIRMONTKE 703</v>
      </c>
      <c r="AO12" s="3" t="s">
        <v>26</v>
      </c>
      <c r="AP12" s="19">
        <v>45923</v>
      </c>
      <c r="AQ12" s="5" t="s">
        <v>27</v>
      </c>
      <c r="AR12" s="5" t="s">
        <v>47</v>
      </c>
      <c r="AS12" s="6">
        <v>0.2326388888888889</v>
      </c>
      <c r="AT12" s="1"/>
    </row>
    <row r="13" spans="1:46" ht="15" customHeight="1">
      <c r="A13" s="812"/>
      <c r="B13" s="714"/>
      <c r="C13" s="715"/>
      <c r="D13" s="714"/>
      <c r="E13" s="809"/>
      <c r="F13" s="26">
        <f t="shared" si="1"/>
        <v>0.2986111111111111</v>
      </c>
      <c r="G13" s="26">
        <v>0.4236111111111111</v>
      </c>
      <c r="H13" s="28" t="s">
        <v>47</v>
      </c>
      <c r="I13" s="28"/>
      <c r="J13" s="28">
        <v>14</v>
      </c>
      <c r="K13" s="41"/>
      <c r="L13" s="28"/>
      <c r="M13" s="28"/>
      <c r="N13" s="28"/>
      <c r="O13" s="28"/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tr">
        <f t="shared" si="2"/>
        <v>FAIRMONTDL 158</v>
      </c>
      <c r="AO13" s="3" t="s">
        <v>26</v>
      </c>
      <c r="AP13" s="19">
        <v>45923</v>
      </c>
      <c r="AQ13" s="5" t="s">
        <v>27</v>
      </c>
      <c r="AR13" s="5" t="s">
        <v>48</v>
      </c>
      <c r="AS13" s="6">
        <v>0.2326388888888889</v>
      </c>
      <c r="AT13" s="1"/>
    </row>
    <row r="14" spans="1:46" ht="15" customHeight="1">
      <c r="A14" s="812"/>
      <c r="B14" s="714"/>
      <c r="C14" s="715"/>
      <c r="D14" s="714"/>
      <c r="E14" s="809"/>
      <c r="F14" s="26">
        <f t="shared" si="1"/>
        <v>0.30208333333333331</v>
      </c>
      <c r="G14" s="26">
        <v>0.42708333333333331</v>
      </c>
      <c r="H14" s="28" t="s">
        <v>48</v>
      </c>
      <c r="I14" s="28"/>
      <c r="J14" s="28">
        <v>2</v>
      </c>
      <c r="K14" s="41"/>
      <c r="L14" s="28"/>
      <c r="M14" s="28"/>
      <c r="N14" s="28"/>
      <c r="O14" s="28"/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tr">
        <f t="shared" si="2"/>
        <v>FAIRMONTMM 704</v>
      </c>
      <c r="AO14" s="3" t="s">
        <v>26</v>
      </c>
      <c r="AP14" s="19">
        <v>45923</v>
      </c>
      <c r="AQ14" s="5" t="s">
        <v>27</v>
      </c>
      <c r="AR14" s="5" t="s">
        <v>49</v>
      </c>
      <c r="AS14" s="6">
        <v>0.2326388888888889</v>
      </c>
      <c r="AT14" s="1"/>
    </row>
    <row r="15" spans="1:46" ht="15" customHeight="1">
      <c r="A15" s="812"/>
      <c r="B15" s="714"/>
      <c r="C15" s="715"/>
      <c r="D15" s="714"/>
      <c r="E15" s="809"/>
      <c r="F15" s="26">
        <f t="shared" si="1"/>
        <v>0.30555555555555558</v>
      </c>
      <c r="G15" s="26">
        <v>0.43055555555555558</v>
      </c>
      <c r="H15" s="28" t="s">
        <v>49</v>
      </c>
      <c r="I15" s="28">
        <v>6</v>
      </c>
      <c r="J15" s="28"/>
      <c r="K15" s="41"/>
      <c r="L15" s="28"/>
      <c r="M15" s="28"/>
      <c r="N15" s="28"/>
      <c r="O15" s="28"/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tr">
        <f t="shared" si="2"/>
        <v>FAIRMONTVN 409</v>
      </c>
      <c r="AO15" s="3" t="s">
        <v>26</v>
      </c>
      <c r="AP15" s="19">
        <v>45923</v>
      </c>
      <c r="AQ15" s="5" t="s">
        <v>27</v>
      </c>
      <c r="AR15" s="5" t="s">
        <v>50</v>
      </c>
      <c r="AS15" s="6">
        <v>0.2326388888888889</v>
      </c>
      <c r="AT15" s="1"/>
    </row>
    <row r="16" spans="1:46" ht="15" customHeight="1">
      <c r="A16" s="812"/>
      <c r="B16" s="714"/>
      <c r="C16" s="715"/>
      <c r="D16" s="714"/>
      <c r="E16" s="809"/>
      <c r="F16" s="20">
        <f t="shared" si="1"/>
        <v>0.31597222222222221</v>
      </c>
      <c r="G16" s="20">
        <v>0.44097222222222221</v>
      </c>
      <c r="H16" s="23" t="s">
        <v>50</v>
      </c>
      <c r="I16" s="23">
        <v>1</v>
      </c>
      <c r="J16" s="23"/>
      <c r="K16" s="24"/>
      <c r="L16" s="23"/>
      <c r="M16" s="23"/>
      <c r="N16" s="23"/>
      <c r="O16" s="23"/>
      <c r="P16" s="2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tr">
        <f t="shared" si="2"/>
        <v>FAIRMONTVJ 961</v>
      </c>
      <c r="AO16" s="3" t="s">
        <v>26</v>
      </c>
      <c r="AP16" s="19">
        <v>45923</v>
      </c>
      <c r="AQ16" s="5" t="s">
        <v>27</v>
      </c>
      <c r="AR16" s="5" t="s">
        <v>51</v>
      </c>
      <c r="AS16" s="6">
        <v>0.28472222222222221</v>
      </c>
      <c r="AT16" s="1"/>
    </row>
    <row r="17" spans="1:46" ht="15" customHeight="1">
      <c r="A17" s="812"/>
      <c r="B17" s="714">
        <f>C17-TIME(0,15,0)</f>
        <v>0.28472222222222221</v>
      </c>
      <c r="C17" s="715">
        <f>D17-TIME(1,0,0)</f>
        <v>0.2951388888888889</v>
      </c>
      <c r="D17" s="714">
        <f>F17</f>
        <v>0.33680555555555558</v>
      </c>
      <c r="E17" s="813"/>
      <c r="F17" s="43">
        <f>G17-TIME(3,0,0)</f>
        <v>0.33680555555555558</v>
      </c>
      <c r="G17" s="43">
        <v>0.46180555555555558</v>
      </c>
      <c r="H17" s="44" t="s">
        <v>51</v>
      </c>
      <c r="I17" s="44">
        <v>2</v>
      </c>
      <c r="J17" s="44"/>
      <c r="K17" s="45">
        <f>SUM(I17:J20)</f>
        <v>7</v>
      </c>
      <c r="L17" s="44"/>
      <c r="M17" s="46">
        <v>0</v>
      </c>
      <c r="N17" s="46">
        <v>1</v>
      </c>
      <c r="O17" s="44"/>
      <c r="P17" s="4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tr">
        <f t="shared" si="2"/>
        <v>FAIRMONTSQ 611</v>
      </c>
      <c r="AO17" s="3" t="s">
        <v>26</v>
      </c>
      <c r="AP17" s="19">
        <v>45923</v>
      </c>
      <c r="AQ17" s="5" t="s">
        <v>27</v>
      </c>
      <c r="AR17" s="5" t="s">
        <v>52</v>
      </c>
      <c r="AS17" s="6">
        <v>0.28472222222222221</v>
      </c>
      <c r="AT17" s="1"/>
    </row>
    <row r="18" spans="1:46" ht="15" customHeight="1">
      <c r="A18" s="812"/>
      <c r="B18" s="714"/>
      <c r="C18" s="715"/>
      <c r="D18" s="714"/>
      <c r="E18" s="813"/>
      <c r="F18" s="33">
        <f t="shared" ref="F18:F41" si="3">G18-TIME(3,0,0)</f>
        <v>0.34722222222222221</v>
      </c>
      <c r="G18" s="33">
        <v>0.47222222222222221</v>
      </c>
      <c r="H18" s="34" t="s">
        <v>52</v>
      </c>
      <c r="I18" s="34">
        <v>2</v>
      </c>
      <c r="J18" s="34"/>
      <c r="K18" s="35"/>
      <c r="L18" s="34"/>
      <c r="M18" s="34"/>
      <c r="N18" s="34"/>
      <c r="O18" s="34"/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tr">
        <f t="shared" si="2"/>
        <v>FAIRMONTOZ 6620</v>
      </c>
      <c r="AO18" s="3" t="s">
        <v>26</v>
      </c>
      <c r="AP18" s="19">
        <v>45923</v>
      </c>
      <c r="AQ18" s="5" t="s">
        <v>27</v>
      </c>
      <c r="AR18" s="5" t="s">
        <v>53</v>
      </c>
      <c r="AS18" s="6">
        <v>0.28472222222222221</v>
      </c>
      <c r="AT18" s="1"/>
    </row>
    <row r="19" spans="1:46" ht="15" customHeight="1">
      <c r="A19" s="812"/>
      <c r="B19" s="714"/>
      <c r="C19" s="715"/>
      <c r="D19" s="714"/>
      <c r="E19" s="813"/>
      <c r="F19" s="26">
        <f t="shared" si="3"/>
        <v>0.35416666666666669</v>
      </c>
      <c r="G19" s="26">
        <v>0.47916666666666669</v>
      </c>
      <c r="H19" s="28" t="s">
        <v>53</v>
      </c>
      <c r="I19" s="28">
        <v>2</v>
      </c>
      <c r="J19" s="28"/>
      <c r="K19" s="41"/>
      <c r="L19" s="28"/>
      <c r="M19" s="28"/>
      <c r="N19" s="28"/>
      <c r="O19" s="28"/>
      <c r="P19" s="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 t="str">
        <f t="shared" si="2"/>
        <v>FAIRMONTUA 806</v>
      </c>
      <c r="AO19" s="3" t="s">
        <v>26</v>
      </c>
      <c r="AP19" s="19">
        <v>45923</v>
      </c>
      <c r="AQ19" s="5" t="s">
        <v>27</v>
      </c>
      <c r="AR19" s="5" t="s">
        <v>54</v>
      </c>
      <c r="AS19" s="6">
        <v>0.28472222222222221</v>
      </c>
      <c r="AT19" s="1"/>
    </row>
    <row r="20" spans="1:46" ht="15" customHeight="1">
      <c r="A20" s="812"/>
      <c r="B20" s="714"/>
      <c r="C20" s="715"/>
      <c r="D20" s="714"/>
      <c r="E20" s="813"/>
      <c r="F20" s="20">
        <f t="shared" si="3"/>
        <v>0.35416666666666669</v>
      </c>
      <c r="G20" s="20">
        <v>0.47916666666666669</v>
      </c>
      <c r="H20" s="23" t="s">
        <v>54</v>
      </c>
      <c r="I20" s="23">
        <v>1</v>
      </c>
      <c r="J20" s="23"/>
      <c r="K20" s="24"/>
      <c r="L20" s="23"/>
      <c r="M20" s="23"/>
      <c r="N20" s="23"/>
      <c r="O20" s="23"/>
      <c r="P20" s="2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tr">
        <f t="shared" si="2"/>
        <v>FAIRMONTBR 169</v>
      </c>
      <c r="AO20" s="3" t="s">
        <v>26</v>
      </c>
      <c r="AP20" s="19">
        <v>45923</v>
      </c>
      <c r="AQ20" s="5" t="s">
        <v>27</v>
      </c>
      <c r="AR20" s="5" t="s">
        <v>55</v>
      </c>
      <c r="AS20" s="6">
        <v>0.32291666666666669</v>
      </c>
      <c r="AT20" s="1"/>
    </row>
    <row r="21" spans="1:46" ht="15" customHeight="1">
      <c r="A21" s="812"/>
      <c r="B21" s="714">
        <f>C21-TIME(0,15,0)</f>
        <v>0.32291666666666663</v>
      </c>
      <c r="C21" s="715">
        <f>D21-TIME(1,0,0)</f>
        <v>0.33333333333333331</v>
      </c>
      <c r="D21" s="714">
        <f>F21</f>
        <v>0.375</v>
      </c>
      <c r="E21" s="813"/>
      <c r="F21" s="33">
        <f t="shared" si="3"/>
        <v>0.375</v>
      </c>
      <c r="G21" s="33">
        <v>0.5</v>
      </c>
      <c r="H21" s="34" t="s">
        <v>55</v>
      </c>
      <c r="I21" s="34">
        <v>9</v>
      </c>
      <c r="J21" s="34"/>
      <c r="K21" s="35">
        <f>SUM(I21:J24)</f>
        <v>15</v>
      </c>
      <c r="L21" s="34"/>
      <c r="M21" s="34"/>
      <c r="N21" s="34"/>
      <c r="O21" s="34">
        <v>1</v>
      </c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 t="str">
        <f t="shared" si="2"/>
        <v>FAIRMONTTW 303</v>
      </c>
      <c r="AO21" s="3" t="s">
        <v>26</v>
      </c>
      <c r="AP21" s="19">
        <v>45923</v>
      </c>
      <c r="AQ21" s="5" t="s">
        <v>27</v>
      </c>
      <c r="AR21" s="5" t="s">
        <v>56</v>
      </c>
      <c r="AS21" s="6">
        <v>0.32291666666666669</v>
      </c>
      <c r="AT21" s="1"/>
    </row>
    <row r="22" spans="1:46" ht="15" customHeight="1">
      <c r="A22" s="812"/>
      <c r="B22" s="714"/>
      <c r="C22" s="715"/>
      <c r="D22" s="714"/>
      <c r="E22" s="813"/>
      <c r="F22" s="26">
        <f t="shared" si="3"/>
        <v>0.37847222222222221</v>
      </c>
      <c r="G22" s="26">
        <v>0.50347222222222221</v>
      </c>
      <c r="H22" s="28" t="s">
        <v>56</v>
      </c>
      <c r="I22" s="28">
        <v>2</v>
      </c>
      <c r="J22" s="28"/>
      <c r="K22" s="41"/>
      <c r="L22" s="28"/>
      <c r="M22" s="28"/>
      <c r="N22" s="28"/>
      <c r="O22" s="28"/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tr">
        <f t="shared" si="2"/>
        <v>FAIRMONTOZ 202</v>
      </c>
      <c r="AO22" s="3" t="s">
        <v>26</v>
      </c>
      <c r="AP22" s="19">
        <v>45923</v>
      </c>
      <c r="AQ22" s="5" t="s">
        <v>27</v>
      </c>
      <c r="AR22" s="5" t="s">
        <v>57</v>
      </c>
      <c r="AS22" s="6">
        <v>0.32291666666666669</v>
      </c>
      <c r="AT22" s="1"/>
    </row>
    <row r="23" spans="1:46" ht="15" customHeight="1">
      <c r="A23" s="812"/>
      <c r="B23" s="714"/>
      <c r="C23" s="715"/>
      <c r="D23" s="714"/>
      <c r="E23" s="813"/>
      <c r="F23" s="26">
        <f t="shared" si="3"/>
        <v>0.40277777777777779</v>
      </c>
      <c r="G23" s="26">
        <v>0.52777777777777779</v>
      </c>
      <c r="H23" s="28" t="s">
        <v>57</v>
      </c>
      <c r="I23" s="28">
        <v>3</v>
      </c>
      <c r="J23" s="28"/>
      <c r="K23" s="41"/>
      <c r="L23" s="28"/>
      <c r="M23" s="28"/>
      <c r="N23" s="28"/>
      <c r="O23" s="28"/>
      <c r="P23" s="2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tr">
        <f t="shared" si="2"/>
        <v>FAIRMONTYP 101</v>
      </c>
      <c r="AO23" s="3" t="s">
        <v>26</v>
      </c>
      <c r="AP23" s="19">
        <v>45923</v>
      </c>
      <c r="AQ23" s="5" t="s">
        <v>27</v>
      </c>
      <c r="AR23" s="5" t="s">
        <v>58</v>
      </c>
      <c r="AS23" s="6">
        <v>0.32291666666666669</v>
      </c>
      <c r="AT23" s="1"/>
    </row>
    <row r="24" spans="1:46" ht="15" customHeight="1">
      <c r="A24" s="812"/>
      <c r="B24" s="714"/>
      <c r="C24" s="715"/>
      <c r="D24" s="714"/>
      <c r="E24" s="813"/>
      <c r="F24" s="20">
        <f t="shared" si="3"/>
        <v>0.40625</v>
      </c>
      <c r="G24" s="20">
        <v>0.53125</v>
      </c>
      <c r="H24" s="23" t="s">
        <v>58</v>
      </c>
      <c r="I24" s="23">
        <v>1</v>
      </c>
      <c r="J24" s="23"/>
      <c r="K24" s="24"/>
      <c r="L24" s="23"/>
      <c r="M24" s="23"/>
      <c r="N24" s="23"/>
      <c r="O24" s="23"/>
      <c r="P24" s="2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 t="str">
        <f t="shared" si="2"/>
        <v>FAIRMONTCX 439</v>
      </c>
      <c r="AO24" s="3" t="s">
        <v>26</v>
      </c>
      <c r="AP24" s="19">
        <v>45923</v>
      </c>
      <c r="AQ24" s="5" t="s">
        <v>27</v>
      </c>
      <c r="AR24" s="5" t="s">
        <v>59</v>
      </c>
      <c r="AS24" s="6">
        <v>0.3923611111111111</v>
      </c>
      <c r="AT24" s="1"/>
    </row>
    <row r="25" spans="1:46" ht="15" customHeight="1">
      <c r="A25" s="812"/>
      <c r="B25" s="48">
        <f t="shared" ref="B25:B27" si="4">C25-TIME(0,15,0)</f>
        <v>0.39236111111111105</v>
      </c>
      <c r="C25" s="49">
        <f>D25-TIME(1,0,0)</f>
        <v>0.40277777777777773</v>
      </c>
      <c r="D25" s="50">
        <f t="shared" ref="D25:D26" si="5">F25</f>
        <v>0.44444444444444442</v>
      </c>
      <c r="E25" s="51"/>
      <c r="F25" s="48">
        <f t="shared" si="3"/>
        <v>0.44444444444444442</v>
      </c>
      <c r="G25" s="48">
        <v>0.56944444444444442</v>
      </c>
      <c r="H25" s="52" t="s">
        <v>59</v>
      </c>
      <c r="I25" s="52">
        <v>7</v>
      </c>
      <c r="J25" s="52"/>
      <c r="K25" s="53">
        <f t="shared" ref="K25:K26" si="6">SUM(I25:J25)</f>
        <v>7</v>
      </c>
      <c r="L25" s="52"/>
      <c r="M25" s="54">
        <v>0</v>
      </c>
      <c r="N25" s="54">
        <v>1</v>
      </c>
      <c r="O25" s="52"/>
      <c r="P25" s="2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 t="str">
        <f t="shared" si="2"/>
        <v>FAIRMONTCX 411</v>
      </c>
      <c r="AO25" s="3" t="s">
        <v>26</v>
      </c>
      <c r="AP25" s="19">
        <v>45923</v>
      </c>
      <c r="AQ25" s="5" t="s">
        <v>27</v>
      </c>
      <c r="AR25" s="5" t="s">
        <v>60</v>
      </c>
      <c r="AS25" s="6">
        <v>0.4548611111111111</v>
      </c>
      <c r="AT25" s="1"/>
    </row>
    <row r="26" spans="1:46" ht="15" customHeight="1">
      <c r="A26" s="812"/>
      <c r="B26" s="48">
        <f t="shared" si="4"/>
        <v>0.45486111111111105</v>
      </c>
      <c r="C26" s="55">
        <f t="shared" ref="C26:C27" si="7">F26-TIME(1,0,0)</f>
        <v>0.46527777777777773</v>
      </c>
      <c r="D26" s="48">
        <f t="shared" si="5"/>
        <v>0.50694444444444442</v>
      </c>
      <c r="E26" s="56"/>
      <c r="F26" s="48">
        <f t="shared" si="3"/>
        <v>0.50694444444444442</v>
      </c>
      <c r="G26" s="48">
        <v>0.63194444444444442</v>
      </c>
      <c r="H26" s="52" t="s">
        <v>60</v>
      </c>
      <c r="I26" s="52">
        <v>6</v>
      </c>
      <c r="J26" s="52"/>
      <c r="K26" s="53">
        <f t="shared" si="6"/>
        <v>6</v>
      </c>
      <c r="L26" s="52"/>
      <c r="M26" s="52">
        <v>1</v>
      </c>
      <c r="N26" s="52"/>
      <c r="O26" s="52"/>
      <c r="P26" s="2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tr">
        <f t="shared" si="2"/>
        <v>FAIRMONTKE 23</v>
      </c>
      <c r="AO26" s="3" t="s">
        <v>26</v>
      </c>
      <c r="AP26" s="19">
        <v>45923</v>
      </c>
      <c r="AQ26" s="5" t="s">
        <v>27</v>
      </c>
      <c r="AR26" s="5" t="s">
        <v>61</v>
      </c>
      <c r="AS26" s="6">
        <v>0.48958333333333331</v>
      </c>
      <c r="AT26" s="1"/>
    </row>
    <row r="27" spans="1:46" ht="15" customHeight="1">
      <c r="A27" s="812"/>
      <c r="B27" s="714">
        <f t="shared" si="4"/>
        <v>0.48958333333333326</v>
      </c>
      <c r="C27" s="715">
        <f t="shared" si="7"/>
        <v>0.49999999999999994</v>
      </c>
      <c r="D27" s="718"/>
      <c r="E27" s="809">
        <f>F27</f>
        <v>0.54166666666666663</v>
      </c>
      <c r="F27" s="33">
        <f t="shared" si="3"/>
        <v>0.54166666666666663</v>
      </c>
      <c r="G27" s="33">
        <v>0.66666666666666663</v>
      </c>
      <c r="H27" s="34" t="s">
        <v>61</v>
      </c>
      <c r="I27" s="34"/>
      <c r="J27" s="34">
        <v>1</v>
      </c>
      <c r="K27" s="35">
        <f>SUM(I27:J28)</f>
        <v>4</v>
      </c>
      <c r="L27" s="57">
        <v>0</v>
      </c>
      <c r="M27" s="57">
        <v>1</v>
      </c>
      <c r="N27" s="34"/>
      <c r="O27" s="34"/>
      <c r="P27" s="28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 t="str">
        <f t="shared" si="2"/>
        <v>FAIRMONTDL 188</v>
      </c>
      <c r="AO27" s="3" t="s">
        <v>26</v>
      </c>
      <c r="AP27" s="19">
        <v>45923</v>
      </c>
      <c r="AQ27" s="5" t="s">
        <v>27</v>
      </c>
      <c r="AR27" s="5" t="s">
        <v>62</v>
      </c>
      <c r="AS27" s="6">
        <v>0.48958333333333331</v>
      </c>
      <c r="AT27" s="1"/>
    </row>
    <row r="28" spans="1:46" ht="15" customHeight="1">
      <c r="A28" s="812"/>
      <c r="B28" s="714"/>
      <c r="C28" s="715"/>
      <c r="D28" s="718"/>
      <c r="E28" s="809"/>
      <c r="F28" s="20">
        <f t="shared" si="3"/>
        <v>0.55902777777777779</v>
      </c>
      <c r="G28" s="20">
        <v>0.68402777777777779</v>
      </c>
      <c r="H28" s="23" t="s">
        <v>62</v>
      </c>
      <c r="I28" s="23"/>
      <c r="J28" s="23">
        <v>3</v>
      </c>
      <c r="K28" s="24"/>
      <c r="L28" s="23"/>
      <c r="M28" s="23"/>
      <c r="N28" s="23"/>
      <c r="O28" s="23"/>
      <c r="P28" s="2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tr">
        <f t="shared" si="2"/>
        <v>FAIRMONTKE 41</v>
      </c>
      <c r="AO28" s="3" t="s">
        <v>26</v>
      </c>
      <c r="AP28" s="19">
        <v>45923</v>
      </c>
      <c r="AQ28" s="5" t="s">
        <v>27</v>
      </c>
      <c r="AR28" s="5" t="s">
        <v>63</v>
      </c>
      <c r="AS28" s="6">
        <v>0.50347222222222221</v>
      </c>
      <c r="AT28" s="1"/>
    </row>
    <row r="29" spans="1:46" ht="15" customHeight="1">
      <c r="A29" s="812"/>
      <c r="B29" s="714">
        <f>C29-TIME(0,15,0)</f>
        <v>0.50347222222222232</v>
      </c>
      <c r="C29" s="715">
        <f>D29-TIME(1,0,0)</f>
        <v>0.51388888888888895</v>
      </c>
      <c r="D29" s="714">
        <f>E29-TIME(0,20,0)</f>
        <v>0.55555555555555558</v>
      </c>
      <c r="E29" s="809">
        <f>F29</f>
        <v>0.56944444444444442</v>
      </c>
      <c r="F29" s="33">
        <f t="shared" si="3"/>
        <v>0.56944444444444442</v>
      </c>
      <c r="G29" s="33">
        <v>0.69444444444444442</v>
      </c>
      <c r="H29" s="34" t="s">
        <v>63</v>
      </c>
      <c r="I29" s="34"/>
      <c r="J29" s="34">
        <v>2</v>
      </c>
      <c r="K29" s="35">
        <f>SUM(I29:J30)</f>
        <v>11</v>
      </c>
      <c r="L29" s="57">
        <v>0</v>
      </c>
      <c r="M29" s="57">
        <v>2</v>
      </c>
      <c r="N29" s="34"/>
      <c r="O29" s="34"/>
      <c r="P29" s="28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tr">
        <f t="shared" si="2"/>
        <v>FAIRMONTUA 892</v>
      </c>
      <c r="AO29" s="3" t="s">
        <v>26</v>
      </c>
      <c r="AP29" s="19">
        <v>45923</v>
      </c>
      <c r="AQ29" s="5" t="s">
        <v>27</v>
      </c>
      <c r="AR29" s="5" t="s">
        <v>64</v>
      </c>
      <c r="AS29" s="6">
        <v>0.50347222222222221</v>
      </c>
      <c r="AT29" s="1"/>
    </row>
    <row r="30" spans="1:46" ht="15" customHeight="1">
      <c r="A30" s="812"/>
      <c r="B30" s="714"/>
      <c r="C30" s="715"/>
      <c r="D30" s="714"/>
      <c r="E30" s="809"/>
      <c r="F30" s="20">
        <f t="shared" si="3"/>
        <v>0.57638888888888884</v>
      </c>
      <c r="G30" s="20">
        <v>0.70138888888888884</v>
      </c>
      <c r="H30" s="23" t="s">
        <v>64</v>
      </c>
      <c r="I30" s="23">
        <v>9</v>
      </c>
      <c r="J30" s="23"/>
      <c r="K30" s="24"/>
      <c r="L30" s="23"/>
      <c r="M30" s="23"/>
      <c r="N30" s="23"/>
      <c r="O30" s="23"/>
      <c r="P30" s="2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tr">
        <f t="shared" si="2"/>
        <v>FAIRMONTAA 280</v>
      </c>
      <c r="AO30" s="3" t="s">
        <v>26</v>
      </c>
      <c r="AP30" s="19">
        <v>45923</v>
      </c>
      <c r="AQ30" s="5" t="s">
        <v>27</v>
      </c>
      <c r="AR30" s="5" t="s">
        <v>65</v>
      </c>
      <c r="AS30" s="6">
        <v>0.54861111111111116</v>
      </c>
      <c r="AT30" s="1"/>
    </row>
    <row r="31" spans="1:46" ht="15" customHeight="1">
      <c r="A31" s="812"/>
      <c r="B31" s="714">
        <f>C31-TIME(0,15,0)</f>
        <v>0.54861111111111116</v>
      </c>
      <c r="C31" s="715">
        <f>D31-TIME(1,0,0)</f>
        <v>0.55902777777777779</v>
      </c>
      <c r="D31" s="714">
        <f>F31</f>
        <v>0.60069444444444442</v>
      </c>
      <c r="E31" s="718"/>
      <c r="F31" s="33">
        <f t="shared" si="3"/>
        <v>0.60069444444444442</v>
      </c>
      <c r="G31" s="33">
        <v>0.72569444444444442</v>
      </c>
      <c r="H31" s="34" t="s">
        <v>65</v>
      </c>
      <c r="I31" s="34">
        <v>34</v>
      </c>
      <c r="J31" s="34"/>
      <c r="K31" s="35">
        <f>SUM(I31:J32)</f>
        <v>43</v>
      </c>
      <c r="L31" s="34"/>
      <c r="M31" s="34"/>
      <c r="N31" s="34"/>
      <c r="O31" s="34">
        <v>2</v>
      </c>
      <c r="P31" s="28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tr">
        <f t="shared" si="2"/>
        <v>FAIRMONTAC 64</v>
      </c>
      <c r="AO31" s="3" t="s">
        <v>26</v>
      </c>
      <c r="AP31" s="19">
        <v>45923</v>
      </c>
      <c r="AQ31" s="5" t="s">
        <v>27</v>
      </c>
      <c r="AR31" s="5" t="s">
        <v>66</v>
      </c>
      <c r="AS31" s="6">
        <v>0.54861111111111116</v>
      </c>
      <c r="AT31" s="1"/>
    </row>
    <row r="32" spans="1:46" ht="15" customHeight="1">
      <c r="A32" s="812"/>
      <c r="B32" s="714"/>
      <c r="C32" s="715"/>
      <c r="D32" s="714"/>
      <c r="E32" s="718"/>
      <c r="F32" s="20">
        <f t="shared" si="3"/>
        <v>0.61458333333333337</v>
      </c>
      <c r="G32" s="20">
        <v>0.73958333333333337</v>
      </c>
      <c r="H32" s="23" t="s">
        <v>66</v>
      </c>
      <c r="I32" s="23">
        <v>9</v>
      </c>
      <c r="J32" s="23"/>
      <c r="K32" s="24"/>
      <c r="L32" s="23"/>
      <c r="M32" s="23"/>
      <c r="N32" s="23"/>
      <c r="O32" s="23"/>
      <c r="P32" s="2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tr">
        <f t="shared" si="2"/>
        <v>FAIRMONTKE 651</v>
      </c>
      <c r="AO32" s="3" t="s">
        <v>26</v>
      </c>
      <c r="AP32" s="19">
        <v>45923</v>
      </c>
      <c r="AQ32" s="5" t="s">
        <v>27</v>
      </c>
      <c r="AR32" s="5" t="s">
        <v>67</v>
      </c>
      <c r="AS32" s="6">
        <v>0.5625</v>
      </c>
      <c r="AT32" s="1"/>
    </row>
    <row r="33" spans="1:46" ht="15" customHeight="1">
      <c r="A33" s="812"/>
      <c r="B33" s="714">
        <f>C33-TIME(0,15,0)</f>
        <v>0.56250000000000011</v>
      </c>
      <c r="C33" s="715">
        <f>D33-TIME(1,0,0)</f>
        <v>0.57291666666666674</v>
      </c>
      <c r="D33" s="714">
        <f>E33-TIME(0,20,0)</f>
        <v>0.61458333333333337</v>
      </c>
      <c r="E33" s="809">
        <f>F33</f>
        <v>0.62847222222222221</v>
      </c>
      <c r="F33" s="33">
        <f t="shared" si="3"/>
        <v>0.62847222222222221</v>
      </c>
      <c r="G33" s="33">
        <v>0.75347222222222221</v>
      </c>
      <c r="H33" s="34" t="s">
        <v>67</v>
      </c>
      <c r="I33" s="34"/>
      <c r="J33" s="34">
        <v>3</v>
      </c>
      <c r="K33" s="35">
        <f>SUM(I33:J34)</f>
        <v>5</v>
      </c>
      <c r="L33" s="34"/>
      <c r="M33" s="34">
        <v>1</v>
      </c>
      <c r="N33" s="34"/>
      <c r="O33" s="34"/>
      <c r="P33" s="28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tr">
        <f t="shared" si="2"/>
        <v>FAIRMONTOZ 272</v>
      </c>
      <c r="AO33" s="3" t="s">
        <v>26</v>
      </c>
      <c r="AP33" s="19">
        <v>45923</v>
      </c>
      <c r="AQ33" s="5" t="s">
        <v>27</v>
      </c>
      <c r="AR33" s="5" t="s">
        <v>68</v>
      </c>
      <c r="AS33" s="6">
        <v>0.5625</v>
      </c>
      <c r="AT33" s="1"/>
    </row>
    <row r="34" spans="1:46" ht="15" customHeight="1">
      <c r="A34" s="812"/>
      <c r="B34" s="714"/>
      <c r="C34" s="715"/>
      <c r="D34" s="714"/>
      <c r="E34" s="809"/>
      <c r="F34" s="20">
        <f t="shared" si="3"/>
        <v>0.63888888888888884</v>
      </c>
      <c r="G34" s="20">
        <v>0.76388888888888884</v>
      </c>
      <c r="H34" s="23" t="s">
        <v>68</v>
      </c>
      <c r="I34" s="23">
        <v>2</v>
      </c>
      <c r="J34" s="23"/>
      <c r="K34" s="24"/>
      <c r="L34" s="23"/>
      <c r="M34" s="23"/>
      <c r="N34" s="23"/>
      <c r="O34" s="23"/>
      <c r="P34" s="2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tr">
        <f t="shared" si="2"/>
        <v>FAIRMONTDL 26</v>
      </c>
      <c r="AO34" s="3" t="s">
        <v>26</v>
      </c>
      <c r="AP34" s="19">
        <v>45923</v>
      </c>
      <c r="AQ34" s="5" t="s">
        <v>27</v>
      </c>
      <c r="AR34" s="5" t="s">
        <v>69</v>
      </c>
      <c r="AS34" s="6">
        <v>0.59375</v>
      </c>
      <c r="AT34" s="1"/>
    </row>
    <row r="35" spans="1:46" ht="15" customHeight="1">
      <c r="A35" s="812"/>
      <c r="B35" s="714">
        <f>C35-TIME(0,15,0)</f>
        <v>0.59375000000000011</v>
      </c>
      <c r="C35" s="715">
        <f>D35-TIME(1,0,0)</f>
        <v>0.60416666666666674</v>
      </c>
      <c r="D35" s="714">
        <f>E35-TIME(0,20,0)</f>
        <v>0.64583333333333337</v>
      </c>
      <c r="E35" s="809">
        <f>F35</f>
        <v>0.65972222222222221</v>
      </c>
      <c r="F35" s="33">
        <f t="shared" si="3"/>
        <v>0.65972222222222221</v>
      </c>
      <c r="G35" s="33">
        <v>0.78472222222222221</v>
      </c>
      <c r="H35" s="34" t="s">
        <v>69</v>
      </c>
      <c r="I35" s="34"/>
      <c r="J35" s="34">
        <v>1</v>
      </c>
      <c r="K35" s="35">
        <f>SUM(I35:J38)</f>
        <v>6</v>
      </c>
      <c r="L35" s="34"/>
      <c r="M35" s="34">
        <v>1</v>
      </c>
      <c r="N35" s="34"/>
      <c r="O35" s="34"/>
      <c r="P35" s="28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 t="str">
        <f t="shared" si="2"/>
        <v>FAIRMONTKE 5035</v>
      </c>
      <c r="AO35" s="3" t="s">
        <v>26</v>
      </c>
      <c r="AP35" s="19">
        <v>45923</v>
      </c>
      <c r="AQ35" s="5" t="s">
        <v>27</v>
      </c>
      <c r="AR35" s="5" t="s">
        <v>70</v>
      </c>
      <c r="AS35" s="6">
        <v>0.59375</v>
      </c>
      <c r="AT35" s="1"/>
    </row>
    <row r="36" spans="1:46" ht="15" customHeight="1">
      <c r="A36" s="812"/>
      <c r="B36" s="714"/>
      <c r="C36" s="715"/>
      <c r="D36" s="714"/>
      <c r="E36" s="809"/>
      <c r="F36" s="26">
        <f t="shared" si="3"/>
        <v>0.65972222222222221</v>
      </c>
      <c r="G36" s="26">
        <v>0.78472222222222221</v>
      </c>
      <c r="H36" s="28" t="s">
        <v>70</v>
      </c>
      <c r="I36" s="28"/>
      <c r="J36" s="28">
        <v>1</v>
      </c>
      <c r="K36" s="41"/>
      <c r="L36" s="28"/>
      <c r="M36" s="28"/>
      <c r="N36" s="28"/>
      <c r="O36" s="28"/>
      <c r="P36" s="28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 t="str">
        <f t="shared" si="2"/>
        <v>FAIRMONTAC 62</v>
      </c>
      <c r="AO36" s="3" t="s">
        <v>26</v>
      </c>
      <c r="AP36" s="19">
        <v>45923</v>
      </c>
      <c r="AQ36" s="5" t="s">
        <v>27</v>
      </c>
      <c r="AR36" s="5" t="s">
        <v>71</v>
      </c>
      <c r="AS36" s="6">
        <v>0.59375</v>
      </c>
      <c r="AT36" s="1"/>
    </row>
    <row r="37" spans="1:46" ht="15" customHeight="1">
      <c r="A37" s="812"/>
      <c r="B37" s="714"/>
      <c r="C37" s="715"/>
      <c r="D37" s="714"/>
      <c r="E37" s="809"/>
      <c r="F37" s="26">
        <f t="shared" si="3"/>
        <v>0.67013888888888884</v>
      </c>
      <c r="G37" s="26">
        <v>0.79513888888888884</v>
      </c>
      <c r="H37" s="28" t="s">
        <v>71</v>
      </c>
      <c r="I37" s="28">
        <v>1</v>
      </c>
      <c r="J37" s="28"/>
      <c r="K37" s="41"/>
      <c r="L37" s="28"/>
      <c r="M37" s="28"/>
      <c r="N37" s="28"/>
      <c r="O37" s="28"/>
      <c r="P37" s="28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 t="str">
        <f t="shared" si="2"/>
        <v>FAIRMONTOZ 703</v>
      </c>
      <c r="AO37" s="3" t="s">
        <v>26</v>
      </c>
      <c r="AP37" s="19">
        <v>45923</v>
      </c>
      <c r="AQ37" s="5" t="s">
        <v>27</v>
      </c>
      <c r="AR37" s="5" t="s">
        <v>72</v>
      </c>
      <c r="AS37" s="6">
        <v>0.59375</v>
      </c>
      <c r="AT37" s="1"/>
    </row>
    <row r="38" spans="1:46" ht="15" customHeight="1">
      <c r="A38" s="812"/>
      <c r="B38" s="714"/>
      <c r="C38" s="715"/>
      <c r="D38" s="714"/>
      <c r="E38" s="809"/>
      <c r="F38" s="20">
        <f t="shared" si="3"/>
        <v>0.67708333333333337</v>
      </c>
      <c r="G38" s="20">
        <v>0.80208333333333337</v>
      </c>
      <c r="H38" s="23" t="s">
        <v>72</v>
      </c>
      <c r="I38" s="23">
        <v>3</v>
      </c>
      <c r="J38" s="23"/>
      <c r="K38" s="24"/>
      <c r="L38" s="23"/>
      <c r="M38" s="23"/>
      <c r="N38" s="23"/>
      <c r="O38" s="23"/>
      <c r="P38" s="2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tr">
        <f t="shared" si="2"/>
        <v>FAIRMONTDL 172</v>
      </c>
      <c r="AO38" s="3" t="s">
        <v>26</v>
      </c>
      <c r="AP38" s="19">
        <v>45923</v>
      </c>
      <c r="AQ38" s="5" t="s">
        <v>27</v>
      </c>
      <c r="AR38" s="5" t="s">
        <v>73</v>
      </c>
      <c r="AS38" s="6">
        <v>0.62847222222222221</v>
      </c>
      <c r="AT38" s="1"/>
    </row>
    <row r="39" spans="1:46" ht="15" customHeight="1">
      <c r="A39" s="812"/>
      <c r="B39" s="714">
        <f>C39-TIME(0,15,0)</f>
        <v>0.62847222222222232</v>
      </c>
      <c r="C39" s="715">
        <f>D39-TIME(1,0,0)</f>
        <v>0.63888888888888895</v>
      </c>
      <c r="D39" s="714">
        <f>E39-TIME(0,20,0)</f>
        <v>0.68055555555555558</v>
      </c>
      <c r="E39" s="809">
        <f>F39</f>
        <v>0.69444444444444442</v>
      </c>
      <c r="F39" s="33">
        <f t="shared" si="3"/>
        <v>0.69444444444444442</v>
      </c>
      <c r="G39" s="33">
        <v>0.81944444444444442</v>
      </c>
      <c r="H39" s="34" t="s">
        <v>73</v>
      </c>
      <c r="I39" s="34"/>
      <c r="J39" s="34">
        <v>12</v>
      </c>
      <c r="K39" s="35">
        <f>SUM(I39:J40)</f>
        <v>16</v>
      </c>
      <c r="L39" s="34"/>
      <c r="M39" s="34"/>
      <c r="N39" s="34"/>
      <c r="O39" s="34">
        <v>1</v>
      </c>
      <c r="P39" s="28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tr">
        <f t="shared" si="2"/>
        <v>FAIRMONTCX 419</v>
      </c>
      <c r="AO39" s="3" t="s">
        <v>26</v>
      </c>
      <c r="AP39" s="19">
        <v>45923</v>
      </c>
      <c r="AQ39" s="5" t="s">
        <v>27</v>
      </c>
      <c r="AR39" s="5" t="s">
        <v>74</v>
      </c>
      <c r="AS39" s="6">
        <v>0.62847222222222221</v>
      </c>
      <c r="AT39" s="1"/>
    </row>
    <row r="40" spans="1:46" ht="15" customHeight="1">
      <c r="A40" s="812"/>
      <c r="B40" s="714"/>
      <c r="C40" s="715"/>
      <c r="D40" s="714"/>
      <c r="E40" s="809"/>
      <c r="F40" s="20">
        <f t="shared" si="3"/>
        <v>0.71180555555555558</v>
      </c>
      <c r="G40" s="20">
        <v>0.83680555555555558</v>
      </c>
      <c r="H40" s="23" t="s">
        <v>74</v>
      </c>
      <c r="I40" s="23">
        <v>4</v>
      </c>
      <c r="J40" s="23"/>
      <c r="K40" s="24"/>
      <c r="L40" s="23"/>
      <c r="M40" s="23"/>
      <c r="N40" s="23"/>
      <c r="O40" s="23"/>
      <c r="P40" s="2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 t="str">
        <f t="shared" si="2"/>
        <v>FAIRMONTKE 625</v>
      </c>
      <c r="AO40" s="3" t="s">
        <v>26</v>
      </c>
      <c r="AP40" s="19">
        <v>45923</v>
      </c>
      <c r="AQ40" s="5" t="s">
        <v>27</v>
      </c>
      <c r="AR40" s="5" t="s">
        <v>75</v>
      </c>
      <c r="AS40" s="6">
        <v>0.65277777777777779</v>
      </c>
      <c r="AT40" s="1"/>
    </row>
    <row r="41" spans="1:46" ht="15" customHeight="1">
      <c r="A41" s="812"/>
      <c r="B41" s="714">
        <f>C41-TIME(0,15,0)</f>
        <v>0.6527777777777779</v>
      </c>
      <c r="C41" s="715">
        <f>D41-TIME(1,0,0)</f>
        <v>0.66319444444444453</v>
      </c>
      <c r="D41" s="714">
        <f>E41-TIME(0,20,0)</f>
        <v>0.70486111111111116</v>
      </c>
      <c r="E41" s="809">
        <f>F41</f>
        <v>0.71875</v>
      </c>
      <c r="F41" s="33">
        <f t="shared" si="3"/>
        <v>0.71875</v>
      </c>
      <c r="G41" s="33">
        <v>0.84375</v>
      </c>
      <c r="H41" s="34" t="s">
        <v>75</v>
      </c>
      <c r="I41" s="34"/>
      <c r="J41" s="34">
        <v>3</v>
      </c>
      <c r="K41" s="41">
        <f>SUM(I41:J43)</f>
        <v>33</v>
      </c>
      <c r="L41" s="28"/>
      <c r="M41" s="58">
        <v>0</v>
      </c>
      <c r="N41" s="28"/>
      <c r="O41" s="28">
        <v>1</v>
      </c>
      <c r="P41" s="58">
        <v>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tr">
        <f t="shared" si="2"/>
        <v>FAIRMONTOZ 204</v>
      </c>
      <c r="AO41" s="3" t="s">
        <v>26</v>
      </c>
      <c r="AP41" s="19">
        <v>45923</v>
      </c>
      <c r="AQ41" s="5" t="s">
        <v>27</v>
      </c>
      <c r="AR41" s="5" t="s">
        <v>76</v>
      </c>
      <c r="AS41" s="6">
        <v>0.65277777777777779</v>
      </c>
      <c r="AT41" s="1"/>
    </row>
    <row r="42" spans="1:46" ht="15" customHeight="1">
      <c r="A42" s="812"/>
      <c r="B42" s="714"/>
      <c r="C42" s="715"/>
      <c r="D42" s="714"/>
      <c r="E42" s="809"/>
      <c r="F42" s="26">
        <f>G42-TIME(3,0,0)</f>
        <v>0.73611111111111116</v>
      </c>
      <c r="G42" s="26">
        <v>0.86111111111111116</v>
      </c>
      <c r="H42" s="28" t="s">
        <v>76</v>
      </c>
      <c r="I42" s="28">
        <v>2</v>
      </c>
      <c r="J42" s="28"/>
      <c r="K42" s="59"/>
      <c r="L42" s="28"/>
      <c r="M42" s="28"/>
      <c r="N42" s="28"/>
      <c r="O42" s="28"/>
      <c r="P42" s="28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 t="str">
        <f t="shared" si="2"/>
        <v>FAIRMONTWS 87</v>
      </c>
      <c r="AO42" s="3" t="s">
        <v>26</v>
      </c>
      <c r="AP42" s="19">
        <v>45923</v>
      </c>
      <c r="AQ42" s="5" t="s">
        <v>27</v>
      </c>
      <c r="AR42" s="5" t="s">
        <v>77</v>
      </c>
      <c r="AS42" s="6">
        <v>0.65277777777777779</v>
      </c>
      <c r="AT42" s="1"/>
    </row>
    <row r="43" spans="1:46" ht="15" customHeight="1">
      <c r="A43" s="812"/>
      <c r="B43" s="714"/>
      <c r="C43" s="715"/>
      <c r="D43" s="714"/>
      <c r="E43" s="809"/>
      <c r="F43" s="20">
        <f t="shared" ref="F43:F45" si="8">G43-TIME(3,0,0)</f>
        <v>0.73958333333333337</v>
      </c>
      <c r="G43" s="20">
        <v>0.86458333333333337</v>
      </c>
      <c r="H43" s="23" t="s">
        <v>77</v>
      </c>
      <c r="I43" s="23">
        <v>28</v>
      </c>
      <c r="J43" s="23"/>
      <c r="K43" s="24"/>
      <c r="L43" s="23"/>
      <c r="M43" s="23"/>
      <c r="N43" s="23"/>
      <c r="O43" s="23"/>
      <c r="P43" s="2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tr">
        <f t="shared" si="2"/>
        <v>FAIRMONT5J 131</v>
      </c>
      <c r="AO43" s="3" t="s">
        <v>26</v>
      </c>
      <c r="AP43" s="19">
        <v>45923</v>
      </c>
      <c r="AQ43" s="5" t="s">
        <v>27</v>
      </c>
      <c r="AR43" s="5" t="s">
        <v>78</v>
      </c>
      <c r="AS43" s="6">
        <v>0.72916666666666663</v>
      </c>
      <c r="AT43" s="1"/>
    </row>
    <row r="44" spans="1:46" ht="15" customHeight="1">
      <c r="A44" s="812"/>
      <c r="B44" s="321"/>
      <c r="C44" s="322"/>
      <c r="D44" s="321"/>
      <c r="E44" s="323"/>
      <c r="F44" s="60">
        <f t="shared" si="8"/>
        <v>0.79166666666666663</v>
      </c>
      <c r="G44" s="60">
        <v>0.91666666666666663</v>
      </c>
      <c r="H44" s="61" t="s">
        <v>78</v>
      </c>
      <c r="I44" s="61">
        <v>1</v>
      </c>
      <c r="J44" s="61"/>
      <c r="K44" s="62"/>
      <c r="L44" s="61">
        <v>0</v>
      </c>
      <c r="M44" s="61"/>
      <c r="N44" s="61"/>
      <c r="O44" s="61"/>
      <c r="P44" s="63"/>
      <c r="Q44" s="64" t="s">
        <v>79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 t="str">
        <f t="shared" si="2"/>
        <v>FAIRMONTEK 323</v>
      </c>
      <c r="AO44" s="3" t="s">
        <v>26</v>
      </c>
      <c r="AP44" s="19">
        <v>45923</v>
      </c>
      <c r="AQ44" s="5" t="s">
        <v>27</v>
      </c>
      <c r="AR44" s="5" t="s">
        <v>80</v>
      </c>
      <c r="AS44" s="6">
        <v>0.81944444444444442</v>
      </c>
      <c r="AT44" s="1"/>
    </row>
    <row r="45" spans="1:46" ht="15" customHeight="1">
      <c r="A45" s="812"/>
      <c r="B45" s="324"/>
      <c r="C45" s="325"/>
      <c r="D45" s="324"/>
      <c r="E45" s="326"/>
      <c r="F45" s="65">
        <f t="shared" si="8"/>
        <v>0.87152777777777779</v>
      </c>
      <c r="G45" s="65">
        <v>0.99652777777777779</v>
      </c>
      <c r="H45" s="66" t="s">
        <v>80</v>
      </c>
      <c r="I45" s="66">
        <v>1</v>
      </c>
      <c r="J45" s="66"/>
      <c r="K45" s="67"/>
      <c r="L45" s="66">
        <v>0</v>
      </c>
      <c r="M45" s="66"/>
      <c r="N45" s="66"/>
      <c r="O45" s="66"/>
      <c r="P45" s="68"/>
      <c r="Q45" s="64" t="s">
        <v>79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 t="str">
        <f t="shared" si="2"/>
        <v>FAIRMONTJL 92</v>
      </c>
      <c r="AO45" s="3" t="s">
        <v>26</v>
      </c>
      <c r="AP45" s="19">
        <v>45923</v>
      </c>
      <c r="AQ45" s="5" t="s">
        <v>27</v>
      </c>
      <c r="AR45" s="5" t="s">
        <v>29</v>
      </c>
      <c r="AS45" s="6">
        <v>0.34722222222222221</v>
      </c>
      <c r="AT45" s="1"/>
    </row>
    <row r="46" spans="1:46" ht="22.5" customHeight="1">
      <c r="A46" s="682" t="s">
        <v>32</v>
      </c>
      <c r="B46" s="682"/>
      <c r="C46" s="682"/>
      <c r="D46" s="682"/>
      <c r="E46" s="682"/>
      <c r="F46" s="682"/>
      <c r="G46" s="682"/>
      <c r="H46" s="682"/>
      <c r="I46" s="40">
        <f>SUM(I3:I45)</f>
        <v>144</v>
      </c>
      <c r="J46" s="40">
        <f t="shared" ref="J46:O46" si="9">SUM(J3:J45)</f>
        <v>70</v>
      </c>
      <c r="K46" s="40">
        <f t="shared" si="9"/>
        <v>212</v>
      </c>
      <c r="L46" s="40">
        <f>SUM(L3:L45)</f>
        <v>1</v>
      </c>
      <c r="M46" s="40">
        <f t="shared" si="9"/>
        <v>6</v>
      </c>
      <c r="N46" s="40">
        <f t="shared" si="9"/>
        <v>3</v>
      </c>
      <c r="O46" s="40">
        <f t="shared" si="9"/>
        <v>7</v>
      </c>
      <c r="P46" s="40">
        <f>SUM(P3:P45)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 t="str">
        <f t="shared" si="2"/>
        <v>INTER PARNASKE 621</v>
      </c>
      <c r="AO46" s="3" t="s">
        <v>26</v>
      </c>
      <c r="AP46" s="19">
        <v>45923</v>
      </c>
      <c r="AQ46" s="5" t="s">
        <v>81</v>
      </c>
      <c r="AR46" s="5" t="s">
        <v>31</v>
      </c>
      <c r="AS46" s="6">
        <v>9.375E-2</v>
      </c>
      <c r="AT46" s="1"/>
    </row>
    <row r="47" spans="1:46" ht="15" customHeight="1">
      <c r="A47" s="1"/>
      <c r="B47" s="1"/>
      <c r="C47" s="1"/>
      <c r="D47" s="1"/>
      <c r="E47" s="1"/>
      <c r="F47" s="1"/>
      <c r="G47" s="1"/>
      <c r="H47" s="1"/>
      <c r="I47" s="1" t="s">
        <v>15</v>
      </c>
      <c r="J47" s="1" t="s">
        <v>16</v>
      </c>
      <c r="K47" s="1" t="s">
        <v>82</v>
      </c>
      <c r="L47" s="1" t="s">
        <v>34</v>
      </c>
      <c r="M47" s="1" t="s">
        <v>35</v>
      </c>
      <c r="N47" s="1" t="s">
        <v>36</v>
      </c>
      <c r="O47" s="1" t="s">
        <v>37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 t="str">
        <f t="shared" si="2"/>
        <v>INTER PARNASOZ 701</v>
      </c>
      <c r="AO47" s="3" t="s">
        <v>26</v>
      </c>
      <c r="AP47" s="19">
        <v>45923</v>
      </c>
      <c r="AQ47" s="5" t="s">
        <v>81</v>
      </c>
      <c r="AR47" s="5" t="s">
        <v>33</v>
      </c>
      <c r="AS47" s="6">
        <v>9.375E-2</v>
      </c>
      <c r="AT47" s="1"/>
    </row>
    <row r="48" spans="1:46" ht="15" customHeight="1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 t="str">
        <f t="shared" si="2"/>
        <v>INTER PARNASOZ 112</v>
      </c>
      <c r="AO48" s="3" t="s">
        <v>26</v>
      </c>
      <c r="AP48" s="19">
        <v>45923</v>
      </c>
      <c r="AQ48" s="5" t="s">
        <v>81</v>
      </c>
      <c r="AR48" s="5" t="s">
        <v>39</v>
      </c>
      <c r="AS48" s="6">
        <v>9.375E-2</v>
      </c>
      <c r="AT48" s="1"/>
    </row>
    <row r="49" spans="1:46" ht="15" customHeight="1">
      <c r="A49" s="1"/>
      <c r="B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83</v>
      </c>
      <c r="S49" s="1"/>
      <c r="T49" s="1" t="s">
        <v>84</v>
      </c>
      <c r="U49" s="1"/>
      <c r="V49" s="1"/>
      <c r="W49" s="1"/>
      <c r="X49" s="1"/>
      <c r="Y49" s="2"/>
      <c r="Z49" s="2"/>
      <c r="AA49" s="2"/>
      <c r="AB49" s="1"/>
      <c r="AC49" s="1"/>
      <c r="AD49" s="1"/>
      <c r="AE49" s="1" t="s">
        <v>85</v>
      </c>
      <c r="AF49" s="1"/>
      <c r="AG49" s="1" t="s">
        <v>86</v>
      </c>
      <c r="AH49" s="1"/>
      <c r="AI49" s="1"/>
      <c r="AJ49" s="1"/>
      <c r="AK49" s="1"/>
      <c r="AL49" s="1"/>
      <c r="AM49" s="1"/>
      <c r="AN49" s="1" t="str">
        <f t="shared" si="2"/>
        <v>INTER PARNASPR 467</v>
      </c>
      <c r="AO49" s="3" t="s">
        <v>26</v>
      </c>
      <c r="AP49" s="19">
        <v>45923</v>
      </c>
      <c r="AQ49" s="5" t="s">
        <v>81</v>
      </c>
      <c r="AR49" s="5" t="s">
        <v>87</v>
      </c>
      <c r="AS49" s="6">
        <v>9.375E-2</v>
      </c>
      <c r="AT49" s="1"/>
    </row>
    <row r="50" spans="1:46" ht="22.5" customHeight="1">
      <c r="A50" s="810" t="s">
        <v>88</v>
      </c>
      <c r="B50" s="810"/>
      <c r="C50" s="810"/>
      <c r="D50" s="8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89</v>
      </c>
      <c r="S50" s="1"/>
      <c r="T50" s="1" t="s">
        <v>90</v>
      </c>
      <c r="U50" s="1"/>
      <c r="V50" s="1"/>
      <c r="W50" s="800" t="s">
        <v>91</v>
      </c>
      <c r="X50" s="800"/>
      <c r="Y50" s="800"/>
      <c r="Z50" s="800"/>
      <c r="AA50" s="2"/>
      <c r="AB50" s="1"/>
      <c r="AC50" s="1"/>
      <c r="AD50" s="1"/>
      <c r="AE50" s="1" t="s">
        <v>86</v>
      </c>
      <c r="AF50" s="1"/>
      <c r="AG50" s="1" t="s">
        <v>92</v>
      </c>
      <c r="AH50" s="1"/>
      <c r="AI50" s="1"/>
      <c r="AJ50" s="1"/>
      <c r="AK50" s="1"/>
      <c r="AL50" s="1"/>
      <c r="AM50" s="1"/>
      <c r="AN50" s="1" t="str">
        <f t="shared" si="2"/>
        <v>INTER PARNAS5J 185</v>
      </c>
      <c r="AO50" s="3" t="s">
        <v>26</v>
      </c>
      <c r="AP50" s="19">
        <v>45923</v>
      </c>
      <c r="AQ50" s="5" t="s">
        <v>81</v>
      </c>
      <c r="AR50" s="5" t="s">
        <v>93</v>
      </c>
      <c r="AS50" s="6">
        <v>9.375E-2</v>
      </c>
      <c r="AT50" s="1"/>
    </row>
    <row r="51" spans="1:46" ht="22.5" customHeight="1">
      <c r="A51" s="7" t="s">
        <v>5</v>
      </c>
      <c r="B51" s="7" t="s">
        <v>94</v>
      </c>
      <c r="C51" s="7" t="s">
        <v>95</v>
      </c>
      <c r="D51" s="7" t="s">
        <v>96</v>
      </c>
      <c r="E51" s="69" t="s">
        <v>97</v>
      </c>
      <c r="F51" s="7" t="s">
        <v>11</v>
      </c>
      <c r="G51" s="7" t="s">
        <v>12</v>
      </c>
      <c r="H51" s="70" t="s">
        <v>13</v>
      </c>
      <c r="I51" s="71" t="s">
        <v>14</v>
      </c>
      <c r="J51" s="71" t="s">
        <v>7</v>
      </c>
      <c r="K51" s="11" t="s">
        <v>98</v>
      </c>
      <c r="L51" s="72" t="s">
        <v>100</v>
      </c>
      <c r="M51" s="11" t="s">
        <v>99</v>
      </c>
      <c r="N51" s="72" t="s">
        <v>101</v>
      </c>
      <c r="O51" s="11" t="s">
        <v>17</v>
      </c>
      <c r="P51" s="13" t="s">
        <v>18</v>
      </c>
      <c r="Q51" s="13" t="s">
        <v>19</v>
      </c>
      <c r="R51" s="13" t="s">
        <v>20</v>
      </c>
      <c r="S51" s="13" t="s">
        <v>21</v>
      </c>
      <c r="T51" s="13" t="s">
        <v>22</v>
      </c>
      <c r="U51" s="73"/>
      <c r="V51" s="1"/>
      <c r="W51" s="74" t="s">
        <v>5</v>
      </c>
      <c r="X51" s="47" t="s">
        <v>94</v>
      </c>
      <c r="Y51" s="47" t="s">
        <v>95</v>
      </c>
      <c r="Z51" s="47" t="s">
        <v>96</v>
      </c>
      <c r="AA51" s="47" t="s">
        <v>97</v>
      </c>
      <c r="AB51" s="75" t="s">
        <v>13</v>
      </c>
      <c r="AC51" s="76" t="s">
        <v>14</v>
      </c>
      <c r="AD51" s="76" t="s">
        <v>7</v>
      </c>
      <c r="AE51" s="77" t="s">
        <v>102</v>
      </c>
      <c r="AF51" s="77" t="s">
        <v>103</v>
      </c>
      <c r="AG51" s="77" t="s">
        <v>104</v>
      </c>
      <c r="AH51" s="77" t="s">
        <v>105</v>
      </c>
      <c r="AI51" s="78" t="s">
        <v>17</v>
      </c>
      <c r="AJ51" s="78" t="s">
        <v>18</v>
      </c>
      <c r="AK51" s="79" t="s">
        <v>19</v>
      </c>
      <c r="AL51" s="78" t="s">
        <v>20</v>
      </c>
      <c r="AM51" s="78" t="s">
        <v>21</v>
      </c>
      <c r="AN51" s="1" t="str">
        <f t="shared" si="2"/>
        <v>INTER PARNAS7C 1101</v>
      </c>
      <c r="AO51" s="3" t="s">
        <v>26</v>
      </c>
      <c r="AP51" s="19">
        <v>45923</v>
      </c>
      <c r="AQ51" s="5" t="s">
        <v>81</v>
      </c>
      <c r="AR51" s="5" t="s">
        <v>106</v>
      </c>
      <c r="AS51" s="6">
        <v>9.375E-2</v>
      </c>
      <c r="AT51" s="1"/>
    </row>
    <row r="52" spans="1:46" ht="15" customHeight="1">
      <c r="A52" s="738">
        <v>45923</v>
      </c>
      <c r="B52" s="80"/>
      <c r="C52" s="80"/>
      <c r="D52" s="81">
        <f>E52-TIME(0,15,0)</f>
        <v>0.10069444444444441</v>
      </c>
      <c r="E52" s="82">
        <f>F52-TIME(1,15,0)</f>
        <v>0.11111111111111108</v>
      </c>
      <c r="F52" s="81">
        <f>H52</f>
        <v>0.16319444444444442</v>
      </c>
      <c r="G52" s="80"/>
      <c r="H52" s="83">
        <f>I52-TIME(3,0,0)</f>
        <v>0.16319444444444442</v>
      </c>
      <c r="I52" s="84">
        <v>0.28819444444444442</v>
      </c>
      <c r="J52" s="85" t="s">
        <v>107</v>
      </c>
      <c r="K52" s="86"/>
      <c r="L52" s="86">
        <v>3</v>
      </c>
      <c r="M52" s="23"/>
      <c r="N52" s="23"/>
      <c r="O52" s="24">
        <f>SUM(J52:N52)</f>
        <v>3</v>
      </c>
      <c r="P52" s="87">
        <v>1</v>
      </c>
      <c r="Q52" s="87"/>
      <c r="R52" s="87"/>
      <c r="S52" s="87"/>
      <c r="T52" s="87"/>
      <c r="U52" s="18"/>
      <c r="V52" s="1"/>
      <c r="W52" s="802">
        <v>45923</v>
      </c>
      <c r="X52" s="803"/>
      <c r="Y52" s="803"/>
      <c r="Z52" s="804">
        <f>AA52-TIME(0,15,0)</f>
        <v>0.17013888888888892</v>
      </c>
      <c r="AA52" s="781">
        <f>AB52-TIME(0,40,0)</f>
        <v>0.18055555555555558</v>
      </c>
      <c r="AB52" s="88">
        <v>0.20833333333333334</v>
      </c>
      <c r="AC52" s="89">
        <v>0.31944444444444442</v>
      </c>
      <c r="AD52" s="90" t="s">
        <v>108</v>
      </c>
      <c r="AE52" s="91"/>
      <c r="AF52" s="91"/>
      <c r="AG52" s="91"/>
      <c r="AH52" s="91">
        <v>2</v>
      </c>
      <c r="AI52" s="92">
        <f>SUM(AD52:AH53)</f>
        <v>6</v>
      </c>
      <c r="AJ52" s="93"/>
      <c r="AK52" s="93">
        <v>1</v>
      </c>
      <c r="AL52" s="93"/>
      <c r="AM52" s="93"/>
      <c r="AN52" s="1" t="str">
        <f t="shared" si="2"/>
        <v>INTER PARNASTW 241</v>
      </c>
      <c r="AO52" s="3" t="s">
        <v>26</v>
      </c>
      <c r="AP52" s="19">
        <v>45923</v>
      </c>
      <c r="AQ52" s="5" t="s">
        <v>81</v>
      </c>
      <c r="AR52" s="5" t="s">
        <v>109</v>
      </c>
      <c r="AS52" s="6">
        <v>9.375E-2</v>
      </c>
      <c r="AT52" s="1"/>
    </row>
    <row r="53" spans="1:46" ht="15" customHeight="1">
      <c r="A53" s="738"/>
      <c r="B53" s="94"/>
      <c r="C53" s="95"/>
      <c r="D53" s="94"/>
      <c r="E53" s="96"/>
      <c r="F53" s="94"/>
      <c r="G53" s="97"/>
      <c r="H53" s="98"/>
      <c r="I53" s="99"/>
      <c r="J53" s="100"/>
      <c r="K53" s="101"/>
      <c r="L53" s="101"/>
      <c r="M53" s="34"/>
      <c r="N53" s="34"/>
      <c r="O53" s="35"/>
      <c r="P53" s="102"/>
      <c r="Q53" s="102"/>
      <c r="R53" s="102"/>
      <c r="S53" s="102"/>
      <c r="T53" s="102"/>
      <c r="U53" s="18"/>
      <c r="V53" s="1"/>
      <c r="W53" s="802"/>
      <c r="X53" s="803"/>
      <c r="Y53" s="803"/>
      <c r="Z53" s="804"/>
      <c r="AA53" s="781"/>
      <c r="AB53" s="103">
        <v>0.20833333333333334</v>
      </c>
      <c r="AC53" s="104">
        <v>0.3298611111111111</v>
      </c>
      <c r="AD53" s="105" t="s">
        <v>110</v>
      </c>
      <c r="AE53" s="106"/>
      <c r="AF53" s="106"/>
      <c r="AG53" s="106"/>
      <c r="AH53" s="106">
        <v>4</v>
      </c>
      <c r="AI53" s="107"/>
      <c r="AJ53" s="108"/>
      <c r="AK53" s="108"/>
      <c r="AL53" s="108"/>
      <c r="AM53" s="108"/>
      <c r="AN53" s="1" t="str">
        <f t="shared" si="2"/>
        <v>INTER PARNASOZ 102</v>
      </c>
      <c r="AO53" s="3" t="s">
        <v>26</v>
      </c>
      <c r="AP53" s="19">
        <v>45923</v>
      </c>
      <c r="AQ53" s="5" t="s">
        <v>81</v>
      </c>
      <c r="AR53" s="5" t="s">
        <v>111</v>
      </c>
      <c r="AS53" s="6">
        <v>0.1423611111111111</v>
      </c>
      <c r="AT53" s="1"/>
    </row>
    <row r="54" spans="1:46" ht="15" customHeight="1">
      <c r="A54" s="738"/>
      <c r="B54" s="755">
        <f>C54-TIME(0,15,0)</f>
        <v>9.3749999999999986E-2</v>
      </c>
      <c r="C54" s="782">
        <f>D54-TIME(0,30,0)</f>
        <v>0.10416666666666666</v>
      </c>
      <c r="D54" s="783">
        <f>E54-TIME(0,15,0)</f>
        <v>0.12499999999999999</v>
      </c>
      <c r="E54" s="784">
        <f>F54-TIME(1,15,0)</f>
        <v>0.13541666666666666</v>
      </c>
      <c r="F54" s="785">
        <f>G54-TIME(0,20,0)</f>
        <v>0.1875</v>
      </c>
      <c r="G54" s="786">
        <f>H54</f>
        <v>0.2013888888888889</v>
      </c>
      <c r="H54" s="109">
        <f t="shared" ref="H54:H59" si="10">I54-TIME(3,0,0)</f>
        <v>0.2013888888888889</v>
      </c>
      <c r="I54" s="110">
        <v>0.3263888888888889</v>
      </c>
      <c r="J54" s="111" t="s">
        <v>31</v>
      </c>
      <c r="K54" s="112"/>
      <c r="L54" s="112"/>
      <c r="M54" s="28"/>
      <c r="N54" s="28">
        <v>4</v>
      </c>
      <c r="O54" s="113">
        <f>SUM(K54:N59)</f>
        <v>27</v>
      </c>
      <c r="P54" s="114"/>
      <c r="Q54" s="114"/>
      <c r="R54" s="114"/>
      <c r="S54" s="115">
        <v>1</v>
      </c>
      <c r="T54" s="115"/>
      <c r="U54" s="116" t="s">
        <v>112</v>
      </c>
      <c r="V54" s="1"/>
      <c r="W54" s="802"/>
      <c r="X54" s="117"/>
      <c r="Y54" s="117"/>
      <c r="Z54" s="33">
        <f>AA54-TIME(0,15,0)</f>
        <v>0.47916666666666663</v>
      </c>
      <c r="AA54" s="118">
        <f>AB54-TIME(1,0,0)</f>
        <v>0.48958333333333331</v>
      </c>
      <c r="AB54" s="98">
        <f>AC54-TIME(3,0,0)</f>
        <v>0.53125</v>
      </c>
      <c r="AC54" s="99">
        <v>0.65625</v>
      </c>
      <c r="AD54" s="100" t="s">
        <v>113</v>
      </c>
      <c r="AE54" s="119"/>
      <c r="AF54" s="119"/>
      <c r="AG54" s="119"/>
      <c r="AH54" s="119">
        <v>2</v>
      </c>
      <c r="AI54" s="120">
        <f>SUM(AD54:AH54)</f>
        <v>2</v>
      </c>
      <c r="AJ54" s="102">
        <v>1</v>
      </c>
      <c r="AK54" s="102"/>
      <c r="AL54" s="102"/>
      <c r="AM54" s="102"/>
      <c r="AN54" s="1" t="str">
        <f t="shared" si="2"/>
        <v>INTER PARNASKE 469</v>
      </c>
      <c r="AO54" s="3" t="s">
        <v>26</v>
      </c>
      <c r="AP54" s="19">
        <v>45923</v>
      </c>
      <c r="AQ54" s="5" t="s">
        <v>81</v>
      </c>
      <c r="AR54" s="5" t="s">
        <v>114</v>
      </c>
      <c r="AS54" s="6">
        <v>0.1423611111111111</v>
      </c>
      <c r="AT54" s="1"/>
    </row>
    <row r="55" spans="1:46" ht="22.5" customHeight="1">
      <c r="A55" s="738"/>
      <c r="B55" s="755"/>
      <c r="C55" s="782"/>
      <c r="D55" s="783"/>
      <c r="E55" s="784"/>
      <c r="F55" s="785"/>
      <c r="G55" s="786"/>
      <c r="H55" s="109">
        <f t="shared" si="10"/>
        <v>0.2013888888888889</v>
      </c>
      <c r="I55" s="110">
        <v>0.3263888888888889</v>
      </c>
      <c r="J55" s="111" t="s">
        <v>33</v>
      </c>
      <c r="K55" s="112"/>
      <c r="L55" s="112">
        <v>8</v>
      </c>
      <c r="M55" s="28"/>
      <c r="N55" s="28"/>
      <c r="O55" s="121"/>
      <c r="P55" s="102"/>
      <c r="Q55" s="102"/>
      <c r="R55" s="102"/>
      <c r="S55" s="102"/>
      <c r="T55" s="102"/>
      <c r="U55" s="1"/>
      <c r="V55" s="1"/>
      <c r="W55" s="682" t="s">
        <v>32</v>
      </c>
      <c r="X55" s="682"/>
      <c r="Y55" s="682"/>
      <c r="Z55" s="682"/>
      <c r="AA55" s="682"/>
      <c r="AB55" s="682"/>
      <c r="AC55" s="682"/>
      <c r="AD55" s="682"/>
      <c r="AE55" s="122">
        <v>0</v>
      </c>
      <c r="AF55" s="122">
        <v>0</v>
      </c>
      <c r="AG55" s="122">
        <v>0</v>
      </c>
      <c r="AH55" s="122">
        <v>7</v>
      </c>
      <c r="AI55" s="40">
        <v>6</v>
      </c>
      <c r="AJ55" s="40">
        <f t="shared" ref="AJ55:AM55" si="11">SUM(AJ52:AJ54)</f>
        <v>1</v>
      </c>
      <c r="AK55" s="40">
        <f t="shared" si="11"/>
        <v>1</v>
      </c>
      <c r="AL55" s="40">
        <f t="shared" si="11"/>
        <v>0</v>
      </c>
      <c r="AM55" s="40">
        <f t="shared" si="11"/>
        <v>0</v>
      </c>
      <c r="AN55" s="1" t="str">
        <f t="shared" si="2"/>
        <v>INTER PARNASBX 172</v>
      </c>
      <c r="AO55" s="3" t="s">
        <v>26</v>
      </c>
      <c r="AP55" s="19">
        <v>45923</v>
      </c>
      <c r="AQ55" s="5" t="s">
        <v>81</v>
      </c>
      <c r="AR55" s="5" t="s">
        <v>115</v>
      </c>
      <c r="AS55" s="6">
        <v>0.1423611111111111</v>
      </c>
      <c r="AT55" s="1"/>
    </row>
    <row r="56" spans="1:46" ht="15" customHeight="1">
      <c r="A56" s="738"/>
      <c r="B56" s="755"/>
      <c r="C56" s="782"/>
      <c r="D56" s="783"/>
      <c r="E56" s="784"/>
      <c r="F56" s="785"/>
      <c r="G56" s="786"/>
      <c r="H56" s="109">
        <f t="shared" si="10"/>
        <v>0.2048611111111111</v>
      </c>
      <c r="I56" s="110">
        <v>0.3298611111111111</v>
      </c>
      <c r="J56" s="111" t="s">
        <v>39</v>
      </c>
      <c r="K56" s="112"/>
      <c r="L56" s="112">
        <v>2</v>
      </c>
      <c r="M56" s="28"/>
      <c r="N56" s="28"/>
      <c r="O56" s="121"/>
      <c r="P56" s="114"/>
      <c r="Q56" s="114"/>
      <c r="R56" s="114"/>
      <c r="S56" s="114"/>
      <c r="T56" s="114"/>
      <c r="U56" s="1"/>
      <c r="V56" s="1"/>
      <c r="W56" s="1"/>
      <c r="X56" s="1"/>
      <c r="Y56" s="1"/>
      <c r="Z56" s="1"/>
      <c r="AA56" s="1"/>
      <c r="AB56" s="123"/>
      <c r="AC56" s="124"/>
      <c r="AD56" s="124"/>
      <c r="AE56" s="125"/>
      <c r="AF56" s="125"/>
      <c r="AG56" s="125"/>
      <c r="AH56" s="125"/>
      <c r="AI56" s="18"/>
      <c r="AJ56" s="1" t="s">
        <v>34</v>
      </c>
      <c r="AK56" s="1" t="s">
        <v>35</v>
      </c>
      <c r="AL56" s="1" t="s">
        <v>36</v>
      </c>
      <c r="AM56" s="1" t="s">
        <v>37</v>
      </c>
      <c r="AN56" s="1" t="str">
        <f t="shared" si="2"/>
        <v>INTER PARNASDL 7851</v>
      </c>
      <c r="AO56" s="3" t="s">
        <v>26</v>
      </c>
      <c r="AP56" s="19">
        <v>45923</v>
      </c>
      <c r="AQ56" s="5" t="s">
        <v>81</v>
      </c>
      <c r="AR56" s="5" t="s">
        <v>116</v>
      </c>
      <c r="AS56" s="6">
        <v>0.1423611111111111</v>
      </c>
      <c r="AT56" s="1"/>
    </row>
    <row r="57" spans="1:46" ht="15" customHeight="1">
      <c r="A57" s="738"/>
      <c r="B57" s="755"/>
      <c r="C57" s="782"/>
      <c r="D57" s="783"/>
      <c r="E57" s="784"/>
      <c r="F57" s="785"/>
      <c r="G57" s="786"/>
      <c r="H57" s="109">
        <f t="shared" si="10"/>
        <v>0.20833333333333331</v>
      </c>
      <c r="I57" s="110">
        <v>0.33333333333333331</v>
      </c>
      <c r="J57" s="111" t="s">
        <v>87</v>
      </c>
      <c r="K57" s="112"/>
      <c r="L57" s="112">
        <v>1</v>
      </c>
      <c r="M57" s="28"/>
      <c r="N57" s="28"/>
      <c r="O57" s="113"/>
      <c r="P57" s="126"/>
      <c r="Q57" s="126"/>
      <c r="R57" s="126"/>
      <c r="S57" s="126"/>
      <c r="T57" s="126"/>
      <c r="U57" s="1"/>
      <c r="V57" s="1"/>
      <c r="W57" s="1"/>
      <c r="X57" s="1"/>
      <c r="Y57" s="1"/>
      <c r="Z57" s="1"/>
      <c r="AA57" s="1"/>
      <c r="AB57" s="123"/>
      <c r="AC57" s="124"/>
      <c r="AD57" s="124"/>
      <c r="AE57" s="125"/>
      <c r="AF57" s="125"/>
      <c r="AG57" s="125"/>
      <c r="AH57" s="125"/>
      <c r="AI57" s="18"/>
      <c r="AJ57" s="18"/>
      <c r="AK57" s="18"/>
      <c r="AL57" s="18"/>
      <c r="AM57" s="18"/>
      <c r="AN57" s="1" t="str">
        <f t="shared" si="2"/>
        <v>INTER PARNASDL 7869</v>
      </c>
      <c r="AO57" s="3" t="s">
        <v>26</v>
      </c>
      <c r="AP57" s="19">
        <v>45923</v>
      </c>
      <c r="AQ57" s="5" t="s">
        <v>81</v>
      </c>
      <c r="AR57" s="5" t="s">
        <v>43</v>
      </c>
      <c r="AS57" s="6">
        <v>0.1423611111111111</v>
      </c>
      <c r="AT57" s="1"/>
    </row>
    <row r="58" spans="1:46" ht="15" customHeight="1">
      <c r="A58" s="738"/>
      <c r="B58" s="755"/>
      <c r="C58" s="782"/>
      <c r="D58" s="783"/>
      <c r="E58" s="784"/>
      <c r="F58" s="785"/>
      <c r="G58" s="786"/>
      <c r="H58" s="109">
        <f t="shared" si="10"/>
        <v>0.22222222222222221</v>
      </c>
      <c r="I58" s="110">
        <v>0.34722222222222221</v>
      </c>
      <c r="J58" s="111" t="s">
        <v>93</v>
      </c>
      <c r="K58" s="112"/>
      <c r="L58" s="112">
        <v>4</v>
      </c>
      <c r="M58" s="28"/>
      <c r="N58" s="28"/>
      <c r="O58" s="113"/>
      <c r="P58" s="114"/>
      <c r="Q58" s="114"/>
      <c r="R58" s="114"/>
      <c r="S58" s="114"/>
      <c r="T58" s="114"/>
      <c r="U58" s="1"/>
      <c r="V58" s="1"/>
      <c r="W58" s="2"/>
      <c r="X58" s="1"/>
      <c r="Y58" s="1"/>
      <c r="Z58" s="1"/>
      <c r="AA58" s="1"/>
      <c r="AB58" s="123"/>
      <c r="AC58" s="124"/>
      <c r="AD58" s="124"/>
      <c r="AE58" s="125"/>
      <c r="AF58" s="125"/>
      <c r="AG58" s="125"/>
      <c r="AH58" s="125"/>
      <c r="AI58" s="18"/>
      <c r="AJ58" s="18"/>
      <c r="AK58" s="18"/>
      <c r="AL58" s="18"/>
      <c r="AM58" s="18"/>
      <c r="AN58" s="1" t="str">
        <f t="shared" si="2"/>
        <v>INTER PARNASKE 31</v>
      </c>
      <c r="AO58" s="3" t="s">
        <v>26</v>
      </c>
      <c r="AP58" s="19">
        <v>45923</v>
      </c>
      <c r="AQ58" s="5" t="s">
        <v>81</v>
      </c>
      <c r="AR58" s="5" t="s">
        <v>44</v>
      </c>
      <c r="AS58" s="6">
        <v>0.1423611111111111</v>
      </c>
      <c r="AT58" s="1"/>
    </row>
    <row r="59" spans="1:46" ht="15" customHeight="1">
      <c r="A59" s="738"/>
      <c r="B59" s="755"/>
      <c r="C59" s="782"/>
      <c r="D59" s="783"/>
      <c r="E59" s="784"/>
      <c r="F59" s="785"/>
      <c r="G59" s="786"/>
      <c r="H59" s="297">
        <f t="shared" si="10"/>
        <v>0.22916666666666669</v>
      </c>
      <c r="I59" s="298">
        <v>0.35416666666666669</v>
      </c>
      <c r="J59" s="299" t="s">
        <v>106</v>
      </c>
      <c r="K59" s="300"/>
      <c r="L59" s="300">
        <v>8</v>
      </c>
      <c r="M59" s="44"/>
      <c r="N59" s="44"/>
      <c r="O59" s="45"/>
      <c r="P59" s="301"/>
      <c r="Q59" s="302"/>
      <c r="R59" s="301"/>
      <c r="S59" s="301"/>
      <c r="T59" s="301"/>
      <c r="U59" s="127"/>
      <c r="V59" s="1"/>
      <c r="W59" s="1"/>
      <c r="X59" s="1"/>
      <c r="Y59" s="1"/>
      <c r="Z59" s="1"/>
      <c r="AA59" s="1"/>
      <c r="AB59" s="123"/>
      <c r="AC59" s="124"/>
      <c r="AD59" s="124"/>
      <c r="AE59" s="125"/>
      <c r="AF59" s="125"/>
      <c r="AG59" s="125"/>
      <c r="AH59" s="125"/>
      <c r="AI59" s="18"/>
      <c r="AJ59" s="18"/>
      <c r="AK59" s="18"/>
      <c r="AL59" s="18"/>
      <c r="AM59" s="18"/>
      <c r="AN59" s="1" t="str">
        <f t="shared" si="2"/>
        <v>INTER PARNASCX 417</v>
      </c>
      <c r="AO59" s="3" t="s">
        <v>26</v>
      </c>
      <c r="AP59" s="19">
        <v>45923</v>
      </c>
      <c r="AQ59" s="5" t="s">
        <v>81</v>
      </c>
      <c r="AR59" s="5" t="s">
        <v>46</v>
      </c>
      <c r="AS59" s="6">
        <v>0.19097222222222221</v>
      </c>
      <c r="AT59" s="1"/>
    </row>
    <row r="60" spans="1:46" ht="15" customHeight="1">
      <c r="A60" s="738"/>
      <c r="B60" s="303"/>
      <c r="C60" s="304"/>
      <c r="D60" s="312"/>
      <c r="E60" s="313"/>
      <c r="F60" s="312"/>
      <c r="G60" s="314"/>
      <c r="H60" s="310">
        <f>I60-TIME(3,0,0)</f>
        <v>0.2326388888888889</v>
      </c>
      <c r="I60" s="305">
        <v>0.3576388888888889</v>
      </c>
      <c r="J60" s="306" t="s">
        <v>109</v>
      </c>
      <c r="K60" s="307">
        <v>1</v>
      </c>
      <c r="L60" s="307"/>
      <c r="M60" s="307"/>
      <c r="N60" s="307"/>
      <c r="O60" s="308"/>
      <c r="P60" s="309"/>
      <c r="Q60" s="309"/>
      <c r="R60" s="309"/>
      <c r="S60" s="309"/>
      <c r="T60" s="309"/>
      <c r="U60" s="128" t="s">
        <v>79</v>
      </c>
      <c r="V60" s="1"/>
      <c r="W60" s="1"/>
      <c r="X60" s="1"/>
      <c r="Y60" s="1"/>
      <c r="Z60" s="1"/>
      <c r="AA60" s="1"/>
      <c r="AB60" s="123"/>
      <c r="AC60" s="124"/>
      <c r="AD60" s="124"/>
      <c r="AE60" s="125"/>
      <c r="AF60" s="125"/>
      <c r="AG60" s="125"/>
      <c r="AH60" s="125"/>
      <c r="AI60" s="18"/>
      <c r="AJ60" s="18"/>
      <c r="AK60" s="18"/>
      <c r="AL60" s="18"/>
      <c r="AM60" s="18"/>
      <c r="AN60" s="1"/>
      <c r="AO60" s="3"/>
      <c r="AP60" s="19"/>
      <c r="AT60" s="1"/>
    </row>
    <row r="61" spans="1:46" ht="15" customHeight="1">
      <c r="A61" s="738"/>
      <c r="B61" s="765">
        <f>C61-TIME(0,15,0)</f>
        <v>0.1423611111111111</v>
      </c>
      <c r="C61" s="767">
        <f>D61-TIME(0,30,0)</f>
        <v>0.15277777777777776</v>
      </c>
      <c r="D61" s="769">
        <f>E61-TIME(0,15,0)</f>
        <v>0.1736111111111111</v>
      </c>
      <c r="E61" s="771">
        <f>F61-TIME(1,15,0)</f>
        <v>0.18402777777777776</v>
      </c>
      <c r="F61" s="769">
        <f>G61-TIME(0,20,0)</f>
        <v>0.2361111111111111</v>
      </c>
      <c r="G61" s="769">
        <f>H61</f>
        <v>0.25</v>
      </c>
      <c r="H61" s="311">
        <f t="shared" ref="H61:H64" si="12">I61-TIME(3,0,0)</f>
        <v>0.25</v>
      </c>
      <c r="I61" s="99">
        <v>0.375</v>
      </c>
      <c r="J61" s="100" t="s">
        <v>111</v>
      </c>
      <c r="K61" s="34"/>
      <c r="L61" s="34">
        <v>7</v>
      </c>
      <c r="M61" s="34"/>
      <c r="N61" s="34"/>
      <c r="O61" s="35">
        <f>SUM(J61:N66)</f>
        <v>29</v>
      </c>
      <c r="P61" s="102"/>
      <c r="Q61" s="102"/>
      <c r="R61" s="102"/>
      <c r="S61" s="129">
        <v>1</v>
      </c>
      <c r="T61" s="129">
        <v>1</v>
      </c>
      <c r="U61" s="130" t="s">
        <v>117</v>
      </c>
      <c r="V61" s="1"/>
      <c r="W61" s="1"/>
      <c r="X61" s="1"/>
      <c r="Y61" s="1"/>
      <c r="Z61" s="1"/>
      <c r="AA61" s="1"/>
      <c r="AB61" s="123"/>
      <c r="AC61" s="124"/>
      <c r="AD61" s="124"/>
      <c r="AE61" s="125"/>
      <c r="AF61" s="125"/>
      <c r="AG61" s="125"/>
      <c r="AH61" s="125"/>
      <c r="AI61" s="18"/>
      <c r="AJ61" s="18"/>
      <c r="AK61" s="18"/>
      <c r="AL61" s="18"/>
      <c r="AM61" s="18"/>
      <c r="AN61" s="1" t="str">
        <f t="shared" si="2"/>
        <v>INTER PARNASDL 158</v>
      </c>
      <c r="AO61" s="3" t="s">
        <v>26</v>
      </c>
      <c r="AP61" s="19">
        <v>45923</v>
      </c>
      <c r="AQ61" s="5" t="s">
        <v>81</v>
      </c>
      <c r="AR61" s="5" t="s">
        <v>48</v>
      </c>
      <c r="AS61" s="6">
        <v>0.19097222222222221</v>
      </c>
      <c r="AT61" s="1"/>
    </row>
    <row r="62" spans="1:46" ht="15" customHeight="1">
      <c r="A62" s="738"/>
      <c r="B62" s="720"/>
      <c r="C62" s="734"/>
      <c r="D62" s="748"/>
      <c r="E62" s="716"/>
      <c r="F62" s="748"/>
      <c r="G62" s="748"/>
      <c r="H62" s="109">
        <f t="shared" si="12"/>
        <v>0.25347222222222221</v>
      </c>
      <c r="I62" s="110">
        <v>0.37847222222222221</v>
      </c>
      <c r="J62" s="111" t="s">
        <v>114</v>
      </c>
      <c r="K62" s="28"/>
      <c r="L62" s="28"/>
      <c r="M62" s="28">
        <v>6</v>
      </c>
      <c r="N62" s="28">
        <v>1</v>
      </c>
      <c r="O62" s="41"/>
      <c r="P62" s="74"/>
      <c r="Q62" s="74"/>
      <c r="R62" s="74"/>
      <c r="S62" s="74"/>
      <c r="T62" s="74"/>
      <c r="U62" s="1"/>
      <c r="V62" s="1"/>
      <c r="W62" s="1"/>
      <c r="X62" s="1"/>
      <c r="Y62" s="1"/>
      <c r="Z62" s="1"/>
      <c r="AA62" s="1"/>
      <c r="AB62" s="123"/>
      <c r="AC62" s="124"/>
      <c r="AD62" s="124"/>
      <c r="AE62" s="125"/>
      <c r="AF62" s="125"/>
      <c r="AG62" s="125"/>
      <c r="AH62" s="125"/>
      <c r="AI62" s="18"/>
      <c r="AJ62" s="18"/>
      <c r="AK62" s="18"/>
      <c r="AL62" s="18"/>
      <c r="AM62" s="18"/>
      <c r="AN62" s="1" t="str">
        <f t="shared" si="2"/>
        <v>INTER PARNAS7C 1103</v>
      </c>
      <c r="AO62" s="3" t="s">
        <v>26</v>
      </c>
      <c r="AP62" s="19">
        <v>45923</v>
      </c>
      <c r="AQ62" s="5" t="s">
        <v>81</v>
      </c>
      <c r="AR62" s="5" t="s">
        <v>118</v>
      </c>
      <c r="AS62" s="6">
        <v>0.19097222222222221</v>
      </c>
      <c r="AT62" s="1"/>
    </row>
    <row r="63" spans="1:46" ht="15" customHeight="1">
      <c r="A63" s="738"/>
      <c r="B63" s="720"/>
      <c r="C63" s="734"/>
      <c r="D63" s="748"/>
      <c r="E63" s="716"/>
      <c r="F63" s="748"/>
      <c r="G63" s="748"/>
      <c r="H63" s="109">
        <f t="shared" si="12"/>
        <v>0.26041666666666669</v>
      </c>
      <c r="I63" s="110">
        <v>0.38541666666666669</v>
      </c>
      <c r="J63" s="111" t="s">
        <v>115</v>
      </c>
      <c r="K63" s="28"/>
      <c r="L63" s="28"/>
      <c r="M63" s="28">
        <v>11</v>
      </c>
      <c r="N63" s="28"/>
      <c r="O63" s="41"/>
      <c r="P63" s="74"/>
      <c r="Q63" s="74"/>
      <c r="R63" s="74"/>
      <c r="S63" s="74"/>
      <c r="T63" s="74"/>
      <c r="U63" s="1"/>
      <c r="V63" s="1"/>
      <c r="W63" s="1"/>
      <c r="X63" s="1"/>
      <c r="Y63" s="1"/>
      <c r="Z63" s="1"/>
      <c r="AA63" s="1"/>
      <c r="AB63" s="123"/>
      <c r="AC63" s="124"/>
      <c r="AD63" s="124"/>
      <c r="AE63" s="125"/>
      <c r="AF63" s="125"/>
      <c r="AG63" s="125"/>
      <c r="AH63" s="125"/>
      <c r="AI63" s="18"/>
      <c r="AJ63" s="18"/>
      <c r="AK63" s="18"/>
      <c r="AL63" s="18"/>
      <c r="AM63" s="18"/>
      <c r="AN63" s="1" t="str">
        <f t="shared" si="2"/>
        <v>INTER PARNASVN 409</v>
      </c>
      <c r="AO63" s="3" t="s">
        <v>26</v>
      </c>
      <c r="AP63" s="19">
        <v>45923</v>
      </c>
      <c r="AQ63" s="5" t="s">
        <v>81</v>
      </c>
      <c r="AR63" s="5" t="s">
        <v>50</v>
      </c>
      <c r="AS63" s="6">
        <v>0.19097222222222221</v>
      </c>
      <c r="AT63" s="1"/>
    </row>
    <row r="64" spans="1:46" ht="15" customHeight="1">
      <c r="A64" s="738"/>
      <c r="B64" s="720"/>
      <c r="C64" s="734"/>
      <c r="D64" s="748"/>
      <c r="E64" s="716"/>
      <c r="F64" s="748"/>
      <c r="G64" s="748"/>
      <c r="H64" s="109">
        <f t="shared" si="12"/>
        <v>0.2638888888888889</v>
      </c>
      <c r="I64" s="110">
        <v>0.3888888888888889</v>
      </c>
      <c r="J64" s="111" t="s">
        <v>116</v>
      </c>
      <c r="K64" s="28"/>
      <c r="L64" s="28"/>
      <c r="M64" s="28"/>
      <c r="N64" s="28">
        <v>2</v>
      </c>
      <c r="O64" s="41"/>
      <c r="P64" s="74"/>
      <c r="Q64" s="74"/>
      <c r="R64" s="74"/>
      <c r="S64" s="74"/>
      <c r="T64" s="74"/>
      <c r="U64" s="1"/>
      <c r="V64" s="1"/>
      <c r="W64" s="1"/>
      <c r="X64" s="1"/>
      <c r="Y64" s="1"/>
      <c r="Z64" s="1"/>
      <c r="AA64" s="1"/>
      <c r="AB64" s="123"/>
      <c r="AC64" s="124"/>
      <c r="AD64" s="124"/>
      <c r="AE64" s="125"/>
      <c r="AF64" s="125"/>
      <c r="AG64" s="125"/>
      <c r="AH64" s="125"/>
      <c r="AI64" s="18"/>
      <c r="AJ64" s="18"/>
      <c r="AK64" s="18"/>
      <c r="AL64" s="18"/>
      <c r="AM64" s="18"/>
      <c r="AN64" s="1" t="str">
        <f t="shared" si="2"/>
        <v>INTER PARNASKE 37</v>
      </c>
      <c r="AO64" s="3" t="s">
        <v>26</v>
      </c>
      <c r="AP64" s="19">
        <v>45923</v>
      </c>
      <c r="AQ64" s="5" t="s">
        <v>81</v>
      </c>
      <c r="AR64" s="5" t="s">
        <v>119</v>
      </c>
      <c r="AS64" s="6">
        <v>0.19097222222222221</v>
      </c>
      <c r="AT64" s="1"/>
    </row>
    <row r="65" spans="1:46" ht="15" customHeight="1">
      <c r="A65" s="738"/>
      <c r="B65" s="720"/>
      <c r="C65" s="734"/>
      <c r="D65" s="748"/>
      <c r="E65" s="716"/>
      <c r="F65" s="748"/>
      <c r="G65" s="748"/>
      <c r="H65" s="131">
        <f>I65-TIME(3,0,0)</f>
        <v>0.27083333333333331</v>
      </c>
      <c r="I65" s="132">
        <v>0.39583333333333331</v>
      </c>
      <c r="J65" s="133" t="s">
        <v>43</v>
      </c>
      <c r="K65" s="47"/>
      <c r="L65" s="47"/>
      <c r="M65" s="47">
        <v>1</v>
      </c>
      <c r="N65" s="47"/>
      <c r="O65" s="134"/>
      <c r="P65" s="78"/>
      <c r="Q65" s="78"/>
      <c r="R65" s="78"/>
      <c r="S65" s="78"/>
      <c r="T65" s="78"/>
      <c r="U65" s="1"/>
      <c r="V65" s="1"/>
      <c r="W65" s="1"/>
      <c r="X65" s="1"/>
      <c r="Y65" s="1"/>
      <c r="Z65" s="1"/>
      <c r="AA65" s="1"/>
      <c r="AB65" s="123"/>
      <c r="AC65" s="124"/>
      <c r="AD65" s="124"/>
      <c r="AE65" s="125"/>
      <c r="AF65" s="125"/>
      <c r="AG65" s="125"/>
      <c r="AH65" s="125"/>
      <c r="AI65" s="18"/>
      <c r="AJ65" s="18"/>
      <c r="AK65" s="18"/>
      <c r="AL65" s="18"/>
      <c r="AM65" s="18"/>
      <c r="AN65" s="1" t="str">
        <f t="shared" si="2"/>
        <v>INTER PARNASKE 457</v>
      </c>
      <c r="AO65" s="3" t="s">
        <v>26</v>
      </c>
      <c r="AP65" s="19">
        <v>45923</v>
      </c>
      <c r="AQ65" s="5" t="s">
        <v>81</v>
      </c>
      <c r="AR65" s="5" t="s">
        <v>120</v>
      </c>
      <c r="AS65" s="6">
        <v>0.22222222222222221</v>
      </c>
      <c r="AT65" s="1"/>
    </row>
    <row r="66" spans="1:46" ht="15" customHeight="1">
      <c r="A66" s="738"/>
      <c r="B66" s="720"/>
      <c r="C66" s="734"/>
      <c r="D66" s="748"/>
      <c r="E66" s="716"/>
      <c r="F66" s="748"/>
      <c r="G66" s="748"/>
      <c r="H66" s="83">
        <f t="shared" ref="H66:H86" si="13">I66-TIME(3,0,0)</f>
        <v>0.27083333333333331</v>
      </c>
      <c r="I66" s="84">
        <v>0.39583333333333331</v>
      </c>
      <c r="J66" s="85" t="s">
        <v>44</v>
      </c>
      <c r="K66" s="23"/>
      <c r="L66" s="23"/>
      <c r="M66" s="23">
        <v>1</v>
      </c>
      <c r="N66" s="23"/>
      <c r="O66" s="24"/>
      <c r="P66" s="87"/>
      <c r="Q66" s="87"/>
      <c r="R66" s="87"/>
      <c r="S66" s="87"/>
      <c r="T66" s="87"/>
      <c r="U66" s="1"/>
      <c r="V66" s="1"/>
      <c r="W66" s="1"/>
      <c r="X66" s="1"/>
      <c r="Y66" s="1"/>
      <c r="Z66" s="1"/>
      <c r="AA66" s="1"/>
      <c r="AB66" s="123"/>
      <c r="AC66" s="124"/>
      <c r="AD66" s="124"/>
      <c r="AE66" s="125"/>
      <c r="AF66" s="125"/>
      <c r="AG66" s="125"/>
      <c r="AH66" s="125"/>
      <c r="AI66" s="18"/>
      <c r="AJ66" s="18"/>
      <c r="AK66" s="18"/>
      <c r="AL66" s="18"/>
      <c r="AM66" s="18"/>
      <c r="AN66" s="1" t="str">
        <f t="shared" si="2"/>
        <v>INTER PARNASKE 897</v>
      </c>
      <c r="AO66" s="3" t="s">
        <v>26</v>
      </c>
      <c r="AP66" s="19">
        <v>45923</v>
      </c>
      <c r="AQ66" s="5" t="s">
        <v>81</v>
      </c>
      <c r="AR66" s="5" t="s">
        <v>121</v>
      </c>
      <c r="AS66" s="6">
        <v>0.22222222222222221</v>
      </c>
      <c r="AT66" s="1"/>
    </row>
    <row r="67" spans="1:46" ht="15" customHeight="1">
      <c r="A67" s="738"/>
      <c r="B67" s="135"/>
      <c r="C67" s="135"/>
      <c r="D67" s="764">
        <f>E67-TIME(0,15,0)</f>
        <v>0.22222222222222221</v>
      </c>
      <c r="E67" s="763">
        <f>F67-TIME(1,15,0)</f>
        <v>0.23263888888888887</v>
      </c>
      <c r="F67" s="764">
        <f>G67-TIME(0,20,0)</f>
        <v>0.28472222222222221</v>
      </c>
      <c r="G67" s="719">
        <f>H67</f>
        <v>0.2986111111111111</v>
      </c>
      <c r="H67" s="98">
        <f t="shared" si="13"/>
        <v>0.2986111111111111</v>
      </c>
      <c r="I67" s="99">
        <v>0.4236111111111111</v>
      </c>
      <c r="J67" s="100" t="s">
        <v>46</v>
      </c>
      <c r="K67" s="34"/>
      <c r="L67" s="34">
        <v>6</v>
      </c>
      <c r="M67" s="34"/>
      <c r="N67" s="34"/>
      <c r="O67" s="35">
        <v>22</v>
      </c>
      <c r="P67" s="102"/>
      <c r="Q67" s="102"/>
      <c r="R67" s="102"/>
      <c r="S67" s="136">
        <v>1</v>
      </c>
      <c r="T67" s="136"/>
      <c r="U67" s="137" t="s">
        <v>122</v>
      </c>
      <c r="V67" s="1"/>
      <c r="W67" s="1"/>
      <c r="X67" s="1"/>
      <c r="Y67" s="1"/>
      <c r="Z67" s="1"/>
      <c r="AA67" s="1"/>
      <c r="AB67" s="123"/>
      <c r="AC67" s="124"/>
      <c r="AD67" s="124"/>
      <c r="AE67" s="125"/>
      <c r="AF67" s="125"/>
      <c r="AG67" s="125"/>
      <c r="AH67" s="125"/>
      <c r="AI67" s="18"/>
      <c r="AJ67" s="18"/>
      <c r="AK67" s="18"/>
      <c r="AL67" s="18"/>
      <c r="AM67" s="18"/>
      <c r="AN67" s="1" t="str">
        <f t="shared" ref="AN67:AN133" si="14">AQ67&amp;AR67</f>
        <v>INTER PARNASSQ 611</v>
      </c>
      <c r="AO67" s="3" t="s">
        <v>26</v>
      </c>
      <c r="AP67" s="19">
        <v>45923</v>
      </c>
      <c r="AQ67" s="5" t="s">
        <v>81</v>
      </c>
      <c r="AR67" s="5" t="s">
        <v>52</v>
      </c>
      <c r="AS67" s="6">
        <v>0.22222222222222221</v>
      </c>
      <c r="AT67" s="1"/>
    </row>
    <row r="68" spans="1:46" ht="15" customHeight="1">
      <c r="A68" s="738"/>
      <c r="B68" s="138"/>
      <c r="C68" s="138"/>
      <c r="D68" s="764"/>
      <c r="E68" s="763"/>
      <c r="F68" s="764"/>
      <c r="G68" s="719"/>
      <c r="H68" s="109">
        <f t="shared" si="13"/>
        <v>0.2986111111111111</v>
      </c>
      <c r="I68" s="110">
        <v>0.4236111111111111</v>
      </c>
      <c r="J68" s="111" t="s">
        <v>47</v>
      </c>
      <c r="K68" s="28"/>
      <c r="L68" s="28"/>
      <c r="M68" s="28"/>
      <c r="N68" s="28">
        <v>2</v>
      </c>
      <c r="O68" s="41"/>
      <c r="P68" s="74"/>
      <c r="Q68" s="74"/>
      <c r="R68" s="74"/>
      <c r="S68" s="74"/>
      <c r="T68" s="74"/>
      <c r="V68" s="1"/>
      <c r="W68" s="1"/>
      <c r="X68" s="1"/>
      <c r="Y68" s="1"/>
      <c r="Z68" s="1"/>
      <c r="AA68" s="1"/>
      <c r="AB68" s="123"/>
      <c r="AC68" s="124"/>
      <c r="AD68" s="124"/>
      <c r="AE68" s="125"/>
      <c r="AF68" s="125"/>
      <c r="AG68" s="125"/>
      <c r="AH68" s="125"/>
      <c r="AI68" s="18"/>
      <c r="AJ68" s="18"/>
      <c r="AK68" s="18"/>
      <c r="AL68" s="18"/>
      <c r="AM68" s="18"/>
      <c r="AN68" s="1" t="str">
        <f t="shared" si="14"/>
        <v>INTER PARNASUA 806</v>
      </c>
      <c r="AO68" s="3" t="s">
        <v>26</v>
      </c>
      <c r="AP68" s="19">
        <v>45923</v>
      </c>
      <c r="AQ68" s="5" t="s">
        <v>81</v>
      </c>
      <c r="AR68" s="5" t="s">
        <v>54</v>
      </c>
      <c r="AS68" s="6">
        <v>0.22222222222222221</v>
      </c>
      <c r="AT68" s="1"/>
    </row>
    <row r="69" spans="1:46" ht="15" customHeight="1">
      <c r="A69" s="738"/>
      <c r="B69" s="138"/>
      <c r="C69" s="138"/>
      <c r="D69" s="764"/>
      <c r="E69" s="763"/>
      <c r="F69" s="764"/>
      <c r="G69" s="719"/>
      <c r="H69" s="109">
        <f t="shared" si="13"/>
        <v>0.30208333333333331</v>
      </c>
      <c r="I69" s="110">
        <v>0.42708333333333331</v>
      </c>
      <c r="J69" s="111" t="s">
        <v>48</v>
      </c>
      <c r="K69" s="28"/>
      <c r="L69" s="28"/>
      <c r="M69" s="28"/>
      <c r="N69" s="28">
        <v>7</v>
      </c>
      <c r="O69" s="41"/>
      <c r="P69" s="74"/>
      <c r="Q69" s="74"/>
      <c r="R69" s="74"/>
      <c r="S69" s="74"/>
      <c r="T69" s="74"/>
      <c r="U69" s="1"/>
      <c r="V69" s="1"/>
      <c r="W69" s="1"/>
      <c r="X69" s="1"/>
      <c r="Y69" s="1"/>
      <c r="Z69" s="1"/>
      <c r="AA69" s="1"/>
      <c r="AB69" s="123"/>
      <c r="AC69" s="124"/>
      <c r="AD69" s="124"/>
      <c r="AE69" s="125"/>
      <c r="AF69" s="125"/>
      <c r="AG69" s="125"/>
      <c r="AH69" s="125"/>
      <c r="AI69" s="18"/>
      <c r="AJ69" s="18"/>
      <c r="AK69" s="18"/>
      <c r="AL69" s="18"/>
      <c r="AM69" s="18"/>
      <c r="AN69" s="1" t="str">
        <f t="shared" si="14"/>
        <v>INTER PARNASVJ 863</v>
      </c>
      <c r="AO69" s="3" t="s">
        <v>26</v>
      </c>
      <c r="AP69" s="19">
        <v>45923</v>
      </c>
      <c r="AQ69" s="5" t="s">
        <v>81</v>
      </c>
      <c r="AR69" s="5" t="s">
        <v>123</v>
      </c>
      <c r="AS69" s="6">
        <v>0.25694444444444442</v>
      </c>
      <c r="AT69" s="1"/>
    </row>
    <row r="70" spans="1:46" ht="15" customHeight="1">
      <c r="A70" s="738"/>
      <c r="B70" s="138"/>
      <c r="C70" s="138"/>
      <c r="D70" s="764"/>
      <c r="E70" s="763"/>
      <c r="F70" s="764"/>
      <c r="G70" s="719"/>
      <c r="H70" s="83">
        <f t="shared" si="13"/>
        <v>0.31597222222222221</v>
      </c>
      <c r="I70" s="84">
        <v>0.44097222222222221</v>
      </c>
      <c r="J70" s="85" t="s">
        <v>118</v>
      </c>
      <c r="K70" s="47"/>
      <c r="L70" s="47">
        <v>7</v>
      </c>
      <c r="M70" s="47"/>
      <c r="N70" s="47"/>
      <c r="O70" s="134"/>
      <c r="P70" s="78"/>
      <c r="Q70" s="78"/>
      <c r="R70" s="78"/>
      <c r="S70" s="78"/>
      <c r="T70" s="78"/>
      <c r="U70" s="1"/>
      <c r="V70" s="1"/>
      <c r="W70" s="1"/>
      <c r="X70" s="1"/>
      <c r="Y70" s="1"/>
      <c r="Z70" s="1"/>
      <c r="AA70" s="1"/>
      <c r="AB70" s="123"/>
      <c r="AC70" s="124"/>
      <c r="AD70" s="124"/>
      <c r="AE70" s="125"/>
      <c r="AF70" s="125"/>
      <c r="AG70" s="125"/>
      <c r="AH70" s="125"/>
      <c r="AI70" s="18"/>
      <c r="AJ70" s="18"/>
      <c r="AK70" s="18"/>
      <c r="AL70" s="18"/>
      <c r="AM70" s="18"/>
      <c r="AN70" s="1" t="str">
        <f t="shared" si="14"/>
        <v>INTER PARNASBR 169</v>
      </c>
      <c r="AO70" s="3" t="s">
        <v>26</v>
      </c>
      <c r="AP70" s="19">
        <v>45923</v>
      </c>
      <c r="AQ70" s="5" t="s">
        <v>81</v>
      </c>
      <c r="AR70" s="5" t="s">
        <v>55</v>
      </c>
      <c r="AS70" s="6">
        <v>0.25694444444444442</v>
      </c>
      <c r="AT70" s="1"/>
    </row>
    <row r="71" spans="1:46" ht="15" customHeight="1">
      <c r="A71" s="738"/>
      <c r="B71" s="791">
        <f>C71-TIME(0,15,0)</f>
        <v>0.22222222222222224</v>
      </c>
      <c r="C71" s="767">
        <v>0.2326388888888889</v>
      </c>
      <c r="D71" s="295"/>
      <c r="E71" s="794"/>
      <c r="F71" s="765">
        <v>0.31597222222222221</v>
      </c>
      <c r="G71" s="797"/>
      <c r="H71" s="98">
        <f t="shared" si="13"/>
        <v>0.31597222222222221</v>
      </c>
      <c r="I71" s="99">
        <v>0.44097222222222221</v>
      </c>
      <c r="J71" s="139" t="s">
        <v>50</v>
      </c>
      <c r="K71" s="140">
        <v>2</v>
      </c>
      <c r="L71" s="140"/>
      <c r="M71" s="140"/>
      <c r="N71" s="140"/>
      <c r="O71" s="141">
        <v>25</v>
      </c>
      <c r="P71" s="93"/>
      <c r="Q71" s="93"/>
      <c r="R71" s="93"/>
      <c r="S71" s="330">
        <v>1</v>
      </c>
      <c r="T71" s="331"/>
      <c r="U71" s="170" t="s">
        <v>124</v>
      </c>
      <c r="V71" s="1"/>
      <c r="W71" s="1"/>
      <c r="X71" s="1"/>
      <c r="Y71" s="1"/>
      <c r="Z71" s="1"/>
      <c r="AA71" s="1"/>
      <c r="AB71" s="123"/>
      <c r="AC71" s="124"/>
      <c r="AD71" s="124"/>
      <c r="AE71" s="125"/>
      <c r="AF71" s="125"/>
      <c r="AG71" s="125"/>
      <c r="AH71" s="125"/>
      <c r="AI71" s="18"/>
      <c r="AJ71" s="18"/>
      <c r="AK71" s="18"/>
      <c r="AL71" s="18"/>
      <c r="AM71" s="18"/>
      <c r="AN71" s="1" t="str">
        <f t="shared" si="14"/>
        <v>INTER PARNASMU 580</v>
      </c>
      <c r="AO71" s="3" t="s">
        <v>26</v>
      </c>
      <c r="AP71" s="19">
        <v>45923</v>
      </c>
      <c r="AQ71" s="5" t="s">
        <v>81</v>
      </c>
      <c r="AR71" s="5" t="s">
        <v>125</v>
      </c>
      <c r="AS71" s="6">
        <v>0.25694444444444442</v>
      </c>
      <c r="AT71" s="1"/>
    </row>
    <row r="72" spans="1:46" ht="15" customHeight="1">
      <c r="A72" s="738"/>
      <c r="B72" s="792"/>
      <c r="C72" s="734"/>
      <c r="D72" s="142"/>
      <c r="E72" s="795"/>
      <c r="F72" s="720"/>
      <c r="G72" s="798"/>
      <c r="H72" s="109">
        <v>0.31944444444444442</v>
      </c>
      <c r="I72" s="110">
        <v>0.44444444444444442</v>
      </c>
      <c r="J72" s="139" t="s">
        <v>119</v>
      </c>
      <c r="K72" s="1">
        <v>17</v>
      </c>
      <c r="O72" s="143"/>
      <c r="P72" s="18"/>
      <c r="Q72" s="18"/>
      <c r="R72" s="18"/>
      <c r="S72" s="18"/>
      <c r="T72" s="144"/>
      <c r="U72" s="1"/>
      <c r="V72" s="1"/>
      <c r="W72" s="1"/>
      <c r="X72" s="1"/>
      <c r="Y72" s="1"/>
      <c r="Z72" s="1"/>
      <c r="AA72" s="1"/>
      <c r="AB72" s="123"/>
      <c r="AC72" s="124"/>
      <c r="AD72" s="124"/>
      <c r="AE72" s="125"/>
      <c r="AF72" s="125"/>
      <c r="AG72" s="125"/>
      <c r="AH72" s="125"/>
      <c r="AI72" s="18"/>
      <c r="AJ72" s="18"/>
      <c r="AK72" s="18"/>
      <c r="AL72" s="18"/>
      <c r="AM72" s="18"/>
      <c r="AN72" s="1" t="str">
        <f t="shared" si="14"/>
        <v>INTER PARNASCZ 314</v>
      </c>
      <c r="AO72" s="3" t="s">
        <v>26</v>
      </c>
      <c r="AP72" s="19">
        <v>45923</v>
      </c>
      <c r="AQ72" s="5" t="s">
        <v>81</v>
      </c>
      <c r="AR72" s="5" t="s">
        <v>126</v>
      </c>
      <c r="AS72" s="6">
        <v>0.2951388888888889</v>
      </c>
      <c r="AT72" s="1"/>
    </row>
    <row r="73" spans="1:46" ht="15" customHeight="1">
      <c r="A73" s="738"/>
      <c r="B73" s="793"/>
      <c r="C73" s="768"/>
      <c r="D73" s="296"/>
      <c r="E73" s="796"/>
      <c r="F73" s="766"/>
      <c r="G73" s="799"/>
      <c r="H73" s="145">
        <f>I73-TIME(3,0,0)</f>
        <v>0.35416666666666669</v>
      </c>
      <c r="I73" s="146">
        <v>0.47916666666666669</v>
      </c>
      <c r="J73" s="147" t="s">
        <v>54</v>
      </c>
      <c r="K73" s="148">
        <v>6</v>
      </c>
      <c r="O73" s="143"/>
      <c r="P73" s="18"/>
      <c r="Q73" s="18"/>
      <c r="R73" s="18"/>
      <c r="S73" s="18"/>
      <c r="T73" s="144"/>
      <c r="U73" s="1"/>
      <c r="V73" s="1"/>
      <c r="W73" s="1"/>
      <c r="X73" s="1"/>
      <c r="Y73" s="1"/>
      <c r="Z73" s="1"/>
      <c r="AA73" s="1"/>
      <c r="AB73" s="123"/>
      <c r="AC73" s="124"/>
      <c r="AD73" s="124"/>
      <c r="AE73" s="125"/>
      <c r="AF73" s="125"/>
      <c r="AG73" s="125"/>
      <c r="AH73" s="125"/>
      <c r="AI73" s="18"/>
      <c r="AJ73" s="18"/>
      <c r="AK73" s="18"/>
      <c r="AL73" s="18"/>
      <c r="AM73" s="18"/>
      <c r="AN73" s="1"/>
      <c r="AO73" s="3"/>
      <c r="AP73" s="19"/>
      <c r="AT73" s="1"/>
    </row>
    <row r="74" spans="1:46" ht="15" customHeight="1">
      <c r="A74" s="738"/>
      <c r="B74" s="149">
        <f>C74-TIME(0,15,0)</f>
        <v>0.22222222222222221</v>
      </c>
      <c r="C74" s="150">
        <f>D75-TIME(0,30,0)</f>
        <v>0.23263888888888887</v>
      </c>
      <c r="D74" s="151"/>
      <c r="E74" s="152"/>
      <c r="F74" s="153"/>
      <c r="G74" s="154">
        <v>0.3263888888888889</v>
      </c>
      <c r="H74" s="155">
        <f t="shared" si="13"/>
        <v>0.3298611111111111</v>
      </c>
      <c r="I74" s="156">
        <v>0.4548611111111111</v>
      </c>
      <c r="J74" s="157" t="s">
        <v>120</v>
      </c>
      <c r="K74" s="158"/>
      <c r="L74" s="158"/>
      <c r="M74" s="158">
        <v>4</v>
      </c>
      <c r="N74" s="158"/>
      <c r="O74" s="159">
        <v>4</v>
      </c>
      <c r="P74" s="160"/>
      <c r="Q74" s="327">
        <v>1</v>
      </c>
      <c r="R74" s="327"/>
      <c r="S74" s="328"/>
      <c r="T74" s="329"/>
      <c r="U74" s="170" t="s">
        <v>127</v>
      </c>
      <c r="V74" s="1"/>
      <c r="W74" s="1"/>
      <c r="X74" s="1"/>
      <c r="Y74" s="1"/>
      <c r="Z74" s="1"/>
      <c r="AA74" s="1"/>
      <c r="AB74" s="123"/>
      <c r="AC74" s="124"/>
      <c r="AD74" s="124"/>
      <c r="AE74" s="125"/>
      <c r="AF74" s="125"/>
      <c r="AG74" s="125"/>
      <c r="AH74" s="125"/>
      <c r="AI74" s="18"/>
      <c r="AJ74" s="18"/>
      <c r="AK74" s="18"/>
      <c r="AL74" s="18"/>
      <c r="AM74" s="18"/>
      <c r="AN74" s="1" t="str">
        <f t="shared" si="14"/>
        <v>INTER PARNASOZ 202</v>
      </c>
      <c r="AO74" s="3" t="s">
        <v>26</v>
      </c>
      <c r="AP74" s="19">
        <v>45923</v>
      </c>
      <c r="AQ74" s="5" t="s">
        <v>81</v>
      </c>
      <c r="AR74" s="5" t="s">
        <v>57</v>
      </c>
      <c r="AS74" s="6">
        <v>0.2951388888888889</v>
      </c>
      <c r="AT74" s="1"/>
    </row>
    <row r="75" spans="1:46" ht="15" customHeight="1">
      <c r="A75" s="738"/>
      <c r="B75" s="161"/>
      <c r="C75" s="161"/>
      <c r="D75" s="720">
        <f>E75-TIME(0,15,0)</f>
        <v>0.25347222222222221</v>
      </c>
      <c r="E75" s="722">
        <f>F75-TIME(1,15,0)</f>
        <v>0.2638888888888889</v>
      </c>
      <c r="F75" s="720">
        <f>G75-TIME(0,20,0)</f>
        <v>0.31597222222222221</v>
      </c>
      <c r="G75" s="720">
        <f>H74</f>
        <v>0.3298611111111111</v>
      </c>
      <c r="H75" s="98">
        <f t="shared" si="13"/>
        <v>0.34027777777777779</v>
      </c>
      <c r="I75" s="99">
        <v>0.46527777777777779</v>
      </c>
      <c r="J75" s="100" t="s">
        <v>121</v>
      </c>
      <c r="K75" s="34"/>
      <c r="L75" s="34"/>
      <c r="M75" s="34"/>
      <c r="N75" s="34">
        <v>4</v>
      </c>
      <c r="O75" s="35">
        <v>26</v>
      </c>
      <c r="P75" s="102"/>
      <c r="Q75" s="102"/>
      <c r="R75" s="102"/>
      <c r="S75" s="129">
        <v>1</v>
      </c>
      <c r="T75" s="129"/>
      <c r="U75" s="130" t="s">
        <v>128</v>
      </c>
      <c r="V75" s="1"/>
      <c r="W75" s="1"/>
      <c r="X75" s="1"/>
      <c r="Y75" s="1"/>
      <c r="Z75" s="1"/>
      <c r="AA75" s="1"/>
      <c r="AB75" s="123"/>
      <c r="AC75" s="124"/>
      <c r="AD75" s="124"/>
      <c r="AE75" s="125"/>
      <c r="AF75" s="125"/>
      <c r="AG75" s="125"/>
      <c r="AH75" s="125"/>
      <c r="AI75" s="18"/>
      <c r="AJ75" s="18"/>
      <c r="AK75" s="18"/>
      <c r="AL75" s="18"/>
      <c r="AM75" s="18"/>
      <c r="AN75" s="1" t="str">
        <f t="shared" si="14"/>
        <v>INTER PARNASZ2 885</v>
      </c>
      <c r="AO75" s="3" t="s">
        <v>26</v>
      </c>
      <c r="AP75" s="19">
        <v>45923</v>
      </c>
      <c r="AQ75" s="5" t="s">
        <v>81</v>
      </c>
      <c r="AR75" s="5" t="s">
        <v>129</v>
      </c>
      <c r="AS75" s="6">
        <v>0.2951388888888889</v>
      </c>
      <c r="AT75" s="1"/>
    </row>
    <row r="76" spans="1:46" ht="15" customHeight="1">
      <c r="A76" s="738"/>
      <c r="B76" s="161"/>
      <c r="C76" s="161"/>
      <c r="D76" s="720"/>
      <c r="E76" s="722"/>
      <c r="F76" s="720"/>
      <c r="G76" s="720"/>
      <c r="H76" s="109">
        <f t="shared" si="13"/>
        <v>0.34722222222222221</v>
      </c>
      <c r="I76" s="110">
        <v>0.47222222222222221</v>
      </c>
      <c r="J76" s="111" t="s">
        <v>52</v>
      </c>
      <c r="K76" s="28"/>
      <c r="L76" s="28">
        <v>3</v>
      </c>
      <c r="M76" s="28"/>
      <c r="N76" s="28"/>
      <c r="O76" s="41"/>
      <c r="P76" s="74"/>
      <c r="Q76" s="74"/>
      <c r="R76" s="74"/>
      <c r="S76" s="74"/>
      <c r="T76" s="74"/>
      <c r="U76" s="1"/>
      <c r="V76" s="1"/>
      <c r="W76" s="1"/>
      <c r="X76" s="1"/>
      <c r="Y76" s="1"/>
      <c r="Z76" s="1"/>
      <c r="AA76" s="1"/>
      <c r="AB76" s="123"/>
      <c r="AC76" s="124"/>
      <c r="AD76" s="124"/>
      <c r="AE76" s="125"/>
      <c r="AF76" s="125"/>
      <c r="AG76" s="125"/>
      <c r="AH76" s="125"/>
      <c r="AI76" s="18"/>
      <c r="AJ76" s="18"/>
      <c r="AK76" s="18"/>
      <c r="AL76" s="18"/>
      <c r="AM76" s="18"/>
      <c r="AN76" s="1" t="str">
        <f t="shared" si="14"/>
        <v>INTER PARNASNQ 122</v>
      </c>
      <c r="AO76" s="3" t="s">
        <v>26</v>
      </c>
      <c r="AP76" s="19">
        <v>45923</v>
      </c>
      <c r="AQ76" s="5" t="s">
        <v>81</v>
      </c>
      <c r="AR76" s="5" t="s">
        <v>130</v>
      </c>
      <c r="AS76" s="6">
        <v>0.3298611111111111</v>
      </c>
      <c r="AT76" s="1"/>
    </row>
    <row r="77" spans="1:46" ht="15" customHeight="1">
      <c r="A77" s="738"/>
      <c r="B77" s="162"/>
      <c r="C77" s="162"/>
      <c r="D77" s="720"/>
      <c r="E77" s="722"/>
      <c r="F77" s="720"/>
      <c r="G77" s="720"/>
      <c r="H77" s="83">
        <f t="shared" si="13"/>
        <v>0.35416666666666669</v>
      </c>
      <c r="I77" s="84">
        <v>0.47916666666666669</v>
      </c>
      <c r="J77" s="85" t="s">
        <v>54</v>
      </c>
      <c r="K77" s="23"/>
      <c r="L77" s="23">
        <v>19</v>
      </c>
      <c r="M77" s="23"/>
      <c r="N77" s="23"/>
      <c r="O77" s="24"/>
      <c r="P77" s="87"/>
      <c r="Q77" s="87"/>
      <c r="R77" s="87"/>
      <c r="S77" s="87"/>
      <c r="T77" s="87"/>
      <c r="U77" s="1"/>
      <c r="V77" s="1"/>
      <c r="W77" s="1"/>
      <c r="X77" s="1"/>
      <c r="Y77" s="1"/>
      <c r="Z77" s="1"/>
      <c r="AA77" s="1"/>
      <c r="AB77" s="123"/>
      <c r="AC77" s="124"/>
      <c r="AD77" s="124"/>
      <c r="AE77" s="125"/>
      <c r="AF77" s="125"/>
      <c r="AG77" s="125"/>
      <c r="AH77" s="125"/>
      <c r="AI77" s="18"/>
      <c r="AJ77" s="18"/>
      <c r="AK77" s="18"/>
      <c r="AL77" s="18"/>
      <c r="AM77" s="18"/>
      <c r="AN77" s="1" t="str">
        <f t="shared" si="14"/>
        <v>INTER PARNASCX 439</v>
      </c>
      <c r="AO77" s="3" t="s">
        <v>26</v>
      </c>
      <c r="AP77" s="19">
        <v>45923</v>
      </c>
      <c r="AQ77" s="5" t="s">
        <v>81</v>
      </c>
      <c r="AR77" s="5" t="s">
        <v>59</v>
      </c>
      <c r="AS77" s="6">
        <v>0.3298611111111111</v>
      </c>
      <c r="AT77" s="1"/>
    </row>
    <row r="78" spans="1:46" ht="15" customHeight="1">
      <c r="A78" s="738"/>
      <c r="B78" s="787">
        <f>C78-TIME(0,15,0)</f>
        <v>0.25694444444444442</v>
      </c>
      <c r="C78" s="734">
        <f>D78-TIME(0,30,0)</f>
        <v>0.2673611111111111</v>
      </c>
      <c r="D78" s="777">
        <f>E78-TIME(0,15,0)</f>
        <v>0.28819444444444442</v>
      </c>
      <c r="E78" s="728">
        <f>F78-TIME(1,30,0)</f>
        <v>0.2986111111111111</v>
      </c>
      <c r="F78" s="764">
        <f>H78</f>
        <v>0.3611111111111111</v>
      </c>
      <c r="G78" s="788"/>
      <c r="H78" s="98">
        <f t="shared" si="13"/>
        <v>0.3611111111111111</v>
      </c>
      <c r="I78" s="99">
        <v>0.4861111111111111</v>
      </c>
      <c r="J78" s="100" t="s">
        <v>123</v>
      </c>
      <c r="K78" s="34">
        <v>1</v>
      </c>
      <c r="L78" s="34"/>
      <c r="M78" s="34"/>
      <c r="N78" s="34"/>
      <c r="O78" s="35">
        <f>SUM(J78:N80)</f>
        <v>47</v>
      </c>
      <c r="P78" s="102"/>
      <c r="Q78" s="102"/>
      <c r="R78" s="102"/>
      <c r="S78" s="163">
        <v>1</v>
      </c>
      <c r="T78" s="163"/>
      <c r="U78" s="116" t="s">
        <v>131</v>
      </c>
      <c r="V78" s="1"/>
      <c r="W78" s="1"/>
      <c r="X78" s="1"/>
      <c r="Y78" s="1"/>
      <c r="Z78" s="1"/>
      <c r="AA78" s="1"/>
      <c r="AB78" s="123"/>
      <c r="AC78" s="124"/>
      <c r="AD78" s="124"/>
      <c r="AE78" s="125"/>
      <c r="AF78" s="125"/>
      <c r="AG78" s="125"/>
      <c r="AH78" s="125"/>
      <c r="AI78" s="18"/>
      <c r="AJ78" s="18"/>
      <c r="AK78" s="18"/>
      <c r="AL78" s="18"/>
      <c r="AM78" s="18"/>
      <c r="AN78" s="1" t="str">
        <f t="shared" si="14"/>
        <v>INTER PARNASKE 789</v>
      </c>
      <c r="AO78" s="3" t="s">
        <v>26</v>
      </c>
      <c r="AP78" s="19">
        <v>45923</v>
      </c>
      <c r="AQ78" s="5" t="s">
        <v>81</v>
      </c>
      <c r="AR78" s="5" t="s">
        <v>132</v>
      </c>
      <c r="AS78" s="6">
        <v>0.3298611111111111</v>
      </c>
      <c r="AT78" s="1"/>
    </row>
    <row r="79" spans="1:46" ht="15" customHeight="1">
      <c r="A79" s="738"/>
      <c r="B79" s="787"/>
      <c r="C79" s="734"/>
      <c r="D79" s="777"/>
      <c r="E79" s="728"/>
      <c r="F79" s="764"/>
      <c r="G79" s="789"/>
      <c r="H79" s="109">
        <f t="shared" si="13"/>
        <v>0.375</v>
      </c>
      <c r="I79" s="110">
        <v>0.5</v>
      </c>
      <c r="J79" s="111" t="s">
        <v>55</v>
      </c>
      <c r="K79" s="28"/>
      <c r="L79" s="28">
        <v>43</v>
      </c>
      <c r="M79" s="28"/>
      <c r="N79" s="28"/>
      <c r="O79" s="41"/>
      <c r="P79" s="74"/>
      <c r="Q79" s="74"/>
      <c r="R79" s="74"/>
      <c r="S79" s="164">
        <v>1</v>
      </c>
      <c r="T79" s="164"/>
      <c r="U79" s="130" t="s">
        <v>133</v>
      </c>
      <c r="V79" s="1"/>
      <c r="W79" s="1"/>
      <c r="X79" s="1"/>
      <c r="Y79" s="1"/>
      <c r="Z79" s="1"/>
      <c r="AA79" s="1"/>
      <c r="AB79" s="123"/>
      <c r="AC79" s="124"/>
      <c r="AD79" s="124"/>
      <c r="AE79" s="125"/>
      <c r="AF79" s="125"/>
      <c r="AG79" s="125"/>
      <c r="AH79" s="125"/>
      <c r="AI79" s="18"/>
      <c r="AJ79" s="18"/>
      <c r="AK79" s="18"/>
      <c r="AL79" s="18"/>
      <c r="AM79" s="18"/>
      <c r="AN79" s="1" t="str">
        <f t="shared" si="14"/>
        <v>INTER PARNASNH 6954</v>
      </c>
      <c r="AO79" s="3" t="s">
        <v>26</v>
      </c>
      <c r="AP79" s="19">
        <v>45923</v>
      </c>
      <c r="AQ79" s="5" t="s">
        <v>81</v>
      </c>
      <c r="AR79" s="5" t="s">
        <v>134</v>
      </c>
      <c r="AS79" s="6">
        <v>0.3298611111111111</v>
      </c>
      <c r="AT79" s="1"/>
    </row>
    <row r="80" spans="1:46" ht="15" customHeight="1">
      <c r="A80" s="738"/>
      <c r="B80" s="787"/>
      <c r="C80" s="734"/>
      <c r="D80" s="777"/>
      <c r="E80" s="728"/>
      <c r="F80" s="764"/>
      <c r="G80" s="790"/>
      <c r="H80" s="83">
        <f t="shared" si="13"/>
        <v>0.38541666666666663</v>
      </c>
      <c r="I80" s="84">
        <v>0.51041666666666663</v>
      </c>
      <c r="J80" s="85" t="s">
        <v>125</v>
      </c>
      <c r="K80" s="23">
        <v>3</v>
      </c>
      <c r="L80" s="23"/>
      <c r="M80" s="23"/>
      <c r="N80" s="23"/>
      <c r="O80" s="24"/>
      <c r="P80" s="87"/>
      <c r="Q80" s="87"/>
      <c r="R80" s="87"/>
      <c r="S80" s="87"/>
      <c r="T80" s="87"/>
      <c r="U80" s="1"/>
      <c r="V80" s="1"/>
      <c r="W80" s="1"/>
      <c r="X80" s="1"/>
      <c r="Y80" s="1"/>
      <c r="Z80" s="1"/>
      <c r="AA80" s="1"/>
      <c r="AB80" s="123"/>
      <c r="AC80" s="124"/>
      <c r="AD80" s="124"/>
      <c r="AE80" s="125"/>
      <c r="AF80" s="125"/>
      <c r="AG80" s="125"/>
      <c r="AH80" s="125"/>
      <c r="AI80" s="18"/>
      <c r="AJ80" s="18"/>
      <c r="AK80" s="18"/>
      <c r="AL80" s="18"/>
      <c r="AM80" s="18"/>
      <c r="AN80" s="1" t="str">
        <f t="shared" si="14"/>
        <v>INTER PARNASOZ 114</v>
      </c>
      <c r="AO80" s="3" t="s">
        <v>26</v>
      </c>
      <c r="AP80" s="19">
        <v>45923</v>
      </c>
      <c r="AQ80" s="5" t="s">
        <v>81</v>
      </c>
      <c r="AR80" s="5" t="s">
        <v>135</v>
      </c>
      <c r="AS80" s="6">
        <v>0.3298611111111111</v>
      </c>
      <c r="AT80" s="1"/>
    </row>
    <row r="81" spans="1:46" ht="15" customHeight="1">
      <c r="A81" s="738"/>
      <c r="B81" s="779">
        <f>C81-TIME(0,15,0)</f>
        <v>0.2951388888888889</v>
      </c>
      <c r="C81" s="721">
        <f>D81-TIME(0,30,0)</f>
        <v>0.30555555555555558</v>
      </c>
      <c r="D81" s="779">
        <f>E81-TIME(0,15,0)</f>
        <v>0.3263888888888889</v>
      </c>
      <c r="E81" s="763">
        <f>F81-TIME(1,30,0)</f>
        <v>0.33680555555555558</v>
      </c>
      <c r="F81" s="777">
        <f>H81</f>
        <v>0.39930555555555558</v>
      </c>
      <c r="G81" s="780"/>
      <c r="H81" s="98">
        <f t="shared" si="13"/>
        <v>0.39930555555555558</v>
      </c>
      <c r="I81" s="99">
        <v>0.52430555555555558</v>
      </c>
      <c r="J81" s="100" t="s">
        <v>126</v>
      </c>
      <c r="K81" s="34">
        <v>2</v>
      </c>
      <c r="L81" s="34"/>
      <c r="M81" s="34"/>
      <c r="N81" s="34"/>
      <c r="O81" s="35">
        <v>4</v>
      </c>
      <c r="P81" s="102"/>
      <c r="Q81" s="163">
        <v>1</v>
      </c>
      <c r="R81" s="163"/>
      <c r="S81" s="163"/>
      <c r="T81" s="163"/>
      <c r="U81" s="808" t="s">
        <v>136</v>
      </c>
      <c r="V81" s="1"/>
      <c r="W81" s="1"/>
      <c r="X81" s="1"/>
      <c r="Y81" s="1"/>
      <c r="Z81" s="1"/>
      <c r="AA81" s="1"/>
      <c r="AB81" s="123"/>
      <c r="AC81" s="124"/>
      <c r="AD81" s="124"/>
      <c r="AE81" s="125"/>
      <c r="AF81" s="125"/>
      <c r="AG81" s="125"/>
      <c r="AH81" s="125"/>
      <c r="AI81" s="18"/>
      <c r="AJ81" s="18"/>
      <c r="AK81" s="18"/>
      <c r="AL81" s="18"/>
      <c r="AM81" s="18"/>
      <c r="AN81" s="1" t="str">
        <f t="shared" si="14"/>
        <v>INTER PARNASKE 833</v>
      </c>
      <c r="AO81" s="3" t="s">
        <v>26</v>
      </c>
      <c r="AP81" s="19">
        <v>45923</v>
      </c>
      <c r="AQ81" s="5" t="s">
        <v>81</v>
      </c>
      <c r="AR81" s="5" t="s">
        <v>137</v>
      </c>
      <c r="AS81" s="6">
        <v>0.40277777777777779</v>
      </c>
      <c r="AT81" s="1"/>
    </row>
    <row r="82" spans="1:46" ht="15" customHeight="1">
      <c r="A82" s="738"/>
      <c r="B82" s="779"/>
      <c r="C82" s="721"/>
      <c r="D82" s="779"/>
      <c r="E82" s="763"/>
      <c r="F82" s="777"/>
      <c r="G82" s="780"/>
      <c r="H82" s="131">
        <f t="shared" si="13"/>
        <v>0.40277777777777779</v>
      </c>
      <c r="I82" s="84">
        <v>0.52777777777777779</v>
      </c>
      <c r="J82" s="85" t="s">
        <v>57</v>
      </c>
      <c r="K82" s="23"/>
      <c r="L82" s="23">
        <v>2</v>
      </c>
      <c r="M82" s="23"/>
      <c r="N82" s="23"/>
      <c r="O82" s="24"/>
      <c r="P82" s="87"/>
      <c r="Q82" s="87"/>
      <c r="R82" s="87"/>
      <c r="S82" s="87"/>
      <c r="T82" s="87"/>
      <c r="U82" s="808"/>
      <c r="V82" s="1"/>
      <c r="W82" s="1"/>
      <c r="X82" s="1"/>
      <c r="Y82" s="1"/>
      <c r="Z82" s="1"/>
      <c r="AA82" s="1"/>
      <c r="AB82" s="123"/>
      <c r="AC82" s="124"/>
      <c r="AD82" s="124"/>
      <c r="AE82" s="125"/>
      <c r="AF82" s="125"/>
      <c r="AG82" s="125"/>
      <c r="AH82" s="125"/>
      <c r="AI82" s="18"/>
      <c r="AJ82" s="18"/>
      <c r="AK82" s="18"/>
      <c r="AL82" s="18"/>
      <c r="AM82" s="18"/>
      <c r="AN82" s="1" t="str">
        <f t="shared" si="14"/>
        <v>INTER PARNAS3U 3974</v>
      </c>
      <c r="AO82" s="3" t="s">
        <v>26</v>
      </c>
      <c r="AP82" s="19">
        <v>45923</v>
      </c>
      <c r="AQ82" s="5" t="s">
        <v>81</v>
      </c>
      <c r="AR82" s="5" t="s">
        <v>138</v>
      </c>
      <c r="AS82" s="6">
        <v>0.40277777777777779</v>
      </c>
      <c r="AT82" s="1"/>
    </row>
    <row r="83" spans="1:46" ht="15" customHeight="1">
      <c r="A83" s="738"/>
      <c r="B83" s="288"/>
      <c r="C83" s="289"/>
      <c r="D83" s="290">
        <v>0.33680555555555558</v>
      </c>
      <c r="E83" s="291">
        <v>0.34722222222222221</v>
      </c>
      <c r="F83" s="292">
        <v>0.40972222222222221</v>
      </c>
      <c r="G83" s="293"/>
      <c r="H83" s="294">
        <f t="shared" si="13"/>
        <v>0.41319444444444442</v>
      </c>
      <c r="I83" s="165">
        <v>0.53819444444444442</v>
      </c>
      <c r="J83" s="166" t="s">
        <v>129</v>
      </c>
      <c r="K83" s="52"/>
      <c r="L83" s="52">
        <v>6</v>
      </c>
      <c r="M83" s="52"/>
      <c r="N83" s="52"/>
      <c r="O83" s="53"/>
      <c r="P83" s="167"/>
      <c r="Q83" s="168">
        <v>1</v>
      </c>
      <c r="R83" s="168"/>
      <c r="S83" s="168"/>
      <c r="T83" s="168"/>
      <c r="U83" s="116" t="s">
        <v>139</v>
      </c>
      <c r="V83" s="1"/>
      <c r="W83" s="1"/>
      <c r="X83" s="1"/>
      <c r="Y83" s="1"/>
      <c r="Z83" s="1"/>
      <c r="AA83" s="1"/>
      <c r="AB83" s="123"/>
      <c r="AC83" s="124"/>
      <c r="AD83" s="124"/>
      <c r="AE83" s="125"/>
      <c r="AF83" s="125"/>
      <c r="AG83" s="125"/>
      <c r="AH83" s="125"/>
      <c r="AI83" s="18"/>
      <c r="AJ83" s="18"/>
      <c r="AK83" s="18"/>
      <c r="AL83" s="18"/>
      <c r="AM83" s="18"/>
      <c r="AN83" s="1" t="str">
        <f t="shared" si="14"/>
        <v>INTER PARNASOZ 335</v>
      </c>
      <c r="AO83" s="3" t="s">
        <v>26</v>
      </c>
      <c r="AP83" s="19">
        <v>45923</v>
      </c>
      <c r="AQ83" s="5" t="s">
        <v>81</v>
      </c>
      <c r="AR83" s="5" t="s">
        <v>140</v>
      </c>
      <c r="AS83" s="6">
        <v>0.40277777777777779</v>
      </c>
      <c r="AT83" s="1"/>
    </row>
    <row r="84" spans="1:46" ht="15" customHeight="1">
      <c r="A84" s="738"/>
      <c r="B84" s="777">
        <f>C84-TIME(0,15,0)</f>
        <v>0.32986111111111105</v>
      </c>
      <c r="C84" s="691">
        <f>D84-TIME(0,30,0)</f>
        <v>0.34027777777777773</v>
      </c>
      <c r="D84" s="777">
        <f>E84-TIME(0,15,0)</f>
        <v>0.36111111111111105</v>
      </c>
      <c r="E84" s="691">
        <f>F84-TIME(1,30,0)</f>
        <v>0.37152777777777773</v>
      </c>
      <c r="F84" s="778">
        <f>G84-TIME(0,20,0)</f>
        <v>0.43402777777777773</v>
      </c>
      <c r="G84" s="764">
        <f>H86</f>
        <v>0.44791666666666663</v>
      </c>
      <c r="H84" s="94">
        <f t="shared" si="13"/>
        <v>0.44097222222222221</v>
      </c>
      <c r="I84" s="99">
        <v>0.56597222222222221</v>
      </c>
      <c r="J84" s="100" t="s">
        <v>130</v>
      </c>
      <c r="K84" s="34"/>
      <c r="L84" s="34">
        <v>4</v>
      </c>
      <c r="M84" s="34"/>
      <c r="N84" s="34"/>
      <c r="O84" s="35">
        <f>SUM(J84:N88)</f>
        <v>16</v>
      </c>
      <c r="P84" s="102"/>
      <c r="Q84" s="102"/>
      <c r="R84" s="102"/>
      <c r="S84" s="129">
        <v>1</v>
      </c>
      <c r="T84" s="129"/>
      <c r="U84" s="130" t="s">
        <v>117</v>
      </c>
      <c r="V84" s="1"/>
      <c r="W84" s="1"/>
      <c r="X84" s="1"/>
      <c r="Y84" s="1"/>
      <c r="Z84" s="1"/>
      <c r="AA84" s="1"/>
      <c r="AB84" s="123"/>
      <c r="AC84" s="124"/>
      <c r="AD84" s="124"/>
      <c r="AE84" s="125"/>
      <c r="AF84" s="125"/>
      <c r="AG84" s="125"/>
      <c r="AH84" s="125"/>
      <c r="AI84" s="18"/>
      <c r="AJ84" s="18"/>
      <c r="AK84" s="18"/>
      <c r="AL84" s="18"/>
      <c r="AM84" s="18"/>
      <c r="AN84" s="1" t="str">
        <f t="shared" si="14"/>
        <v>INTER PARNASKE 725</v>
      </c>
      <c r="AO84" s="3" t="s">
        <v>26</v>
      </c>
      <c r="AP84" s="19">
        <v>45923</v>
      </c>
      <c r="AQ84" s="5" t="s">
        <v>81</v>
      </c>
      <c r="AR84" s="5" t="s">
        <v>141</v>
      </c>
      <c r="AS84" s="6">
        <v>0.40277777777777779</v>
      </c>
      <c r="AT84" s="1"/>
    </row>
    <row r="85" spans="1:46" ht="15" customHeight="1">
      <c r="A85" s="738"/>
      <c r="B85" s="777"/>
      <c r="C85" s="691"/>
      <c r="D85" s="777"/>
      <c r="E85" s="691"/>
      <c r="F85" s="778"/>
      <c r="G85" s="764"/>
      <c r="H85" s="109">
        <f t="shared" si="13"/>
        <v>0.44444444444444442</v>
      </c>
      <c r="I85" s="110">
        <v>0.56944444444444442</v>
      </c>
      <c r="J85" s="111" t="s">
        <v>59</v>
      </c>
      <c r="K85" s="28">
        <v>3</v>
      </c>
      <c r="L85" s="28"/>
      <c r="M85" s="28"/>
      <c r="N85" s="28"/>
      <c r="O85" s="41"/>
      <c r="P85" s="74"/>
      <c r="Q85" s="74"/>
      <c r="R85" s="74"/>
      <c r="S85" s="74"/>
      <c r="T85" s="74"/>
      <c r="U85" s="1"/>
      <c r="V85" s="1"/>
      <c r="W85" s="1"/>
      <c r="X85" s="1"/>
      <c r="Y85" s="1"/>
      <c r="Z85" s="1"/>
      <c r="AA85" s="1"/>
      <c r="AB85" s="123"/>
      <c r="AC85" s="124"/>
      <c r="AD85" s="124"/>
      <c r="AE85" s="125"/>
      <c r="AF85" s="125"/>
      <c r="AG85" s="125"/>
      <c r="AH85" s="125"/>
      <c r="AI85" s="18"/>
      <c r="AJ85" s="18"/>
      <c r="AK85" s="18"/>
      <c r="AL85" s="18"/>
      <c r="AM85" s="18"/>
      <c r="AN85" s="1" t="str">
        <f t="shared" si="14"/>
        <v>INTER PARNASCX 411</v>
      </c>
      <c r="AO85" s="3" t="s">
        <v>26</v>
      </c>
      <c r="AP85" s="19">
        <v>45923</v>
      </c>
      <c r="AQ85" s="5" t="s">
        <v>81</v>
      </c>
      <c r="AR85" s="5" t="s">
        <v>60</v>
      </c>
      <c r="AS85" s="6">
        <v>0.40277777777777779</v>
      </c>
      <c r="AT85" s="1"/>
    </row>
    <row r="86" spans="1:46" ht="15" customHeight="1">
      <c r="A86" s="738"/>
      <c r="B86" s="777"/>
      <c r="C86" s="691"/>
      <c r="D86" s="777"/>
      <c r="E86" s="691"/>
      <c r="F86" s="778"/>
      <c r="G86" s="764"/>
      <c r="H86" s="109">
        <f t="shared" si="13"/>
        <v>0.44791666666666663</v>
      </c>
      <c r="I86" s="110">
        <v>0.57291666666666663</v>
      </c>
      <c r="J86" s="111" t="s">
        <v>132</v>
      </c>
      <c r="K86" s="28"/>
      <c r="L86" s="28"/>
      <c r="M86" s="28"/>
      <c r="N86" s="28">
        <v>2</v>
      </c>
      <c r="O86" s="41"/>
      <c r="P86" s="74"/>
      <c r="Q86" s="74"/>
      <c r="R86" s="74"/>
      <c r="S86" s="74"/>
      <c r="T86" s="74"/>
      <c r="U86" s="1"/>
      <c r="V86" s="1"/>
      <c r="W86" s="1"/>
      <c r="X86" s="1"/>
      <c r="Y86" s="1"/>
      <c r="Z86" s="1"/>
      <c r="AA86" s="1"/>
      <c r="AB86" s="123"/>
      <c r="AC86" s="124"/>
      <c r="AD86" s="124"/>
      <c r="AE86" s="125"/>
      <c r="AF86" s="125"/>
      <c r="AG86" s="125"/>
      <c r="AH86" s="125"/>
      <c r="AI86" s="18"/>
      <c r="AJ86" s="18"/>
      <c r="AK86" s="18"/>
      <c r="AL86" s="18"/>
      <c r="AM86" s="18"/>
      <c r="AN86" s="1" t="str">
        <f t="shared" si="14"/>
        <v>INTER PARNASDL 7860</v>
      </c>
      <c r="AO86" s="3" t="s">
        <v>26</v>
      </c>
      <c r="AP86" s="19">
        <v>45923</v>
      </c>
      <c r="AQ86" s="5" t="s">
        <v>81</v>
      </c>
      <c r="AR86" s="5" t="s">
        <v>142</v>
      </c>
      <c r="AS86" s="6">
        <v>0.43402777777777779</v>
      </c>
      <c r="AT86" s="1"/>
    </row>
    <row r="87" spans="1:46" ht="15" customHeight="1">
      <c r="A87" s="738"/>
      <c r="B87" s="777"/>
      <c r="C87" s="691"/>
      <c r="D87" s="777"/>
      <c r="E87" s="691"/>
      <c r="F87" s="778"/>
      <c r="G87" s="764"/>
      <c r="H87" s="131">
        <f>I87-TIME(3,0,0)</f>
        <v>0.46180555555555558</v>
      </c>
      <c r="I87" s="132">
        <v>0.58680555555555558</v>
      </c>
      <c r="J87" s="133" t="s">
        <v>134</v>
      </c>
      <c r="K87" s="47"/>
      <c r="L87" s="47">
        <v>1</v>
      </c>
      <c r="M87" s="47"/>
      <c r="N87" s="47"/>
      <c r="O87" s="134"/>
      <c r="P87" s="78"/>
      <c r="Q87" s="78"/>
      <c r="R87" s="78"/>
      <c r="S87" s="78"/>
      <c r="T87" s="78"/>
      <c r="U87" s="1"/>
      <c r="V87" s="1"/>
      <c r="W87" s="1"/>
      <c r="X87" s="1"/>
      <c r="Y87" s="1"/>
      <c r="Z87" s="1"/>
      <c r="AA87" s="1"/>
      <c r="AB87" s="123"/>
      <c r="AC87" s="124"/>
      <c r="AD87" s="124"/>
      <c r="AE87" s="125"/>
      <c r="AF87" s="125"/>
      <c r="AG87" s="125"/>
      <c r="AH87" s="125"/>
      <c r="AI87" s="18"/>
      <c r="AJ87" s="18"/>
      <c r="AK87" s="18"/>
      <c r="AL87" s="18"/>
      <c r="AM87" s="18"/>
      <c r="AN87" s="1" t="str">
        <f t="shared" si="14"/>
        <v>INTER PARNASKE 23</v>
      </c>
      <c r="AO87" s="3" t="s">
        <v>26</v>
      </c>
      <c r="AP87" s="19">
        <v>45923</v>
      </c>
      <c r="AQ87" s="5" t="s">
        <v>81</v>
      </c>
      <c r="AR87" s="5" t="s">
        <v>61</v>
      </c>
      <c r="AS87" s="6">
        <v>0.43402777777777779</v>
      </c>
      <c r="AT87" s="1"/>
    </row>
    <row r="88" spans="1:46" ht="15" customHeight="1">
      <c r="A88" s="738"/>
      <c r="B88" s="777"/>
      <c r="C88" s="691"/>
      <c r="D88" s="777"/>
      <c r="E88" s="691"/>
      <c r="F88" s="778"/>
      <c r="G88" s="764"/>
      <c r="H88" s="83">
        <f t="shared" ref="H88:H96" si="15">I88-TIME(3,0,0)</f>
        <v>0.46180555555555558</v>
      </c>
      <c r="I88" s="84">
        <v>0.58680555555555558</v>
      </c>
      <c r="J88" s="85" t="s">
        <v>135</v>
      </c>
      <c r="K88" s="23"/>
      <c r="L88" s="23">
        <v>6</v>
      </c>
      <c r="M88" s="23"/>
      <c r="N88" s="23"/>
      <c r="O88" s="24"/>
      <c r="P88" s="87"/>
      <c r="Q88" s="87"/>
      <c r="R88" s="87"/>
      <c r="S88" s="87"/>
      <c r="T88" s="87"/>
      <c r="U88" s="1"/>
      <c r="V88" s="1"/>
      <c r="W88" s="1"/>
      <c r="X88" s="1"/>
      <c r="Y88" s="1"/>
      <c r="Z88" s="1"/>
      <c r="AA88" s="1"/>
      <c r="AB88" s="123"/>
      <c r="AC88" s="124"/>
      <c r="AD88" s="124"/>
      <c r="AE88" s="125"/>
      <c r="AF88" s="125"/>
      <c r="AG88" s="125"/>
      <c r="AH88" s="125"/>
      <c r="AI88" s="18"/>
      <c r="AJ88" s="18"/>
      <c r="AK88" s="18"/>
      <c r="AL88" s="18"/>
      <c r="AM88" s="18"/>
      <c r="AN88" s="1" t="str">
        <f t="shared" si="14"/>
        <v>INTER PARNASKE 187</v>
      </c>
      <c r="AO88" s="3" t="s">
        <v>26</v>
      </c>
      <c r="AP88" s="19">
        <v>45923</v>
      </c>
      <c r="AQ88" s="5" t="s">
        <v>81</v>
      </c>
      <c r="AR88" s="5" t="s">
        <v>143</v>
      </c>
      <c r="AS88" s="6">
        <v>0.43402777777777779</v>
      </c>
      <c r="AT88" s="1"/>
    </row>
    <row r="89" spans="1:46" ht="15" customHeight="1">
      <c r="A89" s="738"/>
      <c r="B89" s="805">
        <f>C89-TIME(0,20,0)</f>
        <v>0.40277777777777773</v>
      </c>
      <c r="C89" s="806">
        <f>F89-TIME(1,15,)</f>
        <v>0.41666666666666663</v>
      </c>
      <c r="D89" s="685"/>
      <c r="E89" s="807"/>
      <c r="F89" s="748">
        <f>G89-TIME(0,20,0)</f>
        <v>0.46874999999999994</v>
      </c>
      <c r="G89" s="748">
        <f>H89</f>
        <v>0.48263888888888884</v>
      </c>
      <c r="H89" s="98">
        <f t="shared" si="15"/>
        <v>0.48263888888888884</v>
      </c>
      <c r="I89" s="99">
        <v>0.60763888888888884</v>
      </c>
      <c r="J89" s="100" t="s">
        <v>137</v>
      </c>
      <c r="K89" s="34"/>
      <c r="L89" s="34"/>
      <c r="M89" s="34">
        <v>1</v>
      </c>
      <c r="N89" s="34"/>
      <c r="O89" s="35">
        <f>SUM(K89:N93)</f>
        <v>18</v>
      </c>
      <c r="P89" s="102"/>
      <c r="Q89" s="102"/>
      <c r="R89" s="102"/>
      <c r="S89" s="169">
        <v>1</v>
      </c>
      <c r="T89" s="169"/>
      <c r="U89" s="170" t="s">
        <v>144</v>
      </c>
      <c r="V89" s="1"/>
      <c r="W89" s="1"/>
      <c r="X89" s="1"/>
      <c r="Y89" s="1"/>
      <c r="Z89" s="1"/>
      <c r="AA89" s="1"/>
      <c r="AB89" s="123"/>
      <c r="AC89" s="124"/>
      <c r="AD89" s="124"/>
      <c r="AE89" s="125"/>
      <c r="AF89" s="125"/>
      <c r="AG89" s="125"/>
      <c r="AH89" s="125"/>
      <c r="AI89" s="18"/>
      <c r="AJ89" s="18"/>
      <c r="AK89" s="18"/>
      <c r="AL89" s="18"/>
      <c r="AM89" s="18"/>
      <c r="AN89" s="1" t="str">
        <f t="shared" si="14"/>
        <v>INTER PARNASOZ 751</v>
      </c>
      <c r="AO89" s="3" t="s">
        <v>26</v>
      </c>
      <c r="AP89" s="19">
        <v>45923</v>
      </c>
      <c r="AQ89" s="5" t="s">
        <v>81</v>
      </c>
      <c r="AR89" s="5" t="s">
        <v>145</v>
      </c>
      <c r="AS89" s="6">
        <v>0.43402777777777779</v>
      </c>
      <c r="AT89" s="1"/>
    </row>
    <row r="90" spans="1:46" ht="15" customHeight="1">
      <c r="A90" s="738"/>
      <c r="B90" s="805"/>
      <c r="C90" s="806"/>
      <c r="D90" s="685"/>
      <c r="E90" s="807"/>
      <c r="F90" s="748"/>
      <c r="G90" s="748"/>
      <c r="H90" s="109">
        <f t="shared" si="15"/>
        <v>0.49305555555555558</v>
      </c>
      <c r="I90" s="110">
        <v>0.61805555555555558</v>
      </c>
      <c r="J90" s="111" t="s">
        <v>138</v>
      </c>
      <c r="K90" s="28">
        <v>1</v>
      </c>
      <c r="L90" s="28"/>
      <c r="M90" s="28"/>
      <c r="N90" s="28"/>
      <c r="O90" s="41"/>
      <c r="P90" s="74"/>
      <c r="Q90" s="74"/>
      <c r="R90" s="74"/>
      <c r="S90" s="74"/>
      <c r="T90" s="74"/>
      <c r="U90" s="1"/>
      <c r="V90" s="1"/>
      <c r="W90" s="1"/>
      <c r="X90" s="1"/>
      <c r="Y90" s="1"/>
      <c r="Z90" s="1"/>
      <c r="AA90" s="1"/>
      <c r="AB90" s="123"/>
      <c r="AC90" s="124"/>
      <c r="AD90" s="124"/>
      <c r="AE90" s="125"/>
      <c r="AF90" s="125"/>
      <c r="AG90" s="125"/>
      <c r="AH90" s="125"/>
      <c r="AI90" s="18"/>
      <c r="AJ90" s="18"/>
      <c r="AK90" s="18"/>
      <c r="AL90" s="18"/>
      <c r="AM90" s="18"/>
      <c r="AN90" s="1" t="str">
        <f t="shared" si="14"/>
        <v>INTER PARNASKE 671</v>
      </c>
      <c r="AO90" s="3" t="s">
        <v>26</v>
      </c>
      <c r="AP90" s="19">
        <v>45923</v>
      </c>
      <c r="AQ90" s="5" t="s">
        <v>81</v>
      </c>
      <c r="AR90" s="5" t="s">
        <v>146</v>
      </c>
      <c r="AS90" s="6">
        <v>0.43402777777777779</v>
      </c>
      <c r="AT90" s="1"/>
    </row>
    <row r="91" spans="1:46" ht="15" customHeight="1">
      <c r="A91" s="738"/>
      <c r="B91" s="805"/>
      <c r="C91" s="806"/>
      <c r="D91" s="685"/>
      <c r="E91" s="807"/>
      <c r="F91" s="748"/>
      <c r="G91" s="748"/>
      <c r="H91" s="109">
        <f t="shared" si="15"/>
        <v>0.49305555555555558</v>
      </c>
      <c r="I91" s="110">
        <v>0.61805555555555558</v>
      </c>
      <c r="J91" s="111" t="s">
        <v>140</v>
      </c>
      <c r="K91" s="28">
        <v>2</v>
      </c>
      <c r="L91" s="28"/>
      <c r="M91" s="28"/>
      <c r="N91" s="28"/>
      <c r="O91" s="41"/>
      <c r="P91" s="74"/>
      <c r="Q91" s="74"/>
      <c r="R91" s="74"/>
      <c r="S91" s="74"/>
      <c r="T91" s="74"/>
      <c r="U91" s="1"/>
      <c r="V91" s="1"/>
      <c r="W91" s="1"/>
      <c r="X91" s="1"/>
      <c r="Y91" s="1"/>
      <c r="Z91" s="1"/>
      <c r="AA91" s="1"/>
      <c r="AB91" s="123"/>
      <c r="AC91" s="124"/>
      <c r="AD91" s="124"/>
      <c r="AE91" s="125"/>
      <c r="AF91" s="125"/>
      <c r="AG91" s="125"/>
      <c r="AH91" s="125"/>
      <c r="AI91" s="18"/>
      <c r="AJ91" s="18"/>
      <c r="AK91" s="18"/>
      <c r="AL91" s="18"/>
      <c r="AM91" s="18"/>
      <c r="AN91" s="1" t="str">
        <f t="shared" si="14"/>
        <v>INTER PARNASDL 188</v>
      </c>
      <c r="AO91" s="3" t="s">
        <v>26</v>
      </c>
      <c r="AP91" s="19">
        <v>45923</v>
      </c>
      <c r="AQ91" s="5" t="s">
        <v>81</v>
      </c>
      <c r="AR91" s="5" t="s">
        <v>62</v>
      </c>
      <c r="AS91" s="6">
        <v>0.43402777777777779</v>
      </c>
      <c r="AT91" s="1"/>
    </row>
    <row r="92" spans="1:46" ht="15" customHeight="1">
      <c r="A92" s="738"/>
      <c r="B92" s="805"/>
      <c r="C92" s="806"/>
      <c r="D92" s="685"/>
      <c r="E92" s="807"/>
      <c r="F92" s="748"/>
      <c r="G92" s="748"/>
      <c r="H92" s="109">
        <f t="shared" si="15"/>
        <v>0.49652777777777779</v>
      </c>
      <c r="I92" s="110">
        <v>0.62152777777777779</v>
      </c>
      <c r="J92" s="111" t="s">
        <v>141</v>
      </c>
      <c r="K92" s="28"/>
      <c r="L92" s="28"/>
      <c r="M92" s="28">
        <v>2</v>
      </c>
      <c r="N92" s="28"/>
      <c r="O92" s="41"/>
      <c r="P92" s="74"/>
      <c r="Q92" s="74"/>
      <c r="R92" s="74"/>
      <c r="S92" s="74"/>
      <c r="T92" s="74"/>
      <c r="U92" s="1"/>
      <c r="V92" s="1"/>
      <c r="W92" s="1"/>
      <c r="X92" s="1"/>
      <c r="Y92" s="1"/>
      <c r="Z92" s="1"/>
      <c r="AA92" s="1"/>
      <c r="AB92" s="123"/>
      <c r="AC92" s="124"/>
      <c r="AD92" s="124"/>
      <c r="AE92" s="125"/>
      <c r="AF92" s="125"/>
      <c r="AG92" s="125"/>
      <c r="AH92" s="125"/>
      <c r="AI92" s="18"/>
      <c r="AJ92" s="18"/>
      <c r="AK92" s="18"/>
      <c r="AL92" s="18"/>
      <c r="AM92" s="18"/>
      <c r="AN92" s="1" t="str">
        <f t="shared" si="14"/>
        <v>INTER PARNASKE 41</v>
      </c>
      <c r="AO92" s="3" t="s">
        <v>26</v>
      </c>
      <c r="AP92" s="19">
        <v>45923</v>
      </c>
      <c r="AQ92" s="5" t="s">
        <v>81</v>
      </c>
      <c r="AR92" s="5" t="s">
        <v>63</v>
      </c>
      <c r="AS92" s="6">
        <v>0.46180555555555558</v>
      </c>
      <c r="AT92" s="1"/>
    </row>
    <row r="93" spans="1:46" ht="15" customHeight="1">
      <c r="A93" s="738"/>
      <c r="B93" s="805"/>
      <c r="C93" s="806"/>
      <c r="D93" s="685"/>
      <c r="E93" s="807"/>
      <c r="F93" s="748"/>
      <c r="G93" s="748"/>
      <c r="H93" s="83">
        <f t="shared" si="15"/>
        <v>0.50694444444444442</v>
      </c>
      <c r="I93" s="84">
        <v>0.63194444444444442</v>
      </c>
      <c r="J93" s="85" t="s">
        <v>60</v>
      </c>
      <c r="K93" s="23">
        <v>12</v>
      </c>
      <c r="L93" s="23"/>
      <c r="M93" s="23"/>
      <c r="N93" s="23"/>
      <c r="O93" s="24"/>
      <c r="P93" s="87"/>
      <c r="Q93" s="87"/>
      <c r="R93" s="87"/>
      <c r="S93" s="87"/>
      <c r="T93" s="87"/>
      <c r="U93" s="1"/>
      <c r="V93" s="1"/>
      <c r="W93" s="1"/>
      <c r="X93" s="1"/>
      <c r="Y93" s="1"/>
      <c r="Z93" s="1"/>
      <c r="AA93" s="1"/>
      <c r="AB93" s="123"/>
      <c r="AC93" s="124"/>
      <c r="AD93" s="124"/>
      <c r="AE93" s="125"/>
      <c r="AF93" s="125"/>
      <c r="AG93" s="125"/>
      <c r="AH93" s="125"/>
      <c r="AI93" s="18"/>
      <c r="AJ93" s="18"/>
      <c r="AK93" s="18"/>
      <c r="AL93" s="18"/>
      <c r="AM93" s="18"/>
      <c r="AN93" s="1" t="str">
        <f t="shared" si="14"/>
        <v>INTER PARNASCZ 3062</v>
      </c>
      <c r="AO93" s="3" t="s">
        <v>26</v>
      </c>
      <c r="AP93" s="19">
        <v>45923</v>
      </c>
      <c r="AQ93" s="5" t="s">
        <v>81</v>
      </c>
      <c r="AR93" s="5" t="s">
        <v>147</v>
      </c>
      <c r="AS93" s="6">
        <v>0.46180555555555558</v>
      </c>
      <c r="AT93" s="1"/>
    </row>
    <row r="94" spans="1:46" ht="15" customHeight="1">
      <c r="A94" s="738"/>
      <c r="B94" s="776">
        <f>C94-TIME(0,15,0)</f>
        <v>0.43402777777777779</v>
      </c>
      <c r="C94" s="728">
        <f>D94-TIME(0,30,0)</f>
        <v>0.44444444444444448</v>
      </c>
      <c r="D94" s="776">
        <f>E94-TIME(0,15,0)</f>
        <v>0.46527777777777779</v>
      </c>
      <c r="E94" s="728">
        <f>F94-TIME(1,15,0)</f>
        <v>0.47569444444444448</v>
      </c>
      <c r="F94" s="776">
        <f>G94-TIME(0,20,0)</f>
        <v>0.52777777777777779</v>
      </c>
      <c r="G94" s="764">
        <f>H94</f>
        <v>0.54166666666666663</v>
      </c>
      <c r="H94" s="98">
        <f t="shared" si="15"/>
        <v>0.54166666666666663</v>
      </c>
      <c r="I94" s="99">
        <v>0.66666666666666663</v>
      </c>
      <c r="J94" s="100" t="s">
        <v>142</v>
      </c>
      <c r="K94" s="34"/>
      <c r="L94" s="34"/>
      <c r="M94" s="34"/>
      <c r="N94" s="34">
        <v>1</v>
      </c>
      <c r="O94" s="35">
        <f>SUM(J94:N99)</f>
        <v>37</v>
      </c>
      <c r="P94" s="102"/>
      <c r="Q94" s="102"/>
      <c r="R94" s="102"/>
      <c r="S94" s="163">
        <v>1</v>
      </c>
      <c r="T94" s="163"/>
      <c r="U94" s="116" t="s">
        <v>148</v>
      </c>
      <c r="V94" s="1"/>
      <c r="W94" s="1"/>
      <c r="X94" s="1"/>
      <c r="Y94" s="1"/>
      <c r="Z94" s="1"/>
      <c r="AA94" s="1"/>
      <c r="AB94" s="123"/>
      <c r="AC94" s="124"/>
      <c r="AD94" s="124"/>
      <c r="AE94" s="125"/>
      <c r="AF94" s="125"/>
      <c r="AG94" s="125"/>
      <c r="AH94" s="125"/>
      <c r="AI94" s="18"/>
      <c r="AJ94" s="18"/>
      <c r="AK94" s="18"/>
      <c r="AL94" s="18"/>
      <c r="AM94" s="18"/>
      <c r="AN94" s="1" t="str">
        <f t="shared" si="14"/>
        <v>INTER PARNASUA 892</v>
      </c>
      <c r="AO94" s="3" t="s">
        <v>26</v>
      </c>
      <c r="AP94" s="19">
        <v>45923</v>
      </c>
      <c r="AQ94" s="5" t="s">
        <v>81</v>
      </c>
      <c r="AR94" s="5" t="s">
        <v>64</v>
      </c>
      <c r="AS94" s="6">
        <v>0.46180555555555558</v>
      </c>
      <c r="AT94" s="1"/>
    </row>
    <row r="95" spans="1:46" ht="15" customHeight="1">
      <c r="A95" s="738"/>
      <c r="B95" s="776"/>
      <c r="C95" s="728"/>
      <c r="D95" s="776"/>
      <c r="E95" s="728"/>
      <c r="F95" s="776"/>
      <c r="G95" s="764"/>
      <c r="H95" s="109">
        <f t="shared" si="15"/>
        <v>0.54166666666666663</v>
      </c>
      <c r="I95" s="110">
        <v>0.66666666666666663</v>
      </c>
      <c r="J95" s="111" t="s">
        <v>61</v>
      </c>
      <c r="K95" s="28"/>
      <c r="L95" s="28"/>
      <c r="M95" s="28"/>
      <c r="N95" s="28">
        <v>7</v>
      </c>
      <c r="O95" s="41"/>
      <c r="P95" s="74"/>
      <c r="Q95" s="74"/>
      <c r="R95" s="74"/>
      <c r="S95" s="171">
        <v>1</v>
      </c>
      <c r="T95" s="171"/>
      <c r="U95" s="170" t="s">
        <v>149</v>
      </c>
      <c r="V95" s="1"/>
      <c r="W95" s="1"/>
      <c r="X95" s="1"/>
      <c r="Y95" s="1"/>
      <c r="Z95" s="1"/>
      <c r="AA95" s="1"/>
      <c r="AB95" s="123"/>
      <c r="AC95" s="124"/>
      <c r="AD95" s="124"/>
      <c r="AE95" s="125"/>
      <c r="AF95" s="125"/>
      <c r="AG95" s="125"/>
      <c r="AH95" s="125"/>
      <c r="AI95" s="18"/>
      <c r="AJ95" s="18"/>
      <c r="AK95" s="18"/>
      <c r="AL95" s="18"/>
      <c r="AM95" s="18"/>
      <c r="AN95" s="1" t="str">
        <f t="shared" si="14"/>
        <v>INTER PARNAS9C 8560</v>
      </c>
      <c r="AO95" s="3" t="s">
        <v>26</v>
      </c>
      <c r="AP95" s="19">
        <v>45923</v>
      </c>
      <c r="AQ95" s="5" t="s">
        <v>81</v>
      </c>
      <c r="AR95" s="5" t="s">
        <v>150</v>
      </c>
      <c r="AS95" s="6">
        <v>0.46180555555555558</v>
      </c>
      <c r="AT95" s="1"/>
    </row>
    <row r="96" spans="1:46" ht="15" customHeight="1">
      <c r="A96" s="738"/>
      <c r="B96" s="776"/>
      <c r="C96" s="728"/>
      <c r="D96" s="776"/>
      <c r="E96" s="728"/>
      <c r="F96" s="776"/>
      <c r="G96" s="764"/>
      <c r="H96" s="109">
        <f t="shared" si="15"/>
        <v>0.54861111111111116</v>
      </c>
      <c r="I96" s="110">
        <v>0.67361111111111116</v>
      </c>
      <c r="J96" s="111" t="s">
        <v>143</v>
      </c>
      <c r="K96" s="28"/>
      <c r="L96" s="28"/>
      <c r="M96" s="28">
        <v>1</v>
      </c>
      <c r="N96" s="28"/>
      <c r="O96" s="41"/>
      <c r="P96" s="74"/>
      <c r="Q96" s="74"/>
      <c r="R96" s="74"/>
      <c r="S96" s="74"/>
      <c r="T96" s="74"/>
      <c r="U96" s="1"/>
      <c r="V96" s="1"/>
      <c r="W96" s="1"/>
      <c r="X96" s="1"/>
      <c r="Y96" s="1"/>
      <c r="Z96" s="1"/>
      <c r="AA96" s="1"/>
      <c r="AB96" s="123"/>
      <c r="AC96" s="124"/>
      <c r="AD96" s="124"/>
      <c r="AE96" s="125"/>
      <c r="AF96" s="125"/>
      <c r="AG96" s="125"/>
      <c r="AH96" s="125"/>
      <c r="AI96" s="18"/>
      <c r="AJ96" s="18"/>
      <c r="AK96" s="18"/>
      <c r="AL96" s="18"/>
      <c r="AM96" s="18"/>
      <c r="AN96" s="1" t="str">
        <f t="shared" si="14"/>
        <v>INTER PARNASAA 280</v>
      </c>
      <c r="AO96" s="3" t="s">
        <v>26</v>
      </c>
      <c r="AP96" s="19">
        <v>45923</v>
      </c>
      <c r="AQ96" s="5" t="s">
        <v>81</v>
      </c>
      <c r="AR96" s="5" t="s">
        <v>65</v>
      </c>
      <c r="AS96" s="6">
        <v>0.50694444444444442</v>
      </c>
      <c r="AT96" s="1"/>
    </row>
    <row r="97" spans="1:46" ht="15" customHeight="1">
      <c r="A97" s="738"/>
      <c r="B97" s="776"/>
      <c r="C97" s="728"/>
      <c r="D97" s="776"/>
      <c r="E97" s="728"/>
      <c r="F97" s="776"/>
      <c r="G97" s="764"/>
      <c r="H97" s="109">
        <f>I97-TIME(3,0,0)</f>
        <v>0.54861111111111116</v>
      </c>
      <c r="I97" s="110">
        <v>0.67361111111111116</v>
      </c>
      <c r="J97" s="111" t="s">
        <v>145</v>
      </c>
      <c r="K97" s="28"/>
      <c r="L97" s="28">
        <v>6</v>
      </c>
      <c r="M97" s="28"/>
      <c r="N97" s="28"/>
      <c r="O97" s="41"/>
      <c r="P97" s="74"/>
      <c r="Q97" s="74"/>
      <c r="R97" s="74"/>
      <c r="S97" s="74"/>
      <c r="T97" s="74"/>
      <c r="U97" s="1"/>
      <c r="V97" s="1"/>
      <c r="W97" s="1"/>
      <c r="X97" s="1"/>
      <c r="Y97" s="1"/>
      <c r="Z97" s="1"/>
      <c r="AA97" s="1"/>
      <c r="AB97" s="123"/>
      <c r="AC97" s="124"/>
      <c r="AD97" s="124"/>
      <c r="AE97" s="125"/>
      <c r="AF97" s="125"/>
      <c r="AG97" s="125"/>
      <c r="AH97" s="125"/>
      <c r="AI97" s="18"/>
      <c r="AJ97" s="18"/>
      <c r="AK97" s="18"/>
      <c r="AL97" s="18"/>
      <c r="AM97" s="18"/>
      <c r="AN97" s="1" t="str">
        <f t="shared" si="14"/>
        <v>INTER PARNASTG 653</v>
      </c>
      <c r="AO97" s="3" t="s">
        <v>26</v>
      </c>
      <c r="AP97" s="19">
        <v>45923</v>
      </c>
      <c r="AQ97" s="5" t="s">
        <v>81</v>
      </c>
      <c r="AR97" s="5" t="s">
        <v>151</v>
      </c>
      <c r="AS97" s="6">
        <v>0.50694444444444442</v>
      </c>
      <c r="AT97" s="1"/>
    </row>
    <row r="98" spans="1:46" ht="15" customHeight="1">
      <c r="A98" s="738"/>
      <c r="B98" s="776"/>
      <c r="C98" s="728"/>
      <c r="D98" s="776"/>
      <c r="E98" s="728"/>
      <c r="F98" s="776"/>
      <c r="G98" s="764"/>
      <c r="H98" s="109">
        <f t="shared" ref="H98:H120" si="16">I98-TIME(3,0,0)</f>
        <v>0.55555555555555558</v>
      </c>
      <c r="I98" s="110">
        <v>0.68055555555555558</v>
      </c>
      <c r="J98" s="111" t="s">
        <v>146</v>
      </c>
      <c r="K98" s="28"/>
      <c r="L98" s="28"/>
      <c r="M98" s="28">
        <v>2</v>
      </c>
      <c r="N98" s="28"/>
      <c r="O98" s="41"/>
      <c r="P98" s="74"/>
      <c r="Q98" s="74"/>
      <c r="R98" s="74"/>
      <c r="S98" s="74"/>
      <c r="T98" s="74"/>
      <c r="U98" s="1"/>
      <c r="V98" s="1"/>
      <c r="W98" s="1"/>
      <c r="X98" s="1"/>
      <c r="Y98" s="1"/>
      <c r="Z98" s="1"/>
      <c r="AA98" s="1"/>
      <c r="AB98" s="123"/>
      <c r="AC98" s="124"/>
      <c r="AD98" s="124"/>
      <c r="AE98" s="125"/>
      <c r="AF98" s="125"/>
      <c r="AG98" s="125"/>
      <c r="AH98" s="125"/>
      <c r="AI98" s="18"/>
      <c r="AJ98" s="18"/>
      <c r="AK98" s="18"/>
      <c r="AL98" s="18"/>
      <c r="AM98" s="18"/>
      <c r="AN98" s="1" t="str">
        <f t="shared" si="14"/>
        <v>INTER PARNASAC 64</v>
      </c>
      <c r="AO98" s="3" t="s">
        <v>26</v>
      </c>
      <c r="AP98" s="19">
        <v>45923</v>
      </c>
      <c r="AQ98" s="5" t="s">
        <v>81</v>
      </c>
      <c r="AR98" s="5" t="s">
        <v>66</v>
      </c>
      <c r="AS98" s="6">
        <v>0.50694444444444442</v>
      </c>
      <c r="AT98" s="1"/>
    </row>
    <row r="99" spans="1:46" ht="15" customHeight="1">
      <c r="A99" s="738"/>
      <c r="B99" s="776"/>
      <c r="C99" s="728"/>
      <c r="D99" s="776"/>
      <c r="E99" s="728"/>
      <c r="F99" s="776"/>
      <c r="G99" s="764"/>
      <c r="H99" s="83">
        <f t="shared" si="16"/>
        <v>0.55902777777777779</v>
      </c>
      <c r="I99" s="84">
        <v>0.68402777777777779</v>
      </c>
      <c r="J99" s="85" t="s">
        <v>62</v>
      </c>
      <c r="K99" s="23"/>
      <c r="L99" s="23"/>
      <c r="M99" s="23">
        <v>15</v>
      </c>
      <c r="N99" s="23">
        <v>5</v>
      </c>
      <c r="O99" s="24"/>
      <c r="P99" s="87"/>
      <c r="Q99" s="87"/>
      <c r="R99" s="87"/>
      <c r="S99" s="87"/>
      <c r="T99" s="87"/>
      <c r="U99" s="1"/>
      <c r="V99" s="1"/>
      <c r="W99" s="1"/>
      <c r="X99" s="1"/>
      <c r="Y99" s="1"/>
      <c r="Z99" s="1"/>
      <c r="AA99" s="1"/>
      <c r="AB99" s="123"/>
      <c r="AC99" s="124"/>
      <c r="AD99" s="124"/>
      <c r="AE99" s="125"/>
      <c r="AF99" s="125"/>
      <c r="AG99" s="125"/>
      <c r="AH99" s="125"/>
      <c r="AI99" s="18"/>
      <c r="AJ99" s="18"/>
      <c r="AK99" s="18"/>
      <c r="AL99" s="18"/>
      <c r="AM99" s="18"/>
      <c r="AN99" s="1" t="str">
        <f t="shared" si="14"/>
        <v>INTER PARNASVN 403</v>
      </c>
      <c r="AO99" s="3" t="s">
        <v>26</v>
      </c>
      <c r="AP99" s="19">
        <v>45923</v>
      </c>
      <c r="AQ99" s="5" t="s">
        <v>81</v>
      </c>
      <c r="AR99" s="5" t="s">
        <v>152</v>
      </c>
      <c r="AS99" s="6">
        <v>0.50694444444444442</v>
      </c>
      <c r="AT99" s="1"/>
    </row>
    <row r="100" spans="1:46" ht="15" customHeight="1">
      <c r="A100" s="738"/>
      <c r="B100" s="719">
        <f>C100-TIME(0,15,0)</f>
        <v>0.46180555555555552</v>
      </c>
      <c r="C100" s="721">
        <f>D100-TIME(0,30,0)</f>
        <v>0.47222222222222221</v>
      </c>
      <c r="D100" s="719">
        <f>E100-TIME(0,15,0)</f>
        <v>0.49305555555555552</v>
      </c>
      <c r="E100" s="721">
        <f>F100-TIME(1,15,0)</f>
        <v>0.50347222222222221</v>
      </c>
      <c r="F100" s="719">
        <f>G100-TIME(0,20,0)</f>
        <v>0.55555555555555558</v>
      </c>
      <c r="G100" s="719">
        <f>H100</f>
        <v>0.56944444444444442</v>
      </c>
      <c r="H100" s="98">
        <f t="shared" si="16"/>
        <v>0.56944444444444442</v>
      </c>
      <c r="I100" s="99">
        <v>0.69444444444444442</v>
      </c>
      <c r="J100" s="100" t="s">
        <v>63</v>
      </c>
      <c r="K100" s="34"/>
      <c r="L100" s="34"/>
      <c r="M100" s="34">
        <v>7</v>
      </c>
      <c r="N100" s="34"/>
      <c r="O100" s="35">
        <f>SUM(J100:N103)</f>
        <v>39</v>
      </c>
      <c r="P100" s="102"/>
      <c r="Q100" s="102"/>
      <c r="R100" s="102"/>
      <c r="S100" s="129">
        <v>1</v>
      </c>
      <c r="T100" s="129"/>
      <c r="U100" s="172" t="s">
        <v>117</v>
      </c>
      <c r="V100" s="1"/>
      <c r="W100" s="1"/>
      <c r="X100" s="1"/>
      <c r="Y100" s="1"/>
      <c r="Z100" s="1"/>
      <c r="AA100" s="1"/>
      <c r="AB100" s="123"/>
      <c r="AC100" s="124"/>
      <c r="AD100" s="124"/>
      <c r="AE100" s="125"/>
      <c r="AF100" s="125"/>
      <c r="AG100" s="125"/>
      <c r="AH100" s="125"/>
      <c r="AI100" s="18"/>
      <c r="AJ100" s="18"/>
      <c r="AK100" s="18"/>
      <c r="AL100" s="18"/>
      <c r="AM100" s="18"/>
      <c r="AN100" s="1" t="str">
        <f t="shared" si="14"/>
        <v>INTER PARNASKE 651</v>
      </c>
      <c r="AO100" s="3" t="s">
        <v>26</v>
      </c>
      <c r="AP100" s="19">
        <v>45923</v>
      </c>
      <c r="AQ100" s="5" t="s">
        <v>81</v>
      </c>
      <c r="AR100" s="5" t="s">
        <v>67</v>
      </c>
      <c r="AS100" s="6">
        <v>0.53472222222222221</v>
      </c>
      <c r="AT100" s="1"/>
    </row>
    <row r="101" spans="1:46" ht="15" customHeight="1">
      <c r="A101" s="738"/>
      <c r="B101" s="719"/>
      <c r="C101" s="721"/>
      <c r="D101" s="719"/>
      <c r="E101" s="721"/>
      <c r="F101" s="719"/>
      <c r="G101" s="719"/>
      <c r="H101" s="109">
        <f t="shared" si="16"/>
        <v>0.57291666666666663</v>
      </c>
      <c r="I101" s="110">
        <v>0.69791666666666663</v>
      </c>
      <c r="J101" s="111" t="s">
        <v>147</v>
      </c>
      <c r="K101" s="28">
        <v>2</v>
      </c>
      <c r="L101" s="28"/>
      <c r="M101" s="28"/>
      <c r="N101" s="28"/>
      <c r="O101" s="41"/>
      <c r="P101" s="74"/>
      <c r="Q101" s="74"/>
      <c r="R101" s="74"/>
      <c r="S101" s="115">
        <v>1</v>
      </c>
      <c r="T101" s="115"/>
      <c r="U101" s="116" t="s">
        <v>153</v>
      </c>
      <c r="V101" s="1"/>
      <c r="W101" s="1"/>
      <c r="X101" s="1"/>
      <c r="Y101" s="1"/>
      <c r="Z101" s="1"/>
      <c r="AA101" s="1"/>
      <c r="AB101" s="123"/>
      <c r="AC101" s="124"/>
      <c r="AD101" s="124"/>
      <c r="AE101" s="125"/>
      <c r="AF101" s="125"/>
      <c r="AG101" s="125"/>
      <c r="AH101" s="125"/>
      <c r="AI101" s="18"/>
      <c r="AJ101" s="18"/>
      <c r="AK101" s="18"/>
      <c r="AL101" s="18"/>
      <c r="AM101" s="18"/>
      <c r="AN101" s="1" t="str">
        <f t="shared" si="14"/>
        <v>INTER PARNASKE 461</v>
      </c>
      <c r="AO101" s="3" t="s">
        <v>26</v>
      </c>
      <c r="AP101" s="19">
        <v>45923</v>
      </c>
      <c r="AQ101" s="5" t="s">
        <v>81</v>
      </c>
      <c r="AR101" s="5" t="s">
        <v>154</v>
      </c>
      <c r="AS101" s="6">
        <v>0.53472222222222221</v>
      </c>
      <c r="AT101" s="1"/>
    </row>
    <row r="102" spans="1:46" ht="15" customHeight="1">
      <c r="A102" s="738"/>
      <c r="B102" s="719"/>
      <c r="C102" s="721"/>
      <c r="D102" s="719"/>
      <c r="E102" s="721"/>
      <c r="F102" s="719"/>
      <c r="G102" s="719"/>
      <c r="H102" s="109">
        <f t="shared" si="16"/>
        <v>0.57638888888888884</v>
      </c>
      <c r="I102" s="110">
        <v>0.70138888888888884</v>
      </c>
      <c r="J102" s="111" t="s">
        <v>64</v>
      </c>
      <c r="K102" s="28"/>
      <c r="L102" s="28">
        <v>26</v>
      </c>
      <c r="M102" s="28"/>
      <c r="N102" s="28"/>
      <c r="O102" s="41"/>
      <c r="P102" s="74"/>
      <c r="Q102" s="74"/>
      <c r="R102" s="74"/>
      <c r="S102" s="74"/>
      <c r="T102" s="74"/>
      <c r="U102" s="1"/>
      <c r="V102" s="1"/>
      <c r="W102" s="1"/>
      <c r="X102" s="1"/>
      <c r="Y102" s="1"/>
      <c r="Z102" s="1"/>
      <c r="AA102" s="1"/>
      <c r="AB102" s="123"/>
      <c r="AC102" s="124"/>
      <c r="AD102" s="124"/>
      <c r="AE102" s="125"/>
      <c r="AF102" s="125"/>
      <c r="AG102" s="125"/>
      <c r="AH102" s="125"/>
      <c r="AI102" s="18"/>
      <c r="AJ102" s="18"/>
      <c r="AK102" s="18"/>
      <c r="AL102" s="18"/>
      <c r="AM102" s="18"/>
      <c r="AN102" s="1" t="str">
        <f t="shared" si="14"/>
        <v>INTER PARNASDL 170</v>
      </c>
      <c r="AO102" s="3" t="s">
        <v>26</v>
      </c>
      <c r="AP102" s="19">
        <v>45923</v>
      </c>
      <c r="AQ102" s="5" t="s">
        <v>81</v>
      </c>
      <c r="AR102" s="5" t="s">
        <v>155</v>
      </c>
      <c r="AS102" s="6">
        <v>0.53472222222222221</v>
      </c>
      <c r="AT102" s="1"/>
    </row>
    <row r="103" spans="1:46" ht="15" customHeight="1">
      <c r="A103" s="738"/>
      <c r="B103" s="719"/>
      <c r="C103" s="721"/>
      <c r="D103" s="719"/>
      <c r="E103" s="721"/>
      <c r="F103" s="719"/>
      <c r="G103" s="719"/>
      <c r="H103" s="83">
        <f t="shared" si="16"/>
        <v>0.57986111111111116</v>
      </c>
      <c r="I103" s="84">
        <v>0.70486111111111116</v>
      </c>
      <c r="J103" s="85" t="s">
        <v>150</v>
      </c>
      <c r="K103" s="23">
        <v>4</v>
      </c>
      <c r="L103" s="23"/>
      <c r="M103" s="23"/>
      <c r="N103" s="23"/>
      <c r="O103" s="24"/>
      <c r="P103" s="87"/>
      <c r="Q103" s="87"/>
      <c r="R103" s="87"/>
      <c r="S103" s="87"/>
      <c r="T103" s="87"/>
      <c r="U103" s="1"/>
      <c r="V103" s="1"/>
      <c r="W103" s="1"/>
      <c r="X103" s="1"/>
      <c r="Y103" s="1"/>
      <c r="Z103" s="1"/>
      <c r="AA103" s="1"/>
      <c r="AB103" s="123"/>
      <c r="AC103" s="124"/>
      <c r="AD103" s="124"/>
      <c r="AE103" s="125"/>
      <c r="AF103" s="125"/>
      <c r="AG103" s="125"/>
      <c r="AH103" s="125"/>
      <c r="AI103" s="18"/>
      <c r="AJ103" s="18"/>
      <c r="AK103" s="18"/>
      <c r="AL103" s="18"/>
      <c r="AM103" s="18"/>
      <c r="AN103" s="1" t="str">
        <f t="shared" si="14"/>
        <v>INTER PARNASKE 645</v>
      </c>
      <c r="AO103" s="3" t="s">
        <v>26</v>
      </c>
      <c r="AP103" s="19">
        <v>45923</v>
      </c>
      <c r="AQ103" s="5" t="s">
        <v>81</v>
      </c>
      <c r="AR103" s="5" t="s">
        <v>156</v>
      </c>
      <c r="AS103" s="6">
        <v>0.53472222222222221</v>
      </c>
      <c r="AT103" s="1"/>
    </row>
    <row r="104" spans="1:46" ht="15" customHeight="1">
      <c r="A104" s="738"/>
      <c r="B104" s="173"/>
      <c r="C104" s="174"/>
      <c r="D104" s="719">
        <f>E104-TIME(0,15,0)</f>
        <v>0.53819444444444442</v>
      </c>
      <c r="E104" s="763">
        <f>F104-TIME(1,15,0)</f>
        <v>0.54861111111111105</v>
      </c>
      <c r="F104" s="764">
        <f>H104</f>
        <v>0.60069444444444442</v>
      </c>
      <c r="G104" s="685"/>
      <c r="H104" s="98">
        <f t="shared" si="16"/>
        <v>0.60069444444444442</v>
      </c>
      <c r="I104" s="99">
        <v>0.72569444444444442</v>
      </c>
      <c r="J104" s="175" t="s">
        <v>65</v>
      </c>
      <c r="K104" s="176"/>
      <c r="L104" s="34">
        <v>14</v>
      </c>
      <c r="M104" s="34"/>
      <c r="N104" s="34"/>
      <c r="O104" s="35">
        <v>33</v>
      </c>
      <c r="P104" s="102"/>
      <c r="Q104" s="102">
        <v>0</v>
      </c>
      <c r="R104" s="102"/>
      <c r="S104" s="163">
        <v>1</v>
      </c>
      <c r="T104" s="163">
        <v>1</v>
      </c>
      <c r="U104" s="116" t="s">
        <v>157</v>
      </c>
      <c r="V104" s="148" t="s">
        <v>158</v>
      </c>
      <c r="W104" s="1"/>
      <c r="X104" s="1"/>
      <c r="Y104" s="1"/>
      <c r="Z104" s="1"/>
      <c r="AA104" s="1"/>
      <c r="AB104" s="123"/>
      <c r="AC104" s="124"/>
      <c r="AD104" s="124"/>
      <c r="AE104" s="125"/>
      <c r="AF104" s="125"/>
      <c r="AG104" s="125"/>
      <c r="AH104" s="125"/>
      <c r="AI104" s="18"/>
      <c r="AJ104" s="18"/>
      <c r="AK104" s="18"/>
      <c r="AL104" s="18"/>
      <c r="AM104" s="18"/>
      <c r="AN104" s="1" t="str">
        <f t="shared" si="14"/>
        <v>INTER PARNASDL 26</v>
      </c>
      <c r="AO104" s="3" t="s">
        <v>26</v>
      </c>
      <c r="AP104" s="19">
        <v>45923</v>
      </c>
      <c r="AQ104" s="5" t="s">
        <v>81</v>
      </c>
      <c r="AR104" s="5" t="s">
        <v>69</v>
      </c>
      <c r="AS104" s="6">
        <v>0.55208333333333337</v>
      </c>
      <c r="AT104" s="1"/>
    </row>
    <row r="105" spans="1:46" ht="15" customHeight="1">
      <c r="A105" s="738"/>
      <c r="B105" s="161"/>
      <c r="C105" s="161"/>
      <c r="D105" s="719"/>
      <c r="E105" s="763"/>
      <c r="F105" s="764"/>
      <c r="G105" s="686"/>
      <c r="H105" s="109">
        <f t="shared" si="16"/>
        <v>0.60069444444444442</v>
      </c>
      <c r="I105" s="110">
        <v>0.72569444444444442</v>
      </c>
      <c r="J105" s="111" t="s">
        <v>151</v>
      </c>
      <c r="K105" s="28"/>
      <c r="L105" s="28"/>
      <c r="M105" s="28"/>
      <c r="N105" s="28"/>
      <c r="O105" s="41"/>
      <c r="P105" s="74"/>
      <c r="Q105" s="74"/>
      <c r="R105" s="74"/>
      <c r="S105" s="74"/>
      <c r="T105" s="74"/>
      <c r="V105" s="148" t="s">
        <v>159</v>
      </c>
      <c r="W105" s="1"/>
      <c r="X105" s="1"/>
      <c r="Y105" s="1"/>
      <c r="Z105" s="1"/>
      <c r="AA105" s="1"/>
      <c r="AB105" s="123"/>
      <c r="AC105" s="124"/>
      <c r="AD105" s="124"/>
      <c r="AE105" s="125"/>
      <c r="AF105" s="125"/>
      <c r="AG105" s="125"/>
      <c r="AH105" s="125"/>
      <c r="AI105" s="18"/>
      <c r="AJ105" s="18"/>
      <c r="AK105" s="18"/>
      <c r="AL105" s="18"/>
      <c r="AM105" s="18"/>
      <c r="AN105" s="1" t="str">
        <f t="shared" si="14"/>
        <v>INTER PARNASKE 623</v>
      </c>
      <c r="AO105" s="3" t="s">
        <v>26</v>
      </c>
      <c r="AP105" s="19">
        <v>45923</v>
      </c>
      <c r="AQ105" s="5" t="s">
        <v>81</v>
      </c>
      <c r="AR105" s="5" t="s">
        <v>160</v>
      </c>
      <c r="AS105" s="6">
        <v>0.55208333333333337</v>
      </c>
      <c r="AT105" s="1"/>
    </row>
    <row r="106" spans="1:46" ht="15" customHeight="1">
      <c r="A106" s="738"/>
      <c r="B106" s="162"/>
      <c r="C106" s="161"/>
      <c r="D106" s="719"/>
      <c r="E106" s="763"/>
      <c r="F106" s="764"/>
      <c r="G106" s="686"/>
      <c r="H106" s="83">
        <f>I106-TIME(3,0,0)</f>
        <v>0.61458333333333337</v>
      </c>
      <c r="I106" s="84">
        <v>0.73958333333333337</v>
      </c>
      <c r="J106" s="85" t="s">
        <v>66</v>
      </c>
      <c r="K106" s="23"/>
      <c r="L106" s="23">
        <v>19</v>
      </c>
      <c r="M106" s="23"/>
      <c r="N106" s="23"/>
      <c r="O106" s="24"/>
      <c r="P106" s="87"/>
      <c r="Q106" s="87"/>
      <c r="R106" s="87"/>
      <c r="S106" s="87"/>
      <c r="T106" s="87"/>
      <c r="V106" s="148"/>
      <c r="W106" s="1"/>
      <c r="X106" s="1"/>
      <c r="Y106" s="1"/>
      <c r="Z106" s="1"/>
      <c r="AA106" s="1"/>
      <c r="AB106" s="123"/>
      <c r="AC106" s="124"/>
      <c r="AD106" s="124"/>
      <c r="AE106" s="125"/>
      <c r="AF106" s="125"/>
      <c r="AG106" s="125"/>
      <c r="AH106" s="125"/>
      <c r="AI106" s="18"/>
      <c r="AJ106" s="18"/>
      <c r="AK106" s="18"/>
      <c r="AL106" s="18"/>
      <c r="AM106" s="18"/>
      <c r="AN106" s="1"/>
      <c r="AO106" s="3"/>
      <c r="AP106" s="19"/>
      <c r="AT106" s="1"/>
    </row>
    <row r="107" spans="1:46" ht="15" customHeight="1">
      <c r="A107" s="738"/>
      <c r="B107" s="720">
        <v>0.50694444444444442</v>
      </c>
      <c r="C107" s="775">
        <v>0.51736111111111105</v>
      </c>
      <c r="D107" s="284"/>
      <c r="E107" s="285"/>
      <c r="F107" s="769">
        <f>H107</f>
        <v>0.60069444444444442</v>
      </c>
      <c r="G107" s="286"/>
      <c r="H107" s="98">
        <f>I107-TIME(3,0,0)</f>
        <v>0.60069444444444442</v>
      </c>
      <c r="I107" s="99">
        <v>0.72569444444444442</v>
      </c>
      <c r="J107" s="175" t="s">
        <v>65</v>
      </c>
      <c r="K107" s="34">
        <v>18</v>
      </c>
      <c r="L107" s="34"/>
      <c r="M107" s="34"/>
      <c r="N107" s="34"/>
      <c r="O107" s="35">
        <v>21</v>
      </c>
      <c r="P107" s="102"/>
      <c r="Q107" s="102"/>
      <c r="R107" s="102"/>
      <c r="S107" s="129">
        <v>1</v>
      </c>
      <c r="T107" s="129"/>
      <c r="U107" s="130" t="s">
        <v>161</v>
      </c>
      <c r="V107" s="148"/>
      <c r="W107" s="1"/>
      <c r="X107" s="1"/>
      <c r="Y107" s="1"/>
      <c r="Z107" s="1"/>
      <c r="AA107" s="1"/>
      <c r="AB107" s="123"/>
      <c r="AC107" s="124"/>
      <c r="AD107" s="124"/>
      <c r="AE107" s="125"/>
      <c r="AF107" s="125"/>
      <c r="AG107" s="125"/>
      <c r="AH107" s="125"/>
      <c r="AI107" s="18"/>
      <c r="AJ107" s="18"/>
      <c r="AK107" s="18"/>
      <c r="AL107" s="18"/>
      <c r="AM107" s="18"/>
      <c r="AN107" s="1"/>
      <c r="AO107" s="3"/>
      <c r="AP107" s="19"/>
      <c r="AT107" s="1"/>
    </row>
    <row r="108" spans="1:46" ht="15" customHeight="1">
      <c r="A108" s="738"/>
      <c r="B108" s="720"/>
      <c r="C108" s="722"/>
      <c r="D108" s="161"/>
      <c r="E108" s="178"/>
      <c r="F108" s="748"/>
      <c r="G108" s="177"/>
      <c r="H108" s="109">
        <f t="shared" si="16"/>
        <v>0.61458333333333337</v>
      </c>
      <c r="I108" s="110">
        <v>0.73958333333333337</v>
      </c>
      <c r="J108" s="111" t="s">
        <v>66</v>
      </c>
      <c r="K108" s="28">
        <v>1</v>
      </c>
      <c r="L108" s="179"/>
      <c r="M108" s="28"/>
      <c r="N108" s="28"/>
      <c r="O108" s="41"/>
      <c r="P108" s="74"/>
      <c r="Q108" s="74"/>
      <c r="R108" s="74"/>
      <c r="S108" s="74"/>
      <c r="T108" s="74"/>
      <c r="U108" s="1"/>
      <c r="V108" s="1"/>
      <c r="W108" s="1"/>
      <c r="X108" s="1"/>
      <c r="Y108" s="1"/>
      <c r="Z108" s="1"/>
      <c r="AA108" s="1"/>
      <c r="AB108" s="123"/>
      <c r="AC108" s="124"/>
      <c r="AD108" s="124"/>
      <c r="AE108" s="125"/>
      <c r="AF108" s="125"/>
      <c r="AG108" s="125"/>
      <c r="AH108" s="125"/>
      <c r="AI108" s="18"/>
      <c r="AJ108" s="18"/>
      <c r="AK108" s="18"/>
      <c r="AL108" s="18"/>
      <c r="AM108" s="18"/>
      <c r="AN108" s="1" t="str">
        <f t="shared" si="14"/>
        <v>INTER PARNASKE 689</v>
      </c>
      <c r="AO108" s="3" t="s">
        <v>26</v>
      </c>
      <c r="AP108" s="19">
        <v>45923</v>
      </c>
      <c r="AQ108" s="5" t="s">
        <v>81</v>
      </c>
      <c r="AR108" s="5" t="s">
        <v>162</v>
      </c>
      <c r="AS108" s="6">
        <v>0.55208333333333337</v>
      </c>
      <c r="AT108" s="1"/>
    </row>
    <row r="109" spans="1:46" ht="15" customHeight="1">
      <c r="A109" s="738"/>
      <c r="B109" s="720"/>
      <c r="C109" s="722"/>
      <c r="D109" s="161"/>
      <c r="E109" s="287"/>
      <c r="F109" s="748"/>
      <c r="G109" s="177"/>
      <c r="H109" s="83">
        <f t="shared" si="16"/>
        <v>0.62152777777777779</v>
      </c>
      <c r="I109" s="84">
        <v>0.74652777777777779</v>
      </c>
      <c r="J109" s="85" t="s">
        <v>152</v>
      </c>
      <c r="K109" s="180">
        <v>2</v>
      </c>
      <c r="L109" s="23"/>
      <c r="M109" s="23"/>
      <c r="N109" s="23"/>
      <c r="O109" s="24"/>
      <c r="P109" s="87"/>
      <c r="Q109" s="87"/>
      <c r="R109" s="87"/>
      <c r="S109" s="87"/>
      <c r="T109" s="87"/>
      <c r="U109" s="1"/>
      <c r="V109" s="1"/>
      <c r="W109" s="1"/>
      <c r="X109" s="1"/>
      <c r="Y109" s="1"/>
      <c r="Z109" s="1"/>
      <c r="AA109" s="1"/>
      <c r="AB109" s="123"/>
      <c r="AC109" s="124"/>
      <c r="AD109" s="124"/>
      <c r="AE109" s="125"/>
      <c r="AF109" s="125"/>
      <c r="AG109" s="125"/>
      <c r="AH109" s="125"/>
      <c r="AI109" s="18"/>
      <c r="AJ109" s="18"/>
      <c r="AK109" s="18"/>
      <c r="AL109" s="18"/>
      <c r="AM109" s="18"/>
      <c r="AN109" s="1" t="str">
        <f t="shared" si="14"/>
        <v>INTER PARNAS7C 2103</v>
      </c>
      <c r="AO109" s="3" t="s">
        <v>26</v>
      </c>
      <c r="AP109" s="19">
        <v>45923</v>
      </c>
      <c r="AQ109" s="5" t="s">
        <v>81</v>
      </c>
      <c r="AR109" s="5" t="s">
        <v>163</v>
      </c>
      <c r="AS109" s="6">
        <v>0.55208333333333337</v>
      </c>
      <c r="AT109" s="1"/>
    </row>
    <row r="110" spans="1:46" ht="15" customHeight="1">
      <c r="A110" s="738"/>
      <c r="B110" s="765">
        <f>C110-TIME(0,15,0)</f>
        <v>0.53472222222222221</v>
      </c>
      <c r="C110" s="767">
        <f>D110-TIME(0,30,0)</f>
        <v>0.54513888888888884</v>
      </c>
      <c r="D110" s="769">
        <f>E110-TIME(0,15,0)</f>
        <v>0.56597222222222221</v>
      </c>
      <c r="E110" s="771">
        <f>G110-TIME(1,15,0)</f>
        <v>0.57638888888888884</v>
      </c>
      <c r="F110" s="773"/>
      <c r="G110" s="769">
        <f>H110</f>
        <v>0.62847222222222221</v>
      </c>
      <c r="H110" s="98">
        <f t="shared" si="16"/>
        <v>0.62847222222222221</v>
      </c>
      <c r="I110" s="99">
        <v>0.75347222222222221</v>
      </c>
      <c r="J110" s="100" t="s">
        <v>67</v>
      </c>
      <c r="K110" s="34"/>
      <c r="L110" s="34"/>
      <c r="M110" s="34">
        <v>1</v>
      </c>
      <c r="N110" s="34"/>
      <c r="O110" s="35">
        <f>SUM(J110:N113)</f>
        <v>11</v>
      </c>
      <c r="P110" s="102"/>
      <c r="Q110" s="129">
        <v>1</v>
      </c>
      <c r="R110" s="129"/>
      <c r="S110" s="129"/>
      <c r="T110" s="129"/>
      <c r="U110" s="130" t="s">
        <v>164</v>
      </c>
      <c r="V110" s="1"/>
      <c r="W110" s="1"/>
      <c r="X110" s="1"/>
      <c r="Y110" s="1"/>
      <c r="Z110" s="1"/>
      <c r="AA110" s="1"/>
      <c r="AB110" s="123"/>
      <c r="AC110" s="124"/>
      <c r="AD110" s="124"/>
      <c r="AE110" s="125"/>
      <c r="AF110" s="125"/>
      <c r="AG110" s="125"/>
      <c r="AH110" s="125"/>
      <c r="AI110" s="18"/>
      <c r="AJ110" s="18"/>
      <c r="AK110" s="18"/>
      <c r="AL110" s="18"/>
      <c r="AM110" s="18"/>
      <c r="AN110" s="1" t="str">
        <f t="shared" si="14"/>
        <v>INTER PARNASAC 62</v>
      </c>
      <c r="AO110" s="3" t="s">
        <v>26</v>
      </c>
      <c r="AP110" s="19">
        <v>45923</v>
      </c>
      <c r="AQ110" s="5" t="s">
        <v>81</v>
      </c>
      <c r="AR110" s="5" t="s">
        <v>71</v>
      </c>
      <c r="AS110" s="6">
        <v>0.55208333333333337</v>
      </c>
      <c r="AT110" s="1"/>
    </row>
    <row r="111" spans="1:46" ht="15" customHeight="1">
      <c r="A111" s="738"/>
      <c r="B111" s="720"/>
      <c r="C111" s="734"/>
      <c r="D111" s="748"/>
      <c r="E111" s="716"/>
      <c r="F111" s="685"/>
      <c r="G111" s="748"/>
      <c r="H111" s="109">
        <f t="shared" si="16"/>
        <v>0.63888888888888884</v>
      </c>
      <c r="I111" s="110">
        <v>0.76388888888888884</v>
      </c>
      <c r="J111" s="111" t="s">
        <v>154</v>
      </c>
      <c r="K111" s="28"/>
      <c r="L111" s="28"/>
      <c r="M111" s="28">
        <v>1</v>
      </c>
      <c r="N111" s="28">
        <v>1</v>
      </c>
      <c r="O111" s="41"/>
      <c r="P111" s="74"/>
      <c r="Q111" s="181">
        <v>1</v>
      </c>
      <c r="R111" s="181"/>
      <c r="S111" s="181"/>
      <c r="T111" s="181"/>
      <c r="U111" s="182" t="s">
        <v>165</v>
      </c>
      <c r="V111" s="1"/>
      <c r="W111" s="1"/>
      <c r="X111" s="1"/>
      <c r="Y111" s="1"/>
      <c r="Z111" s="1"/>
      <c r="AA111" s="1"/>
      <c r="AB111" s="123"/>
      <c r="AC111" s="124"/>
      <c r="AD111" s="124"/>
      <c r="AE111" s="125"/>
      <c r="AF111" s="125"/>
      <c r="AG111" s="125"/>
      <c r="AH111" s="125"/>
      <c r="AI111" s="18"/>
      <c r="AJ111" s="18"/>
      <c r="AK111" s="18"/>
      <c r="AL111" s="18"/>
      <c r="AM111" s="18"/>
      <c r="AN111" s="1" t="str">
        <f t="shared" si="14"/>
        <v>INTER PARNASOZ 703</v>
      </c>
      <c r="AO111" s="3" t="s">
        <v>26</v>
      </c>
      <c r="AP111" s="19">
        <v>45923</v>
      </c>
      <c r="AQ111" s="5" t="s">
        <v>81</v>
      </c>
      <c r="AR111" s="5" t="s">
        <v>72</v>
      </c>
      <c r="AS111" s="6">
        <v>0.55208333333333337</v>
      </c>
      <c r="AT111" s="1"/>
    </row>
    <row r="112" spans="1:46" ht="15" customHeight="1">
      <c r="A112" s="738"/>
      <c r="B112" s="720"/>
      <c r="C112" s="734"/>
      <c r="D112" s="748"/>
      <c r="E112" s="716"/>
      <c r="F112" s="685"/>
      <c r="G112" s="748"/>
      <c r="H112" s="109">
        <f t="shared" si="16"/>
        <v>0.65277777777777779</v>
      </c>
      <c r="I112" s="26">
        <v>0.77777777777777779</v>
      </c>
      <c r="J112" s="28" t="s">
        <v>155</v>
      </c>
      <c r="K112" s="29"/>
      <c r="L112" s="28"/>
      <c r="M112" s="28">
        <v>6</v>
      </c>
      <c r="N112" s="28"/>
      <c r="O112" s="41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 t="str">
        <f t="shared" si="14"/>
        <v>INTER PARNASDL 196</v>
      </c>
      <c r="AO112" s="3" t="s">
        <v>26</v>
      </c>
      <c r="AP112" s="19">
        <v>45923</v>
      </c>
      <c r="AQ112" s="5" t="s">
        <v>81</v>
      </c>
      <c r="AR112" s="5" t="s">
        <v>166</v>
      </c>
      <c r="AS112" s="6">
        <v>0.55208333333333337</v>
      </c>
      <c r="AT112" s="1"/>
    </row>
    <row r="113" spans="1:46" ht="15" customHeight="1">
      <c r="A113" s="738"/>
      <c r="B113" s="766"/>
      <c r="C113" s="768"/>
      <c r="D113" s="770"/>
      <c r="E113" s="772"/>
      <c r="F113" s="774"/>
      <c r="G113" s="770"/>
      <c r="H113" s="83">
        <f t="shared" si="16"/>
        <v>0.65277777777777779</v>
      </c>
      <c r="I113" s="20">
        <v>0.77777777777777779</v>
      </c>
      <c r="J113" s="23" t="s">
        <v>156</v>
      </c>
      <c r="K113" s="183"/>
      <c r="L113" s="23"/>
      <c r="M113" s="23"/>
      <c r="N113" s="23">
        <v>2</v>
      </c>
      <c r="O113" s="24"/>
      <c r="P113" s="23"/>
      <c r="Q113" s="23"/>
      <c r="R113" s="23"/>
      <c r="S113" s="23"/>
      <c r="T113" s="2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 t="str">
        <f t="shared" si="14"/>
        <v>INTER PARNASDL 172</v>
      </c>
      <c r="AO113" s="3" t="s">
        <v>26</v>
      </c>
      <c r="AP113" s="19">
        <v>45923</v>
      </c>
      <c r="AQ113" s="5" t="s">
        <v>81</v>
      </c>
      <c r="AR113" s="5" t="s">
        <v>73</v>
      </c>
      <c r="AS113" s="6">
        <v>0.60069444444444442</v>
      </c>
      <c r="AT113" s="1"/>
    </row>
    <row r="114" spans="1:46" ht="15" customHeight="1">
      <c r="A114" s="738"/>
      <c r="B114" s="184"/>
      <c r="C114" s="185"/>
      <c r="D114" s="719">
        <f>E114-TIME(0,15,0)</f>
        <v>0.58333333333333337</v>
      </c>
      <c r="E114" s="763">
        <f>F114-TIME(1,15,0)</f>
        <v>0.59375</v>
      </c>
      <c r="F114" s="764">
        <f>G114-TIME(0,20,0)</f>
        <v>0.64583333333333337</v>
      </c>
      <c r="G114" s="719">
        <f>H114</f>
        <v>0.65972222222222221</v>
      </c>
      <c r="H114" s="98">
        <f t="shared" si="16"/>
        <v>0.65972222222222221</v>
      </c>
      <c r="I114" s="33">
        <v>0.78472222222222221</v>
      </c>
      <c r="J114" s="34" t="s">
        <v>69</v>
      </c>
      <c r="K114" s="120"/>
      <c r="L114" s="34"/>
      <c r="M114" s="34">
        <v>6</v>
      </c>
      <c r="N114" s="34">
        <v>7</v>
      </c>
      <c r="O114" s="35">
        <v>25</v>
      </c>
      <c r="P114" s="34"/>
      <c r="Q114" s="34"/>
      <c r="R114" s="34"/>
      <c r="S114" s="186">
        <v>1</v>
      </c>
      <c r="T114" s="186"/>
      <c r="U114" s="130" t="s">
        <v>164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 t="str">
        <f t="shared" si="14"/>
        <v>INTER PARNASKE 477</v>
      </c>
      <c r="AO114" s="3" t="s">
        <v>26</v>
      </c>
      <c r="AP114" s="19">
        <v>45923</v>
      </c>
      <c r="AQ114" s="5" t="s">
        <v>81</v>
      </c>
      <c r="AR114" s="5" t="s">
        <v>167</v>
      </c>
      <c r="AS114" s="6">
        <v>0.60069444444444442</v>
      </c>
      <c r="AT114" s="1"/>
    </row>
    <row r="115" spans="1:46" ht="15" customHeight="1">
      <c r="A115" s="738"/>
      <c r="B115" s="161"/>
      <c r="C115" s="161"/>
      <c r="D115" s="719"/>
      <c r="E115" s="763"/>
      <c r="F115" s="764"/>
      <c r="G115" s="719"/>
      <c r="H115" s="109">
        <f t="shared" si="16"/>
        <v>0.65972222222222221</v>
      </c>
      <c r="I115" s="26">
        <v>0.78472222222222221</v>
      </c>
      <c r="J115" s="28" t="s">
        <v>160</v>
      </c>
      <c r="K115" s="28"/>
      <c r="L115" s="28"/>
      <c r="M115" s="28"/>
      <c r="N115" s="28">
        <v>2</v>
      </c>
      <c r="O115" s="41"/>
      <c r="P115" s="28"/>
      <c r="Q115" s="28"/>
      <c r="R115" s="28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 t="str">
        <f t="shared" si="14"/>
        <v>INTER PARNASKE 615</v>
      </c>
      <c r="AO115" s="3" t="s">
        <v>26</v>
      </c>
      <c r="AP115" s="19">
        <v>45923</v>
      </c>
      <c r="AQ115" s="5" t="s">
        <v>81</v>
      </c>
      <c r="AR115" s="5" t="s">
        <v>168</v>
      </c>
      <c r="AS115" s="6">
        <v>0.60069444444444442</v>
      </c>
      <c r="AT115" s="1"/>
    </row>
    <row r="116" spans="1:46" ht="15" customHeight="1">
      <c r="A116" s="738"/>
      <c r="B116" s="161"/>
      <c r="C116" s="161"/>
      <c r="D116" s="719"/>
      <c r="E116" s="763"/>
      <c r="F116" s="764"/>
      <c r="G116" s="719"/>
      <c r="H116" s="109">
        <f t="shared" si="16"/>
        <v>0.65972222222222221</v>
      </c>
      <c r="I116" s="26">
        <v>0.78472222222222221</v>
      </c>
      <c r="J116" s="28" t="s">
        <v>162</v>
      </c>
      <c r="K116" s="28"/>
      <c r="L116" s="28"/>
      <c r="M116" s="28">
        <v>8</v>
      </c>
      <c r="N116" s="28"/>
      <c r="O116" s="41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 t="str">
        <f t="shared" si="14"/>
        <v>INTER PARNASKE 625</v>
      </c>
      <c r="AO116" s="3" t="s">
        <v>26</v>
      </c>
      <c r="AP116" s="19">
        <v>45923</v>
      </c>
      <c r="AQ116" s="5" t="s">
        <v>81</v>
      </c>
      <c r="AR116" s="5" t="s">
        <v>75</v>
      </c>
      <c r="AS116" s="6">
        <v>0.60069444444444442</v>
      </c>
      <c r="AT116" s="1"/>
    </row>
    <row r="117" spans="1:46" ht="15" customHeight="1">
      <c r="A117" s="738"/>
      <c r="B117" s="161"/>
      <c r="C117" s="161"/>
      <c r="D117" s="719"/>
      <c r="E117" s="763"/>
      <c r="F117" s="764"/>
      <c r="G117" s="719"/>
      <c r="H117" s="83">
        <f>I117-TIME(3,0,0)</f>
        <v>0.68055555555555558</v>
      </c>
      <c r="I117" s="20">
        <v>0.80555555555555558</v>
      </c>
      <c r="J117" s="23" t="s">
        <v>166</v>
      </c>
      <c r="K117" s="23"/>
      <c r="L117" s="23"/>
      <c r="M117" s="23">
        <v>2</v>
      </c>
      <c r="N117" s="23"/>
      <c r="O117" s="24"/>
      <c r="P117" s="23"/>
      <c r="Q117" s="23"/>
      <c r="R117" s="23"/>
      <c r="S117" s="23"/>
      <c r="T117" s="2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3"/>
      <c r="AP117" s="19"/>
      <c r="AT117" s="1"/>
    </row>
    <row r="118" spans="1:46" ht="15" customHeight="1">
      <c r="A118" s="738"/>
      <c r="B118" s="719">
        <v>0.55208333333333337</v>
      </c>
      <c r="C118" s="721">
        <v>0.5625</v>
      </c>
      <c r="D118" s="184"/>
      <c r="E118" s="187"/>
      <c r="F118" s="764">
        <v>0.64583333333333337</v>
      </c>
      <c r="G118" s="719">
        <v>0.65972222222222221</v>
      </c>
      <c r="H118" s="98">
        <f t="shared" si="16"/>
        <v>0.67013888888888884</v>
      </c>
      <c r="I118" s="33">
        <v>0.79513888888888884</v>
      </c>
      <c r="J118" s="34" t="s">
        <v>163</v>
      </c>
      <c r="K118" s="34"/>
      <c r="L118" s="34">
        <v>5</v>
      </c>
      <c r="M118" s="34"/>
      <c r="N118" s="34"/>
      <c r="O118" s="35">
        <v>19</v>
      </c>
      <c r="P118" s="34"/>
      <c r="Q118" s="34"/>
      <c r="R118" s="34"/>
      <c r="S118" s="188">
        <v>1</v>
      </c>
      <c r="T118" s="188"/>
      <c r="U118" s="130" t="s">
        <v>136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 t="str">
        <f t="shared" si="14"/>
        <v>INTER PARNASDL 7833</v>
      </c>
      <c r="AO118" s="3" t="s">
        <v>26</v>
      </c>
      <c r="AP118" s="19">
        <v>45923</v>
      </c>
      <c r="AQ118" s="5" t="s">
        <v>81</v>
      </c>
      <c r="AR118" s="5" t="s">
        <v>169</v>
      </c>
      <c r="AS118" s="6">
        <v>0.61805555555555558</v>
      </c>
      <c r="AT118" s="1"/>
    </row>
    <row r="119" spans="1:46" ht="15" customHeight="1">
      <c r="A119" s="738"/>
      <c r="B119" s="719"/>
      <c r="C119" s="721"/>
      <c r="D119" s="161"/>
      <c r="E119" s="178"/>
      <c r="F119" s="764"/>
      <c r="G119" s="719"/>
      <c r="H119" s="109">
        <f t="shared" si="16"/>
        <v>0.67013888888888884</v>
      </c>
      <c r="I119" s="26">
        <v>0.79513888888888884</v>
      </c>
      <c r="J119" s="28" t="s">
        <v>71</v>
      </c>
      <c r="K119" s="28">
        <v>4</v>
      </c>
      <c r="L119" s="28">
        <v>5</v>
      </c>
      <c r="M119" s="28"/>
      <c r="N119" s="28"/>
      <c r="O119" s="41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 t="str">
        <f t="shared" si="14"/>
        <v>INTER PARNASKE 11</v>
      </c>
      <c r="AO119" s="3" t="s">
        <v>26</v>
      </c>
      <c r="AP119" s="19">
        <v>45923</v>
      </c>
      <c r="AQ119" s="5" t="s">
        <v>81</v>
      </c>
      <c r="AR119" s="5" t="s">
        <v>170</v>
      </c>
      <c r="AS119" s="6">
        <v>0.61805555555555558</v>
      </c>
      <c r="AT119" s="1"/>
    </row>
    <row r="120" spans="1:46" ht="15" customHeight="1">
      <c r="A120" s="738"/>
      <c r="B120" s="719"/>
      <c r="C120" s="721"/>
      <c r="D120" s="161"/>
      <c r="E120" s="178"/>
      <c r="F120" s="764"/>
      <c r="G120" s="719"/>
      <c r="H120" s="83">
        <f t="shared" si="16"/>
        <v>0.67708333333333337</v>
      </c>
      <c r="I120" s="20">
        <v>0.80208333333333337</v>
      </c>
      <c r="J120" s="23" t="s">
        <v>72</v>
      </c>
      <c r="K120" s="23"/>
      <c r="L120" s="23">
        <v>5</v>
      </c>
      <c r="M120" s="23"/>
      <c r="N120" s="23"/>
      <c r="O120" s="24"/>
      <c r="P120" s="23"/>
      <c r="Q120" s="23"/>
      <c r="R120" s="23"/>
      <c r="S120" s="23"/>
      <c r="T120" s="2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 t="str">
        <f t="shared" si="14"/>
        <v>INTER PARNASPR 469</v>
      </c>
      <c r="AO120" s="3" t="s">
        <v>26</v>
      </c>
      <c r="AP120" s="19">
        <v>45923</v>
      </c>
      <c r="AQ120" s="5" t="s">
        <v>81</v>
      </c>
      <c r="AR120" s="5" t="s">
        <v>171</v>
      </c>
      <c r="AS120" s="6">
        <v>0.61805555555555558</v>
      </c>
      <c r="AT120" s="1"/>
    </row>
    <row r="121" spans="1:46" ht="15" customHeight="1">
      <c r="A121" s="801"/>
      <c r="B121" s="759">
        <f>C121-TIME(0,15,0)</f>
        <v>0.60069444444444442</v>
      </c>
      <c r="C121" s="761">
        <f>D121-TIME(0,30,0)</f>
        <v>0.61111111111111105</v>
      </c>
      <c r="D121" s="759">
        <f>E121-TIME(0,15,0)</f>
        <v>0.63194444444444442</v>
      </c>
      <c r="E121" s="761">
        <f>G121-TIME(1,15,0)</f>
        <v>0.64236111111111105</v>
      </c>
      <c r="F121" s="762"/>
      <c r="G121" s="759">
        <f>H122</f>
        <v>0.69444444444444442</v>
      </c>
      <c r="H121" s="281">
        <f>I121-TIME(3,0,0)</f>
        <v>0.6875</v>
      </c>
      <c r="I121" s="33">
        <v>0.8125</v>
      </c>
      <c r="J121" s="34" t="s">
        <v>172</v>
      </c>
      <c r="K121" s="34"/>
      <c r="L121" s="34"/>
      <c r="M121" s="34"/>
      <c r="N121" s="34">
        <v>1</v>
      </c>
      <c r="O121" s="35">
        <f>SUM(K121:N125)</f>
        <v>22</v>
      </c>
      <c r="P121" s="34"/>
      <c r="Q121" s="34"/>
      <c r="R121" s="34"/>
      <c r="S121" s="186">
        <v>1</v>
      </c>
      <c r="T121" s="186"/>
      <c r="U121" s="130" t="s">
        <v>164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 t="str">
        <f t="shared" si="14"/>
        <v>INTER PARNASWS 87</v>
      </c>
      <c r="AO121" s="3" t="s">
        <v>26</v>
      </c>
      <c r="AP121" s="19">
        <v>45923</v>
      </c>
      <c r="AQ121" s="5" t="s">
        <v>81</v>
      </c>
      <c r="AR121" s="5" t="s">
        <v>77</v>
      </c>
      <c r="AS121" s="6">
        <v>0.61805555555555558</v>
      </c>
      <c r="AT121" s="1"/>
    </row>
    <row r="122" spans="1:46" ht="15" customHeight="1">
      <c r="A122" s="801"/>
      <c r="B122" s="759"/>
      <c r="C122" s="761"/>
      <c r="D122" s="759"/>
      <c r="E122" s="761"/>
      <c r="F122" s="762"/>
      <c r="G122" s="759"/>
      <c r="H122" s="282">
        <f t="shared" ref="H122:H140" si="17">I122-TIME(3,0,0)</f>
        <v>0.69444444444444442</v>
      </c>
      <c r="I122" s="26">
        <v>0.81944444444444442</v>
      </c>
      <c r="J122" s="28" t="s">
        <v>73</v>
      </c>
      <c r="K122" s="28"/>
      <c r="L122" s="28"/>
      <c r="M122" s="28">
        <v>2</v>
      </c>
      <c r="N122" s="42">
        <v>12</v>
      </c>
      <c r="O122" s="41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 t="str">
        <f t="shared" si="14"/>
        <v>INTER PARNAS7C 2113</v>
      </c>
      <c r="AO122" s="3" t="s">
        <v>26</v>
      </c>
      <c r="AP122" s="19">
        <v>45923</v>
      </c>
      <c r="AQ122" s="5" t="s">
        <v>81</v>
      </c>
      <c r="AR122" s="5" t="s">
        <v>173</v>
      </c>
      <c r="AS122" s="6">
        <v>0.61805555555555558</v>
      </c>
      <c r="AT122" s="1"/>
    </row>
    <row r="123" spans="1:46" ht="15" customHeight="1">
      <c r="A123" s="801"/>
      <c r="B123" s="759"/>
      <c r="C123" s="761"/>
      <c r="D123" s="759"/>
      <c r="E123" s="761"/>
      <c r="F123" s="762"/>
      <c r="G123" s="759"/>
      <c r="H123" s="282">
        <f t="shared" si="17"/>
        <v>0.69791666666666663</v>
      </c>
      <c r="I123" s="26">
        <v>0.82291666666666663</v>
      </c>
      <c r="J123" s="28" t="s">
        <v>167</v>
      </c>
      <c r="K123" s="28"/>
      <c r="L123" s="28"/>
      <c r="M123" s="28">
        <v>2</v>
      </c>
      <c r="N123" s="28"/>
      <c r="O123" s="41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 t="str">
        <f t="shared" si="14"/>
        <v>INTER PARNASOZ 212</v>
      </c>
      <c r="AO123" s="3" t="s">
        <v>26</v>
      </c>
      <c r="AP123" s="19">
        <v>45923</v>
      </c>
      <c r="AQ123" s="5" t="s">
        <v>81</v>
      </c>
      <c r="AR123" s="5" t="s">
        <v>174</v>
      </c>
      <c r="AS123" s="6">
        <v>0.61805555555555558</v>
      </c>
      <c r="AT123" s="1"/>
    </row>
    <row r="124" spans="1:46" ht="15" customHeight="1">
      <c r="A124" s="801"/>
      <c r="B124" s="759"/>
      <c r="C124" s="761"/>
      <c r="D124" s="759"/>
      <c r="E124" s="761"/>
      <c r="F124" s="762"/>
      <c r="G124" s="759"/>
      <c r="H124" s="282">
        <f t="shared" si="17"/>
        <v>0.71180555555555558</v>
      </c>
      <c r="I124" s="26">
        <v>0.83680555555555558</v>
      </c>
      <c r="J124" s="28" t="s">
        <v>168</v>
      </c>
      <c r="K124" s="28"/>
      <c r="L124" s="28"/>
      <c r="M124" s="28"/>
      <c r="N124" s="28">
        <v>3</v>
      </c>
      <c r="O124" s="41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 t="str">
        <f t="shared" si="14"/>
        <v>INTER PARNAS7C 2125</v>
      </c>
      <c r="AO124" s="3" t="s">
        <v>26</v>
      </c>
      <c r="AP124" s="19">
        <v>45923</v>
      </c>
      <c r="AQ124" s="5" t="s">
        <v>81</v>
      </c>
      <c r="AR124" s="5" t="s">
        <v>175</v>
      </c>
      <c r="AS124" s="6">
        <v>0.65277777777777779</v>
      </c>
      <c r="AT124" s="1"/>
    </row>
    <row r="125" spans="1:46" ht="15" customHeight="1">
      <c r="A125" s="801"/>
      <c r="B125" s="759"/>
      <c r="C125" s="761"/>
      <c r="D125" s="759"/>
      <c r="E125" s="761"/>
      <c r="F125" s="762"/>
      <c r="G125" s="759"/>
      <c r="H125" s="283">
        <f t="shared" si="17"/>
        <v>0.71875</v>
      </c>
      <c r="I125" s="20">
        <v>0.84375</v>
      </c>
      <c r="J125" s="23" t="s">
        <v>75</v>
      </c>
      <c r="K125" s="23"/>
      <c r="L125" s="23"/>
      <c r="M125" s="23"/>
      <c r="N125" s="23">
        <v>2</v>
      </c>
      <c r="O125" s="24"/>
      <c r="P125" s="23"/>
      <c r="Q125" s="23"/>
      <c r="R125" s="23"/>
      <c r="S125" s="23"/>
      <c r="T125" s="2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 t="str">
        <f t="shared" si="14"/>
        <v>INTER PARNASOZ 709</v>
      </c>
      <c r="AO125" s="3" t="s">
        <v>26</v>
      </c>
      <c r="AP125" s="19">
        <v>45923</v>
      </c>
      <c r="AQ125" s="5" t="s">
        <v>81</v>
      </c>
      <c r="AR125" s="5" t="s">
        <v>176</v>
      </c>
      <c r="AS125" s="6">
        <v>0.65277777777777779</v>
      </c>
      <c r="AT125" s="1"/>
    </row>
    <row r="126" spans="1:46" ht="15" customHeight="1">
      <c r="A126" s="738"/>
      <c r="B126" s="751">
        <f>C126-TIME(0,15,0)</f>
        <v>0.61805555555555558</v>
      </c>
      <c r="C126" s="756">
        <f>D126-TIME(0,30,0)</f>
        <v>0.62847222222222221</v>
      </c>
      <c r="D126" s="758">
        <f>E126-TIME(0,15,0)</f>
        <v>0.64930555555555558</v>
      </c>
      <c r="E126" s="760">
        <f>F126-TIME(1,15,0)</f>
        <v>0.65972222222222221</v>
      </c>
      <c r="F126" s="758">
        <f>G126-TIME(0,20,0)</f>
        <v>0.71180555555555558</v>
      </c>
      <c r="G126" s="758">
        <f>H126</f>
        <v>0.72569444444444442</v>
      </c>
      <c r="H126" s="281">
        <f t="shared" si="17"/>
        <v>0.72569444444444442</v>
      </c>
      <c r="I126" s="33">
        <v>0.85069444444444442</v>
      </c>
      <c r="J126" s="34" t="s">
        <v>169</v>
      </c>
      <c r="K126" s="34"/>
      <c r="L126" s="34"/>
      <c r="M126" s="34"/>
      <c r="N126" s="34">
        <v>2</v>
      </c>
      <c r="O126" s="189">
        <f>SUM(K126:N129)+SUM(K130:N131)</f>
        <v>19</v>
      </c>
      <c r="P126" s="34"/>
      <c r="Q126" s="34"/>
      <c r="R126" s="34"/>
      <c r="S126" s="190">
        <v>1</v>
      </c>
      <c r="T126" s="190"/>
      <c r="U126" s="116" t="s">
        <v>148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 t="str">
        <f t="shared" si="14"/>
        <v>INTER PARNASYP 131</v>
      </c>
      <c r="AO126" s="3" t="s">
        <v>26</v>
      </c>
      <c r="AP126" s="19">
        <v>45923</v>
      </c>
      <c r="AQ126" s="5" t="s">
        <v>81</v>
      </c>
      <c r="AR126" s="5" t="s">
        <v>177</v>
      </c>
      <c r="AS126" s="6">
        <v>0.65277777777777779</v>
      </c>
      <c r="AT126" s="1"/>
    </row>
    <row r="127" spans="1:46" ht="15" customHeight="1">
      <c r="A127" s="738"/>
      <c r="B127" s="755"/>
      <c r="C127" s="757"/>
      <c r="D127" s="759"/>
      <c r="E127" s="761"/>
      <c r="F127" s="759"/>
      <c r="G127" s="759"/>
      <c r="H127" s="282">
        <f t="shared" si="17"/>
        <v>0.72569444444444442</v>
      </c>
      <c r="I127" s="26">
        <v>0.85069444444444442</v>
      </c>
      <c r="J127" s="28" t="s">
        <v>170</v>
      </c>
      <c r="K127" s="28"/>
      <c r="L127" s="28"/>
      <c r="M127" s="28"/>
      <c r="N127" s="28">
        <v>3</v>
      </c>
      <c r="O127" s="41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80"/>
      <c r="AN127" s="1" t="str">
        <f t="shared" si="14"/>
        <v>INTER PARNAS7C 2107</v>
      </c>
      <c r="AO127" s="3" t="s">
        <v>26</v>
      </c>
      <c r="AP127" s="19">
        <v>45923</v>
      </c>
      <c r="AQ127" s="5" t="s">
        <v>81</v>
      </c>
      <c r="AR127" s="5" t="s">
        <v>178</v>
      </c>
      <c r="AS127" s="6">
        <v>0.65277777777777779</v>
      </c>
      <c r="AT127" s="1"/>
    </row>
    <row r="128" spans="1:46" ht="15" customHeight="1">
      <c r="A128" s="738"/>
      <c r="B128" s="755"/>
      <c r="C128" s="757"/>
      <c r="D128" s="759"/>
      <c r="E128" s="761"/>
      <c r="F128" s="759"/>
      <c r="G128" s="759"/>
      <c r="H128" s="282">
        <f t="shared" si="17"/>
        <v>0.72916666666666663</v>
      </c>
      <c r="I128" s="26">
        <v>0.85416666666666663</v>
      </c>
      <c r="J128" s="28" t="s">
        <v>171</v>
      </c>
      <c r="K128" s="28"/>
      <c r="L128" s="28">
        <v>3</v>
      </c>
      <c r="M128" s="28"/>
      <c r="N128" s="28"/>
      <c r="O128" s="41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 t="str">
        <f t="shared" si="14"/>
        <v>INTER PARNASJQ 48</v>
      </c>
      <c r="AO128" s="3" t="s">
        <v>26</v>
      </c>
      <c r="AP128" s="19">
        <v>45923</v>
      </c>
      <c r="AQ128" s="5" t="s">
        <v>81</v>
      </c>
      <c r="AR128" s="5" t="s">
        <v>179</v>
      </c>
      <c r="AS128" s="6">
        <v>0.67361111111111116</v>
      </c>
      <c r="AT128" s="1"/>
    </row>
    <row r="129" spans="1:46" ht="15" customHeight="1">
      <c r="A129" s="738"/>
      <c r="B129" s="755"/>
      <c r="C129" s="757"/>
      <c r="D129" s="759"/>
      <c r="E129" s="761"/>
      <c r="F129" s="759"/>
      <c r="G129" s="759"/>
      <c r="H129" s="282">
        <f t="shared" si="17"/>
        <v>0.73611111111111116</v>
      </c>
      <c r="I129" s="26">
        <v>0.86111111111111116</v>
      </c>
      <c r="J129" s="28" t="s">
        <v>180</v>
      </c>
      <c r="K129" s="28"/>
      <c r="L129" s="28">
        <v>2</v>
      </c>
      <c r="M129" s="28"/>
      <c r="N129" s="28"/>
      <c r="O129" s="41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 t="str">
        <f t="shared" si="14"/>
        <v>INTER PARNASOZ 707</v>
      </c>
      <c r="AO129" s="3" t="s">
        <v>26</v>
      </c>
      <c r="AP129" s="19">
        <v>45923</v>
      </c>
      <c r="AQ129" s="5" t="s">
        <v>81</v>
      </c>
      <c r="AR129" s="5" t="s">
        <v>181</v>
      </c>
      <c r="AS129" s="6">
        <v>0.67361111111111116</v>
      </c>
      <c r="AT129" s="1"/>
    </row>
    <row r="130" spans="1:46" ht="15" customHeight="1">
      <c r="A130" s="738"/>
      <c r="B130" s="755"/>
      <c r="C130" s="757"/>
      <c r="D130" s="759"/>
      <c r="E130" s="761"/>
      <c r="F130" s="759"/>
      <c r="G130" s="759"/>
      <c r="H130" s="282">
        <f t="shared" si="17"/>
        <v>0.74305555555555558</v>
      </c>
      <c r="I130" s="26">
        <v>0.86805555555555558</v>
      </c>
      <c r="J130" s="28" t="s">
        <v>173</v>
      </c>
      <c r="K130" s="28"/>
      <c r="L130" s="28">
        <v>3</v>
      </c>
      <c r="M130" s="28"/>
      <c r="N130" s="28"/>
      <c r="O130" s="41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 t="str">
        <f t="shared" si="14"/>
        <v>JW MARRIOTTPR 485</v>
      </c>
      <c r="AO130" s="3" t="s">
        <v>26</v>
      </c>
      <c r="AP130" s="19">
        <v>45923</v>
      </c>
      <c r="AQ130" s="5" t="s">
        <v>182</v>
      </c>
      <c r="AR130" s="5" t="s">
        <v>107</v>
      </c>
      <c r="AS130" s="6">
        <v>0.10069444444444445</v>
      </c>
      <c r="AT130" s="1"/>
    </row>
    <row r="131" spans="1:46" ht="15" customHeight="1">
      <c r="A131" s="738"/>
      <c r="B131" s="755"/>
      <c r="C131" s="757"/>
      <c r="D131" s="759"/>
      <c r="E131" s="761"/>
      <c r="F131" s="759"/>
      <c r="G131" s="759"/>
      <c r="H131" s="283">
        <f t="shared" si="17"/>
        <v>0.74652777777777779</v>
      </c>
      <c r="I131" s="20">
        <v>0.87152777777777779</v>
      </c>
      <c r="J131" s="23" t="s">
        <v>174</v>
      </c>
      <c r="K131" s="23"/>
      <c r="L131" s="23">
        <v>6</v>
      </c>
      <c r="M131" s="23"/>
      <c r="N131" s="23"/>
      <c r="O131" s="24"/>
      <c r="P131" s="23"/>
      <c r="Q131" s="23"/>
      <c r="R131" s="23"/>
      <c r="S131" s="23"/>
      <c r="T131" s="2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 t="str">
        <f t="shared" si="14"/>
        <v>JW MARRIOTTKE 621</v>
      </c>
      <c r="AO131" s="3" t="s">
        <v>26</v>
      </c>
      <c r="AP131" s="19">
        <v>45923</v>
      </c>
      <c r="AQ131" s="5" t="s">
        <v>182</v>
      </c>
      <c r="AR131" s="5" t="s">
        <v>31</v>
      </c>
      <c r="AS131" s="6">
        <v>0.125</v>
      </c>
      <c r="AT131" s="1"/>
    </row>
    <row r="132" spans="1:46" ht="15" customHeight="1">
      <c r="A132" s="738"/>
      <c r="B132" s="315"/>
      <c r="C132" s="315"/>
      <c r="D132" s="162"/>
      <c r="E132" s="316"/>
      <c r="F132" s="162"/>
      <c r="G132" s="162"/>
      <c r="H132" s="191">
        <f>I132-TIME(3,0,0)</f>
        <v>0.73958333333333337</v>
      </c>
      <c r="I132" s="192">
        <v>0.86458333333333337</v>
      </c>
      <c r="J132" s="68" t="s">
        <v>77</v>
      </c>
      <c r="K132" s="68">
        <v>1</v>
      </c>
      <c r="L132" s="68"/>
      <c r="M132" s="68"/>
      <c r="N132" s="68"/>
      <c r="O132" s="193"/>
      <c r="P132" s="68"/>
      <c r="Q132" s="68"/>
      <c r="R132" s="68"/>
      <c r="S132" s="68"/>
      <c r="T132" s="68"/>
      <c r="U132" s="128" t="s">
        <v>79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3"/>
      <c r="AP132" s="19"/>
      <c r="AT132" s="1"/>
    </row>
    <row r="133" spans="1:46" ht="15" customHeight="1">
      <c r="A133" s="738"/>
      <c r="B133" s="751">
        <f>C133-TIME(0,15,0)</f>
        <v>0.65277777777777779</v>
      </c>
      <c r="C133" s="753">
        <f>D133-TIME(0,30,0)</f>
        <v>0.66319444444444442</v>
      </c>
      <c r="D133" s="748">
        <f>E133-TIME(0,15,0)</f>
        <v>0.68402777777777779</v>
      </c>
      <c r="E133" s="716">
        <f>F133-TIME(1,30,0)</f>
        <v>0.69444444444444442</v>
      </c>
      <c r="F133" s="748">
        <f>H133</f>
        <v>0.75694444444444442</v>
      </c>
      <c r="G133" s="750"/>
      <c r="H133" s="98">
        <f t="shared" si="17"/>
        <v>0.75694444444444442</v>
      </c>
      <c r="I133" s="33">
        <v>0.88194444444444442</v>
      </c>
      <c r="J133" s="34" t="s">
        <v>175</v>
      </c>
      <c r="K133" s="34"/>
      <c r="L133" s="34">
        <v>2</v>
      </c>
      <c r="M133" s="34"/>
      <c r="N133" s="34"/>
      <c r="O133" s="35">
        <f>SUM(K133:N136)</f>
        <v>9</v>
      </c>
      <c r="P133" s="34"/>
      <c r="Q133" s="34"/>
      <c r="R133" s="190">
        <v>1</v>
      </c>
      <c r="S133" s="190"/>
      <c r="T133" s="190"/>
      <c r="U133" s="116" t="s">
        <v>183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 t="str">
        <f t="shared" si="14"/>
        <v>JW MARRIOTTOZ 701</v>
      </c>
      <c r="AO133" s="3" t="s">
        <v>26</v>
      </c>
      <c r="AP133" s="19">
        <v>45923</v>
      </c>
      <c r="AQ133" s="5" t="s">
        <v>182</v>
      </c>
      <c r="AR133" s="5" t="s">
        <v>33</v>
      </c>
      <c r="AS133" s="6">
        <v>0.125</v>
      </c>
      <c r="AT133" s="1"/>
    </row>
    <row r="134" spans="1:46" ht="15" customHeight="1">
      <c r="A134" s="738"/>
      <c r="B134" s="752"/>
      <c r="C134" s="752"/>
      <c r="D134" s="692"/>
      <c r="E134" s="717"/>
      <c r="F134" s="692"/>
      <c r="G134" s="692"/>
      <c r="H134" s="109">
        <f t="shared" si="17"/>
        <v>0.76388888888888884</v>
      </c>
      <c r="I134" s="26">
        <v>0.88888888888888884</v>
      </c>
      <c r="J134" s="28" t="s">
        <v>176</v>
      </c>
      <c r="K134" s="28"/>
      <c r="L134" s="28">
        <v>2</v>
      </c>
      <c r="M134" s="28"/>
      <c r="N134" s="28"/>
      <c r="O134" s="41"/>
      <c r="P134" s="194"/>
      <c r="Q134" s="194"/>
      <c r="R134" s="194"/>
      <c r="S134" s="194"/>
      <c r="T134" s="194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 t="str">
        <f t="shared" ref="AN134:AN198" si="18">AQ134&amp;AR134</f>
        <v>JW MARRIOTTOZ 112</v>
      </c>
      <c r="AO134" s="3" t="s">
        <v>26</v>
      </c>
      <c r="AP134" s="19">
        <v>45923</v>
      </c>
      <c r="AQ134" s="5" t="s">
        <v>182</v>
      </c>
      <c r="AR134" s="5" t="s">
        <v>39</v>
      </c>
      <c r="AS134" s="6">
        <v>0.125</v>
      </c>
      <c r="AT134" s="1"/>
    </row>
    <row r="135" spans="1:46" ht="15" customHeight="1">
      <c r="A135" s="738"/>
      <c r="B135" s="752"/>
      <c r="C135" s="752"/>
      <c r="D135" s="692"/>
      <c r="E135" s="717"/>
      <c r="F135" s="692"/>
      <c r="G135" s="692"/>
      <c r="H135" s="109">
        <f t="shared" si="17"/>
        <v>0.77083333333333337</v>
      </c>
      <c r="I135" s="26">
        <v>0.89583333333333337</v>
      </c>
      <c r="J135" s="28" t="s">
        <v>177</v>
      </c>
      <c r="K135" s="28"/>
      <c r="L135" s="28">
        <v>1</v>
      </c>
      <c r="M135" s="28"/>
      <c r="N135" s="28"/>
      <c r="O135" s="28"/>
      <c r="P135" s="28"/>
      <c r="Q135" s="194"/>
      <c r="R135" s="194"/>
      <c r="S135" s="194"/>
      <c r="T135" s="194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 t="str">
        <f t="shared" si="18"/>
        <v>JW MARRIOTTPR 467</v>
      </c>
      <c r="AO135" s="3" t="s">
        <v>26</v>
      </c>
      <c r="AP135" s="19">
        <v>45923</v>
      </c>
      <c r="AQ135" s="5" t="s">
        <v>182</v>
      </c>
      <c r="AR135" s="5" t="s">
        <v>87</v>
      </c>
      <c r="AS135" s="6">
        <v>0.125</v>
      </c>
      <c r="AT135" s="1"/>
    </row>
    <row r="136" spans="1:46" ht="15" customHeight="1">
      <c r="A136" s="738"/>
      <c r="B136" s="752"/>
      <c r="C136" s="752"/>
      <c r="D136" s="692"/>
      <c r="E136" s="754"/>
      <c r="F136" s="692"/>
      <c r="G136" s="692"/>
      <c r="H136" s="131">
        <f t="shared" si="17"/>
        <v>0.77430555555555558</v>
      </c>
      <c r="I136" s="195">
        <v>0.89930555555555558</v>
      </c>
      <c r="J136" s="47" t="s">
        <v>178</v>
      </c>
      <c r="K136" s="47"/>
      <c r="L136" s="47">
        <v>4</v>
      </c>
      <c r="M136" s="47"/>
      <c r="N136" s="47"/>
      <c r="O136" s="134"/>
      <c r="P136" s="47"/>
      <c r="Q136" s="47"/>
      <c r="R136" s="47"/>
      <c r="S136" s="47"/>
      <c r="T136" s="47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 t="str">
        <f t="shared" si="18"/>
        <v>JW MARRIOTT5J 185</v>
      </c>
      <c r="AO136" s="3" t="s">
        <v>26</v>
      </c>
      <c r="AP136" s="19">
        <v>45923</v>
      </c>
      <c r="AQ136" s="5" t="s">
        <v>182</v>
      </c>
      <c r="AR136" s="5" t="s">
        <v>93</v>
      </c>
      <c r="AS136" s="6">
        <v>0.125</v>
      </c>
      <c r="AT136" s="1"/>
    </row>
    <row r="137" spans="1:46" ht="15" customHeight="1">
      <c r="A137" s="738"/>
      <c r="B137" s="317"/>
      <c r="C137" s="318"/>
      <c r="D137" s="319"/>
      <c r="E137" s="320"/>
      <c r="F137" s="319"/>
      <c r="G137" s="319"/>
      <c r="H137" s="196">
        <f>I137-TIME(3,0,0)</f>
        <v>0.77083333333333337</v>
      </c>
      <c r="I137" s="197">
        <v>0.89583333333333337</v>
      </c>
      <c r="J137" s="198" t="s">
        <v>177</v>
      </c>
      <c r="K137" s="198">
        <v>2</v>
      </c>
      <c r="L137" s="198"/>
      <c r="M137" s="198"/>
      <c r="N137" s="198"/>
      <c r="O137" s="199"/>
      <c r="P137" s="198"/>
      <c r="Q137" s="198"/>
      <c r="R137" s="198"/>
      <c r="S137" s="198"/>
      <c r="T137" s="200"/>
      <c r="U137" s="128" t="s">
        <v>79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3"/>
      <c r="AP137" s="19"/>
      <c r="AT137" s="1"/>
    </row>
    <row r="138" spans="1:46" ht="15" customHeight="1">
      <c r="A138" s="738"/>
      <c r="B138" s="748">
        <f>C138-TIME(0,15,0)</f>
        <v>0.67361111111111116</v>
      </c>
      <c r="C138" s="734">
        <f>D138-TIME(0,40,0)</f>
        <v>0.68402777777777779</v>
      </c>
      <c r="D138" s="748">
        <f>E138-TIME(0,15,0)</f>
        <v>0.71180555555555558</v>
      </c>
      <c r="E138" s="716">
        <f>F138-TIME(1,30,0)</f>
        <v>0.72222222222222221</v>
      </c>
      <c r="F138" s="748">
        <f>H138</f>
        <v>0.78472222222222221</v>
      </c>
      <c r="G138" s="750"/>
      <c r="H138" s="98">
        <f t="shared" si="17"/>
        <v>0.78472222222222221</v>
      </c>
      <c r="I138" s="33">
        <v>0.90972222222222221</v>
      </c>
      <c r="J138" s="34" t="s">
        <v>179</v>
      </c>
      <c r="K138" s="34">
        <v>1</v>
      </c>
      <c r="L138" s="34"/>
      <c r="M138" s="34"/>
      <c r="N138" s="34"/>
      <c r="O138" s="35">
        <f>SUM(K138:N140)</f>
        <v>6</v>
      </c>
      <c r="P138" s="34"/>
      <c r="Q138" s="186">
        <v>1</v>
      </c>
      <c r="R138" s="186"/>
      <c r="S138" s="186"/>
      <c r="T138" s="186"/>
      <c r="U138" s="172" t="s">
        <v>136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 t="str">
        <f t="shared" si="18"/>
        <v>JW MARRIOTT7C 1101</v>
      </c>
      <c r="AO138" s="3" t="s">
        <v>26</v>
      </c>
      <c r="AP138" s="19">
        <v>45923</v>
      </c>
      <c r="AQ138" s="5" t="s">
        <v>182</v>
      </c>
      <c r="AR138" s="5" t="s">
        <v>106</v>
      </c>
      <c r="AS138" s="6">
        <v>0.125</v>
      </c>
      <c r="AT138" s="1"/>
    </row>
    <row r="139" spans="1:46" ht="15" customHeight="1">
      <c r="A139" s="738"/>
      <c r="B139" s="692"/>
      <c r="C139" s="692"/>
      <c r="D139" s="692"/>
      <c r="E139" s="717"/>
      <c r="F139" s="692"/>
      <c r="G139" s="692"/>
      <c r="H139" s="109">
        <f t="shared" si="17"/>
        <v>0.78819444444444442</v>
      </c>
      <c r="I139" s="26">
        <v>0.91319444444444442</v>
      </c>
      <c r="J139" s="28" t="s">
        <v>181</v>
      </c>
      <c r="K139" s="28"/>
      <c r="L139" s="28">
        <v>3</v>
      </c>
      <c r="M139" s="28"/>
      <c r="N139" s="28"/>
      <c r="O139" s="41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 t="str">
        <f t="shared" si="18"/>
        <v>JW MARRIOTTTW 241</v>
      </c>
      <c r="AO139" s="3" t="s">
        <v>26</v>
      </c>
      <c r="AP139" s="19">
        <v>45923</v>
      </c>
      <c r="AQ139" s="5" t="s">
        <v>182</v>
      </c>
      <c r="AR139" s="5" t="s">
        <v>109</v>
      </c>
      <c r="AS139" s="6">
        <v>0.125</v>
      </c>
      <c r="AT139" s="1"/>
    </row>
    <row r="140" spans="1:46" ht="15" customHeight="1">
      <c r="A140" s="738"/>
      <c r="B140" s="727"/>
      <c r="C140" s="727"/>
      <c r="D140" s="727"/>
      <c r="E140" s="749"/>
      <c r="F140" s="727"/>
      <c r="G140" s="727"/>
      <c r="H140" s="83">
        <f t="shared" si="17"/>
        <v>0.79166666666666663</v>
      </c>
      <c r="I140" s="20">
        <v>0.91666666666666663</v>
      </c>
      <c r="J140" s="23" t="s">
        <v>78</v>
      </c>
      <c r="K140" s="23"/>
      <c r="L140" s="23">
        <v>2</v>
      </c>
      <c r="M140" s="23"/>
      <c r="N140" s="23"/>
      <c r="O140" s="24"/>
      <c r="P140" s="23"/>
      <c r="Q140" s="23"/>
      <c r="R140" s="23"/>
      <c r="S140" s="23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 t="str">
        <f t="shared" si="18"/>
        <v>JW MARRIOTTOZ 102</v>
      </c>
      <c r="AO140" s="3" t="s">
        <v>26</v>
      </c>
      <c r="AP140" s="19">
        <v>45923</v>
      </c>
      <c r="AQ140" s="5" t="s">
        <v>182</v>
      </c>
      <c r="AR140" s="5" t="s">
        <v>111</v>
      </c>
      <c r="AS140" s="6">
        <v>0.1736111111111111</v>
      </c>
      <c r="AT140" s="1"/>
    </row>
    <row r="141" spans="1:46" ht="15" customHeight="1">
      <c r="A141" s="738"/>
      <c r="B141" s="747"/>
      <c r="C141" s="747"/>
      <c r="D141" s="748">
        <f>E141-TIME(0,15,0)</f>
        <v>0.79513888888888884</v>
      </c>
      <c r="E141" s="716">
        <f>G141-TIME(1,15,0)</f>
        <v>0.80555555555555547</v>
      </c>
      <c r="F141" s="747"/>
      <c r="G141" s="748">
        <f>H141</f>
        <v>0.85763888888888884</v>
      </c>
      <c r="H141" s="81">
        <v>0.85763888888888884</v>
      </c>
      <c r="I141" s="33">
        <v>0.98263888888888884</v>
      </c>
      <c r="J141" s="34" t="s">
        <v>184</v>
      </c>
      <c r="K141" s="34"/>
      <c r="L141" s="34"/>
      <c r="M141" s="34"/>
      <c r="N141" s="34">
        <v>2</v>
      </c>
      <c r="O141" s="35">
        <f>SUM(J141:N142)</f>
        <v>4</v>
      </c>
      <c r="P141" s="34">
        <v>0</v>
      </c>
      <c r="Q141" s="190">
        <v>1</v>
      </c>
      <c r="R141" s="190"/>
      <c r="S141" s="190"/>
      <c r="T141" s="190"/>
      <c r="U141" s="116" t="s">
        <v>185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 t="str">
        <f t="shared" si="18"/>
        <v>JW MARRIOTTKE 469</v>
      </c>
      <c r="AO141" s="3" t="s">
        <v>26</v>
      </c>
      <c r="AP141" s="19">
        <v>45923</v>
      </c>
      <c r="AQ141" s="5" t="s">
        <v>182</v>
      </c>
      <c r="AR141" s="5" t="s">
        <v>114</v>
      </c>
      <c r="AS141" s="6">
        <v>0.1736111111111111</v>
      </c>
      <c r="AT141" s="1"/>
    </row>
    <row r="142" spans="1:46" ht="15" customHeight="1">
      <c r="A142" s="738"/>
      <c r="B142" s="689"/>
      <c r="C142" s="689"/>
      <c r="D142" s="693"/>
      <c r="E142" s="717"/>
      <c r="F142" s="689"/>
      <c r="G142" s="693"/>
      <c r="H142" s="28"/>
      <c r="I142" s="28"/>
      <c r="J142" s="28" t="s">
        <v>186</v>
      </c>
      <c r="K142" s="112"/>
      <c r="L142" s="112"/>
      <c r="M142" s="28"/>
      <c r="N142" s="28">
        <v>2</v>
      </c>
      <c r="O142" s="29"/>
      <c r="P142" s="74"/>
      <c r="Q142" s="74"/>
      <c r="R142" s="74"/>
      <c r="S142" s="74"/>
      <c r="T142" s="74"/>
      <c r="U142" s="1" t="s">
        <v>187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 t="str">
        <f t="shared" si="18"/>
        <v>JW MARRIOTTBX 172</v>
      </c>
      <c r="AO142" s="3" t="s">
        <v>26</v>
      </c>
      <c r="AP142" s="19">
        <v>45923</v>
      </c>
      <c r="AQ142" s="5" t="s">
        <v>182</v>
      </c>
      <c r="AR142" s="5" t="s">
        <v>115</v>
      </c>
      <c r="AS142" s="6">
        <v>0.1736111111111111</v>
      </c>
      <c r="AT142" s="1"/>
    </row>
    <row r="143" spans="1:46" ht="22.5" customHeight="1">
      <c r="A143" s="682" t="s">
        <v>32</v>
      </c>
      <c r="B143" s="683"/>
      <c r="C143" s="683"/>
      <c r="D143" s="683"/>
      <c r="E143" s="683"/>
      <c r="F143" s="683"/>
      <c r="G143" s="683"/>
      <c r="H143" s="683"/>
      <c r="I143" s="683"/>
      <c r="J143" s="684"/>
      <c r="K143" s="40">
        <f>SUM(K52:K142)</f>
        <v>85</v>
      </c>
      <c r="L143" s="40">
        <f>SUM(L52:L142)</f>
        <v>238</v>
      </c>
      <c r="M143" s="40">
        <f>SUM(M52:M142)</f>
        <v>79</v>
      </c>
      <c r="N143" s="40">
        <f>SUM(N52:N142)</f>
        <v>74</v>
      </c>
      <c r="O143" s="40">
        <f>SUM(O52:O142)</f>
        <v>466</v>
      </c>
      <c r="P143" s="40">
        <f>SUM(P52:P141)</f>
        <v>1</v>
      </c>
      <c r="Q143" s="40">
        <f>SUM(Q52:Q141)</f>
        <v>7</v>
      </c>
      <c r="R143" s="40">
        <f>SUM(R52:R141)</f>
        <v>1</v>
      </c>
      <c r="S143" s="40">
        <f>SUM(S52:S141)</f>
        <v>19</v>
      </c>
      <c r="T143" s="40">
        <f>SUM(T52:T141)</f>
        <v>2</v>
      </c>
      <c r="U143" s="20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 t="str">
        <f t="shared" si="18"/>
        <v>JW MARRIOTTDL 7851</v>
      </c>
      <c r="AO143" s="3" t="s">
        <v>26</v>
      </c>
      <c r="AP143" s="19">
        <v>45923</v>
      </c>
      <c r="AQ143" s="5" t="s">
        <v>182</v>
      </c>
      <c r="AR143" s="5" t="s">
        <v>116</v>
      </c>
      <c r="AS143" s="6">
        <v>0.1736111111111111</v>
      </c>
      <c r="AT143" s="1"/>
    </row>
    <row r="144" spans="1:46" ht="15" customHeight="1">
      <c r="A144" s="202"/>
      <c r="B144" s="202"/>
      <c r="C144" s="202"/>
      <c r="D144" s="202"/>
      <c r="E144" s="202"/>
      <c r="F144" s="202"/>
      <c r="G144" s="202"/>
      <c r="H144" s="1"/>
      <c r="I144" s="1"/>
      <c r="J144" s="1"/>
      <c r="K144" s="1"/>
      <c r="L144" s="1"/>
      <c r="M144" s="1"/>
      <c r="N144" s="1"/>
      <c r="O144" s="1" t="s">
        <v>82</v>
      </c>
      <c r="P144" s="1" t="s">
        <v>34</v>
      </c>
      <c r="Q144" s="1" t="s">
        <v>35</v>
      </c>
      <c r="R144" s="1" t="s">
        <v>36</v>
      </c>
      <c r="S144" s="1" t="s">
        <v>37</v>
      </c>
      <c r="T144" s="2"/>
      <c r="U144" s="2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 t="str">
        <f t="shared" si="18"/>
        <v>JW MARRIOTTDL 7869</v>
      </c>
      <c r="AO144" s="3" t="s">
        <v>26</v>
      </c>
      <c r="AP144" s="19">
        <v>45923</v>
      </c>
      <c r="AQ144" s="5" t="s">
        <v>182</v>
      </c>
      <c r="AR144" s="5" t="s">
        <v>43</v>
      </c>
      <c r="AS144" s="6">
        <v>0.1736111111111111</v>
      </c>
      <c r="AT144" s="1"/>
    </row>
    <row r="145" spans="1:46" ht="15" customHeight="1">
      <c r="A145" s="202"/>
      <c r="B145" s="202"/>
      <c r="C145" s="202"/>
      <c r="D145" s="202"/>
      <c r="E145" s="202"/>
      <c r="F145" s="202"/>
      <c r="G145" s="20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 t="str">
        <f t="shared" si="18"/>
        <v>JW MARRIOTTKE 31</v>
      </c>
      <c r="AO145" s="3" t="s">
        <v>26</v>
      </c>
      <c r="AP145" s="19">
        <v>45923</v>
      </c>
      <c r="AQ145" s="5" t="s">
        <v>182</v>
      </c>
      <c r="AR145" s="5" t="s">
        <v>44</v>
      </c>
      <c r="AS145" s="6">
        <v>0.1736111111111111</v>
      </c>
      <c r="AT145" s="1"/>
    </row>
    <row r="146" spans="1:46" ht="15" customHeight="1">
      <c r="A146" s="202"/>
      <c r="B146" s="202"/>
      <c r="C146" s="202"/>
      <c r="D146" s="202"/>
      <c r="E146" s="202"/>
      <c r="F146" s="202"/>
      <c r="G146" s="20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 t="str">
        <f t="shared" si="18"/>
        <v>JW MARRIOTTCX 417</v>
      </c>
      <c r="AO146" s="3" t="s">
        <v>26</v>
      </c>
      <c r="AP146" s="19">
        <v>45923</v>
      </c>
      <c r="AQ146" s="5" t="s">
        <v>182</v>
      </c>
      <c r="AR146" s="5" t="s">
        <v>46</v>
      </c>
      <c r="AS146" s="6">
        <v>0.22222222222222221</v>
      </c>
      <c r="AT146" s="1"/>
    </row>
    <row r="147" spans="1:46" ht="15" customHeight="1">
      <c r="A147" s="202"/>
      <c r="B147" s="202"/>
      <c r="C147" s="202"/>
      <c r="D147" s="202"/>
      <c r="E147" s="202"/>
      <c r="F147" s="202"/>
      <c r="G147" s="20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 t="str">
        <f t="shared" si="18"/>
        <v>JW MARRIOTTKE 703</v>
      </c>
      <c r="AO147" s="3" t="s">
        <v>26</v>
      </c>
      <c r="AP147" s="19">
        <v>45923</v>
      </c>
      <c r="AQ147" s="5" t="s">
        <v>182</v>
      </c>
      <c r="AR147" s="5" t="s">
        <v>47</v>
      </c>
      <c r="AS147" s="6">
        <v>0.22222222222222221</v>
      </c>
      <c r="AT147" s="1"/>
    </row>
    <row r="148" spans="1:46" ht="15" customHeight="1">
      <c r="A148" s="1"/>
      <c r="B148" s="1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 t="s">
        <v>188</v>
      </c>
      <c r="R148" s="1"/>
      <c r="S148" s="1" t="s">
        <v>189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N148" s="1" t="str">
        <f t="shared" si="18"/>
        <v>JW MARRIOTTDL 158</v>
      </c>
      <c r="AO148" s="3" t="s">
        <v>26</v>
      </c>
      <c r="AP148" s="19">
        <v>45923</v>
      </c>
      <c r="AQ148" s="5" t="s">
        <v>182</v>
      </c>
      <c r="AR148" s="5" t="s">
        <v>48</v>
      </c>
      <c r="AS148" s="6">
        <v>0.22222222222222221</v>
      </c>
      <c r="AT148" s="1"/>
    </row>
    <row r="149" spans="1:46" ht="22.5" customHeight="1">
      <c r="A149" s="736" t="s">
        <v>190</v>
      </c>
      <c r="B149" s="717"/>
      <c r="C149" s="717"/>
      <c r="D149" s="717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 t="s">
        <v>191</v>
      </c>
      <c r="R149" s="1"/>
      <c r="S149" s="1" t="s">
        <v>192</v>
      </c>
      <c r="T149" s="1"/>
      <c r="U149" s="1"/>
      <c r="V149" s="1"/>
      <c r="W149" s="737" t="s">
        <v>193</v>
      </c>
      <c r="X149" s="737"/>
      <c r="Y149" s="737"/>
      <c r="Z149" s="737"/>
      <c r="AA149" s="1" t="s">
        <v>92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N149" s="1" t="str">
        <f t="shared" si="18"/>
        <v>JW MARRIOTT7C 1103</v>
      </c>
      <c r="AO149" s="3" t="s">
        <v>26</v>
      </c>
      <c r="AP149" s="19">
        <v>45923</v>
      </c>
      <c r="AQ149" s="5" t="s">
        <v>182</v>
      </c>
      <c r="AR149" s="5" t="s">
        <v>118</v>
      </c>
      <c r="AS149" s="6">
        <v>0.22222222222222221</v>
      </c>
      <c r="AT149" s="1"/>
    </row>
    <row r="150" spans="1:46" ht="22.5" customHeight="1">
      <c r="A150" s="203" t="s">
        <v>5</v>
      </c>
      <c r="B150" s="204" t="s">
        <v>194</v>
      </c>
      <c r="C150" s="204" t="s">
        <v>195</v>
      </c>
      <c r="D150" s="204" t="s">
        <v>196</v>
      </c>
      <c r="E150" s="204" t="s">
        <v>197</v>
      </c>
      <c r="F150" s="204" t="s">
        <v>11</v>
      </c>
      <c r="G150" s="204" t="s">
        <v>12</v>
      </c>
      <c r="H150" s="205" t="s">
        <v>13</v>
      </c>
      <c r="I150" s="206" t="s">
        <v>198</v>
      </c>
      <c r="J150" s="206" t="s">
        <v>199</v>
      </c>
      <c r="K150" s="207" t="s">
        <v>200</v>
      </c>
      <c r="L150" s="207" t="s">
        <v>201</v>
      </c>
      <c r="M150" s="208" t="s">
        <v>202</v>
      </c>
      <c r="N150" s="208" t="s">
        <v>203</v>
      </c>
      <c r="O150" s="204" t="s">
        <v>17</v>
      </c>
      <c r="P150" s="204" t="s">
        <v>18</v>
      </c>
      <c r="Q150" s="204" t="s">
        <v>19</v>
      </c>
      <c r="R150" s="204" t="s">
        <v>20</v>
      </c>
      <c r="S150" s="204" t="s">
        <v>21</v>
      </c>
      <c r="T150" s="204" t="s">
        <v>38</v>
      </c>
      <c r="U150" s="1"/>
      <c r="V150" s="209" t="s">
        <v>5</v>
      </c>
      <c r="W150" s="160" t="s">
        <v>204</v>
      </c>
      <c r="X150" s="160" t="s">
        <v>205</v>
      </c>
      <c r="Y150" s="160" t="s">
        <v>206</v>
      </c>
      <c r="Z150" s="160" t="s">
        <v>207</v>
      </c>
      <c r="AA150" s="210" t="s">
        <v>13</v>
      </c>
      <c r="AB150" s="211" t="s">
        <v>14</v>
      </c>
      <c r="AC150" s="211" t="s">
        <v>7</v>
      </c>
      <c r="AD150" s="212" t="s">
        <v>208</v>
      </c>
      <c r="AE150" s="212" t="s">
        <v>209</v>
      </c>
      <c r="AF150" s="212" t="s">
        <v>210</v>
      </c>
      <c r="AG150" s="212" t="s">
        <v>211</v>
      </c>
      <c r="AH150" s="213" t="s">
        <v>17</v>
      </c>
      <c r="AI150" s="160" t="s">
        <v>18</v>
      </c>
      <c r="AJ150" s="213" t="s">
        <v>19</v>
      </c>
      <c r="AK150" s="160" t="s">
        <v>20</v>
      </c>
      <c r="AL150" s="274" t="s">
        <v>21</v>
      </c>
      <c r="AM150" s="1"/>
      <c r="AN150" s="1" t="str">
        <f t="shared" si="18"/>
        <v>JW MARRIOTTVN 409</v>
      </c>
      <c r="AO150" s="3" t="s">
        <v>26</v>
      </c>
      <c r="AP150" s="19">
        <v>45923</v>
      </c>
      <c r="AQ150" s="5" t="s">
        <v>182</v>
      </c>
      <c r="AR150" s="5" t="s">
        <v>50</v>
      </c>
      <c r="AS150" s="6">
        <v>0.22222222222222221</v>
      </c>
    </row>
    <row r="151" spans="1:46" ht="15" customHeight="1">
      <c r="A151" s="738">
        <v>45923</v>
      </c>
      <c r="B151" s="214"/>
      <c r="C151" s="215"/>
      <c r="D151" s="50">
        <f>E151-TIME(0,15,0)</f>
        <v>-0.17013888888888887</v>
      </c>
      <c r="E151" s="216">
        <f>H151-TIME(1,20,0)</f>
        <v>-0.15972222222222221</v>
      </c>
      <c r="F151" s="217" t="s">
        <v>212</v>
      </c>
      <c r="G151" s="214"/>
      <c r="H151" s="218">
        <f>I151-TIME(3,0,0)</f>
        <v>-0.10416666666666667</v>
      </c>
      <c r="I151" s="218">
        <v>2.0833333333333332E-2</v>
      </c>
      <c r="J151" s="217" t="s">
        <v>213</v>
      </c>
      <c r="K151" s="217">
        <v>2</v>
      </c>
      <c r="L151" s="217"/>
      <c r="M151" s="217"/>
      <c r="N151" s="217"/>
      <c r="O151" s="219">
        <f>SUM(J151:N151)</f>
        <v>2</v>
      </c>
      <c r="P151" s="217">
        <v>1</v>
      </c>
      <c r="Q151" s="217"/>
      <c r="R151" s="217"/>
      <c r="S151" s="217"/>
      <c r="T151" s="217"/>
      <c r="U151" s="1"/>
      <c r="V151" s="739">
        <v>45923</v>
      </c>
      <c r="W151" s="714">
        <v>0.16666666666666666</v>
      </c>
      <c r="X151" s="741">
        <v>0.17708333333333334</v>
      </c>
      <c r="Y151" s="718"/>
      <c r="Z151" s="718"/>
      <c r="AA151" s="33">
        <f>AA152</f>
        <v>0.21527777777777779</v>
      </c>
      <c r="AB151" s="33">
        <v>0.29166666666666669</v>
      </c>
      <c r="AC151" s="34" t="s">
        <v>214</v>
      </c>
      <c r="AD151" s="34"/>
      <c r="AE151" s="34">
        <v>12</v>
      </c>
      <c r="AF151" s="34"/>
      <c r="AG151" s="34"/>
      <c r="AH151" s="120">
        <f>SUM(AC151:AG154)</f>
        <v>21</v>
      </c>
      <c r="AI151" s="34"/>
      <c r="AJ151" s="34"/>
      <c r="AK151" s="34"/>
      <c r="AL151" s="275">
        <v>1</v>
      </c>
      <c r="AM151" s="1"/>
      <c r="AN151" s="1" t="str">
        <f t="shared" si="18"/>
        <v>JW MARRIOTTKE 37</v>
      </c>
      <c r="AO151" s="3" t="s">
        <v>26</v>
      </c>
      <c r="AP151" s="19">
        <v>45923</v>
      </c>
      <c r="AQ151" s="5" t="s">
        <v>182</v>
      </c>
      <c r="AR151" s="5" t="s">
        <v>119</v>
      </c>
      <c r="AS151" s="6">
        <v>0.22222222222222221</v>
      </c>
    </row>
    <row r="152" spans="1:46" ht="15" customHeight="1">
      <c r="A152" s="688"/>
      <c r="B152" s="687">
        <f>C152-TIME(0,15,0)</f>
        <v>7.2916666666666644E-2</v>
      </c>
      <c r="C152" s="690">
        <f t="shared" ref="C152:D152" si="19">D152-TIME(0,15,0)</f>
        <v>8.3333333333333315E-2</v>
      </c>
      <c r="D152" s="714">
        <f t="shared" si="19"/>
        <v>9.3749999999999986E-2</v>
      </c>
      <c r="E152" s="721">
        <f>F152-TIME(1,0,0)</f>
        <v>0.10416666666666666</v>
      </c>
      <c r="F152" s="745">
        <f>G152-TIME(0,20,0)</f>
        <v>0.14583333333333331</v>
      </c>
      <c r="G152" s="687">
        <f>H152</f>
        <v>0.15972222222222221</v>
      </c>
      <c r="H152" s="218">
        <f>I152-TIME(3,0,0)</f>
        <v>0.15972222222222221</v>
      </c>
      <c r="I152" s="221">
        <v>0.28472222222222221</v>
      </c>
      <c r="J152" s="16" t="s">
        <v>215</v>
      </c>
      <c r="K152" s="16"/>
      <c r="L152" s="16">
        <v>1</v>
      </c>
      <c r="M152" s="16"/>
      <c r="N152" s="16"/>
      <c r="O152" s="222">
        <f>SUM(J152:N154)</f>
        <v>26</v>
      </c>
      <c r="P152" s="16"/>
      <c r="Q152" s="16"/>
      <c r="R152" s="16"/>
      <c r="S152" s="16">
        <v>1</v>
      </c>
      <c r="T152" s="16"/>
      <c r="U152" s="1"/>
      <c r="V152" s="731"/>
      <c r="W152" s="688"/>
      <c r="X152" s="688"/>
      <c r="Y152" s="688"/>
      <c r="Z152" s="688"/>
      <c r="AA152" s="26">
        <f>AA153+TIME(0,10,0)</f>
        <v>0.21527777777777779</v>
      </c>
      <c r="AB152" s="26">
        <v>0.2986111111111111</v>
      </c>
      <c r="AC152" s="28" t="s">
        <v>216</v>
      </c>
      <c r="AD152" s="28"/>
      <c r="AE152" s="28">
        <v>3</v>
      </c>
      <c r="AF152" s="28"/>
      <c r="AG152" s="28"/>
      <c r="AH152" s="29"/>
      <c r="AI152" s="28"/>
      <c r="AJ152" s="28"/>
      <c r="AK152" s="28"/>
      <c r="AL152" s="276"/>
      <c r="AM152" s="1"/>
      <c r="AN152" s="1" t="str">
        <f t="shared" si="18"/>
        <v>JW MARRIOTTKE 457</v>
      </c>
      <c r="AO152" s="3" t="s">
        <v>26</v>
      </c>
      <c r="AP152" s="19">
        <v>45923</v>
      </c>
      <c r="AQ152" s="5" t="s">
        <v>182</v>
      </c>
      <c r="AR152" s="5" t="s">
        <v>120</v>
      </c>
      <c r="AS152" s="6">
        <v>0.25347222222222221</v>
      </c>
    </row>
    <row r="153" spans="1:46" ht="15" customHeight="1">
      <c r="A153" s="688"/>
      <c r="B153" s="688"/>
      <c r="C153" s="688"/>
      <c r="D153" s="688"/>
      <c r="E153" s="688"/>
      <c r="F153" s="692"/>
      <c r="G153" s="688"/>
      <c r="H153" s="43">
        <f t="shared" ref="H153:H154" si="20">I153-TIME(3,0,0)</f>
        <v>0.17708333333333331</v>
      </c>
      <c r="I153" s="26">
        <v>0.30208333333333331</v>
      </c>
      <c r="J153" s="28" t="s">
        <v>217</v>
      </c>
      <c r="K153" s="28"/>
      <c r="L153" s="28"/>
      <c r="M153" s="28">
        <v>2</v>
      </c>
      <c r="N153" s="28">
        <v>22</v>
      </c>
      <c r="O153" s="41"/>
      <c r="P153" s="28"/>
      <c r="Q153" s="28"/>
      <c r="R153" s="28"/>
      <c r="S153" s="28"/>
      <c r="T153" s="28"/>
      <c r="U153" s="1"/>
      <c r="V153" s="731"/>
      <c r="W153" s="688"/>
      <c r="X153" s="688"/>
      <c r="Y153" s="688"/>
      <c r="Z153" s="688"/>
      <c r="AA153" s="26">
        <v>0.20833333333333334</v>
      </c>
      <c r="AB153" s="26">
        <v>0.31944444444444442</v>
      </c>
      <c r="AC153" s="28" t="s">
        <v>108</v>
      </c>
      <c r="AD153" s="28"/>
      <c r="AE153" s="28"/>
      <c r="AF153" s="28"/>
      <c r="AG153" s="28">
        <v>2</v>
      </c>
      <c r="AH153" s="29"/>
      <c r="AI153" s="28"/>
      <c r="AJ153" s="28"/>
      <c r="AK153" s="28"/>
      <c r="AL153" s="276"/>
      <c r="AM153" s="1"/>
      <c r="AN153" s="1" t="str">
        <f t="shared" si="18"/>
        <v>JW MARRIOTTKE 897</v>
      </c>
      <c r="AO153" s="3" t="s">
        <v>26</v>
      </c>
      <c r="AP153" s="19">
        <v>45923</v>
      </c>
      <c r="AQ153" s="5" t="s">
        <v>182</v>
      </c>
      <c r="AR153" s="5" t="s">
        <v>121</v>
      </c>
      <c r="AS153" s="6">
        <v>0.25347222222222221</v>
      </c>
    </row>
    <row r="154" spans="1:46" ht="15" customHeight="1">
      <c r="A154" s="688"/>
      <c r="B154" s="689"/>
      <c r="C154" s="689"/>
      <c r="D154" s="689"/>
      <c r="E154" s="689"/>
      <c r="F154" s="693"/>
      <c r="G154" s="689"/>
      <c r="H154" s="43">
        <f t="shared" si="20"/>
        <v>0.18055555555555558</v>
      </c>
      <c r="I154" s="195">
        <v>0.30555555555555558</v>
      </c>
      <c r="J154" s="47" t="s">
        <v>218</v>
      </c>
      <c r="K154" s="47"/>
      <c r="L154" s="47">
        <v>1</v>
      </c>
      <c r="M154" s="47"/>
      <c r="N154" s="47"/>
      <c r="O154" s="134"/>
      <c r="P154" s="47"/>
      <c r="Q154" s="47"/>
      <c r="R154" s="47"/>
      <c r="S154" s="47"/>
      <c r="T154" s="47"/>
      <c r="U154" s="1"/>
      <c r="V154" s="731"/>
      <c r="W154" s="699"/>
      <c r="X154" s="699"/>
      <c r="Y154" s="699"/>
      <c r="Z154" s="699"/>
      <c r="AA154" s="20">
        <v>0.20833333333333334</v>
      </c>
      <c r="AB154" s="20">
        <v>0.34027777777777779</v>
      </c>
      <c r="AC154" s="23" t="s">
        <v>219</v>
      </c>
      <c r="AD154" s="23"/>
      <c r="AE154" s="23"/>
      <c r="AF154" s="23"/>
      <c r="AG154" s="23">
        <v>4</v>
      </c>
      <c r="AH154" s="183"/>
      <c r="AI154" s="23"/>
      <c r="AJ154" s="23"/>
      <c r="AK154" s="23"/>
      <c r="AL154" s="277"/>
      <c r="AM154" s="1"/>
      <c r="AN154" s="1" t="str">
        <f t="shared" si="18"/>
        <v>JW MARRIOTTSQ 611</v>
      </c>
      <c r="AO154" s="3" t="s">
        <v>26</v>
      </c>
      <c r="AP154" s="19">
        <v>45923</v>
      </c>
      <c r="AQ154" s="5" t="s">
        <v>182</v>
      </c>
      <c r="AR154" s="5" t="s">
        <v>52</v>
      </c>
      <c r="AS154" s="6">
        <v>0.25347222222222221</v>
      </c>
    </row>
    <row r="155" spans="1:46" ht="15" customHeight="1">
      <c r="A155" s="688"/>
      <c r="B155" s="746"/>
      <c r="C155" s="735"/>
      <c r="D155" s="687">
        <f>E155-TIME(0,15,0)</f>
        <v>0.13541666666666669</v>
      </c>
      <c r="E155" s="728">
        <f>F155-TIME(1,0,0)</f>
        <v>0.14583333333333334</v>
      </c>
      <c r="F155" s="687">
        <f>G155-TIME(0,20,0)</f>
        <v>0.1875</v>
      </c>
      <c r="G155" s="687">
        <f>H155</f>
        <v>0.2013888888888889</v>
      </c>
      <c r="H155" s="218">
        <f>I155-TIME(3,0,0)</f>
        <v>0.2013888888888889</v>
      </c>
      <c r="I155" s="221">
        <v>0.3263888888888889</v>
      </c>
      <c r="J155" s="16" t="s">
        <v>31</v>
      </c>
      <c r="K155" s="16"/>
      <c r="L155" s="16"/>
      <c r="M155" s="16">
        <v>4</v>
      </c>
      <c r="N155" s="16"/>
      <c r="O155" s="222">
        <f>SUM(J155:N159)</f>
        <v>12</v>
      </c>
      <c r="P155" s="16"/>
      <c r="Q155" s="223">
        <v>1</v>
      </c>
      <c r="R155" s="224"/>
      <c r="S155" s="224"/>
      <c r="T155" s="224"/>
      <c r="U155" s="224" t="s">
        <v>220</v>
      </c>
      <c r="V155" s="731"/>
      <c r="W155" s="225"/>
      <c r="X155" s="226"/>
      <c r="Y155" s="48">
        <f>Z155-TIME(0,15,0)</f>
        <v>0.20833333333333334</v>
      </c>
      <c r="Z155" s="227">
        <f>AA155-TIME(0,45,0)</f>
        <v>0.21875</v>
      </c>
      <c r="AA155" s="48">
        <f>AB155-TIME(3,0,0)</f>
        <v>0.25</v>
      </c>
      <c r="AB155" s="48">
        <v>0.375</v>
      </c>
      <c r="AC155" s="52" t="s">
        <v>221</v>
      </c>
      <c r="AD155" s="52"/>
      <c r="AE155" s="52"/>
      <c r="AF155" s="52">
        <v>2</v>
      </c>
      <c r="AG155" s="52"/>
      <c r="AH155" s="228">
        <f t="shared" ref="AH155:AH156" si="21">SUM(AC155:AG155)</f>
        <v>2</v>
      </c>
      <c r="AI155" s="52">
        <v>1</v>
      </c>
      <c r="AJ155" s="52"/>
      <c r="AK155" s="52"/>
      <c r="AL155" s="278"/>
      <c r="AM155" s="1"/>
      <c r="AN155" s="1" t="str">
        <f t="shared" si="18"/>
        <v>JW MARRIOTTUA 806</v>
      </c>
      <c r="AO155" s="3" t="s">
        <v>26</v>
      </c>
      <c r="AP155" s="19">
        <v>45923</v>
      </c>
      <c r="AQ155" s="5" t="s">
        <v>182</v>
      </c>
      <c r="AR155" s="5" t="s">
        <v>54</v>
      </c>
      <c r="AS155" s="6">
        <v>0.25347222222222221</v>
      </c>
    </row>
    <row r="156" spans="1:46" ht="15" customHeight="1">
      <c r="A156" s="688"/>
      <c r="B156" s="688"/>
      <c r="C156" s="688"/>
      <c r="D156" s="688"/>
      <c r="E156" s="717"/>
      <c r="F156" s="688"/>
      <c r="G156" s="688"/>
      <c r="H156" s="43">
        <f>I156-TIME(3,0,0)</f>
        <v>0.2013888888888889</v>
      </c>
      <c r="I156" s="26">
        <v>0.3263888888888889</v>
      </c>
      <c r="J156" s="28" t="s">
        <v>33</v>
      </c>
      <c r="K156" s="28">
        <v>2</v>
      </c>
      <c r="L156" s="28"/>
      <c r="M156" s="28"/>
      <c r="N156" s="28"/>
      <c r="O156" s="41"/>
      <c r="P156" s="28"/>
      <c r="Q156" s="188">
        <v>1</v>
      </c>
      <c r="R156" s="188"/>
      <c r="S156" s="188"/>
      <c r="T156" s="224"/>
      <c r="U156" s="224" t="s">
        <v>222</v>
      </c>
      <c r="V156" s="731"/>
      <c r="W156" s="48">
        <f t="shared" ref="W156:W157" si="22">X156-TIME(0,15,0)</f>
        <v>0.25694444444444442</v>
      </c>
      <c r="X156" s="227">
        <f t="shared" ref="X156:X157" si="23">AA156-TIME(0,45,0)</f>
        <v>0.2673611111111111</v>
      </c>
      <c r="Y156" s="225"/>
      <c r="Z156" s="225"/>
      <c r="AA156" s="48">
        <f>AB156-TIME(2,0,0)</f>
        <v>0.2986111111111111</v>
      </c>
      <c r="AB156" s="48">
        <v>0.38194444444444442</v>
      </c>
      <c r="AC156" s="52" t="s">
        <v>223</v>
      </c>
      <c r="AD156" s="52"/>
      <c r="AE156" s="52">
        <v>5</v>
      </c>
      <c r="AF156" s="52"/>
      <c r="AG156" s="52"/>
      <c r="AH156" s="228">
        <f t="shared" si="21"/>
        <v>5</v>
      </c>
      <c r="AI156" s="52"/>
      <c r="AJ156" s="52">
        <v>1</v>
      </c>
      <c r="AK156" s="52"/>
      <c r="AL156" s="278"/>
      <c r="AM156" s="1"/>
      <c r="AN156" s="1" t="str">
        <f t="shared" si="18"/>
        <v>JW MARRIOTTVJ 863</v>
      </c>
      <c r="AO156" s="3" t="s">
        <v>26</v>
      </c>
      <c r="AP156" s="19">
        <v>45923</v>
      </c>
      <c r="AQ156" s="5" t="s">
        <v>182</v>
      </c>
      <c r="AR156" s="5" t="s">
        <v>123</v>
      </c>
      <c r="AS156" s="6">
        <v>0.28819444444444442</v>
      </c>
    </row>
    <row r="157" spans="1:46" ht="15" customHeight="1">
      <c r="A157" s="688"/>
      <c r="B157" s="688"/>
      <c r="C157" s="688"/>
      <c r="D157" s="688"/>
      <c r="E157" s="717"/>
      <c r="F157" s="688"/>
      <c r="G157" s="688"/>
      <c r="H157" s="43"/>
      <c r="I157" s="26"/>
      <c r="J157" s="28"/>
      <c r="K157" s="28"/>
      <c r="L157" s="28"/>
      <c r="M157" s="28"/>
      <c r="N157" s="28"/>
      <c r="O157" s="41"/>
      <c r="P157" s="28"/>
      <c r="Q157" s="28"/>
      <c r="R157" s="28"/>
      <c r="S157" s="28"/>
      <c r="T157" s="28"/>
      <c r="U157" s="1"/>
      <c r="V157" s="740"/>
      <c r="W157" s="48">
        <f t="shared" si="22"/>
        <v>0.52777777777777779</v>
      </c>
      <c r="X157" s="227">
        <f t="shared" si="23"/>
        <v>0.53819444444444442</v>
      </c>
      <c r="Y157" s="225"/>
      <c r="Z157" s="225"/>
      <c r="AA157" s="48">
        <f>AB157-TIME(2,0,0)</f>
        <v>0.56944444444444442</v>
      </c>
      <c r="AB157" s="48">
        <v>0.65277777777777779</v>
      </c>
      <c r="AC157" s="52" t="s">
        <v>224</v>
      </c>
      <c r="AD157" s="52"/>
      <c r="AE157" s="52">
        <v>4</v>
      </c>
      <c r="AF157" s="52"/>
      <c r="AG157" s="52"/>
      <c r="AH157" s="228">
        <f>SUM(AD157:AG157)</f>
        <v>4</v>
      </c>
      <c r="AI157" s="52">
        <v>1</v>
      </c>
      <c r="AJ157" s="52"/>
      <c r="AK157" s="52"/>
      <c r="AL157" s="278"/>
      <c r="AM157" s="1"/>
      <c r="AN157" s="1" t="str">
        <f t="shared" si="18"/>
        <v>JW MARRIOTTBR 169</v>
      </c>
      <c r="AO157" s="3" t="s">
        <v>26</v>
      </c>
      <c r="AP157" s="19">
        <v>45923</v>
      </c>
      <c r="AQ157" s="5" t="s">
        <v>182</v>
      </c>
      <c r="AR157" s="5" t="s">
        <v>55</v>
      </c>
      <c r="AS157" s="6">
        <v>0.28819444444444442</v>
      </c>
    </row>
    <row r="158" spans="1:46" ht="22.5" customHeight="1">
      <c r="A158" s="688"/>
      <c r="B158" s="688"/>
      <c r="C158" s="688"/>
      <c r="D158" s="688"/>
      <c r="E158" s="717"/>
      <c r="F158" s="688"/>
      <c r="G158" s="688"/>
      <c r="H158" s="43">
        <f t="shared" ref="H158:H175" si="24">I158-TIME(3,0,0)</f>
        <v>0.2048611111111111</v>
      </c>
      <c r="I158" s="26">
        <v>0.3298611111111111</v>
      </c>
      <c r="J158" s="28" t="s">
        <v>39</v>
      </c>
      <c r="K158" s="28">
        <v>4</v>
      </c>
      <c r="L158" s="28"/>
      <c r="M158" s="28"/>
      <c r="N158" s="28"/>
      <c r="O158" s="41"/>
      <c r="P158" s="28"/>
      <c r="Q158" s="28"/>
      <c r="R158" s="28"/>
      <c r="S158" s="28"/>
      <c r="T158" s="28"/>
      <c r="U158" s="1"/>
      <c r="V158" s="742" t="s">
        <v>32</v>
      </c>
      <c r="W158" s="743"/>
      <c r="X158" s="743"/>
      <c r="Y158" s="743"/>
      <c r="Z158" s="743"/>
      <c r="AA158" s="743"/>
      <c r="AB158" s="743"/>
      <c r="AC158" s="744"/>
      <c r="AD158" s="229">
        <v>0</v>
      </c>
      <c r="AE158" s="229">
        <f>SUM(AE151:AE157)</f>
        <v>24</v>
      </c>
      <c r="AF158" s="229">
        <f t="shared" ref="AF158:AG158" si="25">SUM(AF151:AF156)</f>
        <v>2</v>
      </c>
      <c r="AG158" s="229">
        <f t="shared" si="25"/>
        <v>6</v>
      </c>
      <c r="AH158" s="230">
        <f>SUM(AH151:AH157)</f>
        <v>32</v>
      </c>
      <c r="AI158" s="229">
        <f t="shared" ref="AI158:AK158" si="26">SUM(AI151:AI157)</f>
        <v>2</v>
      </c>
      <c r="AJ158" s="229">
        <f t="shared" si="26"/>
        <v>1</v>
      </c>
      <c r="AK158" s="229">
        <f t="shared" si="26"/>
        <v>0</v>
      </c>
      <c r="AL158" s="279">
        <f>SUM(AL151:AL156)</f>
        <v>1</v>
      </c>
      <c r="AM158" s="1"/>
      <c r="AN158" s="1" t="str">
        <f t="shared" si="18"/>
        <v>JW MARRIOTTMU 580</v>
      </c>
      <c r="AO158" s="3" t="s">
        <v>26</v>
      </c>
      <c r="AP158" s="19">
        <v>45923</v>
      </c>
      <c r="AQ158" s="5" t="s">
        <v>182</v>
      </c>
      <c r="AR158" s="5" t="s">
        <v>125</v>
      </c>
      <c r="AS158" s="6">
        <v>0.28819444444444442</v>
      </c>
    </row>
    <row r="159" spans="1:46" ht="15" customHeight="1">
      <c r="A159" s="688"/>
      <c r="B159" s="689"/>
      <c r="C159" s="689"/>
      <c r="D159" s="699"/>
      <c r="E159" s="729"/>
      <c r="F159" s="689"/>
      <c r="G159" s="699"/>
      <c r="H159" s="48">
        <f t="shared" si="24"/>
        <v>0.21527777777777779</v>
      </c>
      <c r="I159" s="20">
        <v>0.34027777777777779</v>
      </c>
      <c r="J159" s="47" t="s">
        <v>225</v>
      </c>
      <c r="K159" s="47"/>
      <c r="L159" s="47"/>
      <c r="M159" s="47">
        <v>2</v>
      </c>
      <c r="N159" s="47"/>
      <c r="O159" s="134"/>
      <c r="P159" s="47"/>
      <c r="Q159" s="47"/>
      <c r="R159" s="47"/>
      <c r="S159" s="47"/>
      <c r="T159" s="47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 t="s">
        <v>34</v>
      </c>
      <c r="AJ159" s="1" t="s">
        <v>35</v>
      </c>
      <c r="AK159" s="1" t="s">
        <v>36</v>
      </c>
      <c r="AL159" s="1" t="s">
        <v>37</v>
      </c>
      <c r="AM159" s="1"/>
      <c r="AN159" s="1" t="str">
        <f t="shared" si="18"/>
        <v>JW MARRIOTTCZ 314</v>
      </c>
      <c r="AO159" s="3" t="s">
        <v>26</v>
      </c>
      <c r="AP159" s="19">
        <v>45923</v>
      </c>
      <c r="AQ159" s="5" t="s">
        <v>182</v>
      </c>
      <c r="AR159" s="5" t="s">
        <v>126</v>
      </c>
      <c r="AS159" s="6">
        <v>0.3263888888888889</v>
      </c>
    </row>
    <row r="160" spans="1:46" ht="15" customHeight="1">
      <c r="A160" s="688"/>
      <c r="B160" s="714">
        <f>C160-TIME(0,15,0)</f>
        <v>0.13541666666666669</v>
      </c>
      <c r="C160" s="715">
        <f t="shared" ref="C160:D160" si="27">D160-TIME(0,15,0)</f>
        <v>0.14583333333333334</v>
      </c>
      <c r="D160" s="714">
        <f t="shared" si="27"/>
        <v>0.15625</v>
      </c>
      <c r="E160" s="728">
        <f>F160-TIME(1,0,0)</f>
        <v>0.16666666666666666</v>
      </c>
      <c r="F160" s="687">
        <f>G160-TIME(0,20,0)</f>
        <v>0.20833333333333331</v>
      </c>
      <c r="G160" s="687">
        <f>H160</f>
        <v>0.22222222222222221</v>
      </c>
      <c r="H160" s="33">
        <f t="shared" si="24"/>
        <v>0.22222222222222221</v>
      </c>
      <c r="I160" s="221">
        <v>0.34722222222222221</v>
      </c>
      <c r="J160" s="16" t="s">
        <v>93</v>
      </c>
      <c r="K160" s="16">
        <v>2</v>
      </c>
      <c r="L160" s="16"/>
      <c r="M160" s="16"/>
      <c r="N160" s="16"/>
      <c r="O160" s="222">
        <f>SUM(J160:N163)</f>
        <v>20</v>
      </c>
      <c r="P160" s="16"/>
      <c r="Q160" s="16"/>
      <c r="R160" s="16"/>
      <c r="S160" s="16">
        <v>1</v>
      </c>
      <c r="T160" s="16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 t="str">
        <f t="shared" si="18"/>
        <v>JW MARRIOTTOZ 202</v>
      </c>
      <c r="AO160" s="3" t="s">
        <v>26</v>
      </c>
      <c r="AP160" s="19">
        <v>45923</v>
      </c>
      <c r="AQ160" s="5" t="s">
        <v>182</v>
      </c>
      <c r="AR160" s="5" t="s">
        <v>57</v>
      </c>
      <c r="AS160" s="6">
        <v>0.3263888888888889</v>
      </c>
    </row>
    <row r="161" spans="1:45" ht="15" customHeight="1">
      <c r="A161" s="688"/>
      <c r="B161" s="688"/>
      <c r="C161" s="688"/>
      <c r="D161" s="688"/>
      <c r="E161" s="717"/>
      <c r="F161" s="688"/>
      <c r="G161" s="688"/>
      <c r="H161" s="26">
        <f t="shared" si="24"/>
        <v>0.22222222222222221</v>
      </c>
      <c r="I161" s="26">
        <v>0.34722222222222221</v>
      </c>
      <c r="J161" s="28" t="s">
        <v>226</v>
      </c>
      <c r="K161" s="28"/>
      <c r="L161" s="28"/>
      <c r="M161" s="28">
        <v>14</v>
      </c>
      <c r="N161" s="28"/>
      <c r="O161" s="41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 t="str">
        <f t="shared" si="18"/>
        <v>JW MARRIOTTZ2 885</v>
      </c>
      <c r="AO161" s="3" t="s">
        <v>26</v>
      </c>
      <c r="AP161" s="19">
        <v>45923</v>
      </c>
      <c r="AQ161" s="5" t="s">
        <v>182</v>
      </c>
      <c r="AR161" s="5" t="s">
        <v>129</v>
      </c>
      <c r="AS161" s="6">
        <v>0.3263888888888889</v>
      </c>
    </row>
    <row r="162" spans="1:45" ht="15" customHeight="1">
      <c r="A162" s="688"/>
      <c r="B162" s="688"/>
      <c r="C162" s="688"/>
      <c r="D162" s="688"/>
      <c r="E162" s="717"/>
      <c r="F162" s="688"/>
      <c r="G162" s="688"/>
      <c r="H162" s="26">
        <f t="shared" si="24"/>
        <v>0.2326388888888889</v>
      </c>
      <c r="I162" s="26">
        <v>0.3576388888888889</v>
      </c>
      <c r="J162" s="28" t="s">
        <v>109</v>
      </c>
      <c r="K162" s="28"/>
      <c r="L162" s="28">
        <v>2</v>
      </c>
      <c r="M162" s="28"/>
      <c r="N162" s="28"/>
      <c r="O162" s="41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 t="str">
        <f t="shared" si="18"/>
        <v>JW MARRIOTTNQ 122</v>
      </c>
      <c r="AO162" s="3" t="s">
        <v>26</v>
      </c>
      <c r="AP162" s="19">
        <v>45923</v>
      </c>
      <c r="AQ162" s="5" t="s">
        <v>182</v>
      </c>
      <c r="AR162" s="5" t="s">
        <v>130</v>
      </c>
      <c r="AS162" s="6">
        <v>0.3611111111111111</v>
      </c>
    </row>
    <row r="163" spans="1:45" ht="15" customHeight="1">
      <c r="A163" s="688"/>
      <c r="B163" s="689"/>
      <c r="C163" s="689"/>
      <c r="D163" s="699"/>
      <c r="E163" s="717"/>
      <c r="F163" s="689"/>
      <c r="G163" s="689"/>
      <c r="H163" s="195">
        <f t="shared" si="24"/>
        <v>0.24305555555555558</v>
      </c>
      <c r="I163" s="195">
        <v>0.36805555555555558</v>
      </c>
      <c r="J163" s="47" t="s">
        <v>227</v>
      </c>
      <c r="K163" s="47"/>
      <c r="L163" s="47"/>
      <c r="M163" s="47">
        <v>2</v>
      </c>
      <c r="N163" s="47"/>
      <c r="O163" s="134"/>
      <c r="P163" s="47"/>
      <c r="Q163" s="47"/>
      <c r="R163" s="47"/>
      <c r="S163" s="47"/>
      <c r="T163" s="47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 t="str">
        <f t="shared" si="18"/>
        <v>JW MARRIOTTCX 439</v>
      </c>
      <c r="AO163" s="3" t="s">
        <v>26</v>
      </c>
      <c r="AP163" s="19">
        <v>45923</v>
      </c>
      <c r="AQ163" s="5" t="s">
        <v>182</v>
      </c>
      <c r="AR163" s="5" t="s">
        <v>59</v>
      </c>
      <c r="AS163" s="6">
        <v>0.3611111111111111</v>
      </c>
    </row>
    <row r="164" spans="1:45" ht="15" customHeight="1">
      <c r="A164" s="688"/>
      <c r="B164" s="687">
        <f>C164-TIME(0,15,0)</f>
        <v>0.17708333333333337</v>
      </c>
      <c r="C164" s="690">
        <f t="shared" ref="C164:D164" si="28">D164-TIME(0,15,0)</f>
        <v>0.18750000000000003</v>
      </c>
      <c r="D164" s="687">
        <f t="shared" si="28"/>
        <v>0.19791666666666669</v>
      </c>
      <c r="E164" s="691">
        <f>F164-TIME(1,0,0)</f>
        <v>0.20833333333333334</v>
      </c>
      <c r="F164" s="687">
        <f>H164</f>
        <v>0.25</v>
      </c>
      <c r="G164" s="687">
        <f>F164+TIME(0,20,0)</f>
        <v>0.2638888888888889</v>
      </c>
      <c r="H164" s="221">
        <f t="shared" si="24"/>
        <v>0.25</v>
      </c>
      <c r="I164" s="221">
        <v>0.375</v>
      </c>
      <c r="J164" s="16" t="s">
        <v>111</v>
      </c>
      <c r="K164" s="16">
        <v>4</v>
      </c>
      <c r="L164" s="16">
        <v>3</v>
      </c>
      <c r="M164" s="16"/>
      <c r="N164" s="16"/>
      <c r="O164" s="222">
        <f>SUM(J164:N169)</f>
        <v>19</v>
      </c>
      <c r="P164" s="16"/>
      <c r="Q164" s="16"/>
      <c r="R164" s="16"/>
      <c r="S164" s="16">
        <v>1</v>
      </c>
      <c r="T164" s="16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 t="str">
        <f t="shared" si="18"/>
        <v>JW MARRIOTTKE 789</v>
      </c>
      <c r="AO164" s="3" t="s">
        <v>26</v>
      </c>
      <c r="AP164" s="19">
        <v>45923</v>
      </c>
      <c r="AQ164" s="5" t="s">
        <v>182</v>
      </c>
      <c r="AR164" s="5" t="s">
        <v>132</v>
      </c>
      <c r="AS164" s="6">
        <v>0.3611111111111111</v>
      </c>
    </row>
    <row r="165" spans="1:45" ht="15" customHeight="1">
      <c r="A165" s="688"/>
      <c r="B165" s="688"/>
      <c r="C165" s="688"/>
      <c r="D165" s="688"/>
      <c r="E165" s="692"/>
      <c r="F165" s="688"/>
      <c r="G165" s="688"/>
      <c r="H165" s="26">
        <f t="shared" si="24"/>
        <v>0.25</v>
      </c>
      <c r="I165" s="26">
        <v>0.375</v>
      </c>
      <c r="J165" s="28" t="s">
        <v>228</v>
      </c>
      <c r="K165" s="28">
        <v>2</v>
      </c>
      <c r="L165" s="28"/>
      <c r="M165" s="28"/>
      <c r="N165" s="28"/>
      <c r="O165" s="41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 t="str">
        <f t="shared" si="18"/>
        <v>JW MARRIOTTNH 6954</v>
      </c>
      <c r="AO165" s="3" t="s">
        <v>26</v>
      </c>
      <c r="AP165" s="19">
        <v>45923</v>
      </c>
      <c r="AQ165" s="5" t="s">
        <v>182</v>
      </c>
      <c r="AR165" s="5" t="s">
        <v>134</v>
      </c>
      <c r="AS165" s="6">
        <v>0.3611111111111111</v>
      </c>
    </row>
    <row r="166" spans="1:45" ht="15" customHeight="1">
      <c r="A166" s="688"/>
      <c r="B166" s="688"/>
      <c r="C166" s="688"/>
      <c r="D166" s="688"/>
      <c r="E166" s="692"/>
      <c r="F166" s="688"/>
      <c r="G166" s="688"/>
      <c r="H166" s="26">
        <f t="shared" si="24"/>
        <v>0.25347222222222221</v>
      </c>
      <c r="I166" s="26">
        <v>0.37847222222222221</v>
      </c>
      <c r="J166" s="28" t="s">
        <v>229</v>
      </c>
      <c r="K166" s="28">
        <v>2</v>
      </c>
      <c r="L166" s="28">
        <v>2</v>
      </c>
      <c r="M166" s="28"/>
      <c r="N166" s="28"/>
      <c r="O166" s="41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 t="str">
        <f t="shared" si="18"/>
        <v>JW MARRIOTTOZ 114</v>
      </c>
      <c r="AO166" s="3" t="s">
        <v>26</v>
      </c>
      <c r="AP166" s="19">
        <v>45923</v>
      </c>
      <c r="AQ166" s="5" t="s">
        <v>182</v>
      </c>
      <c r="AR166" s="5" t="s">
        <v>135</v>
      </c>
      <c r="AS166" s="6">
        <v>0.3611111111111111</v>
      </c>
    </row>
    <row r="167" spans="1:45" ht="15" customHeight="1">
      <c r="A167" s="688"/>
      <c r="B167" s="688"/>
      <c r="C167" s="688"/>
      <c r="D167" s="688"/>
      <c r="E167" s="692"/>
      <c r="F167" s="688"/>
      <c r="G167" s="688"/>
      <c r="H167" s="26">
        <f t="shared" si="24"/>
        <v>0.2673611111111111</v>
      </c>
      <c r="I167" s="26">
        <v>0.3923611111111111</v>
      </c>
      <c r="J167" s="28" t="s">
        <v>42</v>
      </c>
      <c r="K167" s="28"/>
      <c r="L167" s="28"/>
      <c r="M167" s="28"/>
      <c r="N167" s="28">
        <v>2</v>
      </c>
      <c r="O167" s="41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 t="str">
        <f t="shared" si="18"/>
        <v>JW MARRIOTTDL 7860</v>
      </c>
      <c r="AO167" s="3" t="s">
        <v>26</v>
      </c>
      <c r="AP167" s="19">
        <v>45923</v>
      </c>
      <c r="AQ167" s="5" t="s">
        <v>182</v>
      </c>
      <c r="AR167" s="5" t="s">
        <v>142</v>
      </c>
      <c r="AS167" s="6">
        <v>0.46527777777777779</v>
      </c>
    </row>
    <row r="168" spans="1:45" ht="15" customHeight="1">
      <c r="A168" s="688"/>
      <c r="B168" s="688"/>
      <c r="C168" s="688"/>
      <c r="D168" s="688"/>
      <c r="E168" s="692"/>
      <c r="F168" s="688"/>
      <c r="G168" s="688"/>
      <c r="H168" s="26">
        <f t="shared" si="24"/>
        <v>0.27083333333333331</v>
      </c>
      <c r="I168" s="26">
        <v>0.39583333333333331</v>
      </c>
      <c r="J168" s="28" t="s">
        <v>230</v>
      </c>
      <c r="K168" s="28"/>
      <c r="L168" s="28"/>
      <c r="M168" s="28">
        <v>1</v>
      </c>
      <c r="N168" s="28"/>
      <c r="O168" s="41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 t="str">
        <f t="shared" si="18"/>
        <v>JW MARRIOTTKE 23</v>
      </c>
      <c r="AO168" s="3" t="s">
        <v>26</v>
      </c>
      <c r="AP168" s="19">
        <v>45923</v>
      </c>
      <c r="AQ168" s="5" t="s">
        <v>182</v>
      </c>
      <c r="AR168" s="5" t="s">
        <v>61</v>
      </c>
      <c r="AS168" s="6">
        <v>0.46527777777777779</v>
      </c>
    </row>
    <row r="169" spans="1:45" ht="15" customHeight="1">
      <c r="A169" s="688"/>
      <c r="B169" s="699"/>
      <c r="C169" s="699"/>
      <c r="D169" s="699"/>
      <c r="E169" s="727"/>
      <c r="F169" s="699"/>
      <c r="G169" s="699"/>
      <c r="H169" s="20">
        <f t="shared" si="24"/>
        <v>0.27083333333333331</v>
      </c>
      <c r="I169" s="195">
        <v>0.39583333333333331</v>
      </c>
      <c r="J169" s="47" t="s">
        <v>44</v>
      </c>
      <c r="K169" s="47"/>
      <c r="L169" s="47"/>
      <c r="M169" s="47">
        <v>3</v>
      </c>
      <c r="N169" s="47"/>
      <c r="O169" s="134"/>
      <c r="P169" s="47"/>
      <c r="Q169" s="47"/>
      <c r="R169" s="47"/>
      <c r="S169" s="47"/>
      <c r="T169" s="47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 t="str">
        <f t="shared" si="18"/>
        <v>JW MARRIOTTKE 187</v>
      </c>
      <c r="AO169" s="3" t="s">
        <v>26</v>
      </c>
      <c r="AP169" s="19">
        <v>45923</v>
      </c>
      <c r="AQ169" s="5" t="s">
        <v>182</v>
      </c>
      <c r="AR169" s="5" t="s">
        <v>143</v>
      </c>
      <c r="AS169" s="6">
        <v>0.46527777777777779</v>
      </c>
    </row>
    <row r="170" spans="1:45" ht="15" customHeight="1">
      <c r="A170" s="688"/>
      <c r="B170" s="687">
        <f>C170-TIME(0,15,0)</f>
        <v>0.21527777777777779</v>
      </c>
      <c r="C170" s="690">
        <f t="shared" ref="C170:D170" si="29">D170-TIME(0,15,0)</f>
        <v>0.22569444444444445</v>
      </c>
      <c r="D170" s="687">
        <f t="shared" si="29"/>
        <v>0.2361111111111111</v>
      </c>
      <c r="E170" s="728">
        <f>F170-TIME(1,0,0)</f>
        <v>0.24652777777777776</v>
      </c>
      <c r="F170" s="687">
        <f>G170-TIME(0,20,0)</f>
        <v>0.28819444444444442</v>
      </c>
      <c r="G170" s="687">
        <f>H170</f>
        <v>0.30208333333333331</v>
      </c>
      <c r="H170" s="221">
        <f t="shared" si="24"/>
        <v>0.30208333333333331</v>
      </c>
      <c r="I170" s="221">
        <v>0.42708333333333331</v>
      </c>
      <c r="J170" s="16" t="s">
        <v>48</v>
      </c>
      <c r="K170" s="16"/>
      <c r="L170" s="16"/>
      <c r="M170" s="16"/>
      <c r="N170" s="16">
        <v>3</v>
      </c>
      <c r="O170" s="222">
        <f>SUM(J170:N174)</f>
        <v>18</v>
      </c>
      <c r="P170" s="16"/>
      <c r="Q170" s="16"/>
      <c r="R170" s="16"/>
      <c r="S170" s="16">
        <v>1</v>
      </c>
      <c r="T170" s="16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 t="str">
        <f t="shared" si="18"/>
        <v>JW MARRIOTTOZ 751</v>
      </c>
      <c r="AO170" s="3" t="s">
        <v>26</v>
      </c>
      <c r="AP170" s="19">
        <v>45923</v>
      </c>
      <c r="AQ170" s="5" t="s">
        <v>182</v>
      </c>
      <c r="AR170" s="5" t="s">
        <v>145</v>
      </c>
      <c r="AS170" s="6">
        <v>0.46527777777777779</v>
      </c>
    </row>
    <row r="171" spans="1:45" ht="15" customHeight="1">
      <c r="A171" s="688"/>
      <c r="B171" s="688"/>
      <c r="C171" s="688"/>
      <c r="D171" s="688"/>
      <c r="E171" s="717"/>
      <c r="F171" s="688"/>
      <c r="G171" s="688"/>
      <c r="H171" s="26">
        <f t="shared" si="24"/>
        <v>0.3125</v>
      </c>
      <c r="I171" s="26">
        <v>0.4375</v>
      </c>
      <c r="J171" s="28" t="s">
        <v>231</v>
      </c>
      <c r="K171" s="28"/>
      <c r="L171" s="28"/>
      <c r="M171" s="28">
        <v>2</v>
      </c>
      <c r="N171" s="28"/>
      <c r="O171" s="41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 t="str">
        <f t="shared" si="18"/>
        <v>JW MARRIOTTKE 671</v>
      </c>
      <c r="AO171" s="3" t="s">
        <v>26</v>
      </c>
      <c r="AP171" s="19">
        <v>45923</v>
      </c>
      <c r="AQ171" s="5" t="s">
        <v>182</v>
      </c>
      <c r="AR171" s="5" t="s">
        <v>146</v>
      </c>
      <c r="AS171" s="6">
        <v>0.46527777777777779</v>
      </c>
    </row>
    <row r="172" spans="1:45" ht="15" customHeight="1">
      <c r="A172" s="688"/>
      <c r="B172" s="688"/>
      <c r="C172" s="688"/>
      <c r="D172" s="688"/>
      <c r="E172" s="717"/>
      <c r="F172" s="688"/>
      <c r="G172" s="688"/>
      <c r="H172" s="26">
        <f t="shared" si="24"/>
        <v>0.31597222222222221</v>
      </c>
      <c r="I172" s="26">
        <v>0.44097222222222221</v>
      </c>
      <c r="J172" s="28" t="s">
        <v>50</v>
      </c>
      <c r="K172" s="28"/>
      <c r="L172" s="28">
        <v>7</v>
      </c>
      <c r="M172" s="28"/>
      <c r="N172" s="28"/>
      <c r="O172" s="41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 t="str">
        <f t="shared" si="18"/>
        <v>JW MARRIOTTDL 188</v>
      </c>
      <c r="AO172" s="3" t="s">
        <v>26</v>
      </c>
      <c r="AP172" s="19">
        <v>45923</v>
      </c>
      <c r="AQ172" s="5" t="s">
        <v>182</v>
      </c>
      <c r="AR172" s="5" t="s">
        <v>62</v>
      </c>
      <c r="AS172" s="6">
        <v>0.46527777777777779</v>
      </c>
    </row>
    <row r="173" spans="1:45" ht="15" customHeight="1">
      <c r="A173" s="688"/>
      <c r="B173" s="688"/>
      <c r="C173" s="688"/>
      <c r="D173" s="688"/>
      <c r="E173" s="717"/>
      <c r="F173" s="688"/>
      <c r="G173" s="688"/>
      <c r="H173" s="26">
        <f t="shared" si="24"/>
        <v>0.31944444444444442</v>
      </c>
      <c r="I173" s="26">
        <v>0.44444444444444442</v>
      </c>
      <c r="J173" s="28" t="s">
        <v>232</v>
      </c>
      <c r="K173" s="28">
        <v>2</v>
      </c>
      <c r="L173" s="28"/>
      <c r="M173" s="28"/>
      <c r="N173" s="28"/>
      <c r="O173" s="41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 t="str">
        <f t="shared" si="18"/>
        <v>JW MARRIOTTKE 41</v>
      </c>
      <c r="AO173" s="3" t="s">
        <v>26</v>
      </c>
      <c r="AP173" s="19">
        <v>45923</v>
      </c>
      <c r="AQ173" s="5" t="s">
        <v>182</v>
      </c>
      <c r="AR173" s="5" t="s">
        <v>63</v>
      </c>
      <c r="AS173" s="6">
        <v>0.49305555555555558</v>
      </c>
    </row>
    <row r="174" spans="1:45" ht="15" customHeight="1">
      <c r="A174" s="688"/>
      <c r="B174" s="689"/>
      <c r="C174" s="689"/>
      <c r="D174" s="689"/>
      <c r="E174" s="717"/>
      <c r="F174" s="689"/>
      <c r="G174" s="689"/>
      <c r="H174" s="195">
        <f t="shared" si="24"/>
        <v>0.31944444444444442</v>
      </c>
      <c r="I174" s="195">
        <v>0.44444444444444442</v>
      </c>
      <c r="J174" s="47" t="s">
        <v>119</v>
      </c>
      <c r="K174" s="47"/>
      <c r="L174" s="47"/>
      <c r="M174" s="47">
        <v>4</v>
      </c>
      <c r="N174" s="47"/>
      <c r="O174" s="134"/>
      <c r="P174" s="47"/>
      <c r="Q174" s="47"/>
      <c r="R174" s="47"/>
      <c r="S174" s="47"/>
      <c r="T174" s="47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 t="str">
        <f t="shared" si="18"/>
        <v>JW MARRIOTTCZ 3062</v>
      </c>
      <c r="AO174" s="3" t="s">
        <v>26</v>
      </c>
      <c r="AP174" s="19">
        <v>45923</v>
      </c>
      <c r="AQ174" s="5" t="s">
        <v>182</v>
      </c>
      <c r="AR174" s="5" t="s">
        <v>147</v>
      </c>
      <c r="AS174" s="6">
        <v>0.49305555555555558</v>
      </c>
    </row>
    <row r="175" spans="1:45" ht="15" customHeight="1">
      <c r="A175" s="688"/>
      <c r="B175" s="687">
        <f>C175-TIME(0,15,0)</f>
        <v>0.26041666666666657</v>
      </c>
      <c r="C175" s="690">
        <f t="shared" ref="C175:D175" si="30">D175-TIME(0,15,0)</f>
        <v>0.27083333333333326</v>
      </c>
      <c r="D175" s="687">
        <f t="shared" si="30"/>
        <v>0.28124999999999994</v>
      </c>
      <c r="E175" s="691">
        <f>F175-TIME(1,0,0)</f>
        <v>0.29166666666666663</v>
      </c>
      <c r="F175" s="687">
        <f>H175</f>
        <v>0.33333333333333331</v>
      </c>
      <c r="G175" s="687">
        <f>F175+TIME(0,20,0)</f>
        <v>0.34722222222222221</v>
      </c>
      <c r="H175" s="221">
        <f t="shared" si="24"/>
        <v>0.33333333333333331</v>
      </c>
      <c r="I175" s="221">
        <v>0.45833333333333331</v>
      </c>
      <c r="J175" s="16" t="s">
        <v>233</v>
      </c>
      <c r="K175" s="16">
        <v>2</v>
      </c>
      <c r="L175" s="16"/>
      <c r="M175" s="16"/>
      <c r="N175" s="16"/>
      <c r="O175" s="222">
        <f>SUM(J175:N179)</f>
        <v>35</v>
      </c>
      <c r="P175" s="16"/>
      <c r="Q175" s="231">
        <v>0</v>
      </c>
      <c r="R175" s="232">
        <v>1</v>
      </c>
      <c r="S175" s="232"/>
      <c r="T175" s="232"/>
      <c r="U175" s="233" t="s">
        <v>234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 t="str">
        <f t="shared" si="18"/>
        <v>JW MARRIOTTUA 892</v>
      </c>
      <c r="AO175" s="3" t="s">
        <v>26</v>
      </c>
      <c r="AP175" s="19">
        <v>45923</v>
      </c>
      <c r="AQ175" s="5" t="s">
        <v>182</v>
      </c>
      <c r="AR175" s="5" t="s">
        <v>64</v>
      </c>
      <c r="AS175" s="6">
        <v>0.49305555555555558</v>
      </c>
    </row>
    <row r="176" spans="1:45" ht="15" customHeight="1">
      <c r="A176" s="688"/>
      <c r="B176" s="688"/>
      <c r="C176" s="688"/>
      <c r="D176" s="688"/>
      <c r="E176" s="692"/>
      <c r="F176" s="688"/>
      <c r="G176" s="688"/>
      <c r="H176" s="33">
        <f>I176-TIME(3,0,0)</f>
        <v>0.33680555555555558</v>
      </c>
      <c r="I176" s="33">
        <v>0.46180555555555558</v>
      </c>
      <c r="J176" s="34" t="s">
        <v>51</v>
      </c>
      <c r="K176" s="34">
        <v>4</v>
      </c>
      <c r="L176" s="34">
        <v>2</v>
      </c>
      <c r="M176" s="34"/>
      <c r="N176" s="34"/>
      <c r="O176" s="35"/>
      <c r="P176" s="34"/>
      <c r="Q176" s="34"/>
      <c r="R176" s="186"/>
      <c r="S176" s="186">
        <v>1</v>
      </c>
      <c r="T176" s="186"/>
      <c r="U176" s="234" t="s">
        <v>235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 t="str">
        <f t="shared" si="18"/>
        <v>JW MARRIOTT9C 8560</v>
      </c>
      <c r="AO176" s="3" t="s">
        <v>26</v>
      </c>
      <c r="AP176" s="19">
        <v>45923</v>
      </c>
      <c r="AQ176" s="5" t="s">
        <v>182</v>
      </c>
      <c r="AR176" s="5" t="s">
        <v>150</v>
      </c>
      <c r="AS176" s="6">
        <v>0.49305555555555558</v>
      </c>
    </row>
    <row r="177" spans="1:45" ht="15" customHeight="1">
      <c r="A177" s="688"/>
      <c r="B177" s="688"/>
      <c r="C177" s="688"/>
      <c r="D177" s="688"/>
      <c r="E177" s="692"/>
      <c r="F177" s="688"/>
      <c r="G177" s="688"/>
      <c r="H177" s="26">
        <f t="shared" ref="H177:H180" si="31">I177-TIME(3,0,0)</f>
        <v>0.33680555555555558</v>
      </c>
      <c r="I177" s="26">
        <v>0.46180555555555558</v>
      </c>
      <c r="J177" s="28" t="s">
        <v>236</v>
      </c>
      <c r="K177" s="28"/>
      <c r="L177" s="28">
        <v>2</v>
      </c>
      <c r="M177" s="28"/>
      <c r="N177" s="28"/>
      <c r="O177" s="41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 t="str">
        <f t="shared" si="18"/>
        <v>JW MARRIOTTAA 280</v>
      </c>
      <c r="AO177" s="3" t="s">
        <v>26</v>
      </c>
      <c r="AP177" s="19">
        <v>45923</v>
      </c>
      <c r="AQ177" s="5" t="s">
        <v>182</v>
      </c>
      <c r="AR177" s="5" t="s">
        <v>65</v>
      </c>
      <c r="AS177" s="6">
        <v>0.53819444444444442</v>
      </c>
    </row>
    <row r="178" spans="1:45" ht="15" customHeight="1">
      <c r="A178" s="688"/>
      <c r="B178" s="688"/>
      <c r="C178" s="688"/>
      <c r="D178" s="688"/>
      <c r="E178" s="692"/>
      <c r="F178" s="688"/>
      <c r="G178" s="688"/>
      <c r="H178" s="26">
        <f t="shared" si="31"/>
        <v>0.34027777777777779</v>
      </c>
      <c r="I178" s="26">
        <v>0.46527777777777779</v>
      </c>
      <c r="J178" s="28" t="s">
        <v>121</v>
      </c>
      <c r="K178" s="28"/>
      <c r="L178" s="28"/>
      <c r="M178" s="28">
        <v>4</v>
      </c>
      <c r="N178" s="28"/>
      <c r="O178" s="41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 t="str">
        <f t="shared" si="18"/>
        <v>JW MARRIOTTTG 653</v>
      </c>
      <c r="AO178" s="3" t="s">
        <v>26</v>
      </c>
      <c r="AP178" s="19">
        <v>45923</v>
      </c>
      <c r="AQ178" s="5" t="s">
        <v>182</v>
      </c>
      <c r="AR178" s="5" t="s">
        <v>151</v>
      </c>
      <c r="AS178" s="6">
        <v>0.53819444444444442</v>
      </c>
    </row>
    <row r="179" spans="1:45" ht="15" customHeight="1">
      <c r="A179" s="688"/>
      <c r="B179" s="689"/>
      <c r="C179" s="689"/>
      <c r="D179" s="689"/>
      <c r="E179" s="693"/>
      <c r="F179" s="689"/>
      <c r="G179" s="689"/>
      <c r="H179" s="195">
        <f t="shared" si="31"/>
        <v>0.35416666666666669</v>
      </c>
      <c r="I179" s="195">
        <v>0.47916666666666669</v>
      </c>
      <c r="J179" s="47" t="s">
        <v>54</v>
      </c>
      <c r="K179" s="47"/>
      <c r="L179" s="47">
        <v>21</v>
      </c>
      <c r="M179" s="47"/>
      <c r="N179" s="47"/>
      <c r="O179" s="134"/>
      <c r="P179" s="47"/>
      <c r="Q179" s="47"/>
      <c r="R179" s="47"/>
      <c r="S179" s="47"/>
      <c r="T179" s="47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 t="str">
        <f t="shared" si="18"/>
        <v>JW MARRIOTTAC 64</v>
      </c>
      <c r="AO179" s="3" t="s">
        <v>26</v>
      </c>
      <c r="AP179" s="19">
        <v>45923</v>
      </c>
      <c r="AQ179" s="5" t="s">
        <v>182</v>
      </c>
      <c r="AR179" s="5" t="s">
        <v>66</v>
      </c>
      <c r="AS179" s="6">
        <v>0.53819444444444442</v>
      </c>
    </row>
    <row r="180" spans="1:45" ht="15" customHeight="1">
      <c r="A180" s="688"/>
      <c r="B180" s="50">
        <f t="shared" ref="B180:D181" si="32">C180-TIME(0,15,0)</f>
        <v>0.30902777777777773</v>
      </c>
      <c r="C180" s="49">
        <f>F180-TIME(1,20,0)</f>
        <v>0.31944444444444442</v>
      </c>
      <c r="D180" s="235"/>
      <c r="E180" s="236"/>
      <c r="F180" s="50">
        <f>H180</f>
        <v>0.375</v>
      </c>
      <c r="G180" s="235"/>
      <c r="H180" s="50">
        <f t="shared" si="31"/>
        <v>0.375</v>
      </c>
      <c r="I180" s="218">
        <v>0.5</v>
      </c>
      <c r="J180" s="217" t="s">
        <v>55</v>
      </c>
      <c r="K180" s="217"/>
      <c r="L180" s="217">
        <v>5</v>
      </c>
      <c r="M180" s="217"/>
      <c r="N180" s="217"/>
      <c r="O180" s="219">
        <f>SUM(K180:N180)</f>
        <v>5</v>
      </c>
      <c r="P180" s="217"/>
      <c r="Q180" s="217">
        <v>1</v>
      </c>
      <c r="R180" s="217"/>
      <c r="S180" s="217"/>
      <c r="T180" s="217"/>
      <c r="U180" s="220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 t="str">
        <f t="shared" si="18"/>
        <v>JW MARRIOTTVN 403</v>
      </c>
      <c r="AO180" s="3" t="s">
        <v>26</v>
      </c>
      <c r="AP180" s="19">
        <v>45923</v>
      </c>
      <c r="AQ180" s="5" t="s">
        <v>182</v>
      </c>
      <c r="AR180" s="5" t="s">
        <v>152</v>
      </c>
      <c r="AS180" s="6">
        <v>0.53819444444444442</v>
      </c>
    </row>
    <row r="181" spans="1:45" ht="15" customHeight="1">
      <c r="A181" s="688"/>
      <c r="B181" s="730">
        <f t="shared" si="32"/>
        <v>0.3020833333333332</v>
      </c>
      <c r="C181" s="732">
        <f t="shared" si="32"/>
        <v>0.31249999999999989</v>
      </c>
      <c r="D181" s="733">
        <f t="shared" si="32"/>
        <v>0.32291666666666657</v>
      </c>
      <c r="E181" s="734">
        <f>F181-TIME(1,0,0)</f>
        <v>0.33333333333333326</v>
      </c>
      <c r="F181" s="733">
        <f>G181-TIME(0,20,0)</f>
        <v>0.37499999999999994</v>
      </c>
      <c r="G181" s="733">
        <f>H181</f>
        <v>0.38888888888888884</v>
      </c>
      <c r="H181" s="237">
        <f>I181-TIME(3,0,0)</f>
        <v>0.38888888888888884</v>
      </c>
      <c r="I181" s="237">
        <v>0.51388888888888884</v>
      </c>
      <c r="J181" s="140" t="s">
        <v>237</v>
      </c>
      <c r="K181" s="140"/>
      <c r="L181" s="140">
        <v>1</v>
      </c>
      <c r="M181" s="140"/>
      <c r="N181" s="140"/>
      <c r="O181" s="141">
        <f>SUM(K181:N186)</f>
        <v>16</v>
      </c>
      <c r="P181" s="140"/>
      <c r="Q181" s="140"/>
      <c r="R181" s="140"/>
      <c r="S181" s="238">
        <v>1</v>
      </c>
      <c r="T181" s="238"/>
      <c r="U181" s="220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 t="str">
        <f t="shared" si="18"/>
        <v>JW MARRIOTTKE 651</v>
      </c>
      <c r="AO181" s="3" t="s">
        <v>26</v>
      </c>
      <c r="AP181" s="19">
        <v>45923</v>
      </c>
      <c r="AQ181" s="5" t="s">
        <v>182</v>
      </c>
      <c r="AR181" s="5" t="s">
        <v>67</v>
      </c>
      <c r="AS181" s="6">
        <v>0.56597222222222221</v>
      </c>
    </row>
    <row r="182" spans="1:45" ht="15" customHeight="1">
      <c r="A182" s="688"/>
      <c r="B182" s="731"/>
      <c r="C182" s="692"/>
      <c r="D182" s="692"/>
      <c r="E182" s="692"/>
      <c r="F182" s="692"/>
      <c r="G182" s="692"/>
      <c r="H182" s="202">
        <f>I182-TIME(3,0,0)</f>
        <v>0.39930555555555558</v>
      </c>
      <c r="I182" s="202">
        <v>0.52430555555555558</v>
      </c>
      <c r="J182" s="1" t="s">
        <v>238</v>
      </c>
      <c r="K182" s="1"/>
      <c r="L182" s="1"/>
      <c r="M182" s="1">
        <v>1</v>
      </c>
      <c r="N182" s="1">
        <v>7</v>
      </c>
      <c r="O182" s="143"/>
      <c r="P182" s="1"/>
      <c r="Q182" s="1"/>
      <c r="R182" s="1"/>
      <c r="S182" s="239"/>
      <c r="T182" s="239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 t="str">
        <f t="shared" si="18"/>
        <v>JW MARRIOTTKE 461</v>
      </c>
      <c r="AO182" s="3" t="s">
        <v>26</v>
      </c>
      <c r="AP182" s="19">
        <v>45923</v>
      </c>
      <c r="AQ182" s="5" t="s">
        <v>182</v>
      </c>
      <c r="AR182" s="5" t="s">
        <v>154</v>
      </c>
      <c r="AS182" s="6">
        <v>0.56597222222222221</v>
      </c>
    </row>
    <row r="183" spans="1:45" ht="15" customHeight="1">
      <c r="A183" s="688"/>
      <c r="B183" s="731"/>
      <c r="C183" s="692"/>
      <c r="D183" s="692"/>
      <c r="E183" s="692"/>
      <c r="F183" s="692"/>
      <c r="G183" s="692"/>
      <c r="H183" s="33">
        <f>I183-TIME(3,0,0)</f>
        <v>0.39930555555555558</v>
      </c>
      <c r="I183" s="33">
        <v>0.52430555555555558</v>
      </c>
      <c r="J183" s="34" t="s">
        <v>126</v>
      </c>
      <c r="K183" s="34">
        <v>1</v>
      </c>
      <c r="L183" s="34"/>
      <c r="M183" s="34"/>
      <c r="N183" s="34"/>
      <c r="O183" s="35"/>
      <c r="P183" s="34"/>
      <c r="Q183" s="34"/>
      <c r="R183" s="34"/>
      <c r="S183" s="34"/>
      <c r="T183" s="34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 t="str">
        <f t="shared" si="18"/>
        <v>JW MARRIOTTDL 170</v>
      </c>
      <c r="AO183" s="3" t="s">
        <v>26</v>
      </c>
      <c r="AP183" s="19">
        <v>45923</v>
      </c>
      <c r="AQ183" s="5" t="s">
        <v>182</v>
      </c>
      <c r="AR183" s="5" t="s">
        <v>155</v>
      </c>
      <c r="AS183" s="6">
        <v>0.56597222222222221</v>
      </c>
    </row>
    <row r="184" spans="1:45" ht="15" customHeight="1">
      <c r="A184" s="688"/>
      <c r="B184" s="731"/>
      <c r="C184" s="692"/>
      <c r="D184" s="692"/>
      <c r="E184" s="692"/>
      <c r="F184" s="692"/>
      <c r="G184" s="692"/>
      <c r="H184" s="26">
        <f t="shared" ref="H184:H185" si="33">I184-TIME(3,0,0)</f>
        <v>0.40625</v>
      </c>
      <c r="I184" s="26">
        <v>0.53125</v>
      </c>
      <c r="J184" s="28" t="s">
        <v>239</v>
      </c>
      <c r="K184" s="28"/>
      <c r="L184" s="28">
        <v>2</v>
      </c>
      <c r="M184" s="28"/>
      <c r="N184" s="28"/>
      <c r="O184" s="41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 t="str">
        <f t="shared" si="18"/>
        <v>JW MARRIOTTKE 645</v>
      </c>
      <c r="AO184" s="3" t="s">
        <v>26</v>
      </c>
      <c r="AP184" s="19">
        <v>45923</v>
      </c>
      <c r="AQ184" s="5" t="s">
        <v>182</v>
      </c>
      <c r="AR184" s="5" t="s">
        <v>156</v>
      </c>
      <c r="AS184" s="6">
        <v>0.56597222222222221</v>
      </c>
    </row>
    <row r="185" spans="1:45" ht="15" customHeight="1">
      <c r="A185" s="688"/>
      <c r="B185" s="731"/>
      <c r="C185" s="692"/>
      <c r="D185" s="692"/>
      <c r="E185" s="692"/>
      <c r="F185" s="692"/>
      <c r="G185" s="692"/>
      <c r="H185" s="26">
        <f t="shared" si="33"/>
        <v>0.40625</v>
      </c>
      <c r="I185" s="26">
        <v>0.53125</v>
      </c>
      <c r="J185" s="28" t="s">
        <v>58</v>
      </c>
      <c r="K185" s="28">
        <v>1</v>
      </c>
      <c r="L185" s="28">
        <v>1</v>
      </c>
      <c r="M185" s="28"/>
      <c r="N185" s="28"/>
      <c r="O185" s="41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 t="str">
        <f t="shared" si="18"/>
        <v>JW MARRIOTTDL 26</v>
      </c>
      <c r="AO185" s="3" t="s">
        <v>26</v>
      </c>
      <c r="AP185" s="19">
        <v>45923</v>
      </c>
      <c r="AQ185" s="5" t="s">
        <v>182</v>
      </c>
      <c r="AR185" s="5" t="s">
        <v>69</v>
      </c>
      <c r="AS185" s="6">
        <v>0.58333333333333337</v>
      </c>
    </row>
    <row r="186" spans="1:45" ht="15" customHeight="1">
      <c r="A186" s="688"/>
      <c r="B186" s="731"/>
      <c r="C186" s="693"/>
      <c r="D186" s="693"/>
      <c r="E186" s="693"/>
      <c r="F186" s="692"/>
      <c r="G186" s="692"/>
      <c r="H186" s="195">
        <f>I186-TIME(3,0,0)</f>
        <v>0.41319444444444442</v>
      </c>
      <c r="I186" s="195">
        <v>0.53819444444444442</v>
      </c>
      <c r="J186" s="47" t="s">
        <v>240</v>
      </c>
      <c r="K186" s="47"/>
      <c r="L186" s="47"/>
      <c r="M186" s="47">
        <v>2</v>
      </c>
      <c r="N186" s="47"/>
      <c r="O186" s="134"/>
      <c r="P186" s="47"/>
      <c r="Q186" s="47"/>
      <c r="R186" s="47"/>
      <c r="S186" s="47"/>
      <c r="T186" s="47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 t="str">
        <f t="shared" si="18"/>
        <v>JW MARRIOTTKE 623</v>
      </c>
      <c r="AO186" s="3" t="s">
        <v>26</v>
      </c>
      <c r="AP186" s="19">
        <v>45923</v>
      </c>
      <c r="AQ186" s="5" t="s">
        <v>182</v>
      </c>
      <c r="AR186" s="5" t="s">
        <v>160</v>
      </c>
      <c r="AS186" s="6">
        <v>0.58333333333333337</v>
      </c>
    </row>
    <row r="187" spans="1:45" ht="15" customHeight="1">
      <c r="A187" s="688"/>
      <c r="B187" s="687">
        <f>C187-TIME(0,15,0)</f>
        <v>0.34722222222222215</v>
      </c>
      <c r="C187" s="690">
        <f t="shared" ref="C187:D187" si="34">D187-TIME(0,15,0)</f>
        <v>0.35763888888888884</v>
      </c>
      <c r="D187" s="687">
        <f t="shared" si="34"/>
        <v>0.36805555555555552</v>
      </c>
      <c r="E187" s="728">
        <f>F187-TIME(1,0,0)</f>
        <v>0.37847222222222221</v>
      </c>
      <c r="F187" s="687">
        <f>G187-TIME(0,20,0)</f>
        <v>0.4201388888888889</v>
      </c>
      <c r="G187" s="687">
        <f>H187</f>
        <v>0.43402777777777779</v>
      </c>
      <c r="H187" s="221">
        <f t="shared" ref="H187:H237" si="35">I187-TIME(3,0,0)</f>
        <v>0.43402777777777779</v>
      </c>
      <c r="I187" s="221">
        <v>0.55902777777777779</v>
      </c>
      <c r="J187" s="16" t="s">
        <v>241</v>
      </c>
      <c r="K187" s="16"/>
      <c r="L187" s="16"/>
      <c r="M187" s="16"/>
      <c r="N187" s="16">
        <v>2</v>
      </c>
      <c r="O187" s="222">
        <f>SUM(J187:N188)</f>
        <v>25</v>
      </c>
      <c r="P187" s="16"/>
      <c r="Q187" s="16"/>
      <c r="R187" s="16"/>
      <c r="S187" s="16">
        <v>1</v>
      </c>
      <c r="T187" s="16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 t="str">
        <f t="shared" si="18"/>
        <v>JW MARRIOTTKE 689</v>
      </c>
      <c r="AO187" s="3" t="s">
        <v>26</v>
      </c>
      <c r="AP187" s="19">
        <v>45923</v>
      </c>
      <c r="AQ187" s="5" t="s">
        <v>182</v>
      </c>
      <c r="AR187" s="5" t="s">
        <v>162</v>
      </c>
      <c r="AS187" s="6">
        <v>0.58333333333333337</v>
      </c>
    </row>
    <row r="188" spans="1:45" ht="15" customHeight="1">
      <c r="A188" s="688"/>
      <c r="B188" s="689"/>
      <c r="C188" s="689"/>
      <c r="D188" s="689"/>
      <c r="E188" s="729"/>
      <c r="F188" s="689"/>
      <c r="G188" s="689"/>
      <c r="H188" s="195">
        <f t="shared" si="35"/>
        <v>0.44444444444444442</v>
      </c>
      <c r="I188" s="195">
        <v>0.56944444444444442</v>
      </c>
      <c r="J188" s="47" t="s">
        <v>59</v>
      </c>
      <c r="K188" s="47">
        <v>14</v>
      </c>
      <c r="L188" s="47">
        <v>9</v>
      </c>
      <c r="M188" s="47"/>
      <c r="N188" s="47"/>
      <c r="O188" s="134"/>
      <c r="P188" s="47"/>
      <c r="Q188" s="47"/>
      <c r="R188" s="47"/>
      <c r="S188" s="47"/>
      <c r="T188" s="47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 t="str">
        <f t="shared" si="18"/>
        <v>JW MARRIOTT7C 2103</v>
      </c>
      <c r="AO188" s="3" t="s">
        <v>26</v>
      </c>
      <c r="AP188" s="19">
        <v>45923</v>
      </c>
      <c r="AQ188" s="5" t="s">
        <v>182</v>
      </c>
      <c r="AR188" s="5" t="s">
        <v>163</v>
      </c>
      <c r="AS188" s="6">
        <v>0.58333333333333337</v>
      </c>
    </row>
    <row r="189" spans="1:45" ht="15" customHeight="1">
      <c r="A189" s="688"/>
      <c r="B189" s="240"/>
      <c r="C189" s="241"/>
      <c r="D189" s="218">
        <f>E189-TIME(0,15,0)</f>
        <v>0.40972222222222221</v>
      </c>
      <c r="E189" s="216">
        <f>F189-TIME(1,0,0)</f>
        <v>0.4201388888888889</v>
      </c>
      <c r="F189" s="218">
        <f t="shared" ref="F189:F190" si="36">H189</f>
        <v>0.46180555555555558</v>
      </c>
      <c r="G189" s="240"/>
      <c r="H189" s="218">
        <f t="shared" si="35"/>
        <v>0.46180555555555558</v>
      </c>
      <c r="I189" s="218">
        <v>0.58680555555555558</v>
      </c>
      <c r="J189" s="217" t="s">
        <v>135</v>
      </c>
      <c r="K189" s="217">
        <v>2</v>
      </c>
      <c r="L189" s="217"/>
      <c r="M189" s="217"/>
      <c r="N189" s="217"/>
      <c r="O189" s="219">
        <f>SUM(J189:N189)</f>
        <v>2</v>
      </c>
      <c r="P189" s="217">
        <v>1</v>
      </c>
      <c r="Q189" s="217"/>
      <c r="R189" s="217"/>
      <c r="S189" s="217"/>
      <c r="T189" s="217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 t="str">
        <f t="shared" si="18"/>
        <v>JW MARRIOTTAC 62</v>
      </c>
      <c r="AO189" s="3" t="s">
        <v>26</v>
      </c>
      <c r="AP189" s="19">
        <v>45923</v>
      </c>
      <c r="AQ189" s="5" t="s">
        <v>182</v>
      </c>
      <c r="AR189" s="5" t="s">
        <v>71</v>
      </c>
      <c r="AS189" s="6">
        <v>0.58333333333333337</v>
      </c>
    </row>
    <row r="190" spans="1:45" ht="15" customHeight="1">
      <c r="A190" s="688"/>
      <c r="B190" s="687">
        <f>C190-TIME(0,15,0)</f>
        <v>0.44097222222222221</v>
      </c>
      <c r="C190" s="690">
        <f>F190-TIME(1,0,0)</f>
        <v>0.4513888888888889</v>
      </c>
      <c r="D190" s="712"/>
      <c r="E190" s="713"/>
      <c r="F190" s="687">
        <f t="shared" si="36"/>
        <v>0.49305555555555558</v>
      </c>
      <c r="G190" s="712"/>
      <c r="H190" s="221">
        <f t="shared" si="35"/>
        <v>0.49305555555555558</v>
      </c>
      <c r="I190" s="221">
        <v>0.61805555555555558</v>
      </c>
      <c r="J190" s="16" t="s">
        <v>140</v>
      </c>
      <c r="K190" s="16"/>
      <c r="L190" s="16">
        <v>1</v>
      </c>
      <c r="M190" s="16"/>
      <c r="N190" s="16"/>
      <c r="O190" s="222">
        <f>SUM(J190:N192)</f>
        <v>15</v>
      </c>
      <c r="P190" s="16"/>
      <c r="Q190" s="16"/>
      <c r="R190" s="16"/>
      <c r="S190" s="16">
        <v>1</v>
      </c>
      <c r="T190" s="16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 t="str">
        <f t="shared" si="18"/>
        <v>JW MARRIOTTOZ 703</v>
      </c>
      <c r="AO190" s="3" t="s">
        <v>26</v>
      </c>
      <c r="AP190" s="19">
        <v>45923</v>
      </c>
      <c r="AQ190" s="5" t="s">
        <v>182</v>
      </c>
      <c r="AR190" s="5" t="s">
        <v>72</v>
      </c>
      <c r="AS190" s="6">
        <v>0.58333333333333337</v>
      </c>
    </row>
    <row r="191" spans="1:45" ht="15" customHeight="1">
      <c r="A191" s="688"/>
      <c r="B191" s="688"/>
      <c r="C191" s="688"/>
      <c r="D191" s="688"/>
      <c r="E191" s="688"/>
      <c r="F191" s="688"/>
      <c r="G191" s="688"/>
      <c r="H191" s="26">
        <f t="shared" si="35"/>
        <v>0.50694444444444442</v>
      </c>
      <c r="I191" s="26">
        <v>0.63194444444444442</v>
      </c>
      <c r="J191" s="28" t="s">
        <v>60</v>
      </c>
      <c r="K191" s="28"/>
      <c r="L191" s="28">
        <v>11</v>
      </c>
      <c r="M191" s="28"/>
      <c r="N191" s="28"/>
      <c r="O191" s="41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 t="str">
        <f t="shared" si="18"/>
        <v>JW MARRIOTTDL 196</v>
      </c>
      <c r="AO191" s="3" t="s">
        <v>26</v>
      </c>
      <c r="AP191" s="19">
        <v>45923</v>
      </c>
      <c r="AQ191" s="5" t="s">
        <v>182</v>
      </c>
      <c r="AR191" s="5" t="s">
        <v>166</v>
      </c>
      <c r="AS191" s="6">
        <v>0.58333333333333337</v>
      </c>
    </row>
    <row r="192" spans="1:45" ht="15" customHeight="1">
      <c r="A192" s="688"/>
      <c r="B192" s="689"/>
      <c r="C192" s="689"/>
      <c r="D192" s="689"/>
      <c r="E192" s="689"/>
      <c r="F192" s="689"/>
      <c r="G192" s="689"/>
      <c r="H192" s="195">
        <f t="shared" si="35"/>
        <v>0.51041666666666663</v>
      </c>
      <c r="I192" s="195">
        <v>0.63541666666666663</v>
      </c>
      <c r="J192" s="47" t="s">
        <v>242</v>
      </c>
      <c r="K192" s="47"/>
      <c r="L192" s="47">
        <v>3</v>
      </c>
      <c r="M192" s="47"/>
      <c r="N192" s="47"/>
      <c r="O192" s="134"/>
      <c r="P192" s="47"/>
      <c r="Q192" s="47"/>
      <c r="R192" s="47"/>
      <c r="S192" s="47"/>
      <c r="T192" s="47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 t="str">
        <f t="shared" si="18"/>
        <v>JW MARRIOTTKE 85</v>
      </c>
      <c r="AO192" s="3" t="s">
        <v>26</v>
      </c>
      <c r="AP192" s="19">
        <v>45923</v>
      </c>
      <c r="AQ192" s="5" t="s">
        <v>182</v>
      </c>
      <c r="AR192" s="5" t="s">
        <v>172</v>
      </c>
      <c r="AS192" s="6">
        <v>0.63194444444444442</v>
      </c>
    </row>
    <row r="193" spans="1:45" ht="15" customHeight="1">
      <c r="A193" s="688"/>
      <c r="B193" s="687">
        <f>C193-TIME(0,15,0)</f>
        <v>0.45486111111111105</v>
      </c>
      <c r="C193" s="690">
        <f t="shared" ref="C193:D193" si="37">D193-TIME(0,15,0)</f>
        <v>0.46527777777777773</v>
      </c>
      <c r="D193" s="687">
        <f t="shared" si="37"/>
        <v>0.47569444444444442</v>
      </c>
      <c r="E193" s="691">
        <f>F193-TIME(1,0,0)</f>
        <v>0.4861111111111111</v>
      </c>
      <c r="F193" s="687">
        <f>G193-TIME(0,20,0)</f>
        <v>0.52777777777777779</v>
      </c>
      <c r="G193" s="687">
        <f>H193</f>
        <v>0.54166666666666663</v>
      </c>
      <c r="H193" s="221">
        <f t="shared" si="35"/>
        <v>0.54166666666666663</v>
      </c>
      <c r="I193" s="221">
        <v>0.66666666666666663</v>
      </c>
      <c r="J193" s="16" t="s">
        <v>61</v>
      </c>
      <c r="K193" s="16"/>
      <c r="L193" s="16"/>
      <c r="M193" s="16">
        <v>2</v>
      </c>
      <c r="N193" s="16">
        <v>7</v>
      </c>
      <c r="O193" s="222">
        <f>SUM(J193:N196)</f>
        <v>19</v>
      </c>
      <c r="P193" s="16"/>
      <c r="Q193" s="16"/>
      <c r="R193" s="16"/>
      <c r="S193" s="16">
        <v>1</v>
      </c>
      <c r="T193" s="16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 t="str">
        <f t="shared" si="18"/>
        <v>JW MARRIOTTDL 172</v>
      </c>
      <c r="AO193" s="3" t="s">
        <v>26</v>
      </c>
      <c r="AP193" s="19">
        <v>45923</v>
      </c>
      <c r="AQ193" s="5" t="s">
        <v>182</v>
      </c>
      <c r="AR193" s="5" t="s">
        <v>73</v>
      </c>
      <c r="AS193" s="6">
        <v>0.63194444444444442</v>
      </c>
    </row>
    <row r="194" spans="1:45" ht="15" customHeight="1">
      <c r="A194" s="688"/>
      <c r="B194" s="688"/>
      <c r="C194" s="688"/>
      <c r="D194" s="688"/>
      <c r="E194" s="692"/>
      <c r="F194" s="688"/>
      <c r="G194" s="688"/>
      <c r="H194" s="26">
        <f t="shared" si="35"/>
        <v>0.54861111111111116</v>
      </c>
      <c r="I194" s="26">
        <v>0.67361111111111116</v>
      </c>
      <c r="J194" s="28" t="s">
        <v>145</v>
      </c>
      <c r="K194" s="28"/>
      <c r="L194" s="28">
        <v>2</v>
      </c>
      <c r="M194" s="28"/>
      <c r="N194" s="28"/>
      <c r="O194" s="41"/>
      <c r="P194" s="28"/>
      <c r="Q194" s="28"/>
      <c r="R194" s="28"/>
      <c r="S194" s="28"/>
      <c r="T194" s="2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 t="str">
        <f t="shared" si="18"/>
        <v>JW MARRIOTTKE 477</v>
      </c>
      <c r="AO194" s="3" t="s">
        <v>26</v>
      </c>
      <c r="AP194" s="19">
        <v>45923</v>
      </c>
      <c r="AQ194" s="5" t="s">
        <v>182</v>
      </c>
      <c r="AR194" s="5" t="s">
        <v>167</v>
      </c>
      <c r="AS194" s="6">
        <v>0.63194444444444442</v>
      </c>
    </row>
    <row r="195" spans="1:45" ht="15" customHeight="1">
      <c r="A195" s="688"/>
      <c r="B195" s="688"/>
      <c r="C195" s="688"/>
      <c r="D195" s="688"/>
      <c r="E195" s="692"/>
      <c r="F195" s="688"/>
      <c r="G195" s="688"/>
      <c r="H195" s="26">
        <f t="shared" si="35"/>
        <v>0.55555555555555558</v>
      </c>
      <c r="I195" s="26">
        <v>0.68055555555555558</v>
      </c>
      <c r="J195" s="28" t="s">
        <v>146</v>
      </c>
      <c r="K195" s="28"/>
      <c r="L195" s="28"/>
      <c r="M195" s="28">
        <v>2</v>
      </c>
      <c r="N195" s="28"/>
      <c r="O195" s="41"/>
      <c r="P195" s="28"/>
      <c r="Q195" s="28"/>
      <c r="R195" s="28"/>
      <c r="S195" s="28"/>
      <c r="T195" s="2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 t="str">
        <f t="shared" si="18"/>
        <v>JW MARRIOTTKE 615</v>
      </c>
      <c r="AO195" s="3" t="s">
        <v>26</v>
      </c>
      <c r="AP195" s="19">
        <v>45923</v>
      </c>
      <c r="AQ195" s="5" t="s">
        <v>182</v>
      </c>
      <c r="AR195" s="5" t="s">
        <v>168</v>
      </c>
      <c r="AS195" s="6">
        <v>0.63194444444444442</v>
      </c>
    </row>
    <row r="196" spans="1:45" ht="15" customHeight="1">
      <c r="A196" s="688"/>
      <c r="B196" s="699"/>
      <c r="C196" s="699"/>
      <c r="D196" s="699"/>
      <c r="E196" s="727"/>
      <c r="F196" s="699"/>
      <c r="G196" s="699"/>
      <c r="H196" s="195">
        <f t="shared" si="35"/>
        <v>0.55902777777777779</v>
      </c>
      <c r="I196" s="195">
        <v>0.68402777777777779</v>
      </c>
      <c r="J196" s="47" t="s">
        <v>62</v>
      </c>
      <c r="K196" s="47"/>
      <c r="L196" s="47"/>
      <c r="M196" s="47">
        <v>6</v>
      </c>
      <c r="N196" s="47"/>
      <c r="O196" s="134"/>
      <c r="P196" s="47"/>
      <c r="Q196" s="47"/>
      <c r="R196" s="47"/>
      <c r="S196" s="47"/>
      <c r="T196" s="47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 t="str">
        <f t="shared" si="18"/>
        <v>JW MARRIOTTKE 625</v>
      </c>
      <c r="AO196" s="3" t="s">
        <v>26</v>
      </c>
      <c r="AP196" s="19">
        <v>45923</v>
      </c>
      <c r="AQ196" s="5" t="s">
        <v>182</v>
      </c>
      <c r="AR196" s="5" t="s">
        <v>75</v>
      </c>
      <c r="AS196" s="6">
        <v>0.63194444444444442</v>
      </c>
    </row>
    <row r="197" spans="1:45" ht="15" customHeight="1">
      <c r="A197" s="688"/>
      <c r="B197" s="242"/>
      <c r="C197" s="242"/>
      <c r="D197" s="719">
        <f t="shared" ref="D197" si="38">E197-TIME(0,15,0)</f>
        <v>0.50000000000000011</v>
      </c>
      <c r="E197" s="721">
        <f>F197-TIME(1,0,0)</f>
        <v>0.51041666666666674</v>
      </c>
      <c r="F197" s="687">
        <f>G197-TIME(0,20,0)</f>
        <v>0.55208333333333337</v>
      </c>
      <c r="G197" s="723">
        <v>0.56597222222222221</v>
      </c>
      <c r="H197" s="243">
        <f t="shared" si="35"/>
        <v>0.56597222222222221</v>
      </c>
      <c r="I197" s="237">
        <v>0.69097222222222221</v>
      </c>
      <c r="J197" s="140" t="s">
        <v>243</v>
      </c>
      <c r="K197" s="140"/>
      <c r="L197" s="140">
        <v>2</v>
      </c>
      <c r="M197" s="140"/>
      <c r="N197" s="140"/>
      <c r="O197" s="141">
        <v>20</v>
      </c>
      <c r="P197" s="140"/>
      <c r="Q197" s="140"/>
      <c r="R197" s="140"/>
      <c r="S197" s="140">
        <v>1</v>
      </c>
      <c r="T197" s="238"/>
      <c r="U197" s="148" t="s">
        <v>244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 t="str">
        <f t="shared" si="18"/>
        <v>JW MARRIOTTDL 7833</v>
      </c>
      <c r="AO197" s="3" t="s">
        <v>26</v>
      </c>
      <c r="AP197" s="19">
        <v>45923</v>
      </c>
      <c r="AQ197" s="5" t="s">
        <v>182</v>
      </c>
      <c r="AR197" s="5" t="s">
        <v>169</v>
      </c>
      <c r="AS197" s="6">
        <v>0.64930555555555558</v>
      </c>
    </row>
    <row r="198" spans="1:45" ht="15" customHeight="1">
      <c r="A198" s="688"/>
      <c r="B198" s="244"/>
      <c r="C198" s="244"/>
      <c r="D198" s="720"/>
      <c r="E198" s="722"/>
      <c r="F198" s="714"/>
      <c r="G198" s="724"/>
      <c r="H198" s="245">
        <f t="shared" si="35"/>
        <v>0.56944444444444442</v>
      </c>
      <c r="I198" s="202">
        <v>0.69444444444444442</v>
      </c>
      <c r="J198" s="1" t="s">
        <v>63</v>
      </c>
      <c r="K198" s="1"/>
      <c r="L198" s="1"/>
      <c r="M198" s="1"/>
      <c r="N198" s="1">
        <v>3</v>
      </c>
      <c r="O198" s="143"/>
      <c r="P198" s="1"/>
      <c r="Q198" s="1"/>
      <c r="R198" s="1"/>
      <c r="S198" s="1"/>
      <c r="T198" s="23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 t="str">
        <f t="shared" si="18"/>
        <v>JW MARRIOTTKE 11</v>
      </c>
      <c r="AO198" s="3" t="s">
        <v>26</v>
      </c>
      <c r="AP198" s="19">
        <v>45923</v>
      </c>
      <c r="AQ198" s="5" t="s">
        <v>182</v>
      </c>
      <c r="AR198" s="5" t="s">
        <v>170</v>
      </c>
      <c r="AS198" s="6">
        <v>0.64930555555555558</v>
      </c>
    </row>
    <row r="199" spans="1:45" ht="15" customHeight="1">
      <c r="A199" s="688"/>
      <c r="B199" s="244"/>
      <c r="C199" s="244"/>
      <c r="D199" s="246"/>
      <c r="E199" s="247"/>
      <c r="F199" s="48"/>
      <c r="G199" s="248"/>
      <c r="H199" s="249">
        <f>I199-TIME(3,0,0)</f>
        <v>0.57638888888888884</v>
      </c>
      <c r="I199" s="250">
        <v>0.70138888888888884</v>
      </c>
      <c r="J199" s="251" t="s">
        <v>64</v>
      </c>
      <c r="K199" s="252"/>
      <c r="L199" s="252">
        <v>15</v>
      </c>
      <c r="M199" s="252"/>
      <c r="N199" s="252"/>
      <c r="O199" s="253"/>
      <c r="P199" s="252"/>
      <c r="Q199" s="252"/>
      <c r="R199" s="252"/>
      <c r="S199" s="252"/>
      <c r="T199" s="254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3"/>
      <c r="AP199" s="19"/>
    </row>
    <row r="200" spans="1:45" ht="15" customHeight="1">
      <c r="A200" s="688"/>
      <c r="B200" s="720">
        <f>C200-TIME(0,15,0)</f>
        <v>0.47916666666666674</v>
      </c>
      <c r="C200" s="722">
        <f>D197-TIME(0,15,0)</f>
        <v>0.48958333333333343</v>
      </c>
      <c r="D200" s="244"/>
      <c r="E200" s="244"/>
      <c r="F200" s="244"/>
      <c r="G200" s="244"/>
      <c r="H200" s="33">
        <f t="shared" si="35"/>
        <v>0.57291666666666663</v>
      </c>
      <c r="I200" s="33">
        <v>0.69791666666666663</v>
      </c>
      <c r="J200" s="34" t="s">
        <v>147</v>
      </c>
      <c r="K200" s="34">
        <v>1</v>
      </c>
      <c r="L200" s="34"/>
      <c r="M200" s="34"/>
      <c r="N200" s="34"/>
      <c r="O200" s="35">
        <v>21</v>
      </c>
      <c r="P200" s="34"/>
      <c r="Q200" s="34"/>
      <c r="R200" s="34"/>
      <c r="S200" s="34">
        <v>1</v>
      </c>
      <c r="T200" s="34"/>
      <c r="U200" s="148" t="s">
        <v>245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 t="str">
        <f t="shared" ref="AN200:AN264" si="39">AQ200&amp;AR200</f>
        <v>JW MARRIOTTPR 469</v>
      </c>
      <c r="AO200" s="3" t="s">
        <v>26</v>
      </c>
      <c r="AP200" s="19">
        <v>45923</v>
      </c>
      <c r="AQ200" s="5" t="s">
        <v>182</v>
      </c>
      <c r="AR200" s="5" t="s">
        <v>171</v>
      </c>
      <c r="AS200" s="6">
        <v>0.64930555555555558</v>
      </c>
    </row>
    <row r="201" spans="1:45" ht="15" customHeight="1" thickBot="1">
      <c r="A201" s="688"/>
      <c r="B201" s="725"/>
      <c r="C201" s="726"/>
      <c r="D201" s="255"/>
      <c r="E201" s="255"/>
      <c r="F201" s="255"/>
      <c r="G201" s="255"/>
      <c r="H201" s="256">
        <f t="shared" si="35"/>
        <v>0.57638888888888884</v>
      </c>
      <c r="I201" s="256">
        <v>0.70138888888888884</v>
      </c>
      <c r="J201" s="257" t="s">
        <v>64</v>
      </c>
      <c r="K201" s="258">
        <v>20</v>
      </c>
      <c r="L201" s="257"/>
      <c r="M201" s="258"/>
      <c r="N201" s="258"/>
      <c r="O201" s="259"/>
      <c r="P201" s="258"/>
      <c r="Q201" s="258"/>
      <c r="R201" s="258"/>
      <c r="S201" s="258"/>
      <c r="T201" s="25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 t="str">
        <f t="shared" si="39"/>
        <v>JW MARRIOTT7C 2621</v>
      </c>
      <c r="AO201" s="3" t="s">
        <v>26</v>
      </c>
      <c r="AP201" s="19">
        <v>45923</v>
      </c>
      <c r="AQ201" s="5" t="s">
        <v>182</v>
      </c>
      <c r="AR201" s="5" t="s">
        <v>180</v>
      </c>
      <c r="AS201" s="6">
        <v>0.64930555555555558</v>
      </c>
    </row>
    <row r="202" spans="1:45" ht="15" customHeight="1">
      <c r="A202" s="688"/>
      <c r="B202" s="714">
        <f>C202-TIME(0,15,0)</f>
        <v>0.5277777777777779</v>
      </c>
      <c r="C202" s="715">
        <f t="shared" ref="C202:D202" si="40">D202-TIME(0,15,0)</f>
        <v>0.53819444444444453</v>
      </c>
      <c r="D202" s="714">
        <f t="shared" si="40"/>
        <v>0.54861111111111116</v>
      </c>
      <c r="E202" s="716">
        <f>F202-TIME(1,0,0)</f>
        <v>0.55902777777777779</v>
      </c>
      <c r="F202" s="714">
        <f>H202</f>
        <v>0.60069444444444442</v>
      </c>
      <c r="G202" s="718"/>
      <c r="H202" s="33">
        <f t="shared" si="35"/>
        <v>0.60069444444444442</v>
      </c>
      <c r="I202" s="33">
        <v>0.72569444444444442</v>
      </c>
      <c r="J202" s="34" t="s">
        <v>65</v>
      </c>
      <c r="K202" s="34">
        <v>13</v>
      </c>
      <c r="L202" s="34">
        <v>2</v>
      </c>
      <c r="M202" s="34"/>
      <c r="N202" s="34"/>
      <c r="O202" s="35">
        <f>SUM(J202:N205)</f>
        <v>67</v>
      </c>
      <c r="P202" s="34"/>
      <c r="Q202" s="34"/>
      <c r="R202" s="34"/>
      <c r="S202" s="260">
        <v>2</v>
      </c>
      <c r="T202" s="260"/>
      <c r="U202" s="261" t="s">
        <v>246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 t="str">
        <f t="shared" si="39"/>
        <v>JW MARRIOTTWS 87</v>
      </c>
      <c r="AO202" s="3" t="s">
        <v>26</v>
      </c>
      <c r="AP202" s="19">
        <v>45923</v>
      </c>
      <c r="AQ202" s="5" t="s">
        <v>182</v>
      </c>
      <c r="AR202" s="5" t="s">
        <v>77</v>
      </c>
      <c r="AS202" s="6">
        <v>0.64930555555555558</v>
      </c>
    </row>
    <row r="203" spans="1:45" ht="15" customHeight="1">
      <c r="A203" s="688"/>
      <c r="B203" s="688"/>
      <c r="C203" s="688"/>
      <c r="D203" s="688"/>
      <c r="E203" s="717"/>
      <c r="F203" s="688"/>
      <c r="G203" s="688"/>
      <c r="H203" s="26">
        <f t="shared" si="35"/>
        <v>0.60069444444444442</v>
      </c>
      <c r="I203" s="26">
        <v>0.72569444444444442</v>
      </c>
      <c r="J203" s="28" t="s">
        <v>151</v>
      </c>
      <c r="K203" s="28"/>
      <c r="L203" s="28">
        <v>1</v>
      </c>
      <c r="M203" s="28"/>
      <c r="N203" s="28"/>
      <c r="O203" s="41"/>
      <c r="P203" s="28"/>
      <c r="Q203" s="28"/>
      <c r="R203" s="28"/>
      <c r="S203" s="188">
        <v>1</v>
      </c>
      <c r="T203" s="188"/>
      <c r="U203" s="130" t="s">
        <v>247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 t="str">
        <f t="shared" si="39"/>
        <v>JW MARRIOTT7C 2113</v>
      </c>
      <c r="AO203" s="3" t="s">
        <v>26</v>
      </c>
      <c r="AP203" s="19">
        <v>45923</v>
      </c>
      <c r="AQ203" s="5" t="s">
        <v>182</v>
      </c>
      <c r="AR203" s="5" t="s">
        <v>173</v>
      </c>
      <c r="AS203" s="6">
        <v>0.64930555555555558</v>
      </c>
    </row>
    <row r="204" spans="1:45" ht="15" customHeight="1">
      <c r="A204" s="688"/>
      <c r="B204" s="688"/>
      <c r="C204" s="688"/>
      <c r="D204" s="688"/>
      <c r="E204" s="717"/>
      <c r="F204" s="688"/>
      <c r="G204" s="688"/>
      <c r="H204" s="26">
        <f t="shared" si="35"/>
        <v>0.61458333333333337</v>
      </c>
      <c r="I204" s="26">
        <v>0.73958333333333337</v>
      </c>
      <c r="J204" s="28" t="s">
        <v>66</v>
      </c>
      <c r="K204" s="28">
        <v>4</v>
      </c>
      <c r="L204" s="42">
        <v>41</v>
      </c>
      <c r="M204" s="28"/>
      <c r="N204" s="28"/>
      <c r="O204" s="41"/>
      <c r="P204" s="28"/>
      <c r="Q204" s="28"/>
      <c r="R204" s="28"/>
      <c r="S204" s="28"/>
      <c r="T204" s="2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 t="str">
        <f t="shared" si="39"/>
        <v>JW MARRIOTTOZ 212</v>
      </c>
      <c r="AO204" s="3" t="s">
        <v>26</v>
      </c>
      <c r="AP204" s="19">
        <v>45923</v>
      </c>
      <c r="AQ204" s="5" t="s">
        <v>182</v>
      </c>
      <c r="AR204" s="5" t="s">
        <v>174</v>
      </c>
      <c r="AS204" s="6">
        <v>0.64930555555555558</v>
      </c>
    </row>
    <row r="205" spans="1:45" ht="15" customHeight="1">
      <c r="A205" s="688"/>
      <c r="B205" s="689"/>
      <c r="C205" s="689"/>
      <c r="D205" s="689"/>
      <c r="E205" s="717"/>
      <c r="F205" s="689"/>
      <c r="G205" s="689"/>
      <c r="H205" s="195">
        <f t="shared" si="35"/>
        <v>0.62152777777777779</v>
      </c>
      <c r="I205" s="195">
        <v>0.74652777777777779</v>
      </c>
      <c r="J205" s="47" t="s">
        <v>152</v>
      </c>
      <c r="K205" s="47"/>
      <c r="L205" s="47">
        <v>6</v>
      </c>
      <c r="M205" s="47"/>
      <c r="N205" s="47"/>
      <c r="O205" s="134"/>
      <c r="P205" s="47"/>
      <c r="Q205" s="47"/>
      <c r="R205" s="47"/>
      <c r="S205" s="47"/>
      <c r="T205" s="47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 t="str">
        <f t="shared" si="39"/>
        <v>JW MARRIOTT7C 2125</v>
      </c>
      <c r="AO205" s="3" t="s">
        <v>26</v>
      </c>
      <c r="AP205" s="19">
        <v>45923</v>
      </c>
      <c r="AQ205" s="5" t="s">
        <v>182</v>
      </c>
      <c r="AR205" s="5" t="s">
        <v>175</v>
      </c>
      <c r="AS205" s="6">
        <v>0.68402777777777779</v>
      </c>
    </row>
    <row r="206" spans="1:45" ht="15" customHeight="1">
      <c r="A206" s="688"/>
      <c r="B206" s="687">
        <f>C206-TIME(0,15,0)</f>
        <v>0.54166666666666685</v>
      </c>
      <c r="C206" s="690">
        <f t="shared" ref="C206:D206" si="41">D206-TIME(0,15,0)</f>
        <v>0.55208333333333348</v>
      </c>
      <c r="D206" s="687">
        <f t="shared" si="41"/>
        <v>0.56250000000000011</v>
      </c>
      <c r="E206" s="691">
        <f>F206-TIME(1,0,0)</f>
        <v>0.57291666666666674</v>
      </c>
      <c r="F206" s="687">
        <f>G206-TIME(0,20,0)</f>
        <v>0.61458333333333337</v>
      </c>
      <c r="G206" s="687">
        <f>H207</f>
        <v>0.62847222222222221</v>
      </c>
      <c r="H206" s="221">
        <f t="shared" si="35"/>
        <v>0.625</v>
      </c>
      <c r="I206" s="221">
        <v>0.75</v>
      </c>
      <c r="J206" s="16" t="s">
        <v>248</v>
      </c>
      <c r="K206" s="16"/>
      <c r="L206" s="16"/>
      <c r="M206" s="16"/>
      <c r="N206" s="16"/>
      <c r="O206" s="222">
        <f>SUM(J206:N208)</f>
        <v>4</v>
      </c>
      <c r="P206" s="16"/>
      <c r="Q206" s="16">
        <v>1</v>
      </c>
      <c r="R206" s="16"/>
      <c r="S206" s="16"/>
      <c r="T206" s="16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 t="str">
        <f t="shared" si="39"/>
        <v>JW MARRIOTTOZ 709</v>
      </c>
      <c r="AO206" s="3" t="s">
        <v>26</v>
      </c>
      <c r="AP206" s="19">
        <v>45923</v>
      </c>
      <c r="AQ206" s="5" t="s">
        <v>182</v>
      </c>
      <c r="AR206" s="5" t="s">
        <v>176</v>
      </c>
      <c r="AS206" s="6">
        <v>0.68402777777777779</v>
      </c>
    </row>
    <row r="207" spans="1:45" ht="15" customHeight="1">
      <c r="A207" s="688"/>
      <c r="B207" s="688"/>
      <c r="C207" s="688"/>
      <c r="D207" s="688"/>
      <c r="E207" s="692"/>
      <c r="F207" s="688"/>
      <c r="G207" s="688"/>
      <c r="H207" s="26">
        <f t="shared" si="35"/>
        <v>0.62847222222222221</v>
      </c>
      <c r="I207" s="26">
        <v>0.75347222222222221</v>
      </c>
      <c r="J207" s="28" t="s">
        <v>67</v>
      </c>
      <c r="K207" s="28"/>
      <c r="L207" s="28"/>
      <c r="M207" s="28">
        <v>2</v>
      </c>
      <c r="N207" s="28"/>
      <c r="O207" s="41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 t="str">
        <f t="shared" si="39"/>
        <v>JW MARRIOTTYP 131</v>
      </c>
      <c r="AO207" s="3" t="s">
        <v>26</v>
      </c>
      <c r="AP207" s="19">
        <v>45923</v>
      </c>
      <c r="AQ207" s="5" t="s">
        <v>182</v>
      </c>
      <c r="AR207" s="5" t="s">
        <v>177</v>
      </c>
      <c r="AS207" s="6">
        <v>0.68402777777777779</v>
      </c>
    </row>
    <row r="208" spans="1:45" ht="15" customHeight="1">
      <c r="A208" s="688"/>
      <c r="B208" s="689"/>
      <c r="C208" s="689"/>
      <c r="D208" s="689"/>
      <c r="E208" s="693"/>
      <c r="F208" s="689"/>
      <c r="G208" s="689"/>
      <c r="H208" s="195">
        <f t="shared" si="35"/>
        <v>0.63888888888888884</v>
      </c>
      <c r="I208" s="195">
        <v>0.76388888888888884</v>
      </c>
      <c r="J208" s="47" t="s">
        <v>68</v>
      </c>
      <c r="K208" s="47"/>
      <c r="L208" s="47">
        <v>2</v>
      </c>
      <c r="M208" s="47"/>
      <c r="N208" s="47"/>
      <c r="O208" s="134"/>
      <c r="P208" s="47"/>
      <c r="Q208" s="47"/>
      <c r="R208" s="47"/>
      <c r="S208" s="47"/>
      <c r="T208" s="47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 t="str">
        <f t="shared" si="39"/>
        <v>JW MARRIOTT7C 2107</v>
      </c>
      <c r="AO208" s="3" t="s">
        <v>26</v>
      </c>
      <c r="AP208" s="19">
        <v>45923</v>
      </c>
      <c r="AQ208" s="5" t="s">
        <v>182</v>
      </c>
      <c r="AR208" s="5" t="s">
        <v>178</v>
      </c>
      <c r="AS208" s="6">
        <v>0.68402777777777779</v>
      </c>
    </row>
    <row r="209" spans="1:45" ht="15" customHeight="1">
      <c r="A209" s="688"/>
      <c r="B209" s="712"/>
      <c r="C209" s="713"/>
      <c r="D209" s="687">
        <f>E209-TIME(0,15,0)</f>
        <v>0.59375000000000011</v>
      </c>
      <c r="E209" s="691">
        <f>F209-TIME(1,0,0)</f>
        <v>0.60416666666666674</v>
      </c>
      <c r="F209" s="687">
        <f>G209-TIME(0,20,0)</f>
        <v>0.64583333333333337</v>
      </c>
      <c r="G209" s="687">
        <f>H209</f>
        <v>0.65972222222222221</v>
      </c>
      <c r="H209" s="221">
        <f t="shared" si="35"/>
        <v>0.65972222222222221</v>
      </c>
      <c r="I209" s="221">
        <v>0.78472222222222221</v>
      </c>
      <c r="J209" s="16" t="s">
        <v>69</v>
      </c>
      <c r="K209" s="16"/>
      <c r="L209" s="16"/>
      <c r="M209" s="16">
        <v>3</v>
      </c>
      <c r="N209" s="16"/>
      <c r="O209" s="222">
        <f>SUM(J209:N211)</f>
        <v>28</v>
      </c>
      <c r="P209" s="224">
        <v>1</v>
      </c>
      <c r="Q209" s="224"/>
      <c r="R209" s="224"/>
      <c r="S209" s="224"/>
      <c r="T209" s="224"/>
      <c r="U209" s="130" t="s">
        <v>249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 t="str">
        <f t="shared" si="39"/>
        <v>JW MARRIOTTJQ 48</v>
      </c>
      <c r="AO209" s="3" t="s">
        <v>26</v>
      </c>
      <c r="AP209" s="19">
        <v>45923</v>
      </c>
      <c r="AQ209" s="5" t="s">
        <v>182</v>
      </c>
      <c r="AR209" s="5" t="s">
        <v>179</v>
      </c>
      <c r="AS209" s="6">
        <v>0.71180555555555558</v>
      </c>
    </row>
    <row r="210" spans="1:45" ht="15" customHeight="1">
      <c r="A210" s="688"/>
      <c r="B210" s="688"/>
      <c r="C210" s="688"/>
      <c r="D210" s="688"/>
      <c r="E210" s="692"/>
      <c r="F210" s="688"/>
      <c r="G210" s="688"/>
      <c r="H210" s="26">
        <f t="shared" si="35"/>
        <v>0.67013888888888884</v>
      </c>
      <c r="I210" s="26">
        <v>0.79513888888888884</v>
      </c>
      <c r="J210" s="28" t="s">
        <v>163</v>
      </c>
      <c r="K210" s="28">
        <v>1</v>
      </c>
      <c r="L210" s="28"/>
      <c r="M210" s="28"/>
      <c r="N210" s="28"/>
      <c r="O210" s="41"/>
      <c r="P210" s="28"/>
      <c r="Q210" s="28"/>
      <c r="R210" s="28"/>
      <c r="S210" s="188">
        <v>1</v>
      </c>
      <c r="T210" s="188"/>
      <c r="U210" s="130" t="s">
        <v>250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 t="str">
        <f t="shared" si="39"/>
        <v>JW MARRIOTTOZ 707</v>
      </c>
      <c r="AO210" s="3" t="s">
        <v>26</v>
      </c>
      <c r="AP210" s="19">
        <v>45923</v>
      </c>
      <c r="AQ210" s="5" t="s">
        <v>182</v>
      </c>
      <c r="AR210" s="5" t="s">
        <v>181</v>
      </c>
      <c r="AS210" s="6">
        <v>0.71180555555555558</v>
      </c>
    </row>
    <row r="211" spans="1:45" ht="15" customHeight="1">
      <c r="A211" s="688"/>
      <c r="B211" s="689"/>
      <c r="C211" s="689"/>
      <c r="D211" s="689"/>
      <c r="E211" s="693"/>
      <c r="F211" s="689"/>
      <c r="G211" s="689"/>
      <c r="H211" s="195">
        <f t="shared" si="35"/>
        <v>0.67013888888888884</v>
      </c>
      <c r="I211" s="195">
        <v>0.79513888888888884</v>
      </c>
      <c r="J211" s="47" t="s">
        <v>71</v>
      </c>
      <c r="K211" s="47">
        <v>24</v>
      </c>
      <c r="L211" s="47"/>
      <c r="M211" s="47"/>
      <c r="N211" s="47"/>
      <c r="O211" s="134"/>
      <c r="P211" s="47"/>
      <c r="Q211" s="47"/>
      <c r="R211" s="47"/>
      <c r="S211" s="47"/>
      <c r="T211" s="47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 t="str">
        <f t="shared" si="39"/>
        <v>JW MARRIOTT5J 131</v>
      </c>
      <c r="AO211" s="3" t="s">
        <v>26</v>
      </c>
      <c r="AP211" s="19">
        <v>45923</v>
      </c>
      <c r="AQ211" s="5" t="s">
        <v>182</v>
      </c>
      <c r="AR211" s="5" t="s">
        <v>78</v>
      </c>
      <c r="AS211" s="6">
        <v>0.71180555555555558</v>
      </c>
    </row>
    <row r="212" spans="1:45" ht="15" customHeight="1">
      <c r="A212" s="688"/>
      <c r="B212" s="687">
        <f>C212-TIME(0,15,0)</f>
        <v>0.59375000000000022</v>
      </c>
      <c r="C212" s="690">
        <f t="shared" ref="C212:D212" si="42">D212-TIME(0,15,0)</f>
        <v>0.60416666666666685</v>
      </c>
      <c r="D212" s="687">
        <f t="shared" si="42"/>
        <v>0.61458333333333348</v>
      </c>
      <c r="E212" s="691">
        <f>F212-TIME(1,0,0)</f>
        <v>0.62500000000000011</v>
      </c>
      <c r="F212" s="687">
        <f>G212-TIME(0,20,0)</f>
        <v>0.66666666666666674</v>
      </c>
      <c r="G212" s="687">
        <f>H212</f>
        <v>0.68055555555555558</v>
      </c>
      <c r="H212" s="221">
        <f t="shared" si="35"/>
        <v>0.68055555555555558</v>
      </c>
      <c r="I212" s="221">
        <v>0.80555555555555558</v>
      </c>
      <c r="J212" s="16" t="s">
        <v>166</v>
      </c>
      <c r="K212" s="16"/>
      <c r="L212" s="16"/>
      <c r="M212" s="16">
        <v>2</v>
      </c>
      <c r="N212" s="16">
        <v>1</v>
      </c>
      <c r="O212" s="222">
        <f>SUM(J212:N217)</f>
        <v>23</v>
      </c>
      <c r="P212" s="16"/>
      <c r="Q212" s="16"/>
      <c r="R212" s="16"/>
      <c r="S212" s="16">
        <v>1</v>
      </c>
      <c r="T212" s="16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 t="str">
        <f t="shared" si="39"/>
        <v>JW MARRIOTTKE 647</v>
      </c>
      <c r="AO212" s="3" t="s">
        <v>26</v>
      </c>
      <c r="AP212" s="19">
        <v>45923</v>
      </c>
      <c r="AQ212" s="5" t="s">
        <v>182</v>
      </c>
      <c r="AR212" s="5" t="s">
        <v>184</v>
      </c>
      <c r="AS212" s="6">
        <v>0.79513888888888884</v>
      </c>
    </row>
    <row r="213" spans="1:45" ht="15" customHeight="1">
      <c r="A213" s="688"/>
      <c r="B213" s="688"/>
      <c r="C213" s="688"/>
      <c r="D213" s="688"/>
      <c r="E213" s="692"/>
      <c r="F213" s="688"/>
      <c r="G213" s="688"/>
      <c r="H213" s="26">
        <f t="shared" si="35"/>
        <v>0.68402777777777779</v>
      </c>
      <c r="I213" s="26">
        <v>0.80902777777777779</v>
      </c>
      <c r="J213" s="28" t="s">
        <v>251</v>
      </c>
      <c r="K213" s="28"/>
      <c r="L213" s="28">
        <v>1</v>
      </c>
      <c r="M213" s="28"/>
      <c r="N213" s="28"/>
      <c r="O213" s="41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 t="str">
        <f t="shared" si="39"/>
        <v>JW MARRIOTTKE 621 on 24 Sep</v>
      </c>
      <c r="AO213" s="3" t="s">
        <v>26</v>
      </c>
      <c r="AP213" s="19">
        <v>45923</v>
      </c>
      <c r="AQ213" s="5" t="s">
        <v>182</v>
      </c>
      <c r="AR213" s="5" t="s">
        <v>186</v>
      </c>
      <c r="AS213" s="6">
        <v>0.79513888888888884</v>
      </c>
    </row>
    <row r="214" spans="1:45" ht="15" customHeight="1">
      <c r="A214" s="688"/>
      <c r="B214" s="688"/>
      <c r="C214" s="688"/>
      <c r="D214" s="688"/>
      <c r="E214" s="692"/>
      <c r="F214" s="688"/>
      <c r="G214" s="688"/>
      <c r="H214" s="26">
        <f t="shared" si="35"/>
        <v>0.6875</v>
      </c>
      <c r="I214" s="26">
        <v>0.8125</v>
      </c>
      <c r="J214" s="28" t="s">
        <v>252</v>
      </c>
      <c r="K214" s="28"/>
      <c r="L214" s="28"/>
      <c r="M214" s="28">
        <v>5</v>
      </c>
      <c r="N214" s="28"/>
      <c r="O214" s="41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 t="str">
        <f t="shared" si="39"/>
        <v>JW MARRIOTTNH 862</v>
      </c>
      <c r="AO214" s="3" t="s">
        <v>26</v>
      </c>
      <c r="AP214" s="19">
        <v>45923</v>
      </c>
      <c r="AQ214" s="5" t="s">
        <v>182</v>
      </c>
      <c r="AR214" s="5" t="s">
        <v>108</v>
      </c>
      <c r="AS214" s="6">
        <v>0.1701388888888889</v>
      </c>
    </row>
    <row r="215" spans="1:45" ht="15" customHeight="1">
      <c r="A215" s="688"/>
      <c r="B215" s="688"/>
      <c r="C215" s="688"/>
      <c r="D215" s="688"/>
      <c r="E215" s="692"/>
      <c r="F215" s="688"/>
      <c r="G215" s="688"/>
      <c r="H215" s="26">
        <f t="shared" si="35"/>
        <v>0.6875</v>
      </c>
      <c r="I215" s="26">
        <v>0.8125</v>
      </c>
      <c r="J215" s="28" t="s">
        <v>172</v>
      </c>
      <c r="K215" s="28"/>
      <c r="L215" s="28"/>
      <c r="M215" s="28">
        <v>8</v>
      </c>
      <c r="N215" s="28"/>
      <c r="O215" s="41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 t="str">
        <f t="shared" si="39"/>
        <v>JW MARRIOTTJL 90</v>
      </c>
      <c r="AO215" s="3" t="s">
        <v>26</v>
      </c>
      <c r="AP215" s="19">
        <v>45923</v>
      </c>
      <c r="AQ215" s="5" t="s">
        <v>182</v>
      </c>
      <c r="AR215" s="5" t="s">
        <v>110</v>
      </c>
      <c r="AS215" s="6">
        <v>0.1701388888888889</v>
      </c>
    </row>
    <row r="216" spans="1:45" ht="15" customHeight="1">
      <c r="A216" s="688"/>
      <c r="B216" s="688"/>
      <c r="C216" s="688"/>
      <c r="D216" s="688"/>
      <c r="E216" s="692"/>
      <c r="F216" s="688"/>
      <c r="G216" s="688"/>
      <c r="H216" s="26">
        <f t="shared" si="35"/>
        <v>0.69791666666666663</v>
      </c>
      <c r="I216" s="26">
        <v>0.82291666666666663</v>
      </c>
      <c r="J216" s="28" t="s">
        <v>253</v>
      </c>
      <c r="K216" s="28">
        <v>4</v>
      </c>
      <c r="L216" s="28">
        <v>1</v>
      </c>
      <c r="M216" s="28"/>
      <c r="N216" s="28"/>
      <c r="O216" s="41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 t="str">
        <f t="shared" si="39"/>
        <v>JW MARRIOTTOZ 1045</v>
      </c>
      <c r="AO216" s="3" t="s">
        <v>26</v>
      </c>
      <c r="AP216" s="19">
        <v>45923</v>
      </c>
      <c r="AQ216" s="5" t="s">
        <v>182</v>
      </c>
      <c r="AR216" s="5" t="s">
        <v>113</v>
      </c>
      <c r="AS216" s="6">
        <v>0.47916666666666669</v>
      </c>
    </row>
    <row r="217" spans="1:45" ht="15" customHeight="1">
      <c r="A217" s="688"/>
      <c r="B217" s="689"/>
      <c r="C217" s="689"/>
      <c r="D217" s="688"/>
      <c r="E217" s="692"/>
      <c r="F217" s="688"/>
      <c r="G217" s="688"/>
      <c r="H217" s="195">
        <f t="shared" si="35"/>
        <v>0.69791666666666663</v>
      </c>
      <c r="I217" s="195">
        <v>0.82291666666666663</v>
      </c>
      <c r="J217" s="47" t="s">
        <v>254</v>
      </c>
      <c r="K217" s="47"/>
      <c r="L217" s="47"/>
      <c r="M217" s="47">
        <v>1</v>
      </c>
      <c r="N217" s="47"/>
      <c r="O217" s="134"/>
      <c r="P217" s="23"/>
      <c r="Q217" s="47"/>
      <c r="R217" s="47"/>
      <c r="S217" s="47"/>
      <c r="T217" s="47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 t="str">
        <f t="shared" si="39"/>
        <v>THE PLAZAKE 1803</v>
      </c>
      <c r="AO217" s="3" t="s">
        <v>26</v>
      </c>
      <c r="AP217" s="19">
        <v>45923</v>
      </c>
      <c r="AQ217" s="5" t="s">
        <v>255</v>
      </c>
      <c r="AR217" s="5" t="s">
        <v>214</v>
      </c>
      <c r="AS217" s="6">
        <v>0.16666666666666666</v>
      </c>
    </row>
    <row r="218" spans="1:45" ht="15" customHeight="1">
      <c r="A218" s="688"/>
      <c r="B218" s="687">
        <f>C218-TIME(0,15,0)</f>
        <v>0.62500000000000022</v>
      </c>
      <c r="C218" s="700">
        <f t="shared" ref="C218:D218" si="43">D218-TIME(0,15,0)</f>
        <v>0.63541666666666685</v>
      </c>
      <c r="D218" s="703">
        <f t="shared" si="43"/>
        <v>0.64583333333333348</v>
      </c>
      <c r="E218" s="706">
        <f>F218-TIME(1,0,0)</f>
        <v>0.65625000000000011</v>
      </c>
      <c r="F218" s="687">
        <f>G218-TIME(0,20,0)</f>
        <v>0.69791666666666674</v>
      </c>
      <c r="G218" s="709">
        <f>H218</f>
        <v>0.71180555555555558</v>
      </c>
      <c r="H218" s="262">
        <f t="shared" si="35"/>
        <v>0.71180555555555558</v>
      </c>
      <c r="I218" s="221">
        <v>0.83680555555555558</v>
      </c>
      <c r="J218" s="16" t="s">
        <v>74</v>
      </c>
      <c r="K218" s="16">
        <v>2</v>
      </c>
      <c r="L218" s="16"/>
      <c r="M218" s="16"/>
      <c r="N218" s="16"/>
      <c r="O218" s="222">
        <f>SUM(J218:N223)</f>
        <v>24</v>
      </c>
      <c r="P218" s="34"/>
      <c r="Q218" s="16"/>
      <c r="R218" s="16"/>
      <c r="S218" s="224">
        <v>1</v>
      </c>
      <c r="T218" s="224"/>
      <c r="U218" s="130" t="s">
        <v>256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 t="str">
        <f t="shared" si="39"/>
        <v>THE PLAZABX 8803</v>
      </c>
      <c r="AO218" s="3" t="s">
        <v>26</v>
      </c>
      <c r="AP218" s="19">
        <v>45923</v>
      </c>
      <c r="AQ218" s="5" t="s">
        <v>255</v>
      </c>
      <c r="AR218" s="5" t="s">
        <v>216</v>
      </c>
      <c r="AS218" s="6">
        <v>0.16666666666666666</v>
      </c>
    </row>
    <row r="219" spans="1:45" ht="15" customHeight="1">
      <c r="A219" s="688"/>
      <c r="B219" s="688"/>
      <c r="C219" s="701"/>
      <c r="D219" s="704"/>
      <c r="E219" s="707"/>
      <c r="F219" s="688"/>
      <c r="G219" s="710"/>
      <c r="H219" s="263">
        <f t="shared" si="35"/>
        <v>0.71180555555555558</v>
      </c>
      <c r="I219" s="26">
        <v>0.83680555555555558</v>
      </c>
      <c r="J219" s="28" t="s">
        <v>168</v>
      </c>
      <c r="K219" s="28"/>
      <c r="L219" s="28"/>
      <c r="M219" s="28">
        <v>4</v>
      </c>
      <c r="N219" s="28"/>
      <c r="O219" s="41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 t="str">
        <f t="shared" si="39"/>
        <v>THE PLAZANH 862</v>
      </c>
      <c r="AO219" s="3" t="s">
        <v>26</v>
      </c>
      <c r="AP219" s="19">
        <v>45923</v>
      </c>
      <c r="AQ219" s="5" t="s">
        <v>255</v>
      </c>
      <c r="AR219" s="5" t="s">
        <v>108</v>
      </c>
      <c r="AS219" s="6">
        <v>0.16666666666666666</v>
      </c>
    </row>
    <row r="220" spans="1:45" ht="15" customHeight="1">
      <c r="A220" s="688"/>
      <c r="B220" s="688"/>
      <c r="C220" s="701"/>
      <c r="D220" s="704"/>
      <c r="E220" s="707"/>
      <c r="F220" s="688"/>
      <c r="G220" s="710"/>
      <c r="H220" s="263">
        <f t="shared" si="35"/>
        <v>0.72569444444444442</v>
      </c>
      <c r="I220" s="26">
        <v>0.85069444444444442</v>
      </c>
      <c r="J220" s="28" t="s">
        <v>170</v>
      </c>
      <c r="K220" s="28"/>
      <c r="L220" s="28"/>
      <c r="M220" s="28">
        <v>3</v>
      </c>
      <c r="N220" s="28"/>
      <c r="O220" s="41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 t="str">
        <f t="shared" si="39"/>
        <v>THE PLAZAOZ 1145</v>
      </c>
      <c r="AO220" s="3" t="s">
        <v>26</v>
      </c>
      <c r="AP220" s="19">
        <v>45923</v>
      </c>
      <c r="AQ220" s="5" t="s">
        <v>255</v>
      </c>
      <c r="AR220" s="5" t="s">
        <v>219</v>
      </c>
      <c r="AS220" s="6">
        <v>0.16666666666666666</v>
      </c>
    </row>
    <row r="221" spans="1:45" ht="15" customHeight="1">
      <c r="A221" s="688"/>
      <c r="B221" s="688"/>
      <c r="C221" s="701"/>
      <c r="D221" s="704"/>
      <c r="E221" s="707"/>
      <c r="F221" s="688"/>
      <c r="G221" s="710"/>
      <c r="H221" s="263">
        <f>I221-TIME(3,0,0)</f>
        <v>0.72916666666666663</v>
      </c>
      <c r="I221" s="26">
        <v>0.85416666666666663</v>
      </c>
      <c r="J221" s="28" t="s">
        <v>171</v>
      </c>
      <c r="K221" s="28">
        <v>5</v>
      </c>
      <c r="L221" s="28"/>
      <c r="M221" s="28"/>
      <c r="N221" s="28"/>
      <c r="O221" s="41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 t="str">
        <f t="shared" si="39"/>
        <v>THE PLAZABX 8807</v>
      </c>
      <c r="AO221" s="3" t="s">
        <v>26</v>
      </c>
      <c r="AP221" s="19">
        <v>45923</v>
      </c>
      <c r="AQ221" s="5" t="s">
        <v>255</v>
      </c>
      <c r="AR221" s="5" t="s">
        <v>223</v>
      </c>
      <c r="AS221" s="6">
        <v>0.25694444444444442</v>
      </c>
    </row>
    <row r="222" spans="1:45" ht="15" customHeight="1">
      <c r="A222" s="688"/>
      <c r="B222" s="688"/>
      <c r="C222" s="701"/>
      <c r="D222" s="704"/>
      <c r="E222" s="707"/>
      <c r="F222" s="688"/>
      <c r="G222" s="710"/>
      <c r="H222" s="263">
        <f>I222-TIME(3,0,0)</f>
        <v>0.73263888888888884</v>
      </c>
      <c r="I222" s="26">
        <v>0.85763888888888884</v>
      </c>
      <c r="J222" s="28" t="s">
        <v>257</v>
      </c>
      <c r="K222" s="28"/>
      <c r="L222" s="28"/>
      <c r="M222" s="28">
        <v>2</v>
      </c>
      <c r="N222" s="28"/>
      <c r="O222" s="41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 t="str">
        <f t="shared" si="39"/>
        <v>THE PLAZALJ 511</v>
      </c>
      <c r="AO222" s="3" t="s">
        <v>26</v>
      </c>
      <c r="AP222" s="19">
        <v>45923</v>
      </c>
      <c r="AQ222" s="5" t="s">
        <v>255</v>
      </c>
      <c r="AR222" s="5" t="s">
        <v>224</v>
      </c>
      <c r="AS222" s="6">
        <v>0.52777777777777779</v>
      </c>
    </row>
    <row r="223" spans="1:45" ht="15" customHeight="1">
      <c r="A223" s="688"/>
      <c r="B223" s="699"/>
      <c r="C223" s="702"/>
      <c r="D223" s="705"/>
      <c r="E223" s="708"/>
      <c r="F223" s="699"/>
      <c r="G223" s="711"/>
      <c r="H223" s="264">
        <f>I223-TIME(3,0,0)</f>
        <v>0.73263888888888884</v>
      </c>
      <c r="I223" s="265">
        <v>0.85763888888888884</v>
      </c>
      <c r="J223" s="266" t="s">
        <v>258</v>
      </c>
      <c r="K223" s="23"/>
      <c r="L223" s="23"/>
      <c r="M223" s="23">
        <v>8</v>
      </c>
      <c r="N223" s="266"/>
      <c r="O223" s="24"/>
      <c r="P223" s="23"/>
      <c r="Q223" s="23"/>
      <c r="R223" s="23"/>
      <c r="S223" s="23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 t="str">
        <f t="shared" si="39"/>
        <v>LOTTEKE 2117</v>
      </c>
      <c r="AO223" s="3" t="s">
        <v>26</v>
      </c>
      <c r="AP223" s="19">
        <v>45923</v>
      </c>
      <c r="AQ223" s="5" t="s">
        <v>259</v>
      </c>
      <c r="AR223" s="5" t="s">
        <v>221</v>
      </c>
      <c r="AS223" s="6">
        <v>0.20833333333333334</v>
      </c>
    </row>
    <row r="224" spans="1:45" ht="15" customHeight="1">
      <c r="A224" s="688"/>
      <c r="B224" s="267"/>
      <c r="C224" s="267"/>
      <c r="D224" s="694">
        <v>0.64583333333333337</v>
      </c>
      <c r="E224" s="696">
        <v>0.65625</v>
      </c>
      <c r="F224" s="268"/>
      <c r="G224" s="694">
        <v>0.71180555555555558</v>
      </c>
      <c r="H224" s="33">
        <f>I224-TIME(3,0,0)</f>
        <v>0.72916666666666663</v>
      </c>
      <c r="I224" s="33">
        <v>0.85416666666666663</v>
      </c>
      <c r="J224" s="34" t="s">
        <v>260</v>
      </c>
      <c r="K224" s="34"/>
      <c r="L224" s="34"/>
      <c r="M224" s="34"/>
      <c r="N224" s="34">
        <v>1</v>
      </c>
      <c r="O224" s="45">
        <v>3</v>
      </c>
      <c r="P224" s="269">
        <v>1</v>
      </c>
      <c r="Q224" s="269"/>
      <c r="R224" s="269"/>
      <c r="S224" s="269"/>
      <c r="T224" s="269"/>
      <c r="U224" s="261" t="s">
        <v>261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3"/>
      <c r="AP224" s="19"/>
    </row>
    <row r="225" spans="1:46" ht="15" customHeight="1">
      <c r="A225" s="688"/>
      <c r="B225" s="267"/>
      <c r="C225" s="267"/>
      <c r="D225" s="695"/>
      <c r="E225" s="697"/>
      <c r="F225" s="268"/>
      <c r="G225" s="698"/>
      <c r="H225" s="195">
        <f>I225-TIME(3,0,0)</f>
        <v>0.73263888888888884</v>
      </c>
      <c r="I225" s="195">
        <v>0.85763888888888884</v>
      </c>
      <c r="J225" s="270" t="s">
        <v>258</v>
      </c>
      <c r="K225" s="47"/>
      <c r="L225" s="47"/>
      <c r="M225" s="47"/>
      <c r="N225" s="47">
        <v>2</v>
      </c>
      <c r="O225" s="45"/>
      <c r="P225" s="44"/>
      <c r="Q225" s="44"/>
      <c r="R225" s="44"/>
      <c r="S225" s="44"/>
      <c r="T225" s="44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3"/>
      <c r="AP225" s="19"/>
    </row>
    <row r="226" spans="1:46" ht="15" customHeight="1">
      <c r="A226" s="688"/>
      <c r="B226" s="687">
        <f>C226-TIME(0,15,0)</f>
        <v>0.62500000000000022</v>
      </c>
      <c r="C226" s="690">
        <f t="shared" ref="C226:D226" si="44">D226-TIME(0,15,0)</f>
        <v>0.63541666666666685</v>
      </c>
      <c r="D226" s="687">
        <f t="shared" si="44"/>
        <v>0.64583333333333348</v>
      </c>
      <c r="E226" s="691">
        <f>F226-TIME(1,15,0)</f>
        <v>0.65625000000000011</v>
      </c>
      <c r="F226" s="687">
        <f t="shared" ref="F226:G226" si="45">G226-TIME(0,20,0)</f>
        <v>0.70833333333333348</v>
      </c>
      <c r="G226" s="687">
        <f t="shared" si="45"/>
        <v>0.72222222222222232</v>
      </c>
      <c r="H226" s="221">
        <f t="shared" si="35"/>
        <v>0.73611111111111116</v>
      </c>
      <c r="I226" s="221">
        <v>0.86111111111111116</v>
      </c>
      <c r="J226" s="16" t="s">
        <v>76</v>
      </c>
      <c r="K226" s="16">
        <v>2</v>
      </c>
      <c r="L226" s="16"/>
      <c r="M226" s="16"/>
      <c r="N226" s="16"/>
      <c r="O226" s="222">
        <f>SUM(J226:N233)</f>
        <v>73</v>
      </c>
      <c r="P226" s="16"/>
      <c r="Q226" s="16"/>
      <c r="R226" s="16"/>
      <c r="S226" s="232">
        <v>1</v>
      </c>
      <c r="T226" s="232"/>
      <c r="U226" s="261" t="s">
        <v>262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 t="str">
        <f t="shared" si="39"/>
        <v>THE PLAZABX 164</v>
      </c>
      <c r="AO226" s="3" t="s">
        <v>26</v>
      </c>
      <c r="AP226" s="19">
        <v>45923</v>
      </c>
      <c r="AQ226" s="5" t="s">
        <v>255</v>
      </c>
      <c r="AR226" s="5" t="s">
        <v>217</v>
      </c>
      <c r="AS226" s="6">
        <v>7.2916666666666671E-2</v>
      </c>
    </row>
    <row r="227" spans="1:46" ht="15" customHeight="1">
      <c r="A227" s="688"/>
      <c r="B227" s="688"/>
      <c r="C227" s="688"/>
      <c r="D227" s="688"/>
      <c r="E227" s="692"/>
      <c r="F227" s="688"/>
      <c r="G227" s="688"/>
      <c r="H227" s="26">
        <f t="shared" si="35"/>
        <v>0.73958333333333337</v>
      </c>
      <c r="I227" s="26">
        <v>0.86458333333333337</v>
      </c>
      <c r="J227" s="28" t="s">
        <v>77</v>
      </c>
      <c r="K227" s="28">
        <v>4</v>
      </c>
      <c r="L227" s="28">
        <v>15</v>
      </c>
      <c r="M227" s="28"/>
      <c r="N227" s="28"/>
      <c r="O227" s="41"/>
      <c r="P227" s="28"/>
      <c r="Q227" s="28"/>
      <c r="R227" s="28"/>
      <c r="S227" s="188">
        <v>2</v>
      </c>
      <c r="T227" s="188">
        <v>1</v>
      </c>
      <c r="U227" s="172" t="s">
        <v>263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 t="str">
        <f t="shared" si="39"/>
        <v>THE PLAZA7C 1501</v>
      </c>
      <c r="AO227" s="3" t="s">
        <v>26</v>
      </c>
      <c r="AP227" s="19">
        <v>45923</v>
      </c>
      <c r="AQ227" s="5" t="s">
        <v>255</v>
      </c>
      <c r="AR227" s="5" t="s">
        <v>218</v>
      </c>
      <c r="AS227" s="6">
        <v>7.2916666666666671E-2</v>
      </c>
    </row>
    <row r="228" spans="1:46" ht="15" customHeight="1">
      <c r="A228" s="688"/>
      <c r="B228" s="688"/>
      <c r="C228" s="688"/>
      <c r="D228" s="688"/>
      <c r="E228" s="692"/>
      <c r="F228" s="688"/>
      <c r="G228" s="688"/>
      <c r="H228" s="26">
        <f t="shared" si="35"/>
        <v>0.74652777777777779</v>
      </c>
      <c r="I228" s="26">
        <v>0.87152777777777779</v>
      </c>
      <c r="J228" s="28" t="s">
        <v>174</v>
      </c>
      <c r="K228" s="28">
        <v>12</v>
      </c>
      <c r="L228" s="28">
        <v>17</v>
      </c>
      <c r="M228" s="28"/>
      <c r="N228" s="28"/>
      <c r="O228" s="41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 t="str">
        <f t="shared" si="39"/>
        <v>THE PLAZA5J 185</v>
      </c>
      <c r="AO228" s="3" t="s">
        <v>26</v>
      </c>
      <c r="AP228" s="19">
        <v>45923</v>
      </c>
      <c r="AQ228" s="5" t="s">
        <v>255</v>
      </c>
      <c r="AR228" s="5" t="s">
        <v>93</v>
      </c>
      <c r="AS228" s="6">
        <v>0.13541666666666666</v>
      </c>
    </row>
    <row r="229" spans="1:46" ht="15" customHeight="1">
      <c r="A229" s="688"/>
      <c r="B229" s="688"/>
      <c r="C229" s="688"/>
      <c r="D229" s="688"/>
      <c r="E229" s="692"/>
      <c r="F229" s="688"/>
      <c r="G229" s="688"/>
      <c r="H229" s="26">
        <f t="shared" si="35"/>
        <v>0.75</v>
      </c>
      <c r="I229" s="26">
        <v>0.875</v>
      </c>
      <c r="J229" s="28" t="s">
        <v>264</v>
      </c>
      <c r="K229" s="28"/>
      <c r="L229" s="28"/>
      <c r="M229" s="28"/>
      <c r="N229" s="28">
        <v>1</v>
      </c>
      <c r="O229" s="41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 t="str">
        <f t="shared" si="39"/>
        <v>THE PLAZAKE 127</v>
      </c>
      <c r="AO229" s="3" t="s">
        <v>26</v>
      </c>
      <c r="AP229" s="19">
        <v>45923</v>
      </c>
      <c r="AQ229" s="5" t="s">
        <v>255</v>
      </c>
      <c r="AR229" s="5" t="s">
        <v>226</v>
      </c>
      <c r="AS229" s="6">
        <v>0.13541666666666666</v>
      </c>
    </row>
    <row r="230" spans="1:46" ht="15" customHeight="1">
      <c r="A230" s="688"/>
      <c r="B230" s="688"/>
      <c r="C230" s="688"/>
      <c r="D230" s="688"/>
      <c r="E230" s="692"/>
      <c r="F230" s="688"/>
      <c r="G230" s="688"/>
      <c r="H230" s="26">
        <f t="shared" si="35"/>
        <v>0.75347222222222221</v>
      </c>
      <c r="I230" s="26">
        <v>0.87847222222222221</v>
      </c>
      <c r="J230" s="28" t="s">
        <v>265</v>
      </c>
      <c r="K230" s="28"/>
      <c r="L230" s="28"/>
      <c r="M230" s="28"/>
      <c r="N230" s="28">
        <v>2</v>
      </c>
      <c r="O230" s="41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 t="str">
        <f t="shared" si="39"/>
        <v>THE PLAZATW 241</v>
      </c>
      <c r="AO230" s="3" t="s">
        <v>26</v>
      </c>
      <c r="AP230" s="19">
        <v>45923</v>
      </c>
      <c r="AQ230" s="5" t="s">
        <v>255</v>
      </c>
      <c r="AR230" s="5" t="s">
        <v>109</v>
      </c>
      <c r="AS230" s="6">
        <v>0.13541666666666666</v>
      </c>
    </row>
    <row r="231" spans="1:46" ht="15" customHeight="1">
      <c r="A231" s="688"/>
      <c r="B231" s="688"/>
      <c r="C231" s="688"/>
      <c r="D231" s="688"/>
      <c r="E231" s="692"/>
      <c r="F231" s="688"/>
      <c r="G231" s="688"/>
      <c r="H231" s="26">
        <f t="shared" si="35"/>
        <v>0.75347222222222221</v>
      </c>
      <c r="I231" s="26">
        <v>0.87847222222222221</v>
      </c>
      <c r="J231" s="28" t="s">
        <v>266</v>
      </c>
      <c r="K231" s="28">
        <v>2</v>
      </c>
      <c r="L231" s="28"/>
      <c r="M231" s="28"/>
      <c r="N231" s="28"/>
      <c r="O231" s="41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 t="str">
        <f t="shared" si="39"/>
        <v>THE PLAZAKE 865</v>
      </c>
      <c r="AO231" s="3" t="s">
        <v>26</v>
      </c>
      <c r="AP231" s="19">
        <v>45923</v>
      </c>
      <c r="AQ231" s="5" t="s">
        <v>255</v>
      </c>
      <c r="AR231" s="5" t="s">
        <v>227</v>
      </c>
      <c r="AS231" s="6">
        <v>0.13541666666666666</v>
      </c>
    </row>
    <row r="232" spans="1:46" ht="15" customHeight="1">
      <c r="A232" s="688"/>
      <c r="B232" s="688"/>
      <c r="C232" s="688"/>
      <c r="D232" s="688"/>
      <c r="E232" s="692"/>
      <c r="F232" s="688"/>
      <c r="G232" s="688"/>
      <c r="H232" s="26">
        <f t="shared" si="35"/>
        <v>0.75347222222222221</v>
      </c>
      <c r="I232" s="26">
        <v>0.87847222222222221</v>
      </c>
      <c r="J232" s="28" t="s">
        <v>267</v>
      </c>
      <c r="K232" s="28"/>
      <c r="L232" s="28">
        <v>12</v>
      </c>
      <c r="M232" s="28"/>
      <c r="N232" s="28"/>
      <c r="O232" s="41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 t="str">
        <f t="shared" si="39"/>
        <v>THE PLAZAOZ 102</v>
      </c>
      <c r="AO232" s="3" t="s">
        <v>26</v>
      </c>
      <c r="AP232" s="19">
        <v>45923</v>
      </c>
      <c r="AQ232" s="5" t="s">
        <v>255</v>
      </c>
      <c r="AR232" s="5" t="s">
        <v>111</v>
      </c>
      <c r="AS232" s="6">
        <v>0.17708333333333334</v>
      </c>
    </row>
    <row r="233" spans="1:46" ht="15" customHeight="1">
      <c r="A233" s="688"/>
      <c r="B233" s="689"/>
      <c r="C233" s="689"/>
      <c r="D233" s="689"/>
      <c r="E233" s="693"/>
      <c r="F233" s="689"/>
      <c r="G233" s="689"/>
      <c r="H233" s="195">
        <f t="shared" si="35"/>
        <v>0.75694444444444442</v>
      </c>
      <c r="I233" s="195">
        <v>0.88194444444444442</v>
      </c>
      <c r="J233" s="47" t="s">
        <v>268</v>
      </c>
      <c r="K233" s="47">
        <v>6</v>
      </c>
      <c r="L233" s="47"/>
      <c r="M233" s="47"/>
      <c r="N233" s="47"/>
      <c r="O233" s="134"/>
      <c r="P233" s="47"/>
      <c r="Q233" s="47"/>
      <c r="R233" s="47"/>
      <c r="S233" s="47"/>
      <c r="T233" s="47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 t="str">
        <f t="shared" si="39"/>
        <v>THE PLAZAOZ 222</v>
      </c>
      <c r="AO233" s="3" t="s">
        <v>26</v>
      </c>
      <c r="AP233" s="19">
        <v>45923</v>
      </c>
      <c r="AQ233" s="5" t="s">
        <v>255</v>
      </c>
      <c r="AR233" s="5" t="s">
        <v>228</v>
      </c>
      <c r="AS233" s="6">
        <v>0.17708333333333334</v>
      </c>
    </row>
    <row r="234" spans="1:46" ht="15" customHeight="1">
      <c r="A234" s="688"/>
      <c r="B234" s="240"/>
      <c r="C234" s="241"/>
      <c r="D234" s="218">
        <f>E234-TIME(0,15,0)</f>
        <v>0.69791666666666674</v>
      </c>
      <c r="E234" s="216">
        <f t="shared" ref="E234:E235" si="46">F234-TIME(1,30,0)</f>
        <v>0.70833333333333337</v>
      </c>
      <c r="F234" s="218">
        <f>H234</f>
        <v>0.77083333333333337</v>
      </c>
      <c r="G234" s="240"/>
      <c r="H234" s="218">
        <f t="shared" si="35"/>
        <v>0.77083333333333337</v>
      </c>
      <c r="I234" s="218">
        <v>0.89583333333333337</v>
      </c>
      <c r="J234" s="217" t="s">
        <v>177</v>
      </c>
      <c r="K234" s="217">
        <v>4</v>
      </c>
      <c r="L234" s="217"/>
      <c r="M234" s="217"/>
      <c r="N234" s="217"/>
      <c r="O234" s="219">
        <f>SUM(J234:N234)</f>
        <v>4</v>
      </c>
      <c r="P234" s="217"/>
      <c r="Q234" s="271">
        <v>1</v>
      </c>
      <c r="R234" s="271"/>
      <c r="S234" s="271"/>
      <c r="T234" s="271"/>
      <c r="U234" s="130" t="s">
        <v>269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 t="str">
        <f t="shared" si="39"/>
        <v>THE PLAZA7C 6101</v>
      </c>
      <c r="AO234" s="3" t="s">
        <v>26</v>
      </c>
      <c r="AP234" s="19">
        <v>45923</v>
      </c>
      <c r="AQ234" s="5" t="s">
        <v>255</v>
      </c>
      <c r="AR234" s="5" t="s">
        <v>229</v>
      </c>
      <c r="AS234" s="6">
        <v>0.17708333333333334</v>
      </c>
    </row>
    <row r="235" spans="1:46" ht="15" customHeight="1">
      <c r="A235" s="688"/>
      <c r="B235" s="687">
        <f>C235-TIME(0,15,0)</f>
        <v>0.70138888888888906</v>
      </c>
      <c r="C235" s="690">
        <f t="shared" ref="C235:D235" si="47">D235-TIME(0,15,0)</f>
        <v>0.71180555555555569</v>
      </c>
      <c r="D235" s="687">
        <f t="shared" si="47"/>
        <v>0.72222222222222232</v>
      </c>
      <c r="E235" s="691">
        <f t="shared" si="46"/>
        <v>0.73263888888888895</v>
      </c>
      <c r="F235" s="687">
        <f>G235-TIME(0,20,0)</f>
        <v>0.79513888888888895</v>
      </c>
      <c r="G235" s="687">
        <f>H235</f>
        <v>0.80902777777777779</v>
      </c>
      <c r="H235" s="221">
        <f t="shared" si="35"/>
        <v>0.80902777777777779</v>
      </c>
      <c r="I235" s="221">
        <v>0.93402777777777779</v>
      </c>
      <c r="J235" s="16" t="s">
        <v>270</v>
      </c>
      <c r="K235" s="16"/>
      <c r="L235" s="16"/>
      <c r="M235" s="16">
        <v>1</v>
      </c>
      <c r="N235" s="16"/>
      <c r="O235" s="222">
        <f>SUM(J235:N238)</f>
        <v>5</v>
      </c>
      <c r="P235" s="16"/>
      <c r="Q235" s="16">
        <v>1</v>
      </c>
      <c r="R235" s="16"/>
      <c r="S235" s="16"/>
      <c r="T235" s="16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 t="str">
        <f t="shared" si="39"/>
        <v>THE PLAZARS 701</v>
      </c>
      <c r="AO235" s="3" t="s">
        <v>26</v>
      </c>
      <c r="AP235" s="19">
        <v>45923</v>
      </c>
      <c r="AQ235" s="5" t="s">
        <v>255</v>
      </c>
      <c r="AR235" s="5" t="s">
        <v>42</v>
      </c>
      <c r="AS235" s="6">
        <v>0.17708333333333334</v>
      </c>
    </row>
    <row r="236" spans="1:46" ht="15" customHeight="1">
      <c r="A236" s="688"/>
      <c r="B236" s="688"/>
      <c r="C236" s="688"/>
      <c r="D236" s="688"/>
      <c r="E236" s="692"/>
      <c r="F236" s="688"/>
      <c r="G236" s="688"/>
      <c r="H236" s="26">
        <f t="shared" si="35"/>
        <v>0.8125</v>
      </c>
      <c r="I236" s="26">
        <v>0.9375</v>
      </c>
      <c r="J236" s="28" t="s">
        <v>271</v>
      </c>
      <c r="K236" s="28">
        <v>1</v>
      </c>
      <c r="L236" s="28"/>
      <c r="M236" s="28"/>
      <c r="N236" s="28"/>
      <c r="O236" s="41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 t="str">
        <f t="shared" si="39"/>
        <v>THE PLAZADL 7839</v>
      </c>
      <c r="AO236" s="3" t="s">
        <v>26</v>
      </c>
      <c r="AP236" s="19">
        <v>45923</v>
      </c>
      <c r="AQ236" s="5" t="s">
        <v>255</v>
      </c>
      <c r="AR236" s="5" t="s">
        <v>230</v>
      </c>
      <c r="AS236" s="6">
        <v>0.17708333333333334</v>
      </c>
    </row>
    <row r="237" spans="1:46" ht="15" customHeight="1">
      <c r="A237" s="688"/>
      <c r="B237" s="688"/>
      <c r="C237" s="688"/>
      <c r="D237" s="688"/>
      <c r="E237" s="692"/>
      <c r="F237" s="688"/>
      <c r="G237" s="688"/>
      <c r="H237" s="26">
        <f t="shared" si="35"/>
        <v>0.81597222222222221</v>
      </c>
      <c r="I237" s="26">
        <v>0.94097222222222221</v>
      </c>
      <c r="J237" s="28" t="s">
        <v>272</v>
      </c>
      <c r="K237" s="28"/>
      <c r="L237" s="28">
        <v>1</v>
      </c>
      <c r="M237" s="28"/>
      <c r="N237" s="28"/>
      <c r="O237" s="41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 t="str">
        <f t="shared" si="39"/>
        <v>THE PLAZAKE 31</v>
      </c>
      <c r="AO237" s="3" t="s">
        <v>26</v>
      </c>
      <c r="AP237" s="19">
        <v>45923</v>
      </c>
      <c r="AQ237" s="5" t="s">
        <v>255</v>
      </c>
      <c r="AR237" s="5" t="s">
        <v>44</v>
      </c>
      <c r="AS237" s="6">
        <v>0.17708333333333334</v>
      </c>
    </row>
    <row r="238" spans="1:46" ht="15" customHeight="1">
      <c r="A238" s="689"/>
      <c r="B238" s="689"/>
      <c r="C238" s="689"/>
      <c r="D238" s="689"/>
      <c r="E238" s="693"/>
      <c r="F238" s="689"/>
      <c r="G238" s="689"/>
      <c r="H238" s="26"/>
      <c r="I238" s="26"/>
      <c r="J238" s="28" t="s">
        <v>273</v>
      </c>
      <c r="K238" s="28"/>
      <c r="L238" s="28">
        <v>2</v>
      </c>
      <c r="M238" s="28"/>
      <c r="N238" s="28"/>
      <c r="O238" s="203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 t="str">
        <f t="shared" si="39"/>
        <v>THE PLAZADL 158</v>
      </c>
      <c r="AO238" s="3" t="s">
        <v>26</v>
      </c>
      <c r="AP238" s="19">
        <v>45923</v>
      </c>
      <c r="AQ238" s="5" t="s">
        <v>255</v>
      </c>
      <c r="AR238" s="5" t="s">
        <v>48</v>
      </c>
      <c r="AS238" s="6">
        <v>0.21527777777777779</v>
      </c>
    </row>
    <row r="239" spans="1:46" ht="22.5" customHeight="1">
      <c r="A239" s="682" t="s">
        <v>32</v>
      </c>
      <c r="B239" s="683"/>
      <c r="C239" s="683"/>
      <c r="D239" s="683"/>
      <c r="E239" s="683"/>
      <c r="F239" s="683"/>
      <c r="G239" s="683"/>
      <c r="H239" s="683"/>
      <c r="I239" s="683"/>
      <c r="J239" s="684"/>
      <c r="K239" s="40">
        <f t="shared" ref="K239:N239" si="48">SUM(K150:K238)</f>
        <v>149</v>
      </c>
      <c r="L239" s="40">
        <f t="shared" si="48"/>
        <v>194</v>
      </c>
      <c r="M239" s="40">
        <f t="shared" si="48"/>
        <v>90</v>
      </c>
      <c r="N239" s="40">
        <f t="shared" si="48"/>
        <v>53</v>
      </c>
      <c r="O239" s="40">
        <f t="shared" ref="O239:T239" si="49">SUM(O151:O237)</f>
        <v>486</v>
      </c>
      <c r="P239" s="40">
        <f t="shared" si="49"/>
        <v>4</v>
      </c>
      <c r="Q239" s="40">
        <f t="shared" si="49"/>
        <v>6</v>
      </c>
      <c r="R239" s="40">
        <f t="shared" si="49"/>
        <v>1</v>
      </c>
      <c r="S239" s="40">
        <f t="shared" si="49"/>
        <v>20</v>
      </c>
      <c r="T239" s="40">
        <f t="shared" si="49"/>
        <v>1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 t="str">
        <f t="shared" si="39"/>
        <v>THE PLAZAKE 185</v>
      </c>
      <c r="AO239" s="3" t="s">
        <v>26</v>
      </c>
      <c r="AP239" s="19">
        <v>45923</v>
      </c>
      <c r="AQ239" s="5" t="s">
        <v>255</v>
      </c>
      <c r="AR239" s="5" t="s">
        <v>231</v>
      </c>
      <c r="AS239" s="6">
        <v>0.21527777777777779</v>
      </c>
    </row>
    <row r="240" spans="1:46" ht="15" customHeight="1">
      <c r="A240" s="202"/>
      <c r="B240" s="202"/>
      <c r="C240" s="202"/>
      <c r="D240" s="202"/>
      <c r="E240" s="202"/>
      <c r="F240" s="202"/>
      <c r="G240" s="202"/>
      <c r="H240" s="202"/>
      <c r="I240" s="202"/>
      <c r="J240" s="1"/>
      <c r="K240" s="1"/>
      <c r="L240" s="1"/>
      <c r="M240" s="1"/>
      <c r="N240" s="1"/>
      <c r="O240" s="1"/>
      <c r="P240" s="1" t="s">
        <v>34</v>
      </c>
      <c r="Q240" s="1" t="s">
        <v>35</v>
      </c>
      <c r="R240" s="1" t="s">
        <v>36</v>
      </c>
      <c r="S240" s="1" t="s">
        <v>37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 t="str">
        <f t="shared" si="39"/>
        <v>THE PLAZAVN 409</v>
      </c>
      <c r="AO240" s="3" t="s">
        <v>26</v>
      </c>
      <c r="AP240" s="19">
        <v>45923</v>
      </c>
      <c r="AQ240" s="5" t="s">
        <v>255</v>
      </c>
      <c r="AR240" s="5" t="s">
        <v>50</v>
      </c>
      <c r="AS240" s="6">
        <v>0.21527777777777779</v>
      </c>
      <c r="AT240" s="1"/>
    </row>
    <row r="241" spans="1:46" ht="15" customHeight="1">
      <c r="A241" s="202"/>
      <c r="B241" s="202"/>
      <c r="C241" s="202"/>
      <c r="D241" s="202"/>
      <c r="E241" s="202"/>
      <c r="F241" s="202"/>
      <c r="G241" s="202"/>
      <c r="H241" s="202"/>
      <c r="I241" s="20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 t="str">
        <f t="shared" si="39"/>
        <v>THE PLAZA7C 1373</v>
      </c>
      <c r="AO241" s="3" t="s">
        <v>26</v>
      </c>
      <c r="AP241" s="19">
        <v>45923</v>
      </c>
      <c r="AQ241" s="5" t="s">
        <v>255</v>
      </c>
      <c r="AR241" s="5" t="s">
        <v>232</v>
      </c>
      <c r="AS241" s="6">
        <v>0.21527777777777779</v>
      </c>
      <c r="AT241" s="1"/>
    </row>
    <row r="242" spans="1:4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 t="str">
        <f t="shared" si="39"/>
        <v>THE PLAZAKE 37</v>
      </c>
      <c r="AO242" s="3" t="s">
        <v>26</v>
      </c>
      <c r="AP242" s="19">
        <v>45923</v>
      </c>
      <c r="AQ242" s="5" t="s">
        <v>255</v>
      </c>
      <c r="AR242" s="5" t="s">
        <v>119</v>
      </c>
      <c r="AS242" s="6">
        <v>0.21527777777777779</v>
      </c>
      <c r="AT242" s="1"/>
    </row>
    <row r="243" spans="1:4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 t="str">
        <f t="shared" si="39"/>
        <v>THE PLAZA7C 6001</v>
      </c>
      <c r="AO243" s="3" t="s">
        <v>26</v>
      </c>
      <c r="AP243" s="19">
        <v>45923</v>
      </c>
      <c r="AQ243" s="5" t="s">
        <v>255</v>
      </c>
      <c r="AR243" s="5" t="s">
        <v>233</v>
      </c>
      <c r="AS243" s="6">
        <v>0.26041666666666669</v>
      </c>
      <c r="AT243" s="1"/>
    </row>
    <row r="244" spans="1:4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 t="str">
        <f t="shared" si="39"/>
        <v>THE PLAZAVJ 961</v>
      </c>
      <c r="AO244" s="3" t="s">
        <v>26</v>
      </c>
      <c r="AP244" s="19">
        <v>45923</v>
      </c>
      <c r="AQ244" s="5" t="s">
        <v>255</v>
      </c>
      <c r="AR244" s="5" t="s">
        <v>51</v>
      </c>
      <c r="AS244" s="6">
        <v>0.26041666666666669</v>
      </c>
      <c r="AT244" s="1"/>
    </row>
    <row r="245" spans="1:4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 t="str">
        <f t="shared" si="39"/>
        <v>THE PLAZAVN 431</v>
      </c>
      <c r="AO245" s="3" t="s">
        <v>26</v>
      </c>
      <c r="AP245" s="19">
        <v>45923</v>
      </c>
      <c r="AQ245" s="5" t="s">
        <v>255</v>
      </c>
      <c r="AR245" s="5" t="s">
        <v>236</v>
      </c>
      <c r="AS245" s="6">
        <v>0.26041666666666669</v>
      </c>
      <c r="AT245" s="1"/>
    </row>
    <row r="246" spans="1:4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 t="str">
        <f t="shared" si="39"/>
        <v>THE PLAZAKE 897</v>
      </c>
      <c r="AO246" s="3" t="s">
        <v>26</v>
      </c>
      <c r="AP246" s="19">
        <v>45923</v>
      </c>
      <c r="AQ246" s="5" t="s">
        <v>255</v>
      </c>
      <c r="AR246" s="5" t="s">
        <v>121</v>
      </c>
      <c r="AS246" s="6">
        <v>0.26041666666666669</v>
      </c>
      <c r="AT246" s="1"/>
    </row>
    <row r="247" spans="1:4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 t="str">
        <f t="shared" si="39"/>
        <v>THE PLAZAUA 806</v>
      </c>
      <c r="AO247" s="3" t="s">
        <v>26</v>
      </c>
      <c r="AP247" s="19">
        <v>45923</v>
      </c>
      <c r="AQ247" s="5" t="s">
        <v>255</v>
      </c>
      <c r="AR247" s="5" t="s">
        <v>54</v>
      </c>
      <c r="AS247" s="6">
        <v>0.26041666666666669</v>
      </c>
      <c r="AT247" s="1"/>
    </row>
    <row r="248" spans="1:4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 t="str">
        <f t="shared" si="39"/>
        <v>THE PLAZABR 169</v>
      </c>
      <c r="AO248" s="3" t="s">
        <v>26</v>
      </c>
      <c r="AP248" s="19">
        <v>45923</v>
      </c>
      <c r="AQ248" s="5" t="s">
        <v>255</v>
      </c>
      <c r="AR248" s="5" t="s">
        <v>55</v>
      </c>
      <c r="AS248" s="6">
        <v>0.30902777777777779</v>
      </c>
      <c r="AT248" s="1"/>
    </row>
    <row r="249" spans="1:4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 t="str">
        <f t="shared" si="39"/>
        <v>THE PLAZAOZ 521</v>
      </c>
      <c r="AO249" s="3" t="s">
        <v>26</v>
      </c>
      <c r="AP249" s="19">
        <v>45923</v>
      </c>
      <c r="AQ249" s="5" t="s">
        <v>255</v>
      </c>
      <c r="AR249" s="5" t="s">
        <v>237</v>
      </c>
      <c r="AS249" s="6">
        <v>0.30208333333333331</v>
      </c>
      <c r="AT249" s="1"/>
    </row>
    <row r="250" spans="1:4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 t="str">
        <f t="shared" si="39"/>
        <v>THE PLAZACI 161</v>
      </c>
      <c r="AO250" s="3" t="s">
        <v>26</v>
      </c>
      <c r="AP250" s="19">
        <v>45923</v>
      </c>
      <c r="AQ250" s="5" t="s">
        <v>255</v>
      </c>
      <c r="AR250" s="5" t="s">
        <v>238</v>
      </c>
      <c r="AS250" s="6">
        <v>0.30208333333333331</v>
      </c>
      <c r="AT250" s="1"/>
    </row>
    <row r="251" spans="1:4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 t="str">
        <f t="shared" si="39"/>
        <v>THE PLAZACZ 314</v>
      </c>
      <c r="AO251" s="3" t="s">
        <v>26</v>
      </c>
      <c r="AP251" s="19">
        <v>45923</v>
      </c>
      <c r="AQ251" s="5" t="s">
        <v>255</v>
      </c>
      <c r="AR251" s="5" t="s">
        <v>126</v>
      </c>
      <c r="AS251" s="6">
        <v>0.30208333333333331</v>
      </c>
      <c r="AT251" s="1"/>
    </row>
    <row r="252" spans="1:46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 t="str">
        <f t="shared" si="39"/>
        <v>THE PLAZAUO 619</v>
      </c>
      <c r="AO252" s="3" t="s">
        <v>26</v>
      </c>
      <c r="AP252" s="19">
        <v>45923</v>
      </c>
      <c r="AQ252" s="5" t="s">
        <v>255</v>
      </c>
      <c r="AR252" s="5" t="s">
        <v>239</v>
      </c>
      <c r="AS252" s="6">
        <v>0.30208333333333331</v>
      </c>
      <c r="AT252" s="1"/>
    </row>
    <row r="253" spans="1:46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 t="str">
        <f t="shared" si="39"/>
        <v>THE PLAZAYP 101</v>
      </c>
      <c r="AO253" s="3" t="s">
        <v>26</v>
      </c>
      <c r="AP253" s="19">
        <v>45923</v>
      </c>
      <c r="AQ253" s="5" t="s">
        <v>255</v>
      </c>
      <c r="AR253" s="5" t="s">
        <v>58</v>
      </c>
      <c r="AS253" s="6">
        <v>0.30208333333333331</v>
      </c>
      <c r="AT253" s="1"/>
    </row>
    <row r="254" spans="1:46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 t="str">
        <f t="shared" si="39"/>
        <v>THE PLAZAKE 497</v>
      </c>
      <c r="AO254" s="3" t="s">
        <v>26</v>
      </c>
      <c r="AP254" s="19">
        <v>45923</v>
      </c>
      <c r="AQ254" s="5" t="s">
        <v>255</v>
      </c>
      <c r="AR254" s="5" t="s">
        <v>240</v>
      </c>
      <c r="AS254" s="6">
        <v>0.30208333333333331</v>
      </c>
      <c r="AT254" s="1"/>
    </row>
    <row r="255" spans="1:46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 t="str">
        <f t="shared" si="39"/>
        <v>THE PLAZAKE 175</v>
      </c>
      <c r="AO255" s="3" t="s">
        <v>26</v>
      </c>
      <c r="AP255" s="19">
        <v>45923</v>
      </c>
      <c r="AQ255" s="5" t="s">
        <v>255</v>
      </c>
      <c r="AR255" s="5" t="s">
        <v>241</v>
      </c>
      <c r="AS255" s="6">
        <v>0.34722222222222221</v>
      </c>
      <c r="AT255" s="1"/>
    </row>
    <row r="256" spans="1:4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 t="str">
        <f t="shared" si="39"/>
        <v>THE PLAZACX 439</v>
      </c>
      <c r="AO256" s="3" t="s">
        <v>26</v>
      </c>
      <c r="AP256" s="19">
        <v>45923</v>
      </c>
      <c r="AQ256" s="5" t="s">
        <v>255</v>
      </c>
      <c r="AR256" s="5" t="s">
        <v>59</v>
      </c>
      <c r="AS256" s="6">
        <v>0.34722222222222221</v>
      </c>
      <c r="AT256" s="1"/>
    </row>
    <row r="257" spans="1:46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 t="str">
        <f t="shared" si="39"/>
        <v>THE PLAZAOZ 335</v>
      </c>
      <c r="AO257" s="3" t="s">
        <v>26</v>
      </c>
      <c r="AP257" s="19">
        <v>45923</v>
      </c>
      <c r="AQ257" s="5" t="s">
        <v>255</v>
      </c>
      <c r="AR257" s="5" t="s">
        <v>140</v>
      </c>
      <c r="AS257" s="6">
        <v>0.44097222222222221</v>
      </c>
      <c r="AT257" s="1"/>
    </row>
    <row r="258" spans="1:46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 t="str">
        <f t="shared" si="39"/>
        <v>THE PLAZACX 411</v>
      </c>
      <c r="AO258" s="3" t="s">
        <v>26</v>
      </c>
      <c r="AP258" s="19">
        <v>45923</v>
      </c>
      <c r="AQ258" s="5" t="s">
        <v>255</v>
      </c>
      <c r="AR258" s="5" t="s">
        <v>60</v>
      </c>
      <c r="AS258" s="6">
        <v>0.44097222222222221</v>
      </c>
      <c r="AT258" s="1"/>
    </row>
    <row r="259" spans="1:46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 t="str">
        <f t="shared" si="39"/>
        <v>THE PLAZACZ 338</v>
      </c>
      <c r="AO259" s="3" t="s">
        <v>26</v>
      </c>
      <c r="AP259" s="19">
        <v>45923</v>
      </c>
      <c r="AQ259" s="5" t="s">
        <v>255</v>
      </c>
      <c r="AR259" s="5" t="s">
        <v>242</v>
      </c>
      <c r="AS259" s="6">
        <v>0.44097222222222221</v>
      </c>
      <c r="AT259" s="1"/>
    </row>
    <row r="260" spans="1:46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 t="str">
        <f t="shared" si="39"/>
        <v>THE PLAZAKE 23</v>
      </c>
      <c r="AO260" s="3" t="s">
        <v>26</v>
      </c>
      <c r="AP260" s="19">
        <v>45923</v>
      </c>
      <c r="AQ260" s="5" t="s">
        <v>255</v>
      </c>
      <c r="AR260" s="5" t="s">
        <v>61</v>
      </c>
      <c r="AS260" s="6">
        <v>0.4548611111111111</v>
      </c>
      <c r="AT260" s="1"/>
    </row>
    <row r="261" spans="1:46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 t="str">
        <f t="shared" si="39"/>
        <v>THE PLAZAOZ 751</v>
      </c>
      <c r="AO261" s="3" t="s">
        <v>26</v>
      </c>
      <c r="AP261" s="19">
        <v>45923</v>
      </c>
      <c r="AQ261" s="5" t="s">
        <v>255</v>
      </c>
      <c r="AR261" s="5" t="s">
        <v>145</v>
      </c>
      <c r="AS261" s="6">
        <v>0.4548611111111111</v>
      </c>
      <c r="AT261" s="1"/>
    </row>
    <row r="262" spans="1:46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 t="str">
        <f t="shared" si="39"/>
        <v>THE PLAZAKE 671</v>
      </c>
      <c r="AO262" s="3" t="s">
        <v>26</v>
      </c>
      <c r="AP262" s="19">
        <v>45923</v>
      </c>
      <c r="AQ262" s="5" t="s">
        <v>255</v>
      </c>
      <c r="AR262" s="5" t="s">
        <v>146</v>
      </c>
      <c r="AS262" s="6">
        <v>0.4548611111111111</v>
      </c>
      <c r="AT262" s="1"/>
    </row>
    <row r="263" spans="1:46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 t="str">
        <f t="shared" si="39"/>
        <v>THE PLAZADL 188</v>
      </c>
      <c r="AO263" s="3" t="s">
        <v>26</v>
      </c>
      <c r="AP263" s="19">
        <v>45923</v>
      </c>
      <c r="AQ263" s="5" t="s">
        <v>255</v>
      </c>
      <c r="AR263" s="5" t="s">
        <v>62</v>
      </c>
      <c r="AS263" s="6">
        <v>0.4548611111111111</v>
      </c>
      <c r="AT263" s="1"/>
    </row>
    <row r="264" spans="1:46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 t="str">
        <f t="shared" si="39"/>
        <v>THE PLAZAMU 5012</v>
      </c>
      <c r="AO264" s="3" t="s">
        <v>26</v>
      </c>
      <c r="AP264" s="19">
        <v>45923</v>
      </c>
      <c r="AQ264" s="5" t="s">
        <v>255</v>
      </c>
      <c r="AR264" s="5" t="s">
        <v>243</v>
      </c>
      <c r="AS264" s="6">
        <v>0.47916666666666669</v>
      </c>
      <c r="AT264" s="1"/>
    </row>
    <row r="265" spans="1:46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 t="str">
        <f t="shared" ref="AN265:AN328" si="50">AQ265&amp;AR265</f>
        <v>THE PLAZAKE 41</v>
      </c>
      <c r="AO265" s="3" t="s">
        <v>26</v>
      </c>
      <c r="AP265" s="19">
        <v>45923</v>
      </c>
      <c r="AQ265" s="5" t="s">
        <v>255</v>
      </c>
      <c r="AR265" s="5" t="s">
        <v>63</v>
      </c>
      <c r="AS265" s="6">
        <v>0.47916666666666669</v>
      </c>
      <c r="AT265" s="1"/>
    </row>
    <row r="266" spans="1:4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 t="str">
        <f t="shared" si="50"/>
        <v>THE PLAZACZ 3062</v>
      </c>
      <c r="AO266" s="3" t="s">
        <v>26</v>
      </c>
      <c r="AP266" s="19">
        <v>45923</v>
      </c>
      <c r="AQ266" s="5" t="s">
        <v>255</v>
      </c>
      <c r="AR266" s="5" t="s">
        <v>147</v>
      </c>
      <c r="AS266" s="6">
        <v>0.47916666666666669</v>
      </c>
      <c r="AT266" s="1"/>
    </row>
    <row r="267" spans="1:46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 t="str">
        <f t="shared" si="50"/>
        <v>THE PLAZAUA 892</v>
      </c>
      <c r="AO267" s="3" t="s">
        <v>26</v>
      </c>
      <c r="AP267" s="19">
        <v>45923</v>
      </c>
      <c r="AQ267" s="5" t="s">
        <v>255</v>
      </c>
      <c r="AR267" s="5" t="s">
        <v>64</v>
      </c>
      <c r="AS267" s="6">
        <v>0.47916666666666669</v>
      </c>
      <c r="AT267" s="1"/>
    </row>
    <row r="268" spans="1:46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 t="str">
        <f t="shared" si="50"/>
        <v>THE PLAZAAA 280</v>
      </c>
      <c r="AO268" s="3" t="s">
        <v>26</v>
      </c>
      <c r="AP268" s="19">
        <v>45923</v>
      </c>
      <c r="AQ268" s="5" t="s">
        <v>255</v>
      </c>
      <c r="AR268" s="5" t="s">
        <v>65</v>
      </c>
      <c r="AS268" s="6">
        <v>0.52777777777777779</v>
      </c>
      <c r="AT268" s="1"/>
    </row>
    <row r="269" spans="1:46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 t="str">
        <f t="shared" si="50"/>
        <v>THE PLAZATG 653</v>
      </c>
      <c r="AO269" s="3" t="s">
        <v>26</v>
      </c>
      <c r="AP269" s="19">
        <v>45923</v>
      </c>
      <c r="AQ269" s="5" t="s">
        <v>255</v>
      </c>
      <c r="AR269" s="5" t="s">
        <v>151</v>
      </c>
      <c r="AS269" s="6">
        <v>0.52777777777777779</v>
      </c>
      <c r="AT269" s="1"/>
    </row>
    <row r="270" spans="1:46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 t="str">
        <f t="shared" si="50"/>
        <v>THE PLAZAAC 64</v>
      </c>
      <c r="AO270" s="3" t="s">
        <v>26</v>
      </c>
      <c r="AP270" s="19">
        <v>45923</v>
      </c>
      <c r="AQ270" s="5" t="s">
        <v>255</v>
      </c>
      <c r="AR270" s="5" t="s">
        <v>66</v>
      </c>
      <c r="AS270" s="6">
        <v>0.52777777777777779</v>
      </c>
      <c r="AT270" s="1"/>
    </row>
    <row r="271" spans="1:46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 t="str">
        <f t="shared" si="50"/>
        <v>THE PLAZAVN 403</v>
      </c>
      <c r="AO271" s="3" t="s">
        <v>26</v>
      </c>
      <c r="AP271" s="19">
        <v>45923</v>
      </c>
      <c r="AQ271" s="5" t="s">
        <v>255</v>
      </c>
      <c r="AR271" s="5" t="s">
        <v>152</v>
      </c>
      <c r="AS271" s="6">
        <v>0.52777777777777779</v>
      </c>
      <c r="AT271" s="1"/>
    </row>
    <row r="272" spans="1:46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 t="str">
        <f t="shared" si="50"/>
        <v>THE PLAZA7C 2515</v>
      </c>
      <c r="AO272" s="3" t="s">
        <v>26</v>
      </c>
      <c r="AP272" s="19">
        <v>45923</v>
      </c>
      <c r="AQ272" s="5" t="s">
        <v>255</v>
      </c>
      <c r="AR272" s="5" t="s">
        <v>248</v>
      </c>
      <c r="AS272" s="6">
        <v>0.54166666666666663</v>
      </c>
      <c r="AT272" s="1"/>
    </row>
    <row r="273" spans="1:46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 t="str">
        <f t="shared" si="50"/>
        <v>THE PLAZAKE 651</v>
      </c>
      <c r="AO273" s="3" t="s">
        <v>26</v>
      </c>
      <c r="AP273" s="19">
        <v>45923</v>
      </c>
      <c r="AQ273" s="5" t="s">
        <v>255</v>
      </c>
      <c r="AR273" s="5" t="s">
        <v>67</v>
      </c>
      <c r="AS273" s="6">
        <v>0.54166666666666663</v>
      </c>
      <c r="AT273" s="1"/>
    </row>
    <row r="274" spans="1:46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 t="str">
        <f t="shared" si="50"/>
        <v>THE PLAZAOZ 272</v>
      </c>
      <c r="AO274" s="3" t="s">
        <v>26</v>
      </c>
      <c r="AP274" s="19">
        <v>45923</v>
      </c>
      <c r="AQ274" s="5" t="s">
        <v>255</v>
      </c>
      <c r="AR274" s="5" t="s">
        <v>68</v>
      </c>
      <c r="AS274" s="6">
        <v>0.54166666666666663</v>
      </c>
      <c r="AT274" s="1"/>
    </row>
    <row r="275" spans="1:46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 t="str">
        <f t="shared" si="50"/>
        <v>THE PLAZADL 196</v>
      </c>
      <c r="AO275" s="3" t="s">
        <v>26</v>
      </c>
      <c r="AP275" s="19">
        <v>45923</v>
      </c>
      <c r="AQ275" s="5" t="s">
        <v>255</v>
      </c>
      <c r="AR275" s="5" t="s">
        <v>166</v>
      </c>
      <c r="AS275" s="6">
        <v>0.59375</v>
      </c>
      <c r="AT275" s="1"/>
    </row>
    <row r="276" spans="1:4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 t="str">
        <f t="shared" si="50"/>
        <v>THE PLAZAOZ 735</v>
      </c>
      <c r="AO276" s="3" t="s">
        <v>26</v>
      </c>
      <c r="AP276" s="19">
        <v>45923</v>
      </c>
      <c r="AQ276" s="5" t="s">
        <v>255</v>
      </c>
      <c r="AR276" s="5" t="s">
        <v>251</v>
      </c>
      <c r="AS276" s="6">
        <v>0.59375</v>
      </c>
      <c r="AT276" s="1"/>
    </row>
    <row r="277" spans="1:46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 t="str">
        <f t="shared" si="50"/>
        <v>THE PLAZADL 7843</v>
      </c>
      <c r="AO277" s="3" t="s">
        <v>26</v>
      </c>
      <c r="AP277" s="19">
        <v>45923</v>
      </c>
      <c r="AQ277" s="5" t="s">
        <v>255</v>
      </c>
      <c r="AR277" s="5" t="s">
        <v>252</v>
      </c>
      <c r="AS277" s="6">
        <v>0.59375</v>
      </c>
      <c r="AT277" s="1"/>
    </row>
    <row r="278" spans="1:46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 t="str">
        <f t="shared" si="50"/>
        <v>THE PLAZAKE 85</v>
      </c>
      <c r="AO278" s="3" t="s">
        <v>26</v>
      </c>
      <c r="AP278" s="19">
        <v>45923</v>
      </c>
      <c r="AQ278" s="5" t="s">
        <v>255</v>
      </c>
      <c r="AR278" s="5" t="s">
        <v>172</v>
      </c>
      <c r="AS278" s="6">
        <v>0.59375</v>
      </c>
      <c r="AT278" s="1"/>
    </row>
    <row r="279" spans="1:46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 t="str">
        <f t="shared" si="50"/>
        <v>THE PLAZABR 159</v>
      </c>
      <c r="AO279" s="3" t="s">
        <v>26</v>
      </c>
      <c r="AP279" s="19">
        <v>45923</v>
      </c>
      <c r="AQ279" s="5" t="s">
        <v>255</v>
      </c>
      <c r="AR279" s="5" t="s">
        <v>253</v>
      </c>
      <c r="AS279" s="6">
        <v>0.59375</v>
      </c>
      <c r="AT279" s="1"/>
    </row>
    <row r="280" spans="1:46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 t="str">
        <f t="shared" si="50"/>
        <v>THE PLAZAKE 177</v>
      </c>
      <c r="AO280" s="3" t="s">
        <v>26</v>
      </c>
      <c r="AP280" s="19">
        <v>45923</v>
      </c>
      <c r="AQ280" s="5" t="s">
        <v>255</v>
      </c>
      <c r="AR280" s="5" t="s">
        <v>254</v>
      </c>
      <c r="AS280" s="6">
        <v>0.59375</v>
      </c>
      <c r="AT280" s="1"/>
    </row>
    <row r="281" spans="1:46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 t="str">
        <f t="shared" si="50"/>
        <v>THE PLAZACX 419</v>
      </c>
      <c r="AO281" s="3" t="s">
        <v>26</v>
      </c>
      <c r="AP281" s="19">
        <v>45923</v>
      </c>
      <c r="AQ281" s="5" t="s">
        <v>255</v>
      </c>
      <c r="AR281" s="5" t="s">
        <v>74</v>
      </c>
      <c r="AS281" s="6">
        <v>0.625</v>
      </c>
      <c r="AT281" s="1"/>
    </row>
    <row r="282" spans="1:46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 t="str">
        <f t="shared" si="50"/>
        <v>THE PLAZAKE 615</v>
      </c>
      <c r="AO282" s="3" t="s">
        <v>26</v>
      </c>
      <c r="AP282" s="19">
        <v>45923</v>
      </c>
      <c r="AQ282" s="5" t="s">
        <v>255</v>
      </c>
      <c r="AR282" s="5" t="s">
        <v>168</v>
      </c>
      <c r="AS282" s="6">
        <v>0.625</v>
      </c>
      <c r="AT282" s="1"/>
    </row>
    <row r="283" spans="1:46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 t="str">
        <f t="shared" si="50"/>
        <v>THE PLAZAKE 11</v>
      </c>
      <c r="AO283" s="3" t="s">
        <v>26</v>
      </c>
      <c r="AP283" s="19">
        <v>45923</v>
      </c>
      <c r="AQ283" s="5" t="s">
        <v>255</v>
      </c>
      <c r="AR283" s="5" t="s">
        <v>170</v>
      </c>
      <c r="AS283" s="6">
        <v>0.625</v>
      </c>
      <c r="AT283" s="1"/>
    </row>
    <row r="284" spans="1:46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 t="str">
        <f t="shared" si="50"/>
        <v>THE PLAZAKE 719</v>
      </c>
      <c r="AO284" s="3" t="s">
        <v>26</v>
      </c>
      <c r="AP284" s="19">
        <v>45923</v>
      </c>
      <c r="AQ284" s="5" t="s">
        <v>255</v>
      </c>
      <c r="AR284" s="5" t="s">
        <v>260</v>
      </c>
      <c r="AS284" s="6">
        <v>0.625</v>
      </c>
      <c r="AT284" s="1"/>
    </row>
    <row r="285" spans="1:46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 t="str">
        <f t="shared" si="50"/>
        <v>THE PLAZAPR 469</v>
      </c>
      <c r="AO285" s="3" t="s">
        <v>26</v>
      </c>
      <c r="AP285" s="19">
        <v>45923</v>
      </c>
      <c r="AQ285" s="5" t="s">
        <v>255</v>
      </c>
      <c r="AR285" s="5" t="s">
        <v>171</v>
      </c>
      <c r="AS285" s="6">
        <v>0.625</v>
      </c>
      <c r="AT285" s="1"/>
    </row>
    <row r="286" spans="1:4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 t="str">
        <f t="shared" si="50"/>
        <v>THE PLAZACI 163</v>
      </c>
      <c r="AO286" s="3" t="s">
        <v>26</v>
      </c>
      <c r="AP286" s="19">
        <v>45923</v>
      </c>
      <c r="AQ286" s="5" t="s">
        <v>255</v>
      </c>
      <c r="AR286" s="5" t="s">
        <v>257</v>
      </c>
      <c r="AS286" s="6">
        <v>0.625</v>
      </c>
      <c r="AT286" s="1"/>
    </row>
    <row r="287" spans="1:46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 t="str">
        <f t="shared" si="50"/>
        <v>THE PLAZAMF 878</v>
      </c>
      <c r="AO287" s="3" t="s">
        <v>26</v>
      </c>
      <c r="AP287" s="19">
        <v>45923</v>
      </c>
      <c r="AQ287" s="5" t="s">
        <v>255</v>
      </c>
      <c r="AR287" s="5" t="s">
        <v>258</v>
      </c>
      <c r="AS287" s="6">
        <v>0.625</v>
      </c>
      <c r="AT287" s="1"/>
    </row>
    <row r="288" spans="1:46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 t="str">
        <f t="shared" si="50"/>
        <v>THE PLAZAOZ 204</v>
      </c>
      <c r="AO288" s="3" t="s">
        <v>26</v>
      </c>
      <c r="AP288" s="19">
        <v>45923</v>
      </c>
      <c r="AQ288" s="5" t="s">
        <v>255</v>
      </c>
      <c r="AR288" s="5" t="s">
        <v>76</v>
      </c>
      <c r="AS288" s="6">
        <v>0.625</v>
      </c>
      <c r="AT288" s="1"/>
    </row>
    <row r="289" spans="1:46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 t="str">
        <f t="shared" si="50"/>
        <v>THE PLAZAWS 87</v>
      </c>
      <c r="AO289" s="3" t="s">
        <v>26</v>
      </c>
      <c r="AP289" s="19">
        <v>45923</v>
      </c>
      <c r="AQ289" s="5" t="s">
        <v>255</v>
      </c>
      <c r="AR289" s="5" t="s">
        <v>77</v>
      </c>
      <c r="AS289" s="6">
        <v>0.625</v>
      </c>
      <c r="AT289" s="1"/>
    </row>
    <row r="290" spans="1:46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 t="str">
        <f t="shared" si="50"/>
        <v>THE PLAZAOZ 212</v>
      </c>
      <c r="AO290" s="3" t="s">
        <v>26</v>
      </c>
      <c r="AP290" s="19">
        <v>45923</v>
      </c>
      <c r="AQ290" s="5" t="s">
        <v>255</v>
      </c>
      <c r="AR290" s="5" t="s">
        <v>174</v>
      </c>
      <c r="AS290" s="6">
        <v>0.625</v>
      </c>
      <c r="AT290" s="1"/>
    </row>
    <row r="291" spans="1:46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 t="str">
        <f t="shared" si="50"/>
        <v>THE PLAZAKE 5</v>
      </c>
      <c r="AO291" s="3" t="s">
        <v>26</v>
      </c>
      <c r="AP291" s="19">
        <v>45923</v>
      </c>
      <c r="AQ291" s="5" t="s">
        <v>255</v>
      </c>
      <c r="AR291" s="5" t="s">
        <v>264</v>
      </c>
      <c r="AS291" s="6">
        <v>0.625</v>
      </c>
      <c r="AT291" s="1"/>
    </row>
    <row r="292" spans="1:46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 t="str">
        <f t="shared" si="50"/>
        <v>THE PLAZAKE 53</v>
      </c>
      <c r="AO292" s="3" t="s">
        <v>26</v>
      </c>
      <c r="AP292" s="19">
        <v>45923</v>
      </c>
      <c r="AQ292" s="5" t="s">
        <v>255</v>
      </c>
      <c r="AR292" s="5" t="s">
        <v>265</v>
      </c>
      <c r="AS292" s="6">
        <v>0.625</v>
      </c>
      <c r="AT292" s="1"/>
    </row>
    <row r="293" spans="1:46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 t="str">
        <f t="shared" si="50"/>
        <v>THE PLAZAOZ 224</v>
      </c>
      <c r="AO293" s="3" t="s">
        <v>26</v>
      </c>
      <c r="AP293" s="19">
        <v>45923</v>
      </c>
      <c r="AQ293" s="5" t="s">
        <v>255</v>
      </c>
      <c r="AR293" s="5" t="s">
        <v>266</v>
      </c>
      <c r="AS293" s="6">
        <v>0.625</v>
      </c>
      <c r="AT293" s="1"/>
    </row>
    <row r="294" spans="1:46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 t="str">
        <f t="shared" si="50"/>
        <v>THE PLAZATW 531</v>
      </c>
      <c r="AO294" s="3" t="s">
        <v>26</v>
      </c>
      <c r="AP294" s="19">
        <v>45923</v>
      </c>
      <c r="AQ294" s="5" t="s">
        <v>255</v>
      </c>
      <c r="AR294" s="5" t="s">
        <v>267</v>
      </c>
      <c r="AS294" s="6">
        <v>0.625</v>
      </c>
      <c r="AT294" s="1"/>
    </row>
    <row r="295" spans="1:46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 t="str">
        <f t="shared" si="50"/>
        <v>THE PLAZAOZ 178</v>
      </c>
      <c r="AO295" s="3" t="s">
        <v>26</v>
      </c>
      <c r="AP295" s="19">
        <v>45923</v>
      </c>
      <c r="AQ295" s="5" t="s">
        <v>255</v>
      </c>
      <c r="AR295" s="5" t="s">
        <v>268</v>
      </c>
      <c r="AS295" s="6">
        <v>0.625</v>
      </c>
      <c r="AT295" s="1"/>
    </row>
    <row r="296" spans="1:4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 t="str">
        <f t="shared" si="50"/>
        <v>THE PLAZAKL 856</v>
      </c>
      <c r="AO296" s="3" t="s">
        <v>26</v>
      </c>
      <c r="AP296" s="19">
        <v>45923</v>
      </c>
      <c r="AQ296" s="5" t="s">
        <v>255</v>
      </c>
      <c r="AR296" s="5" t="s">
        <v>270</v>
      </c>
      <c r="AS296" s="6">
        <v>0.70138888888888884</v>
      </c>
      <c r="AT296" s="1"/>
    </row>
    <row r="297" spans="1:46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 t="str">
        <f t="shared" si="50"/>
        <v>THE PLAZAUO 627</v>
      </c>
      <c r="AO297" s="3" t="s">
        <v>26</v>
      </c>
      <c r="AP297" s="19">
        <v>45923</v>
      </c>
      <c r="AQ297" s="5" t="s">
        <v>255</v>
      </c>
      <c r="AR297" s="5" t="s">
        <v>271</v>
      </c>
      <c r="AS297" s="6">
        <v>0.70138888888888884</v>
      </c>
      <c r="AT297" s="1"/>
    </row>
    <row r="298" spans="1:46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 t="str">
        <f t="shared" si="50"/>
        <v>THE PLAZATR 897</v>
      </c>
      <c r="AO298" s="3" t="s">
        <v>26</v>
      </c>
      <c r="AP298" s="19">
        <v>45923</v>
      </c>
      <c r="AQ298" s="5" t="s">
        <v>255</v>
      </c>
      <c r="AR298" s="5" t="s">
        <v>272</v>
      </c>
      <c r="AS298" s="6">
        <v>0.70138888888888884</v>
      </c>
      <c r="AT298" s="1"/>
    </row>
    <row r="299" spans="1:46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 t="str">
        <f t="shared" si="50"/>
        <v>THE PLAZAHA 460 on 24 Sep</v>
      </c>
      <c r="AO299" s="3" t="s">
        <v>26</v>
      </c>
      <c r="AP299" s="19">
        <v>45923</v>
      </c>
      <c r="AQ299" s="5" t="s">
        <v>255</v>
      </c>
      <c r="AR299" s="5" t="s">
        <v>273</v>
      </c>
      <c r="AS299" s="6">
        <v>0.70138888888888884</v>
      </c>
      <c r="AT299" s="1"/>
    </row>
    <row r="300" spans="1:46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 t="str">
        <f t="shared" si="50"/>
        <v>LOTTEIT 603</v>
      </c>
      <c r="AO300" s="3" t="s">
        <v>26</v>
      </c>
      <c r="AP300" s="19">
        <v>45923</v>
      </c>
      <c r="AQ300" s="5" t="s">
        <v>259</v>
      </c>
      <c r="AR300" s="5" t="s">
        <v>213</v>
      </c>
      <c r="AS300" s="272" t="s">
        <v>274</v>
      </c>
      <c r="AT300" s="1"/>
    </row>
    <row r="301" spans="1:46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 t="str">
        <f t="shared" si="50"/>
        <v>LOTTEMU 2004</v>
      </c>
      <c r="AO301" s="3" t="s">
        <v>26</v>
      </c>
      <c r="AP301" s="19">
        <v>45923</v>
      </c>
      <c r="AQ301" s="5" t="s">
        <v>259</v>
      </c>
      <c r="AR301" s="5" t="s">
        <v>215</v>
      </c>
      <c r="AS301" s="6">
        <v>9.375E-2</v>
      </c>
      <c r="AT301" s="1"/>
    </row>
    <row r="302" spans="1:46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 t="str">
        <f t="shared" si="50"/>
        <v>LOTTEBX 164</v>
      </c>
      <c r="AO302" s="3" t="s">
        <v>26</v>
      </c>
      <c r="AP302" s="19">
        <v>45923</v>
      </c>
      <c r="AQ302" s="5" t="s">
        <v>259</v>
      </c>
      <c r="AR302" s="5" t="s">
        <v>217</v>
      </c>
      <c r="AS302" s="6">
        <v>9.375E-2</v>
      </c>
      <c r="AT302" s="1"/>
    </row>
    <row r="303" spans="1:46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 t="str">
        <f t="shared" si="50"/>
        <v>LOTTE7C 1501</v>
      </c>
      <c r="AO303" s="3" t="s">
        <v>26</v>
      </c>
      <c r="AP303" s="19">
        <v>45923</v>
      </c>
      <c r="AQ303" s="5" t="s">
        <v>259</v>
      </c>
      <c r="AR303" s="5" t="s">
        <v>218</v>
      </c>
      <c r="AS303" s="6">
        <v>9.375E-2</v>
      </c>
      <c r="AT303" s="1"/>
    </row>
    <row r="304" spans="1:46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 t="str">
        <f t="shared" si="50"/>
        <v>LOTTEKE 621</v>
      </c>
      <c r="AO304" s="3" t="s">
        <v>26</v>
      </c>
      <c r="AP304" s="19">
        <v>45923</v>
      </c>
      <c r="AQ304" s="5" t="s">
        <v>259</v>
      </c>
      <c r="AR304" s="5" t="s">
        <v>31</v>
      </c>
      <c r="AS304" s="6">
        <v>0.13541666666666666</v>
      </c>
      <c r="AT304" s="1"/>
    </row>
    <row r="305" spans="1:46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 t="str">
        <f t="shared" si="50"/>
        <v>LOTTEOZ 701</v>
      </c>
      <c r="AO305" s="3" t="s">
        <v>26</v>
      </c>
      <c r="AP305" s="19">
        <v>45923</v>
      </c>
      <c r="AQ305" s="5" t="s">
        <v>259</v>
      </c>
      <c r="AR305" s="5" t="s">
        <v>33</v>
      </c>
      <c r="AS305" s="6">
        <v>0.13541666666666666</v>
      </c>
      <c r="AT305" s="1"/>
    </row>
    <row r="306" spans="1:4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 t="str">
        <f t="shared" si="50"/>
        <v>LOTTEOZ 112</v>
      </c>
      <c r="AO306" s="3" t="s">
        <v>26</v>
      </c>
      <c r="AP306" s="19">
        <v>45923</v>
      </c>
      <c r="AQ306" s="5" t="s">
        <v>259</v>
      </c>
      <c r="AR306" s="5" t="s">
        <v>39</v>
      </c>
      <c r="AS306" s="6">
        <v>0.13541666666666666</v>
      </c>
      <c r="AT306" s="1"/>
    </row>
    <row r="307" spans="1:46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 t="str">
        <f t="shared" si="50"/>
        <v>LOTTERS 705</v>
      </c>
      <c r="AO307" s="3" t="s">
        <v>26</v>
      </c>
      <c r="AP307" s="19">
        <v>45923</v>
      </c>
      <c r="AQ307" s="5" t="s">
        <v>259</v>
      </c>
      <c r="AR307" s="5" t="s">
        <v>225</v>
      </c>
      <c r="AS307" s="6">
        <v>0.13541666666666666</v>
      </c>
      <c r="AT307" s="1"/>
    </row>
    <row r="308" spans="1:46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 t="str">
        <f t="shared" si="50"/>
        <v>LOTTE5J 185</v>
      </c>
      <c r="AO308" s="3" t="s">
        <v>26</v>
      </c>
      <c r="AP308" s="19">
        <v>45923</v>
      </c>
      <c r="AQ308" s="5" t="s">
        <v>259</v>
      </c>
      <c r="AR308" s="5" t="s">
        <v>93</v>
      </c>
      <c r="AS308" s="6">
        <v>0.15625</v>
      </c>
      <c r="AT308" s="1"/>
    </row>
    <row r="309" spans="1:46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 t="str">
        <f t="shared" si="50"/>
        <v>LOTTEKE 127</v>
      </c>
      <c r="AO309" s="3" t="s">
        <v>26</v>
      </c>
      <c r="AP309" s="19">
        <v>45923</v>
      </c>
      <c r="AQ309" s="5" t="s">
        <v>259</v>
      </c>
      <c r="AR309" s="5" t="s">
        <v>226</v>
      </c>
      <c r="AS309" s="6">
        <v>0.15625</v>
      </c>
      <c r="AT309" s="1"/>
    </row>
    <row r="310" spans="1:46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 t="str">
        <f t="shared" si="50"/>
        <v>LOTTETW 241</v>
      </c>
      <c r="AO310" s="3" t="s">
        <v>26</v>
      </c>
      <c r="AP310" s="19">
        <v>45923</v>
      </c>
      <c r="AQ310" s="5" t="s">
        <v>259</v>
      </c>
      <c r="AR310" s="5" t="s">
        <v>109</v>
      </c>
      <c r="AS310" s="6">
        <v>0.15625</v>
      </c>
      <c r="AT310" s="1"/>
    </row>
    <row r="311" spans="1:46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 t="str">
        <f t="shared" si="50"/>
        <v>LOTTEKE 865</v>
      </c>
      <c r="AO311" s="3" t="s">
        <v>26</v>
      </c>
      <c r="AP311" s="19">
        <v>45923</v>
      </c>
      <c r="AQ311" s="5" t="s">
        <v>259</v>
      </c>
      <c r="AR311" s="5" t="s">
        <v>227</v>
      </c>
      <c r="AS311" s="6">
        <v>0.15625</v>
      </c>
      <c r="AT311" s="1"/>
    </row>
    <row r="312" spans="1:46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 t="str">
        <f t="shared" si="50"/>
        <v>LOTTEOZ 102</v>
      </c>
      <c r="AO312" s="3" t="s">
        <v>26</v>
      </c>
      <c r="AP312" s="19">
        <v>45923</v>
      </c>
      <c r="AQ312" s="5" t="s">
        <v>259</v>
      </c>
      <c r="AR312" s="5" t="s">
        <v>111</v>
      </c>
      <c r="AS312" s="6">
        <v>0.19791666666666666</v>
      </c>
      <c r="AT312" s="1"/>
    </row>
    <row r="313" spans="1:46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 t="str">
        <f t="shared" si="50"/>
        <v>LOTTEOZ 222</v>
      </c>
      <c r="AO313" s="3" t="s">
        <v>26</v>
      </c>
      <c r="AP313" s="19">
        <v>45923</v>
      </c>
      <c r="AQ313" s="5" t="s">
        <v>259</v>
      </c>
      <c r="AR313" s="5" t="s">
        <v>228</v>
      </c>
      <c r="AS313" s="6">
        <v>0.19791666666666666</v>
      </c>
      <c r="AT313" s="1"/>
    </row>
    <row r="314" spans="1:46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 t="str">
        <f t="shared" si="50"/>
        <v>LOTTE7C 6101</v>
      </c>
      <c r="AO314" s="3" t="s">
        <v>26</v>
      </c>
      <c r="AP314" s="19">
        <v>45923</v>
      </c>
      <c r="AQ314" s="5" t="s">
        <v>259</v>
      </c>
      <c r="AR314" s="5" t="s">
        <v>229</v>
      </c>
      <c r="AS314" s="6">
        <v>0.19791666666666666</v>
      </c>
      <c r="AT314" s="1"/>
    </row>
    <row r="315" spans="1:46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 t="str">
        <f t="shared" si="50"/>
        <v>LOTTERS 701</v>
      </c>
      <c r="AO315" s="3" t="s">
        <v>26</v>
      </c>
      <c r="AP315" s="19">
        <v>45923</v>
      </c>
      <c r="AQ315" s="5" t="s">
        <v>259</v>
      </c>
      <c r="AR315" s="5" t="s">
        <v>42</v>
      </c>
      <c r="AS315" s="6">
        <v>0.19791666666666666</v>
      </c>
      <c r="AT315" s="1"/>
    </row>
    <row r="316" spans="1:4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 t="str">
        <f t="shared" si="50"/>
        <v>LOTTEDL 7839</v>
      </c>
      <c r="AO316" s="3" t="s">
        <v>26</v>
      </c>
      <c r="AP316" s="19">
        <v>45923</v>
      </c>
      <c r="AQ316" s="5" t="s">
        <v>259</v>
      </c>
      <c r="AR316" s="5" t="s">
        <v>230</v>
      </c>
      <c r="AS316" s="6">
        <v>0.19791666666666666</v>
      </c>
      <c r="AT316" s="1"/>
    </row>
    <row r="317" spans="1:46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 t="str">
        <f t="shared" si="50"/>
        <v>LOTTEKE 31</v>
      </c>
      <c r="AO317" s="3" t="s">
        <v>26</v>
      </c>
      <c r="AP317" s="19">
        <v>45923</v>
      </c>
      <c r="AQ317" s="5" t="s">
        <v>259</v>
      </c>
      <c r="AR317" s="5" t="s">
        <v>44</v>
      </c>
      <c r="AS317" s="6">
        <v>0.19791666666666666</v>
      </c>
      <c r="AT317" s="1"/>
    </row>
    <row r="318" spans="1:46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 t="str">
        <f t="shared" si="50"/>
        <v>LOTTEDL 158</v>
      </c>
      <c r="AO318" s="3" t="s">
        <v>26</v>
      </c>
      <c r="AP318" s="19">
        <v>45923</v>
      </c>
      <c r="AQ318" s="5" t="s">
        <v>259</v>
      </c>
      <c r="AR318" s="5" t="s">
        <v>48</v>
      </c>
      <c r="AS318" s="6">
        <v>0.2361111111111111</v>
      </c>
      <c r="AT318" s="1"/>
    </row>
    <row r="319" spans="1:46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 t="str">
        <f t="shared" si="50"/>
        <v>LOTTEKE 185</v>
      </c>
      <c r="AO319" s="3" t="s">
        <v>26</v>
      </c>
      <c r="AP319" s="19">
        <v>45923</v>
      </c>
      <c r="AQ319" s="5" t="s">
        <v>259</v>
      </c>
      <c r="AR319" s="5" t="s">
        <v>231</v>
      </c>
      <c r="AS319" s="6">
        <v>0.2361111111111111</v>
      </c>
      <c r="AT319" s="1"/>
    </row>
    <row r="320" spans="1:46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 t="str">
        <f t="shared" si="50"/>
        <v>LOTTEVN 409</v>
      </c>
      <c r="AO320" s="3" t="s">
        <v>26</v>
      </c>
      <c r="AP320" s="19">
        <v>45923</v>
      </c>
      <c r="AQ320" s="5" t="s">
        <v>259</v>
      </c>
      <c r="AR320" s="5" t="s">
        <v>50</v>
      </c>
      <c r="AS320" s="6">
        <v>0.2361111111111111</v>
      </c>
      <c r="AT320" s="1"/>
    </row>
    <row r="321" spans="1:46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 t="str">
        <f t="shared" si="50"/>
        <v>LOTTE7C 1373</v>
      </c>
      <c r="AO321" s="3" t="s">
        <v>26</v>
      </c>
      <c r="AP321" s="19">
        <v>45923</v>
      </c>
      <c r="AQ321" s="5" t="s">
        <v>259</v>
      </c>
      <c r="AR321" s="5" t="s">
        <v>232</v>
      </c>
      <c r="AS321" s="6">
        <v>0.2361111111111111</v>
      </c>
      <c r="AT321" s="1"/>
    </row>
    <row r="322" spans="1:46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 t="str">
        <f t="shared" si="50"/>
        <v>LOTTEKE 37</v>
      </c>
      <c r="AO322" s="3" t="s">
        <v>26</v>
      </c>
      <c r="AP322" s="19">
        <v>45923</v>
      </c>
      <c r="AQ322" s="5" t="s">
        <v>259</v>
      </c>
      <c r="AR322" s="5" t="s">
        <v>119</v>
      </c>
      <c r="AS322" s="6">
        <v>0.2361111111111111</v>
      </c>
      <c r="AT322" s="1"/>
    </row>
    <row r="323" spans="1:46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 t="str">
        <f t="shared" si="50"/>
        <v>LOTTE7C 6001</v>
      </c>
      <c r="AO323" s="3" t="s">
        <v>26</v>
      </c>
      <c r="AP323" s="19">
        <v>45923</v>
      </c>
      <c r="AQ323" s="5" t="s">
        <v>259</v>
      </c>
      <c r="AR323" s="5" t="s">
        <v>233</v>
      </c>
      <c r="AS323" s="6">
        <v>0.28125</v>
      </c>
      <c r="AT323" s="1"/>
    </row>
    <row r="324" spans="1:46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 t="str">
        <f t="shared" si="50"/>
        <v>LOTTEVJ 961</v>
      </c>
      <c r="AO324" s="3" t="s">
        <v>26</v>
      </c>
      <c r="AP324" s="19">
        <v>45923</v>
      </c>
      <c r="AQ324" s="5" t="s">
        <v>259</v>
      </c>
      <c r="AR324" s="5" t="s">
        <v>51</v>
      </c>
      <c r="AS324" s="6">
        <v>0.28125</v>
      </c>
      <c r="AT324" s="1"/>
    </row>
    <row r="325" spans="1:46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 t="str">
        <f t="shared" si="50"/>
        <v>LOTTEVN 431</v>
      </c>
      <c r="AO325" s="3" t="s">
        <v>26</v>
      </c>
      <c r="AP325" s="19">
        <v>45923</v>
      </c>
      <c r="AQ325" s="5" t="s">
        <v>259</v>
      </c>
      <c r="AR325" s="5" t="s">
        <v>236</v>
      </c>
      <c r="AS325" s="6">
        <v>0.28125</v>
      </c>
      <c r="AT325" s="1"/>
    </row>
    <row r="326" spans="1:4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 t="str">
        <f t="shared" si="50"/>
        <v>LOTTEKE 897</v>
      </c>
      <c r="AO326" s="3" t="s">
        <v>26</v>
      </c>
      <c r="AP326" s="19">
        <v>45923</v>
      </c>
      <c r="AQ326" s="5" t="s">
        <v>259</v>
      </c>
      <c r="AR326" s="5" t="s">
        <v>121</v>
      </c>
      <c r="AS326" s="6">
        <v>0.28125</v>
      </c>
      <c r="AT326" s="1"/>
    </row>
    <row r="327" spans="1:46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 t="str">
        <f t="shared" si="50"/>
        <v>LOTTEUA 806</v>
      </c>
      <c r="AO327" s="3" t="s">
        <v>26</v>
      </c>
      <c r="AP327" s="19">
        <v>45923</v>
      </c>
      <c r="AQ327" s="5" t="s">
        <v>259</v>
      </c>
      <c r="AR327" s="5" t="s">
        <v>54</v>
      </c>
      <c r="AS327" s="6">
        <v>0.28125</v>
      </c>
      <c r="AT327" s="1"/>
    </row>
    <row r="328" spans="1:46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 t="str">
        <f t="shared" si="50"/>
        <v>LOTTEOZ 521</v>
      </c>
      <c r="AO328" s="3" t="s">
        <v>26</v>
      </c>
      <c r="AP328" s="19">
        <v>45923</v>
      </c>
      <c r="AQ328" s="5" t="s">
        <v>259</v>
      </c>
      <c r="AR328" s="5" t="s">
        <v>237</v>
      </c>
      <c r="AS328" s="6">
        <v>0.32291666666666669</v>
      </c>
      <c r="AT328" s="1"/>
    </row>
    <row r="329" spans="1:46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 t="str">
        <f t="shared" ref="AN329:AN381" si="51">AQ329&amp;AR329</f>
        <v>LOTTECI 161</v>
      </c>
      <c r="AO329" s="3" t="s">
        <v>26</v>
      </c>
      <c r="AP329" s="19">
        <v>45923</v>
      </c>
      <c r="AQ329" s="5" t="s">
        <v>259</v>
      </c>
      <c r="AR329" s="5" t="s">
        <v>238</v>
      </c>
      <c r="AS329" s="6">
        <v>0.32291666666666669</v>
      </c>
      <c r="AT329" s="1"/>
    </row>
    <row r="330" spans="1:46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 t="str">
        <f t="shared" si="51"/>
        <v>LOTTECZ 314</v>
      </c>
      <c r="AO330" s="3" t="s">
        <v>26</v>
      </c>
      <c r="AP330" s="19">
        <v>45923</v>
      </c>
      <c r="AQ330" s="5" t="s">
        <v>259</v>
      </c>
      <c r="AR330" s="5" t="s">
        <v>126</v>
      </c>
      <c r="AS330" s="6">
        <v>0.32291666666666669</v>
      </c>
      <c r="AT330" s="1"/>
    </row>
    <row r="331" spans="1:46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 t="str">
        <f t="shared" si="51"/>
        <v>LOTTEUO 619</v>
      </c>
      <c r="AO331" s="3" t="s">
        <v>26</v>
      </c>
      <c r="AP331" s="19">
        <v>45923</v>
      </c>
      <c r="AQ331" s="5" t="s">
        <v>259</v>
      </c>
      <c r="AR331" s="5" t="s">
        <v>239</v>
      </c>
      <c r="AS331" s="6">
        <v>0.32291666666666669</v>
      </c>
      <c r="AT331" s="1"/>
    </row>
    <row r="332" spans="1:46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 t="str">
        <f t="shared" si="51"/>
        <v>LOTTEYP 101</v>
      </c>
      <c r="AO332" s="3" t="s">
        <v>26</v>
      </c>
      <c r="AP332" s="19">
        <v>45923</v>
      </c>
      <c r="AQ332" s="5" t="s">
        <v>259</v>
      </c>
      <c r="AR332" s="5" t="s">
        <v>58</v>
      </c>
      <c r="AS332" s="6">
        <v>0.32291666666666669</v>
      </c>
      <c r="AT332" s="1"/>
    </row>
    <row r="333" spans="1:46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 t="str">
        <f t="shared" si="51"/>
        <v>LOTTEKE 497</v>
      </c>
      <c r="AO333" s="3" t="s">
        <v>26</v>
      </c>
      <c r="AP333" s="19">
        <v>45923</v>
      </c>
      <c r="AQ333" s="5" t="s">
        <v>259</v>
      </c>
      <c r="AR333" s="5" t="s">
        <v>240</v>
      </c>
      <c r="AS333" s="6">
        <v>0.32291666666666669</v>
      </c>
      <c r="AT333" s="1"/>
    </row>
    <row r="334" spans="1:46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 t="str">
        <f t="shared" si="51"/>
        <v>LOTTEKE 175</v>
      </c>
      <c r="AO334" s="3" t="s">
        <v>26</v>
      </c>
      <c r="AP334" s="19">
        <v>45923</v>
      </c>
      <c r="AQ334" s="5" t="s">
        <v>259</v>
      </c>
      <c r="AR334" s="5" t="s">
        <v>241</v>
      </c>
      <c r="AS334" s="6">
        <v>0.36805555555555558</v>
      </c>
      <c r="AT334" s="1"/>
    </row>
    <row r="335" spans="1:46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 t="str">
        <f t="shared" si="51"/>
        <v>LOTTECX 439</v>
      </c>
      <c r="AO335" s="3" t="s">
        <v>26</v>
      </c>
      <c r="AP335" s="19">
        <v>45923</v>
      </c>
      <c r="AQ335" s="5" t="s">
        <v>259</v>
      </c>
      <c r="AR335" s="5" t="s">
        <v>59</v>
      </c>
      <c r="AS335" s="6">
        <v>0.36805555555555558</v>
      </c>
      <c r="AT335" s="1"/>
    </row>
    <row r="336" spans="1:4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 t="str">
        <f t="shared" si="51"/>
        <v>LOTTEOZ 114</v>
      </c>
      <c r="AO336" s="3" t="s">
        <v>26</v>
      </c>
      <c r="AP336" s="19">
        <v>45923</v>
      </c>
      <c r="AQ336" s="5" t="s">
        <v>259</v>
      </c>
      <c r="AR336" s="5" t="s">
        <v>135</v>
      </c>
      <c r="AS336" s="6">
        <v>0.40972222222222221</v>
      </c>
      <c r="AT336" s="1"/>
    </row>
    <row r="337" spans="1:46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 t="str">
        <f t="shared" si="51"/>
        <v>LOTTEKE 23</v>
      </c>
      <c r="AO337" s="3" t="s">
        <v>26</v>
      </c>
      <c r="AP337" s="19">
        <v>45923</v>
      </c>
      <c r="AQ337" s="5" t="s">
        <v>259</v>
      </c>
      <c r="AR337" s="5" t="s">
        <v>61</v>
      </c>
      <c r="AS337" s="6">
        <v>0.47569444444444442</v>
      </c>
      <c r="AT337" s="1"/>
    </row>
    <row r="338" spans="1:46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 t="str">
        <f t="shared" si="51"/>
        <v>LOTTEOZ 751</v>
      </c>
      <c r="AO338" s="3" t="s">
        <v>26</v>
      </c>
      <c r="AP338" s="19">
        <v>45923</v>
      </c>
      <c r="AQ338" s="5" t="s">
        <v>259</v>
      </c>
      <c r="AR338" s="5" t="s">
        <v>145</v>
      </c>
      <c r="AS338" s="6">
        <v>0.47569444444444442</v>
      </c>
      <c r="AT338" s="1"/>
    </row>
    <row r="339" spans="1:46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 t="str">
        <f t="shared" si="51"/>
        <v>LOTTEKE 671</v>
      </c>
      <c r="AO339" s="3" t="s">
        <v>26</v>
      </c>
      <c r="AP339" s="19">
        <v>45923</v>
      </c>
      <c r="AQ339" s="5" t="s">
        <v>259</v>
      </c>
      <c r="AR339" s="5" t="s">
        <v>146</v>
      </c>
      <c r="AS339" s="6">
        <v>0.47569444444444442</v>
      </c>
      <c r="AT339" s="1"/>
    </row>
    <row r="340" spans="1:46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 t="str">
        <f t="shared" si="51"/>
        <v>LOTTEDL 188</v>
      </c>
      <c r="AO340" s="3" t="s">
        <v>26</v>
      </c>
      <c r="AP340" s="19">
        <v>45923</v>
      </c>
      <c r="AQ340" s="5" t="s">
        <v>259</v>
      </c>
      <c r="AR340" s="5" t="s">
        <v>62</v>
      </c>
      <c r="AS340" s="6">
        <v>0.47569444444444442</v>
      </c>
      <c r="AT340" s="1"/>
    </row>
    <row r="341" spans="1:46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 t="str">
        <f t="shared" si="51"/>
        <v>LOTTEMU 5012</v>
      </c>
      <c r="AO341" s="3" t="s">
        <v>26</v>
      </c>
      <c r="AP341" s="19">
        <v>45923</v>
      </c>
      <c r="AQ341" s="5" t="s">
        <v>259</v>
      </c>
      <c r="AR341" s="5" t="s">
        <v>243</v>
      </c>
      <c r="AS341" s="6">
        <v>0.5</v>
      </c>
      <c r="AT341" s="1"/>
    </row>
    <row r="342" spans="1:46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 t="str">
        <f t="shared" si="51"/>
        <v>LOTTEKE 41</v>
      </c>
      <c r="AO342" s="3" t="s">
        <v>26</v>
      </c>
      <c r="AP342" s="19">
        <v>45923</v>
      </c>
      <c r="AQ342" s="5" t="s">
        <v>259</v>
      </c>
      <c r="AR342" s="5" t="s">
        <v>63</v>
      </c>
      <c r="AS342" s="6">
        <v>0.5</v>
      </c>
      <c r="AT342" s="1"/>
    </row>
    <row r="343" spans="1:46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 t="str">
        <f t="shared" si="51"/>
        <v>LOTTECZ 3062</v>
      </c>
      <c r="AO343" s="3" t="s">
        <v>26</v>
      </c>
      <c r="AP343" s="19">
        <v>45923</v>
      </c>
      <c r="AQ343" s="5" t="s">
        <v>259</v>
      </c>
      <c r="AR343" s="5" t="s">
        <v>147</v>
      </c>
      <c r="AS343" s="6">
        <v>0.5</v>
      </c>
      <c r="AT343" s="1"/>
    </row>
    <row r="344" spans="1:46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 t="str">
        <f t="shared" si="51"/>
        <v>LOTTEUA 892</v>
      </c>
      <c r="AO344" s="3" t="s">
        <v>26</v>
      </c>
      <c r="AP344" s="19">
        <v>45923</v>
      </c>
      <c r="AQ344" s="5" t="s">
        <v>259</v>
      </c>
      <c r="AR344" s="5" t="s">
        <v>64</v>
      </c>
      <c r="AS344" s="6">
        <v>0.5</v>
      </c>
      <c r="AT344" s="1"/>
    </row>
    <row r="345" spans="1:46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 t="str">
        <f t="shared" si="51"/>
        <v>LOTTEAA 280</v>
      </c>
      <c r="AO345" s="3" t="s">
        <v>26</v>
      </c>
      <c r="AP345" s="19">
        <v>45923</v>
      </c>
      <c r="AQ345" s="5" t="s">
        <v>259</v>
      </c>
      <c r="AR345" s="5" t="s">
        <v>65</v>
      </c>
      <c r="AS345" s="6">
        <v>0.54861111111111116</v>
      </c>
      <c r="AT345" s="1"/>
    </row>
    <row r="346" spans="1:4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 t="str">
        <f t="shared" si="51"/>
        <v>LOTTETG 653</v>
      </c>
      <c r="AO346" s="3" t="s">
        <v>26</v>
      </c>
      <c r="AP346" s="19">
        <v>45923</v>
      </c>
      <c r="AQ346" s="5" t="s">
        <v>259</v>
      </c>
      <c r="AR346" s="5" t="s">
        <v>151</v>
      </c>
      <c r="AS346" s="6">
        <v>0.54861111111111116</v>
      </c>
      <c r="AT346" s="1"/>
    </row>
    <row r="347" spans="1:46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 t="str">
        <f t="shared" si="51"/>
        <v>LOTTEAC 64</v>
      </c>
      <c r="AO347" s="3" t="s">
        <v>26</v>
      </c>
      <c r="AP347" s="19">
        <v>45923</v>
      </c>
      <c r="AQ347" s="5" t="s">
        <v>259</v>
      </c>
      <c r="AR347" s="5" t="s">
        <v>66</v>
      </c>
      <c r="AS347" s="6">
        <v>0.54861111111111116</v>
      </c>
      <c r="AT347" s="1"/>
    </row>
    <row r="348" spans="1:46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 t="str">
        <f t="shared" si="51"/>
        <v>LOTTEVN 403</v>
      </c>
      <c r="AO348" s="3" t="s">
        <v>26</v>
      </c>
      <c r="AP348" s="19">
        <v>45923</v>
      </c>
      <c r="AQ348" s="5" t="s">
        <v>259</v>
      </c>
      <c r="AR348" s="5" t="s">
        <v>152</v>
      </c>
      <c r="AS348" s="6">
        <v>0.54861111111111116</v>
      </c>
      <c r="AT348" s="1"/>
    </row>
    <row r="349" spans="1:46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 t="str">
        <f t="shared" si="51"/>
        <v>LOTTE7C 2515</v>
      </c>
      <c r="AO349" s="3" t="s">
        <v>26</v>
      </c>
      <c r="AP349" s="19">
        <v>45923</v>
      </c>
      <c r="AQ349" s="5" t="s">
        <v>259</v>
      </c>
      <c r="AR349" s="5" t="s">
        <v>248</v>
      </c>
      <c r="AS349" s="6">
        <v>0.5625</v>
      </c>
      <c r="AT349" s="1"/>
    </row>
    <row r="350" spans="1:46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 t="str">
        <f t="shared" si="51"/>
        <v>LOTTEKE 651</v>
      </c>
      <c r="AO350" s="3" t="s">
        <v>26</v>
      </c>
      <c r="AP350" s="19">
        <v>45923</v>
      </c>
      <c r="AQ350" s="5" t="s">
        <v>259</v>
      </c>
      <c r="AR350" s="5" t="s">
        <v>67</v>
      </c>
      <c r="AS350" s="6">
        <v>0.5625</v>
      </c>
      <c r="AT350" s="1"/>
    </row>
    <row r="351" spans="1:46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 t="str">
        <f t="shared" si="51"/>
        <v>LOTTEOZ 272</v>
      </c>
      <c r="AO351" s="3" t="s">
        <v>26</v>
      </c>
      <c r="AP351" s="19">
        <v>45923</v>
      </c>
      <c r="AQ351" s="5" t="s">
        <v>259</v>
      </c>
      <c r="AR351" s="5" t="s">
        <v>68</v>
      </c>
      <c r="AS351" s="6">
        <v>0.5625</v>
      </c>
      <c r="AT351" s="1"/>
    </row>
    <row r="352" spans="1:46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 t="str">
        <f t="shared" si="51"/>
        <v>LOTTEDL 26</v>
      </c>
      <c r="AO352" s="3" t="s">
        <v>26</v>
      </c>
      <c r="AP352" s="19">
        <v>45923</v>
      </c>
      <c r="AQ352" s="5" t="s">
        <v>259</v>
      </c>
      <c r="AR352" s="5" t="s">
        <v>69</v>
      </c>
      <c r="AS352" s="6">
        <v>0.59375</v>
      </c>
      <c r="AT352" s="1"/>
    </row>
    <row r="353" spans="1:46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 t="str">
        <f t="shared" si="51"/>
        <v>LOTTE7C 2103</v>
      </c>
      <c r="AO353" s="3" t="s">
        <v>26</v>
      </c>
      <c r="AP353" s="19">
        <v>45923</v>
      </c>
      <c r="AQ353" s="5" t="s">
        <v>259</v>
      </c>
      <c r="AR353" s="5" t="s">
        <v>163</v>
      </c>
      <c r="AS353" s="6">
        <v>0.59375</v>
      </c>
      <c r="AT353" s="1"/>
    </row>
    <row r="354" spans="1:46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 t="str">
        <f t="shared" si="51"/>
        <v>LOTTEAC 62</v>
      </c>
      <c r="AO354" s="3" t="s">
        <v>26</v>
      </c>
      <c r="AP354" s="19">
        <v>45923</v>
      </c>
      <c r="AQ354" s="5" t="s">
        <v>259</v>
      </c>
      <c r="AR354" s="5" t="s">
        <v>71</v>
      </c>
      <c r="AS354" s="6">
        <v>0.59375</v>
      </c>
      <c r="AT354" s="1"/>
    </row>
    <row r="355" spans="1:46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 t="str">
        <f t="shared" si="51"/>
        <v>LOTTEDL 196</v>
      </c>
      <c r="AO355" s="3" t="s">
        <v>26</v>
      </c>
      <c r="AP355" s="19">
        <v>45923</v>
      </c>
      <c r="AQ355" s="5" t="s">
        <v>259</v>
      </c>
      <c r="AR355" s="5" t="s">
        <v>166</v>
      </c>
      <c r="AS355" s="6">
        <v>0.61458333333333337</v>
      </c>
      <c r="AT355" s="1"/>
    </row>
    <row r="356" spans="1:4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 t="str">
        <f t="shared" si="51"/>
        <v>LOTTEOZ 735</v>
      </c>
      <c r="AO356" s="3" t="s">
        <v>26</v>
      </c>
      <c r="AP356" s="19">
        <v>45923</v>
      </c>
      <c r="AQ356" s="5" t="s">
        <v>259</v>
      </c>
      <c r="AR356" s="5" t="s">
        <v>251</v>
      </c>
      <c r="AS356" s="6">
        <v>0.61458333333333337</v>
      </c>
      <c r="AT356" s="1"/>
    </row>
    <row r="357" spans="1:46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 t="str">
        <f t="shared" si="51"/>
        <v>LOTTEDL 7843</v>
      </c>
      <c r="AO357" s="3" t="s">
        <v>26</v>
      </c>
      <c r="AP357" s="19">
        <v>45923</v>
      </c>
      <c r="AQ357" s="5" t="s">
        <v>259</v>
      </c>
      <c r="AR357" s="5" t="s">
        <v>252</v>
      </c>
      <c r="AS357" s="6">
        <v>0.61458333333333337</v>
      </c>
      <c r="AT357" s="1"/>
    </row>
    <row r="358" spans="1:46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 t="str">
        <f t="shared" si="51"/>
        <v>LOTTEKE 85</v>
      </c>
      <c r="AO358" s="3" t="s">
        <v>26</v>
      </c>
      <c r="AP358" s="19">
        <v>45923</v>
      </c>
      <c r="AQ358" s="5" t="s">
        <v>259</v>
      </c>
      <c r="AR358" s="5" t="s">
        <v>172</v>
      </c>
      <c r="AS358" s="6">
        <v>0.61458333333333337</v>
      </c>
      <c r="AT358" s="1"/>
    </row>
    <row r="359" spans="1:46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 t="str">
        <f t="shared" si="51"/>
        <v>LOTTEBR 159</v>
      </c>
      <c r="AO359" s="3" t="s">
        <v>26</v>
      </c>
      <c r="AP359" s="19">
        <v>45923</v>
      </c>
      <c r="AQ359" s="5" t="s">
        <v>259</v>
      </c>
      <c r="AR359" s="5" t="s">
        <v>253</v>
      </c>
      <c r="AS359" s="6">
        <v>0.61458333333333337</v>
      </c>
      <c r="AT359" s="1"/>
    </row>
    <row r="360" spans="1:46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 t="str">
        <f t="shared" si="51"/>
        <v>LOTTEKE 177</v>
      </c>
      <c r="AO360" s="3" t="s">
        <v>26</v>
      </c>
      <c r="AP360" s="19">
        <v>45923</v>
      </c>
      <c r="AQ360" s="5" t="s">
        <v>259</v>
      </c>
      <c r="AR360" s="5" t="s">
        <v>254</v>
      </c>
      <c r="AS360" s="6">
        <v>0.61458333333333337</v>
      </c>
      <c r="AT360" s="1"/>
    </row>
    <row r="361" spans="1:46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 t="str">
        <f t="shared" si="51"/>
        <v>LOTTECX 419</v>
      </c>
      <c r="AO361" s="3" t="s">
        <v>26</v>
      </c>
      <c r="AP361" s="19">
        <v>45923</v>
      </c>
      <c r="AQ361" s="5" t="s">
        <v>259</v>
      </c>
      <c r="AR361" s="5" t="s">
        <v>74</v>
      </c>
      <c r="AS361" s="6">
        <v>0.64583333333333337</v>
      </c>
      <c r="AT361" s="1"/>
    </row>
    <row r="362" spans="1:46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 t="str">
        <f t="shared" si="51"/>
        <v>LOTTEKE 615</v>
      </c>
      <c r="AO362" s="3" t="s">
        <v>26</v>
      </c>
      <c r="AP362" s="19">
        <v>45923</v>
      </c>
      <c r="AQ362" s="5" t="s">
        <v>259</v>
      </c>
      <c r="AR362" s="5" t="s">
        <v>168</v>
      </c>
      <c r="AS362" s="6">
        <v>0.64583333333333337</v>
      </c>
      <c r="AT362" s="1"/>
    </row>
    <row r="363" spans="1:46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 t="str">
        <f t="shared" si="51"/>
        <v>LOTTEKE 11</v>
      </c>
      <c r="AO363" s="3" t="s">
        <v>26</v>
      </c>
      <c r="AP363" s="19">
        <v>45923</v>
      </c>
      <c r="AQ363" s="5" t="s">
        <v>259</v>
      </c>
      <c r="AR363" s="5" t="s">
        <v>170</v>
      </c>
      <c r="AS363" s="6">
        <v>0.64583333333333337</v>
      </c>
      <c r="AT363" s="1"/>
    </row>
    <row r="364" spans="1:46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 t="str">
        <f t="shared" si="51"/>
        <v>LOTTEKE 719</v>
      </c>
      <c r="AO364" s="3" t="s">
        <v>26</v>
      </c>
      <c r="AP364" s="19">
        <v>45923</v>
      </c>
      <c r="AQ364" s="5" t="s">
        <v>259</v>
      </c>
      <c r="AR364" s="5" t="s">
        <v>260</v>
      </c>
      <c r="AS364" s="6">
        <v>0.64583333333333337</v>
      </c>
      <c r="AT364" s="1"/>
    </row>
    <row r="365" spans="1:46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 t="str">
        <f t="shared" si="51"/>
        <v>LOTTEPR 469</v>
      </c>
      <c r="AO365" s="3" t="s">
        <v>26</v>
      </c>
      <c r="AP365" s="19">
        <v>45923</v>
      </c>
      <c r="AQ365" s="5" t="s">
        <v>259</v>
      </c>
      <c r="AR365" s="5" t="s">
        <v>171</v>
      </c>
      <c r="AS365" s="6">
        <v>0.64583333333333337</v>
      </c>
      <c r="AT365" s="1"/>
    </row>
    <row r="366" spans="1:4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 t="str">
        <f t="shared" si="51"/>
        <v>LOTTECI 163</v>
      </c>
      <c r="AO366" s="3" t="s">
        <v>26</v>
      </c>
      <c r="AP366" s="19">
        <v>45923</v>
      </c>
      <c r="AQ366" s="5" t="s">
        <v>259</v>
      </c>
      <c r="AR366" s="5" t="s">
        <v>257</v>
      </c>
      <c r="AS366" s="6">
        <v>0.64583333333333337</v>
      </c>
      <c r="AT366" s="1"/>
    </row>
    <row r="367" spans="1:46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 t="str">
        <f t="shared" si="51"/>
        <v>LOTTEMF 878</v>
      </c>
      <c r="AO367" s="3" t="s">
        <v>26</v>
      </c>
      <c r="AP367" s="19">
        <v>45923</v>
      </c>
      <c r="AQ367" s="5" t="s">
        <v>259</v>
      </c>
      <c r="AR367" s="5" t="s">
        <v>258</v>
      </c>
      <c r="AS367" s="6">
        <v>0.64583333333333337</v>
      </c>
      <c r="AT367" s="1"/>
    </row>
    <row r="368" spans="1:46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 t="str">
        <f t="shared" si="51"/>
        <v>LOTTEOZ 204</v>
      </c>
      <c r="AO368" s="3" t="s">
        <v>26</v>
      </c>
      <c r="AP368" s="19">
        <v>45923</v>
      </c>
      <c r="AQ368" s="5" t="s">
        <v>259</v>
      </c>
      <c r="AR368" s="5" t="s">
        <v>76</v>
      </c>
      <c r="AS368" s="6">
        <v>0.64583333333333337</v>
      </c>
      <c r="AT368" s="1"/>
    </row>
    <row r="369" spans="1:46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 t="str">
        <f t="shared" si="51"/>
        <v>LOTTEWS 87</v>
      </c>
      <c r="AO369" s="3" t="s">
        <v>26</v>
      </c>
      <c r="AP369" s="19">
        <v>45923</v>
      </c>
      <c r="AQ369" s="5" t="s">
        <v>259</v>
      </c>
      <c r="AR369" s="5" t="s">
        <v>77</v>
      </c>
      <c r="AS369" s="6">
        <v>0.64583333333333337</v>
      </c>
      <c r="AT369" s="1"/>
    </row>
    <row r="370" spans="1:46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 t="str">
        <f t="shared" si="51"/>
        <v>LOTTEOZ 212</v>
      </c>
      <c r="AO370" s="3" t="s">
        <v>26</v>
      </c>
      <c r="AP370" s="19">
        <v>45923</v>
      </c>
      <c r="AQ370" s="5" t="s">
        <v>259</v>
      </c>
      <c r="AR370" s="5" t="s">
        <v>174</v>
      </c>
      <c r="AS370" s="6">
        <v>0.64583333333333337</v>
      </c>
      <c r="AT370" s="1"/>
    </row>
    <row r="371" spans="1:46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 t="str">
        <f t="shared" si="51"/>
        <v>LOTTEKE 5</v>
      </c>
      <c r="AO371" s="3" t="s">
        <v>26</v>
      </c>
      <c r="AP371" s="19">
        <v>45923</v>
      </c>
      <c r="AQ371" s="5" t="s">
        <v>259</v>
      </c>
      <c r="AR371" s="5" t="s">
        <v>264</v>
      </c>
      <c r="AS371" s="6">
        <v>0.64583333333333337</v>
      </c>
      <c r="AT371" s="1"/>
    </row>
    <row r="372" spans="1:46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 t="str">
        <f t="shared" si="51"/>
        <v>LOTTEKE 53</v>
      </c>
      <c r="AO372" s="3" t="s">
        <v>26</v>
      </c>
      <c r="AP372" s="19">
        <v>45923</v>
      </c>
      <c r="AQ372" s="5" t="s">
        <v>259</v>
      </c>
      <c r="AR372" s="5" t="s">
        <v>265</v>
      </c>
      <c r="AS372" s="6">
        <v>0.64583333333333337</v>
      </c>
      <c r="AT372" s="1"/>
    </row>
    <row r="373" spans="1:46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 t="str">
        <f t="shared" si="51"/>
        <v>LOTTEOZ 224</v>
      </c>
      <c r="AO373" s="3" t="s">
        <v>26</v>
      </c>
      <c r="AP373" s="19">
        <v>45923</v>
      </c>
      <c r="AQ373" s="5" t="s">
        <v>259</v>
      </c>
      <c r="AR373" s="5" t="s">
        <v>266</v>
      </c>
      <c r="AS373" s="6">
        <v>0.64583333333333337</v>
      </c>
      <c r="AT373" s="1"/>
    </row>
    <row r="374" spans="1:46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 t="str">
        <f t="shared" si="51"/>
        <v>LOTTETW 531</v>
      </c>
      <c r="AO374" s="3" t="s">
        <v>26</v>
      </c>
      <c r="AP374" s="19">
        <v>45923</v>
      </c>
      <c r="AQ374" s="5" t="s">
        <v>259</v>
      </c>
      <c r="AR374" s="5" t="s">
        <v>267</v>
      </c>
      <c r="AS374" s="6">
        <v>0.64583333333333337</v>
      </c>
      <c r="AT374" s="1"/>
    </row>
    <row r="375" spans="1:46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 t="str">
        <f t="shared" si="51"/>
        <v>LOTTEOZ 178</v>
      </c>
      <c r="AO375" s="3" t="s">
        <v>26</v>
      </c>
      <c r="AP375" s="19">
        <v>45923</v>
      </c>
      <c r="AQ375" s="5" t="s">
        <v>259</v>
      </c>
      <c r="AR375" s="5" t="s">
        <v>268</v>
      </c>
      <c r="AS375" s="6">
        <v>0.64583333333333337</v>
      </c>
      <c r="AT375" s="1"/>
    </row>
    <row r="376" spans="1:4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 t="str">
        <f t="shared" si="51"/>
        <v>LOTTEYP 131</v>
      </c>
      <c r="AO376" s="3" t="s">
        <v>26</v>
      </c>
      <c r="AP376" s="19">
        <v>45923</v>
      </c>
      <c r="AQ376" s="5" t="s">
        <v>259</v>
      </c>
      <c r="AR376" s="5" t="s">
        <v>177</v>
      </c>
      <c r="AS376" s="6">
        <v>0.69791666666666663</v>
      </c>
      <c r="AT376" s="1"/>
    </row>
    <row r="377" spans="1:46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 t="str">
        <f t="shared" si="51"/>
        <v>LOTTEKL 856</v>
      </c>
      <c r="AO377" s="3" t="s">
        <v>26</v>
      </c>
      <c r="AP377" s="19">
        <v>45923</v>
      </c>
      <c r="AQ377" s="5" t="s">
        <v>259</v>
      </c>
      <c r="AR377" s="5" t="s">
        <v>270</v>
      </c>
      <c r="AS377" s="6">
        <v>0.72222222222222221</v>
      </c>
      <c r="AT377" s="1"/>
    </row>
    <row r="378" spans="1:46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 t="str">
        <f t="shared" si="51"/>
        <v>LOTTEUO 627</v>
      </c>
      <c r="AO378" s="3" t="s">
        <v>26</v>
      </c>
      <c r="AP378" s="19">
        <v>45923</v>
      </c>
      <c r="AQ378" s="5" t="s">
        <v>259</v>
      </c>
      <c r="AR378" s="5" t="s">
        <v>271</v>
      </c>
      <c r="AS378" s="6">
        <v>0.72222222222222221</v>
      </c>
      <c r="AT378" s="1"/>
    </row>
    <row r="379" spans="1:46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 t="str">
        <f t="shared" si="51"/>
        <v>LOTTETR 897</v>
      </c>
      <c r="AO379" s="3" t="s">
        <v>26</v>
      </c>
      <c r="AP379" s="19">
        <v>45923</v>
      </c>
      <c r="AQ379" s="5" t="s">
        <v>259</v>
      </c>
      <c r="AR379" s="5" t="s">
        <v>272</v>
      </c>
      <c r="AS379" s="6">
        <v>0.72222222222222221</v>
      </c>
      <c r="AT379" s="1"/>
    </row>
    <row r="380" spans="1:46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 t="str">
        <f t="shared" si="51"/>
        <v>LOTTEHA 460 on 24 Sep</v>
      </c>
      <c r="AO380" s="3" t="s">
        <v>26</v>
      </c>
      <c r="AP380" s="19">
        <v>45923</v>
      </c>
      <c r="AQ380" s="5" t="s">
        <v>259</v>
      </c>
      <c r="AR380" s="5" t="s">
        <v>273</v>
      </c>
      <c r="AS380" s="6">
        <v>0.72222222222222221</v>
      </c>
      <c r="AT380" s="1"/>
    </row>
    <row r="381" spans="1:46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 t="str">
        <f t="shared" si="51"/>
        <v>INTER PARNASKE 85</v>
      </c>
      <c r="AO381" s="3" t="s">
        <v>26</v>
      </c>
      <c r="AP381" s="19">
        <v>45923</v>
      </c>
      <c r="AQ381" s="5" t="s">
        <v>81</v>
      </c>
      <c r="AR381" s="5" t="s">
        <v>172</v>
      </c>
      <c r="AS381" s="6">
        <v>0.60069444444444442</v>
      </c>
      <c r="AT381" s="1"/>
    </row>
    <row r="382" spans="1:46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3"/>
      <c r="AP382" s="19"/>
      <c r="AT382" s="1"/>
    </row>
    <row r="383" spans="1:46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3"/>
      <c r="AP383" s="19"/>
      <c r="AT383" s="1"/>
    </row>
    <row r="384" spans="1:46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3"/>
      <c r="AP384" s="19"/>
      <c r="AT384" s="1"/>
    </row>
    <row r="385" spans="1:46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3"/>
      <c r="AP385" s="19"/>
      <c r="AT385" s="1"/>
    </row>
    <row r="386" spans="1:4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3"/>
      <c r="AP386" s="19"/>
      <c r="AT386" s="1"/>
    </row>
    <row r="387" spans="1:46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3"/>
      <c r="AP387" s="19"/>
      <c r="AT387" s="1"/>
    </row>
    <row r="388" spans="1:46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3"/>
      <c r="AP388" s="19"/>
      <c r="AT388" s="1"/>
    </row>
    <row r="389" spans="1:46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3"/>
      <c r="AP389" s="19"/>
      <c r="AT389" s="1"/>
    </row>
    <row r="390" spans="1:46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3"/>
      <c r="AP390" s="19"/>
      <c r="AT390" s="1"/>
    </row>
    <row r="391" spans="1:46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P391" s="1"/>
      <c r="AT391" s="1"/>
    </row>
    <row r="392" spans="1:46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P392" s="1"/>
      <c r="AT392" s="1"/>
    </row>
    <row r="393" spans="1:46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P393" s="1"/>
      <c r="AT393" s="1"/>
    </row>
    <row r="394" spans="1:46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P394" s="1"/>
      <c r="AT394" s="1"/>
    </row>
    <row r="395" spans="1:46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P395" s="1"/>
      <c r="AT395" s="1"/>
    </row>
    <row r="396" spans="1:4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P396" s="1"/>
      <c r="AT396" s="1"/>
    </row>
    <row r="397" spans="1:46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P397" s="1"/>
      <c r="AT397" s="1"/>
    </row>
    <row r="398" spans="1:46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P398" s="1"/>
      <c r="AT398" s="1"/>
    </row>
    <row r="399" spans="1:46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P399" s="1"/>
      <c r="AT399" s="1"/>
    </row>
    <row r="400" spans="1:46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P400" s="1"/>
      <c r="AT400" s="1"/>
    </row>
    <row r="401" spans="1:46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P401" s="1"/>
      <c r="AT401" s="1"/>
    </row>
    <row r="402" spans="1:46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P402" s="1"/>
      <c r="AT402" s="1"/>
    </row>
    <row r="403" spans="1:46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P403" s="1"/>
      <c r="AT403" s="1"/>
    </row>
    <row r="404" spans="1:46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P404" s="1"/>
      <c r="AT404" s="1"/>
    </row>
    <row r="405" spans="1:46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P405" s="1"/>
      <c r="AT405" s="1"/>
    </row>
    <row r="406" spans="1:4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P406" s="1"/>
      <c r="AT406" s="1"/>
    </row>
    <row r="407" spans="1:46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P407" s="1"/>
      <c r="AT407" s="1"/>
    </row>
    <row r="408" spans="1:46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P408" s="1"/>
      <c r="AT408" s="1"/>
    </row>
    <row r="409" spans="1:46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P409" s="1"/>
      <c r="AT409" s="1"/>
    </row>
    <row r="410" spans="1:46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P410" s="1"/>
      <c r="AT410" s="1"/>
    </row>
    <row r="411" spans="1:46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P411" s="1"/>
      <c r="AT411" s="1"/>
    </row>
    <row r="412" spans="1:46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P412" s="1"/>
      <c r="AT412" s="1"/>
    </row>
    <row r="413" spans="1:46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P413" s="1"/>
      <c r="AT413" s="1"/>
    </row>
    <row r="414" spans="1:46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P414" s="1"/>
      <c r="AT414" s="1"/>
    </row>
    <row r="415" spans="1:46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P415" s="1"/>
      <c r="AT415" s="1"/>
    </row>
    <row r="416" spans="1:4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P416" s="1"/>
      <c r="AT416" s="1"/>
    </row>
    <row r="417" spans="1:46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P417" s="1"/>
      <c r="AT417" s="1"/>
    </row>
    <row r="418" spans="1:46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P418" s="1"/>
      <c r="AT418" s="1"/>
    </row>
    <row r="419" spans="1:46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P419" s="1"/>
      <c r="AT419" s="1"/>
    </row>
    <row r="420" spans="1:46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P420" s="1"/>
      <c r="AT420" s="1"/>
    </row>
    <row r="421" spans="1:46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P421" s="1"/>
      <c r="AT421" s="1"/>
    </row>
    <row r="422" spans="1:46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P422" s="1"/>
      <c r="AT422" s="1"/>
    </row>
    <row r="423" spans="1:46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P423" s="1"/>
      <c r="AT423" s="1"/>
    </row>
    <row r="424" spans="1:46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P424" s="1"/>
      <c r="AT424" s="1"/>
    </row>
    <row r="425" spans="1:46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P425" s="1"/>
      <c r="AT425" s="1"/>
    </row>
    <row r="426" spans="1:4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P426" s="1"/>
      <c r="AT426" s="1"/>
    </row>
    <row r="427" spans="1:46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P427" s="1"/>
      <c r="AT427" s="1"/>
    </row>
    <row r="428" spans="1:46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P428" s="1"/>
      <c r="AT428" s="1"/>
    </row>
    <row r="429" spans="1:46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P429" s="1"/>
      <c r="AT429" s="1"/>
    </row>
    <row r="430" spans="1:46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P430" s="1"/>
      <c r="AT430" s="1"/>
    </row>
    <row r="431" spans="1:46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P431" s="1"/>
      <c r="AT431" s="1"/>
    </row>
    <row r="432" spans="1:46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P432" s="1"/>
      <c r="AT432" s="1"/>
    </row>
    <row r="433" spans="1:46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P433" s="1"/>
      <c r="AT433" s="1"/>
    </row>
    <row r="434" spans="1:46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P434" s="1"/>
      <c r="AT434" s="1"/>
    </row>
    <row r="435" spans="1:46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P435" s="1"/>
      <c r="AT435" s="1"/>
    </row>
    <row r="436" spans="1:4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P436" s="1"/>
      <c r="AT436" s="1"/>
    </row>
    <row r="437" spans="1:46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P437" s="1"/>
      <c r="AT437" s="1"/>
    </row>
    <row r="438" spans="1:46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P438" s="1"/>
      <c r="AT438" s="1"/>
    </row>
    <row r="439" spans="1:46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P439" s="1"/>
      <c r="AT439" s="1"/>
    </row>
    <row r="440" spans="1:46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P440" s="1"/>
      <c r="AT440" s="1"/>
    </row>
    <row r="441" spans="1:46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P441" s="1"/>
      <c r="AT441" s="1"/>
    </row>
    <row r="442" spans="1:46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P442" s="1"/>
      <c r="AT442" s="1"/>
    </row>
    <row r="443" spans="1:46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P443" s="1"/>
      <c r="AT443" s="1"/>
    </row>
    <row r="444" spans="1:46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P444" s="1"/>
      <c r="AT444" s="1"/>
    </row>
    <row r="445" spans="1:46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P445" s="1"/>
      <c r="AT445" s="1"/>
    </row>
    <row r="446" spans="1:4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P446" s="1"/>
      <c r="AT446" s="1"/>
    </row>
    <row r="447" spans="1:46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P447" s="1"/>
      <c r="AT447" s="1"/>
    </row>
    <row r="448" spans="1:46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P448" s="1"/>
      <c r="AT448" s="1"/>
    </row>
    <row r="449" spans="1:46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P449" s="1"/>
      <c r="AT449" s="1"/>
    </row>
    <row r="450" spans="1:46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P450" s="1"/>
      <c r="AT450" s="1"/>
    </row>
    <row r="451" spans="1:46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P451" s="1"/>
      <c r="AT451" s="1"/>
    </row>
    <row r="452" spans="1:46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P452" s="1"/>
      <c r="AT452" s="1"/>
    </row>
    <row r="453" spans="1:46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P453" s="1"/>
      <c r="AT453" s="1"/>
    </row>
    <row r="454" spans="1:46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P454" s="1"/>
      <c r="AT454" s="1"/>
    </row>
    <row r="455" spans="1:46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P455" s="1"/>
      <c r="AT455" s="1"/>
    </row>
    <row r="456" spans="1:4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P456" s="1"/>
      <c r="AT456" s="1"/>
    </row>
    <row r="457" spans="1:46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P457" s="1"/>
      <c r="AT457" s="1"/>
    </row>
    <row r="458" spans="1:46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P458" s="1"/>
      <c r="AT458" s="1"/>
    </row>
    <row r="459" spans="1:46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P459" s="1"/>
      <c r="AT459" s="1"/>
    </row>
    <row r="460" spans="1:46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P460" s="1"/>
      <c r="AT460" s="1"/>
    </row>
    <row r="461" spans="1:46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P461" s="1"/>
      <c r="AT461" s="1"/>
    </row>
    <row r="462" spans="1:46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P462" s="1"/>
      <c r="AT462" s="1"/>
    </row>
    <row r="463" spans="1:46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P463" s="1"/>
      <c r="AT463" s="1"/>
    </row>
    <row r="464" spans="1:46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P464" s="1"/>
      <c r="AT464" s="1"/>
    </row>
    <row r="465" spans="1:46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P465" s="1"/>
      <c r="AT465" s="1"/>
    </row>
    <row r="466" spans="1:4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P466" s="1"/>
      <c r="AT466" s="1"/>
    </row>
    <row r="467" spans="1:46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P467" s="1"/>
      <c r="AT467" s="1"/>
    </row>
    <row r="468" spans="1:46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P468" s="1"/>
      <c r="AT468" s="1"/>
    </row>
    <row r="469" spans="1:46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P469" s="1"/>
      <c r="AT469" s="1"/>
    </row>
    <row r="470" spans="1:46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P470" s="1"/>
      <c r="AT470" s="1"/>
    </row>
    <row r="471" spans="1:46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P471" s="1"/>
      <c r="AT471" s="1"/>
    </row>
    <row r="472" spans="1:46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P472" s="1"/>
      <c r="AT472" s="1"/>
    </row>
    <row r="473" spans="1:46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P473" s="1"/>
      <c r="AT473" s="1"/>
    </row>
    <row r="474" spans="1:46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P474" s="1"/>
      <c r="AT474" s="1"/>
    </row>
    <row r="475" spans="1:46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P475" s="1"/>
      <c r="AT475" s="1"/>
    </row>
    <row r="476" spans="1:4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P476" s="1"/>
      <c r="AT476" s="1"/>
    </row>
    <row r="477" spans="1:46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P477" s="1"/>
      <c r="AT477" s="1"/>
    </row>
    <row r="478" spans="1:46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P478" s="1"/>
      <c r="AT478" s="1"/>
    </row>
    <row r="479" spans="1:46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P479" s="1"/>
      <c r="AT479" s="1"/>
    </row>
    <row r="480" spans="1:46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P480" s="1"/>
      <c r="AT480" s="1"/>
    </row>
    <row r="481" spans="1:46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P481" s="1"/>
      <c r="AT481" s="1"/>
    </row>
    <row r="482" spans="1:46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P482" s="1"/>
      <c r="AT482" s="1"/>
    </row>
    <row r="483" spans="1:46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P483" s="1"/>
      <c r="AT483" s="1"/>
    </row>
    <row r="484" spans="1:46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P484" s="1"/>
      <c r="AT484" s="1"/>
    </row>
    <row r="485" spans="1:46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P485" s="1"/>
      <c r="AT485" s="1"/>
    </row>
    <row r="486" spans="1:4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P486" s="1"/>
      <c r="AT486" s="1"/>
    </row>
    <row r="487" spans="1:46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P487" s="1"/>
      <c r="AT487" s="1"/>
    </row>
    <row r="488" spans="1:46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P488" s="1"/>
      <c r="AT488" s="1"/>
    </row>
    <row r="489" spans="1:46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P489" s="1"/>
      <c r="AT489" s="1"/>
    </row>
    <row r="490" spans="1:46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P490" s="1"/>
      <c r="AT490" s="1"/>
    </row>
    <row r="491" spans="1:46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P491" s="1"/>
      <c r="AT491" s="1"/>
    </row>
    <row r="492" spans="1:46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P492" s="1"/>
      <c r="AT492" s="1"/>
    </row>
    <row r="493" spans="1:46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P493" s="1"/>
      <c r="AT493" s="1"/>
    </row>
    <row r="494" spans="1:46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P494" s="1"/>
      <c r="AT494" s="1"/>
    </row>
    <row r="495" spans="1:46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P495" s="1"/>
      <c r="AT495" s="1"/>
    </row>
    <row r="496" spans="1:4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P496" s="1"/>
      <c r="AT496" s="1"/>
    </row>
    <row r="497" spans="1:46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P497" s="1"/>
      <c r="AT497" s="1"/>
    </row>
    <row r="498" spans="1:46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P498" s="1"/>
      <c r="AT498" s="1"/>
    </row>
    <row r="499" spans="1:46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P499" s="1"/>
      <c r="AT499" s="1"/>
    </row>
    <row r="500" spans="1:46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P500" s="1"/>
      <c r="AT500" s="1"/>
    </row>
    <row r="501" spans="1:46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P501" s="1"/>
      <c r="AT501" s="1"/>
    </row>
    <row r="502" spans="1:46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P502" s="1"/>
      <c r="AT502" s="1"/>
    </row>
    <row r="503" spans="1:46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P503" s="1"/>
      <c r="AT503" s="1"/>
    </row>
    <row r="504" spans="1:46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P504" s="1"/>
      <c r="AT504" s="1"/>
    </row>
    <row r="505" spans="1:46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P505" s="1"/>
      <c r="AT505" s="1"/>
    </row>
    <row r="506" spans="1:4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P506" s="1"/>
      <c r="AT506" s="1"/>
    </row>
    <row r="507" spans="1:46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P507" s="1"/>
      <c r="AT507" s="1"/>
    </row>
    <row r="508" spans="1:46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P508" s="1"/>
      <c r="AT508" s="1"/>
    </row>
    <row r="509" spans="1:46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P509" s="1"/>
      <c r="AT509" s="1"/>
    </row>
    <row r="510" spans="1:46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P510" s="1"/>
      <c r="AT510" s="1"/>
    </row>
    <row r="511" spans="1:46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P511" s="1"/>
      <c r="AT511" s="1"/>
    </row>
    <row r="512" spans="1:46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P512" s="1"/>
      <c r="AT512" s="1"/>
    </row>
    <row r="513" spans="1:46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P513" s="1"/>
      <c r="AT513" s="1"/>
    </row>
    <row r="514" spans="1:46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P514" s="1"/>
      <c r="AT514" s="1"/>
    </row>
    <row r="515" spans="1:46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P515" s="1"/>
      <c r="AT515" s="1"/>
    </row>
    <row r="516" spans="1:4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P516" s="1"/>
      <c r="AT516" s="1"/>
    </row>
    <row r="517" spans="1:46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P517" s="1"/>
      <c r="AT517" s="1"/>
    </row>
    <row r="518" spans="1:46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P518" s="1"/>
      <c r="AT518" s="1"/>
    </row>
    <row r="519" spans="1:46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P519" s="1"/>
      <c r="AT519" s="1"/>
    </row>
    <row r="520" spans="1:46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P520" s="1"/>
      <c r="AT520" s="1"/>
    </row>
    <row r="521" spans="1:46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P521" s="1"/>
      <c r="AT521" s="1"/>
    </row>
    <row r="522" spans="1:46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P522" s="1"/>
      <c r="AT522" s="1"/>
    </row>
    <row r="523" spans="1:46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P523" s="1"/>
      <c r="AT523" s="1"/>
    </row>
    <row r="524" spans="1:46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P524" s="1"/>
      <c r="AT524" s="1"/>
    </row>
    <row r="525" spans="1:46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P525" s="1"/>
      <c r="AT525" s="1"/>
    </row>
    <row r="526" spans="1:4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P526" s="1"/>
      <c r="AT526" s="1"/>
    </row>
    <row r="527" spans="1:46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P527" s="1"/>
      <c r="AT527" s="1"/>
    </row>
    <row r="528" spans="1:46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P528" s="1"/>
      <c r="AT528" s="1"/>
    </row>
    <row r="529" spans="1:46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P529" s="1"/>
      <c r="AT529" s="1"/>
    </row>
    <row r="530" spans="1:46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P530" s="1"/>
      <c r="AT530" s="1"/>
    </row>
    <row r="531" spans="1:46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P531" s="1"/>
      <c r="AT531" s="1"/>
    </row>
    <row r="532" spans="1:46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P532" s="1"/>
      <c r="AT532" s="1"/>
    </row>
    <row r="533" spans="1:46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P533" s="1"/>
      <c r="AT533" s="1"/>
    </row>
    <row r="534" spans="1:46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P534" s="1"/>
      <c r="AT534" s="1"/>
    </row>
    <row r="535" spans="1:46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P535" s="1"/>
      <c r="AT535" s="1"/>
    </row>
    <row r="536" spans="1:4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P536" s="1"/>
      <c r="AT536" s="1"/>
    </row>
    <row r="537" spans="1:46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P537" s="1"/>
      <c r="AT537" s="1"/>
    </row>
    <row r="538" spans="1:46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P538" s="1"/>
      <c r="AT538" s="1"/>
    </row>
    <row r="539" spans="1:46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P539" s="1"/>
      <c r="AT539" s="1"/>
    </row>
    <row r="540" spans="1:46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P540" s="1"/>
      <c r="AT540" s="1"/>
    </row>
    <row r="541" spans="1:46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P541" s="1"/>
      <c r="AT541" s="1"/>
    </row>
    <row r="542" spans="1:46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P542" s="1"/>
      <c r="AT542" s="1"/>
    </row>
    <row r="543" spans="1:46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P543" s="1"/>
      <c r="AT543" s="1"/>
    </row>
    <row r="544" spans="1:46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P544" s="1"/>
      <c r="AT544" s="1"/>
    </row>
    <row r="545" spans="1:46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P545" s="1"/>
      <c r="AT545" s="1"/>
    </row>
    <row r="546" spans="1:4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P546" s="1"/>
      <c r="AT546" s="1"/>
    </row>
    <row r="547" spans="1:46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P547" s="1"/>
      <c r="AT547" s="1"/>
    </row>
    <row r="548" spans="1:46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P548" s="1"/>
      <c r="AT548" s="1"/>
    </row>
    <row r="549" spans="1:46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P549" s="1"/>
      <c r="AT549" s="1"/>
    </row>
    <row r="550" spans="1:46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P550" s="1"/>
      <c r="AT550" s="1"/>
    </row>
    <row r="551" spans="1:46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P551" s="1"/>
      <c r="AT551" s="1"/>
    </row>
    <row r="552" spans="1:46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P552" s="1"/>
      <c r="AT552" s="1"/>
    </row>
    <row r="553" spans="1:46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P553" s="1"/>
      <c r="AT553" s="1"/>
    </row>
    <row r="554" spans="1:46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P554" s="1"/>
      <c r="AT554" s="1"/>
    </row>
    <row r="555" spans="1:46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P555" s="1"/>
      <c r="AT555" s="1"/>
    </row>
    <row r="556" spans="1:4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P556" s="1"/>
      <c r="AT556" s="1"/>
    </row>
    <row r="557" spans="1:46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P557" s="1"/>
      <c r="AT557" s="1"/>
    </row>
    <row r="558" spans="1:46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P558" s="1"/>
      <c r="AT558" s="1"/>
    </row>
    <row r="559" spans="1:46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P559" s="1"/>
      <c r="AT559" s="1"/>
    </row>
    <row r="560" spans="1:46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P560" s="1"/>
      <c r="AT560" s="1"/>
    </row>
    <row r="561" spans="1:46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P561" s="1"/>
      <c r="AT561" s="1"/>
    </row>
    <row r="562" spans="1:46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P562" s="1"/>
      <c r="AT562" s="1"/>
    </row>
    <row r="563" spans="1:46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P563" s="1"/>
      <c r="AT563" s="1"/>
    </row>
    <row r="564" spans="1:46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P564" s="1"/>
      <c r="AT564" s="1"/>
    </row>
    <row r="565" spans="1:46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P565" s="1"/>
      <c r="AT565" s="1"/>
    </row>
    <row r="566" spans="1:4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P566" s="1"/>
      <c r="AT566" s="1"/>
    </row>
    <row r="567" spans="1:46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P567" s="1"/>
      <c r="AT567" s="1"/>
    </row>
    <row r="568" spans="1:46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P568" s="1"/>
      <c r="AT568" s="1"/>
    </row>
    <row r="569" spans="1:46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P569" s="1"/>
      <c r="AT569" s="1"/>
    </row>
    <row r="570" spans="1:46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P570" s="1"/>
      <c r="AT570" s="1"/>
    </row>
    <row r="571" spans="1:46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P571" s="1"/>
      <c r="AT571" s="1"/>
    </row>
    <row r="572" spans="1:46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P572" s="1"/>
      <c r="AT572" s="1"/>
    </row>
    <row r="573" spans="1:46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P573" s="1"/>
      <c r="AT573" s="1"/>
    </row>
    <row r="574" spans="1:46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P574" s="1"/>
      <c r="AT574" s="1"/>
    </row>
    <row r="575" spans="1:46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P575" s="1"/>
      <c r="AT575" s="1"/>
    </row>
    <row r="576" spans="1:4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P576" s="1"/>
      <c r="AT576" s="1"/>
    </row>
    <row r="577" spans="1:46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P577" s="1"/>
      <c r="AT577" s="1"/>
    </row>
    <row r="578" spans="1:46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P578" s="1"/>
      <c r="AT578" s="1"/>
    </row>
    <row r="579" spans="1:46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P579" s="1"/>
      <c r="AT579" s="1"/>
    </row>
    <row r="580" spans="1:46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P580" s="1"/>
      <c r="AT580" s="1"/>
    </row>
    <row r="581" spans="1:46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P581" s="1"/>
      <c r="AT581" s="1"/>
    </row>
    <row r="582" spans="1:46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P582" s="1"/>
      <c r="AT582" s="1"/>
    </row>
    <row r="583" spans="1:46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P583" s="1"/>
      <c r="AT583" s="1"/>
    </row>
    <row r="584" spans="1:46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P584" s="1"/>
      <c r="AT584" s="1"/>
    </row>
    <row r="585" spans="1:46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P585" s="1"/>
      <c r="AT585" s="1"/>
    </row>
    <row r="586" spans="1:4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P586" s="1"/>
      <c r="AT586" s="1"/>
    </row>
    <row r="587" spans="1:46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P587" s="1"/>
      <c r="AT587" s="1"/>
    </row>
    <row r="588" spans="1:46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P588" s="1"/>
      <c r="AT588" s="1"/>
    </row>
    <row r="589" spans="1:46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P589" s="1"/>
      <c r="AT589" s="1"/>
    </row>
    <row r="590" spans="1:46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P590" s="1"/>
      <c r="AT590" s="1"/>
    </row>
    <row r="591" spans="1:46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P591" s="1"/>
      <c r="AT591" s="1"/>
    </row>
    <row r="592" spans="1:46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P592" s="1"/>
      <c r="AT592" s="1"/>
    </row>
    <row r="593" spans="1:46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P593" s="1"/>
      <c r="AT593" s="1"/>
    </row>
    <row r="594" spans="1:46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P594" s="1"/>
      <c r="AT594" s="1"/>
    </row>
    <row r="595" spans="1:46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P595" s="1"/>
      <c r="AT595" s="1"/>
    </row>
    <row r="596" spans="1:4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P596" s="1"/>
      <c r="AT596" s="1"/>
    </row>
    <row r="597" spans="1:46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P597" s="1"/>
      <c r="AT597" s="1"/>
    </row>
    <row r="598" spans="1:46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P598" s="1"/>
      <c r="AT598" s="1"/>
    </row>
    <row r="599" spans="1:46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P599" s="1"/>
      <c r="AT599" s="1"/>
    </row>
    <row r="600" spans="1:46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P600" s="1"/>
      <c r="AT600" s="1"/>
    </row>
    <row r="601" spans="1:46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P601" s="1"/>
      <c r="AT601" s="1"/>
    </row>
    <row r="602" spans="1:46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P602" s="1"/>
      <c r="AT602" s="1"/>
    </row>
    <row r="603" spans="1:46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P603" s="1"/>
      <c r="AT603" s="1"/>
    </row>
    <row r="604" spans="1:46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P604" s="1"/>
      <c r="AT604" s="1"/>
    </row>
    <row r="605" spans="1:46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P605" s="1"/>
      <c r="AT605" s="1"/>
    </row>
    <row r="606" spans="1:4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P606" s="1"/>
      <c r="AT606" s="1"/>
    </row>
    <row r="607" spans="1:46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P607" s="1"/>
      <c r="AT607" s="1"/>
    </row>
    <row r="608" spans="1:46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P608" s="1"/>
      <c r="AT608" s="1"/>
    </row>
    <row r="609" spans="1:46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P609" s="1"/>
      <c r="AT609" s="1"/>
    </row>
    <row r="610" spans="1:46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P610" s="1"/>
      <c r="AT610" s="1"/>
    </row>
    <row r="611" spans="1:46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P611" s="1"/>
      <c r="AT611" s="1"/>
    </row>
    <row r="612" spans="1:46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P612" s="1"/>
      <c r="AT612" s="1"/>
    </row>
    <row r="613" spans="1:46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P613" s="1"/>
      <c r="AT613" s="1"/>
    </row>
    <row r="614" spans="1:46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P614" s="1"/>
      <c r="AT614" s="1"/>
    </row>
    <row r="615" spans="1:46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P615" s="1"/>
      <c r="AT615" s="1"/>
    </row>
    <row r="616" spans="1:4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P616" s="1"/>
      <c r="AT616" s="1"/>
    </row>
    <row r="617" spans="1:46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P617" s="1"/>
      <c r="AT617" s="1"/>
    </row>
    <row r="618" spans="1:46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P618" s="1"/>
      <c r="AT618" s="1"/>
    </row>
    <row r="619" spans="1:46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P619" s="1"/>
      <c r="AT619" s="1"/>
    </row>
    <row r="620" spans="1:46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P620" s="1"/>
      <c r="AT620" s="1"/>
    </row>
    <row r="621" spans="1:46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P621" s="1"/>
      <c r="AT621" s="1"/>
    </row>
    <row r="622" spans="1:46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P622" s="1"/>
      <c r="AT622" s="1"/>
    </row>
    <row r="623" spans="1:46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P623" s="1"/>
      <c r="AT623" s="1"/>
    </row>
    <row r="624" spans="1:46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P624" s="1"/>
      <c r="AT624" s="1"/>
    </row>
    <row r="625" spans="1:46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P625" s="1"/>
      <c r="AT625" s="1"/>
    </row>
    <row r="626" spans="1:4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P626" s="1"/>
      <c r="AT626" s="1"/>
    </row>
    <row r="627" spans="1:46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P627" s="1"/>
      <c r="AT627" s="1"/>
    </row>
    <row r="628" spans="1:46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P628" s="1"/>
      <c r="AT628" s="1"/>
    </row>
    <row r="629" spans="1:46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P629" s="1"/>
      <c r="AT629" s="1"/>
    </row>
    <row r="630" spans="1:46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P630" s="1"/>
      <c r="AT630" s="1"/>
    </row>
    <row r="631" spans="1:46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P631" s="1"/>
      <c r="AT631" s="1"/>
    </row>
    <row r="632" spans="1:46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P632" s="1"/>
      <c r="AT632" s="1"/>
    </row>
    <row r="633" spans="1:46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P633" s="1"/>
      <c r="AT633" s="1"/>
    </row>
    <row r="634" spans="1:46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P634" s="1"/>
      <c r="AT634" s="1"/>
    </row>
    <row r="635" spans="1:46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P635" s="1"/>
      <c r="AT635" s="1"/>
    </row>
    <row r="636" spans="1:4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P636" s="1"/>
      <c r="AT636" s="1"/>
    </row>
    <row r="637" spans="1:46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P637" s="1"/>
      <c r="AT637" s="1"/>
    </row>
    <row r="638" spans="1:46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P638" s="1"/>
      <c r="AT638" s="1"/>
    </row>
    <row r="639" spans="1:46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P639" s="1"/>
      <c r="AT639" s="1"/>
    </row>
    <row r="640" spans="1:46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P640" s="1"/>
      <c r="AT640" s="1"/>
    </row>
    <row r="641" spans="1:46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P641" s="1"/>
      <c r="AT641" s="1"/>
    </row>
    <row r="642" spans="1:46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P642" s="1"/>
      <c r="AT642" s="1"/>
    </row>
    <row r="643" spans="1:46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P643" s="1"/>
      <c r="AT643" s="1"/>
    </row>
    <row r="644" spans="1:46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P644" s="1"/>
      <c r="AT644" s="1"/>
    </row>
    <row r="645" spans="1:46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P645" s="1"/>
      <c r="AT645" s="1"/>
    </row>
    <row r="646" spans="1:4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P646" s="1"/>
      <c r="AT646" s="1"/>
    </row>
    <row r="647" spans="1:46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P647" s="1"/>
      <c r="AT647" s="1"/>
    </row>
    <row r="648" spans="1:46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P648" s="1"/>
      <c r="AT648" s="1"/>
    </row>
    <row r="649" spans="1:46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P649" s="1"/>
      <c r="AT649" s="1"/>
    </row>
    <row r="650" spans="1:46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P650" s="1"/>
      <c r="AT650" s="1"/>
    </row>
    <row r="651" spans="1:46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P651" s="1"/>
      <c r="AT651" s="1"/>
    </row>
    <row r="652" spans="1:46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P652" s="1"/>
      <c r="AT652" s="1"/>
    </row>
    <row r="653" spans="1:46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P653" s="1"/>
      <c r="AT653" s="1"/>
    </row>
    <row r="654" spans="1:46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P654" s="1"/>
      <c r="AT654" s="1"/>
    </row>
    <row r="655" spans="1:46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P655" s="1"/>
      <c r="AT655" s="1"/>
    </row>
    <row r="656" spans="1:4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P656" s="1"/>
      <c r="AT656" s="1"/>
    </row>
    <row r="657" spans="1:46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P657" s="1"/>
      <c r="AT657" s="1"/>
    </row>
    <row r="658" spans="1:46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P658" s="1"/>
      <c r="AT658" s="1"/>
    </row>
    <row r="659" spans="1:46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P659" s="1"/>
      <c r="AT659" s="1"/>
    </row>
    <row r="660" spans="1:46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P660" s="1"/>
      <c r="AT660" s="1"/>
    </row>
    <row r="661" spans="1:46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P661" s="1"/>
      <c r="AT661" s="1"/>
    </row>
    <row r="662" spans="1:46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P662" s="1"/>
      <c r="AT662" s="1"/>
    </row>
    <row r="663" spans="1:46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P663" s="1"/>
      <c r="AT663" s="1"/>
    </row>
    <row r="664" spans="1:46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P664" s="1"/>
      <c r="AT664" s="1"/>
    </row>
    <row r="665" spans="1:46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P665" s="1"/>
      <c r="AT665" s="1"/>
    </row>
    <row r="666" spans="1:4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P666" s="1"/>
      <c r="AT666" s="1"/>
    </row>
    <row r="667" spans="1:46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P667" s="1"/>
      <c r="AT667" s="1"/>
    </row>
    <row r="668" spans="1:46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P668" s="1"/>
      <c r="AT668" s="1"/>
    </row>
    <row r="669" spans="1:46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P669" s="1"/>
      <c r="AT669" s="1"/>
    </row>
    <row r="670" spans="1:46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P670" s="1"/>
      <c r="AT670" s="1"/>
    </row>
    <row r="671" spans="1:46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P671" s="1"/>
      <c r="AT671" s="1"/>
    </row>
    <row r="672" spans="1:46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P672" s="1"/>
      <c r="AT672" s="1"/>
    </row>
    <row r="673" spans="1:46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P673" s="1"/>
      <c r="AT673" s="1"/>
    </row>
    <row r="674" spans="1:46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P674" s="1"/>
      <c r="AT674" s="1"/>
    </row>
    <row r="675" spans="1:46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P675" s="1"/>
      <c r="AT675" s="1"/>
    </row>
    <row r="676" spans="1:4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P676" s="1"/>
      <c r="AT676" s="1"/>
    </row>
    <row r="677" spans="1:46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P677" s="1"/>
      <c r="AT677" s="1"/>
    </row>
    <row r="678" spans="1:46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P678" s="1"/>
      <c r="AT678" s="1"/>
    </row>
    <row r="679" spans="1:46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P679" s="1"/>
      <c r="AT679" s="1"/>
    </row>
    <row r="680" spans="1:46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P680" s="1"/>
      <c r="AT680" s="1"/>
    </row>
    <row r="681" spans="1:46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P681" s="1"/>
      <c r="AT681" s="1"/>
    </row>
    <row r="682" spans="1:46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P682" s="1"/>
      <c r="AT682" s="1"/>
    </row>
    <row r="683" spans="1:46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P683" s="1"/>
      <c r="AT683" s="1"/>
    </row>
    <row r="684" spans="1:46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P684" s="1"/>
      <c r="AT684" s="1"/>
    </row>
    <row r="685" spans="1:46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P685" s="1"/>
      <c r="AT685" s="1"/>
    </row>
    <row r="686" spans="1:4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P686" s="1"/>
      <c r="AT686" s="1"/>
    </row>
    <row r="687" spans="1:46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P687" s="1"/>
      <c r="AT687" s="1"/>
    </row>
    <row r="688" spans="1:46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P688" s="1"/>
      <c r="AT688" s="1"/>
    </row>
    <row r="689" spans="1:46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P689" s="1"/>
      <c r="AT689" s="1"/>
    </row>
    <row r="690" spans="1:46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P690" s="1"/>
      <c r="AT690" s="1"/>
    </row>
    <row r="691" spans="1:46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P691" s="1"/>
      <c r="AT691" s="1"/>
    </row>
    <row r="692" spans="1:46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P692" s="1"/>
      <c r="AT692" s="1"/>
    </row>
    <row r="693" spans="1:46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P693" s="1"/>
      <c r="AT693" s="1"/>
    </row>
    <row r="694" spans="1:46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P694" s="1"/>
      <c r="AT694" s="1"/>
    </row>
    <row r="695" spans="1:46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P695" s="1"/>
      <c r="AT695" s="1"/>
    </row>
    <row r="696" spans="1:4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P696" s="1"/>
      <c r="AT696" s="1"/>
    </row>
    <row r="697" spans="1:46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P697" s="1"/>
      <c r="AT697" s="1"/>
    </row>
    <row r="698" spans="1:46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P698" s="1"/>
      <c r="AT698" s="1"/>
    </row>
    <row r="699" spans="1:46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P699" s="1"/>
      <c r="AT699" s="1"/>
    </row>
    <row r="700" spans="1:46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P700" s="1"/>
      <c r="AT700" s="1"/>
    </row>
    <row r="701" spans="1:46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P701" s="1"/>
      <c r="AT701" s="1"/>
    </row>
    <row r="702" spans="1:46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P702" s="1"/>
      <c r="AT702" s="1"/>
    </row>
    <row r="703" spans="1:46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P703" s="1"/>
      <c r="AT703" s="1"/>
    </row>
    <row r="704" spans="1:46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P704" s="1"/>
      <c r="AT704" s="1"/>
    </row>
    <row r="705" spans="1:46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P705" s="1"/>
      <c r="AT705" s="1"/>
    </row>
    <row r="706" spans="1:4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P706" s="1"/>
      <c r="AT706" s="1"/>
    </row>
    <row r="707" spans="1:46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P707" s="1"/>
      <c r="AT707" s="1"/>
    </row>
    <row r="708" spans="1:46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P708" s="1"/>
      <c r="AT708" s="1"/>
    </row>
    <row r="709" spans="1:46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P709" s="1"/>
      <c r="AT709" s="1"/>
    </row>
    <row r="710" spans="1:46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P710" s="1"/>
      <c r="AT710" s="1"/>
    </row>
    <row r="711" spans="1:46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P711" s="1"/>
      <c r="AT711" s="1"/>
    </row>
    <row r="712" spans="1:46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P712" s="1"/>
      <c r="AT712" s="1"/>
    </row>
    <row r="713" spans="1:46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P713" s="1"/>
      <c r="AT713" s="1"/>
    </row>
    <row r="714" spans="1:46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P714" s="1"/>
      <c r="AT714" s="1"/>
    </row>
    <row r="715" spans="1:46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P715" s="1"/>
      <c r="AT715" s="1"/>
    </row>
    <row r="716" spans="1:4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P716" s="1"/>
      <c r="AT716" s="1"/>
    </row>
    <row r="717" spans="1:46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P717" s="1"/>
      <c r="AT717" s="1"/>
    </row>
    <row r="718" spans="1:46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P718" s="1"/>
      <c r="AT718" s="1"/>
    </row>
    <row r="719" spans="1:46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P719" s="1"/>
      <c r="AT719" s="1"/>
    </row>
    <row r="720" spans="1:46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P720" s="1"/>
      <c r="AT720" s="1"/>
    </row>
    <row r="721" spans="1:46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P721" s="1"/>
      <c r="AT721" s="1"/>
    </row>
    <row r="722" spans="1:46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P722" s="1"/>
      <c r="AT722" s="1"/>
    </row>
    <row r="723" spans="1:46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P723" s="1"/>
      <c r="AT723" s="1"/>
    </row>
    <row r="724" spans="1:46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P724" s="1"/>
      <c r="AT724" s="1"/>
    </row>
    <row r="725" spans="1:46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P725" s="1"/>
      <c r="AT725" s="1"/>
    </row>
    <row r="726" spans="1:4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P726" s="1"/>
      <c r="AT726" s="1"/>
    </row>
    <row r="727" spans="1:46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P727" s="1"/>
      <c r="AT727" s="1"/>
    </row>
    <row r="728" spans="1:46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P728" s="1"/>
      <c r="AT728" s="1"/>
    </row>
    <row r="729" spans="1:46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P729" s="1"/>
      <c r="AT729" s="1"/>
    </row>
    <row r="730" spans="1:46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P730" s="1"/>
      <c r="AT730" s="1"/>
    </row>
    <row r="731" spans="1:46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P731" s="1"/>
      <c r="AT731" s="1"/>
    </row>
    <row r="732" spans="1:46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P732" s="1"/>
      <c r="AT732" s="1"/>
    </row>
    <row r="733" spans="1:46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P733" s="1"/>
      <c r="AT733" s="1"/>
    </row>
    <row r="734" spans="1:46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P734" s="1"/>
      <c r="AT734" s="1"/>
    </row>
    <row r="735" spans="1:46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P735" s="1"/>
      <c r="AT735" s="1"/>
    </row>
    <row r="736" spans="1:4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P736" s="1"/>
      <c r="AT736" s="1"/>
    </row>
    <row r="737" spans="1:46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P737" s="1"/>
      <c r="AT737" s="1"/>
    </row>
    <row r="738" spans="1:46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P738" s="1"/>
      <c r="AT738" s="1"/>
    </row>
    <row r="739" spans="1:46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P739" s="1"/>
      <c r="AT739" s="1"/>
    </row>
    <row r="740" spans="1:46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P740" s="1"/>
      <c r="AT740" s="1"/>
    </row>
    <row r="741" spans="1:46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P741" s="1"/>
      <c r="AT741" s="1"/>
    </row>
    <row r="742" spans="1:46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P742" s="1"/>
      <c r="AT742" s="1"/>
    </row>
    <row r="743" spans="1:46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P743" s="1"/>
      <c r="AT743" s="1"/>
    </row>
    <row r="744" spans="1:46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P744" s="1"/>
      <c r="AT744" s="1"/>
    </row>
    <row r="745" spans="1:46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P745" s="1"/>
      <c r="AT745" s="1"/>
    </row>
    <row r="746" spans="1:4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P746" s="1"/>
      <c r="AT746" s="1"/>
    </row>
    <row r="747" spans="1:46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P747" s="1"/>
      <c r="AT747" s="1"/>
    </row>
    <row r="748" spans="1:46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P748" s="1"/>
      <c r="AT748" s="1"/>
    </row>
    <row r="749" spans="1:46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P749" s="1"/>
      <c r="AT749" s="1"/>
    </row>
    <row r="750" spans="1:46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P750" s="1"/>
      <c r="AT750" s="1"/>
    </row>
    <row r="751" spans="1:46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P751" s="1"/>
      <c r="AT751" s="1"/>
    </row>
    <row r="752" spans="1:46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P752" s="1"/>
      <c r="AT752" s="1"/>
    </row>
    <row r="753" spans="1:46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P753" s="1"/>
      <c r="AT753" s="1"/>
    </row>
    <row r="754" spans="1:46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P754" s="1"/>
      <c r="AT754" s="1"/>
    </row>
    <row r="755" spans="1:46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P755" s="1"/>
      <c r="AT755" s="1"/>
    </row>
    <row r="756" spans="1:4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P756" s="1"/>
      <c r="AT756" s="1"/>
    </row>
    <row r="757" spans="1:46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P757" s="1"/>
      <c r="AT757" s="1"/>
    </row>
    <row r="758" spans="1:46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P758" s="1"/>
      <c r="AT758" s="1"/>
    </row>
    <row r="759" spans="1:46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P759" s="1"/>
      <c r="AT759" s="1"/>
    </row>
    <row r="760" spans="1:46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P760" s="1"/>
      <c r="AT760" s="1"/>
    </row>
    <row r="761" spans="1:46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P761" s="1"/>
      <c r="AT761" s="1"/>
    </row>
    <row r="762" spans="1:46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P762" s="1"/>
      <c r="AT762" s="1"/>
    </row>
    <row r="763" spans="1:46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P763" s="1"/>
      <c r="AT763" s="1"/>
    </row>
    <row r="764" spans="1:46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P764" s="1"/>
      <c r="AT764" s="1"/>
    </row>
    <row r="765" spans="1:46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P765" s="1"/>
      <c r="AT765" s="1"/>
    </row>
    <row r="766" spans="1:4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P766" s="1"/>
      <c r="AT766" s="1"/>
    </row>
    <row r="767" spans="1:46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P767" s="1"/>
      <c r="AT767" s="1"/>
    </row>
    <row r="768" spans="1:46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P768" s="1"/>
      <c r="AT768" s="1"/>
    </row>
    <row r="769" spans="1:46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P769" s="1"/>
      <c r="AT769" s="1"/>
    </row>
    <row r="770" spans="1:46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P770" s="1"/>
      <c r="AT770" s="1"/>
    </row>
    <row r="771" spans="1:46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P771" s="1"/>
      <c r="AT771" s="1"/>
    </row>
    <row r="772" spans="1:46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P772" s="1"/>
      <c r="AT772" s="1"/>
    </row>
    <row r="773" spans="1:46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P773" s="1"/>
      <c r="AT773" s="1"/>
    </row>
    <row r="774" spans="1:46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P774" s="1"/>
      <c r="AT774" s="1"/>
    </row>
    <row r="775" spans="1:46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P775" s="1"/>
      <c r="AT775" s="1"/>
    </row>
    <row r="776" spans="1:4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P776" s="1"/>
      <c r="AT776" s="1"/>
    </row>
    <row r="777" spans="1:46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P777" s="1"/>
      <c r="AT777" s="1"/>
    </row>
    <row r="778" spans="1:46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P778" s="1"/>
      <c r="AT778" s="1"/>
    </row>
    <row r="779" spans="1:46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P779" s="1"/>
      <c r="AT779" s="1"/>
    </row>
    <row r="780" spans="1:46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P780" s="1"/>
      <c r="AT780" s="1"/>
    </row>
    <row r="781" spans="1:46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P781" s="1"/>
      <c r="AT781" s="1"/>
    </row>
    <row r="782" spans="1:46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P782" s="1"/>
      <c r="AT782" s="1"/>
    </row>
    <row r="783" spans="1:46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P783" s="1"/>
      <c r="AT783" s="1"/>
    </row>
    <row r="784" spans="1:46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P784" s="1"/>
      <c r="AT784" s="1"/>
    </row>
    <row r="785" spans="1:46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P785" s="1"/>
      <c r="AT785" s="1"/>
    </row>
    <row r="786" spans="1:4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P786" s="1"/>
      <c r="AT786" s="1"/>
    </row>
    <row r="787" spans="1:46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P787" s="1"/>
      <c r="AT787" s="1"/>
    </row>
    <row r="788" spans="1:46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P788" s="1"/>
      <c r="AT788" s="1"/>
    </row>
    <row r="789" spans="1:46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P789" s="1"/>
      <c r="AT789" s="1"/>
    </row>
    <row r="790" spans="1:46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P790" s="1"/>
      <c r="AT790" s="1"/>
    </row>
    <row r="791" spans="1:46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P791" s="1"/>
      <c r="AT791" s="1"/>
    </row>
    <row r="792" spans="1:46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P792" s="1"/>
      <c r="AT792" s="1"/>
    </row>
    <row r="793" spans="1:46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P793" s="1"/>
      <c r="AT793" s="1"/>
    </row>
    <row r="794" spans="1:46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P794" s="1"/>
      <c r="AT794" s="1"/>
    </row>
    <row r="795" spans="1:46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P795" s="1"/>
      <c r="AT795" s="1"/>
    </row>
    <row r="796" spans="1:4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P796" s="1"/>
      <c r="AT796" s="1"/>
    </row>
    <row r="797" spans="1:46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P797" s="1"/>
      <c r="AT797" s="1"/>
    </row>
    <row r="798" spans="1:46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P798" s="1"/>
      <c r="AT798" s="1"/>
    </row>
    <row r="799" spans="1:46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P799" s="1"/>
      <c r="AT799" s="1"/>
    </row>
    <row r="800" spans="1:46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P800" s="1"/>
      <c r="AT800" s="1"/>
    </row>
    <row r="801" spans="1:46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P801" s="1"/>
      <c r="AT801" s="1"/>
    </row>
    <row r="802" spans="1:46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P802" s="1"/>
      <c r="AT802" s="1"/>
    </row>
    <row r="803" spans="1:46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P803" s="1"/>
      <c r="AT803" s="1"/>
    </row>
    <row r="804" spans="1:46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P804" s="1"/>
      <c r="AT804" s="1"/>
    </row>
    <row r="805" spans="1:46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P805" s="1"/>
      <c r="AT805" s="1"/>
    </row>
    <row r="806" spans="1:4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P806" s="1"/>
      <c r="AT806" s="1"/>
    </row>
    <row r="807" spans="1:46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P807" s="1"/>
      <c r="AT807" s="1"/>
    </row>
    <row r="808" spans="1:46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P808" s="1"/>
      <c r="AT808" s="1"/>
    </row>
    <row r="809" spans="1:46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P809" s="1"/>
      <c r="AT809" s="1"/>
    </row>
    <row r="810" spans="1:46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P810" s="1"/>
      <c r="AT810" s="1"/>
    </row>
    <row r="811" spans="1:46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P811" s="1"/>
      <c r="AT811" s="1"/>
    </row>
    <row r="812" spans="1:46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P812" s="1"/>
      <c r="AT812" s="1"/>
    </row>
    <row r="813" spans="1:46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P813" s="1"/>
      <c r="AT813" s="1"/>
    </row>
    <row r="814" spans="1:46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P814" s="1"/>
      <c r="AT814" s="1"/>
    </row>
    <row r="815" spans="1:46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P815" s="1"/>
      <c r="AT815" s="1"/>
    </row>
    <row r="816" spans="1:4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P816" s="1"/>
      <c r="AT816" s="1"/>
    </row>
    <row r="817" spans="1:46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P817" s="1"/>
      <c r="AT817" s="1"/>
    </row>
    <row r="818" spans="1:46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P818" s="1"/>
      <c r="AT818" s="1"/>
    </row>
    <row r="819" spans="1:46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P819" s="1"/>
      <c r="AT819" s="1"/>
    </row>
    <row r="820" spans="1:46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P820" s="1"/>
      <c r="AT820" s="1"/>
    </row>
    <row r="821" spans="1:46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P821" s="1"/>
      <c r="AT821" s="1"/>
    </row>
    <row r="822" spans="1:46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P822" s="1"/>
      <c r="AT822" s="1"/>
    </row>
    <row r="823" spans="1:46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P823" s="1"/>
      <c r="AT823" s="1"/>
    </row>
    <row r="824" spans="1:46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P824" s="1"/>
      <c r="AT824" s="1"/>
    </row>
    <row r="825" spans="1:46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P825" s="1"/>
      <c r="AT825" s="1"/>
    </row>
    <row r="826" spans="1:4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P826" s="1"/>
      <c r="AT826" s="1"/>
    </row>
    <row r="827" spans="1:46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P827" s="1"/>
      <c r="AT827" s="1"/>
    </row>
    <row r="828" spans="1:46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P828" s="1"/>
      <c r="AT828" s="1"/>
    </row>
    <row r="829" spans="1:46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P829" s="1"/>
      <c r="AT829" s="1"/>
    </row>
    <row r="830" spans="1:46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P830" s="1"/>
      <c r="AT830" s="1"/>
    </row>
    <row r="831" spans="1:46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P831" s="1"/>
      <c r="AT831" s="1"/>
    </row>
    <row r="832" spans="1:46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P832" s="1"/>
      <c r="AT832" s="1"/>
    </row>
    <row r="833" spans="1:46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P833" s="1"/>
      <c r="AT833" s="1"/>
    </row>
    <row r="834" spans="1:46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P834" s="1"/>
      <c r="AT834" s="1"/>
    </row>
    <row r="835" spans="1:46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P835" s="1"/>
      <c r="AT835" s="1"/>
    </row>
    <row r="836" spans="1:4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P836" s="1"/>
      <c r="AT836" s="1"/>
    </row>
    <row r="837" spans="1:46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P837" s="1"/>
      <c r="AT837" s="1"/>
    </row>
    <row r="838" spans="1:46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P838" s="1"/>
      <c r="AT838" s="1"/>
    </row>
    <row r="839" spans="1:46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P839" s="1"/>
      <c r="AT839" s="1"/>
    </row>
    <row r="840" spans="1:46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P840" s="1"/>
      <c r="AT840" s="1"/>
    </row>
    <row r="841" spans="1:46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P841" s="1"/>
      <c r="AT841" s="1"/>
    </row>
    <row r="842" spans="1:46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P842" s="1"/>
      <c r="AT842" s="1"/>
    </row>
    <row r="843" spans="1:46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P843" s="1"/>
      <c r="AT843" s="1"/>
    </row>
    <row r="844" spans="1:46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P844" s="1"/>
      <c r="AT844" s="1"/>
    </row>
    <row r="845" spans="1:46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P845" s="1"/>
      <c r="AT845" s="1"/>
    </row>
    <row r="846" spans="1:4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P846" s="1"/>
      <c r="AT846" s="1"/>
    </row>
    <row r="847" spans="1:46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P847" s="1"/>
      <c r="AT847" s="1"/>
    </row>
    <row r="848" spans="1:46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P848" s="1"/>
      <c r="AT848" s="1"/>
    </row>
    <row r="849" spans="1:46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P849" s="1"/>
      <c r="AT849" s="1"/>
    </row>
    <row r="850" spans="1:46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P850" s="1"/>
      <c r="AT850" s="1"/>
    </row>
    <row r="851" spans="1:46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P851" s="1"/>
      <c r="AT851" s="1"/>
    </row>
    <row r="852" spans="1:46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P852" s="1"/>
      <c r="AT852" s="1"/>
    </row>
    <row r="853" spans="1:46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P853" s="1"/>
      <c r="AT853" s="1"/>
    </row>
    <row r="854" spans="1:46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P854" s="1"/>
      <c r="AT854" s="1"/>
    </row>
    <row r="855" spans="1:46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P855" s="1"/>
      <c r="AT855" s="1"/>
    </row>
    <row r="856" spans="1:4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P856" s="1"/>
      <c r="AT856" s="1"/>
    </row>
    <row r="857" spans="1:46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P857" s="1"/>
      <c r="AT857" s="1"/>
    </row>
    <row r="858" spans="1:46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P858" s="1"/>
      <c r="AT858" s="1"/>
    </row>
    <row r="859" spans="1:46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P859" s="1"/>
      <c r="AT859" s="1"/>
    </row>
    <row r="860" spans="1:46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P860" s="1"/>
      <c r="AT860" s="1"/>
    </row>
    <row r="861" spans="1:46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P861" s="1"/>
      <c r="AT861" s="1"/>
    </row>
    <row r="862" spans="1:46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P862" s="1"/>
      <c r="AT862" s="1"/>
    </row>
    <row r="863" spans="1:46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P863" s="1"/>
      <c r="AT863" s="1"/>
    </row>
    <row r="864" spans="1:46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P864" s="1"/>
      <c r="AT864" s="1"/>
    </row>
    <row r="865" spans="1:46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P865" s="1"/>
      <c r="AT865" s="1"/>
    </row>
    <row r="866" spans="1:4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P866" s="1"/>
      <c r="AT866" s="1"/>
    </row>
    <row r="867" spans="1:46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P867" s="1"/>
      <c r="AT867" s="1"/>
    </row>
    <row r="868" spans="1:46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P868" s="1"/>
      <c r="AT868" s="1"/>
    </row>
    <row r="869" spans="1:46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P869" s="1"/>
      <c r="AT869" s="1"/>
    </row>
    <row r="870" spans="1:46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P870" s="1"/>
      <c r="AT870" s="1"/>
    </row>
    <row r="871" spans="1:46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P871" s="1"/>
      <c r="AT871" s="1"/>
    </row>
    <row r="872" spans="1:46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P872" s="1"/>
      <c r="AT872" s="1"/>
    </row>
    <row r="873" spans="1:46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P873" s="1"/>
      <c r="AT873" s="1"/>
    </row>
    <row r="874" spans="1:46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P874" s="1"/>
      <c r="AT874" s="1"/>
    </row>
    <row r="875" spans="1:46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P875" s="1"/>
      <c r="AT875" s="1"/>
    </row>
    <row r="876" spans="1:4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P876" s="1"/>
      <c r="AT876" s="1"/>
    </row>
    <row r="877" spans="1:46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P877" s="1"/>
      <c r="AT877" s="1"/>
    </row>
    <row r="878" spans="1:46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P878" s="1"/>
      <c r="AT878" s="1"/>
    </row>
    <row r="879" spans="1:46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P879" s="1"/>
      <c r="AT879" s="1"/>
    </row>
    <row r="880" spans="1:46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P880" s="1"/>
      <c r="AT880" s="1"/>
    </row>
    <row r="881" spans="1:46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P881" s="1"/>
      <c r="AT881" s="1"/>
    </row>
    <row r="882" spans="1:46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P882" s="1"/>
      <c r="AT882" s="1"/>
    </row>
    <row r="883" spans="1:46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P883" s="1"/>
      <c r="AT883" s="1"/>
    </row>
    <row r="884" spans="1:46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P884" s="1"/>
      <c r="AT884" s="1"/>
    </row>
    <row r="885" spans="1:46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P885" s="1"/>
      <c r="AT885" s="1"/>
    </row>
    <row r="886" spans="1:4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P886" s="1"/>
      <c r="AT886" s="1"/>
    </row>
    <row r="887" spans="1:46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P887" s="1"/>
      <c r="AT887" s="1"/>
    </row>
    <row r="888" spans="1:46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P888" s="1"/>
      <c r="AT888" s="1"/>
    </row>
    <row r="889" spans="1:46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P889" s="1"/>
      <c r="AT889" s="1"/>
    </row>
    <row r="890" spans="1:46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P890" s="1"/>
      <c r="AT890" s="1"/>
    </row>
    <row r="891" spans="1:46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P891" s="1"/>
      <c r="AT891" s="1"/>
    </row>
    <row r="892" spans="1:46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P892" s="1"/>
      <c r="AT892" s="1"/>
    </row>
    <row r="893" spans="1:46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P893" s="1"/>
      <c r="AT893" s="1"/>
    </row>
    <row r="894" spans="1:46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P894" s="1"/>
      <c r="AT894" s="1"/>
    </row>
    <row r="895" spans="1:46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P895" s="1"/>
      <c r="AT895" s="1"/>
    </row>
    <row r="896" spans="1:4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P896" s="1"/>
      <c r="AT896" s="1"/>
    </row>
    <row r="897" spans="1:46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P897" s="1"/>
      <c r="AT897" s="1"/>
    </row>
    <row r="898" spans="1:46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P898" s="1"/>
      <c r="AT898" s="1"/>
    </row>
    <row r="899" spans="1:46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P899" s="1"/>
      <c r="AT899" s="1"/>
    </row>
    <row r="900" spans="1:46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P900" s="1"/>
      <c r="AT900" s="1"/>
    </row>
    <row r="901" spans="1:46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P901" s="1"/>
      <c r="AT901" s="1"/>
    </row>
    <row r="902" spans="1:46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P902" s="1"/>
      <c r="AT902" s="1"/>
    </row>
    <row r="903" spans="1:46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P903" s="1"/>
      <c r="AT903" s="1"/>
    </row>
    <row r="904" spans="1:46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P904" s="1"/>
      <c r="AT904" s="1"/>
    </row>
    <row r="905" spans="1:46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P905" s="1"/>
      <c r="AT905" s="1"/>
    </row>
    <row r="906" spans="1:4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P906" s="1"/>
      <c r="AT906" s="1"/>
    </row>
    <row r="907" spans="1:46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P907" s="1"/>
      <c r="AT907" s="1"/>
    </row>
    <row r="908" spans="1:46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P908" s="1"/>
      <c r="AT908" s="1"/>
    </row>
    <row r="909" spans="1:46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P909" s="1"/>
      <c r="AT909" s="1"/>
    </row>
    <row r="910" spans="1:46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P910" s="1"/>
      <c r="AT910" s="1"/>
    </row>
    <row r="911" spans="1:46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P911" s="1"/>
      <c r="AT911" s="1"/>
    </row>
    <row r="912" spans="1:46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P912" s="1"/>
      <c r="AT912" s="1"/>
    </row>
    <row r="913" spans="1:46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P913" s="1"/>
      <c r="AT913" s="1"/>
    </row>
    <row r="914" spans="1:46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P914" s="1"/>
      <c r="AT914" s="1"/>
    </row>
    <row r="915" spans="1:46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P915" s="1"/>
      <c r="AT915" s="1"/>
    </row>
    <row r="916" spans="1:4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P916" s="1"/>
      <c r="AT916" s="1"/>
    </row>
    <row r="917" spans="1:46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P917" s="1"/>
      <c r="AT917" s="1"/>
    </row>
    <row r="918" spans="1:46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P918" s="1"/>
      <c r="AT918" s="1"/>
    </row>
    <row r="919" spans="1:46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P919" s="1"/>
      <c r="AT919" s="1"/>
    </row>
    <row r="920" spans="1:46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P920" s="1"/>
      <c r="AT920" s="1"/>
    </row>
    <row r="921" spans="1:46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P921" s="1"/>
      <c r="AT921" s="1"/>
    </row>
    <row r="922" spans="1:46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P922" s="1"/>
      <c r="AT922" s="1"/>
    </row>
    <row r="923" spans="1:46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P923" s="1"/>
      <c r="AT923" s="1"/>
    </row>
    <row r="924" spans="1:46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P924" s="1"/>
      <c r="AT924" s="1"/>
    </row>
    <row r="925" spans="1:46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P925" s="1"/>
      <c r="AT925" s="1"/>
    </row>
    <row r="926" spans="1:4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P926" s="1"/>
      <c r="AT926" s="1"/>
    </row>
    <row r="927" spans="1:46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P927" s="1"/>
      <c r="AT927" s="1"/>
    </row>
    <row r="928" spans="1:46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P928" s="1"/>
      <c r="AT928" s="1"/>
    </row>
    <row r="929" spans="1:46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P929" s="1"/>
      <c r="AT929" s="1"/>
    </row>
    <row r="930" spans="1:46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P930" s="1"/>
      <c r="AT930" s="1"/>
    </row>
    <row r="931" spans="1:46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P931" s="1"/>
      <c r="AT931" s="1"/>
    </row>
    <row r="932" spans="1:46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P932" s="1"/>
      <c r="AT932" s="1"/>
    </row>
    <row r="933" spans="1:46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P933" s="1"/>
      <c r="AT933" s="1"/>
    </row>
    <row r="934" spans="1:46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P934" s="1"/>
      <c r="AT934" s="1"/>
    </row>
    <row r="935" spans="1:46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P935" s="1"/>
      <c r="AT935" s="1"/>
    </row>
    <row r="936" spans="1:4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P936" s="1"/>
      <c r="AT936" s="1"/>
    </row>
    <row r="937" spans="1:46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P937" s="1"/>
      <c r="AT937" s="1"/>
    </row>
    <row r="938" spans="1:46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P938" s="1"/>
      <c r="AT938" s="1"/>
    </row>
    <row r="939" spans="1:46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P939" s="1"/>
      <c r="AT939" s="1"/>
    </row>
    <row r="940" spans="1:46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P940" s="1"/>
      <c r="AT940" s="1"/>
    </row>
    <row r="941" spans="1:46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P941" s="1"/>
      <c r="AT941" s="1"/>
    </row>
    <row r="942" spans="1:46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P942" s="1"/>
      <c r="AT942" s="1"/>
    </row>
    <row r="943" spans="1:46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P943" s="1"/>
      <c r="AT943" s="1"/>
    </row>
    <row r="944" spans="1:46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P944" s="1"/>
      <c r="AT944" s="1"/>
    </row>
    <row r="945" spans="1:46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P945" s="1"/>
      <c r="AT945" s="1"/>
    </row>
    <row r="946" spans="1:4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P946" s="1"/>
      <c r="AT946" s="1"/>
    </row>
    <row r="947" spans="1:46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P947" s="1"/>
      <c r="AT947" s="1"/>
    </row>
    <row r="948" spans="1:46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P948" s="1"/>
      <c r="AT948" s="1"/>
    </row>
    <row r="949" spans="1:46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P949" s="1"/>
      <c r="AT949" s="1"/>
    </row>
    <row r="950" spans="1:46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P950" s="1"/>
      <c r="AT950" s="1"/>
    </row>
    <row r="951" spans="1:46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P951" s="1"/>
      <c r="AT951" s="1"/>
    </row>
    <row r="952" spans="1:46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P952" s="1"/>
      <c r="AT952" s="1"/>
    </row>
    <row r="953" spans="1:46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P953" s="1"/>
      <c r="AT953" s="1"/>
    </row>
    <row r="954" spans="1:46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P954" s="1"/>
      <c r="AT954" s="1"/>
    </row>
    <row r="955" spans="1:46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P955" s="1"/>
      <c r="AT955" s="1"/>
    </row>
    <row r="956" spans="1:4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P956" s="1"/>
      <c r="AT956" s="1"/>
    </row>
    <row r="957" spans="1:46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P957" s="1"/>
      <c r="AT957" s="1"/>
    </row>
    <row r="958" spans="1:46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P958" s="1"/>
      <c r="AT958" s="1"/>
    </row>
    <row r="959" spans="1:46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P959" s="1"/>
      <c r="AT959" s="1"/>
    </row>
    <row r="960" spans="1:46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P960" s="1"/>
      <c r="AT960" s="1"/>
    </row>
    <row r="961" spans="1:46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P961" s="1"/>
      <c r="AT961" s="1"/>
    </row>
    <row r="962" spans="1:46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P962" s="1"/>
      <c r="AT962" s="1"/>
    </row>
    <row r="963" spans="1:46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P963" s="1"/>
      <c r="AT963" s="1"/>
    </row>
    <row r="964" spans="1:46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P964" s="1"/>
      <c r="AT964" s="1"/>
    </row>
    <row r="965" spans="1:46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P965" s="1"/>
      <c r="AT965" s="1"/>
    </row>
    <row r="966" spans="1:46" ht="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P966" s="1"/>
      <c r="AT966" s="1"/>
    </row>
    <row r="967" spans="1:46" ht="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P967" s="1"/>
      <c r="AT967" s="1"/>
    </row>
    <row r="968" spans="1:46" ht="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P968" s="1"/>
      <c r="AT968" s="1"/>
    </row>
    <row r="969" spans="1:46" ht="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P969" s="1"/>
      <c r="AT969" s="1"/>
    </row>
    <row r="970" spans="1:46" ht="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P970" s="1"/>
      <c r="AT970" s="1"/>
    </row>
    <row r="971" spans="1:46" ht="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P971" s="1"/>
      <c r="AT971" s="1"/>
    </row>
    <row r="972" spans="1:46" ht="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P972" s="1"/>
      <c r="AT972" s="1"/>
    </row>
    <row r="973" spans="1:46" ht="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P973" s="1"/>
      <c r="AT973" s="1"/>
    </row>
    <row r="974" spans="1:46" ht="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P974" s="1"/>
      <c r="AT974" s="1"/>
    </row>
    <row r="975" spans="1:46" ht="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P975" s="1"/>
      <c r="AT975" s="1"/>
    </row>
    <row r="976" spans="1:46" ht="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P976" s="1"/>
      <c r="AT976" s="1"/>
    </row>
    <row r="977" spans="1:46" ht="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P977" s="1"/>
      <c r="AT977" s="1"/>
    </row>
    <row r="978" spans="1:46" ht="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P978" s="1"/>
      <c r="AT978" s="1"/>
    </row>
    <row r="979" spans="1:46" ht="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P979" s="1"/>
      <c r="AT979" s="1"/>
    </row>
    <row r="980" spans="1:46" ht="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P980" s="1"/>
      <c r="AT980" s="1"/>
    </row>
    <row r="981" spans="1:46" ht="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P981" s="1"/>
      <c r="AT981" s="1"/>
    </row>
    <row r="982" spans="1:46" ht="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P982" s="1"/>
      <c r="AT982" s="1"/>
    </row>
    <row r="983" spans="1:46" ht="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P983" s="1"/>
      <c r="AT983" s="1"/>
    </row>
    <row r="984" spans="1:46" ht="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P984" s="1"/>
      <c r="AT984" s="1"/>
    </row>
    <row r="985" spans="1:46" ht="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P985" s="1"/>
      <c r="AT985" s="1"/>
    </row>
    <row r="986" spans="1:46" ht="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P986" s="1"/>
      <c r="AT986" s="1"/>
    </row>
    <row r="987" spans="1:46" ht="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P987" s="1"/>
      <c r="AT987" s="1"/>
    </row>
    <row r="988" spans="1:46" ht="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P988" s="1"/>
      <c r="AT988" s="1"/>
    </row>
    <row r="989" spans="1:46" ht="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P989" s="1"/>
      <c r="AT989" s="1"/>
    </row>
    <row r="990" spans="1:46" ht="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P990" s="1"/>
      <c r="AT990" s="1"/>
    </row>
    <row r="991" spans="1:46" ht="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P991" s="1"/>
      <c r="AT991" s="1"/>
    </row>
    <row r="992" spans="1:46" ht="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P992" s="1"/>
      <c r="AT992" s="1"/>
    </row>
    <row r="993" spans="1:46" ht="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P993" s="1"/>
      <c r="AT993" s="1"/>
    </row>
    <row r="994" spans="1:46" ht="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P994" s="1"/>
      <c r="AT994" s="1"/>
    </row>
    <row r="995" spans="1:46" ht="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P995" s="1"/>
      <c r="AT995" s="1"/>
    </row>
    <row r="996" spans="1:46" ht="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P996" s="1"/>
      <c r="AT996" s="1"/>
    </row>
    <row r="997" spans="1:46" ht="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P997" s="1"/>
      <c r="AT997" s="1"/>
    </row>
    <row r="998" spans="1:46" ht="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P998" s="1"/>
      <c r="AT998" s="1"/>
    </row>
    <row r="999" spans="1:46" ht="9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P999" s="1"/>
      <c r="AT999" s="1"/>
    </row>
    <row r="1000" spans="1:46" ht="9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P1000" s="1"/>
      <c r="AT1000" s="1"/>
    </row>
    <row r="1001" spans="1:46" ht="9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P1001" s="1"/>
      <c r="AT1001" s="1"/>
    </row>
    <row r="1002" spans="1:46" ht="9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P1002" s="1"/>
      <c r="AT1002" s="1"/>
    </row>
    <row r="1003" spans="1:46" ht="9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P1003" s="1"/>
      <c r="AT1003" s="1"/>
    </row>
    <row r="1004" spans="1:46" ht="9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P1004" s="1"/>
      <c r="AT1004" s="1"/>
    </row>
    <row r="1005" spans="1:46" ht="9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P1005" s="1"/>
      <c r="AT1005" s="1"/>
    </row>
    <row r="1006" spans="1:46" ht="9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P1006" s="1"/>
      <c r="AT1006" s="1"/>
    </row>
    <row r="1007" spans="1:46" ht="9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P1007" s="1"/>
      <c r="AT1007" s="1"/>
    </row>
    <row r="1008" spans="1:46" ht="9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P1008" s="1"/>
      <c r="AT1008" s="1"/>
    </row>
    <row r="1009" spans="1:46" ht="9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P1009" s="1"/>
      <c r="AT1009" s="1"/>
    </row>
    <row r="1010" spans="1:46" ht="9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P1010" s="1"/>
      <c r="AT1010" s="1"/>
    </row>
    <row r="1011" spans="1:46" ht="9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P1011" s="1"/>
      <c r="AT1011" s="1"/>
    </row>
    <row r="1012" spans="1:46" ht="9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P1012" s="1"/>
      <c r="AT1012" s="1"/>
    </row>
    <row r="1013" spans="1:46" ht="9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P1013" s="1"/>
      <c r="AT1013" s="1"/>
    </row>
    <row r="1014" spans="1:46" ht="9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P1014" s="1"/>
      <c r="AT1014" s="1"/>
    </row>
    <row r="1015" spans="1:46" ht="9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P1015" s="1"/>
      <c r="AT1015" s="1"/>
    </row>
    <row r="1016" spans="1:46" ht="9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P1016" s="1"/>
      <c r="AT1016" s="1"/>
    </row>
    <row r="1017" spans="1:46" ht="9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P1017" s="1"/>
      <c r="AT1017" s="1"/>
    </row>
    <row r="1018" spans="1:46" ht="9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P1018" s="1"/>
      <c r="AT1018" s="1"/>
    </row>
    <row r="1019" spans="1:46" ht="9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T1019" s="1"/>
    </row>
  </sheetData>
  <mergeCells count="297">
    <mergeCell ref="A1:D1"/>
    <mergeCell ref="R1:V1"/>
    <mergeCell ref="A3:A45"/>
    <mergeCell ref="B4:B7"/>
    <mergeCell ref="C4:C7"/>
    <mergeCell ref="D4:D7"/>
    <mergeCell ref="E4:E7"/>
    <mergeCell ref="R4:X4"/>
    <mergeCell ref="B8:B11"/>
    <mergeCell ref="C8:C11"/>
    <mergeCell ref="B17:B20"/>
    <mergeCell ref="C17:C20"/>
    <mergeCell ref="D17:D20"/>
    <mergeCell ref="E17:E20"/>
    <mergeCell ref="B21:B24"/>
    <mergeCell ref="C21:C24"/>
    <mergeCell ref="D21:D24"/>
    <mergeCell ref="E21:E24"/>
    <mergeCell ref="D8:D11"/>
    <mergeCell ref="E8:E11"/>
    <mergeCell ref="B12:B16"/>
    <mergeCell ref="C12:C16"/>
    <mergeCell ref="D12:D16"/>
    <mergeCell ref="E12:E16"/>
    <mergeCell ref="B31:B32"/>
    <mergeCell ref="C31:C32"/>
    <mergeCell ref="D31:D32"/>
    <mergeCell ref="E31:E32"/>
    <mergeCell ref="B33:B34"/>
    <mergeCell ref="C33:C34"/>
    <mergeCell ref="D33:D34"/>
    <mergeCell ref="E33:E34"/>
    <mergeCell ref="B27:B28"/>
    <mergeCell ref="C27:C28"/>
    <mergeCell ref="D27:D28"/>
    <mergeCell ref="E27:E28"/>
    <mergeCell ref="B29:B30"/>
    <mergeCell ref="C29:C30"/>
    <mergeCell ref="D29:D30"/>
    <mergeCell ref="E29:E30"/>
    <mergeCell ref="B41:B43"/>
    <mergeCell ref="C41:C43"/>
    <mergeCell ref="D41:D43"/>
    <mergeCell ref="E41:E43"/>
    <mergeCell ref="A46:H46"/>
    <mergeCell ref="A50:D50"/>
    <mergeCell ref="B35:B38"/>
    <mergeCell ref="C35:C38"/>
    <mergeCell ref="D35:D38"/>
    <mergeCell ref="E35:E38"/>
    <mergeCell ref="B39:B40"/>
    <mergeCell ref="C39:C40"/>
    <mergeCell ref="D39:D40"/>
    <mergeCell ref="E39:E40"/>
    <mergeCell ref="W50:Z50"/>
    <mergeCell ref="A52:A142"/>
    <mergeCell ref="W52:W54"/>
    <mergeCell ref="X52:X53"/>
    <mergeCell ref="Y52:Y53"/>
    <mergeCell ref="Z52:Z53"/>
    <mergeCell ref="B61:B66"/>
    <mergeCell ref="C61:C66"/>
    <mergeCell ref="D61:D66"/>
    <mergeCell ref="E61:E66"/>
    <mergeCell ref="F61:F66"/>
    <mergeCell ref="G61:G66"/>
    <mergeCell ref="D67:D70"/>
    <mergeCell ref="E67:E70"/>
    <mergeCell ref="F67:F70"/>
    <mergeCell ref="G67:G70"/>
    <mergeCell ref="B89:B93"/>
    <mergeCell ref="C89:C93"/>
    <mergeCell ref="D89:D93"/>
    <mergeCell ref="E89:E93"/>
    <mergeCell ref="F89:F93"/>
    <mergeCell ref="G89:G93"/>
    <mergeCell ref="U81:U82"/>
    <mergeCell ref="B84:B88"/>
    <mergeCell ref="AA52:AA53"/>
    <mergeCell ref="B54:B59"/>
    <mergeCell ref="C54:C59"/>
    <mergeCell ref="D54:D59"/>
    <mergeCell ref="E54:E59"/>
    <mergeCell ref="F54:F59"/>
    <mergeCell ref="G54:G59"/>
    <mergeCell ref="W55:AD55"/>
    <mergeCell ref="B78:B80"/>
    <mergeCell ref="C78:C80"/>
    <mergeCell ref="D78:D80"/>
    <mergeCell ref="E78:E80"/>
    <mergeCell ref="F78:F80"/>
    <mergeCell ref="G78:G80"/>
    <mergeCell ref="B71:B73"/>
    <mergeCell ref="C71:C73"/>
    <mergeCell ref="E71:E73"/>
    <mergeCell ref="F71:F73"/>
    <mergeCell ref="G71:G73"/>
    <mergeCell ref="D75:D77"/>
    <mergeCell ref="E75:E77"/>
    <mergeCell ref="F75:F77"/>
    <mergeCell ref="G75:G77"/>
    <mergeCell ref="C84:C88"/>
    <mergeCell ref="D84:D88"/>
    <mergeCell ref="E84:E88"/>
    <mergeCell ref="F84:F88"/>
    <mergeCell ref="G84:G88"/>
    <mergeCell ref="B81:B82"/>
    <mergeCell ref="C81:C82"/>
    <mergeCell ref="D81:D82"/>
    <mergeCell ref="E81:E82"/>
    <mergeCell ref="F81:F82"/>
    <mergeCell ref="G81:G82"/>
    <mergeCell ref="B100:B103"/>
    <mergeCell ref="C100:C103"/>
    <mergeCell ref="D100:D103"/>
    <mergeCell ref="E100:E103"/>
    <mergeCell ref="F100:F103"/>
    <mergeCell ref="G100:G103"/>
    <mergeCell ref="B94:B99"/>
    <mergeCell ref="C94:C99"/>
    <mergeCell ref="D94:D99"/>
    <mergeCell ref="E94:E99"/>
    <mergeCell ref="F94:F99"/>
    <mergeCell ref="G94:G99"/>
    <mergeCell ref="B110:B113"/>
    <mergeCell ref="C110:C113"/>
    <mergeCell ref="D110:D113"/>
    <mergeCell ref="E110:E113"/>
    <mergeCell ref="F110:F113"/>
    <mergeCell ref="G110:G113"/>
    <mergeCell ref="D104:D106"/>
    <mergeCell ref="E104:E106"/>
    <mergeCell ref="F104:F106"/>
    <mergeCell ref="B107:B109"/>
    <mergeCell ref="C107:C109"/>
    <mergeCell ref="F107:F109"/>
    <mergeCell ref="B121:B125"/>
    <mergeCell ref="C121:C125"/>
    <mergeCell ref="D121:D125"/>
    <mergeCell ref="E121:E125"/>
    <mergeCell ref="F121:F125"/>
    <mergeCell ref="G121:G125"/>
    <mergeCell ref="D114:D117"/>
    <mergeCell ref="E114:E117"/>
    <mergeCell ref="F114:F117"/>
    <mergeCell ref="G114:G117"/>
    <mergeCell ref="B118:B120"/>
    <mergeCell ref="C118:C120"/>
    <mergeCell ref="F118:F120"/>
    <mergeCell ref="G118:G120"/>
    <mergeCell ref="B133:B136"/>
    <mergeCell ref="C133:C136"/>
    <mergeCell ref="D133:D136"/>
    <mergeCell ref="E133:E136"/>
    <mergeCell ref="F133:F136"/>
    <mergeCell ref="G133:G136"/>
    <mergeCell ref="B126:B131"/>
    <mergeCell ref="C126:C131"/>
    <mergeCell ref="D126:D131"/>
    <mergeCell ref="E126:E131"/>
    <mergeCell ref="F126:F131"/>
    <mergeCell ref="G126:G131"/>
    <mergeCell ref="B141:B142"/>
    <mergeCell ref="C141:C142"/>
    <mergeCell ref="D141:D142"/>
    <mergeCell ref="E141:E142"/>
    <mergeCell ref="F141:F142"/>
    <mergeCell ref="G141:G142"/>
    <mergeCell ref="B138:B140"/>
    <mergeCell ref="C138:C140"/>
    <mergeCell ref="D138:D140"/>
    <mergeCell ref="E138:E140"/>
    <mergeCell ref="F138:F140"/>
    <mergeCell ref="G138:G140"/>
    <mergeCell ref="A143:J143"/>
    <mergeCell ref="A149:D149"/>
    <mergeCell ref="W149:Z149"/>
    <mergeCell ref="A151:A238"/>
    <mergeCell ref="V151:V157"/>
    <mergeCell ref="W151:W154"/>
    <mergeCell ref="X151:X154"/>
    <mergeCell ref="Y151:Y154"/>
    <mergeCell ref="Z151:Z154"/>
    <mergeCell ref="B152:B154"/>
    <mergeCell ref="G155:G159"/>
    <mergeCell ref="V158:AC158"/>
    <mergeCell ref="B160:B163"/>
    <mergeCell ref="C160:C163"/>
    <mergeCell ref="D160:D163"/>
    <mergeCell ref="E160:E163"/>
    <mergeCell ref="F160:F163"/>
    <mergeCell ref="G160:G163"/>
    <mergeCell ref="C152:C154"/>
    <mergeCell ref="D152:D154"/>
    <mergeCell ref="E152:E154"/>
    <mergeCell ref="F152:F154"/>
    <mergeCell ref="G152:G154"/>
    <mergeCell ref="B155:B159"/>
    <mergeCell ref="C155:C159"/>
    <mergeCell ref="D155:D159"/>
    <mergeCell ref="E155:E159"/>
    <mergeCell ref="F155:F159"/>
    <mergeCell ref="B170:B174"/>
    <mergeCell ref="C170:C174"/>
    <mergeCell ref="D170:D174"/>
    <mergeCell ref="E170:E174"/>
    <mergeCell ref="F170:F174"/>
    <mergeCell ref="G170:G174"/>
    <mergeCell ref="B164:B169"/>
    <mergeCell ref="C164:C169"/>
    <mergeCell ref="D164:D169"/>
    <mergeCell ref="E164:E169"/>
    <mergeCell ref="F164:F169"/>
    <mergeCell ref="G164:G169"/>
    <mergeCell ref="B181:B186"/>
    <mergeCell ref="C181:C186"/>
    <mergeCell ref="D181:D186"/>
    <mergeCell ref="E181:E186"/>
    <mergeCell ref="F181:F186"/>
    <mergeCell ref="G181:G186"/>
    <mergeCell ref="B175:B179"/>
    <mergeCell ref="C175:C179"/>
    <mergeCell ref="D175:D179"/>
    <mergeCell ref="E175:E179"/>
    <mergeCell ref="F175:F179"/>
    <mergeCell ref="G175:G179"/>
    <mergeCell ref="B190:B192"/>
    <mergeCell ref="C190:C192"/>
    <mergeCell ref="D190:D192"/>
    <mergeCell ref="E190:E192"/>
    <mergeCell ref="F190:F192"/>
    <mergeCell ref="G190:G192"/>
    <mergeCell ref="B187:B188"/>
    <mergeCell ref="C187:C188"/>
    <mergeCell ref="D187:D188"/>
    <mergeCell ref="E187:E188"/>
    <mergeCell ref="F187:F188"/>
    <mergeCell ref="G187:G188"/>
    <mergeCell ref="D197:D198"/>
    <mergeCell ref="E197:E198"/>
    <mergeCell ref="F197:F198"/>
    <mergeCell ref="G197:G198"/>
    <mergeCell ref="B200:B201"/>
    <mergeCell ref="C200:C201"/>
    <mergeCell ref="B193:B196"/>
    <mergeCell ref="C193:C196"/>
    <mergeCell ref="D193:D196"/>
    <mergeCell ref="E193:E196"/>
    <mergeCell ref="F193:F196"/>
    <mergeCell ref="G193:G196"/>
    <mergeCell ref="B206:B208"/>
    <mergeCell ref="C206:C208"/>
    <mergeCell ref="D206:D208"/>
    <mergeCell ref="E206:E208"/>
    <mergeCell ref="F206:F208"/>
    <mergeCell ref="G206:G208"/>
    <mergeCell ref="B202:B205"/>
    <mergeCell ref="C202:C205"/>
    <mergeCell ref="D202:D205"/>
    <mergeCell ref="E202:E205"/>
    <mergeCell ref="F202:F205"/>
    <mergeCell ref="G202:G205"/>
    <mergeCell ref="C212:C217"/>
    <mergeCell ref="D212:D217"/>
    <mergeCell ref="E212:E217"/>
    <mergeCell ref="F212:F217"/>
    <mergeCell ref="G212:G217"/>
    <mergeCell ref="B209:B211"/>
    <mergeCell ref="C209:C211"/>
    <mergeCell ref="D209:D211"/>
    <mergeCell ref="E209:E211"/>
    <mergeCell ref="F209:F211"/>
    <mergeCell ref="G209:G211"/>
    <mergeCell ref="A239:J239"/>
    <mergeCell ref="G104:G106"/>
    <mergeCell ref="B235:B238"/>
    <mergeCell ref="C235:C238"/>
    <mergeCell ref="D235:D238"/>
    <mergeCell ref="E235:E238"/>
    <mergeCell ref="F235:F238"/>
    <mergeCell ref="G235:G238"/>
    <mergeCell ref="D224:D225"/>
    <mergeCell ref="E224:E225"/>
    <mergeCell ref="G224:G225"/>
    <mergeCell ref="B226:B233"/>
    <mergeCell ref="C226:C233"/>
    <mergeCell ref="D226:D233"/>
    <mergeCell ref="E226:E233"/>
    <mergeCell ref="F226:F233"/>
    <mergeCell ref="G226:G233"/>
    <mergeCell ref="B218:B223"/>
    <mergeCell ref="C218:C223"/>
    <mergeCell ref="D218:D223"/>
    <mergeCell ref="E218:E223"/>
    <mergeCell ref="F218:F223"/>
    <mergeCell ref="G218:G223"/>
    <mergeCell ref="B212:B217"/>
  </mergeCells>
  <pageMargins left="0.25" right="0.25" top="0.75" bottom="0.75" header="0" footer="0"/>
  <pageSetup paperSize="8" scale="4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C234-0067-4DA6-849C-D2044E704368}">
  <sheetPr>
    <tabColor rgb="FFFF0000"/>
  </sheetPr>
  <dimension ref="A1:AT1021"/>
  <sheetViews>
    <sheetView tabSelected="1" topLeftCell="A152" workbookViewId="0">
      <selection activeCell="T172" sqref="T172"/>
    </sheetView>
  </sheetViews>
  <sheetFormatPr baseColWidth="10" defaultColWidth="11.1640625" defaultRowHeight="15" customHeight="1"/>
  <cols>
    <col min="1" max="1" width="10.1640625" style="338" customWidth="1"/>
    <col min="2" max="2" width="11.1640625" style="338" bestFit="1" customWidth="1"/>
    <col min="3" max="3" width="12.5" style="338" bestFit="1" customWidth="1"/>
    <col min="4" max="4" width="11.83203125" style="338" customWidth="1"/>
    <col min="5" max="9" width="10.1640625" style="338" customWidth="1"/>
    <col min="10" max="10" width="12.6640625" style="338" bestFit="1" customWidth="1"/>
    <col min="11" max="16" width="10.1640625" style="338" customWidth="1"/>
    <col min="17" max="17" width="15.6640625" style="338" customWidth="1"/>
    <col min="18" max="18" width="12" style="338" customWidth="1"/>
    <col min="19" max="19" width="16.1640625" style="338" bestFit="1" customWidth="1"/>
    <col min="20" max="20" width="11.33203125" style="338" customWidth="1"/>
    <col min="21" max="21" width="17.5" style="338" customWidth="1"/>
    <col min="22" max="22" width="18.6640625" style="338" customWidth="1"/>
    <col min="23" max="39" width="10.1640625" style="338" customWidth="1"/>
    <col min="40" max="40" width="20.6640625" style="338" bestFit="1" customWidth="1"/>
    <col min="41" max="41" width="9" style="332" customWidth="1"/>
    <col min="42" max="42" width="6.5" style="674" customWidth="1"/>
    <col min="43" max="43" width="14.1640625" style="336" customWidth="1"/>
    <col min="44" max="44" width="9" style="336" customWidth="1"/>
    <col min="45" max="45" width="11.1640625" style="337" bestFit="1" customWidth="1"/>
    <col min="46" max="46" width="9" style="338" customWidth="1"/>
    <col min="47" max="16384" width="11.1640625" style="338"/>
  </cols>
  <sheetData>
    <row r="1" spans="1:46" ht="22.5" hidden="1" customHeight="1">
      <c r="A1" s="814" t="s">
        <v>0</v>
      </c>
      <c r="B1" s="814"/>
      <c r="C1" s="814"/>
      <c r="D1" s="814"/>
      <c r="E1" s="332"/>
      <c r="F1" s="332"/>
      <c r="G1" s="332"/>
      <c r="H1" s="332"/>
      <c r="I1" s="332"/>
      <c r="J1" s="332"/>
      <c r="K1" s="332"/>
      <c r="L1" s="332"/>
      <c r="M1" s="332"/>
      <c r="N1" s="332" t="s">
        <v>1</v>
      </c>
      <c r="O1" s="332" t="s">
        <v>2</v>
      </c>
      <c r="P1" s="332"/>
      <c r="Q1" s="332"/>
      <c r="R1" s="814" t="s">
        <v>3</v>
      </c>
      <c r="S1" s="814"/>
      <c r="T1" s="814"/>
      <c r="U1" s="814"/>
      <c r="V1" s="814"/>
      <c r="W1" s="332"/>
      <c r="X1" s="332"/>
      <c r="Y1" s="332"/>
      <c r="Z1" s="332"/>
      <c r="AA1" s="332"/>
      <c r="AB1" s="332"/>
      <c r="AC1" s="332"/>
      <c r="AD1" s="332"/>
      <c r="AE1" s="332"/>
      <c r="AF1" s="333"/>
      <c r="AG1" s="333"/>
      <c r="AH1" s="333"/>
      <c r="AI1" s="333"/>
      <c r="AJ1" s="332"/>
      <c r="AK1" s="332"/>
      <c r="AL1" s="332"/>
      <c r="AM1" s="332"/>
      <c r="AN1" s="332"/>
      <c r="AO1" s="334" t="s">
        <v>4</v>
      </c>
      <c r="AP1" s="335" t="s">
        <v>5</v>
      </c>
      <c r="AQ1" s="336" t="s">
        <v>6</v>
      </c>
      <c r="AR1" s="336" t="s">
        <v>7</v>
      </c>
      <c r="AS1" s="337" t="s">
        <v>8</v>
      </c>
      <c r="AT1" s="332"/>
    </row>
    <row r="2" spans="1:46" ht="22.5" hidden="1" customHeight="1">
      <c r="A2" s="339" t="s">
        <v>5</v>
      </c>
      <c r="B2" s="339" t="s">
        <v>9</v>
      </c>
      <c r="C2" s="339" t="s">
        <v>10</v>
      </c>
      <c r="D2" s="339" t="s">
        <v>11</v>
      </c>
      <c r="E2" s="340" t="s">
        <v>12</v>
      </c>
      <c r="F2" s="341" t="s">
        <v>13</v>
      </c>
      <c r="G2" s="342" t="s">
        <v>14</v>
      </c>
      <c r="H2" s="342" t="s">
        <v>7</v>
      </c>
      <c r="I2" s="343" t="s">
        <v>15</v>
      </c>
      <c r="J2" s="343" t="s">
        <v>16</v>
      </c>
      <c r="K2" s="344" t="s">
        <v>17</v>
      </c>
      <c r="L2" s="345" t="s">
        <v>18</v>
      </c>
      <c r="M2" s="345" t="s">
        <v>19</v>
      </c>
      <c r="N2" s="345" t="s">
        <v>20</v>
      </c>
      <c r="O2" s="345" t="s">
        <v>21</v>
      </c>
      <c r="P2" s="345" t="s">
        <v>22</v>
      </c>
      <c r="Q2" s="332"/>
      <c r="R2" s="339" t="s">
        <v>5</v>
      </c>
      <c r="S2" s="339" t="s">
        <v>9</v>
      </c>
      <c r="T2" s="339" t="s">
        <v>10</v>
      </c>
      <c r="U2" s="339"/>
      <c r="V2" s="341" t="s">
        <v>13</v>
      </c>
      <c r="W2" s="346" t="s">
        <v>14</v>
      </c>
      <c r="X2" s="346" t="s">
        <v>7</v>
      </c>
      <c r="Y2" s="343" t="s">
        <v>23</v>
      </c>
      <c r="Z2" s="343" t="s">
        <v>24</v>
      </c>
      <c r="AA2" s="343" t="s">
        <v>17</v>
      </c>
      <c r="AB2" s="345" t="s">
        <v>18</v>
      </c>
      <c r="AC2" s="345" t="s">
        <v>19</v>
      </c>
      <c r="AD2" s="345" t="s">
        <v>20</v>
      </c>
      <c r="AE2" s="345" t="s">
        <v>21</v>
      </c>
      <c r="AF2" s="333"/>
      <c r="AG2" s="347" t="s">
        <v>25</v>
      </c>
      <c r="AH2" s="348" t="s">
        <v>18</v>
      </c>
      <c r="AI2" s="348" t="s">
        <v>19</v>
      </c>
      <c r="AJ2" s="348" t="s">
        <v>20</v>
      </c>
      <c r="AK2" s="349" t="s">
        <v>21</v>
      </c>
      <c r="AL2" s="350"/>
      <c r="AM2" s="332"/>
      <c r="AN2" s="332" t="str">
        <f>AQ2&amp;AR2</f>
        <v>FAIRMONTVN 441</v>
      </c>
      <c r="AO2" s="334" t="s">
        <v>26</v>
      </c>
      <c r="AP2" s="351">
        <v>45923</v>
      </c>
      <c r="AQ2" s="336" t="s">
        <v>27</v>
      </c>
      <c r="AR2" s="336" t="s">
        <v>28</v>
      </c>
      <c r="AS2" s="337">
        <v>0.1076388888888889</v>
      </c>
      <c r="AT2" s="333"/>
    </row>
    <row r="3" spans="1:46" ht="15" hidden="1" customHeight="1">
      <c r="A3" s="815">
        <v>45923</v>
      </c>
      <c r="B3" s="352">
        <f t="shared" ref="B3:B4" si="0">C3-TIME(0,15,0)</f>
        <v>0.10763888888888888</v>
      </c>
      <c r="C3" s="353">
        <f>D3-TIME(1,0,0)</f>
        <v>0.11805555555555555</v>
      </c>
      <c r="D3" s="352">
        <f>F3</f>
        <v>0.15972222222222221</v>
      </c>
      <c r="E3" s="354"/>
      <c r="F3" s="352">
        <f t="shared" ref="F3:F16" si="1">G3-TIME(3,0,0)</f>
        <v>0.15972222222222221</v>
      </c>
      <c r="G3" s="352">
        <v>0.28472222222222221</v>
      </c>
      <c r="H3" s="355" t="s">
        <v>28</v>
      </c>
      <c r="I3" s="355">
        <v>2</v>
      </c>
      <c r="J3" s="355"/>
      <c r="K3" s="356">
        <f>SUM(I3:J3)</f>
        <v>2</v>
      </c>
      <c r="L3" s="355">
        <v>1</v>
      </c>
      <c r="M3" s="355"/>
      <c r="N3" s="355"/>
      <c r="O3" s="355"/>
      <c r="P3" s="355"/>
      <c r="Q3" s="332"/>
      <c r="R3" s="357">
        <v>45923</v>
      </c>
      <c r="S3" s="358">
        <f>T3-TIME(0,15,0)</f>
        <v>0.34722222222222221</v>
      </c>
      <c r="T3" s="359">
        <f>V3-TIME(0,30,0)</f>
        <v>0.3576388888888889</v>
      </c>
      <c r="U3" s="359"/>
      <c r="V3" s="358">
        <f>W3-TIME(3,0,0)</f>
        <v>0.37847222222222221</v>
      </c>
      <c r="W3" s="358">
        <v>0.50347222222222221</v>
      </c>
      <c r="X3" s="360" t="s">
        <v>29</v>
      </c>
      <c r="Y3" s="360"/>
      <c r="Z3" s="360">
        <v>3</v>
      </c>
      <c r="AA3" s="361">
        <v>3</v>
      </c>
      <c r="AB3" s="360">
        <v>1</v>
      </c>
      <c r="AC3" s="360"/>
      <c r="AD3" s="360"/>
      <c r="AE3" s="360"/>
      <c r="AF3" s="333"/>
      <c r="AG3" s="362" t="s">
        <v>30</v>
      </c>
      <c r="AH3" s="363">
        <f>AB4+AJ56+AI159</f>
        <v>4</v>
      </c>
      <c r="AI3" s="363">
        <f>AC4+AK56+AJ159</f>
        <v>2</v>
      </c>
      <c r="AJ3" s="363">
        <f>AD4+AL56+AK159</f>
        <v>0</v>
      </c>
      <c r="AK3" s="364">
        <f>AE4+AM56+AL159</f>
        <v>1</v>
      </c>
      <c r="AL3" s="332"/>
      <c r="AM3" s="332"/>
      <c r="AN3" s="332" t="str">
        <f t="shared" ref="AN3:AN66" si="2">AQ3&amp;AR3</f>
        <v>FAIRMONTKE 621</v>
      </c>
      <c r="AO3" s="334" t="s">
        <v>26</v>
      </c>
      <c r="AP3" s="351">
        <v>45923</v>
      </c>
      <c r="AQ3" s="336" t="s">
        <v>27</v>
      </c>
      <c r="AR3" s="336" t="s">
        <v>31</v>
      </c>
      <c r="AS3" s="337">
        <v>0.13541666666666666</v>
      </c>
      <c r="AT3" s="333"/>
    </row>
    <row r="4" spans="1:46" ht="22.5" hidden="1" customHeight="1">
      <c r="A4" s="815"/>
      <c r="B4" s="816">
        <f t="shared" si="0"/>
        <v>0.13541666666666669</v>
      </c>
      <c r="C4" s="817">
        <f>D4-TIME(1,0,0)</f>
        <v>0.14583333333333334</v>
      </c>
      <c r="D4" s="816">
        <f>E4-TIME(0,20,0)</f>
        <v>0.1875</v>
      </c>
      <c r="E4" s="818">
        <f>F4</f>
        <v>0.2013888888888889</v>
      </c>
      <c r="F4" s="365">
        <f t="shared" si="1"/>
        <v>0.2013888888888889</v>
      </c>
      <c r="G4" s="365">
        <v>0.3263888888888889</v>
      </c>
      <c r="H4" s="366" t="s">
        <v>31</v>
      </c>
      <c r="I4" s="366"/>
      <c r="J4" s="366">
        <v>2</v>
      </c>
      <c r="K4" s="367">
        <f>SUM(I4:J7)</f>
        <v>7</v>
      </c>
      <c r="L4" s="366"/>
      <c r="M4" s="368">
        <v>0</v>
      </c>
      <c r="N4" s="368">
        <v>1</v>
      </c>
      <c r="O4" s="366"/>
      <c r="P4" s="366"/>
      <c r="Q4" s="332"/>
      <c r="R4" s="819" t="s">
        <v>32</v>
      </c>
      <c r="S4" s="819"/>
      <c r="T4" s="819"/>
      <c r="U4" s="819"/>
      <c r="V4" s="819"/>
      <c r="W4" s="819"/>
      <c r="X4" s="819"/>
      <c r="Y4" s="369">
        <v>0</v>
      </c>
      <c r="Z4" s="370">
        <v>3</v>
      </c>
      <c r="AA4" s="371">
        <f>SUM(AA3)</f>
        <v>3</v>
      </c>
      <c r="AB4" s="372">
        <f>AB3</f>
        <v>1</v>
      </c>
      <c r="AC4" s="372">
        <v>0</v>
      </c>
      <c r="AD4" s="372">
        <v>0</v>
      </c>
      <c r="AE4" s="372">
        <v>0</v>
      </c>
      <c r="AF4" s="333"/>
      <c r="AG4" s="332"/>
      <c r="AH4" s="332"/>
      <c r="AI4" s="332"/>
      <c r="AJ4" s="332"/>
      <c r="AK4" s="332"/>
      <c r="AL4" s="332"/>
      <c r="AM4" s="332"/>
      <c r="AN4" s="332" t="str">
        <f t="shared" si="2"/>
        <v>FAIRMONTOZ 701</v>
      </c>
      <c r="AO4" s="334" t="s">
        <v>26</v>
      </c>
      <c r="AP4" s="351">
        <v>45923</v>
      </c>
      <c r="AQ4" s="336" t="s">
        <v>27</v>
      </c>
      <c r="AR4" s="336" t="s">
        <v>33</v>
      </c>
      <c r="AS4" s="337">
        <v>0.13541666666666666</v>
      </c>
      <c r="AT4" s="333"/>
    </row>
    <row r="5" spans="1:46" ht="15" hidden="1" customHeight="1">
      <c r="A5" s="815"/>
      <c r="B5" s="816"/>
      <c r="C5" s="817"/>
      <c r="D5" s="816"/>
      <c r="E5" s="818"/>
      <c r="F5" s="358">
        <f t="shared" si="1"/>
        <v>0.2013888888888889</v>
      </c>
      <c r="G5" s="358">
        <v>0.3263888888888889</v>
      </c>
      <c r="H5" s="360" t="s">
        <v>33</v>
      </c>
      <c r="I5" s="360">
        <v>2</v>
      </c>
      <c r="J5" s="360"/>
      <c r="K5" s="373"/>
      <c r="L5" s="360"/>
      <c r="M5" s="360"/>
      <c r="N5" s="360"/>
      <c r="O5" s="360"/>
      <c r="P5" s="360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 t="s">
        <v>34</v>
      </c>
      <c r="AC5" s="332" t="s">
        <v>35</v>
      </c>
      <c r="AD5" s="332" t="s">
        <v>36</v>
      </c>
      <c r="AE5" s="332" t="s">
        <v>37</v>
      </c>
      <c r="AF5" s="333"/>
      <c r="AG5" s="360" t="s">
        <v>25</v>
      </c>
      <c r="AH5" s="360" t="s">
        <v>18</v>
      </c>
      <c r="AI5" s="360" t="s">
        <v>19</v>
      </c>
      <c r="AJ5" s="360" t="s">
        <v>20</v>
      </c>
      <c r="AK5" s="360" t="s">
        <v>21</v>
      </c>
      <c r="AL5" s="360" t="s">
        <v>38</v>
      </c>
      <c r="AM5" s="332"/>
      <c r="AN5" s="332" t="str">
        <f t="shared" si="2"/>
        <v>FAIRMONTOZ 112</v>
      </c>
      <c r="AO5" s="334" t="s">
        <v>26</v>
      </c>
      <c r="AP5" s="351">
        <v>45923</v>
      </c>
      <c r="AQ5" s="336" t="s">
        <v>27</v>
      </c>
      <c r="AR5" s="336" t="s">
        <v>39</v>
      </c>
      <c r="AS5" s="337">
        <v>0.13541666666666666</v>
      </c>
      <c r="AT5" s="333"/>
    </row>
    <row r="6" spans="1:46" ht="15" hidden="1" customHeight="1">
      <c r="A6" s="815"/>
      <c r="B6" s="816"/>
      <c r="C6" s="817"/>
      <c r="D6" s="816"/>
      <c r="E6" s="818"/>
      <c r="F6" s="358">
        <f t="shared" si="1"/>
        <v>0.2048611111111111</v>
      </c>
      <c r="G6" s="358">
        <v>0.3298611111111111</v>
      </c>
      <c r="H6" s="360" t="s">
        <v>39</v>
      </c>
      <c r="I6" s="360">
        <v>2</v>
      </c>
      <c r="J6" s="360"/>
      <c r="K6" s="373"/>
      <c r="L6" s="360"/>
      <c r="M6" s="360"/>
      <c r="N6" s="360"/>
      <c r="O6" s="360"/>
      <c r="P6" s="360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74" t="s">
        <v>40</v>
      </c>
      <c r="AH6" s="374">
        <f>L46+P144+P241</f>
        <v>6</v>
      </c>
      <c r="AI6" s="374">
        <f>M46+Q144+Q241</f>
        <v>20</v>
      </c>
      <c r="AJ6" s="374">
        <f>N46+R144+R241</f>
        <v>5</v>
      </c>
      <c r="AK6" s="374">
        <f>O46+S144+S241</f>
        <v>46</v>
      </c>
      <c r="AL6" s="374">
        <f>P46+T144+T241</f>
        <v>4</v>
      </c>
      <c r="AM6" s="332"/>
      <c r="AN6" s="332" t="str">
        <f t="shared" si="2"/>
        <v>FAIRMONTAF 267</v>
      </c>
      <c r="AO6" s="334" t="s">
        <v>26</v>
      </c>
      <c r="AP6" s="351">
        <v>45923</v>
      </c>
      <c r="AQ6" s="336" t="s">
        <v>27</v>
      </c>
      <c r="AR6" s="336" t="s">
        <v>41</v>
      </c>
      <c r="AS6" s="337">
        <v>0.13541666666666666</v>
      </c>
      <c r="AT6" s="333"/>
    </row>
    <row r="7" spans="1:46" ht="15" hidden="1" customHeight="1">
      <c r="A7" s="815"/>
      <c r="B7" s="816"/>
      <c r="C7" s="817"/>
      <c r="D7" s="816"/>
      <c r="E7" s="818"/>
      <c r="F7" s="352">
        <f t="shared" si="1"/>
        <v>0.22916666666666669</v>
      </c>
      <c r="G7" s="352">
        <v>0.35416666666666669</v>
      </c>
      <c r="H7" s="355" t="s">
        <v>41</v>
      </c>
      <c r="I7" s="355"/>
      <c r="J7" s="355">
        <v>1</v>
      </c>
      <c r="K7" s="356"/>
      <c r="L7" s="355"/>
      <c r="M7" s="355"/>
      <c r="N7" s="355"/>
      <c r="O7" s="355"/>
      <c r="P7" s="355"/>
      <c r="Q7" s="332"/>
      <c r="R7" s="332"/>
      <c r="S7" s="332"/>
      <c r="T7" s="332"/>
      <c r="U7" s="332"/>
      <c r="V7" s="332"/>
      <c r="W7" s="332"/>
      <c r="X7" s="332"/>
      <c r="Y7" s="332"/>
      <c r="Z7" s="332"/>
      <c r="AA7" s="332"/>
      <c r="AB7" s="332"/>
      <c r="AC7" s="332"/>
      <c r="AD7" s="332"/>
      <c r="AE7" s="332"/>
      <c r="AF7" s="332"/>
      <c r="AG7" s="332"/>
      <c r="AH7" s="332">
        <v>15</v>
      </c>
      <c r="AI7" s="332">
        <v>5</v>
      </c>
      <c r="AJ7" s="332">
        <v>1</v>
      </c>
      <c r="AK7" s="332">
        <v>13</v>
      </c>
      <c r="AL7" s="332"/>
      <c r="AM7" s="332"/>
      <c r="AN7" s="332" t="str">
        <f t="shared" si="2"/>
        <v>FAIRMONTRS 701</v>
      </c>
      <c r="AO7" s="334" t="s">
        <v>26</v>
      </c>
      <c r="AP7" s="351">
        <v>45923</v>
      </c>
      <c r="AQ7" s="336" t="s">
        <v>27</v>
      </c>
      <c r="AR7" s="336" t="s">
        <v>42</v>
      </c>
      <c r="AS7" s="337">
        <v>0.21527777777777779</v>
      </c>
      <c r="AT7" s="333"/>
    </row>
    <row r="8" spans="1:46" ht="15" hidden="1" customHeight="1">
      <c r="A8" s="815"/>
      <c r="B8" s="816">
        <f>C8-TIME(0,15,0)</f>
        <v>0.21527777777777779</v>
      </c>
      <c r="C8" s="817">
        <f>E8-TIME(1,0,0)</f>
        <v>0.22569444444444445</v>
      </c>
      <c r="D8" s="821"/>
      <c r="E8" s="822">
        <f>F8</f>
        <v>0.2673611111111111</v>
      </c>
      <c r="F8" s="365">
        <f t="shared" si="1"/>
        <v>0.2673611111111111</v>
      </c>
      <c r="G8" s="365">
        <v>0.3923611111111111</v>
      </c>
      <c r="H8" s="366" t="s">
        <v>42</v>
      </c>
      <c r="I8" s="366"/>
      <c r="J8" s="366">
        <v>2</v>
      </c>
      <c r="K8" s="367">
        <f>SUM(I8:J11)</f>
        <v>25</v>
      </c>
      <c r="L8" s="366"/>
      <c r="M8" s="366"/>
      <c r="N8" s="366"/>
      <c r="O8" s="366">
        <v>1</v>
      </c>
      <c r="P8" s="360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>
        <v>0</v>
      </c>
      <c r="AI8" s="332">
        <v>9</v>
      </c>
      <c r="AJ8" s="332">
        <v>1</v>
      </c>
      <c r="AK8" s="332">
        <v>30</v>
      </c>
      <c r="AL8" s="332"/>
      <c r="AM8" s="332"/>
      <c r="AN8" s="332" t="str">
        <f t="shared" si="2"/>
        <v>FAIRMONTDL 7869</v>
      </c>
      <c r="AO8" s="334" t="s">
        <v>26</v>
      </c>
      <c r="AP8" s="351">
        <v>45923</v>
      </c>
      <c r="AQ8" s="336" t="s">
        <v>27</v>
      </c>
      <c r="AR8" s="336" t="s">
        <v>43</v>
      </c>
      <c r="AS8" s="337">
        <v>0.21527777777777779</v>
      </c>
      <c r="AT8" s="333"/>
    </row>
    <row r="9" spans="1:46" ht="15" hidden="1" customHeight="1">
      <c r="A9" s="815"/>
      <c r="B9" s="816"/>
      <c r="C9" s="817"/>
      <c r="D9" s="821"/>
      <c r="E9" s="822"/>
      <c r="F9" s="358">
        <f t="shared" si="1"/>
        <v>0.27083333333333331</v>
      </c>
      <c r="G9" s="358">
        <v>0.39583333333333331</v>
      </c>
      <c r="H9" s="360" t="s">
        <v>43</v>
      </c>
      <c r="I9" s="360"/>
      <c r="J9" s="360">
        <v>1</v>
      </c>
      <c r="K9" s="373"/>
      <c r="L9" s="360"/>
      <c r="M9" s="360"/>
      <c r="N9" s="360"/>
      <c r="O9" s="360"/>
      <c r="P9" s="360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  <c r="AG9" s="332"/>
      <c r="AH9" s="332"/>
      <c r="AI9" s="332"/>
      <c r="AJ9" s="332"/>
      <c r="AK9" s="332"/>
      <c r="AL9" s="332"/>
      <c r="AM9" s="332"/>
      <c r="AN9" s="332" t="str">
        <f t="shared" si="2"/>
        <v>FAIRMONTKE 31</v>
      </c>
      <c r="AO9" s="334" t="s">
        <v>26</v>
      </c>
      <c r="AP9" s="351">
        <v>45923</v>
      </c>
      <c r="AQ9" s="336" t="s">
        <v>27</v>
      </c>
      <c r="AR9" s="336" t="s">
        <v>44</v>
      </c>
      <c r="AS9" s="337">
        <v>0.21527777777777779</v>
      </c>
      <c r="AT9" s="332"/>
    </row>
    <row r="10" spans="1:46" ht="15" hidden="1" customHeight="1">
      <c r="A10" s="815"/>
      <c r="B10" s="816"/>
      <c r="C10" s="817"/>
      <c r="D10" s="821"/>
      <c r="E10" s="822"/>
      <c r="F10" s="358">
        <f t="shared" si="1"/>
        <v>0.27083333333333331</v>
      </c>
      <c r="G10" s="358">
        <v>0.39583333333333331</v>
      </c>
      <c r="H10" s="360" t="s">
        <v>44</v>
      </c>
      <c r="I10" s="360"/>
      <c r="J10" s="360">
        <v>12</v>
      </c>
      <c r="K10" s="373"/>
      <c r="L10" s="360"/>
      <c r="M10" s="360"/>
      <c r="N10" s="360"/>
      <c r="O10" s="360"/>
      <c r="P10" s="360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 t="str">
        <f t="shared" si="2"/>
        <v>FAIRMONTKE 723</v>
      </c>
      <c r="AO10" s="334" t="s">
        <v>26</v>
      </c>
      <c r="AP10" s="351">
        <v>45923</v>
      </c>
      <c r="AQ10" s="336" t="s">
        <v>27</v>
      </c>
      <c r="AR10" s="336" t="s">
        <v>45</v>
      </c>
      <c r="AS10" s="337">
        <v>0.21527777777777779</v>
      </c>
      <c r="AT10" s="332"/>
    </row>
    <row r="11" spans="1:46" ht="15" hidden="1" customHeight="1">
      <c r="A11" s="815"/>
      <c r="B11" s="816"/>
      <c r="C11" s="817"/>
      <c r="D11" s="821"/>
      <c r="E11" s="822"/>
      <c r="F11" s="352">
        <f t="shared" si="1"/>
        <v>0.27430555555555558</v>
      </c>
      <c r="G11" s="352">
        <v>0.39930555555555558</v>
      </c>
      <c r="H11" s="355" t="s">
        <v>45</v>
      </c>
      <c r="I11" s="355"/>
      <c r="J11" s="355">
        <v>10</v>
      </c>
      <c r="K11" s="356"/>
      <c r="L11" s="355"/>
      <c r="M11" s="355"/>
      <c r="N11" s="355"/>
      <c r="O11" s="355"/>
      <c r="P11" s="355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  <c r="AL11" s="332"/>
      <c r="AM11" s="332"/>
      <c r="AN11" s="332" t="str">
        <f t="shared" si="2"/>
        <v>FAIRMONTCX 417</v>
      </c>
      <c r="AO11" s="334" t="s">
        <v>26</v>
      </c>
      <c r="AP11" s="351">
        <v>45923</v>
      </c>
      <c r="AQ11" s="336" t="s">
        <v>27</v>
      </c>
      <c r="AR11" s="336" t="s">
        <v>46</v>
      </c>
      <c r="AS11" s="337">
        <v>0.2326388888888889</v>
      </c>
      <c r="AT11" s="332"/>
    </row>
    <row r="12" spans="1:46" ht="15" hidden="1" customHeight="1">
      <c r="A12" s="815"/>
      <c r="B12" s="816">
        <f>C12-TIME(0,15,0)</f>
        <v>0.2326388888888889</v>
      </c>
      <c r="C12" s="817">
        <f>D12-TIME(1,0,0)</f>
        <v>0.24305555555555555</v>
      </c>
      <c r="D12" s="816">
        <f>E12-TIME(0,20,0)</f>
        <v>0.28472222222222221</v>
      </c>
      <c r="E12" s="822">
        <f>F12</f>
        <v>0.2986111111111111</v>
      </c>
      <c r="F12" s="365">
        <f t="shared" si="1"/>
        <v>0.2986111111111111</v>
      </c>
      <c r="G12" s="365">
        <v>0.4236111111111111</v>
      </c>
      <c r="H12" s="366" t="s">
        <v>46</v>
      </c>
      <c r="I12" s="366">
        <v>2</v>
      </c>
      <c r="J12" s="366"/>
      <c r="K12" s="367">
        <f>SUM(I12:J16)</f>
        <v>25</v>
      </c>
      <c r="L12" s="366"/>
      <c r="M12" s="366"/>
      <c r="N12" s="366"/>
      <c r="O12" s="366">
        <v>1</v>
      </c>
      <c r="P12" s="360"/>
      <c r="Q12" s="332"/>
      <c r="R12" s="332"/>
      <c r="S12" s="332"/>
      <c r="T12" s="332"/>
      <c r="U12" s="332"/>
      <c r="V12" s="332"/>
      <c r="W12" s="332"/>
      <c r="X12" s="332"/>
      <c r="Y12" s="332"/>
      <c r="Z12" s="332"/>
      <c r="AA12" s="332"/>
      <c r="AB12" s="332"/>
      <c r="AC12" s="332"/>
      <c r="AD12" s="332"/>
      <c r="AE12" s="332"/>
      <c r="AF12" s="332"/>
      <c r="AG12" s="332"/>
      <c r="AH12" s="332"/>
      <c r="AI12" s="332"/>
      <c r="AJ12" s="332"/>
      <c r="AK12" s="332"/>
      <c r="AL12" s="332"/>
      <c r="AM12" s="332"/>
      <c r="AN12" s="332" t="str">
        <f t="shared" si="2"/>
        <v>FAIRMONTKE 703</v>
      </c>
      <c r="AO12" s="334" t="s">
        <v>26</v>
      </c>
      <c r="AP12" s="351">
        <v>45923</v>
      </c>
      <c r="AQ12" s="336" t="s">
        <v>27</v>
      </c>
      <c r="AR12" s="336" t="s">
        <v>47</v>
      </c>
      <c r="AS12" s="337">
        <v>0.2326388888888889</v>
      </c>
      <c r="AT12" s="332"/>
    </row>
    <row r="13" spans="1:46" ht="15" hidden="1" customHeight="1">
      <c r="A13" s="815"/>
      <c r="B13" s="816"/>
      <c r="C13" s="817"/>
      <c r="D13" s="816"/>
      <c r="E13" s="822"/>
      <c r="F13" s="358">
        <f t="shared" si="1"/>
        <v>0.2986111111111111</v>
      </c>
      <c r="G13" s="358">
        <v>0.4236111111111111</v>
      </c>
      <c r="H13" s="360" t="s">
        <v>47</v>
      </c>
      <c r="I13" s="360"/>
      <c r="J13" s="360">
        <v>14</v>
      </c>
      <c r="K13" s="373"/>
      <c r="L13" s="360"/>
      <c r="M13" s="360"/>
      <c r="N13" s="360"/>
      <c r="O13" s="360"/>
      <c r="P13" s="360"/>
      <c r="Q13" s="332"/>
      <c r="R13" s="332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332"/>
      <c r="AD13" s="332"/>
      <c r="AE13" s="332"/>
      <c r="AF13" s="332"/>
      <c r="AG13" s="332"/>
      <c r="AH13" s="332"/>
      <c r="AI13" s="332"/>
      <c r="AJ13" s="332"/>
      <c r="AK13" s="332"/>
      <c r="AL13" s="332"/>
      <c r="AM13" s="332"/>
      <c r="AN13" s="332" t="str">
        <f t="shared" si="2"/>
        <v>FAIRMONTDL 158</v>
      </c>
      <c r="AO13" s="334" t="s">
        <v>26</v>
      </c>
      <c r="AP13" s="351">
        <v>45923</v>
      </c>
      <c r="AQ13" s="336" t="s">
        <v>27</v>
      </c>
      <c r="AR13" s="336" t="s">
        <v>48</v>
      </c>
      <c r="AS13" s="337">
        <v>0.2326388888888889</v>
      </c>
      <c r="AT13" s="332"/>
    </row>
    <row r="14" spans="1:46" ht="15" hidden="1" customHeight="1">
      <c r="A14" s="815"/>
      <c r="B14" s="816"/>
      <c r="C14" s="817"/>
      <c r="D14" s="816"/>
      <c r="E14" s="822"/>
      <c r="F14" s="358">
        <f t="shared" si="1"/>
        <v>0.30208333333333331</v>
      </c>
      <c r="G14" s="358">
        <v>0.42708333333333331</v>
      </c>
      <c r="H14" s="360" t="s">
        <v>48</v>
      </c>
      <c r="I14" s="360"/>
      <c r="J14" s="360">
        <v>2</v>
      </c>
      <c r="K14" s="373"/>
      <c r="L14" s="360"/>
      <c r="M14" s="360"/>
      <c r="N14" s="360"/>
      <c r="O14" s="360"/>
      <c r="P14" s="360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  <c r="AH14" s="332"/>
      <c r="AI14" s="332"/>
      <c r="AJ14" s="332"/>
      <c r="AK14" s="332"/>
      <c r="AL14" s="332"/>
      <c r="AM14" s="332"/>
      <c r="AN14" s="332" t="str">
        <f t="shared" si="2"/>
        <v>FAIRMONTMM 704</v>
      </c>
      <c r="AO14" s="334" t="s">
        <v>26</v>
      </c>
      <c r="AP14" s="351">
        <v>45923</v>
      </c>
      <c r="AQ14" s="336" t="s">
        <v>27</v>
      </c>
      <c r="AR14" s="336" t="s">
        <v>49</v>
      </c>
      <c r="AS14" s="337">
        <v>0.2326388888888889</v>
      </c>
      <c r="AT14" s="332"/>
    </row>
    <row r="15" spans="1:46" ht="15" hidden="1" customHeight="1">
      <c r="A15" s="815"/>
      <c r="B15" s="816"/>
      <c r="C15" s="817"/>
      <c r="D15" s="816"/>
      <c r="E15" s="822"/>
      <c r="F15" s="358">
        <f t="shared" si="1"/>
        <v>0.30555555555555558</v>
      </c>
      <c r="G15" s="358">
        <v>0.43055555555555558</v>
      </c>
      <c r="H15" s="360" t="s">
        <v>49</v>
      </c>
      <c r="I15" s="360">
        <v>6</v>
      </c>
      <c r="J15" s="360"/>
      <c r="K15" s="373"/>
      <c r="L15" s="360"/>
      <c r="M15" s="360"/>
      <c r="N15" s="360"/>
      <c r="O15" s="360"/>
      <c r="P15" s="360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 t="str">
        <f t="shared" si="2"/>
        <v>FAIRMONTVN 409</v>
      </c>
      <c r="AO15" s="334" t="s">
        <v>26</v>
      </c>
      <c r="AP15" s="351">
        <v>45923</v>
      </c>
      <c r="AQ15" s="336" t="s">
        <v>27</v>
      </c>
      <c r="AR15" s="336" t="s">
        <v>50</v>
      </c>
      <c r="AS15" s="337">
        <v>0.2326388888888889</v>
      </c>
      <c r="AT15" s="332"/>
    </row>
    <row r="16" spans="1:46" ht="15" hidden="1" customHeight="1">
      <c r="A16" s="815"/>
      <c r="B16" s="816"/>
      <c r="C16" s="817"/>
      <c r="D16" s="816"/>
      <c r="E16" s="822"/>
      <c r="F16" s="352">
        <f t="shared" si="1"/>
        <v>0.31597222222222221</v>
      </c>
      <c r="G16" s="352">
        <v>0.44097222222222221</v>
      </c>
      <c r="H16" s="355" t="s">
        <v>50</v>
      </c>
      <c r="I16" s="355">
        <v>1</v>
      </c>
      <c r="J16" s="355"/>
      <c r="K16" s="356"/>
      <c r="L16" s="355"/>
      <c r="M16" s="355"/>
      <c r="N16" s="355"/>
      <c r="O16" s="355"/>
      <c r="P16" s="355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  <c r="AH16" s="332"/>
      <c r="AI16" s="332"/>
      <c r="AJ16" s="332"/>
      <c r="AK16" s="332"/>
      <c r="AL16" s="332"/>
      <c r="AM16" s="332"/>
      <c r="AN16" s="332" t="str">
        <f t="shared" si="2"/>
        <v>FAIRMONTVJ 961</v>
      </c>
      <c r="AO16" s="334" t="s">
        <v>26</v>
      </c>
      <c r="AP16" s="351">
        <v>45923</v>
      </c>
      <c r="AQ16" s="336" t="s">
        <v>27</v>
      </c>
      <c r="AR16" s="336" t="s">
        <v>51</v>
      </c>
      <c r="AS16" s="337">
        <v>0.28472222222222221</v>
      </c>
      <c r="AT16" s="332"/>
    </row>
    <row r="17" spans="1:46" ht="15" hidden="1" customHeight="1">
      <c r="A17" s="815"/>
      <c r="B17" s="816">
        <f>C17-TIME(0,15,0)</f>
        <v>0.28472222222222221</v>
      </c>
      <c r="C17" s="817">
        <f>D17-TIME(1,0,0)</f>
        <v>0.2951388888888889</v>
      </c>
      <c r="D17" s="816">
        <f>F17</f>
        <v>0.33680555555555558</v>
      </c>
      <c r="E17" s="820"/>
      <c r="F17" s="375">
        <f>G17-TIME(3,0,0)</f>
        <v>0.33680555555555558</v>
      </c>
      <c r="G17" s="375">
        <v>0.46180555555555558</v>
      </c>
      <c r="H17" s="376" t="s">
        <v>51</v>
      </c>
      <c r="I17" s="376">
        <v>2</v>
      </c>
      <c r="J17" s="376"/>
      <c r="K17" s="377">
        <f>SUM(I17:J20)</f>
        <v>7</v>
      </c>
      <c r="L17" s="376"/>
      <c r="M17" s="378">
        <v>0</v>
      </c>
      <c r="N17" s="378">
        <v>1</v>
      </c>
      <c r="O17" s="376"/>
      <c r="P17" s="379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2"/>
      <c r="AN17" s="332" t="str">
        <f t="shared" si="2"/>
        <v>FAIRMONTSQ 611</v>
      </c>
      <c r="AO17" s="334" t="s">
        <v>26</v>
      </c>
      <c r="AP17" s="351">
        <v>45923</v>
      </c>
      <c r="AQ17" s="336" t="s">
        <v>27</v>
      </c>
      <c r="AR17" s="336" t="s">
        <v>52</v>
      </c>
      <c r="AS17" s="337">
        <v>0.28472222222222221</v>
      </c>
      <c r="AT17" s="332"/>
    </row>
    <row r="18" spans="1:46" ht="15" hidden="1" customHeight="1">
      <c r="A18" s="815"/>
      <c r="B18" s="816"/>
      <c r="C18" s="817"/>
      <c r="D18" s="816"/>
      <c r="E18" s="820"/>
      <c r="F18" s="365">
        <f t="shared" ref="F18:F41" si="3">G18-TIME(3,0,0)</f>
        <v>0.34722222222222221</v>
      </c>
      <c r="G18" s="365">
        <v>0.47222222222222221</v>
      </c>
      <c r="H18" s="366" t="s">
        <v>52</v>
      </c>
      <c r="I18" s="366">
        <v>2</v>
      </c>
      <c r="J18" s="366"/>
      <c r="K18" s="367"/>
      <c r="L18" s="366"/>
      <c r="M18" s="366"/>
      <c r="N18" s="366"/>
      <c r="O18" s="366"/>
      <c r="P18" s="360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 t="str">
        <f t="shared" si="2"/>
        <v>FAIRMONTOZ 6620</v>
      </c>
      <c r="AO18" s="334" t="s">
        <v>26</v>
      </c>
      <c r="AP18" s="351">
        <v>45923</v>
      </c>
      <c r="AQ18" s="336" t="s">
        <v>27</v>
      </c>
      <c r="AR18" s="336" t="s">
        <v>53</v>
      </c>
      <c r="AS18" s="337">
        <v>0.28472222222222221</v>
      </c>
      <c r="AT18" s="332"/>
    </row>
    <row r="19" spans="1:46" ht="15" hidden="1" customHeight="1">
      <c r="A19" s="815"/>
      <c r="B19" s="816"/>
      <c r="C19" s="817"/>
      <c r="D19" s="816"/>
      <c r="E19" s="820"/>
      <c r="F19" s="358">
        <f t="shared" si="3"/>
        <v>0.35416666666666669</v>
      </c>
      <c r="G19" s="358">
        <v>0.47916666666666669</v>
      </c>
      <c r="H19" s="360" t="s">
        <v>53</v>
      </c>
      <c r="I19" s="360">
        <v>2</v>
      </c>
      <c r="J19" s="360"/>
      <c r="K19" s="373"/>
      <c r="L19" s="360"/>
      <c r="M19" s="360"/>
      <c r="N19" s="360"/>
      <c r="O19" s="360"/>
      <c r="P19" s="360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 t="str">
        <f t="shared" si="2"/>
        <v>FAIRMONTUA 806</v>
      </c>
      <c r="AO19" s="334" t="s">
        <v>26</v>
      </c>
      <c r="AP19" s="351">
        <v>45923</v>
      </c>
      <c r="AQ19" s="336" t="s">
        <v>27</v>
      </c>
      <c r="AR19" s="336" t="s">
        <v>54</v>
      </c>
      <c r="AS19" s="337">
        <v>0.28472222222222221</v>
      </c>
      <c r="AT19" s="332"/>
    </row>
    <row r="20" spans="1:46" ht="15" hidden="1" customHeight="1">
      <c r="A20" s="815"/>
      <c r="B20" s="816"/>
      <c r="C20" s="817"/>
      <c r="D20" s="816"/>
      <c r="E20" s="820"/>
      <c r="F20" s="352">
        <f t="shared" si="3"/>
        <v>0.35416666666666669</v>
      </c>
      <c r="G20" s="352">
        <v>0.47916666666666669</v>
      </c>
      <c r="H20" s="355" t="s">
        <v>54</v>
      </c>
      <c r="I20" s="355">
        <v>1</v>
      </c>
      <c r="J20" s="355"/>
      <c r="K20" s="356"/>
      <c r="L20" s="355"/>
      <c r="M20" s="355"/>
      <c r="N20" s="355"/>
      <c r="O20" s="355"/>
      <c r="P20" s="355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  <c r="AG20" s="332"/>
      <c r="AH20" s="332"/>
      <c r="AI20" s="332"/>
      <c r="AJ20" s="332"/>
      <c r="AK20" s="332"/>
      <c r="AL20" s="332"/>
      <c r="AM20" s="332"/>
      <c r="AN20" s="332" t="str">
        <f t="shared" si="2"/>
        <v>FAIRMONTBR 169</v>
      </c>
      <c r="AO20" s="334" t="s">
        <v>26</v>
      </c>
      <c r="AP20" s="351">
        <v>45923</v>
      </c>
      <c r="AQ20" s="336" t="s">
        <v>27</v>
      </c>
      <c r="AR20" s="336" t="s">
        <v>55</v>
      </c>
      <c r="AS20" s="337">
        <v>0.32291666666666669</v>
      </c>
      <c r="AT20" s="332"/>
    </row>
    <row r="21" spans="1:46" ht="15" hidden="1" customHeight="1">
      <c r="A21" s="815"/>
      <c r="B21" s="816">
        <f>C21-TIME(0,15,0)</f>
        <v>0.32291666666666663</v>
      </c>
      <c r="C21" s="817">
        <f>D21-TIME(1,0,0)</f>
        <v>0.33333333333333331</v>
      </c>
      <c r="D21" s="816">
        <f>F21</f>
        <v>0.375</v>
      </c>
      <c r="E21" s="820"/>
      <c r="F21" s="365">
        <f t="shared" si="3"/>
        <v>0.375</v>
      </c>
      <c r="G21" s="365">
        <v>0.5</v>
      </c>
      <c r="H21" s="366" t="s">
        <v>55</v>
      </c>
      <c r="I21" s="366">
        <v>9</v>
      </c>
      <c r="J21" s="366"/>
      <c r="K21" s="367">
        <f>SUM(I21:J24)</f>
        <v>15</v>
      </c>
      <c r="L21" s="366"/>
      <c r="M21" s="366"/>
      <c r="N21" s="366"/>
      <c r="O21" s="366">
        <v>1</v>
      </c>
      <c r="P21" s="360"/>
      <c r="Q21" s="332"/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2"/>
      <c r="AF21" s="332"/>
      <c r="AG21" s="332"/>
      <c r="AH21" s="332"/>
      <c r="AI21" s="332"/>
      <c r="AJ21" s="332"/>
      <c r="AK21" s="332"/>
      <c r="AL21" s="332"/>
      <c r="AM21" s="332"/>
      <c r="AN21" s="332" t="str">
        <f t="shared" si="2"/>
        <v>FAIRMONTTW 303</v>
      </c>
      <c r="AO21" s="334" t="s">
        <v>26</v>
      </c>
      <c r="AP21" s="351">
        <v>45923</v>
      </c>
      <c r="AQ21" s="336" t="s">
        <v>27</v>
      </c>
      <c r="AR21" s="336" t="s">
        <v>56</v>
      </c>
      <c r="AS21" s="337">
        <v>0.32291666666666669</v>
      </c>
      <c r="AT21" s="332"/>
    </row>
    <row r="22" spans="1:46" ht="15" hidden="1" customHeight="1">
      <c r="A22" s="815"/>
      <c r="B22" s="816"/>
      <c r="C22" s="817"/>
      <c r="D22" s="816"/>
      <c r="E22" s="820"/>
      <c r="F22" s="358">
        <f t="shared" si="3"/>
        <v>0.37847222222222221</v>
      </c>
      <c r="G22" s="358">
        <v>0.50347222222222221</v>
      </c>
      <c r="H22" s="360" t="s">
        <v>56</v>
      </c>
      <c r="I22" s="360">
        <v>2</v>
      </c>
      <c r="J22" s="360"/>
      <c r="K22" s="373"/>
      <c r="L22" s="360"/>
      <c r="M22" s="360"/>
      <c r="N22" s="360"/>
      <c r="O22" s="360"/>
      <c r="P22" s="360"/>
      <c r="Q22" s="332"/>
      <c r="R22" s="332"/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2"/>
      <c r="AF22" s="332"/>
      <c r="AG22" s="332"/>
      <c r="AH22" s="332"/>
      <c r="AI22" s="332"/>
      <c r="AJ22" s="332"/>
      <c r="AK22" s="332"/>
      <c r="AL22" s="332"/>
      <c r="AM22" s="332"/>
      <c r="AN22" s="332" t="str">
        <f t="shared" si="2"/>
        <v>FAIRMONTOZ 202</v>
      </c>
      <c r="AO22" s="334" t="s">
        <v>26</v>
      </c>
      <c r="AP22" s="351">
        <v>45923</v>
      </c>
      <c r="AQ22" s="336" t="s">
        <v>27</v>
      </c>
      <c r="AR22" s="336" t="s">
        <v>57</v>
      </c>
      <c r="AS22" s="337">
        <v>0.32291666666666669</v>
      </c>
      <c r="AT22" s="332"/>
    </row>
    <row r="23" spans="1:46" ht="15" hidden="1" customHeight="1">
      <c r="A23" s="815"/>
      <c r="B23" s="816"/>
      <c r="C23" s="817"/>
      <c r="D23" s="816"/>
      <c r="E23" s="820"/>
      <c r="F23" s="358">
        <f t="shared" si="3"/>
        <v>0.40277777777777779</v>
      </c>
      <c r="G23" s="358">
        <v>0.52777777777777779</v>
      </c>
      <c r="H23" s="360" t="s">
        <v>57</v>
      </c>
      <c r="I23" s="360">
        <v>3</v>
      </c>
      <c r="J23" s="360"/>
      <c r="K23" s="373"/>
      <c r="L23" s="360"/>
      <c r="M23" s="360"/>
      <c r="N23" s="360"/>
      <c r="O23" s="360"/>
      <c r="P23" s="360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 t="str">
        <f t="shared" si="2"/>
        <v>FAIRMONTYP 101</v>
      </c>
      <c r="AO23" s="334" t="s">
        <v>26</v>
      </c>
      <c r="AP23" s="351">
        <v>45923</v>
      </c>
      <c r="AQ23" s="336" t="s">
        <v>27</v>
      </c>
      <c r="AR23" s="336" t="s">
        <v>58</v>
      </c>
      <c r="AS23" s="337">
        <v>0.32291666666666669</v>
      </c>
      <c r="AT23" s="332"/>
    </row>
    <row r="24" spans="1:46" ht="15" hidden="1" customHeight="1">
      <c r="A24" s="815"/>
      <c r="B24" s="816"/>
      <c r="C24" s="817"/>
      <c r="D24" s="816"/>
      <c r="E24" s="820"/>
      <c r="F24" s="352">
        <f t="shared" si="3"/>
        <v>0.40625</v>
      </c>
      <c r="G24" s="352">
        <v>0.53125</v>
      </c>
      <c r="H24" s="355" t="s">
        <v>58</v>
      </c>
      <c r="I24" s="355">
        <v>1</v>
      </c>
      <c r="J24" s="355"/>
      <c r="K24" s="356"/>
      <c r="L24" s="355"/>
      <c r="M24" s="355"/>
      <c r="N24" s="355"/>
      <c r="O24" s="355"/>
      <c r="P24" s="355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 t="str">
        <f t="shared" si="2"/>
        <v>FAIRMONTCX 439</v>
      </c>
      <c r="AO24" s="334" t="s">
        <v>26</v>
      </c>
      <c r="AP24" s="351">
        <v>45923</v>
      </c>
      <c r="AQ24" s="336" t="s">
        <v>27</v>
      </c>
      <c r="AR24" s="336" t="s">
        <v>59</v>
      </c>
      <c r="AS24" s="337">
        <v>0.3923611111111111</v>
      </c>
      <c r="AT24" s="332"/>
    </row>
    <row r="25" spans="1:46" ht="15" hidden="1" customHeight="1">
      <c r="A25" s="815"/>
      <c r="B25" s="380">
        <f t="shared" ref="B25:B27" si="4">C25-TIME(0,15,0)</f>
        <v>0.39236111111111105</v>
      </c>
      <c r="C25" s="381">
        <f>D25-TIME(1,0,0)</f>
        <v>0.40277777777777773</v>
      </c>
      <c r="D25" s="382">
        <f t="shared" ref="D25:D26" si="5">F25</f>
        <v>0.44444444444444442</v>
      </c>
      <c r="E25" s="383"/>
      <c r="F25" s="380">
        <f t="shared" si="3"/>
        <v>0.44444444444444442</v>
      </c>
      <c r="G25" s="380">
        <v>0.56944444444444442</v>
      </c>
      <c r="H25" s="384" t="s">
        <v>59</v>
      </c>
      <c r="I25" s="384">
        <v>7</v>
      </c>
      <c r="J25" s="384"/>
      <c r="K25" s="385">
        <f t="shared" ref="K25:K26" si="6">SUM(I25:J25)</f>
        <v>7</v>
      </c>
      <c r="L25" s="384"/>
      <c r="M25" s="386">
        <v>0</v>
      </c>
      <c r="N25" s="386">
        <v>1</v>
      </c>
      <c r="O25" s="384"/>
      <c r="P25" s="355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  <c r="AL25" s="332"/>
      <c r="AM25" s="332"/>
      <c r="AN25" s="332" t="str">
        <f t="shared" si="2"/>
        <v>FAIRMONTCX 411</v>
      </c>
      <c r="AO25" s="334" t="s">
        <v>26</v>
      </c>
      <c r="AP25" s="351">
        <v>45923</v>
      </c>
      <c r="AQ25" s="336" t="s">
        <v>27</v>
      </c>
      <c r="AR25" s="336" t="s">
        <v>60</v>
      </c>
      <c r="AS25" s="337">
        <v>0.4548611111111111</v>
      </c>
      <c r="AT25" s="332"/>
    </row>
    <row r="26" spans="1:46" ht="15" hidden="1" customHeight="1">
      <c r="A26" s="815"/>
      <c r="B26" s="380">
        <f t="shared" si="4"/>
        <v>0.45486111111111105</v>
      </c>
      <c r="C26" s="387">
        <f t="shared" ref="C26:C27" si="7">F26-TIME(1,0,0)</f>
        <v>0.46527777777777773</v>
      </c>
      <c r="D26" s="380">
        <f t="shared" si="5"/>
        <v>0.50694444444444442</v>
      </c>
      <c r="E26" s="388"/>
      <c r="F26" s="380">
        <f t="shared" si="3"/>
        <v>0.50694444444444442</v>
      </c>
      <c r="G26" s="380">
        <v>0.63194444444444442</v>
      </c>
      <c r="H26" s="384" t="s">
        <v>60</v>
      </c>
      <c r="I26" s="384">
        <v>6</v>
      </c>
      <c r="J26" s="384"/>
      <c r="K26" s="385">
        <f t="shared" si="6"/>
        <v>6</v>
      </c>
      <c r="L26" s="384"/>
      <c r="M26" s="384">
        <v>1</v>
      </c>
      <c r="N26" s="384"/>
      <c r="O26" s="384"/>
      <c r="P26" s="355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2"/>
      <c r="AK26" s="332"/>
      <c r="AL26" s="332"/>
      <c r="AM26" s="332"/>
      <c r="AN26" s="332" t="str">
        <f t="shared" si="2"/>
        <v>FAIRMONTKE 23</v>
      </c>
      <c r="AO26" s="334" t="s">
        <v>26</v>
      </c>
      <c r="AP26" s="351">
        <v>45923</v>
      </c>
      <c r="AQ26" s="336" t="s">
        <v>27</v>
      </c>
      <c r="AR26" s="336" t="s">
        <v>61</v>
      </c>
      <c r="AS26" s="337">
        <v>0.48958333333333331</v>
      </c>
      <c r="AT26" s="332"/>
    </row>
    <row r="27" spans="1:46" ht="15" hidden="1" customHeight="1">
      <c r="A27" s="815"/>
      <c r="B27" s="816">
        <f t="shared" si="4"/>
        <v>0.48958333333333326</v>
      </c>
      <c r="C27" s="817">
        <f t="shared" si="7"/>
        <v>0.49999999999999994</v>
      </c>
      <c r="D27" s="821"/>
      <c r="E27" s="822">
        <f>F27</f>
        <v>0.54166666666666663</v>
      </c>
      <c r="F27" s="365">
        <f t="shared" si="3"/>
        <v>0.54166666666666663</v>
      </c>
      <c r="G27" s="365">
        <v>0.66666666666666663</v>
      </c>
      <c r="H27" s="366" t="s">
        <v>61</v>
      </c>
      <c r="I27" s="366"/>
      <c r="J27" s="366">
        <v>1</v>
      </c>
      <c r="K27" s="367">
        <f>SUM(I27:J28)</f>
        <v>4</v>
      </c>
      <c r="L27" s="389">
        <v>0</v>
      </c>
      <c r="M27" s="389">
        <v>1</v>
      </c>
      <c r="N27" s="366"/>
      <c r="O27" s="366"/>
      <c r="P27" s="360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  <c r="AG27" s="332"/>
      <c r="AH27" s="332"/>
      <c r="AI27" s="332"/>
      <c r="AJ27" s="332"/>
      <c r="AK27" s="332"/>
      <c r="AL27" s="332"/>
      <c r="AM27" s="332"/>
      <c r="AN27" s="332" t="str">
        <f t="shared" si="2"/>
        <v>FAIRMONTDL 188</v>
      </c>
      <c r="AO27" s="334" t="s">
        <v>26</v>
      </c>
      <c r="AP27" s="351">
        <v>45923</v>
      </c>
      <c r="AQ27" s="336" t="s">
        <v>27</v>
      </c>
      <c r="AR27" s="336" t="s">
        <v>62</v>
      </c>
      <c r="AS27" s="337">
        <v>0.48958333333333331</v>
      </c>
      <c r="AT27" s="332"/>
    </row>
    <row r="28" spans="1:46" ht="15" hidden="1" customHeight="1">
      <c r="A28" s="815"/>
      <c r="B28" s="816"/>
      <c r="C28" s="817"/>
      <c r="D28" s="821"/>
      <c r="E28" s="822"/>
      <c r="F28" s="352">
        <f t="shared" si="3"/>
        <v>0.55902777777777779</v>
      </c>
      <c r="G28" s="352">
        <v>0.68402777777777779</v>
      </c>
      <c r="H28" s="355" t="s">
        <v>62</v>
      </c>
      <c r="I28" s="355"/>
      <c r="J28" s="355">
        <v>3</v>
      </c>
      <c r="K28" s="356"/>
      <c r="L28" s="355"/>
      <c r="M28" s="355"/>
      <c r="N28" s="355"/>
      <c r="O28" s="355"/>
      <c r="P28" s="355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  <c r="AC28" s="332"/>
      <c r="AD28" s="332"/>
      <c r="AE28" s="332"/>
      <c r="AF28" s="332"/>
      <c r="AG28" s="332"/>
      <c r="AH28" s="332"/>
      <c r="AI28" s="332"/>
      <c r="AJ28" s="332"/>
      <c r="AK28" s="332"/>
      <c r="AL28" s="332"/>
      <c r="AM28" s="332"/>
      <c r="AN28" s="332" t="str">
        <f t="shared" si="2"/>
        <v>FAIRMONTKE 41</v>
      </c>
      <c r="AO28" s="334" t="s">
        <v>26</v>
      </c>
      <c r="AP28" s="351">
        <v>45923</v>
      </c>
      <c r="AQ28" s="336" t="s">
        <v>27</v>
      </c>
      <c r="AR28" s="336" t="s">
        <v>63</v>
      </c>
      <c r="AS28" s="337">
        <v>0.50347222222222221</v>
      </c>
      <c r="AT28" s="332"/>
    </row>
    <row r="29" spans="1:46" ht="15" hidden="1" customHeight="1">
      <c r="A29" s="815"/>
      <c r="B29" s="816">
        <f>C29-TIME(0,15,0)</f>
        <v>0.50347222222222232</v>
      </c>
      <c r="C29" s="817">
        <f>D29-TIME(1,0,0)</f>
        <v>0.51388888888888895</v>
      </c>
      <c r="D29" s="816">
        <f>E29-TIME(0,20,0)</f>
        <v>0.55555555555555558</v>
      </c>
      <c r="E29" s="822">
        <f>F29</f>
        <v>0.56944444444444442</v>
      </c>
      <c r="F29" s="365">
        <f t="shared" si="3"/>
        <v>0.56944444444444442</v>
      </c>
      <c r="G29" s="365">
        <v>0.69444444444444442</v>
      </c>
      <c r="H29" s="366" t="s">
        <v>63</v>
      </c>
      <c r="I29" s="366"/>
      <c r="J29" s="366">
        <v>2</v>
      </c>
      <c r="K29" s="367">
        <f>SUM(I29:J30)</f>
        <v>11</v>
      </c>
      <c r="L29" s="389">
        <v>0</v>
      </c>
      <c r="M29" s="389">
        <v>2</v>
      </c>
      <c r="N29" s="366"/>
      <c r="O29" s="366"/>
      <c r="P29" s="360"/>
      <c r="Q29" s="332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  <c r="AL29" s="332"/>
      <c r="AM29" s="332"/>
      <c r="AN29" s="332" t="str">
        <f t="shared" si="2"/>
        <v>FAIRMONTUA 892</v>
      </c>
      <c r="AO29" s="334" t="s">
        <v>26</v>
      </c>
      <c r="AP29" s="351">
        <v>45923</v>
      </c>
      <c r="AQ29" s="336" t="s">
        <v>27</v>
      </c>
      <c r="AR29" s="336" t="s">
        <v>64</v>
      </c>
      <c r="AS29" s="337">
        <v>0.50347222222222221</v>
      </c>
      <c r="AT29" s="332"/>
    </row>
    <row r="30" spans="1:46" ht="15" hidden="1" customHeight="1">
      <c r="A30" s="815"/>
      <c r="B30" s="816"/>
      <c r="C30" s="817"/>
      <c r="D30" s="816"/>
      <c r="E30" s="822"/>
      <c r="F30" s="352">
        <f t="shared" si="3"/>
        <v>0.57638888888888884</v>
      </c>
      <c r="G30" s="352">
        <v>0.70138888888888884</v>
      </c>
      <c r="H30" s="355" t="s">
        <v>64</v>
      </c>
      <c r="I30" s="355">
        <v>9</v>
      </c>
      <c r="J30" s="355"/>
      <c r="K30" s="356"/>
      <c r="L30" s="355"/>
      <c r="M30" s="355"/>
      <c r="N30" s="355"/>
      <c r="O30" s="355"/>
      <c r="P30" s="355"/>
      <c r="Q30" s="332"/>
      <c r="R30" s="332"/>
      <c r="S30" s="332"/>
      <c r="T30" s="332"/>
      <c r="U30" s="332"/>
      <c r="V30" s="332"/>
      <c r="W30" s="332"/>
      <c r="X30" s="332"/>
      <c r="Y30" s="332"/>
      <c r="Z30" s="332"/>
      <c r="AA30" s="332"/>
      <c r="AB30" s="332"/>
      <c r="AC30" s="332"/>
      <c r="AD30" s="332"/>
      <c r="AE30" s="332"/>
      <c r="AF30" s="332"/>
      <c r="AG30" s="332"/>
      <c r="AH30" s="332"/>
      <c r="AI30" s="332"/>
      <c r="AJ30" s="332"/>
      <c r="AK30" s="332"/>
      <c r="AL30" s="332"/>
      <c r="AM30" s="332"/>
      <c r="AN30" s="332" t="str">
        <f t="shared" si="2"/>
        <v>FAIRMONTAA 280</v>
      </c>
      <c r="AO30" s="334" t="s">
        <v>26</v>
      </c>
      <c r="AP30" s="351">
        <v>45923</v>
      </c>
      <c r="AQ30" s="336" t="s">
        <v>27</v>
      </c>
      <c r="AR30" s="336" t="s">
        <v>65</v>
      </c>
      <c r="AS30" s="337">
        <v>0.54861111111111116</v>
      </c>
      <c r="AT30" s="332"/>
    </row>
    <row r="31" spans="1:46" ht="15" hidden="1" customHeight="1">
      <c r="A31" s="815"/>
      <c r="B31" s="816">
        <f>C31-TIME(0,15,0)</f>
        <v>0.54861111111111116</v>
      </c>
      <c r="C31" s="817">
        <f>D31-TIME(1,0,0)</f>
        <v>0.55902777777777779</v>
      </c>
      <c r="D31" s="816">
        <f>F31</f>
        <v>0.60069444444444442</v>
      </c>
      <c r="E31" s="821"/>
      <c r="F31" s="365">
        <f t="shared" si="3"/>
        <v>0.60069444444444442</v>
      </c>
      <c r="G31" s="365">
        <v>0.72569444444444442</v>
      </c>
      <c r="H31" s="366" t="s">
        <v>65</v>
      </c>
      <c r="I31" s="366">
        <v>34</v>
      </c>
      <c r="J31" s="366"/>
      <c r="K31" s="367">
        <f>SUM(I31:J32)</f>
        <v>43</v>
      </c>
      <c r="L31" s="366"/>
      <c r="M31" s="366"/>
      <c r="N31" s="366"/>
      <c r="O31" s="366">
        <v>2</v>
      </c>
      <c r="P31" s="360"/>
      <c r="Q31" s="332"/>
      <c r="R31" s="332"/>
      <c r="S31" s="332"/>
      <c r="T31" s="332"/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2"/>
      <c r="AM31" s="332"/>
      <c r="AN31" s="332" t="str">
        <f t="shared" si="2"/>
        <v>FAIRMONTAC 64</v>
      </c>
      <c r="AO31" s="334" t="s">
        <v>26</v>
      </c>
      <c r="AP31" s="351">
        <v>45923</v>
      </c>
      <c r="AQ31" s="336" t="s">
        <v>27</v>
      </c>
      <c r="AR31" s="336" t="s">
        <v>66</v>
      </c>
      <c r="AS31" s="337">
        <v>0.54861111111111116</v>
      </c>
      <c r="AT31" s="332"/>
    </row>
    <row r="32" spans="1:46" ht="15" hidden="1" customHeight="1">
      <c r="A32" s="815"/>
      <c r="B32" s="816"/>
      <c r="C32" s="817"/>
      <c r="D32" s="816"/>
      <c r="E32" s="821"/>
      <c r="F32" s="352">
        <f t="shared" si="3"/>
        <v>0.61458333333333337</v>
      </c>
      <c r="G32" s="352">
        <v>0.73958333333333337</v>
      </c>
      <c r="H32" s="355" t="s">
        <v>66</v>
      </c>
      <c r="I32" s="355">
        <v>9</v>
      </c>
      <c r="J32" s="355"/>
      <c r="K32" s="356"/>
      <c r="L32" s="355"/>
      <c r="M32" s="355"/>
      <c r="N32" s="355"/>
      <c r="O32" s="355"/>
      <c r="P32" s="355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 t="str">
        <f t="shared" si="2"/>
        <v>FAIRMONTKE 651</v>
      </c>
      <c r="AO32" s="334" t="s">
        <v>26</v>
      </c>
      <c r="AP32" s="351">
        <v>45923</v>
      </c>
      <c r="AQ32" s="336" t="s">
        <v>27</v>
      </c>
      <c r="AR32" s="336" t="s">
        <v>67</v>
      </c>
      <c r="AS32" s="337">
        <v>0.5625</v>
      </c>
      <c r="AT32" s="332"/>
    </row>
    <row r="33" spans="1:46" ht="15" hidden="1" customHeight="1">
      <c r="A33" s="815"/>
      <c r="B33" s="816">
        <f>C33-TIME(0,15,0)</f>
        <v>0.56250000000000011</v>
      </c>
      <c r="C33" s="817">
        <f>D33-TIME(1,0,0)</f>
        <v>0.57291666666666674</v>
      </c>
      <c r="D33" s="816">
        <f>E33-TIME(0,20,0)</f>
        <v>0.61458333333333337</v>
      </c>
      <c r="E33" s="822">
        <f>F33</f>
        <v>0.62847222222222221</v>
      </c>
      <c r="F33" s="365">
        <f t="shared" si="3"/>
        <v>0.62847222222222221</v>
      </c>
      <c r="G33" s="365">
        <v>0.75347222222222221</v>
      </c>
      <c r="H33" s="366" t="s">
        <v>67</v>
      </c>
      <c r="I33" s="366"/>
      <c r="J33" s="366">
        <v>3</v>
      </c>
      <c r="K33" s="367">
        <f>SUM(I33:J34)</f>
        <v>5</v>
      </c>
      <c r="L33" s="366"/>
      <c r="M33" s="366">
        <v>1</v>
      </c>
      <c r="N33" s="366"/>
      <c r="O33" s="366"/>
      <c r="P33" s="360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2"/>
      <c r="AM33" s="332"/>
      <c r="AN33" s="332" t="str">
        <f t="shared" si="2"/>
        <v>FAIRMONTOZ 272</v>
      </c>
      <c r="AO33" s="334" t="s">
        <v>26</v>
      </c>
      <c r="AP33" s="351">
        <v>45923</v>
      </c>
      <c r="AQ33" s="336" t="s">
        <v>27</v>
      </c>
      <c r="AR33" s="336" t="s">
        <v>68</v>
      </c>
      <c r="AS33" s="337">
        <v>0.5625</v>
      </c>
      <c r="AT33" s="332"/>
    </row>
    <row r="34" spans="1:46" ht="15" hidden="1" customHeight="1">
      <c r="A34" s="815"/>
      <c r="B34" s="816"/>
      <c r="C34" s="817"/>
      <c r="D34" s="816"/>
      <c r="E34" s="822"/>
      <c r="F34" s="352">
        <f t="shared" si="3"/>
        <v>0.63888888888888884</v>
      </c>
      <c r="G34" s="352">
        <v>0.76388888888888884</v>
      </c>
      <c r="H34" s="355" t="s">
        <v>68</v>
      </c>
      <c r="I34" s="355">
        <v>2</v>
      </c>
      <c r="J34" s="355"/>
      <c r="K34" s="356"/>
      <c r="L34" s="355"/>
      <c r="M34" s="355"/>
      <c r="N34" s="355"/>
      <c r="O34" s="355"/>
      <c r="P34" s="355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 t="str">
        <f t="shared" si="2"/>
        <v>FAIRMONTDL 26</v>
      </c>
      <c r="AO34" s="334" t="s">
        <v>26</v>
      </c>
      <c r="AP34" s="351">
        <v>45923</v>
      </c>
      <c r="AQ34" s="336" t="s">
        <v>27</v>
      </c>
      <c r="AR34" s="336" t="s">
        <v>69</v>
      </c>
      <c r="AS34" s="337">
        <v>0.59375</v>
      </c>
      <c r="AT34" s="332"/>
    </row>
    <row r="35" spans="1:46" ht="15" hidden="1" customHeight="1">
      <c r="A35" s="815"/>
      <c r="B35" s="816">
        <f>C35-TIME(0,15,0)</f>
        <v>0.59375000000000011</v>
      </c>
      <c r="C35" s="817">
        <f>D35-TIME(1,0,0)</f>
        <v>0.60416666666666674</v>
      </c>
      <c r="D35" s="816">
        <f>E35-TIME(0,20,0)</f>
        <v>0.64583333333333337</v>
      </c>
      <c r="E35" s="822">
        <f>F35</f>
        <v>0.65972222222222221</v>
      </c>
      <c r="F35" s="365">
        <f t="shared" si="3"/>
        <v>0.65972222222222221</v>
      </c>
      <c r="G35" s="365">
        <v>0.78472222222222221</v>
      </c>
      <c r="H35" s="366" t="s">
        <v>69</v>
      </c>
      <c r="I35" s="366"/>
      <c r="J35" s="366">
        <v>1</v>
      </c>
      <c r="K35" s="367">
        <f>SUM(I35:J38)</f>
        <v>6</v>
      </c>
      <c r="L35" s="366"/>
      <c r="M35" s="366">
        <v>1</v>
      </c>
      <c r="N35" s="366"/>
      <c r="O35" s="366"/>
      <c r="P35" s="360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  <c r="AL35" s="332"/>
      <c r="AM35" s="332"/>
      <c r="AN35" s="332" t="str">
        <f t="shared" si="2"/>
        <v>FAIRMONTKE 5035</v>
      </c>
      <c r="AO35" s="334" t="s">
        <v>26</v>
      </c>
      <c r="AP35" s="351">
        <v>45923</v>
      </c>
      <c r="AQ35" s="336" t="s">
        <v>27</v>
      </c>
      <c r="AR35" s="336" t="s">
        <v>70</v>
      </c>
      <c r="AS35" s="337">
        <v>0.59375</v>
      </c>
      <c r="AT35" s="332"/>
    </row>
    <row r="36" spans="1:46" ht="15" hidden="1" customHeight="1">
      <c r="A36" s="815"/>
      <c r="B36" s="816"/>
      <c r="C36" s="817"/>
      <c r="D36" s="816"/>
      <c r="E36" s="822"/>
      <c r="F36" s="358">
        <f t="shared" si="3"/>
        <v>0.65972222222222221</v>
      </c>
      <c r="G36" s="358">
        <v>0.78472222222222221</v>
      </c>
      <c r="H36" s="360" t="s">
        <v>70</v>
      </c>
      <c r="I36" s="360"/>
      <c r="J36" s="360">
        <v>1</v>
      </c>
      <c r="K36" s="373"/>
      <c r="L36" s="360"/>
      <c r="M36" s="360"/>
      <c r="N36" s="360"/>
      <c r="O36" s="360"/>
      <c r="P36" s="360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  <c r="AL36" s="332"/>
      <c r="AM36" s="332"/>
      <c r="AN36" s="332" t="str">
        <f t="shared" si="2"/>
        <v>FAIRMONTAC 62</v>
      </c>
      <c r="AO36" s="334" t="s">
        <v>26</v>
      </c>
      <c r="AP36" s="351">
        <v>45923</v>
      </c>
      <c r="AQ36" s="336" t="s">
        <v>27</v>
      </c>
      <c r="AR36" s="336" t="s">
        <v>71</v>
      </c>
      <c r="AS36" s="337">
        <v>0.59375</v>
      </c>
      <c r="AT36" s="332"/>
    </row>
    <row r="37" spans="1:46" ht="15" hidden="1" customHeight="1">
      <c r="A37" s="815"/>
      <c r="B37" s="816"/>
      <c r="C37" s="817"/>
      <c r="D37" s="816"/>
      <c r="E37" s="822"/>
      <c r="F37" s="358">
        <f t="shared" si="3"/>
        <v>0.67013888888888884</v>
      </c>
      <c r="G37" s="358">
        <v>0.79513888888888884</v>
      </c>
      <c r="H37" s="360" t="s">
        <v>71</v>
      </c>
      <c r="I37" s="360">
        <v>1</v>
      </c>
      <c r="J37" s="360"/>
      <c r="K37" s="373"/>
      <c r="L37" s="360"/>
      <c r="M37" s="360"/>
      <c r="N37" s="360"/>
      <c r="O37" s="360"/>
      <c r="P37" s="360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 t="str">
        <f t="shared" si="2"/>
        <v>FAIRMONTOZ 703</v>
      </c>
      <c r="AO37" s="334" t="s">
        <v>26</v>
      </c>
      <c r="AP37" s="351">
        <v>45923</v>
      </c>
      <c r="AQ37" s="336" t="s">
        <v>27</v>
      </c>
      <c r="AR37" s="336" t="s">
        <v>72</v>
      </c>
      <c r="AS37" s="337">
        <v>0.59375</v>
      </c>
      <c r="AT37" s="332"/>
    </row>
    <row r="38" spans="1:46" ht="15" hidden="1" customHeight="1">
      <c r="A38" s="815"/>
      <c r="B38" s="816"/>
      <c r="C38" s="817"/>
      <c r="D38" s="816"/>
      <c r="E38" s="822"/>
      <c r="F38" s="352">
        <f t="shared" si="3"/>
        <v>0.67708333333333337</v>
      </c>
      <c r="G38" s="352">
        <v>0.80208333333333337</v>
      </c>
      <c r="H38" s="355" t="s">
        <v>72</v>
      </c>
      <c r="I38" s="355">
        <v>3</v>
      </c>
      <c r="J38" s="355"/>
      <c r="K38" s="356"/>
      <c r="L38" s="355"/>
      <c r="M38" s="355"/>
      <c r="N38" s="355"/>
      <c r="O38" s="355"/>
      <c r="P38" s="355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 t="str">
        <f t="shared" si="2"/>
        <v>FAIRMONTDL 172</v>
      </c>
      <c r="AO38" s="334" t="s">
        <v>26</v>
      </c>
      <c r="AP38" s="351">
        <v>45923</v>
      </c>
      <c r="AQ38" s="336" t="s">
        <v>27</v>
      </c>
      <c r="AR38" s="336" t="s">
        <v>73</v>
      </c>
      <c r="AS38" s="337">
        <v>0.62847222222222221</v>
      </c>
      <c r="AT38" s="332"/>
    </row>
    <row r="39" spans="1:46" ht="15" hidden="1" customHeight="1">
      <c r="A39" s="815"/>
      <c r="B39" s="816">
        <f>C39-TIME(0,15,0)</f>
        <v>0.62847222222222232</v>
      </c>
      <c r="C39" s="817">
        <f>D39-TIME(1,0,0)</f>
        <v>0.63888888888888895</v>
      </c>
      <c r="D39" s="816">
        <f>E39-TIME(0,20,0)</f>
        <v>0.68055555555555558</v>
      </c>
      <c r="E39" s="822">
        <f>F39</f>
        <v>0.69444444444444442</v>
      </c>
      <c r="F39" s="365">
        <f t="shared" si="3"/>
        <v>0.69444444444444442</v>
      </c>
      <c r="G39" s="365">
        <v>0.81944444444444442</v>
      </c>
      <c r="H39" s="366" t="s">
        <v>73</v>
      </c>
      <c r="I39" s="366"/>
      <c r="J39" s="366">
        <v>12</v>
      </c>
      <c r="K39" s="367">
        <f>SUM(I39:J40)</f>
        <v>16</v>
      </c>
      <c r="L39" s="366"/>
      <c r="M39" s="366"/>
      <c r="N39" s="366"/>
      <c r="O39" s="366">
        <v>1</v>
      </c>
      <c r="P39" s="360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 t="str">
        <f t="shared" si="2"/>
        <v>FAIRMONTCX 419</v>
      </c>
      <c r="AO39" s="334" t="s">
        <v>26</v>
      </c>
      <c r="AP39" s="351">
        <v>45923</v>
      </c>
      <c r="AQ39" s="336" t="s">
        <v>27</v>
      </c>
      <c r="AR39" s="336" t="s">
        <v>74</v>
      </c>
      <c r="AS39" s="337">
        <v>0.62847222222222221</v>
      </c>
      <c r="AT39" s="332"/>
    </row>
    <row r="40" spans="1:46" ht="15" hidden="1" customHeight="1">
      <c r="A40" s="815"/>
      <c r="B40" s="816"/>
      <c r="C40" s="817"/>
      <c r="D40" s="816"/>
      <c r="E40" s="822"/>
      <c r="F40" s="352">
        <f t="shared" si="3"/>
        <v>0.71180555555555558</v>
      </c>
      <c r="G40" s="352">
        <v>0.83680555555555558</v>
      </c>
      <c r="H40" s="355" t="s">
        <v>74</v>
      </c>
      <c r="I40" s="355">
        <v>4</v>
      </c>
      <c r="J40" s="355"/>
      <c r="K40" s="356"/>
      <c r="L40" s="355"/>
      <c r="M40" s="355"/>
      <c r="N40" s="355"/>
      <c r="O40" s="355"/>
      <c r="P40" s="355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 t="str">
        <f t="shared" si="2"/>
        <v>FAIRMONTKE 625</v>
      </c>
      <c r="AO40" s="334" t="s">
        <v>26</v>
      </c>
      <c r="AP40" s="351">
        <v>45923</v>
      </c>
      <c r="AQ40" s="336" t="s">
        <v>27</v>
      </c>
      <c r="AR40" s="336" t="s">
        <v>75</v>
      </c>
      <c r="AS40" s="337">
        <v>0.65277777777777779</v>
      </c>
      <c r="AT40" s="332"/>
    </row>
    <row r="41" spans="1:46" ht="15" hidden="1" customHeight="1">
      <c r="A41" s="815"/>
      <c r="B41" s="816">
        <f>C41-TIME(0,15,0)</f>
        <v>0.6527777777777779</v>
      </c>
      <c r="C41" s="817">
        <f>D41-TIME(1,0,0)</f>
        <v>0.66319444444444453</v>
      </c>
      <c r="D41" s="816">
        <f>E41-TIME(0,20,0)</f>
        <v>0.70486111111111116</v>
      </c>
      <c r="E41" s="822">
        <f>F41</f>
        <v>0.71875</v>
      </c>
      <c r="F41" s="365">
        <f t="shared" si="3"/>
        <v>0.71875</v>
      </c>
      <c r="G41" s="365">
        <v>0.84375</v>
      </c>
      <c r="H41" s="366" t="s">
        <v>75</v>
      </c>
      <c r="I41" s="366"/>
      <c r="J41" s="366">
        <v>3</v>
      </c>
      <c r="K41" s="373">
        <f>SUM(I41:J43)</f>
        <v>33</v>
      </c>
      <c r="L41" s="360"/>
      <c r="M41" s="390">
        <v>0</v>
      </c>
      <c r="N41" s="360"/>
      <c r="O41" s="360">
        <v>1</v>
      </c>
      <c r="P41" s="390">
        <v>1</v>
      </c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 t="str">
        <f t="shared" si="2"/>
        <v>FAIRMONTOZ 204</v>
      </c>
      <c r="AO41" s="334" t="s">
        <v>26</v>
      </c>
      <c r="AP41" s="351">
        <v>45923</v>
      </c>
      <c r="AQ41" s="336" t="s">
        <v>27</v>
      </c>
      <c r="AR41" s="336" t="s">
        <v>76</v>
      </c>
      <c r="AS41" s="337">
        <v>0.65277777777777779</v>
      </c>
      <c r="AT41" s="332"/>
    </row>
    <row r="42" spans="1:46" ht="15" hidden="1" customHeight="1">
      <c r="A42" s="815"/>
      <c r="B42" s="816"/>
      <c r="C42" s="817"/>
      <c r="D42" s="816"/>
      <c r="E42" s="822"/>
      <c r="F42" s="358">
        <f>G42-TIME(3,0,0)</f>
        <v>0.73611111111111116</v>
      </c>
      <c r="G42" s="358">
        <v>0.86111111111111116</v>
      </c>
      <c r="H42" s="360" t="s">
        <v>76</v>
      </c>
      <c r="I42" s="360">
        <v>2</v>
      </c>
      <c r="J42" s="360"/>
      <c r="K42" s="391"/>
      <c r="L42" s="360"/>
      <c r="M42" s="360"/>
      <c r="N42" s="360"/>
      <c r="O42" s="360"/>
      <c r="P42" s="360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 t="str">
        <f t="shared" si="2"/>
        <v>FAIRMONTWS 87</v>
      </c>
      <c r="AO42" s="334" t="s">
        <v>26</v>
      </c>
      <c r="AP42" s="351">
        <v>45923</v>
      </c>
      <c r="AQ42" s="336" t="s">
        <v>27</v>
      </c>
      <c r="AR42" s="336" t="s">
        <v>77</v>
      </c>
      <c r="AS42" s="337">
        <v>0.65277777777777779</v>
      </c>
      <c r="AT42" s="332"/>
    </row>
    <row r="43" spans="1:46" ht="15" hidden="1" customHeight="1">
      <c r="A43" s="815"/>
      <c r="B43" s="816"/>
      <c r="C43" s="817"/>
      <c r="D43" s="816"/>
      <c r="E43" s="822"/>
      <c r="F43" s="352">
        <f t="shared" ref="F43:F45" si="8">G43-TIME(3,0,0)</f>
        <v>0.73958333333333337</v>
      </c>
      <c r="G43" s="352">
        <v>0.86458333333333337</v>
      </c>
      <c r="H43" s="355" t="s">
        <v>77</v>
      </c>
      <c r="I43" s="355">
        <v>28</v>
      </c>
      <c r="J43" s="355"/>
      <c r="K43" s="356"/>
      <c r="L43" s="355"/>
      <c r="M43" s="355"/>
      <c r="N43" s="355"/>
      <c r="O43" s="355"/>
      <c r="P43" s="355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32"/>
      <c r="AN43" s="332" t="str">
        <f t="shared" si="2"/>
        <v>FAIRMONT5J 131</v>
      </c>
      <c r="AO43" s="334" t="s">
        <v>26</v>
      </c>
      <c r="AP43" s="351">
        <v>45923</v>
      </c>
      <c r="AQ43" s="336" t="s">
        <v>27</v>
      </c>
      <c r="AR43" s="336" t="s">
        <v>78</v>
      </c>
      <c r="AS43" s="337">
        <v>0.72916666666666663</v>
      </c>
      <c r="AT43" s="332"/>
    </row>
    <row r="44" spans="1:46" ht="15" hidden="1" customHeight="1">
      <c r="A44" s="815"/>
      <c r="B44" s="392"/>
      <c r="C44" s="393"/>
      <c r="D44" s="392"/>
      <c r="E44" s="394"/>
      <c r="F44" s="392">
        <f t="shared" si="8"/>
        <v>0.79166666666666663</v>
      </c>
      <c r="G44" s="392">
        <v>0.91666666666666663</v>
      </c>
      <c r="H44" s="395" t="s">
        <v>78</v>
      </c>
      <c r="I44" s="395">
        <v>1</v>
      </c>
      <c r="J44" s="395"/>
      <c r="K44" s="396"/>
      <c r="L44" s="395">
        <v>0</v>
      </c>
      <c r="M44" s="395"/>
      <c r="N44" s="395"/>
      <c r="O44" s="395"/>
      <c r="P44" s="397"/>
      <c r="Q44" s="398" t="s">
        <v>79</v>
      </c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2"/>
      <c r="AM44" s="332"/>
      <c r="AN44" s="332" t="str">
        <f t="shared" si="2"/>
        <v>FAIRMONTEK 323</v>
      </c>
      <c r="AO44" s="334" t="s">
        <v>26</v>
      </c>
      <c r="AP44" s="351">
        <v>45923</v>
      </c>
      <c r="AQ44" s="336" t="s">
        <v>27</v>
      </c>
      <c r="AR44" s="336" t="s">
        <v>80</v>
      </c>
      <c r="AS44" s="337">
        <v>0.81944444444444442</v>
      </c>
      <c r="AT44" s="332"/>
    </row>
    <row r="45" spans="1:46" ht="15" hidden="1" customHeight="1">
      <c r="A45" s="815"/>
      <c r="B45" s="399"/>
      <c r="C45" s="400"/>
      <c r="D45" s="399"/>
      <c r="E45" s="401"/>
      <c r="F45" s="399">
        <f t="shared" si="8"/>
        <v>0.87152777777777779</v>
      </c>
      <c r="G45" s="399">
        <v>0.99652777777777779</v>
      </c>
      <c r="H45" s="402" t="s">
        <v>80</v>
      </c>
      <c r="I45" s="402">
        <v>1</v>
      </c>
      <c r="J45" s="402"/>
      <c r="K45" s="403"/>
      <c r="L45" s="402">
        <v>0</v>
      </c>
      <c r="M45" s="402"/>
      <c r="N45" s="402"/>
      <c r="O45" s="402"/>
      <c r="P45" s="404"/>
      <c r="Q45" s="398" t="s">
        <v>79</v>
      </c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 t="str">
        <f t="shared" si="2"/>
        <v>FAIRMONTJL 92</v>
      </c>
      <c r="AO45" s="334" t="s">
        <v>26</v>
      </c>
      <c r="AP45" s="351">
        <v>45923</v>
      </c>
      <c r="AQ45" s="336" t="s">
        <v>27</v>
      </c>
      <c r="AR45" s="336" t="s">
        <v>29</v>
      </c>
      <c r="AS45" s="337">
        <v>0.34722222222222221</v>
      </c>
      <c r="AT45" s="332"/>
    </row>
    <row r="46" spans="1:46" ht="22.5" hidden="1" customHeight="1">
      <c r="A46" s="819" t="s">
        <v>32</v>
      </c>
      <c r="B46" s="819"/>
      <c r="C46" s="819"/>
      <c r="D46" s="819"/>
      <c r="E46" s="819"/>
      <c r="F46" s="819"/>
      <c r="G46" s="819"/>
      <c r="H46" s="819"/>
      <c r="I46" s="372">
        <f>SUM(I3:I45)</f>
        <v>144</v>
      </c>
      <c r="J46" s="372">
        <f t="shared" ref="J46:O46" si="9">SUM(J3:J45)</f>
        <v>70</v>
      </c>
      <c r="K46" s="372">
        <f t="shared" si="9"/>
        <v>212</v>
      </c>
      <c r="L46" s="372">
        <f>SUM(L3:L45)</f>
        <v>1</v>
      </c>
      <c r="M46" s="372">
        <f t="shared" si="9"/>
        <v>6</v>
      </c>
      <c r="N46" s="372">
        <f t="shared" si="9"/>
        <v>3</v>
      </c>
      <c r="O46" s="372">
        <f t="shared" si="9"/>
        <v>7</v>
      </c>
      <c r="P46" s="372">
        <f>SUM(P3:P45)</f>
        <v>1</v>
      </c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2"/>
      <c r="AM46" s="332"/>
      <c r="AN46" s="332" t="str">
        <f t="shared" si="2"/>
        <v>INTER PARNASKE 621</v>
      </c>
      <c r="AO46" s="334" t="s">
        <v>26</v>
      </c>
      <c r="AP46" s="351">
        <v>45923</v>
      </c>
      <c r="AQ46" s="336" t="s">
        <v>81</v>
      </c>
      <c r="AR46" s="336" t="s">
        <v>31</v>
      </c>
      <c r="AS46" s="337">
        <v>9.375E-2</v>
      </c>
      <c r="AT46" s="332"/>
    </row>
    <row r="47" spans="1:46" ht="15" hidden="1" customHeight="1">
      <c r="A47" s="332"/>
      <c r="B47" s="332"/>
      <c r="C47" s="332"/>
      <c r="D47" s="332"/>
      <c r="E47" s="332"/>
      <c r="F47" s="332"/>
      <c r="G47" s="332"/>
      <c r="H47" s="332"/>
      <c r="I47" s="332" t="s">
        <v>15</v>
      </c>
      <c r="J47" s="332" t="s">
        <v>16</v>
      </c>
      <c r="K47" s="332" t="s">
        <v>82</v>
      </c>
      <c r="L47" s="332" t="s">
        <v>34</v>
      </c>
      <c r="M47" s="332" t="s">
        <v>35</v>
      </c>
      <c r="N47" s="332" t="s">
        <v>36</v>
      </c>
      <c r="O47" s="332" t="s">
        <v>37</v>
      </c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32"/>
      <c r="AN47" s="332" t="str">
        <f t="shared" si="2"/>
        <v>INTER PARNASOZ 701</v>
      </c>
      <c r="AO47" s="334" t="s">
        <v>26</v>
      </c>
      <c r="AP47" s="351">
        <v>45923</v>
      </c>
      <c r="AQ47" s="336" t="s">
        <v>81</v>
      </c>
      <c r="AR47" s="336" t="s">
        <v>33</v>
      </c>
      <c r="AS47" s="337">
        <v>9.375E-2</v>
      </c>
      <c r="AT47" s="332"/>
    </row>
    <row r="48" spans="1:46" ht="15" hidden="1" customHeight="1">
      <c r="A48" s="332"/>
      <c r="B48" s="332"/>
      <c r="C48" s="333"/>
      <c r="D48" s="333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3"/>
      <c r="Z48" s="333"/>
      <c r="AA48" s="333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  <c r="AL48" s="332"/>
      <c r="AM48" s="332"/>
      <c r="AN48" s="332" t="str">
        <f t="shared" si="2"/>
        <v>INTER PARNASOZ 112</v>
      </c>
      <c r="AO48" s="334" t="s">
        <v>26</v>
      </c>
      <c r="AP48" s="351">
        <v>45923</v>
      </c>
      <c r="AQ48" s="336" t="s">
        <v>81</v>
      </c>
      <c r="AR48" s="336" t="s">
        <v>39</v>
      </c>
      <c r="AS48" s="337">
        <v>9.375E-2</v>
      </c>
      <c r="AT48" s="332"/>
    </row>
    <row r="49" spans="1:46" ht="15" hidden="1" customHeight="1">
      <c r="A49" s="332"/>
      <c r="B49" s="332"/>
      <c r="C49" s="333"/>
      <c r="D49" s="333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 t="s">
        <v>83</v>
      </c>
      <c r="S49" s="332"/>
      <c r="T49" s="332" t="s">
        <v>84</v>
      </c>
      <c r="U49" s="332"/>
      <c r="V49" s="332"/>
      <c r="W49" s="332"/>
      <c r="X49" s="332"/>
      <c r="Y49" s="333"/>
      <c r="Z49" s="333"/>
      <c r="AA49" s="333"/>
      <c r="AB49" s="332"/>
      <c r="AC49" s="332"/>
      <c r="AD49" s="332"/>
      <c r="AE49" s="332" t="s">
        <v>85</v>
      </c>
      <c r="AF49" s="332"/>
      <c r="AG49" s="332" t="s">
        <v>86</v>
      </c>
      <c r="AH49" s="332"/>
      <c r="AI49" s="332"/>
      <c r="AJ49" s="332"/>
      <c r="AK49" s="332"/>
      <c r="AL49" s="332"/>
      <c r="AM49" s="332"/>
      <c r="AN49" s="332" t="str">
        <f t="shared" si="2"/>
        <v>INTER PARNASPR 467</v>
      </c>
      <c r="AO49" s="334" t="s">
        <v>26</v>
      </c>
      <c r="AP49" s="351">
        <v>45923</v>
      </c>
      <c r="AQ49" s="336" t="s">
        <v>81</v>
      </c>
      <c r="AR49" s="336" t="s">
        <v>87</v>
      </c>
      <c r="AS49" s="337">
        <v>9.375E-2</v>
      </c>
      <c r="AT49" s="332"/>
    </row>
    <row r="50" spans="1:46" ht="22.5" hidden="1" customHeight="1">
      <c r="A50" s="823" t="s">
        <v>88</v>
      </c>
      <c r="B50" s="823"/>
      <c r="C50" s="823"/>
      <c r="D50" s="823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 t="s">
        <v>89</v>
      </c>
      <c r="S50" s="332"/>
      <c r="T50" s="332" t="s">
        <v>90</v>
      </c>
      <c r="U50" s="332"/>
      <c r="V50" s="332"/>
      <c r="W50" s="824" t="s">
        <v>91</v>
      </c>
      <c r="X50" s="824"/>
      <c r="Y50" s="824"/>
      <c r="Z50" s="824"/>
      <c r="AA50" s="333"/>
      <c r="AB50" s="332"/>
      <c r="AC50" s="332"/>
      <c r="AD50" s="332"/>
      <c r="AE50" s="332" t="s">
        <v>86</v>
      </c>
      <c r="AF50" s="332"/>
      <c r="AG50" s="332" t="s">
        <v>92</v>
      </c>
      <c r="AH50" s="332"/>
      <c r="AI50" s="332"/>
      <c r="AJ50" s="332"/>
      <c r="AK50" s="332"/>
      <c r="AL50" s="332"/>
      <c r="AM50" s="332"/>
      <c r="AN50" s="332" t="str">
        <f t="shared" si="2"/>
        <v>INTER PARNAS5J 185</v>
      </c>
      <c r="AO50" s="334" t="s">
        <v>26</v>
      </c>
      <c r="AP50" s="351">
        <v>45923</v>
      </c>
      <c r="AQ50" s="336" t="s">
        <v>81</v>
      </c>
      <c r="AR50" s="336" t="s">
        <v>93</v>
      </c>
      <c r="AS50" s="337">
        <v>9.375E-2</v>
      </c>
      <c r="AT50" s="332"/>
    </row>
    <row r="51" spans="1:46" ht="22.5" hidden="1" customHeight="1">
      <c r="A51" s="339" t="s">
        <v>5</v>
      </c>
      <c r="B51" s="339" t="s">
        <v>94</v>
      </c>
      <c r="C51" s="339" t="s">
        <v>95</v>
      </c>
      <c r="D51" s="339" t="s">
        <v>96</v>
      </c>
      <c r="E51" s="405" t="s">
        <v>97</v>
      </c>
      <c r="F51" s="339" t="s">
        <v>11</v>
      </c>
      <c r="G51" s="339" t="s">
        <v>12</v>
      </c>
      <c r="H51" s="406" t="s">
        <v>13</v>
      </c>
      <c r="I51" s="407" t="s">
        <v>14</v>
      </c>
      <c r="J51" s="407" t="s">
        <v>7</v>
      </c>
      <c r="K51" s="343" t="s">
        <v>98</v>
      </c>
      <c r="L51" s="343" t="s">
        <v>99</v>
      </c>
      <c r="M51" s="408" t="s">
        <v>100</v>
      </c>
      <c r="N51" s="408" t="s">
        <v>101</v>
      </c>
      <c r="O51" s="343" t="s">
        <v>17</v>
      </c>
      <c r="P51" s="345" t="s">
        <v>18</v>
      </c>
      <c r="Q51" s="345" t="s">
        <v>19</v>
      </c>
      <c r="R51" s="345" t="s">
        <v>20</v>
      </c>
      <c r="S51" s="345" t="s">
        <v>21</v>
      </c>
      <c r="T51" s="345" t="s">
        <v>22</v>
      </c>
      <c r="U51" s="409"/>
      <c r="V51" s="332"/>
      <c r="W51" s="410" t="s">
        <v>5</v>
      </c>
      <c r="X51" s="379" t="s">
        <v>94</v>
      </c>
      <c r="Y51" s="379" t="s">
        <v>95</v>
      </c>
      <c r="Z51" s="379" t="s">
        <v>96</v>
      </c>
      <c r="AA51" s="379" t="s">
        <v>97</v>
      </c>
      <c r="AB51" s="411" t="s">
        <v>13</v>
      </c>
      <c r="AC51" s="412" t="s">
        <v>14</v>
      </c>
      <c r="AD51" s="412" t="s">
        <v>7</v>
      </c>
      <c r="AE51" s="413" t="s">
        <v>102</v>
      </c>
      <c r="AF51" s="413" t="s">
        <v>103</v>
      </c>
      <c r="AG51" s="413" t="s">
        <v>104</v>
      </c>
      <c r="AH51" s="413" t="s">
        <v>105</v>
      </c>
      <c r="AI51" s="414" t="s">
        <v>17</v>
      </c>
      <c r="AJ51" s="414" t="s">
        <v>18</v>
      </c>
      <c r="AK51" s="415" t="s">
        <v>19</v>
      </c>
      <c r="AL51" s="414" t="s">
        <v>20</v>
      </c>
      <c r="AM51" s="414" t="s">
        <v>21</v>
      </c>
      <c r="AN51" s="332" t="str">
        <f t="shared" si="2"/>
        <v>INTER PARNAS7C 1101</v>
      </c>
      <c r="AO51" s="334" t="s">
        <v>26</v>
      </c>
      <c r="AP51" s="351">
        <v>45923</v>
      </c>
      <c r="AQ51" s="336" t="s">
        <v>81</v>
      </c>
      <c r="AR51" s="336" t="s">
        <v>106</v>
      </c>
      <c r="AS51" s="337">
        <v>9.375E-2</v>
      </c>
      <c r="AT51" s="332"/>
    </row>
    <row r="52" spans="1:46" ht="15" hidden="1" customHeight="1">
      <c r="A52" s="825">
        <v>45923</v>
      </c>
      <c r="B52" s="416"/>
      <c r="C52" s="416"/>
      <c r="D52" s="417">
        <f>E52-TIME(0,15,0)</f>
        <v>0.10069444444444441</v>
      </c>
      <c r="E52" s="418">
        <f>F52-TIME(1,15,0)</f>
        <v>0.11111111111111108</v>
      </c>
      <c r="F52" s="417">
        <f>H52</f>
        <v>0.16319444444444442</v>
      </c>
      <c r="G52" s="416"/>
      <c r="H52" s="419">
        <f>I52-TIME(3,0,0)</f>
        <v>0.16319444444444442</v>
      </c>
      <c r="I52" s="420">
        <v>0.28819444444444442</v>
      </c>
      <c r="J52" s="421" t="s">
        <v>107</v>
      </c>
      <c r="K52" s="422"/>
      <c r="L52" s="355"/>
      <c r="M52" s="422">
        <v>3</v>
      </c>
      <c r="N52" s="355"/>
      <c r="O52" s="356">
        <f>SUM(J52:N52)</f>
        <v>3</v>
      </c>
      <c r="P52" s="423">
        <v>1</v>
      </c>
      <c r="Q52" s="423"/>
      <c r="R52" s="423"/>
      <c r="S52" s="423"/>
      <c r="T52" s="423"/>
      <c r="U52" s="350"/>
      <c r="V52" s="332"/>
      <c r="W52" s="826">
        <v>45923</v>
      </c>
      <c r="X52" s="827"/>
      <c r="Y52" s="827"/>
      <c r="Z52" s="828">
        <f>AA52-TIME(0,15,0)</f>
        <v>0.17013888888888892</v>
      </c>
      <c r="AA52" s="835">
        <f>AB52-TIME(0,40,0)</f>
        <v>0.18055555555555558</v>
      </c>
      <c r="AB52" s="424">
        <v>0.20833333333333334</v>
      </c>
      <c r="AC52" s="425">
        <v>0.31944444444444442</v>
      </c>
      <c r="AD52" s="426" t="s">
        <v>108</v>
      </c>
      <c r="AE52" s="427"/>
      <c r="AF52" s="427"/>
      <c r="AG52" s="427"/>
      <c r="AH52" s="427">
        <v>2</v>
      </c>
      <c r="AI52" s="428">
        <f>SUM(AD52:AH53)</f>
        <v>6</v>
      </c>
      <c r="AJ52" s="429"/>
      <c r="AK52" s="429">
        <v>1</v>
      </c>
      <c r="AL52" s="429"/>
      <c r="AM52" s="429"/>
      <c r="AN52" s="332" t="str">
        <f t="shared" si="2"/>
        <v>INTER PARNASTW 241</v>
      </c>
      <c r="AO52" s="334" t="s">
        <v>26</v>
      </c>
      <c r="AP52" s="351">
        <v>45923</v>
      </c>
      <c r="AQ52" s="336" t="s">
        <v>81</v>
      </c>
      <c r="AR52" s="336" t="s">
        <v>109</v>
      </c>
      <c r="AS52" s="337">
        <v>9.375E-2</v>
      </c>
      <c r="AT52" s="332"/>
    </row>
    <row r="53" spans="1:46" ht="15" hidden="1" customHeight="1">
      <c r="A53" s="825"/>
      <c r="B53" s="430"/>
      <c r="C53" s="431"/>
      <c r="D53" s="430"/>
      <c r="E53" s="432"/>
      <c r="F53" s="430"/>
      <c r="G53" s="433"/>
      <c r="H53" s="434"/>
      <c r="I53" s="435"/>
      <c r="J53" s="436"/>
      <c r="K53" s="437"/>
      <c r="L53" s="366"/>
      <c r="M53" s="437"/>
      <c r="N53" s="366"/>
      <c r="O53" s="367"/>
      <c r="P53" s="438"/>
      <c r="Q53" s="438"/>
      <c r="R53" s="438"/>
      <c r="S53" s="438"/>
      <c r="T53" s="438"/>
      <c r="U53" s="350"/>
      <c r="V53" s="332"/>
      <c r="W53" s="826"/>
      <c r="X53" s="827"/>
      <c r="Y53" s="827"/>
      <c r="Z53" s="828"/>
      <c r="AA53" s="835"/>
      <c r="AB53" s="439">
        <v>0.20833333333333334</v>
      </c>
      <c r="AC53" s="440">
        <v>0.3298611111111111</v>
      </c>
      <c r="AD53" s="441" t="s">
        <v>110</v>
      </c>
      <c r="AE53" s="442"/>
      <c r="AF53" s="442"/>
      <c r="AG53" s="442"/>
      <c r="AH53" s="442">
        <v>4</v>
      </c>
      <c r="AI53" s="443"/>
      <c r="AJ53" s="444"/>
      <c r="AK53" s="444"/>
      <c r="AL53" s="444"/>
      <c r="AM53" s="444"/>
      <c r="AN53" s="332" t="str">
        <f t="shared" si="2"/>
        <v>INTER PARNASOZ 102</v>
      </c>
      <c r="AO53" s="334" t="s">
        <v>26</v>
      </c>
      <c r="AP53" s="351">
        <v>45923</v>
      </c>
      <c r="AQ53" s="336" t="s">
        <v>81</v>
      </c>
      <c r="AR53" s="336" t="s">
        <v>111</v>
      </c>
      <c r="AS53" s="337">
        <v>0.1423611111111111</v>
      </c>
      <c r="AT53" s="332"/>
    </row>
    <row r="54" spans="1:46" ht="15" hidden="1" customHeight="1">
      <c r="A54" s="825"/>
      <c r="B54" s="818">
        <f>C54-TIME(0,15,0)</f>
        <v>9.3749999999999986E-2</v>
      </c>
      <c r="C54" s="837">
        <f>D54-TIME(0,30,0)</f>
        <v>0.10416666666666666</v>
      </c>
      <c r="D54" s="839">
        <f>E54-TIME(0,15,0)</f>
        <v>0.12499999999999999</v>
      </c>
      <c r="E54" s="837">
        <f>F54-TIME(1,15,0)</f>
        <v>0.13541666666666666</v>
      </c>
      <c r="F54" s="818">
        <f>G54-TIME(0,20,0)</f>
        <v>0.1875</v>
      </c>
      <c r="G54" s="841">
        <f>H54</f>
        <v>0.2013888888888889</v>
      </c>
      <c r="H54" s="445">
        <f t="shared" ref="H54:H64" si="10">I54-TIME(3,0,0)</f>
        <v>0.2013888888888889</v>
      </c>
      <c r="I54" s="446">
        <v>0.3263888888888889</v>
      </c>
      <c r="J54" s="447" t="s">
        <v>31</v>
      </c>
      <c r="K54" s="448"/>
      <c r="L54" s="360"/>
      <c r="M54" s="448"/>
      <c r="N54" s="360">
        <v>4</v>
      </c>
      <c r="O54" s="449">
        <v>5</v>
      </c>
      <c r="P54" s="450"/>
      <c r="Q54" s="451">
        <v>1</v>
      </c>
      <c r="R54" s="452"/>
      <c r="S54" s="453"/>
      <c r="T54" s="453"/>
      <c r="U54" s="454" t="s">
        <v>112</v>
      </c>
      <c r="V54" s="332"/>
      <c r="W54" s="826"/>
      <c r="X54" s="455"/>
      <c r="Y54" s="455"/>
      <c r="Z54" s="365">
        <f>AA54-TIME(0,15,0)</f>
        <v>0.47916666666666663</v>
      </c>
      <c r="AA54" s="456">
        <f>AB54-TIME(1,0,0)</f>
        <v>0.48958333333333331</v>
      </c>
      <c r="AB54" s="434">
        <f>AC54-TIME(3,0,0)</f>
        <v>0.53125</v>
      </c>
      <c r="AC54" s="435">
        <v>0.65625</v>
      </c>
      <c r="AD54" s="436" t="s">
        <v>113</v>
      </c>
      <c r="AE54" s="457"/>
      <c r="AF54" s="457"/>
      <c r="AG54" s="457"/>
      <c r="AH54" s="457">
        <v>2</v>
      </c>
      <c r="AI54" s="458">
        <f>SUM(AD54:AH54)</f>
        <v>2</v>
      </c>
      <c r="AJ54" s="438">
        <v>1</v>
      </c>
      <c r="AK54" s="438"/>
      <c r="AL54" s="438"/>
      <c r="AM54" s="438"/>
      <c r="AN54" s="332" t="str">
        <f t="shared" si="2"/>
        <v>INTER PARNASKE 469</v>
      </c>
      <c r="AO54" s="334" t="s">
        <v>26</v>
      </c>
      <c r="AP54" s="351">
        <v>45923</v>
      </c>
      <c r="AQ54" s="336" t="s">
        <v>81</v>
      </c>
      <c r="AR54" s="336" t="s">
        <v>114</v>
      </c>
      <c r="AS54" s="337">
        <v>0.1423611111111111</v>
      </c>
      <c r="AT54" s="332"/>
    </row>
    <row r="55" spans="1:46" ht="15" hidden="1" customHeight="1">
      <c r="A55" s="825"/>
      <c r="B55" s="836"/>
      <c r="C55" s="838"/>
      <c r="D55" s="840"/>
      <c r="E55" s="838"/>
      <c r="F55" s="836"/>
      <c r="G55" s="842"/>
      <c r="H55" s="459">
        <f>I55-TIME(3,0,0)</f>
        <v>0.2326388888888889</v>
      </c>
      <c r="I55" s="460">
        <v>0.3576388888888889</v>
      </c>
      <c r="J55" s="461" t="s">
        <v>109</v>
      </c>
      <c r="K55" s="379">
        <v>1</v>
      </c>
      <c r="L55" s="379"/>
      <c r="M55" s="379"/>
      <c r="N55" s="379"/>
      <c r="O55" s="462"/>
      <c r="P55" s="414"/>
      <c r="Q55" s="414"/>
      <c r="R55" s="414"/>
      <c r="S55" s="414"/>
      <c r="T55" s="414"/>
      <c r="U55" s="332"/>
      <c r="V55" s="332"/>
      <c r="W55" s="463"/>
      <c r="X55" s="464"/>
      <c r="Y55" s="464"/>
      <c r="Z55" s="465"/>
      <c r="AA55" s="466"/>
      <c r="AB55" s="467"/>
      <c r="AC55" s="468"/>
      <c r="AD55" s="469"/>
      <c r="AE55" s="457"/>
      <c r="AF55" s="457"/>
      <c r="AG55" s="457"/>
      <c r="AH55" s="457"/>
      <c r="AI55" s="458"/>
      <c r="AJ55" s="438"/>
      <c r="AK55" s="438"/>
      <c r="AL55" s="438"/>
      <c r="AM55" s="438"/>
      <c r="AN55" s="332"/>
      <c r="AO55" s="334"/>
      <c r="AP55" s="351"/>
      <c r="AT55" s="332"/>
    </row>
    <row r="56" spans="1:46" ht="22.5" hidden="1" customHeight="1">
      <c r="A56" s="825"/>
      <c r="B56" s="470"/>
      <c r="C56" s="471"/>
      <c r="D56" s="472"/>
      <c r="E56" s="473"/>
      <c r="F56" s="474"/>
      <c r="G56" s="475"/>
      <c r="H56" s="476">
        <f t="shared" si="10"/>
        <v>0.2013888888888889</v>
      </c>
      <c r="I56" s="477">
        <v>0.3263888888888889</v>
      </c>
      <c r="J56" s="478" t="s">
        <v>33</v>
      </c>
      <c r="K56" s="479"/>
      <c r="L56" s="480"/>
      <c r="M56" s="479">
        <v>8</v>
      </c>
      <c r="N56" s="480"/>
      <c r="O56" s="481">
        <f>SUM(K56:N60)</f>
        <v>23</v>
      </c>
      <c r="P56" s="482"/>
      <c r="Q56" s="482"/>
      <c r="R56" s="482"/>
      <c r="S56" s="483">
        <v>1</v>
      </c>
      <c r="T56" s="483"/>
      <c r="U56" s="484" t="s">
        <v>275</v>
      </c>
      <c r="V56" s="332"/>
      <c r="W56" s="819" t="s">
        <v>32</v>
      </c>
      <c r="X56" s="819"/>
      <c r="Y56" s="819"/>
      <c r="Z56" s="819"/>
      <c r="AA56" s="819"/>
      <c r="AB56" s="819"/>
      <c r="AC56" s="819"/>
      <c r="AD56" s="819"/>
      <c r="AE56" s="485">
        <v>0</v>
      </c>
      <c r="AF56" s="485">
        <v>0</v>
      </c>
      <c r="AG56" s="485">
        <v>0</v>
      </c>
      <c r="AH56" s="485">
        <v>7</v>
      </c>
      <c r="AI56" s="372">
        <v>6</v>
      </c>
      <c r="AJ56" s="372">
        <f t="shared" ref="AJ56:AM56" si="11">SUM(AJ52:AJ54)</f>
        <v>1</v>
      </c>
      <c r="AK56" s="372">
        <f t="shared" si="11"/>
        <v>1</v>
      </c>
      <c r="AL56" s="372">
        <f t="shared" si="11"/>
        <v>0</v>
      </c>
      <c r="AM56" s="372">
        <f t="shared" si="11"/>
        <v>0</v>
      </c>
      <c r="AN56" s="332" t="str">
        <f t="shared" si="2"/>
        <v>INTER PARNASBX 172</v>
      </c>
      <c r="AO56" s="334" t="s">
        <v>26</v>
      </c>
      <c r="AP56" s="351">
        <v>45923</v>
      </c>
      <c r="AQ56" s="336" t="s">
        <v>81</v>
      </c>
      <c r="AR56" s="336" t="s">
        <v>115</v>
      </c>
      <c r="AS56" s="337">
        <v>0.1423611111111111</v>
      </c>
      <c r="AT56" s="332"/>
    </row>
    <row r="57" spans="1:46" ht="15" hidden="1" customHeight="1">
      <c r="A57" s="825"/>
      <c r="B57" s="486"/>
      <c r="C57" s="487"/>
      <c r="D57" s="488"/>
      <c r="E57" s="489"/>
      <c r="F57" s="490"/>
      <c r="G57" s="491"/>
      <c r="H57" s="445">
        <f t="shared" si="10"/>
        <v>0.2048611111111111</v>
      </c>
      <c r="I57" s="446">
        <v>0.3298611111111111</v>
      </c>
      <c r="J57" s="447" t="s">
        <v>39</v>
      </c>
      <c r="K57" s="448"/>
      <c r="L57" s="360"/>
      <c r="M57" s="448">
        <v>2</v>
      </c>
      <c r="N57" s="360"/>
      <c r="O57" s="492"/>
      <c r="P57" s="450"/>
      <c r="Q57" s="450"/>
      <c r="R57" s="450"/>
      <c r="S57" s="450"/>
      <c r="T57" s="450"/>
      <c r="U57" s="332"/>
      <c r="V57" s="332"/>
      <c r="W57" s="332"/>
      <c r="X57" s="332"/>
      <c r="Y57" s="332"/>
      <c r="Z57" s="332"/>
      <c r="AA57" s="332"/>
      <c r="AB57" s="493"/>
      <c r="AC57" s="494"/>
      <c r="AD57" s="494"/>
      <c r="AE57" s="495"/>
      <c r="AF57" s="495"/>
      <c r="AG57" s="495"/>
      <c r="AH57" s="495"/>
      <c r="AI57" s="350"/>
      <c r="AJ57" s="332" t="s">
        <v>34</v>
      </c>
      <c r="AK57" s="332" t="s">
        <v>35</v>
      </c>
      <c r="AL57" s="332" t="s">
        <v>36</v>
      </c>
      <c r="AM57" s="332" t="s">
        <v>37</v>
      </c>
      <c r="AN57" s="332" t="str">
        <f t="shared" si="2"/>
        <v>INTER PARNASDL 7851</v>
      </c>
      <c r="AO57" s="334" t="s">
        <v>26</v>
      </c>
      <c r="AP57" s="351">
        <v>45923</v>
      </c>
      <c r="AQ57" s="336" t="s">
        <v>81</v>
      </c>
      <c r="AR57" s="336" t="s">
        <v>116</v>
      </c>
      <c r="AS57" s="337">
        <v>0.1423611111111111</v>
      </c>
      <c r="AT57" s="332"/>
    </row>
    <row r="58" spans="1:46" ht="15" hidden="1" customHeight="1">
      <c r="A58" s="825"/>
      <c r="B58" s="486"/>
      <c r="C58" s="487"/>
      <c r="D58" s="488"/>
      <c r="E58" s="489"/>
      <c r="F58" s="490"/>
      <c r="G58" s="491"/>
      <c r="H58" s="445">
        <f t="shared" si="10"/>
        <v>0.20833333333333331</v>
      </c>
      <c r="I58" s="446">
        <v>0.33333333333333331</v>
      </c>
      <c r="J58" s="447" t="s">
        <v>87</v>
      </c>
      <c r="K58" s="448"/>
      <c r="L58" s="360"/>
      <c r="M58" s="448">
        <v>1</v>
      </c>
      <c r="N58" s="360"/>
      <c r="O58" s="496"/>
      <c r="P58" s="497"/>
      <c r="Q58" s="497"/>
      <c r="R58" s="497"/>
      <c r="S58" s="497"/>
      <c r="T58" s="497"/>
      <c r="U58" s="332"/>
      <c r="V58" s="332"/>
      <c r="W58" s="332"/>
      <c r="X58" s="332"/>
      <c r="Y58" s="332"/>
      <c r="Z58" s="332"/>
      <c r="AA58" s="332"/>
      <c r="AB58" s="493"/>
      <c r="AC58" s="494"/>
      <c r="AD58" s="494"/>
      <c r="AE58" s="495"/>
      <c r="AF58" s="495"/>
      <c r="AG58" s="495"/>
      <c r="AH58" s="495"/>
      <c r="AI58" s="350"/>
      <c r="AJ58" s="350"/>
      <c r="AK58" s="350"/>
      <c r="AL58" s="350"/>
      <c r="AM58" s="350"/>
      <c r="AN58" s="332" t="str">
        <f t="shared" si="2"/>
        <v>INTER PARNASDL 7869</v>
      </c>
      <c r="AO58" s="334" t="s">
        <v>26</v>
      </c>
      <c r="AP58" s="351">
        <v>45923</v>
      </c>
      <c r="AQ58" s="336" t="s">
        <v>81</v>
      </c>
      <c r="AR58" s="336" t="s">
        <v>43</v>
      </c>
      <c r="AS58" s="337">
        <v>0.1423611111111111</v>
      </c>
      <c r="AT58" s="332"/>
    </row>
    <row r="59" spans="1:46" ht="15" hidden="1" customHeight="1">
      <c r="A59" s="825"/>
      <c r="B59" s="486"/>
      <c r="C59" s="487"/>
      <c r="D59" s="488"/>
      <c r="E59" s="489"/>
      <c r="F59" s="490"/>
      <c r="G59" s="491"/>
      <c r="H59" s="445">
        <f t="shared" si="10"/>
        <v>0.22222222222222221</v>
      </c>
      <c r="I59" s="446">
        <v>0.34722222222222221</v>
      </c>
      <c r="J59" s="447" t="s">
        <v>93</v>
      </c>
      <c r="K59" s="448"/>
      <c r="L59" s="360"/>
      <c r="M59" s="448">
        <v>4</v>
      </c>
      <c r="N59" s="360"/>
      <c r="O59" s="496"/>
      <c r="P59" s="450"/>
      <c r="Q59" s="450"/>
      <c r="R59" s="450"/>
      <c r="S59" s="450"/>
      <c r="T59" s="450"/>
      <c r="U59" s="332"/>
      <c r="V59" s="332"/>
      <c r="W59" s="333"/>
      <c r="X59" s="332"/>
      <c r="Y59" s="332"/>
      <c r="Z59" s="332"/>
      <c r="AA59" s="332"/>
      <c r="AB59" s="493"/>
      <c r="AC59" s="494"/>
      <c r="AD59" s="494"/>
      <c r="AE59" s="495"/>
      <c r="AF59" s="495"/>
      <c r="AG59" s="495"/>
      <c r="AH59" s="495"/>
      <c r="AI59" s="350"/>
      <c r="AJ59" s="350"/>
      <c r="AK59" s="350"/>
      <c r="AL59" s="350"/>
      <c r="AM59" s="350"/>
      <c r="AN59" s="332" t="str">
        <f t="shared" si="2"/>
        <v>INTER PARNASKE 31</v>
      </c>
      <c r="AO59" s="334" t="s">
        <v>26</v>
      </c>
      <c r="AP59" s="351">
        <v>45923</v>
      </c>
      <c r="AQ59" s="336" t="s">
        <v>81</v>
      </c>
      <c r="AR59" s="336" t="s">
        <v>44</v>
      </c>
      <c r="AS59" s="337">
        <v>0.1423611111111111</v>
      </c>
      <c r="AT59" s="332"/>
    </row>
    <row r="60" spans="1:46" ht="15" hidden="1" customHeight="1">
      <c r="A60" s="825"/>
      <c r="B60" s="498"/>
      <c r="C60" s="499"/>
      <c r="D60" s="500"/>
      <c r="E60" s="501"/>
      <c r="F60" s="502"/>
      <c r="G60" s="503"/>
      <c r="H60" s="504">
        <f t="shared" si="10"/>
        <v>0.22916666666666669</v>
      </c>
      <c r="I60" s="505">
        <v>0.35416666666666669</v>
      </c>
      <c r="J60" s="506" t="s">
        <v>106</v>
      </c>
      <c r="K60" s="507"/>
      <c r="L60" s="508"/>
      <c r="M60" s="507">
        <v>8</v>
      </c>
      <c r="N60" s="508"/>
      <c r="O60" s="509"/>
      <c r="P60" s="510"/>
      <c r="Q60" s="511"/>
      <c r="R60" s="510"/>
      <c r="S60" s="510"/>
      <c r="T60" s="510"/>
      <c r="U60" s="512"/>
      <c r="V60" s="332"/>
      <c r="W60" s="332"/>
      <c r="X60" s="332"/>
      <c r="Y60" s="332"/>
      <c r="Z60" s="332"/>
      <c r="AA60" s="332"/>
      <c r="AB60" s="493"/>
      <c r="AC60" s="494"/>
      <c r="AD60" s="494"/>
      <c r="AE60" s="495"/>
      <c r="AF60" s="495"/>
      <c r="AG60" s="495"/>
      <c r="AH60" s="495"/>
      <c r="AI60" s="350"/>
      <c r="AJ60" s="350"/>
      <c r="AK60" s="350"/>
      <c r="AL60" s="350"/>
      <c r="AM60" s="350"/>
      <c r="AN60" s="332" t="str">
        <f t="shared" si="2"/>
        <v>INTER PARNASCX 417</v>
      </c>
      <c r="AO60" s="334" t="s">
        <v>26</v>
      </c>
      <c r="AP60" s="351">
        <v>45923</v>
      </c>
      <c r="AQ60" s="336" t="s">
        <v>81</v>
      </c>
      <c r="AR60" s="336" t="s">
        <v>46</v>
      </c>
      <c r="AS60" s="337">
        <v>0.19097222222222221</v>
      </c>
      <c r="AT60" s="332"/>
    </row>
    <row r="61" spans="1:46" ht="15" hidden="1" customHeight="1">
      <c r="A61" s="825"/>
      <c r="B61" s="829">
        <f>C61-TIME(0,15,0)</f>
        <v>0.1423611111111111</v>
      </c>
      <c r="C61" s="830">
        <f>D61-TIME(0,30,0)</f>
        <v>0.15277777777777776</v>
      </c>
      <c r="D61" s="829">
        <f>E61-TIME(0,15,0)</f>
        <v>0.1736111111111111</v>
      </c>
      <c r="E61" s="831">
        <f>F61-TIME(1,15,0)</f>
        <v>0.18402777777777776</v>
      </c>
      <c r="F61" s="829">
        <f>G61-TIME(0,20,0)</f>
        <v>0.2361111111111111</v>
      </c>
      <c r="G61" s="829">
        <f>H61</f>
        <v>0.25</v>
      </c>
      <c r="H61" s="434">
        <f t="shared" si="10"/>
        <v>0.25</v>
      </c>
      <c r="I61" s="435">
        <v>0.375</v>
      </c>
      <c r="J61" s="436" t="s">
        <v>111</v>
      </c>
      <c r="K61" s="366"/>
      <c r="L61" s="366"/>
      <c r="M61" s="366">
        <v>7</v>
      </c>
      <c r="N61" s="366"/>
      <c r="O61" s="367">
        <f>SUM(J61:N66)</f>
        <v>29</v>
      </c>
      <c r="P61" s="438"/>
      <c r="Q61" s="438"/>
      <c r="R61" s="438"/>
      <c r="S61" s="513">
        <v>1</v>
      </c>
      <c r="T61" s="513">
        <v>1</v>
      </c>
      <c r="U61" s="514" t="s">
        <v>117</v>
      </c>
      <c r="V61" s="332"/>
      <c r="W61" s="332"/>
      <c r="X61" s="332"/>
      <c r="Y61" s="332"/>
      <c r="Z61" s="332"/>
      <c r="AA61" s="332"/>
      <c r="AB61" s="493"/>
      <c r="AC61" s="494"/>
      <c r="AD61" s="494"/>
      <c r="AE61" s="495"/>
      <c r="AF61" s="495"/>
      <c r="AG61" s="495"/>
      <c r="AH61" s="495"/>
      <c r="AI61" s="350"/>
      <c r="AJ61" s="350"/>
      <c r="AK61" s="350"/>
      <c r="AL61" s="350"/>
      <c r="AM61" s="350"/>
      <c r="AN61" s="332" t="str">
        <f t="shared" si="2"/>
        <v>INTER PARNASDL 158</v>
      </c>
      <c r="AO61" s="334" t="s">
        <v>26</v>
      </c>
      <c r="AP61" s="351">
        <v>45923</v>
      </c>
      <c r="AQ61" s="336" t="s">
        <v>81</v>
      </c>
      <c r="AR61" s="336" t="s">
        <v>48</v>
      </c>
      <c r="AS61" s="337">
        <v>0.19097222222222221</v>
      </c>
      <c r="AT61" s="332"/>
    </row>
    <row r="62" spans="1:46" ht="15" hidden="1" customHeight="1">
      <c r="A62" s="825"/>
      <c r="B62" s="829"/>
      <c r="C62" s="830"/>
      <c r="D62" s="829"/>
      <c r="E62" s="831"/>
      <c r="F62" s="829"/>
      <c r="G62" s="829"/>
      <c r="H62" s="445">
        <f t="shared" si="10"/>
        <v>0.25347222222222221</v>
      </c>
      <c r="I62" s="446">
        <v>0.37847222222222221</v>
      </c>
      <c r="J62" s="447" t="s">
        <v>114</v>
      </c>
      <c r="K62" s="360"/>
      <c r="L62" s="360">
        <v>6</v>
      </c>
      <c r="M62" s="360"/>
      <c r="N62" s="360">
        <v>1</v>
      </c>
      <c r="O62" s="373"/>
      <c r="P62" s="410"/>
      <c r="Q62" s="410"/>
      <c r="R62" s="410"/>
      <c r="S62" s="410"/>
      <c r="T62" s="410"/>
      <c r="U62" s="332"/>
      <c r="V62" s="332"/>
      <c r="W62" s="332"/>
      <c r="X62" s="332"/>
      <c r="Y62" s="332"/>
      <c r="Z62" s="332"/>
      <c r="AA62" s="332"/>
      <c r="AB62" s="493"/>
      <c r="AC62" s="494"/>
      <c r="AD62" s="494"/>
      <c r="AE62" s="495"/>
      <c r="AF62" s="495"/>
      <c r="AG62" s="495"/>
      <c r="AH62" s="495"/>
      <c r="AI62" s="350"/>
      <c r="AJ62" s="350"/>
      <c r="AK62" s="350"/>
      <c r="AL62" s="350"/>
      <c r="AM62" s="350"/>
      <c r="AN62" s="332" t="str">
        <f t="shared" si="2"/>
        <v>INTER PARNAS7C 1103</v>
      </c>
      <c r="AO62" s="334" t="s">
        <v>26</v>
      </c>
      <c r="AP62" s="351">
        <v>45923</v>
      </c>
      <c r="AQ62" s="336" t="s">
        <v>81</v>
      </c>
      <c r="AR62" s="336" t="s">
        <v>118</v>
      </c>
      <c r="AS62" s="337">
        <v>0.19097222222222221</v>
      </c>
      <c r="AT62" s="332"/>
    </row>
    <row r="63" spans="1:46" ht="15" hidden="1" customHeight="1">
      <c r="A63" s="825"/>
      <c r="B63" s="829"/>
      <c r="C63" s="830"/>
      <c r="D63" s="829"/>
      <c r="E63" s="831"/>
      <c r="F63" s="829"/>
      <c r="G63" s="829"/>
      <c r="H63" s="445">
        <f t="shared" si="10"/>
        <v>0.26041666666666669</v>
      </c>
      <c r="I63" s="446">
        <v>0.38541666666666669</v>
      </c>
      <c r="J63" s="447" t="s">
        <v>115</v>
      </c>
      <c r="K63" s="360"/>
      <c r="L63" s="360">
        <v>11</v>
      </c>
      <c r="M63" s="360"/>
      <c r="N63" s="360"/>
      <c r="O63" s="373"/>
      <c r="P63" s="410"/>
      <c r="Q63" s="410"/>
      <c r="R63" s="410"/>
      <c r="S63" s="410"/>
      <c r="T63" s="410"/>
      <c r="U63" s="332"/>
      <c r="V63" s="332"/>
      <c r="W63" s="332"/>
      <c r="X63" s="332"/>
      <c r="Y63" s="332"/>
      <c r="Z63" s="332"/>
      <c r="AA63" s="332"/>
      <c r="AB63" s="493"/>
      <c r="AC63" s="494"/>
      <c r="AD63" s="494"/>
      <c r="AE63" s="495"/>
      <c r="AF63" s="495"/>
      <c r="AG63" s="495"/>
      <c r="AH63" s="495"/>
      <c r="AI63" s="350"/>
      <c r="AJ63" s="350"/>
      <c r="AK63" s="350"/>
      <c r="AL63" s="350"/>
      <c r="AM63" s="350"/>
      <c r="AN63" s="332" t="str">
        <f t="shared" si="2"/>
        <v>INTER PARNASVN 409</v>
      </c>
      <c r="AO63" s="334" t="s">
        <v>26</v>
      </c>
      <c r="AP63" s="351">
        <v>45923</v>
      </c>
      <c r="AQ63" s="336" t="s">
        <v>81</v>
      </c>
      <c r="AR63" s="336" t="s">
        <v>50</v>
      </c>
      <c r="AS63" s="337">
        <v>0.19097222222222221</v>
      </c>
      <c r="AT63" s="332"/>
    </row>
    <row r="64" spans="1:46" ht="15" hidden="1" customHeight="1">
      <c r="A64" s="825"/>
      <c r="B64" s="829"/>
      <c r="C64" s="830"/>
      <c r="D64" s="829"/>
      <c r="E64" s="831"/>
      <c r="F64" s="829"/>
      <c r="G64" s="829"/>
      <c r="H64" s="445">
        <f t="shared" si="10"/>
        <v>0.2638888888888889</v>
      </c>
      <c r="I64" s="446">
        <v>0.3888888888888889</v>
      </c>
      <c r="J64" s="447" t="s">
        <v>116</v>
      </c>
      <c r="K64" s="360"/>
      <c r="L64" s="360"/>
      <c r="M64" s="360"/>
      <c r="N64" s="360">
        <v>2</v>
      </c>
      <c r="O64" s="373"/>
      <c r="P64" s="410"/>
      <c r="Q64" s="410"/>
      <c r="R64" s="410"/>
      <c r="S64" s="410"/>
      <c r="T64" s="410"/>
      <c r="U64" s="332"/>
      <c r="V64" s="332"/>
      <c r="W64" s="332"/>
      <c r="X64" s="332"/>
      <c r="Y64" s="332"/>
      <c r="Z64" s="332"/>
      <c r="AA64" s="332"/>
      <c r="AB64" s="493"/>
      <c r="AC64" s="494"/>
      <c r="AD64" s="494"/>
      <c r="AE64" s="495"/>
      <c r="AF64" s="495"/>
      <c r="AG64" s="495"/>
      <c r="AH64" s="495"/>
      <c r="AI64" s="350"/>
      <c r="AJ64" s="350"/>
      <c r="AK64" s="350"/>
      <c r="AL64" s="350"/>
      <c r="AM64" s="350"/>
      <c r="AN64" s="332" t="str">
        <f t="shared" si="2"/>
        <v>INTER PARNASKE 37</v>
      </c>
      <c r="AO64" s="334" t="s">
        <v>26</v>
      </c>
      <c r="AP64" s="351">
        <v>45923</v>
      </c>
      <c r="AQ64" s="336" t="s">
        <v>81</v>
      </c>
      <c r="AR64" s="336" t="s">
        <v>119</v>
      </c>
      <c r="AS64" s="337">
        <v>0.19097222222222221</v>
      </c>
      <c r="AT64" s="332"/>
    </row>
    <row r="65" spans="1:46" ht="15" hidden="1" customHeight="1">
      <c r="A65" s="825"/>
      <c r="B65" s="829"/>
      <c r="C65" s="830"/>
      <c r="D65" s="829"/>
      <c r="E65" s="831"/>
      <c r="F65" s="829"/>
      <c r="G65" s="829"/>
      <c r="H65" s="459">
        <f>I65-TIME(3,0,0)</f>
        <v>0.27083333333333331</v>
      </c>
      <c r="I65" s="460">
        <v>0.39583333333333331</v>
      </c>
      <c r="J65" s="461" t="s">
        <v>43</v>
      </c>
      <c r="K65" s="379"/>
      <c r="L65" s="379">
        <v>1</v>
      </c>
      <c r="M65" s="379"/>
      <c r="N65" s="379"/>
      <c r="O65" s="462"/>
      <c r="P65" s="414"/>
      <c r="Q65" s="414"/>
      <c r="R65" s="414"/>
      <c r="S65" s="414"/>
      <c r="T65" s="414"/>
      <c r="U65" s="332"/>
      <c r="V65" s="332"/>
      <c r="W65" s="332"/>
      <c r="X65" s="332"/>
      <c r="Y65" s="332"/>
      <c r="Z65" s="332"/>
      <c r="AA65" s="332"/>
      <c r="AB65" s="493"/>
      <c r="AC65" s="494"/>
      <c r="AD65" s="494"/>
      <c r="AE65" s="495"/>
      <c r="AF65" s="495"/>
      <c r="AG65" s="495"/>
      <c r="AH65" s="495"/>
      <c r="AI65" s="350"/>
      <c r="AJ65" s="350"/>
      <c r="AK65" s="350"/>
      <c r="AL65" s="350"/>
      <c r="AM65" s="350"/>
      <c r="AN65" s="332" t="str">
        <f t="shared" si="2"/>
        <v>INTER PARNASKE 457</v>
      </c>
      <c r="AO65" s="334" t="s">
        <v>26</v>
      </c>
      <c r="AP65" s="351">
        <v>45923</v>
      </c>
      <c r="AQ65" s="336" t="s">
        <v>81</v>
      </c>
      <c r="AR65" s="336" t="s">
        <v>120</v>
      </c>
      <c r="AS65" s="337">
        <v>0.22222222222222221</v>
      </c>
      <c r="AT65" s="332"/>
    </row>
    <row r="66" spans="1:46" ht="15" hidden="1" customHeight="1">
      <c r="A66" s="825"/>
      <c r="B66" s="829"/>
      <c r="C66" s="830"/>
      <c r="D66" s="829"/>
      <c r="E66" s="831"/>
      <c r="F66" s="829"/>
      <c r="G66" s="829"/>
      <c r="H66" s="419">
        <f t="shared" ref="H66:H87" si="12">I66-TIME(3,0,0)</f>
        <v>0.27083333333333331</v>
      </c>
      <c r="I66" s="420">
        <v>0.39583333333333331</v>
      </c>
      <c r="J66" s="421" t="s">
        <v>44</v>
      </c>
      <c r="K66" s="355"/>
      <c r="L66" s="355">
        <v>1</v>
      </c>
      <c r="M66" s="355"/>
      <c r="N66" s="355"/>
      <c r="O66" s="356"/>
      <c r="P66" s="423"/>
      <c r="Q66" s="423"/>
      <c r="R66" s="423"/>
      <c r="S66" s="423"/>
      <c r="T66" s="423"/>
      <c r="U66" s="332"/>
      <c r="V66" s="332"/>
      <c r="W66" s="332"/>
      <c r="X66" s="332"/>
      <c r="Y66" s="332"/>
      <c r="Z66" s="332"/>
      <c r="AA66" s="332"/>
      <c r="AB66" s="493"/>
      <c r="AC66" s="494"/>
      <c r="AD66" s="494"/>
      <c r="AE66" s="495"/>
      <c r="AF66" s="495"/>
      <c r="AG66" s="495"/>
      <c r="AH66" s="495"/>
      <c r="AI66" s="350"/>
      <c r="AJ66" s="350"/>
      <c r="AK66" s="350"/>
      <c r="AL66" s="350"/>
      <c r="AM66" s="350"/>
      <c r="AN66" s="332" t="str">
        <f t="shared" si="2"/>
        <v>INTER PARNASKE 897</v>
      </c>
      <c r="AO66" s="334" t="s">
        <v>26</v>
      </c>
      <c r="AP66" s="351">
        <v>45923</v>
      </c>
      <c r="AQ66" s="336" t="s">
        <v>81</v>
      </c>
      <c r="AR66" s="336" t="s">
        <v>121</v>
      </c>
      <c r="AS66" s="337">
        <v>0.22222222222222221</v>
      </c>
      <c r="AT66" s="332"/>
    </row>
    <row r="67" spans="1:46" ht="15" hidden="1" customHeight="1">
      <c r="A67" s="825"/>
      <c r="B67" s="515"/>
      <c r="C67" s="515"/>
      <c r="D67" s="832">
        <f>E67-TIME(0,15,0)</f>
        <v>0.22222222222222221</v>
      </c>
      <c r="E67" s="833">
        <f>F67-TIME(1,15,0)</f>
        <v>0.23263888888888887</v>
      </c>
      <c r="F67" s="832">
        <f>G67-TIME(0,20,0)</f>
        <v>0.28472222222222221</v>
      </c>
      <c r="G67" s="834">
        <f>H67</f>
        <v>0.2986111111111111</v>
      </c>
      <c r="H67" s="434">
        <f t="shared" si="12"/>
        <v>0.2986111111111111</v>
      </c>
      <c r="I67" s="435">
        <v>0.4236111111111111</v>
      </c>
      <c r="J67" s="436" t="s">
        <v>46</v>
      </c>
      <c r="K67" s="366"/>
      <c r="L67" s="366"/>
      <c r="M67" s="366">
        <v>6</v>
      </c>
      <c r="N67" s="366"/>
      <c r="O67" s="679">
        <f>SUM(K67:N71)</f>
        <v>24</v>
      </c>
      <c r="P67" s="438"/>
      <c r="Q67" s="438"/>
      <c r="R67" s="438"/>
      <c r="S67" s="516">
        <v>1</v>
      </c>
      <c r="T67" s="516"/>
      <c r="U67" s="517" t="s">
        <v>122</v>
      </c>
      <c r="V67" s="332"/>
      <c r="W67" s="332"/>
      <c r="X67" s="332"/>
      <c r="Y67" s="332"/>
      <c r="Z67" s="332"/>
      <c r="AA67" s="332"/>
      <c r="AB67" s="493"/>
      <c r="AC67" s="494"/>
      <c r="AD67" s="494"/>
      <c r="AE67" s="495"/>
      <c r="AF67" s="495"/>
      <c r="AG67" s="495"/>
      <c r="AH67" s="495"/>
      <c r="AI67" s="350"/>
      <c r="AJ67" s="350"/>
      <c r="AK67" s="350"/>
      <c r="AL67" s="350"/>
      <c r="AM67" s="350"/>
      <c r="AN67" s="332" t="str">
        <f t="shared" ref="AN67:AN134" si="13">AQ67&amp;AR67</f>
        <v>INTER PARNASSQ 611</v>
      </c>
      <c r="AO67" s="334" t="s">
        <v>26</v>
      </c>
      <c r="AP67" s="351">
        <v>45923</v>
      </c>
      <c r="AQ67" s="336" t="s">
        <v>81</v>
      </c>
      <c r="AR67" s="336" t="s">
        <v>52</v>
      </c>
      <c r="AS67" s="337">
        <v>0.22222222222222221</v>
      </c>
      <c r="AT67" s="332"/>
    </row>
    <row r="68" spans="1:46" ht="15" hidden="1" customHeight="1">
      <c r="A68" s="825"/>
      <c r="B68" s="518"/>
      <c r="C68" s="518"/>
      <c r="D68" s="832"/>
      <c r="E68" s="833"/>
      <c r="F68" s="832"/>
      <c r="G68" s="834"/>
      <c r="H68" s="445">
        <f t="shared" si="12"/>
        <v>0.2986111111111111</v>
      </c>
      <c r="I68" s="446">
        <v>0.4236111111111111</v>
      </c>
      <c r="J68" s="447" t="s">
        <v>47</v>
      </c>
      <c r="K68" s="360"/>
      <c r="L68" s="360"/>
      <c r="M68" s="360"/>
      <c r="N68" s="360">
        <v>2</v>
      </c>
      <c r="O68" s="373"/>
      <c r="P68" s="410"/>
      <c r="Q68" s="410"/>
      <c r="R68" s="410"/>
      <c r="S68" s="410"/>
      <c r="T68" s="410"/>
      <c r="V68" s="332"/>
      <c r="W68" s="332"/>
      <c r="X68" s="332"/>
      <c r="Y68" s="332"/>
      <c r="Z68" s="332"/>
      <c r="AA68" s="332"/>
      <c r="AB68" s="493"/>
      <c r="AC68" s="494"/>
      <c r="AD68" s="494"/>
      <c r="AE68" s="495"/>
      <c r="AF68" s="495"/>
      <c r="AG68" s="495"/>
      <c r="AH68" s="495"/>
      <c r="AI68" s="350"/>
      <c r="AJ68" s="350"/>
      <c r="AK68" s="350"/>
      <c r="AL68" s="350"/>
      <c r="AM68" s="350"/>
      <c r="AN68" s="332" t="str">
        <f t="shared" si="13"/>
        <v>INTER PARNASUA 806</v>
      </c>
      <c r="AO68" s="334" t="s">
        <v>26</v>
      </c>
      <c r="AP68" s="351">
        <v>45923</v>
      </c>
      <c r="AQ68" s="336" t="s">
        <v>81</v>
      </c>
      <c r="AR68" s="336" t="s">
        <v>54</v>
      </c>
      <c r="AS68" s="337">
        <v>0.22222222222222221</v>
      </c>
      <c r="AT68" s="332"/>
    </row>
    <row r="69" spans="1:46" ht="15" hidden="1" customHeight="1">
      <c r="A69" s="825"/>
      <c r="B69" s="518"/>
      <c r="C69" s="518"/>
      <c r="D69" s="832"/>
      <c r="E69" s="833"/>
      <c r="F69" s="832"/>
      <c r="G69" s="834"/>
      <c r="H69" s="445">
        <f t="shared" si="12"/>
        <v>0.30208333333333331</v>
      </c>
      <c r="I69" s="446">
        <v>0.42708333333333331</v>
      </c>
      <c r="J69" s="447" t="s">
        <v>48</v>
      </c>
      <c r="K69" s="360"/>
      <c r="L69" s="360"/>
      <c r="M69" s="360"/>
      <c r="N69" s="360">
        <v>7</v>
      </c>
      <c r="O69" s="373"/>
      <c r="P69" s="410"/>
      <c r="Q69" s="410"/>
      <c r="R69" s="410"/>
      <c r="S69" s="410"/>
      <c r="T69" s="410"/>
      <c r="U69" s="332"/>
      <c r="V69" s="332"/>
      <c r="W69" s="332"/>
      <c r="X69" s="332"/>
      <c r="Y69" s="332"/>
      <c r="Z69" s="332"/>
      <c r="AA69" s="332"/>
      <c r="AB69" s="493"/>
      <c r="AC69" s="494"/>
      <c r="AD69" s="494"/>
      <c r="AE69" s="495"/>
      <c r="AF69" s="495"/>
      <c r="AG69" s="495"/>
      <c r="AH69" s="495"/>
      <c r="AI69" s="350"/>
      <c r="AJ69" s="350"/>
      <c r="AK69" s="350"/>
      <c r="AL69" s="350"/>
      <c r="AM69" s="350"/>
      <c r="AN69" s="332" t="str">
        <f t="shared" si="13"/>
        <v>INTER PARNASVJ 863</v>
      </c>
      <c r="AO69" s="334" t="s">
        <v>26</v>
      </c>
      <c r="AP69" s="351">
        <v>45923</v>
      </c>
      <c r="AQ69" s="336" t="s">
        <v>81</v>
      </c>
      <c r="AR69" s="336" t="s">
        <v>123</v>
      </c>
      <c r="AS69" s="337">
        <v>0.25694444444444442</v>
      </c>
      <c r="AT69" s="332"/>
    </row>
    <row r="70" spans="1:46" ht="15" hidden="1" customHeight="1">
      <c r="A70" s="825"/>
      <c r="B70" s="518"/>
      <c r="C70" s="518"/>
      <c r="D70" s="832"/>
      <c r="E70" s="833"/>
      <c r="F70" s="832"/>
      <c r="G70" s="834"/>
      <c r="H70" s="675">
        <f t="shared" si="12"/>
        <v>0.31944444444444442</v>
      </c>
      <c r="I70" s="676">
        <v>0.44444444444444442</v>
      </c>
      <c r="J70" s="677" t="s">
        <v>119</v>
      </c>
      <c r="K70" s="678"/>
      <c r="L70" s="678"/>
      <c r="M70" s="678"/>
      <c r="N70" s="678">
        <v>2</v>
      </c>
      <c r="O70" s="462"/>
      <c r="P70" s="414"/>
      <c r="Q70" s="414"/>
      <c r="R70" s="414"/>
      <c r="S70" s="414"/>
      <c r="T70" s="414"/>
      <c r="U70" s="332"/>
      <c r="V70" s="332"/>
      <c r="W70" s="332"/>
      <c r="X70" s="332"/>
      <c r="Y70" s="332"/>
      <c r="Z70" s="332"/>
      <c r="AA70" s="332"/>
      <c r="AB70" s="493"/>
      <c r="AC70" s="494"/>
      <c r="AD70" s="494"/>
      <c r="AE70" s="495"/>
      <c r="AF70" s="495"/>
      <c r="AG70" s="495"/>
      <c r="AH70" s="495"/>
      <c r="AI70" s="350"/>
      <c r="AJ70" s="350"/>
      <c r="AK70" s="350"/>
      <c r="AL70" s="350"/>
      <c r="AM70" s="350"/>
      <c r="AN70" s="332"/>
      <c r="AO70" s="334"/>
      <c r="AP70" s="351"/>
      <c r="AT70" s="332"/>
    </row>
    <row r="71" spans="1:46" ht="15" hidden="1" customHeight="1">
      <c r="A71" s="825"/>
      <c r="B71" s="518"/>
      <c r="C71" s="518"/>
      <c r="D71" s="832"/>
      <c r="E71" s="833"/>
      <c r="F71" s="832"/>
      <c r="G71" s="834"/>
      <c r="H71" s="419">
        <f t="shared" si="12"/>
        <v>0.31597222222222221</v>
      </c>
      <c r="I71" s="420">
        <v>0.44097222222222221</v>
      </c>
      <c r="J71" s="421" t="s">
        <v>118</v>
      </c>
      <c r="K71" s="379"/>
      <c r="L71" s="379"/>
      <c r="M71" s="379">
        <v>7</v>
      </c>
      <c r="N71" s="379"/>
      <c r="O71" s="462"/>
      <c r="P71" s="414"/>
      <c r="Q71" s="414"/>
      <c r="R71" s="414"/>
      <c r="S71" s="414"/>
      <c r="T71" s="414"/>
      <c r="U71" s="332"/>
      <c r="V71" s="332"/>
      <c r="W71" s="332"/>
      <c r="X71" s="332"/>
      <c r="Y71" s="332"/>
      <c r="Z71" s="332"/>
      <c r="AA71" s="332"/>
      <c r="AB71" s="493"/>
      <c r="AC71" s="494"/>
      <c r="AD71" s="494"/>
      <c r="AE71" s="495"/>
      <c r="AF71" s="495"/>
      <c r="AG71" s="495"/>
      <c r="AH71" s="495"/>
      <c r="AI71" s="350"/>
      <c r="AJ71" s="350"/>
      <c r="AK71" s="350"/>
      <c r="AL71" s="350"/>
      <c r="AM71" s="350"/>
      <c r="AN71" s="332" t="str">
        <f t="shared" si="13"/>
        <v>INTER PARNASBR 169</v>
      </c>
      <c r="AO71" s="334" t="s">
        <v>26</v>
      </c>
      <c r="AP71" s="351">
        <v>45923</v>
      </c>
      <c r="AQ71" s="336" t="s">
        <v>81</v>
      </c>
      <c r="AR71" s="336" t="s">
        <v>55</v>
      </c>
      <c r="AS71" s="337">
        <v>0.25694444444444442</v>
      </c>
      <c r="AT71" s="332"/>
    </row>
    <row r="72" spans="1:46" ht="15" hidden="1" customHeight="1">
      <c r="A72" s="825"/>
      <c r="B72" s="843">
        <f>C72-TIME(0,15,0)</f>
        <v>0.22222222222222224</v>
      </c>
      <c r="C72" s="830">
        <v>0.2326388888888889</v>
      </c>
      <c r="D72" s="519"/>
      <c r="E72" s="847"/>
      <c r="F72" s="848">
        <v>0.31597222222222221</v>
      </c>
      <c r="G72" s="849"/>
      <c r="H72" s="434">
        <f t="shared" si="12"/>
        <v>0.31597222222222221</v>
      </c>
      <c r="I72" s="435">
        <v>0.44097222222222221</v>
      </c>
      <c r="J72" s="520" t="s">
        <v>50</v>
      </c>
      <c r="K72" s="521">
        <v>2</v>
      </c>
      <c r="L72" s="521"/>
      <c r="M72" s="521"/>
      <c r="N72" s="521"/>
      <c r="O72" s="522">
        <v>25</v>
      </c>
      <c r="P72" s="429"/>
      <c r="Q72" s="429"/>
      <c r="R72" s="429"/>
      <c r="S72" s="523">
        <v>1</v>
      </c>
      <c r="T72" s="524"/>
      <c r="U72" s="525" t="s">
        <v>124</v>
      </c>
      <c r="V72" s="332"/>
      <c r="W72" s="332"/>
      <c r="X72" s="332"/>
      <c r="Y72" s="332"/>
      <c r="Z72" s="332"/>
      <c r="AA72" s="332"/>
      <c r="AB72" s="493"/>
      <c r="AC72" s="494"/>
      <c r="AD72" s="494"/>
      <c r="AE72" s="495"/>
      <c r="AF72" s="495"/>
      <c r="AG72" s="495"/>
      <c r="AH72" s="495"/>
      <c r="AI72" s="350"/>
      <c r="AJ72" s="350"/>
      <c r="AK72" s="350"/>
      <c r="AL72" s="350"/>
      <c r="AM72" s="350"/>
      <c r="AN72" s="332" t="str">
        <f t="shared" si="13"/>
        <v>INTER PARNASMU 580</v>
      </c>
      <c r="AO72" s="334" t="s">
        <v>26</v>
      </c>
      <c r="AP72" s="351">
        <v>45923</v>
      </c>
      <c r="AQ72" s="336" t="s">
        <v>81</v>
      </c>
      <c r="AR72" s="336" t="s">
        <v>125</v>
      </c>
      <c r="AS72" s="337">
        <v>0.25694444444444442</v>
      </c>
      <c r="AT72" s="332"/>
    </row>
    <row r="73" spans="1:46" ht="15" hidden="1" customHeight="1">
      <c r="A73" s="825"/>
      <c r="B73" s="843"/>
      <c r="C73" s="830"/>
      <c r="D73" s="526"/>
      <c r="E73" s="847"/>
      <c r="F73" s="848"/>
      <c r="G73" s="849"/>
      <c r="H73" s="445">
        <v>0.31944444444444442</v>
      </c>
      <c r="I73" s="446">
        <v>0.44444444444444442</v>
      </c>
      <c r="J73" s="680" t="s">
        <v>277</v>
      </c>
      <c r="K73" s="332">
        <v>17</v>
      </c>
      <c r="O73" s="527"/>
      <c r="P73" s="350"/>
      <c r="Q73" s="350"/>
      <c r="R73" s="350"/>
      <c r="S73" s="350"/>
      <c r="T73" s="528"/>
      <c r="U73" s="332"/>
      <c r="V73" s="332"/>
      <c r="W73" s="332"/>
      <c r="X73" s="332"/>
      <c r="Y73" s="332"/>
      <c r="Z73" s="332"/>
      <c r="AA73" s="332"/>
      <c r="AB73" s="493"/>
      <c r="AC73" s="494"/>
      <c r="AD73" s="494"/>
      <c r="AE73" s="495"/>
      <c r="AF73" s="495"/>
      <c r="AG73" s="495"/>
      <c r="AH73" s="495"/>
      <c r="AI73" s="350"/>
      <c r="AJ73" s="350"/>
      <c r="AK73" s="350"/>
      <c r="AL73" s="350"/>
      <c r="AM73" s="350"/>
      <c r="AN73" s="332" t="str">
        <f t="shared" si="13"/>
        <v>INTER PARNASCZ 314</v>
      </c>
      <c r="AO73" s="334" t="s">
        <v>26</v>
      </c>
      <c r="AP73" s="351">
        <v>45923</v>
      </c>
      <c r="AQ73" s="336" t="s">
        <v>81</v>
      </c>
      <c r="AR73" s="336" t="s">
        <v>126</v>
      </c>
      <c r="AS73" s="337">
        <v>0.2951388888888889</v>
      </c>
      <c r="AT73" s="332"/>
    </row>
    <row r="74" spans="1:46" ht="15" hidden="1" customHeight="1">
      <c r="A74" s="825"/>
      <c r="B74" s="843"/>
      <c r="C74" s="830"/>
      <c r="D74" s="526"/>
      <c r="E74" s="847"/>
      <c r="F74" s="848"/>
      <c r="G74" s="849"/>
      <c r="H74" s="459">
        <f>I74-TIME(3,0,0)</f>
        <v>0.35416666666666669</v>
      </c>
      <c r="I74" s="460">
        <v>0.47916666666666669</v>
      </c>
      <c r="J74" s="520" t="s">
        <v>54</v>
      </c>
      <c r="K74" s="332">
        <v>6</v>
      </c>
      <c r="O74" s="527"/>
      <c r="P74" s="350"/>
      <c r="Q74" s="350"/>
      <c r="R74" s="350"/>
      <c r="S74" s="350"/>
      <c r="T74" s="528"/>
      <c r="U74" s="332"/>
      <c r="V74" s="332"/>
      <c r="W74" s="332"/>
      <c r="X74" s="332"/>
      <c r="Y74" s="332"/>
      <c r="Z74" s="332"/>
      <c r="AA74" s="332"/>
      <c r="AB74" s="493"/>
      <c r="AC74" s="494"/>
      <c r="AD74" s="494"/>
      <c r="AE74" s="495"/>
      <c r="AF74" s="495"/>
      <c r="AG74" s="495"/>
      <c r="AH74" s="495"/>
      <c r="AI74" s="350"/>
      <c r="AJ74" s="350"/>
      <c r="AK74" s="350"/>
      <c r="AL74" s="350"/>
      <c r="AM74" s="350"/>
      <c r="AN74" s="332"/>
      <c r="AO74" s="334"/>
      <c r="AP74" s="351"/>
      <c r="AT74" s="332"/>
    </row>
    <row r="75" spans="1:46" ht="15" hidden="1" customHeight="1">
      <c r="A75" s="825"/>
      <c r="B75" s="529">
        <f>C75-TIME(0,15,0)</f>
        <v>0.22222222222222221</v>
      </c>
      <c r="C75" s="530">
        <f>D76-TIME(0,30,0)</f>
        <v>0.23263888888888887</v>
      </c>
      <c r="D75" s="531"/>
      <c r="E75" s="532"/>
      <c r="F75" s="533"/>
      <c r="G75" s="534">
        <v>0.3263888888888889</v>
      </c>
      <c r="H75" s="535">
        <f t="shared" si="12"/>
        <v>0.3298611111111111</v>
      </c>
      <c r="I75" s="536">
        <v>0.4548611111111111</v>
      </c>
      <c r="J75" s="537" t="s">
        <v>120</v>
      </c>
      <c r="K75" s="538"/>
      <c r="L75" s="538">
        <v>4</v>
      </c>
      <c r="M75" s="538"/>
      <c r="N75" s="538"/>
      <c r="O75" s="539">
        <v>4</v>
      </c>
      <c r="P75" s="540"/>
      <c r="Q75" s="541">
        <v>1</v>
      </c>
      <c r="R75" s="541"/>
      <c r="S75" s="542"/>
      <c r="T75" s="543"/>
      <c r="U75" s="525" t="s">
        <v>127</v>
      </c>
      <c r="V75" s="332"/>
      <c r="W75" s="332"/>
      <c r="X75" s="332"/>
      <c r="Y75" s="332"/>
      <c r="Z75" s="332"/>
      <c r="AA75" s="332"/>
      <c r="AB75" s="493"/>
      <c r="AC75" s="494"/>
      <c r="AD75" s="494"/>
      <c r="AE75" s="495"/>
      <c r="AF75" s="495"/>
      <c r="AG75" s="495"/>
      <c r="AH75" s="495"/>
      <c r="AI75" s="350"/>
      <c r="AJ75" s="350"/>
      <c r="AK75" s="350"/>
      <c r="AL75" s="350"/>
      <c r="AM75" s="350"/>
      <c r="AN75" s="332" t="str">
        <f t="shared" si="13"/>
        <v>INTER PARNASOZ 202</v>
      </c>
      <c r="AO75" s="334" t="s">
        <v>26</v>
      </c>
      <c r="AP75" s="351">
        <v>45923</v>
      </c>
      <c r="AQ75" s="336" t="s">
        <v>81</v>
      </c>
      <c r="AR75" s="336" t="s">
        <v>57</v>
      </c>
      <c r="AS75" s="337">
        <v>0.2951388888888889</v>
      </c>
      <c r="AT75" s="332"/>
    </row>
    <row r="76" spans="1:46" ht="15" hidden="1" customHeight="1">
      <c r="A76" s="825"/>
      <c r="B76" s="544"/>
      <c r="C76" s="544"/>
      <c r="D76" s="848">
        <f>E76-TIME(0,15,0)</f>
        <v>0.25347222222222221</v>
      </c>
      <c r="E76" s="850">
        <f>F76-TIME(1,15,0)</f>
        <v>0.2638888888888889</v>
      </c>
      <c r="F76" s="848">
        <f>G76-TIME(0,20,0)</f>
        <v>0.31597222222222221</v>
      </c>
      <c r="G76" s="848">
        <f>H75</f>
        <v>0.3298611111111111</v>
      </c>
      <c r="H76" s="434">
        <f t="shared" si="12"/>
        <v>0.34027777777777779</v>
      </c>
      <c r="I76" s="435">
        <v>0.46527777777777779</v>
      </c>
      <c r="J76" s="436" t="s">
        <v>121</v>
      </c>
      <c r="K76" s="366"/>
      <c r="L76" s="366"/>
      <c r="M76" s="366"/>
      <c r="N76" s="366">
        <v>4</v>
      </c>
      <c r="O76" s="367">
        <v>26</v>
      </c>
      <c r="P76" s="438"/>
      <c r="Q76" s="438"/>
      <c r="R76" s="438"/>
      <c r="S76" s="513">
        <v>1</v>
      </c>
      <c r="T76" s="513"/>
      <c r="U76" s="514" t="s">
        <v>128</v>
      </c>
      <c r="V76" s="332"/>
      <c r="W76" s="332"/>
      <c r="X76" s="332"/>
      <c r="Y76" s="332"/>
      <c r="Z76" s="332"/>
      <c r="AA76" s="332"/>
      <c r="AB76" s="493"/>
      <c r="AC76" s="494"/>
      <c r="AD76" s="494"/>
      <c r="AE76" s="495"/>
      <c r="AF76" s="495"/>
      <c r="AG76" s="495"/>
      <c r="AH76" s="495"/>
      <c r="AI76" s="350"/>
      <c r="AJ76" s="350"/>
      <c r="AK76" s="350"/>
      <c r="AL76" s="350"/>
      <c r="AM76" s="350"/>
      <c r="AN76" s="332" t="str">
        <f t="shared" si="13"/>
        <v>INTER PARNASZ2 885</v>
      </c>
      <c r="AO76" s="334" t="s">
        <v>26</v>
      </c>
      <c r="AP76" s="351">
        <v>45923</v>
      </c>
      <c r="AQ76" s="336" t="s">
        <v>81</v>
      </c>
      <c r="AR76" s="336" t="s">
        <v>129</v>
      </c>
      <c r="AS76" s="337">
        <v>0.2951388888888889</v>
      </c>
      <c r="AT76" s="332"/>
    </row>
    <row r="77" spans="1:46" ht="15" hidden="1" customHeight="1">
      <c r="A77" s="825"/>
      <c r="B77" s="544"/>
      <c r="C77" s="544"/>
      <c r="D77" s="848"/>
      <c r="E77" s="850"/>
      <c r="F77" s="848"/>
      <c r="G77" s="848"/>
      <c r="H77" s="445">
        <f t="shared" si="12"/>
        <v>0.34722222222222221</v>
      </c>
      <c r="I77" s="446">
        <v>0.47222222222222221</v>
      </c>
      <c r="J77" s="447" t="s">
        <v>52</v>
      </c>
      <c r="K77" s="360"/>
      <c r="L77" s="360"/>
      <c r="M77" s="360">
        <v>3</v>
      </c>
      <c r="N77" s="360"/>
      <c r="O77" s="373"/>
      <c r="P77" s="410"/>
      <c r="Q77" s="410"/>
      <c r="R77" s="410"/>
      <c r="S77" s="410"/>
      <c r="T77" s="410"/>
      <c r="U77" s="332"/>
      <c r="V77" s="332"/>
      <c r="W77" s="332"/>
      <c r="X77" s="332"/>
      <c r="Y77" s="332"/>
      <c r="Z77" s="332"/>
      <c r="AA77" s="332"/>
      <c r="AB77" s="493"/>
      <c r="AC77" s="494"/>
      <c r="AD77" s="494"/>
      <c r="AE77" s="495"/>
      <c r="AF77" s="495"/>
      <c r="AG77" s="495"/>
      <c r="AH77" s="495"/>
      <c r="AI77" s="350"/>
      <c r="AJ77" s="350"/>
      <c r="AK77" s="350"/>
      <c r="AL77" s="350"/>
      <c r="AM77" s="350"/>
      <c r="AN77" s="332" t="str">
        <f t="shared" si="13"/>
        <v>INTER PARNASNQ 122</v>
      </c>
      <c r="AO77" s="334" t="s">
        <v>26</v>
      </c>
      <c r="AP77" s="351">
        <v>45923</v>
      </c>
      <c r="AQ77" s="336" t="s">
        <v>81</v>
      </c>
      <c r="AR77" s="336" t="s">
        <v>130</v>
      </c>
      <c r="AS77" s="337">
        <v>0.3298611111111111</v>
      </c>
      <c r="AT77" s="332"/>
    </row>
    <row r="78" spans="1:46" ht="15" hidden="1" customHeight="1">
      <c r="A78" s="825"/>
      <c r="B78" s="545"/>
      <c r="C78" s="545"/>
      <c r="D78" s="848"/>
      <c r="E78" s="850"/>
      <c r="F78" s="848"/>
      <c r="G78" s="848"/>
      <c r="H78" s="419">
        <f t="shared" si="12"/>
        <v>0.35416666666666669</v>
      </c>
      <c r="I78" s="420">
        <v>0.47916666666666669</v>
      </c>
      <c r="J78" s="421" t="s">
        <v>54</v>
      </c>
      <c r="K78" s="355"/>
      <c r="L78" s="355"/>
      <c r="M78" s="355">
        <v>19</v>
      </c>
      <c r="N78" s="355"/>
      <c r="O78" s="356"/>
      <c r="P78" s="423"/>
      <c r="Q78" s="423"/>
      <c r="R78" s="423"/>
      <c r="S78" s="423"/>
      <c r="T78" s="423"/>
      <c r="U78" s="332"/>
      <c r="V78" s="332"/>
      <c r="W78" s="332"/>
      <c r="X78" s="332"/>
      <c r="Y78" s="332"/>
      <c r="Z78" s="332"/>
      <c r="AA78" s="332"/>
      <c r="AB78" s="493"/>
      <c r="AC78" s="494"/>
      <c r="AD78" s="494"/>
      <c r="AE78" s="495"/>
      <c r="AF78" s="495"/>
      <c r="AG78" s="495"/>
      <c r="AH78" s="495"/>
      <c r="AI78" s="350"/>
      <c r="AJ78" s="350"/>
      <c r="AK78" s="350"/>
      <c r="AL78" s="350"/>
      <c r="AM78" s="350"/>
      <c r="AN78" s="332" t="str">
        <f t="shared" si="13"/>
        <v>INTER PARNASCX 439</v>
      </c>
      <c r="AO78" s="334" t="s">
        <v>26</v>
      </c>
      <c r="AP78" s="351">
        <v>45923</v>
      </c>
      <c r="AQ78" s="336" t="s">
        <v>81</v>
      </c>
      <c r="AR78" s="336" t="s">
        <v>59</v>
      </c>
      <c r="AS78" s="337">
        <v>0.3298611111111111</v>
      </c>
      <c r="AT78" s="332"/>
    </row>
    <row r="79" spans="1:46" ht="15" hidden="1" customHeight="1">
      <c r="A79" s="825"/>
      <c r="B79" s="843">
        <f>C79-TIME(0,15,0)</f>
        <v>0.25694444444444442</v>
      </c>
      <c r="C79" s="830">
        <f>D79-TIME(0,30,0)</f>
        <v>0.2673611111111111</v>
      </c>
      <c r="D79" s="844">
        <f>E79-TIME(0,15,0)</f>
        <v>0.28819444444444442</v>
      </c>
      <c r="E79" s="845">
        <f>F79-TIME(1,30,0)</f>
        <v>0.2986111111111111</v>
      </c>
      <c r="F79" s="832">
        <f>H79</f>
        <v>0.3611111111111111</v>
      </c>
      <c r="G79" s="846"/>
      <c r="H79" s="434">
        <f t="shared" si="12"/>
        <v>0.3611111111111111</v>
      </c>
      <c r="I79" s="435">
        <v>0.4861111111111111</v>
      </c>
      <c r="J79" s="436" t="s">
        <v>123</v>
      </c>
      <c r="K79" s="366">
        <v>1</v>
      </c>
      <c r="L79" s="366"/>
      <c r="M79" s="366"/>
      <c r="N79" s="366"/>
      <c r="O79" s="367">
        <f>SUM(J79:N81)</f>
        <v>47</v>
      </c>
      <c r="P79" s="438"/>
      <c r="Q79" s="438"/>
      <c r="R79" s="438"/>
      <c r="S79" s="546">
        <v>1</v>
      </c>
      <c r="T79" s="546"/>
      <c r="U79" s="484" t="s">
        <v>131</v>
      </c>
      <c r="V79" s="332"/>
      <c r="W79" s="332"/>
      <c r="X79" s="332"/>
      <c r="Y79" s="332"/>
      <c r="Z79" s="332"/>
      <c r="AA79" s="332"/>
      <c r="AB79" s="493"/>
      <c r="AC79" s="494"/>
      <c r="AD79" s="494"/>
      <c r="AE79" s="495"/>
      <c r="AF79" s="495"/>
      <c r="AG79" s="495"/>
      <c r="AH79" s="495"/>
      <c r="AI79" s="350"/>
      <c r="AJ79" s="350"/>
      <c r="AK79" s="350"/>
      <c r="AL79" s="350"/>
      <c r="AM79" s="350"/>
      <c r="AN79" s="332" t="str">
        <f t="shared" si="13"/>
        <v>INTER PARNASKE 789</v>
      </c>
      <c r="AO79" s="334" t="s">
        <v>26</v>
      </c>
      <c r="AP79" s="351">
        <v>45923</v>
      </c>
      <c r="AQ79" s="336" t="s">
        <v>81</v>
      </c>
      <c r="AR79" s="336" t="s">
        <v>132</v>
      </c>
      <c r="AS79" s="337">
        <v>0.3298611111111111</v>
      </c>
      <c r="AT79" s="332"/>
    </row>
    <row r="80" spans="1:46" ht="15" hidden="1" customHeight="1">
      <c r="A80" s="825"/>
      <c r="B80" s="843"/>
      <c r="C80" s="830"/>
      <c r="D80" s="844"/>
      <c r="E80" s="845"/>
      <c r="F80" s="832"/>
      <c r="G80" s="846"/>
      <c r="H80" s="445">
        <f t="shared" si="12"/>
        <v>0.375</v>
      </c>
      <c r="I80" s="446">
        <v>0.5</v>
      </c>
      <c r="J80" s="447" t="s">
        <v>55</v>
      </c>
      <c r="K80" s="360"/>
      <c r="L80" s="360"/>
      <c r="M80" s="360">
        <v>43</v>
      </c>
      <c r="N80" s="360"/>
      <c r="O80" s="373"/>
      <c r="P80" s="410"/>
      <c r="Q80" s="410"/>
      <c r="R80" s="410"/>
      <c r="S80" s="547">
        <v>1</v>
      </c>
      <c r="T80" s="547"/>
      <c r="U80" s="514" t="s">
        <v>133</v>
      </c>
      <c r="V80" s="332"/>
      <c r="W80" s="332"/>
      <c r="X80" s="332"/>
      <c r="Y80" s="332"/>
      <c r="Z80" s="332"/>
      <c r="AA80" s="332"/>
      <c r="AB80" s="493"/>
      <c r="AC80" s="494"/>
      <c r="AD80" s="494"/>
      <c r="AE80" s="495"/>
      <c r="AF80" s="495"/>
      <c r="AG80" s="495"/>
      <c r="AH80" s="495"/>
      <c r="AI80" s="350"/>
      <c r="AJ80" s="350"/>
      <c r="AK80" s="350"/>
      <c r="AL80" s="350"/>
      <c r="AM80" s="350"/>
      <c r="AN80" s="332" t="str">
        <f t="shared" si="13"/>
        <v>INTER PARNASNH 6954</v>
      </c>
      <c r="AO80" s="334" t="s">
        <v>26</v>
      </c>
      <c r="AP80" s="351">
        <v>45923</v>
      </c>
      <c r="AQ80" s="336" t="s">
        <v>81</v>
      </c>
      <c r="AR80" s="336" t="s">
        <v>134</v>
      </c>
      <c r="AS80" s="337">
        <v>0.3298611111111111</v>
      </c>
      <c r="AT80" s="332"/>
    </row>
    <row r="81" spans="1:46" ht="15" hidden="1" customHeight="1">
      <c r="A81" s="825"/>
      <c r="B81" s="843"/>
      <c r="C81" s="830"/>
      <c r="D81" s="844"/>
      <c r="E81" s="845"/>
      <c r="F81" s="832"/>
      <c r="G81" s="846"/>
      <c r="H81" s="419">
        <f t="shared" si="12"/>
        <v>0.38541666666666663</v>
      </c>
      <c r="I81" s="420">
        <v>0.51041666666666663</v>
      </c>
      <c r="J81" s="421" t="s">
        <v>125</v>
      </c>
      <c r="K81" s="355">
        <v>3</v>
      </c>
      <c r="L81" s="355"/>
      <c r="M81" s="355"/>
      <c r="N81" s="355"/>
      <c r="O81" s="356"/>
      <c r="P81" s="423"/>
      <c r="Q81" s="423"/>
      <c r="R81" s="423"/>
      <c r="S81" s="423"/>
      <c r="T81" s="423"/>
      <c r="U81" s="332"/>
      <c r="V81" s="332"/>
      <c r="W81" s="332"/>
      <c r="X81" s="332"/>
      <c r="Y81" s="332"/>
      <c r="Z81" s="332"/>
      <c r="AA81" s="332"/>
      <c r="AB81" s="493"/>
      <c r="AC81" s="494"/>
      <c r="AD81" s="494"/>
      <c r="AE81" s="495"/>
      <c r="AF81" s="495"/>
      <c r="AG81" s="495"/>
      <c r="AH81" s="495"/>
      <c r="AI81" s="350"/>
      <c r="AJ81" s="350"/>
      <c r="AK81" s="350"/>
      <c r="AL81" s="350"/>
      <c r="AM81" s="350"/>
      <c r="AN81" s="332" t="str">
        <f t="shared" si="13"/>
        <v>INTER PARNASOZ 114</v>
      </c>
      <c r="AO81" s="334" t="s">
        <v>26</v>
      </c>
      <c r="AP81" s="351">
        <v>45923</v>
      </c>
      <c r="AQ81" s="336" t="s">
        <v>81</v>
      </c>
      <c r="AR81" s="336" t="s">
        <v>135</v>
      </c>
      <c r="AS81" s="337">
        <v>0.3298611111111111</v>
      </c>
      <c r="AT81" s="332"/>
    </row>
    <row r="82" spans="1:46" ht="15" hidden="1" customHeight="1">
      <c r="A82" s="825"/>
      <c r="B82" s="858">
        <f>C82-TIME(0,15,0)</f>
        <v>0.2951388888888889</v>
      </c>
      <c r="C82" s="859">
        <f>D82-TIME(0,30,0)</f>
        <v>0.30555555555555558</v>
      </c>
      <c r="D82" s="858">
        <f>E82-TIME(0,15,0)</f>
        <v>0.3263888888888889</v>
      </c>
      <c r="E82" s="833">
        <f>F82-TIME(1,30,0)</f>
        <v>0.33680555555555558</v>
      </c>
      <c r="F82" s="844">
        <f>H82</f>
        <v>0.39930555555555558</v>
      </c>
      <c r="G82" s="860"/>
      <c r="H82" s="434">
        <f t="shared" si="12"/>
        <v>0.39930555555555558</v>
      </c>
      <c r="I82" s="435">
        <v>0.52430555555555558</v>
      </c>
      <c r="J82" s="436" t="s">
        <v>126</v>
      </c>
      <c r="K82" s="366">
        <v>2</v>
      </c>
      <c r="L82" s="366"/>
      <c r="M82" s="366"/>
      <c r="N82" s="366"/>
      <c r="O82" s="367">
        <v>4</v>
      </c>
      <c r="P82" s="438"/>
      <c r="Q82" s="546">
        <v>1</v>
      </c>
      <c r="R82" s="546"/>
      <c r="S82" s="546"/>
      <c r="T82" s="546"/>
      <c r="U82" s="855" t="s">
        <v>136</v>
      </c>
      <c r="V82" s="332"/>
      <c r="W82" s="332"/>
      <c r="X82" s="332"/>
      <c r="Y82" s="332"/>
      <c r="Z82" s="332"/>
      <c r="AA82" s="332"/>
      <c r="AB82" s="493"/>
      <c r="AC82" s="494"/>
      <c r="AD82" s="494"/>
      <c r="AE82" s="495"/>
      <c r="AF82" s="495"/>
      <c r="AG82" s="495"/>
      <c r="AH82" s="495"/>
      <c r="AI82" s="350"/>
      <c r="AJ82" s="350"/>
      <c r="AK82" s="350"/>
      <c r="AL82" s="350"/>
      <c r="AM82" s="350"/>
      <c r="AN82" s="332" t="str">
        <f t="shared" si="13"/>
        <v>INTER PARNASKE 833</v>
      </c>
      <c r="AO82" s="334" t="s">
        <v>26</v>
      </c>
      <c r="AP82" s="351">
        <v>45923</v>
      </c>
      <c r="AQ82" s="336" t="s">
        <v>81</v>
      </c>
      <c r="AR82" s="336" t="s">
        <v>137</v>
      </c>
      <c r="AS82" s="337">
        <v>0.40277777777777779</v>
      </c>
      <c r="AT82" s="332"/>
    </row>
    <row r="83" spans="1:46" ht="15" hidden="1" customHeight="1">
      <c r="A83" s="825"/>
      <c r="B83" s="858"/>
      <c r="C83" s="859"/>
      <c r="D83" s="858"/>
      <c r="E83" s="833"/>
      <c r="F83" s="844"/>
      <c r="G83" s="860"/>
      <c r="H83" s="419">
        <f t="shared" si="12"/>
        <v>0.40277777777777779</v>
      </c>
      <c r="I83" s="420">
        <v>0.52777777777777779</v>
      </c>
      <c r="J83" s="421" t="s">
        <v>57</v>
      </c>
      <c r="K83" s="355"/>
      <c r="L83" s="355"/>
      <c r="M83" s="355">
        <v>2</v>
      </c>
      <c r="N83" s="355"/>
      <c r="O83" s="356"/>
      <c r="P83" s="423"/>
      <c r="Q83" s="423"/>
      <c r="R83" s="423"/>
      <c r="S83" s="423"/>
      <c r="T83" s="423"/>
      <c r="U83" s="855"/>
      <c r="V83" s="332"/>
      <c r="W83" s="332"/>
      <c r="X83" s="332"/>
      <c r="Y83" s="332"/>
      <c r="Z83" s="332"/>
      <c r="AA83" s="332"/>
      <c r="AB83" s="493"/>
      <c r="AC83" s="494"/>
      <c r="AD83" s="494"/>
      <c r="AE83" s="495"/>
      <c r="AF83" s="495"/>
      <c r="AG83" s="495"/>
      <c r="AH83" s="495"/>
      <c r="AI83" s="350"/>
      <c r="AJ83" s="350"/>
      <c r="AK83" s="350"/>
      <c r="AL83" s="350"/>
      <c r="AM83" s="350"/>
      <c r="AN83" s="332" t="str">
        <f t="shared" si="13"/>
        <v>INTER PARNAS3U 3974</v>
      </c>
      <c r="AO83" s="334" t="s">
        <v>26</v>
      </c>
      <c r="AP83" s="351">
        <v>45923</v>
      </c>
      <c r="AQ83" s="336" t="s">
        <v>81</v>
      </c>
      <c r="AR83" s="336" t="s">
        <v>138</v>
      </c>
      <c r="AS83" s="337">
        <v>0.40277777777777779</v>
      </c>
      <c r="AT83" s="332"/>
    </row>
    <row r="84" spans="1:46" ht="15" hidden="1" customHeight="1">
      <c r="A84" s="825"/>
      <c r="B84" s="545"/>
      <c r="C84" s="545"/>
      <c r="D84" s="548">
        <v>0.33680555555555558</v>
      </c>
      <c r="E84" s="549">
        <v>0.34722222222222221</v>
      </c>
      <c r="F84" s="550">
        <v>0.40972222222222221</v>
      </c>
      <c r="G84" s="551"/>
      <c r="H84" s="552">
        <f t="shared" si="12"/>
        <v>0.41319444444444442</v>
      </c>
      <c r="I84" s="553">
        <v>0.53819444444444442</v>
      </c>
      <c r="J84" s="554" t="s">
        <v>129</v>
      </c>
      <c r="K84" s="384"/>
      <c r="L84" s="384"/>
      <c r="M84" s="384">
        <v>6</v>
      </c>
      <c r="N84" s="384"/>
      <c r="O84" s="385">
        <v>6</v>
      </c>
      <c r="P84" s="555"/>
      <c r="Q84" s="556">
        <v>1</v>
      </c>
      <c r="R84" s="556"/>
      <c r="S84" s="556"/>
      <c r="T84" s="556"/>
      <c r="U84" s="484" t="s">
        <v>139</v>
      </c>
      <c r="V84" s="332"/>
      <c r="W84" s="332"/>
      <c r="X84" s="332"/>
      <c r="Y84" s="332"/>
      <c r="Z84" s="332"/>
      <c r="AA84" s="332"/>
      <c r="AB84" s="493"/>
      <c r="AC84" s="494"/>
      <c r="AD84" s="494"/>
      <c r="AE84" s="495"/>
      <c r="AF84" s="495"/>
      <c r="AG84" s="495"/>
      <c r="AH84" s="495"/>
      <c r="AI84" s="350"/>
      <c r="AJ84" s="350"/>
      <c r="AK84" s="350"/>
      <c r="AL84" s="350"/>
      <c r="AM84" s="350"/>
      <c r="AN84" s="332" t="str">
        <f t="shared" si="13"/>
        <v>INTER PARNASOZ 335</v>
      </c>
      <c r="AO84" s="334" t="s">
        <v>26</v>
      </c>
      <c r="AP84" s="351">
        <v>45923</v>
      </c>
      <c r="AQ84" s="336" t="s">
        <v>81</v>
      </c>
      <c r="AR84" s="336" t="s">
        <v>140</v>
      </c>
      <c r="AS84" s="337">
        <v>0.40277777777777779</v>
      </c>
      <c r="AT84" s="332"/>
    </row>
    <row r="85" spans="1:46" ht="15" hidden="1" customHeight="1">
      <c r="A85" s="825"/>
      <c r="B85" s="844">
        <f>C85-TIME(0,15,0)</f>
        <v>0.32986111111111105</v>
      </c>
      <c r="C85" s="856">
        <f>D85-TIME(0,30,0)</f>
        <v>0.34027777777777773</v>
      </c>
      <c r="D85" s="844">
        <f>E85-TIME(0,15,0)</f>
        <v>0.36111111111111105</v>
      </c>
      <c r="E85" s="856">
        <f>F85-TIME(1,30,0)</f>
        <v>0.37152777777777773</v>
      </c>
      <c r="F85" s="857">
        <f>G85-TIME(0,20,0)</f>
        <v>0.43402777777777773</v>
      </c>
      <c r="G85" s="832">
        <f>H87</f>
        <v>0.44791666666666663</v>
      </c>
      <c r="H85" s="430">
        <f t="shared" si="12"/>
        <v>0.44097222222222221</v>
      </c>
      <c r="I85" s="435">
        <v>0.56597222222222221</v>
      </c>
      <c r="J85" s="436" t="s">
        <v>130</v>
      </c>
      <c r="K85" s="366"/>
      <c r="L85" s="366"/>
      <c r="M85" s="366">
        <v>4</v>
      </c>
      <c r="N85" s="366"/>
      <c r="O85" s="367">
        <f>SUM(J85:N89)</f>
        <v>16</v>
      </c>
      <c r="P85" s="438"/>
      <c r="Q85" s="438"/>
      <c r="R85" s="438"/>
      <c r="S85" s="513">
        <v>1</v>
      </c>
      <c r="T85" s="513"/>
      <c r="U85" s="514" t="s">
        <v>117</v>
      </c>
      <c r="V85" s="332"/>
      <c r="W85" s="332"/>
      <c r="X85" s="332"/>
      <c r="Y85" s="332"/>
      <c r="Z85" s="332"/>
      <c r="AA85" s="332"/>
      <c r="AB85" s="493"/>
      <c r="AC85" s="494"/>
      <c r="AD85" s="494"/>
      <c r="AE85" s="495"/>
      <c r="AF85" s="495"/>
      <c r="AG85" s="495"/>
      <c r="AH85" s="495"/>
      <c r="AI85" s="350"/>
      <c r="AJ85" s="350"/>
      <c r="AK85" s="350"/>
      <c r="AL85" s="350"/>
      <c r="AM85" s="350"/>
      <c r="AN85" s="332" t="str">
        <f t="shared" si="13"/>
        <v>INTER PARNASKE 725</v>
      </c>
      <c r="AO85" s="334" t="s">
        <v>26</v>
      </c>
      <c r="AP85" s="351">
        <v>45923</v>
      </c>
      <c r="AQ85" s="336" t="s">
        <v>81</v>
      </c>
      <c r="AR85" s="336" t="s">
        <v>141</v>
      </c>
      <c r="AS85" s="337">
        <v>0.40277777777777779</v>
      </c>
      <c r="AT85" s="332"/>
    </row>
    <row r="86" spans="1:46" ht="15" hidden="1" customHeight="1">
      <c r="A86" s="825"/>
      <c r="B86" s="844"/>
      <c r="C86" s="856"/>
      <c r="D86" s="844"/>
      <c r="E86" s="856"/>
      <c r="F86" s="857"/>
      <c r="G86" s="832"/>
      <c r="H86" s="445">
        <f t="shared" si="12"/>
        <v>0.44444444444444442</v>
      </c>
      <c r="I86" s="446">
        <v>0.56944444444444442</v>
      </c>
      <c r="J86" s="447" t="s">
        <v>59</v>
      </c>
      <c r="K86" s="360">
        <v>3</v>
      </c>
      <c r="L86" s="360"/>
      <c r="M86" s="360"/>
      <c r="N86" s="360"/>
      <c r="O86" s="373"/>
      <c r="P86" s="410"/>
      <c r="Q86" s="410"/>
      <c r="R86" s="410"/>
      <c r="S86" s="410"/>
      <c r="T86" s="410"/>
      <c r="U86" s="332"/>
      <c r="V86" s="332"/>
      <c r="W86" s="332"/>
      <c r="X86" s="332"/>
      <c r="Y86" s="332"/>
      <c r="Z86" s="332"/>
      <c r="AA86" s="332"/>
      <c r="AB86" s="493"/>
      <c r="AC86" s="494"/>
      <c r="AD86" s="494"/>
      <c r="AE86" s="495"/>
      <c r="AF86" s="495"/>
      <c r="AG86" s="495"/>
      <c r="AH86" s="495"/>
      <c r="AI86" s="350"/>
      <c r="AJ86" s="350"/>
      <c r="AK86" s="350"/>
      <c r="AL86" s="350"/>
      <c r="AM86" s="350"/>
      <c r="AN86" s="332" t="str">
        <f t="shared" si="13"/>
        <v>INTER PARNASCX 411</v>
      </c>
      <c r="AO86" s="334" t="s">
        <v>26</v>
      </c>
      <c r="AP86" s="351">
        <v>45923</v>
      </c>
      <c r="AQ86" s="336" t="s">
        <v>81</v>
      </c>
      <c r="AR86" s="336" t="s">
        <v>60</v>
      </c>
      <c r="AS86" s="337">
        <v>0.40277777777777779</v>
      </c>
      <c r="AT86" s="332"/>
    </row>
    <row r="87" spans="1:46" ht="15" hidden="1" customHeight="1">
      <c r="A87" s="825"/>
      <c r="B87" s="844"/>
      <c r="C87" s="856"/>
      <c r="D87" s="844"/>
      <c r="E87" s="856"/>
      <c r="F87" s="857"/>
      <c r="G87" s="832"/>
      <c r="H87" s="445">
        <f t="shared" si="12"/>
        <v>0.44791666666666663</v>
      </c>
      <c r="I87" s="446">
        <v>0.57291666666666663</v>
      </c>
      <c r="J87" s="447" t="s">
        <v>132</v>
      </c>
      <c r="K87" s="360"/>
      <c r="L87" s="360"/>
      <c r="M87" s="360"/>
      <c r="N87" s="360">
        <v>2</v>
      </c>
      <c r="O87" s="373"/>
      <c r="P87" s="410"/>
      <c r="Q87" s="410"/>
      <c r="R87" s="410"/>
      <c r="S87" s="410"/>
      <c r="T87" s="410"/>
      <c r="U87" s="332"/>
      <c r="V87" s="332"/>
      <c r="W87" s="332"/>
      <c r="X87" s="332"/>
      <c r="Y87" s="332"/>
      <c r="Z87" s="332"/>
      <c r="AA87" s="332"/>
      <c r="AB87" s="493"/>
      <c r="AC87" s="494"/>
      <c r="AD87" s="494"/>
      <c r="AE87" s="495"/>
      <c r="AF87" s="495"/>
      <c r="AG87" s="495"/>
      <c r="AH87" s="495"/>
      <c r="AI87" s="350"/>
      <c r="AJ87" s="350"/>
      <c r="AK87" s="350"/>
      <c r="AL87" s="350"/>
      <c r="AM87" s="350"/>
      <c r="AN87" s="332" t="str">
        <f t="shared" si="13"/>
        <v>INTER PARNASDL 7860</v>
      </c>
      <c r="AO87" s="334" t="s">
        <v>26</v>
      </c>
      <c r="AP87" s="351">
        <v>45923</v>
      </c>
      <c r="AQ87" s="336" t="s">
        <v>81</v>
      </c>
      <c r="AR87" s="336" t="s">
        <v>142</v>
      </c>
      <c r="AS87" s="337">
        <v>0.43402777777777779</v>
      </c>
      <c r="AT87" s="332"/>
    </row>
    <row r="88" spans="1:46" ht="15" hidden="1" customHeight="1">
      <c r="A88" s="825"/>
      <c r="B88" s="844"/>
      <c r="C88" s="856"/>
      <c r="D88" s="844"/>
      <c r="E88" s="856"/>
      <c r="F88" s="857"/>
      <c r="G88" s="832"/>
      <c r="H88" s="459">
        <f>I88-TIME(3,0,0)</f>
        <v>0.46180555555555558</v>
      </c>
      <c r="I88" s="460">
        <v>0.58680555555555558</v>
      </c>
      <c r="J88" s="461" t="s">
        <v>134</v>
      </c>
      <c r="K88" s="379"/>
      <c r="L88" s="379"/>
      <c r="M88" s="379">
        <v>1</v>
      </c>
      <c r="N88" s="379"/>
      <c r="O88" s="462"/>
      <c r="P88" s="414"/>
      <c r="Q88" s="414"/>
      <c r="R88" s="414"/>
      <c r="S88" s="414"/>
      <c r="T88" s="414"/>
      <c r="U88" s="332"/>
      <c r="V88" s="332"/>
      <c r="W88" s="332"/>
      <c r="X88" s="332"/>
      <c r="Y88" s="332"/>
      <c r="Z88" s="332"/>
      <c r="AA88" s="332"/>
      <c r="AB88" s="493"/>
      <c r="AC88" s="494"/>
      <c r="AD88" s="494"/>
      <c r="AE88" s="495"/>
      <c r="AF88" s="495"/>
      <c r="AG88" s="495"/>
      <c r="AH88" s="495"/>
      <c r="AI88" s="350"/>
      <c r="AJ88" s="350"/>
      <c r="AK88" s="350"/>
      <c r="AL88" s="350"/>
      <c r="AM88" s="350"/>
      <c r="AN88" s="332" t="str">
        <f t="shared" si="13"/>
        <v>INTER PARNASKE 23</v>
      </c>
      <c r="AO88" s="334" t="s">
        <v>26</v>
      </c>
      <c r="AP88" s="351">
        <v>45923</v>
      </c>
      <c r="AQ88" s="336" t="s">
        <v>81</v>
      </c>
      <c r="AR88" s="336" t="s">
        <v>61</v>
      </c>
      <c r="AS88" s="337">
        <v>0.43402777777777779</v>
      </c>
      <c r="AT88" s="332"/>
    </row>
    <row r="89" spans="1:46" ht="15" hidden="1" customHeight="1">
      <c r="A89" s="825"/>
      <c r="B89" s="844"/>
      <c r="C89" s="856"/>
      <c r="D89" s="844"/>
      <c r="E89" s="856"/>
      <c r="F89" s="857"/>
      <c r="G89" s="832"/>
      <c r="H89" s="419">
        <f t="shared" ref="H89:H97" si="14">I89-TIME(3,0,0)</f>
        <v>0.46180555555555558</v>
      </c>
      <c r="I89" s="420">
        <v>0.58680555555555558</v>
      </c>
      <c r="J89" s="421" t="s">
        <v>135</v>
      </c>
      <c r="K89" s="355"/>
      <c r="L89" s="355"/>
      <c r="M89" s="355">
        <v>6</v>
      </c>
      <c r="N89" s="355"/>
      <c r="O89" s="356"/>
      <c r="P89" s="423"/>
      <c r="Q89" s="423"/>
      <c r="R89" s="423"/>
      <c r="S89" s="423"/>
      <c r="T89" s="423"/>
      <c r="U89" s="332"/>
      <c r="V89" s="332"/>
      <c r="W89" s="332"/>
      <c r="X89" s="332"/>
      <c r="Y89" s="332"/>
      <c r="Z89" s="332"/>
      <c r="AA89" s="332"/>
      <c r="AB89" s="493"/>
      <c r="AC89" s="494"/>
      <c r="AD89" s="494"/>
      <c r="AE89" s="495"/>
      <c r="AF89" s="495"/>
      <c r="AG89" s="495"/>
      <c r="AH89" s="495"/>
      <c r="AI89" s="350"/>
      <c r="AJ89" s="350"/>
      <c r="AK89" s="350"/>
      <c r="AL89" s="350"/>
      <c r="AM89" s="350"/>
      <c r="AN89" s="332" t="str">
        <f t="shared" si="13"/>
        <v>INTER PARNASKE 187</v>
      </c>
      <c r="AO89" s="334" t="s">
        <v>26</v>
      </c>
      <c r="AP89" s="351">
        <v>45923</v>
      </c>
      <c r="AQ89" s="336" t="s">
        <v>81</v>
      </c>
      <c r="AR89" s="336" t="s">
        <v>143</v>
      </c>
      <c r="AS89" s="337">
        <v>0.43402777777777779</v>
      </c>
      <c r="AT89" s="332"/>
    </row>
    <row r="90" spans="1:46" ht="15" hidden="1" customHeight="1">
      <c r="A90" s="825"/>
      <c r="B90" s="851">
        <f>C90-TIME(0,20,0)</f>
        <v>0.40277777777777773</v>
      </c>
      <c r="C90" s="852">
        <f>F90-TIME(1,15,)</f>
        <v>0.41666666666666663</v>
      </c>
      <c r="D90" s="853"/>
      <c r="E90" s="854"/>
      <c r="F90" s="829">
        <f>G90-TIME(0,20,0)</f>
        <v>0.46874999999999994</v>
      </c>
      <c r="G90" s="829">
        <f>H90</f>
        <v>0.48263888888888884</v>
      </c>
      <c r="H90" s="434">
        <f t="shared" si="14"/>
        <v>0.48263888888888884</v>
      </c>
      <c r="I90" s="435">
        <v>0.60763888888888884</v>
      </c>
      <c r="J90" s="436" t="s">
        <v>137</v>
      </c>
      <c r="K90" s="366"/>
      <c r="L90" s="366">
        <v>1</v>
      </c>
      <c r="M90" s="366"/>
      <c r="N90" s="366"/>
      <c r="O90" s="367">
        <f>SUM(K90:N94)</f>
        <v>18</v>
      </c>
      <c r="P90" s="438"/>
      <c r="Q90" s="438"/>
      <c r="R90" s="438"/>
      <c r="S90" s="557">
        <v>1</v>
      </c>
      <c r="T90" s="557"/>
      <c r="U90" s="558" t="s">
        <v>144</v>
      </c>
      <c r="V90" s="332"/>
      <c r="W90" s="332"/>
      <c r="X90" s="332"/>
      <c r="Y90" s="332"/>
      <c r="Z90" s="332"/>
      <c r="AA90" s="332"/>
      <c r="AB90" s="493"/>
      <c r="AC90" s="494"/>
      <c r="AD90" s="494"/>
      <c r="AE90" s="495"/>
      <c r="AF90" s="495"/>
      <c r="AG90" s="495"/>
      <c r="AH90" s="495"/>
      <c r="AI90" s="350"/>
      <c r="AJ90" s="350"/>
      <c r="AK90" s="350"/>
      <c r="AL90" s="350"/>
      <c r="AM90" s="350"/>
      <c r="AN90" s="332" t="str">
        <f t="shared" si="13"/>
        <v>INTER PARNASOZ 751</v>
      </c>
      <c r="AO90" s="334" t="s">
        <v>26</v>
      </c>
      <c r="AP90" s="351">
        <v>45923</v>
      </c>
      <c r="AQ90" s="336" t="s">
        <v>81</v>
      </c>
      <c r="AR90" s="336" t="s">
        <v>145</v>
      </c>
      <c r="AS90" s="337">
        <v>0.43402777777777779</v>
      </c>
      <c r="AT90" s="332"/>
    </row>
    <row r="91" spans="1:46" ht="15" hidden="1" customHeight="1">
      <c r="A91" s="825"/>
      <c r="B91" s="851"/>
      <c r="C91" s="852"/>
      <c r="D91" s="853"/>
      <c r="E91" s="854"/>
      <c r="F91" s="829"/>
      <c r="G91" s="829"/>
      <c r="H91" s="445">
        <f t="shared" si="14"/>
        <v>0.49305555555555558</v>
      </c>
      <c r="I91" s="446">
        <v>0.61805555555555558</v>
      </c>
      <c r="J91" s="447" t="s">
        <v>138</v>
      </c>
      <c r="K91" s="360">
        <v>1</v>
      </c>
      <c r="L91" s="360"/>
      <c r="M91" s="360"/>
      <c r="N91" s="360"/>
      <c r="O91" s="373"/>
      <c r="P91" s="410"/>
      <c r="Q91" s="410"/>
      <c r="R91" s="410"/>
      <c r="S91" s="410"/>
      <c r="T91" s="410"/>
      <c r="U91" s="332"/>
      <c r="V91" s="332"/>
      <c r="W91" s="332"/>
      <c r="X91" s="332"/>
      <c r="Y91" s="332"/>
      <c r="Z91" s="332"/>
      <c r="AA91" s="332"/>
      <c r="AB91" s="493"/>
      <c r="AC91" s="494"/>
      <c r="AD91" s="494"/>
      <c r="AE91" s="495"/>
      <c r="AF91" s="495"/>
      <c r="AG91" s="495"/>
      <c r="AH91" s="495"/>
      <c r="AI91" s="350"/>
      <c r="AJ91" s="350"/>
      <c r="AK91" s="350"/>
      <c r="AL91" s="350"/>
      <c r="AM91" s="350"/>
      <c r="AN91" s="332" t="str">
        <f t="shared" si="13"/>
        <v>INTER PARNASKE 671</v>
      </c>
      <c r="AO91" s="334" t="s">
        <v>26</v>
      </c>
      <c r="AP91" s="351">
        <v>45923</v>
      </c>
      <c r="AQ91" s="336" t="s">
        <v>81</v>
      </c>
      <c r="AR91" s="336" t="s">
        <v>146</v>
      </c>
      <c r="AS91" s="337">
        <v>0.43402777777777779</v>
      </c>
      <c r="AT91" s="332"/>
    </row>
    <row r="92" spans="1:46" ht="15" hidden="1" customHeight="1">
      <c r="A92" s="825"/>
      <c r="B92" s="851"/>
      <c r="C92" s="852"/>
      <c r="D92" s="853"/>
      <c r="E92" s="854"/>
      <c r="F92" s="829"/>
      <c r="G92" s="829"/>
      <c r="H92" s="445">
        <f t="shared" si="14"/>
        <v>0.49305555555555558</v>
      </c>
      <c r="I92" s="446">
        <v>0.61805555555555558</v>
      </c>
      <c r="J92" s="447" t="s">
        <v>140</v>
      </c>
      <c r="K92" s="360">
        <v>2</v>
      </c>
      <c r="L92" s="360"/>
      <c r="M92" s="360"/>
      <c r="N92" s="360"/>
      <c r="O92" s="373"/>
      <c r="P92" s="410"/>
      <c r="Q92" s="410"/>
      <c r="R92" s="410"/>
      <c r="S92" s="410"/>
      <c r="T92" s="410"/>
      <c r="U92" s="332"/>
      <c r="V92" s="332"/>
      <c r="W92" s="332"/>
      <c r="X92" s="332"/>
      <c r="Y92" s="332"/>
      <c r="Z92" s="332"/>
      <c r="AA92" s="332"/>
      <c r="AB92" s="493"/>
      <c r="AC92" s="494"/>
      <c r="AD92" s="494"/>
      <c r="AE92" s="495"/>
      <c r="AF92" s="495"/>
      <c r="AG92" s="495"/>
      <c r="AH92" s="495"/>
      <c r="AI92" s="350"/>
      <c r="AJ92" s="350"/>
      <c r="AK92" s="350"/>
      <c r="AL92" s="350"/>
      <c r="AM92" s="350"/>
      <c r="AN92" s="332" t="str">
        <f t="shared" si="13"/>
        <v>INTER PARNASDL 188</v>
      </c>
      <c r="AO92" s="334" t="s">
        <v>26</v>
      </c>
      <c r="AP92" s="351">
        <v>45923</v>
      </c>
      <c r="AQ92" s="336" t="s">
        <v>81</v>
      </c>
      <c r="AR92" s="336" t="s">
        <v>62</v>
      </c>
      <c r="AS92" s="337">
        <v>0.43402777777777779</v>
      </c>
      <c r="AT92" s="332"/>
    </row>
    <row r="93" spans="1:46" ht="15" hidden="1" customHeight="1">
      <c r="A93" s="825"/>
      <c r="B93" s="851"/>
      <c r="C93" s="852"/>
      <c r="D93" s="853"/>
      <c r="E93" s="854"/>
      <c r="F93" s="829"/>
      <c r="G93" s="829"/>
      <c r="H93" s="445">
        <f t="shared" si="14"/>
        <v>0.49652777777777779</v>
      </c>
      <c r="I93" s="446">
        <v>0.62152777777777779</v>
      </c>
      <c r="J93" s="447" t="s">
        <v>141</v>
      </c>
      <c r="K93" s="360"/>
      <c r="L93" s="360">
        <v>2</v>
      </c>
      <c r="M93" s="360"/>
      <c r="N93" s="360"/>
      <c r="O93" s="373"/>
      <c r="P93" s="410"/>
      <c r="Q93" s="410"/>
      <c r="R93" s="410"/>
      <c r="S93" s="410"/>
      <c r="T93" s="410"/>
      <c r="U93" s="332"/>
      <c r="V93" s="332"/>
      <c r="W93" s="332"/>
      <c r="X93" s="332"/>
      <c r="Y93" s="332"/>
      <c r="Z93" s="332"/>
      <c r="AA93" s="332"/>
      <c r="AB93" s="493"/>
      <c r="AC93" s="494"/>
      <c r="AD93" s="494"/>
      <c r="AE93" s="495"/>
      <c r="AF93" s="495"/>
      <c r="AG93" s="495"/>
      <c r="AH93" s="495"/>
      <c r="AI93" s="350"/>
      <c r="AJ93" s="350"/>
      <c r="AK93" s="350"/>
      <c r="AL93" s="350"/>
      <c r="AM93" s="350"/>
      <c r="AN93" s="332" t="str">
        <f t="shared" si="13"/>
        <v>INTER PARNASKE 41</v>
      </c>
      <c r="AO93" s="334" t="s">
        <v>26</v>
      </c>
      <c r="AP93" s="351">
        <v>45923</v>
      </c>
      <c r="AQ93" s="336" t="s">
        <v>81</v>
      </c>
      <c r="AR93" s="336" t="s">
        <v>63</v>
      </c>
      <c r="AS93" s="337">
        <v>0.46180555555555558</v>
      </c>
      <c r="AT93" s="332"/>
    </row>
    <row r="94" spans="1:46" ht="15" hidden="1" customHeight="1">
      <c r="A94" s="825"/>
      <c r="B94" s="851"/>
      <c r="C94" s="852"/>
      <c r="D94" s="853"/>
      <c r="E94" s="854"/>
      <c r="F94" s="829"/>
      <c r="G94" s="829"/>
      <c r="H94" s="419">
        <f t="shared" si="14"/>
        <v>0.50694444444444442</v>
      </c>
      <c r="I94" s="420">
        <v>0.63194444444444442</v>
      </c>
      <c r="J94" s="421" t="s">
        <v>60</v>
      </c>
      <c r="K94" s="355">
        <v>12</v>
      </c>
      <c r="L94" s="355"/>
      <c r="M94" s="355"/>
      <c r="N94" s="355"/>
      <c r="O94" s="356"/>
      <c r="P94" s="423"/>
      <c r="Q94" s="423"/>
      <c r="R94" s="423"/>
      <c r="S94" s="423"/>
      <c r="T94" s="423"/>
      <c r="U94" s="332"/>
      <c r="V94" s="332"/>
      <c r="W94" s="332"/>
      <c r="X94" s="332"/>
      <c r="Y94" s="332"/>
      <c r="Z94" s="332"/>
      <c r="AA94" s="332"/>
      <c r="AB94" s="493"/>
      <c r="AC94" s="494"/>
      <c r="AD94" s="494"/>
      <c r="AE94" s="495"/>
      <c r="AF94" s="495"/>
      <c r="AG94" s="495"/>
      <c r="AH94" s="495"/>
      <c r="AI94" s="350"/>
      <c r="AJ94" s="350"/>
      <c r="AK94" s="350"/>
      <c r="AL94" s="350"/>
      <c r="AM94" s="350"/>
      <c r="AN94" s="332" t="str">
        <f t="shared" si="13"/>
        <v>INTER PARNASCZ 3062</v>
      </c>
      <c r="AO94" s="334" t="s">
        <v>26</v>
      </c>
      <c r="AP94" s="351">
        <v>45923</v>
      </c>
      <c r="AQ94" s="336" t="s">
        <v>81</v>
      </c>
      <c r="AR94" s="336" t="s">
        <v>147</v>
      </c>
      <c r="AS94" s="337">
        <v>0.46180555555555558</v>
      </c>
      <c r="AT94" s="332"/>
    </row>
    <row r="95" spans="1:46" ht="15" hidden="1" customHeight="1">
      <c r="A95" s="825"/>
      <c r="B95" s="861">
        <f>C95-TIME(0,15,0)</f>
        <v>0.43402777777777779</v>
      </c>
      <c r="C95" s="845">
        <f>D95-TIME(0,30,0)</f>
        <v>0.44444444444444448</v>
      </c>
      <c r="D95" s="861">
        <f>E95-TIME(0,15,0)</f>
        <v>0.46527777777777779</v>
      </c>
      <c r="E95" s="845">
        <f>F95-TIME(1,15,0)</f>
        <v>0.47569444444444448</v>
      </c>
      <c r="F95" s="861">
        <f>G95-TIME(0,20,0)</f>
        <v>0.52777777777777779</v>
      </c>
      <c r="G95" s="832">
        <f>H95</f>
        <v>0.54166666666666663</v>
      </c>
      <c r="H95" s="434">
        <f t="shared" si="14"/>
        <v>0.54166666666666663</v>
      </c>
      <c r="I95" s="435">
        <v>0.66666666666666663</v>
      </c>
      <c r="J95" s="436" t="s">
        <v>142</v>
      </c>
      <c r="K95" s="366"/>
      <c r="L95" s="366"/>
      <c r="M95" s="366"/>
      <c r="N95" s="366">
        <v>1</v>
      </c>
      <c r="O95" s="367">
        <f>SUM(J95:N100)</f>
        <v>37</v>
      </c>
      <c r="P95" s="438"/>
      <c r="Q95" s="438"/>
      <c r="R95" s="438"/>
      <c r="S95" s="546">
        <v>1</v>
      </c>
      <c r="T95" s="546"/>
      <c r="U95" s="484" t="s">
        <v>148</v>
      </c>
      <c r="V95" s="332"/>
      <c r="W95" s="332"/>
      <c r="X95" s="332"/>
      <c r="Y95" s="332"/>
      <c r="Z95" s="332"/>
      <c r="AA95" s="332"/>
      <c r="AB95" s="493"/>
      <c r="AC95" s="494"/>
      <c r="AD95" s="494"/>
      <c r="AE95" s="495"/>
      <c r="AF95" s="495"/>
      <c r="AG95" s="495"/>
      <c r="AH95" s="495"/>
      <c r="AI95" s="350"/>
      <c r="AJ95" s="350"/>
      <c r="AK95" s="350"/>
      <c r="AL95" s="350"/>
      <c r="AM95" s="350"/>
      <c r="AN95" s="332" t="str">
        <f t="shared" si="13"/>
        <v>INTER PARNASUA 892</v>
      </c>
      <c r="AO95" s="334" t="s">
        <v>26</v>
      </c>
      <c r="AP95" s="351">
        <v>45923</v>
      </c>
      <c r="AQ95" s="336" t="s">
        <v>81</v>
      </c>
      <c r="AR95" s="336" t="s">
        <v>64</v>
      </c>
      <c r="AS95" s="337">
        <v>0.46180555555555558</v>
      </c>
      <c r="AT95" s="332"/>
    </row>
    <row r="96" spans="1:46" ht="15" hidden="1" customHeight="1">
      <c r="A96" s="825"/>
      <c r="B96" s="861"/>
      <c r="C96" s="845"/>
      <c r="D96" s="861"/>
      <c r="E96" s="845"/>
      <c r="F96" s="861"/>
      <c r="G96" s="832"/>
      <c r="H96" s="445">
        <f t="shared" si="14"/>
        <v>0.54166666666666663</v>
      </c>
      <c r="I96" s="446">
        <v>0.66666666666666663</v>
      </c>
      <c r="J96" s="447" t="s">
        <v>61</v>
      </c>
      <c r="K96" s="360"/>
      <c r="L96" s="360"/>
      <c r="M96" s="360"/>
      <c r="N96" s="360">
        <v>7</v>
      </c>
      <c r="O96" s="373"/>
      <c r="P96" s="410"/>
      <c r="Q96" s="410"/>
      <c r="R96" s="410"/>
      <c r="S96" s="559">
        <v>1</v>
      </c>
      <c r="T96" s="559"/>
      <c r="U96" s="558" t="s">
        <v>149</v>
      </c>
      <c r="V96" s="332"/>
      <c r="W96" s="332"/>
      <c r="X96" s="332"/>
      <c r="Y96" s="332"/>
      <c r="Z96" s="332"/>
      <c r="AA96" s="332"/>
      <c r="AB96" s="493"/>
      <c r="AC96" s="494"/>
      <c r="AD96" s="494"/>
      <c r="AE96" s="495"/>
      <c r="AF96" s="495"/>
      <c r="AG96" s="495"/>
      <c r="AH96" s="495"/>
      <c r="AI96" s="350"/>
      <c r="AJ96" s="350"/>
      <c r="AK96" s="350"/>
      <c r="AL96" s="350"/>
      <c r="AM96" s="350"/>
      <c r="AN96" s="332" t="str">
        <f t="shared" si="13"/>
        <v>INTER PARNAS9C 8560</v>
      </c>
      <c r="AO96" s="334" t="s">
        <v>26</v>
      </c>
      <c r="AP96" s="351">
        <v>45923</v>
      </c>
      <c r="AQ96" s="336" t="s">
        <v>81</v>
      </c>
      <c r="AR96" s="336" t="s">
        <v>150</v>
      </c>
      <c r="AS96" s="337">
        <v>0.46180555555555558</v>
      </c>
      <c r="AT96" s="332"/>
    </row>
    <row r="97" spans="1:46" ht="15" hidden="1" customHeight="1">
      <c r="A97" s="825"/>
      <c r="B97" s="861"/>
      <c r="C97" s="845"/>
      <c r="D97" s="861"/>
      <c r="E97" s="845"/>
      <c r="F97" s="861"/>
      <c r="G97" s="832"/>
      <c r="H97" s="445">
        <f t="shared" si="14"/>
        <v>0.54861111111111116</v>
      </c>
      <c r="I97" s="446">
        <v>0.67361111111111116</v>
      </c>
      <c r="J97" s="447" t="s">
        <v>143</v>
      </c>
      <c r="K97" s="360"/>
      <c r="L97" s="360">
        <v>1</v>
      </c>
      <c r="M97" s="360"/>
      <c r="N97" s="360"/>
      <c r="O97" s="373"/>
      <c r="P97" s="410"/>
      <c r="Q97" s="410"/>
      <c r="R97" s="410"/>
      <c r="S97" s="410"/>
      <c r="T97" s="410"/>
      <c r="U97" s="332"/>
      <c r="V97" s="332"/>
      <c r="W97" s="332"/>
      <c r="X97" s="332"/>
      <c r="Y97" s="332"/>
      <c r="Z97" s="332"/>
      <c r="AA97" s="332"/>
      <c r="AB97" s="493"/>
      <c r="AC97" s="494"/>
      <c r="AD97" s="494"/>
      <c r="AE97" s="495"/>
      <c r="AF97" s="495"/>
      <c r="AG97" s="495"/>
      <c r="AH97" s="495"/>
      <c r="AI97" s="350"/>
      <c r="AJ97" s="350"/>
      <c r="AK97" s="350"/>
      <c r="AL97" s="350"/>
      <c r="AM97" s="350"/>
      <c r="AN97" s="332" t="str">
        <f t="shared" si="13"/>
        <v>INTER PARNASAA 280</v>
      </c>
      <c r="AO97" s="334" t="s">
        <v>26</v>
      </c>
      <c r="AP97" s="351">
        <v>45923</v>
      </c>
      <c r="AQ97" s="336" t="s">
        <v>81</v>
      </c>
      <c r="AR97" s="336" t="s">
        <v>65</v>
      </c>
      <c r="AS97" s="337">
        <v>0.50694444444444442</v>
      </c>
      <c r="AT97" s="332"/>
    </row>
    <row r="98" spans="1:46" ht="15" hidden="1" customHeight="1">
      <c r="A98" s="825"/>
      <c r="B98" s="861"/>
      <c r="C98" s="845"/>
      <c r="D98" s="861"/>
      <c r="E98" s="845"/>
      <c r="F98" s="861"/>
      <c r="G98" s="832"/>
      <c r="H98" s="445">
        <f>I98-TIME(3,0,0)</f>
        <v>0.54861111111111116</v>
      </c>
      <c r="I98" s="446">
        <v>0.67361111111111116</v>
      </c>
      <c r="J98" s="447" t="s">
        <v>145</v>
      </c>
      <c r="K98" s="360"/>
      <c r="L98" s="360"/>
      <c r="M98" s="360">
        <v>6</v>
      </c>
      <c r="N98" s="360"/>
      <c r="O98" s="373"/>
      <c r="P98" s="410"/>
      <c r="Q98" s="410"/>
      <c r="R98" s="410"/>
      <c r="S98" s="410"/>
      <c r="T98" s="410"/>
      <c r="U98" s="332"/>
      <c r="V98" s="332"/>
      <c r="W98" s="332"/>
      <c r="X98" s="332"/>
      <c r="Y98" s="332"/>
      <c r="Z98" s="332"/>
      <c r="AA98" s="332"/>
      <c r="AB98" s="493"/>
      <c r="AC98" s="494"/>
      <c r="AD98" s="494"/>
      <c r="AE98" s="495"/>
      <c r="AF98" s="495"/>
      <c r="AG98" s="495"/>
      <c r="AH98" s="495"/>
      <c r="AI98" s="350"/>
      <c r="AJ98" s="350"/>
      <c r="AK98" s="350"/>
      <c r="AL98" s="350"/>
      <c r="AM98" s="350"/>
      <c r="AN98" s="332" t="str">
        <f t="shared" si="13"/>
        <v>INTER PARNASTG 653</v>
      </c>
      <c r="AO98" s="334" t="s">
        <v>26</v>
      </c>
      <c r="AP98" s="351">
        <v>45923</v>
      </c>
      <c r="AQ98" s="336" t="s">
        <v>81</v>
      </c>
      <c r="AR98" s="336" t="s">
        <v>151</v>
      </c>
      <c r="AS98" s="337">
        <v>0.50694444444444442</v>
      </c>
      <c r="AT98" s="332"/>
    </row>
    <row r="99" spans="1:46" ht="15" hidden="1" customHeight="1">
      <c r="A99" s="825"/>
      <c r="B99" s="861"/>
      <c r="C99" s="845"/>
      <c r="D99" s="861"/>
      <c r="E99" s="845"/>
      <c r="F99" s="861"/>
      <c r="G99" s="832"/>
      <c r="H99" s="445">
        <f t="shared" ref="H99:H121" si="15">I99-TIME(3,0,0)</f>
        <v>0.55555555555555558</v>
      </c>
      <c r="I99" s="446">
        <v>0.68055555555555558</v>
      </c>
      <c r="J99" s="447" t="s">
        <v>146</v>
      </c>
      <c r="K99" s="360"/>
      <c r="L99" s="360">
        <v>2</v>
      </c>
      <c r="M99" s="360"/>
      <c r="N99" s="360"/>
      <c r="O99" s="373"/>
      <c r="P99" s="410"/>
      <c r="Q99" s="410"/>
      <c r="R99" s="410"/>
      <c r="S99" s="410"/>
      <c r="T99" s="410"/>
      <c r="U99" s="332"/>
      <c r="V99" s="332"/>
      <c r="W99" s="332"/>
      <c r="X99" s="332"/>
      <c r="Y99" s="332"/>
      <c r="Z99" s="332"/>
      <c r="AA99" s="332"/>
      <c r="AB99" s="493"/>
      <c r="AC99" s="494"/>
      <c r="AD99" s="494"/>
      <c r="AE99" s="495"/>
      <c r="AF99" s="495"/>
      <c r="AG99" s="495"/>
      <c r="AH99" s="495"/>
      <c r="AI99" s="350"/>
      <c r="AJ99" s="350"/>
      <c r="AK99" s="350"/>
      <c r="AL99" s="350"/>
      <c r="AM99" s="350"/>
      <c r="AN99" s="332" t="str">
        <f t="shared" si="13"/>
        <v>INTER PARNASAC 64</v>
      </c>
      <c r="AO99" s="334" t="s">
        <v>26</v>
      </c>
      <c r="AP99" s="351">
        <v>45923</v>
      </c>
      <c r="AQ99" s="336" t="s">
        <v>81</v>
      </c>
      <c r="AR99" s="336" t="s">
        <v>66</v>
      </c>
      <c r="AS99" s="337">
        <v>0.50694444444444442</v>
      </c>
      <c r="AT99" s="332"/>
    </row>
    <row r="100" spans="1:46" ht="15" hidden="1" customHeight="1">
      <c r="A100" s="825"/>
      <c r="B100" s="861"/>
      <c r="C100" s="845"/>
      <c r="D100" s="861"/>
      <c r="E100" s="845"/>
      <c r="F100" s="861"/>
      <c r="G100" s="832"/>
      <c r="H100" s="419">
        <f t="shared" si="15"/>
        <v>0.55902777777777779</v>
      </c>
      <c r="I100" s="420">
        <v>0.68402777777777779</v>
      </c>
      <c r="J100" s="421" t="s">
        <v>62</v>
      </c>
      <c r="K100" s="355"/>
      <c r="L100" s="355">
        <v>15</v>
      </c>
      <c r="M100" s="355"/>
      <c r="N100" s="355">
        <v>5</v>
      </c>
      <c r="O100" s="356"/>
      <c r="P100" s="423"/>
      <c r="Q100" s="423"/>
      <c r="R100" s="423"/>
      <c r="S100" s="423"/>
      <c r="T100" s="423"/>
      <c r="U100" s="332"/>
      <c r="V100" s="332"/>
      <c r="W100" s="332"/>
      <c r="X100" s="332"/>
      <c r="Y100" s="332"/>
      <c r="Z100" s="332"/>
      <c r="AA100" s="332"/>
      <c r="AB100" s="493"/>
      <c r="AC100" s="494"/>
      <c r="AD100" s="494"/>
      <c r="AE100" s="495"/>
      <c r="AF100" s="495"/>
      <c r="AG100" s="495"/>
      <c r="AH100" s="495"/>
      <c r="AI100" s="350"/>
      <c r="AJ100" s="350"/>
      <c r="AK100" s="350"/>
      <c r="AL100" s="350"/>
      <c r="AM100" s="350"/>
      <c r="AN100" s="332" t="str">
        <f t="shared" si="13"/>
        <v>INTER PARNASVN 403</v>
      </c>
      <c r="AO100" s="334" t="s">
        <v>26</v>
      </c>
      <c r="AP100" s="351">
        <v>45923</v>
      </c>
      <c r="AQ100" s="336" t="s">
        <v>81</v>
      </c>
      <c r="AR100" s="336" t="s">
        <v>152</v>
      </c>
      <c r="AS100" s="337">
        <v>0.50694444444444442</v>
      </c>
      <c r="AT100" s="332"/>
    </row>
    <row r="101" spans="1:46" ht="15" hidden="1" customHeight="1">
      <c r="A101" s="825"/>
      <c r="B101" s="834">
        <f>C101-TIME(0,15,0)</f>
        <v>0.46180555555555552</v>
      </c>
      <c r="C101" s="859">
        <f>D101-TIME(0,30,0)</f>
        <v>0.47222222222222221</v>
      </c>
      <c r="D101" s="834">
        <f>E101-TIME(0,15,0)</f>
        <v>0.49305555555555552</v>
      </c>
      <c r="E101" s="859">
        <f>F101-TIME(1,15,0)</f>
        <v>0.50347222222222221</v>
      </c>
      <c r="F101" s="834">
        <f>G101-TIME(0,20,0)</f>
        <v>0.55555555555555558</v>
      </c>
      <c r="G101" s="834">
        <f>H101</f>
        <v>0.56944444444444442</v>
      </c>
      <c r="H101" s="434">
        <f t="shared" si="15"/>
        <v>0.56944444444444442</v>
      </c>
      <c r="I101" s="435">
        <v>0.69444444444444442</v>
      </c>
      <c r="J101" s="436" t="s">
        <v>63</v>
      </c>
      <c r="K101" s="366"/>
      <c r="L101" s="366">
        <v>7</v>
      </c>
      <c r="M101" s="366"/>
      <c r="N101" s="366"/>
      <c r="O101" s="367">
        <f>SUM(J101:N104)</f>
        <v>39</v>
      </c>
      <c r="P101" s="438"/>
      <c r="Q101" s="438"/>
      <c r="R101" s="438"/>
      <c r="S101" s="513">
        <v>1</v>
      </c>
      <c r="T101" s="513"/>
      <c r="U101" s="560" t="s">
        <v>117</v>
      </c>
      <c r="V101" s="332"/>
      <c r="W101" s="332"/>
      <c r="X101" s="332"/>
      <c r="Y101" s="332"/>
      <c r="Z101" s="332"/>
      <c r="AA101" s="332"/>
      <c r="AB101" s="493"/>
      <c r="AC101" s="494"/>
      <c r="AD101" s="494"/>
      <c r="AE101" s="495"/>
      <c r="AF101" s="495"/>
      <c r="AG101" s="495"/>
      <c r="AH101" s="495"/>
      <c r="AI101" s="350"/>
      <c r="AJ101" s="350"/>
      <c r="AK101" s="350"/>
      <c r="AL101" s="350"/>
      <c r="AM101" s="350"/>
      <c r="AN101" s="332" t="str">
        <f t="shared" si="13"/>
        <v>INTER PARNASKE 651</v>
      </c>
      <c r="AO101" s="334" t="s">
        <v>26</v>
      </c>
      <c r="AP101" s="351">
        <v>45923</v>
      </c>
      <c r="AQ101" s="336" t="s">
        <v>81</v>
      </c>
      <c r="AR101" s="336" t="s">
        <v>67</v>
      </c>
      <c r="AS101" s="337">
        <v>0.53472222222222221</v>
      </c>
      <c r="AT101" s="332"/>
    </row>
    <row r="102" spans="1:46" ht="15" hidden="1" customHeight="1">
      <c r="A102" s="825"/>
      <c r="B102" s="834"/>
      <c r="C102" s="859"/>
      <c r="D102" s="834"/>
      <c r="E102" s="859"/>
      <c r="F102" s="834"/>
      <c r="G102" s="834"/>
      <c r="H102" s="445">
        <f t="shared" si="15"/>
        <v>0.57291666666666663</v>
      </c>
      <c r="I102" s="446">
        <v>0.69791666666666663</v>
      </c>
      <c r="J102" s="447" t="s">
        <v>147</v>
      </c>
      <c r="K102" s="360">
        <v>2</v>
      </c>
      <c r="L102" s="360"/>
      <c r="M102" s="360"/>
      <c r="N102" s="360"/>
      <c r="O102" s="373"/>
      <c r="P102" s="410"/>
      <c r="Q102" s="410"/>
      <c r="R102" s="410"/>
      <c r="S102" s="561">
        <v>1</v>
      </c>
      <c r="T102" s="561"/>
      <c r="U102" s="484" t="s">
        <v>153</v>
      </c>
      <c r="V102" s="332"/>
      <c r="W102" s="332"/>
      <c r="X102" s="332"/>
      <c r="Y102" s="332"/>
      <c r="Z102" s="332"/>
      <c r="AA102" s="332"/>
      <c r="AB102" s="493"/>
      <c r="AC102" s="494"/>
      <c r="AD102" s="494"/>
      <c r="AE102" s="495"/>
      <c r="AF102" s="495"/>
      <c r="AG102" s="495"/>
      <c r="AH102" s="495"/>
      <c r="AI102" s="350"/>
      <c r="AJ102" s="350"/>
      <c r="AK102" s="350"/>
      <c r="AL102" s="350"/>
      <c r="AM102" s="350"/>
      <c r="AN102" s="332" t="str">
        <f t="shared" si="13"/>
        <v>INTER PARNASKE 461</v>
      </c>
      <c r="AO102" s="334" t="s">
        <v>26</v>
      </c>
      <c r="AP102" s="351">
        <v>45923</v>
      </c>
      <c r="AQ102" s="336" t="s">
        <v>81</v>
      </c>
      <c r="AR102" s="336" t="s">
        <v>154</v>
      </c>
      <c r="AS102" s="337">
        <v>0.53472222222222221</v>
      </c>
      <c r="AT102" s="332"/>
    </row>
    <row r="103" spans="1:46" ht="15" hidden="1" customHeight="1">
      <c r="A103" s="825"/>
      <c r="B103" s="834"/>
      <c r="C103" s="859"/>
      <c r="D103" s="834"/>
      <c r="E103" s="859"/>
      <c r="F103" s="834"/>
      <c r="G103" s="834"/>
      <c r="H103" s="445">
        <f t="shared" si="15"/>
        <v>0.57638888888888884</v>
      </c>
      <c r="I103" s="446">
        <v>0.70138888888888884</v>
      </c>
      <c r="J103" s="447" t="s">
        <v>64</v>
      </c>
      <c r="K103" s="360"/>
      <c r="L103" s="360"/>
      <c r="M103" s="360">
        <v>26</v>
      </c>
      <c r="N103" s="360"/>
      <c r="O103" s="373"/>
      <c r="P103" s="410"/>
      <c r="Q103" s="410"/>
      <c r="R103" s="410"/>
      <c r="S103" s="410"/>
      <c r="T103" s="410"/>
      <c r="U103" s="332"/>
      <c r="V103" s="332"/>
      <c r="W103" s="332"/>
      <c r="X103" s="332"/>
      <c r="Y103" s="332"/>
      <c r="Z103" s="332"/>
      <c r="AA103" s="332"/>
      <c r="AB103" s="493"/>
      <c r="AC103" s="494"/>
      <c r="AD103" s="494"/>
      <c r="AE103" s="495"/>
      <c r="AF103" s="495"/>
      <c r="AG103" s="495"/>
      <c r="AH103" s="495"/>
      <c r="AI103" s="350"/>
      <c r="AJ103" s="350"/>
      <c r="AK103" s="350"/>
      <c r="AL103" s="350"/>
      <c r="AM103" s="350"/>
      <c r="AN103" s="332" t="str">
        <f t="shared" si="13"/>
        <v>INTER PARNASDL 170</v>
      </c>
      <c r="AO103" s="334" t="s">
        <v>26</v>
      </c>
      <c r="AP103" s="351">
        <v>45923</v>
      </c>
      <c r="AQ103" s="336" t="s">
        <v>81</v>
      </c>
      <c r="AR103" s="336" t="s">
        <v>155</v>
      </c>
      <c r="AS103" s="337">
        <v>0.53472222222222221</v>
      </c>
      <c r="AT103" s="332"/>
    </row>
    <row r="104" spans="1:46" ht="15" hidden="1" customHeight="1">
      <c r="A104" s="825"/>
      <c r="B104" s="834"/>
      <c r="C104" s="859"/>
      <c r="D104" s="834"/>
      <c r="E104" s="859"/>
      <c r="F104" s="834"/>
      <c r="G104" s="834"/>
      <c r="H104" s="419">
        <f t="shared" si="15"/>
        <v>0.57986111111111116</v>
      </c>
      <c r="I104" s="420">
        <v>0.70486111111111116</v>
      </c>
      <c r="J104" s="421" t="s">
        <v>150</v>
      </c>
      <c r="K104" s="355">
        <v>4</v>
      </c>
      <c r="L104" s="355"/>
      <c r="M104" s="355"/>
      <c r="N104" s="355"/>
      <c r="O104" s="356"/>
      <c r="P104" s="423"/>
      <c r="Q104" s="423"/>
      <c r="R104" s="423"/>
      <c r="S104" s="423"/>
      <c r="T104" s="423"/>
      <c r="U104" s="332"/>
      <c r="V104" s="332"/>
      <c r="W104" s="332"/>
      <c r="X104" s="332"/>
      <c r="Y104" s="332"/>
      <c r="Z104" s="332"/>
      <c r="AA104" s="332"/>
      <c r="AB104" s="493"/>
      <c r="AC104" s="494"/>
      <c r="AD104" s="494"/>
      <c r="AE104" s="495"/>
      <c r="AF104" s="495"/>
      <c r="AG104" s="495"/>
      <c r="AH104" s="495"/>
      <c r="AI104" s="350"/>
      <c r="AJ104" s="350"/>
      <c r="AK104" s="350"/>
      <c r="AL104" s="350"/>
      <c r="AM104" s="350"/>
      <c r="AN104" s="332" t="str">
        <f t="shared" si="13"/>
        <v>INTER PARNASKE 645</v>
      </c>
      <c r="AO104" s="334" t="s">
        <v>26</v>
      </c>
      <c r="AP104" s="351">
        <v>45923</v>
      </c>
      <c r="AQ104" s="336" t="s">
        <v>81</v>
      </c>
      <c r="AR104" s="336" t="s">
        <v>156</v>
      </c>
      <c r="AS104" s="337">
        <v>0.53472222222222221</v>
      </c>
      <c r="AT104" s="332"/>
    </row>
    <row r="105" spans="1:46" ht="15" hidden="1" customHeight="1">
      <c r="A105" s="825"/>
      <c r="B105" s="562"/>
      <c r="C105" s="563"/>
      <c r="D105" s="834">
        <f>E105-TIME(0,15,0)</f>
        <v>0.53819444444444442</v>
      </c>
      <c r="E105" s="833">
        <f>F105-TIME(1,15,0)</f>
        <v>0.54861111111111105</v>
      </c>
      <c r="F105" s="832">
        <f>H105</f>
        <v>0.60069444444444442</v>
      </c>
      <c r="G105" s="564"/>
      <c r="H105" s="434">
        <f t="shared" si="15"/>
        <v>0.60069444444444442</v>
      </c>
      <c r="I105" s="435">
        <v>0.72569444444444442</v>
      </c>
      <c r="J105" s="436" t="s">
        <v>65</v>
      </c>
      <c r="K105" s="366"/>
      <c r="L105" s="366"/>
      <c r="M105" s="366">
        <v>14</v>
      </c>
      <c r="N105" s="366"/>
      <c r="O105" s="367">
        <v>33</v>
      </c>
      <c r="P105" s="438"/>
      <c r="Q105" s="438">
        <v>0</v>
      </c>
      <c r="R105" s="438"/>
      <c r="S105" s="546">
        <v>1</v>
      </c>
      <c r="T105" s="546">
        <v>1</v>
      </c>
      <c r="U105" s="484" t="s">
        <v>157</v>
      </c>
      <c r="V105" s="332" t="s">
        <v>158</v>
      </c>
      <c r="W105" s="332"/>
      <c r="X105" s="332"/>
      <c r="Y105" s="332"/>
      <c r="Z105" s="332"/>
      <c r="AA105" s="332"/>
      <c r="AB105" s="493"/>
      <c r="AC105" s="494"/>
      <c r="AD105" s="494"/>
      <c r="AE105" s="495"/>
      <c r="AF105" s="495"/>
      <c r="AG105" s="495"/>
      <c r="AH105" s="495"/>
      <c r="AI105" s="350"/>
      <c r="AJ105" s="350"/>
      <c r="AK105" s="350"/>
      <c r="AL105" s="350"/>
      <c r="AM105" s="350"/>
      <c r="AN105" s="332" t="str">
        <f t="shared" si="13"/>
        <v>INTER PARNASDL 26</v>
      </c>
      <c r="AO105" s="334" t="s">
        <v>26</v>
      </c>
      <c r="AP105" s="351">
        <v>45923</v>
      </c>
      <c r="AQ105" s="336" t="s">
        <v>81</v>
      </c>
      <c r="AR105" s="336" t="s">
        <v>69</v>
      </c>
      <c r="AS105" s="337">
        <v>0.55208333333333337</v>
      </c>
      <c r="AT105" s="332"/>
    </row>
    <row r="106" spans="1:46" ht="15" hidden="1" customHeight="1">
      <c r="A106" s="825"/>
      <c r="B106" s="544"/>
      <c r="C106" s="544"/>
      <c r="D106" s="834"/>
      <c r="E106" s="833"/>
      <c r="F106" s="832"/>
      <c r="G106" s="565"/>
      <c r="H106" s="445">
        <f t="shared" si="15"/>
        <v>0.60069444444444442</v>
      </c>
      <c r="I106" s="446">
        <v>0.72569444444444442</v>
      </c>
      <c r="J106" s="447" t="s">
        <v>151</v>
      </c>
      <c r="K106" s="360"/>
      <c r="L106" s="360"/>
      <c r="M106" s="360"/>
      <c r="N106" s="360"/>
      <c r="O106" s="373"/>
      <c r="P106" s="410"/>
      <c r="Q106" s="410"/>
      <c r="R106" s="410"/>
      <c r="S106" s="410"/>
      <c r="T106" s="410"/>
      <c r="V106" s="332" t="s">
        <v>159</v>
      </c>
      <c r="W106" s="332"/>
      <c r="X106" s="332"/>
      <c r="Y106" s="332"/>
      <c r="Z106" s="332"/>
      <c r="AA106" s="332"/>
      <c r="AB106" s="493"/>
      <c r="AC106" s="494"/>
      <c r="AD106" s="494"/>
      <c r="AE106" s="495"/>
      <c r="AF106" s="495"/>
      <c r="AG106" s="495"/>
      <c r="AH106" s="495"/>
      <c r="AI106" s="350"/>
      <c r="AJ106" s="350"/>
      <c r="AK106" s="350"/>
      <c r="AL106" s="350"/>
      <c r="AM106" s="350"/>
      <c r="AN106" s="332" t="str">
        <f t="shared" si="13"/>
        <v>INTER PARNASKE 623</v>
      </c>
      <c r="AO106" s="334" t="s">
        <v>26</v>
      </c>
      <c r="AP106" s="351">
        <v>45923</v>
      </c>
      <c r="AQ106" s="336" t="s">
        <v>81</v>
      </c>
      <c r="AR106" s="336" t="s">
        <v>160</v>
      </c>
      <c r="AS106" s="337">
        <v>0.55208333333333337</v>
      </c>
      <c r="AT106" s="332"/>
    </row>
    <row r="107" spans="1:46" ht="15" hidden="1" customHeight="1">
      <c r="A107" s="825"/>
      <c r="B107" s="545"/>
      <c r="C107" s="545"/>
      <c r="D107" s="834"/>
      <c r="E107" s="833"/>
      <c r="F107" s="832"/>
      <c r="G107" s="566"/>
      <c r="H107" s="419">
        <f>I107-TIME(3,0,0)</f>
        <v>0.61458333333333337</v>
      </c>
      <c r="I107" s="420">
        <v>0.73958333333333337</v>
      </c>
      <c r="J107" s="421" t="s">
        <v>66</v>
      </c>
      <c r="K107" s="355"/>
      <c r="L107" s="355"/>
      <c r="M107" s="355">
        <v>19</v>
      </c>
      <c r="N107" s="355"/>
      <c r="O107" s="356"/>
      <c r="P107" s="423"/>
      <c r="Q107" s="423"/>
      <c r="R107" s="423"/>
      <c r="S107" s="423"/>
      <c r="T107" s="423"/>
      <c r="V107" s="332"/>
      <c r="W107" s="332"/>
      <c r="X107" s="332"/>
      <c r="Y107" s="332"/>
      <c r="Z107" s="332"/>
      <c r="AA107" s="332"/>
      <c r="AB107" s="493"/>
      <c r="AC107" s="494"/>
      <c r="AD107" s="494"/>
      <c r="AE107" s="495"/>
      <c r="AF107" s="495"/>
      <c r="AG107" s="495"/>
      <c r="AH107" s="495"/>
      <c r="AI107" s="350"/>
      <c r="AJ107" s="350"/>
      <c r="AK107" s="350"/>
      <c r="AL107" s="350"/>
      <c r="AM107" s="350"/>
      <c r="AN107" s="332"/>
      <c r="AO107" s="334"/>
      <c r="AP107" s="351"/>
      <c r="AT107" s="332"/>
    </row>
    <row r="108" spans="1:46" ht="15" hidden="1" customHeight="1">
      <c r="A108" s="825"/>
      <c r="B108" s="848">
        <v>0.50694444444444442</v>
      </c>
      <c r="C108" s="850">
        <v>0.51736111111111105</v>
      </c>
      <c r="D108" s="562"/>
      <c r="E108" s="567"/>
      <c r="F108" s="829">
        <f>H108</f>
        <v>0.60069444444444442</v>
      </c>
      <c r="G108" s="565"/>
      <c r="H108" s="434">
        <f>I108-TIME(3,0,0)</f>
        <v>0.60069444444444442</v>
      </c>
      <c r="I108" s="435">
        <v>0.72569444444444442</v>
      </c>
      <c r="J108" s="436" t="s">
        <v>65</v>
      </c>
      <c r="K108" s="366">
        <v>18</v>
      </c>
      <c r="L108" s="366"/>
      <c r="M108" s="366"/>
      <c r="N108" s="366"/>
      <c r="O108" s="367">
        <v>21</v>
      </c>
      <c r="P108" s="438"/>
      <c r="Q108" s="438"/>
      <c r="R108" s="438"/>
      <c r="S108" s="513">
        <v>1</v>
      </c>
      <c r="T108" s="513"/>
      <c r="U108" s="514" t="s">
        <v>161</v>
      </c>
      <c r="V108" s="332"/>
      <c r="W108" s="332"/>
      <c r="X108" s="332"/>
      <c r="Y108" s="332"/>
      <c r="Z108" s="332"/>
      <c r="AA108" s="332"/>
      <c r="AB108" s="493"/>
      <c r="AC108" s="494"/>
      <c r="AD108" s="494"/>
      <c r="AE108" s="495"/>
      <c r="AF108" s="495"/>
      <c r="AG108" s="495"/>
      <c r="AH108" s="495"/>
      <c r="AI108" s="350"/>
      <c r="AJ108" s="350"/>
      <c r="AK108" s="350"/>
      <c r="AL108" s="350"/>
      <c r="AM108" s="350"/>
      <c r="AN108" s="332"/>
      <c r="AO108" s="334"/>
      <c r="AP108" s="351"/>
      <c r="AT108" s="332"/>
    </row>
    <row r="109" spans="1:46" ht="15" hidden="1" customHeight="1">
      <c r="A109" s="825"/>
      <c r="B109" s="848"/>
      <c r="C109" s="850"/>
      <c r="D109" s="544"/>
      <c r="E109" s="568"/>
      <c r="F109" s="829"/>
      <c r="G109" s="565"/>
      <c r="H109" s="445">
        <f t="shared" si="15"/>
        <v>0.61458333333333337</v>
      </c>
      <c r="I109" s="446">
        <v>0.73958333333333337</v>
      </c>
      <c r="J109" s="447" t="s">
        <v>66</v>
      </c>
      <c r="K109" s="360">
        <v>1</v>
      </c>
      <c r="L109" s="360"/>
      <c r="M109" s="360"/>
      <c r="N109" s="360"/>
      <c r="O109" s="373"/>
      <c r="P109" s="410"/>
      <c r="Q109" s="410"/>
      <c r="R109" s="410"/>
      <c r="S109" s="410"/>
      <c r="T109" s="410"/>
      <c r="U109" s="332"/>
      <c r="V109" s="332"/>
      <c r="W109" s="332"/>
      <c r="X109" s="332"/>
      <c r="Y109" s="332"/>
      <c r="Z109" s="332"/>
      <c r="AA109" s="332"/>
      <c r="AB109" s="493"/>
      <c r="AC109" s="494"/>
      <c r="AD109" s="494"/>
      <c r="AE109" s="495"/>
      <c r="AF109" s="495"/>
      <c r="AG109" s="495"/>
      <c r="AH109" s="495"/>
      <c r="AI109" s="350"/>
      <c r="AJ109" s="350"/>
      <c r="AK109" s="350"/>
      <c r="AL109" s="350"/>
      <c r="AM109" s="350"/>
      <c r="AN109" s="332" t="str">
        <f t="shared" si="13"/>
        <v>INTER PARNASKE 689</v>
      </c>
      <c r="AO109" s="334" t="s">
        <v>26</v>
      </c>
      <c r="AP109" s="351">
        <v>45923</v>
      </c>
      <c r="AQ109" s="336" t="s">
        <v>81</v>
      </c>
      <c r="AR109" s="336" t="s">
        <v>162</v>
      </c>
      <c r="AS109" s="337">
        <v>0.55208333333333337</v>
      </c>
      <c r="AT109" s="332"/>
    </row>
    <row r="110" spans="1:46" ht="15" hidden="1" customHeight="1">
      <c r="A110" s="825"/>
      <c r="B110" s="848"/>
      <c r="C110" s="850"/>
      <c r="D110" s="545"/>
      <c r="E110" s="569"/>
      <c r="F110" s="829"/>
      <c r="G110" s="566"/>
      <c r="H110" s="419">
        <f t="shared" si="15"/>
        <v>0.62152777777777779</v>
      </c>
      <c r="I110" s="420">
        <v>0.74652777777777779</v>
      </c>
      <c r="J110" s="421" t="s">
        <v>152</v>
      </c>
      <c r="K110" s="570">
        <v>2</v>
      </c>
      <c r="L110" s="355"/>
      <c r="M110" s="355"/>
      <c r="N110" s="355"/>
      <c r="O110" s="356"/>
      <c r="P110" s="423"/>
      <c r="Q110" s="423"/>
      <c r="R110" s="423"/>
      <c r="S110" s="423"/>
      <c r="T110" s="423"/>
      <c r="U110" s="332"/>
      <c r="V110" s="332"/>
      <c r="W110" s="332"/>
      <c r="X110" s="332"/>
      <c r="Y110" s="332"/>
      <c r="Z110" s="332"/>
      <c r="AA110" s="332"/>
      <c r="AB110" s="493"/>
      <c r="AC110" s="494"/>
      <c r="AD110" s="494"/>
      <c r="AE110" s="495"/>
      <c r="AF110" s="495"/>
      <c r="AG110" s="495"/>
      <c r="AH110" s="495"/>
      <c r="AI110" s="350"/>
      <c r="AJ110" s="350"/>
      <c r="AK110" s="350"/>
      <c r="AL110" s="350"/>
      <c r="AM110" s="350"/>
      <c r="AN110" s="332" t="str">
        <f t="shared" si="13"/>
        <v>INTER PARNAS7C 2103</v>
      </c>
      <c r="AO110" s="334" t="s">
        <v>26</v>
      </c>
      <c r="AP110" s="351">
        <v>45923</v>
      </c>
      <c r="AQ110" s="336" t="s">
        <v>81</v>
      </c>
      <c r="AR110" s="336" t="s">
        <v>163</v>
      </c>
      <c r="AS110" s="337">
        <v>0.55208333333333337</v>
      </c>
      <c r="AT110" s="332"/>
    </row>
    <row r="111" spans="1:46" ht="15" hidden="1" customHeight="1">
      <c r="A111" s="825"/>
      <c r="B111" s="829">
        <f>C111-TIME(0,15,0)</f>
        <v>0.53472222222222221</v>
      </c>
      <c r="C111" s="830">
        <f>D111-TIME(0,30,0)</f>
        <v>0.54513888888888884</v>
      </c>
      <c r="D111" s="829">
        <f>E111-TIME(0,15,0)</f>
        <v>0.56597222222222221</v>
      </c>
      <c r="E111" s="831">
        <f>G111-TIME(1,15,0)</f>
        <v>0.57638888888888884</v>
      </c>
      <c r="F111" s="853"/>
      <c r="G111" s="829">
        <f>H111</f>
        <v>0.62847222222222221</v>
      </c>
      <c r="H111" s="434">
        <f t="shared" si="15"/>
        <v>0.62847222222222221</v>
      </c>
      <c r="I111" s="435">
        <v>0.75347222222222221</v>
      </c>
      <c r="J111" s="436" t="s">
        <v>67</v>
      </c>
      <c r="K111" s="366"/>
      <c r="L111" s="366">
        <v>1</v>
      </c>
      <c r="M111" s="366"/>
      <c r="N111" s="366"/>
      <c r="O111" s="367">
        <f>SUM(J111:N114)</f>
        <v>11</v>
      </c>
      <c r="P111" s="438"/>
      <c r="Q111" s="513">
        <v>1</v>
      </c>
      <c r="R111" s="513"/>
      <c r="S111" s="513"/>
      <c r="T111" s="513"/>
      <c r="U111" s="514" t="s">
        <v>164</v>
      </c>
      <c r="V111" s="332"/>
      <c r="W111" s="332"/>
      <c r="X111" s="332"/>
      <c r="Y111" s="332"/>
      <c r="Z111" s="332"/>
      <c r="AA111" s="332"/>
      <c r="AB111" s="493"/>
      <c r="AC111" s="494"/>
      <c r="AD111" s="494"/>
      <c r="AE111" s="495"/>
      <c r="AF111" s="495"/>
      <c r="AG111" s="495"/>
      <c r="AH111" s="495"/>
      <c r="AI111" s="350"/>
      <c r="AJ111" s="350"/>
      <c r="AK111" s="350"/>
      <c r="AL111" s="350"/>
      <c r="AM111" s="350"/>
      <c r="AN111" s="332" t="str">
        <f t="shared" si="13"/>
        <v>INTER PARNASAC 62</v>
      </c>
      <c r="AO111" s="334" t="s">
        <v>26</v>
      </c>
      <c r="AP111" s="351">
        <v>45923</v>
      </c>
      <c r="AQ111" s="336" t="s">
        <v>81</v>
      </c>
      <c r="AR111" s="336" t="s">
        <v>71</v>
      </c>
      <c r="AS111" s="337">
        <v>0.55208333333333337</v>
      </c>
      <c r="AT111" s="332"/>
    </row>
    <row r="112" spans="1:46" ht="15" hidden="1" customHeight="1">
      <c r="A112" s="825"/>
      <c r="B112" s="829"/>
      <c r="C112" s="830"/>
      <c r="D112" s="829"/>
      <c r="E112" s="831"/>
      <c r="F112" s="853"/>
      <c r="G112" s="829"/>
      <c r="H112" s="445">
        <f t="shared" si="15"/>
        <v>0.63888888888888884</v>
      </c>
      <c r="I112" s="446">
        <v>0.76388888888888884</v>
      </c>
      <c r="J112" s="447" t="s">
        <v>154</v>
      </c>
      <c r="K112" s="360"/>
      <c r="L112" s="360">
        <v>1</v>
      </c>
      <c r="M112" s="360"/>
      <c r="N112" s="360">
        <v>1</v>
      </c>
      <c r="O112" s="373"/>
      <c r="P112" s="410"/>
      <c r="Q112" s="571">
        <v>1</v>
      </c>
      <c r="R112" s="571"/>
      <c r="S112" s="571"/>
      <c r="T112" s="571"/>
      <c r="U112" s="525" t="s">
        <v>165</v>
      </c>
      <c r="V112" s="332"/>
      <c r="W112" s="332"/>
      <c r="X112" s="332"/>
      <c r="Y112" s="332"/>
      <c r="Z112" s="332"/>
      <c r="AA112" s="332"/>
      <c r="AB112" s="493"/>
      <c r="AC112" s="494"/>
      <c r="AD112" s="494"/>
      <c r="AE112" s="495"/>
      <c r="AF112" s="495"/>
      <c r="AG112" s="495"/>
      <c r="AH112" s="495"/>
      <c r="AI112" s="350"/>
      <c r="AJ112" s="350"/>
      <c r="AK112" s="350"/>
      <c r="AL112" s="350"/>
      <c r="AM112" s="350"/>
      <c r="AN112" s="332" t="str">
        <f t="shared" si="13"/>
        <v>INTER PARNASOZ 703</v>
      </c>
      <c r="AO112" s="334" t="s">
        <v>26</v>
      </c>
      <c r="AP112" s="351">
        <v>45923</v>
      </c>
      <c r="AQ112" s="336" t="s">
        <v>81</v>
      </c>
      <c r="AR112" s="336" t="s">
        <v>72</v>
      </c>
      <c r="AS112" s="337">
        <v>0.55208333333333337</v>
      </c>
      <c r="AT112" s="332"/>
    </row>
    <row r="113" spans="1:46" ht="15" hidden="1" customHeight="1">
      <c r="A113" s="825"/>
      <c r="B113" s="829"/>
      <c r="C113" s="830"/>
      <c r="D113" s="829"/>
      <c r="E113" s="831"/>
      <c r="F113" s="853"/>
      <c r="G113" s="829"/>
      <c r="H113" s="445">
        <f t="shared" si="15"/>
        <v>0.65277777777777779</v>
      </c>
      <c r="I113" s="358">
        <v>0.77777777777777779</v>
      </c>
      <c r="J113" s="360" t="s">
        <v>155</v>
      </c>
      <c r="K113" s="361"/>
      <c r="L113" s="360">
        <v>6</v>
      </c>
      <c r="M113" s="360"/>
      <c r="N113" s="360"/>
      <c r="O113" s="373"/>
      <c r="P113" s="360"/>
      <c r="Q113" s="360"/>
      <c r="R113" s="360"/>
      <c r="S113" s="360"/>
      <c r="T113" s="360"/>
      <c r="U113" s="332"/>
      <c r="V113" s="332"/>
      <c r="W113" s="332"/>
      <c r="X113" s="332"/>
      <c r="Y113" s="332"/>
      <c r="Z113" s="332"/>
      <c r="AA113" s="332"/>
      <c r="AB113" s="332"/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332"/>
      <c r="AN113" s="332" t="str">
        <f t="shared" si="13"/>
        <v>INTER PARNASDL 196</v>
      </c>
      <c r="AO113" s="334" t="s">
        <v>26</v>
      </c>
      <c r="AP113" s="351">
        <v>45923</v>
      </c>
      <c r="AQ113" s="336" t="s">
        <v>81</v>
      </c>
      <c r="AR113" s="336" t="s">
        <v>166</v>
      </c>
      <c r="AS113" s="337">
        <v>0.55208333333333337</v>
      </c>
      <c r="AT113" s="332"/>
    </row>
    <row r="114" spans="1:46" ht="15" hidden="1" customHeight="1">
      <c r="A114" s="825"/>
      <c r="B114" s="829"/>
      <c r="C114" s="830"/>
      <c r="D114" s="829"/>
      <c r="E114" s="831"/>
      <c r="F114" s="853"/>
      <c r="G114" s="829"/>
      <c r="H114" s="419">
        <f t="shared" si="15"/>
        <v>0.65277777777777779</v>
      </c>
      <c r="I114" s="352">
        <v>0.77777777777777779</v>
      </c>
      <c r="J114" s="355" t="s">
        <v>156</v>
      </c>
      <c r="K114" s="572"/>
      <c r="L114" s="355"/>
      <c r="M114" s="355"/>
      <c r="N114" s="355">
        <v>2</v>
      </c>
      <c r="O114" s="356"/>
      <c r="P114" s="355"/>
      <c r="Q114" s="355"/>
      <c r="R114" s="355"/>
      <c r="S114" s="355"/>
      <c r="T114" s="355"/>
      <c r="U114" s="332"/>
      <c r="V114" s="332"/>
      <c r="W114" s="332"/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332"/>
      <c r="AN114" s="332" t="str">
        <f t="shared" si="13"/>
        <v>INTER PARNASDL 172</v>
      </c>
      <c r="AO114" s="334" t="s">
        <v>26</v>
      </c>
      <c r="AP114" s="351">
        <v>45923</v>
      </c>
      <c r="AQ114" s="336" t="s">
        <v>81</v>
      </c>
      <c r="AR114" s="336" t="s">
        <v>73</v>
      </c>
      <c r="AS114" s="337">
        <v>0.60069444444444442</v>
      </c>
      <c r="AT114" s="332"/>
    </row>
    <row r="115" spans="1:46" ht="15" hidden="1" customHeight="1">
      <c r="A115" s="825"/>
      <c r="B115" s="573"/>
      <c r="C115" s="574">
        <f>D115-TIME(0,30,0)</f>
        <v>0.5625</v>
      </c>
      <c r="D115" s="834">
        <f>E115-TIME(0,15,0)</f>
        <v>0.58333333333333337</v>
      </c>
      <c r="E115" s="833">
        <f>F115-TIME(1,15,0)</f>
        <v>0.59375</v>
      </c>
      <c r="F115" s="832">
        <f>G115-TIME(0,20,0)</f>
        <v>0.64583333333333337</v>
      </c>
      <c r="G115" s="834">
        <f>H115</f>
        <v>0.65972222222222221</v>
      </c>
      <c r="H115" s="434">
        <f t="shared" si="15"/>
        <v>0.65972222222222221</v>
      </c>
      <c r="I115" s="365">
        <v>0.78472222222222221</v>
      </c>
      <c r="J115" s="366" t="s">
        <v>69</v>
      </c>
      <c r="K115" s="458"/>
      <c r="L115" s="366">
        <v>6</v>
      </c>
      <c r="M115" s="366"/>
      <c r="N115" s="366">
        <v>7</v>
      </c>
      <c r="O115" s="367">
        <v>25</v>
      </c>
      <c r="P115" s="366"/>
      <c r="Q115" s="366"/>
      <c r="R115" s="366"/>
      <c r="S115" s="575">
        <v>1</v>
      </c>
      <c r="T115" s="575"/>
      <c r="U115" s="514" t="s">
        <v>164</v>
      </c>
      <c r="V115" s="332"/>
      <c r="W115" s="332"/>
      <c r="X115" s="332"/>
      <c r="Y115" s="332"/>
      <c r="Z115" s="332"/>
      <c r="AA115" s="332"/>
      <c r="AB115" s="332"/>
      <c r="AC115" s="332"/>
      <c r="AD115" s="332"/>
      <c r="AE115" s="332"/>
      <c r="AF115" s="332"/>
      <c r="AG115" s="332"/>
      <c r="AH115" s="332"/>
      <c r="AI115" s="332"/>
      <c r="AJ115" s="332"/>
      <c r="AK115" s="332"/>
      <c r="AL115" s="332"/>
      <c r="AM115" s="332"/>
      <c r="AN115" s="332" t="str">
        <f t="shared" si="13"/>
        <v>INTER PARNASKE 477</v>
      </c>
      <c r="AO115" s="334" t="s">
        <v>26</v>
      </c>
      <c r="AP115" s="351">
        <v>45923</v>
      </c>
      <c r="AQ115" s="336" t="s">
        <v>81</v>
      </c>
      <c r="AR115" s="336" t="s">
        <v>167</v>
      </c>
      <c r="AS115" s="337">
        <v>0.60069444444444442</v>
      </c>
      <c r="AT115" s="332"/>
    </row>
    <row r="116" spans="1:46" ht="15" hidden="1" customHeight="1">
      <c r="A116" s="825"/>
      <c r="B116" s="544"/>
      <c r="C116" s="544"/>
      <c r="D116" s="834"/>
      <c r="E116" s="833"/>
      <c r="F116" s="832"/>
      <c r="G116" s="834"/>
      <c r="H116" s="445">
        <f t="shared" si="15"/>
        <v>0.65972222222222221</v>
      </c>
      <c r="I116" s="358">
        <v>0.78472222222222221</v>
      </c>
      <c r="J116" s="360" t="s">
        <v>160</v>
      </c>
      <c r="K116" s="360"/>
      <c r="L116" s="360"/>
      <c r="M116" s="360"/>
      <c r="N116" s="360">
        <v>2</v>
      </c>
      <c r="O116" s="373"/>
      <c r="P116" s="360"/>
      <c r="Q116" s="360"/>
      <c r="R116" s="360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 t="str">
        <f t="shared" si="13"/>
        <v>INTER PARNASKE 615</v>
      </c>
      <c r="AO116" s="334" t="s">
        <v>26</v>
      </c>
      <c r="AP116" s="351">
        <v>45923</v>
      </c>
      <c r="AQ116" s="336" t="s">
        <v>81</v>
      </c>
      <c r="AR116" s="336" t="s">
        <v>168</v>
      </c>
      <c r="AS116" s="337">
        <v>0.60069444444444442</v>
      </c>
      <c r="AT116" s="332"/>
    </row>
    <row r="117" spans="1:46" ht="15" hidden="1" customHeight="1">
      <c r="A117" s="825"/>
      <c r="B117" s="544"/>
      <c r="C117" s="544"/>
      <c r="D117" s="834"/>
      <c r="E117" s="833"/>
      <c r="F117" s="832"/>
      <c r="G117" s="834"/>
      <c r="H117" s="445">
        <f t="shared" si="15"/>
        <v>0.65972222222222221</v>
      </c>
      <c r="I117" s="358">
        <v>0.78472222222222221</v>
      </c>
      <c r="J117" s="360" t="s">
        <v>162</v>
      </c>
      <c r="K117" s="360"/>
      <c r="L117" s="360">
        <v>8</v>
      </c>
      <c r="M117" s="360"/>
      <c r="N117" s="360"/>
      <c r="O117" s="373"/>
      <c r="P117" s="360"/>
      <c r="Q117" s="360"/>
      <c r="R117" s="360"/>
      <c r="S117" s="360"/>
      <c r="T117" s="360"/>
      <c r="U117" s="332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 t="str">
        <f t="shared" si="13"/>
        <v>INTER PARNASKE 625</v>
      </c>
      <c r="AO117" s="334" t="s">
        <v>26</v>
      </c>
      <c r="AP117" s="351">
        <v>45923</v>
      </c>
      <c r="AQ117" s="336" t="s">
        <v>81</v>
      </c>
      <c r="AR117" s="336" t="s">
        <v>75</v>
      </c>
      <c r="AS117" s="337">
        <v>0.60069444444444442</v>
      </c>
      <c r="AT117" s="332"/>
    </row>
    <row r="118" spans="1:46" ht="15" hidden="1" customHeight="1">
      <c r="A118" s="825"/>
      <c r="B118" s="544"/>
      <c r="C118" s="544"/>
      <c r="D118" s="834"/>
      <c r="E118" s="833"/>
      <c r="F118" s="832"/>
      <c r="G118" s="834"/>
      <c r="H118" s="419">
        <f>I118-TIME(3,0,0)</f>
        <v>0.68055555555555558</v>
      </c>
      <c r="I118" s="352">
        <v>0.80555555555555558</v>
      </c>
      <c r="J118" s="355" t="s">
        <v>166</v>
      </c>
      <c r="K118" s="355"/>
      <c r="L118" s="355">
        <v>2</v>
      </c>
      <c r="M118" s="355"/>
      <c r="N118" s="355"/>
      <c r="O118" s="356"/>
      <c r="P118" s="355"/>
      <c r="Q118" s="355"/>
      <c r="R118" s="355"/>
      <c r="S118" s="355"/>
      <c r="T118" s="355"/>
      <c r="U118" s="332"/>
      <c r="V118" s="332"/>
      <c r="W118" s="332"/>
      <c r="X118" s="332"/>
      <c r="Y118" s="332"/>
      <c r="Z118" s="332"/>
      <c r="AA118" s="332"/>
      <c r="AB118" s="332"/>
      <c r="AC118" s="332"/>
      <c r="AD118" s="332"/>
      <c r="AE118" s="332"/>
      <c r="AF118" s="332"/>
      <c r="AG118" s="332"/>
      <c r="AH118" s="332"/>
      <c r="AI118" s="332"/>
      <c r="AJ118" s="332"/>
      <c r="AK118" s="332"/>
      <c r="AL118" s="332"/>
      <c r="AM118" s="332"/>
      <c r="AN118" s="332"/>
      <c r="AO118" s="334"/>
      <c r="AP118" s="351"/>
      <c r="AT118" s="332"/>
    </row>
    <row r="119" spans="1:46" ht="15" hidden="1" customHeight="1">
      <c r="A119" s="825"/>
      <c r="B119" s="834">
        <v>0.55208333333333337</v>
      </c>
      <c r="C119" s="859">
        <v>0.5625</v>
      </c>
      <c r="D119" s="573"/>
      <c r="E119" s="576"/>
      <c r="F119" s="832">
        <v>0.64583333333333337</v>
      </c>
      <c r="G119" s="834">
        <v>0.65972222222222221</v>
      </c>
      <c r="H119" s="434">
        <f t="shared" si="15"/>
        <v>0.67013888888888884</v>
      </c>
      <c r="I119" s="365">
        <v>0.79513888888888884</v>
      </c>
      <c r="J119" s="366" t="s">
        <v>163</v>
      </c>
      <c r="K119" s="366"/>
      <c r="L119" s="366"/>
      <c r="M119" s="366">
        <v>5</v>
      </c>
      <c r="N119" s="366"/>
      <c r="O119" s="367">
        <v>19</v>
      </c>
      <c r="P119" s="366"/>
      <c r="Q119" s="366"/>
      <c r="R119" s="366"/>
      <c r="S119" s="577">
        <v>1</v>
      </c>
      <c r="T119" s="577"/>
      <c r="U119" s="514" t="s">
        <v>136</v>
      </c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 t="str">
        <f t="shared" si="13"/>
        <v>INTER PARNASDL 7833</v>
      </c>
      <c r="AO119" s="334" t="s">
        <v>26</v>
      </c>
      <c r="AP119" s="351">
        <v>45923</v>
      </c>
      <c r="AQ119" s="336" t="s">
        <v>81</v>
      </c>
      <c r="AR119" s="336" t="s">
        <v>169</v>
      </c>
      <c r="AS119" s="337">
        <v>0.61805555555555558</v>
      </c>
      <c r="AT119" s="332"/>
    </row>
    <row r="120" spans="1:46" ht="15" hidden="1" customHeight="1">
      <c r="A120" s="825"/>
      <c r="B120" s="834"/>
      <c r="C120" s="859"/>
      <c r="D120" s="544"/>
      <c r="E120" s="568"/>
      <c r="F120" s="832"/>
      <c r="G120" s="834"/>
      <c r="H120" s="445">
        <f t="shared" si="15"/>
        <v>0.67013888888888884</v>
      </c>
      <c r="I120" s="358">
        <v>0.79513888888888884</v>
      </c>
      <c r="J120" s="360" t="s">
        <v>71</v>
      </c>
      <c r="K120" s="360">
        <v>4</v>
      </c>
      <c r="L120" s="360"/>
      <c r="M120" s="360">
        <v>5</v>
      </c>
      <c r="N120" s="360"/>
      <c r="O120" s="373"/>
      <c r="P120" s="360"/>
      <c r="Q120" s="360"/>
      <c r="R120" s="360"/>
      <c r="S120" s="360"/>
      <c r="T120" s="360"/>
      <c r="U120" s="332"/>
      <c r="V120" s="332"/>
      <c r="W120" s="332"/>
      <c r="X120" s="332"/>
      <c r="Y120" s="332"/>
      <c r="Z120" s="332"/>
      <c r="AA120" s="332"/>
      <c r="AB120" s="332"/>
      <c r="AC120" s="332"/>
      <c r="AD120" s="332"/>
      <c r="AE120" s="332"/>
      <c r="AF120" s="332"/>
      <c r="AG120" s="332"/>
      <c r="AH120" s="332"/>
      <c r="AI120" s="332"/>
      <c r="AJ120" s="332"/>
      <c r="AK120" s="332"/>
      <c r="AL120" s="332"/>
      <c r="AM120" s="332"/>
      <c r="AN120" s="332" t="str">
        <f t="shared" si="13"/>
        <v>INTER PARNASKE 11</v>
      </c>
      <c r="AO120" s="334" t="s">
        <v>26</v>
      </c>
      <c r="AP120" s="351">
        <v>45923</v>
      </c>
      <c r="AQ120" s="336" t="s">
        <v>81</v>
      </c>
      <c r="AR120" s="336" t="s">
        <v>170</v>
      </c>
      <c r="AS120" s="337">
        <v>0.61805555555555558</v>
      </c>
      <c r="AT120" s="332"/>
    </row>
    <row r="121" spans="1:46" ht="15" hidden="1" customHeight="1">
      <c r="A121" s="825"/>
      <c r="B121" s="834"/>
      <c r="C121" s="859"/>
      <c r="D121" s="545"/>
      <c r="E121" s="578"/>
      <c r="F121" s="832"/>
      <c r="G121" s="834"/>
      <c r="H121" s="419">
        <f t="shared" si="15"/>
        <v>0.67708333333333337</v>
      </c>
      <c r="I121" s="352">
        <v>0.80208333333333337</v>
      </c>
      <c r="J121" s="355" t="s">
        <v>72</v>
      </c>
      <c r="K121" s="355"/>
      <c r="L121" s="355"/>
      <c r="M121" s="355">
        <v>5</v>
      </c>
      <c r="N121" s="355"/>
      <c r="O121" s="356"/>
      <c r="P121" s="355"/>
      <c r="Q121" s="355"/>
      <c r="R121" s="355"/>
      <c r="S121" s="355"/>
      <c r="T121" s="355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  <c r="AE121" s="332"/>
      <c r="AF121" s="332"/>
      <c r="AG121" s="332"/>
      <c r="AH121" s="332"/>
      <c r="AI121" s="332"/>
      <c r="AJ121" s="332"/>
      <c r="AK121" s="332"/>
      <c r="AL121" s="332"/>
      <c r="AM121" s="332"/>
      <c r="AN121" s="332" t="str">
        <f t="shared" si="13"/>
        <v>INTER PARNASPR 469</v>
      </c>
      <c r="AO121" s="334" t="s">
        <v>26</v>
      </c>
      <c r="AP121" s="351">
        <v>45923</v>
      </c>
      <c r="AQ121" s="336" t="s">
        <v>81</v>
      </c>
      <c r="AR121" s="336" t="s">
        <v>171</v>
      </c>
      <c r="AS121" s="337">
        <v>0.61805555555555558</v>
      </c>
      <c r="AT121" s="332"/>
    </row>
    <row r="122" spans="1:46" ht="15" hidden="1" customHeight="1">
      <c r="A122" s="825"/>
      <c r="B122" s="829">
        <f>C122-TIME(0,15,0)</f>
        <v>0.60069444444444442</v>
      </c>
      <c r="C122" s="830">
        <f>D122-TIME(0,30,0)</f>
        <v>0.61111111111111105</v>
      </c>
      <c r="D122" s="829">
        <f>E122-TIME(0,15,0)</f>
        <v>0.63194444444444442</v>
      </c>
      <c r="E122" s="831">
        <f>G122-TIME(1,15,0)</f>
        <v>0.64236111111111105</v>
      </c>
      <c r="F122" s="846"/>
      <c r="G122" s="829">
        <f>H123</f>
        <v>0.69444444444444442</v>
      </c>
      <c r="H122" s="434">
        <f>I122-TIME(3,0,0)</f>
        <v>0.6875</v>
      </c>
      <c r="I122" s="365">
        <v>0.8125</v>
      </c>
      <c r="J122" s="366" t="s">
        <v>172</v>
      </c>
      <c r="K122" s="366"/>
      <c r="L122" s="366"/>
      <c r="M122" s="366"/>
      <c r="N122" s="366">
        <v>1</v>
      </c>
      <c r="O122" s="367">
        <f>SUM(K122:N126)</f>
        <v>22</v>
      </c>
      <c r="P122" s="366"/>
      <c r="Q122" s="366"/>
      <c r="R122" s="366"/>
      <c r="S122" s="575">
        <v>1</v>
      </c>
      <c r="T122" s="575"/>
      <c r="U122" s="514" t="s">
        <v>164</v>
      </c>
      <c r="V122" s="332"/>
      <c r="W122" s="332"/>
      <c r="X122" s="332"/>
      <c r="Y122" s="332"/>
      <c r="Z122" s="332"/>
      <c r="AA122" s="332"/>
      <c r="AB122" s="332"/>
      <c r="AC122" s="332"/>
      <c r="AD122" s="332"/>
      <c r="AE122" s="332"/>
      <c r="AF122" s="332"/>
      <c r="AG122" s="332"/>
      <c r="AH122" s="332"/>
      <c r="AI122" s="332"/>
      <c r="AJ122" s="332"/>
      <c r="AK122" s="332"/>
      <c r="AL122" s="332"/>
      <c r="AM122" s="332"/>
      <c r="AN122" s="332" t="str">
        <f t="shared" si="13"/>
        <v>INTER PARNASWS 87</v>
      </c>
      <c r="AO122" s="334" t="s">
        <v>26</v>
      </c>
      <c r="AP122" s="351">
        <v>45923</v>
      </c>
      <c r="AQ122" s="336" t="s">
        <v>81</v>
      </c>
      <c r="AR122" s="336" t="s">
        <v>77</v>
      </c>
      <c r="AS122" s="337">
        <v>0.61805555555555558</v>
      </c>
      <c r="AT122" s="332"/>
    </row>
    <row r="123" spans="1:46" ht="15" hidden="1" customHeight="1">
      <c r="A123" s="825"/>
      <c r="B123" s="829"/>
      <c r="C123" s="830"/>
      <c r="D123" s="829"/>
      <c r="E123" s="831"/>
      <c r="F123" s="846"/>
      <c r="G123" s="829"/>
      <c r="H123" s="445">
        <f t="shared" ref="H123:H141" si="16">I123-TIME(3,0,0)</f>
        <v>0.69444444444444442</v>
      </c>
      <c r="I123" s="358">
        <v>0.81944444444444442</v>
      </c>
      <c r="J123" s="360" t="s">
        <v>73</v>
      </c>
      <c r="K123" s="360"/>
      <c r="L123" s="360">
        <v>2</v>
      </c>
      <c r="M123" s="360"/>
      <c r="N123" s="360">
        <v>12</v>
      </c>
      <c r="O123" s="373"/>
      <c r="P123" s="360"/>
      <c r="Q123" s="360"/>
      <c r="R123" s="360"/>
      <c r="S123" s="360"/>
      <c r="T123" s="360"/>
      <c r="U123" s="332"/>
      <c r="V123" s="332"/>
      <c r="W123" s="332"/>
      <c r="X123" s="332"/>
      <c r="Y123" s="332"/>
      <c r="Z123" s="332"/>
      <c r="AA123" s="332"/>
      <c r="AB123" s="332"/>
      <c r="AC123" s="332"/>
      <c r="AD123" s="332"/>
      <c r="AE123" s="332"/>
      <c r="AF123" s="332"/>
      <c r="AG123" s="332"/>
      <c r="AH123" s="332"/>
      <c r="AI123" s="332"/>
      <c r="AJ123" s="332"/>
      <c r="AK123" s="332"/>
      <c r="AL123" s="332"/>
      <c r="AM123" s="332"/>
      <c r="AN123" s="332" t="str">
        <f t="shared" si="13"/>
        <v>INTER PARNAS7C 2113</v>
      </c>
      <c r="AO123" s="334" t="s">
        <v>26</v>
      </c>
      <c r="AP123" s="351">
        <v>45923</v>
      </c>
      <c r="AQ123" s="336" t="s">
        <v>81</v>
      </c>
      <c r="AR123" s="336" t="s">
        <v>173</v>
      </c>
      <c r="AS123" s="337">
        <v>0.61805555555555558</v>
      </c>
      <c r="AT123" s="332"/>
    </row>
    <row r="124" spans="1:46" ht="15" hidden="1" customHeight="1">
      <c r="A124" s="825"/>
      <c r="B124" s="829"/>
      <c r="C124" s="830"/>
      <c r="D124" s="829"/>
      <c r="E124" s="831"/>
      <c r="F124" s="846"/>
      <c r="G124" s="829"/>
      <c r="H124" s="445">
        <f t="shared" si="16"/>
        <v>0.69791666666666663</v>
      </c>
      <c r="I124" s="358">
        <v>0.82291666666666663</v>
      </c>
      <c r="J124" s="360" t="s">
        <v>167</v>
      </c>
      <c r="K124" s="360"/>
      <c r="L124" s="360">
        <v>2</v>
      </c>
      <c r="M124" s="360"/>
      <c r="N124" s="360"/>
      <c r="O124" s="373"/>
      <c r="P124" s="360"/>
      <c r="Q124" s="360"/>
      <c r="R124" s="360"/>
      <c r="S124" s="360"/>
      <c r="T124" s="360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2"/>
      <c r="AK124" s="332"/>
      <c r="AL124" s="332"/>
      <c r="AM124" s="332"/>
      <c r="AN124" s="332" t="str">
        <f t="shared" si="13"/>
        <v>INTER PARNASOZ 212</v>
      </c>
      <c r="AO124" s="334" t="s">
        <v>26</v>
      </c>
      <c r="AP124" s="351">
        <v>45923</v>
      </c>
      <c r="AQ124" s="336" t="s">
        <v>81</v>
      </c>
      <c r="AR124" s="336" t="s">
        <v>174</v>
      </c>
      <c r="AS124" s="337">
        <v>0.61805555555555558</v>
      </c>
      <c r="AT124" s="332"/>
    </row>
    <row r="125" spans="1:46" ht="15" hidden="1" customHeight="1">
      <c r="A125" s="825"/>
      <c r="B125" s="829"/>
      <c r="C125" s="830"/>
      <c r="D125" s="829"/>
      <c r="E125" s="831"/>
      <c r="F125" s="846"/>
      <c r="G125" s="829"/>
      <c r="H125" s="445">
        <f t="shared" si="16"/>
        <v>0.71180555555555558</v>
      </c>
      <c r="I125" s="358">
        <v>0.83680555555555558</v>
      </c>
      <c r="J125" s="360" t="s">
        <v>168</v>
      </c>
      <c r="K125" s="360"/>
      <c r="L125" s="360"/>
      <c r="M125" s="360"/>
      <c r="N125" s="360">
        <v>3</v>
      </c>
      <c r="O125" s="373"/>
      <c r="P125" s="360"/>
      <c r="Q125" s="360"/>
      <c r="R125" s="360"/>
      <c r="S125" s="360"/>
      <c r="T125" s="360"/>
      <c r="U125" s="332"/>
      <c r="V125" s="332"/>
      <c r="W125" s="332"/>
      <c r="X125" s="332"/>
      <c r="Y125" s="332"/>
      <c r="Z125" s="332"/>
      <c r="AA125" s="332"/>
      <c r="AB125" s="332"/>
      <c r="AC125" s="332"/>
      <c r="AD125" s="332"/>
      <c r="AE125" s="332"/>
      <c r="AF125" s="332"/>
      <c r="AG125" s="332"/>
      <c r="AH125" s="332"/>
      <c r="AI125" s="332"/>
      <c r="AJ125" s="332"/>
      <c r="AK125" s="332"/>
      <c r="AL125" s="332"/>
      <c r="AM125" s="332"/>
      <c r="AN125" s="332" t="str">
        <f t="shared" si="13"/>
        <v>INTER PARNAS7C 2125</v>
      </c>
      <c r="AO125" s="334" t="s">
        <v>26</v>
      </c>
      <c r="AP125" s="351">
        <v>45923</v>
      </c>
      <c r="AQ125" s="336" t="s">
        <v>81</v>
      </c>
      <c r="AR125" s="336" t="s">
        <v>175</v>
      </c>
      <c r="AS125" s="337">
        <v>0.65277777777777779</v>
      </c>
      <c r="AT125" s="332"/>
    </row>
    <row r="126" spans="1:46" ht="15" hidden="1" customHeight="1">
      <c r="A126" s="825"/>
      <c r="B126" s="829"/>
      <c r="C126" s="830"/>
      <c r="D126" s="829"/>
      <c r="E126" s="831"/>
      <c r="F126" s="846"/>
      <c r="G126" s="829"/>
      <c r="H126" s="419">
        <f t="shared" si="16"/>
        <v>0.71875</v>
      </c>
      <c r="I126" s="352">
        <v>0.84375</v>
      </c>
      <c r="J126" s="355" t="s">
        <v>75</v>
      </c>
      <c r="K126" s="355"/>
      <c r="L126" s="355"/>
      <c r="M126" s="355"/>
      <c r="N126" s="355">
        <v>2</v>
      </c>
      <c r="O126" s="356"/>
      <c r="P126" s="355"/>
      <c r="Q126" s="355"/>
      <c r="R126" s="355"/>
      <c r="S126" s="355"/>
      <c r="T126" s="355"/>
      <c r="U126" s="332"/>
      <c r="V126" s="332"/>
      <c r="W126" s="332"/>
      <c r="X126" s="332"/>
      <c r="Y126" s="332"/>
      <c r="Z126" s="332"/>
      <c r="AA126" s="332"/>
      <c r="AB126" s="332"/>
      <c r="AC126" s="332"/>
      <c r="AD126" s="332"/>
      <c r="AE126" s="332"/>
      <c r="AF126" s="332"/>
      <c r="AG126" s="332"/>
      <c r="AH126" s="332"/>
      <c r="AI126" s="332"/>
      <c r="AJ126" s="332"/>
      <c r="AK126" s="332"/>
      <c r="AL126" s="332"/>
      <c r="AM126" s="332"/>
      <c r="AN126" s="332" t="str">
        <f t="shared" si="13"/>
        <v>INTER PARNASOZ 709</v>
      </c>
      <c r="AO126" s="334" t="s">
        <v>26</v>
      </c>
      <c r="AP126" s="351">
        <v>45923</v>
      </c>
      <c r="AQ126" s="336" t="s">
        <v>81</v>
      </c>
      <c r="AR126" s="336" t="s">
        <v>176</v>
      </c>
      <c r="AS126" s="337">
        <v>0.65277777777777779</v>
      </c>
      <c r="AT126" s="332"/>
    </row>
    <row r="127" spans="1:46" ht="15" hidden="1" customHeight="1">
      <c r="A127" s="825"/>
      <c r="B127" s="868">
        <f>C127-TIME(0,15,0)</f>
        <v>0.61805555555555558</v>
      </c>
      <c r="C127" s="869">
        <f>D127-TIME(0,30,0)</f>
        <v>0.62847222222222221</v>
      </c>
      <c r="D127" s="832">
        <f>E127-TIME(0,15,0)</f>
        <v>0.64930555555555558</v>
      </c>
      <c r="E127" s="831">
        <f>F127-TIME(1,15,0)</f>
        <v>0.65972222222222221</v>
      </c>
      <c r="F127" s="829">
        <f>G127-TIME(0,20,0)</f>
        <v>0.71180555555555558</v>
      </c>
      <c r="G127" s="829">
        <f>H127</f>
        <v>0.72569444444444442</v>
      </c>
      <c r="H127" s="434">
        <f t="shared" si="16"/>
        <v>0.72569444444444442</v>
      </c>
      <c r="I127" s="365">
        <v>0.85069444444444442</v>
      </c>
      <c r="J127" s="366" t="s">
        <v>169</v>
      </c>
      <c r="K127" s="366"/>
      <c r="L127" s="366"/>
      <c r="M127" s="366"/>
      <c r="N127" s="366">
        <v>2</v>
      </c>
      <c r="O127" s="579">
        <f>SUM(K127:N130)+SUM(K131:N132)</f>
        <v>19</v>
      </c>
      <c r="P127" s="366"/>
      <c r="Q127" s="366"/>
      <c r="R127" s="366"/>
      <c r="S127" s="580">
        <v>1</v>
      </c>
      <c r="T127" s="580"/>
      <c r="U127" s="484" t="s">
        <v>148</v>
      </c>
      <c r="V127" s="332"/>
      <c r="W127" s="332"/>
      <c r="X127" s="332"/>
      <c r="Y127" s="332"/>
      <c r="Z127" s="332"/>
      <c r="AA127" s="332"/>
      <c r="AB127" s="332"/>
      <c r="AC127" s="332"/>
      <c r="AD127" s="332"/>
      <c r="AE127" s="332"/>
      <c r="AF127" s="332"/>
      <c r="AG127" s="332"/>
      <c r="AH127" s="332"/>
      <c r="AI127" s="332"/>
      <c r="AJ127" s="332"/>
      <c r="AK127" s="332"/>
      <c r="AL127" s="332"/>
      <c r="AM127" s="332"/>
      <c r="AN127" s="332" t="str">
        <f t="shared" si="13"/>
        <v>INTER PARNASYP 131</v>
      </c>
      <c r="AO127" s="334" t="s">
        <v>26</v>
      </c>
      <c r="AP127" s="351">
        <v>45923</v>
      </c>
      <c r="AQ127" s="336" t="s">
        <v>81</v>
      </c>
      <c r="AR127" s="336" t="s">
        <v>177</v>
      </c>
      <c r="AS127" s="337">
        <v>0.65277777777777779</v>
      </c>
      <c r="AT127" s="332"/>
    </row>
    <row r="128" spans="1:46" ht="15" hidden="1" customHeight="1">
      <c r="A128" s="825"/>
      <c r="B128" s="868"/>
      <c r="C128" s="869"/>
      <c r="D128" s="832"/>
      <c r="E128" s="831"/>
      <c r="F128" s="829"/>
      <c r="G128" s="829"/>
      <c r="H128" s="445">
        <f t="shared" si="16"/>
        <v>0.72569444444444442</v>
      </c>
      <c r="I128" s="358">
        <v>0.85069444444444442</v>
      </c>
      <c r="J128" s="360" t="s">
        <v>170</v>
      </c>
      <c r="K128" s="360"/>
      <c r="L128" s="360"/>
      <c r="M128" s="360"/>
      <c r="N128" s="360">
        <v>3</v>
      </c>
      <c r="O128" s="373"/>
      <c r="P128" s="360"/>
      <c r="Q128" s="360"/>
      <c r="R128" s="360"/>
      <c r="S128" s="360"/>
      <c r="T128" s="360"/>
      <c r="U128" s="332"/>
      <c r="V128" s="332"/>
      <c r="W128" s="332"/>
      <c r="X128" s="332"/>
      <c r="Y128" s="332"/>
      <c r="Z128" s="332"/>
      <c r="AA128" s="332"/>
      <c r="AB128" s="332"/>
      <c r="AC128" s="332"/>
      <c r="AD128" s="332"/>
      <c r="AE128" s="332"/>
      <c r="AF128" s="332"/>
      <c r="AG128" s="332"/>
      <c r="AH128" s="332"/>
      <c r="AI128" s="332"/>
      <c r="AJ128" s="332"/>
      <c r="AK128" s="332"/>
      <c r="AL128" s="332"/>
      <c r="AM128" s="332"/>
      <c r="AN128" s="332" t="str">
        <f t="shared" si="13"/>
        <v>INTER PARNAS7C 2107</v>
      </c>
      <c r="AO128" s="334" t="s">
        <v>26</v>
      </c>
      <c r="AP128" s="351">
        <v>45923</v>
      </c>
      <c r="AQ128" s="336" t="s">
        <v>81</v>
      </c>
      <c r="AR128" s="336" t="s">
        <v>178</v>
      </c>
      <c r="AS128" s="337">
        <v>0.65277777777777779</v>
      </c>
      <c r="AT128" s="332"/>
    </row>
    <row r="129" spans="1:46" ht="15" hidden="1" customHeight="1">
      <c r="A129" s="825"/>
      <c r="B129" s="868"/>
      <c r="C129" s="869"/>
      <c r="D129" s="832"/>
      <c r="E129" s="831"/>
      <c r="F129" s="829"/>
      <c r="G129" s="829"/>
      <c r="H129" s="445">
        <f t="shared" si="16"/>
        <v>0.72916666666666663</v>
      </c>
      <c r="I129" s="358">
        <v>0.85416666666666663</v>
      </c>
      <c r="J129" s="360" t="s">
        <v>171</v>
      </c>
      <c r="K129" s="360"/>
      <c r="L129" s="360"/>
      <c r="M129" s="360">
        <v>3</v>
      </c>
      <c r="N129" s="360"/>
      <c r="O129" s="373"/>
      <c r="P129" s="360"/>
      <c r="Q129" s="360"/>
      <c r="R129" s="360"/>
      <c r="S129" s="360"/>
      <c r="T129" s="360"/>
      <c r="U129" s="332"/>
      <c r="V129" s="332"/>
      <c r="W129" s="332"/>
      <c r="X129" s="332"/>
      <c r="Y129" s="332"/>
      <c r="Z129" s="332"/>
      <c r="AA129" s="332"/>
      <c r="AB129" s="332"/>
      <c r="AC129" s="332"/>
      <c r="AD129" s="332"/>
      <c r="AE129" s="332"/>
      <c r="AF129" s="332"/>
      <c r="AG129" s="332"/>
      <c r="AH129" s="332"/>
      <c r="AI129" s="332"/>
      <c r="AJ129" s="332"/>
      <c r="AK129" s="332"/>
      <c r="AL129" s="332"/>
      <c r="AM129" s="332"/>
      <c r="AN129" s="332" t="str">
        <f t="shared" si="13"/>
        <v>INTER PARNASJQ 48</v>
      </c>
      <c r="AO129" s="334" t="s">
        <v>26</v>
      </c>
      <c r="AP129" s="351">
        <v>45923</v>
      </c>
      <c r="AQ129" s="336" t="s">
        <v>81</v>
      </c>
      <c r="AR129" s="336" t="s">
        <v>179</v>
      </c>
      <c r="AS129" s="337">
        <v>0.67361111111111116</v>
      </c>
      <c r="AT129" s="332"/>
    </row>
    <row r="130" spans="1:46" ht="15" hidden="1" customHeight="1">
      <c r="A130" s="825"/>
      <c r="B130" s="868"/>
      <c r="C130" s="869"/>
      <c r="D130" s="832"/>
      <c r="E130" s="831"/>
      <c r="F130" s="829"/>
      <c r="G130" s="829"/>
      <c r="H130" s="445">
        <f t="shared" si="16"/>
        <v>0.73611111111111116</v>
      </c>
      <c r="I130" s="358">
        <v>0.86111111111111116</v>
      </c>
      <c r="J130" s="360" t="s">
        <v>180</v>
      </c>
      <c r="K130" s="360"/>
      <c r="L130" s="360"/>
      <c r="M130" s="360">
        <v>2</v>
      </c>
      <c r="N130" s="360"/>
      <c r="O130" s="373"/>
      <c r="P130" s="360"/>
      <c r="Q130" s="360"/>
      <c r="R130" s="360"/>
      <c r="S130" s="360"/>
      <c r="T130" s="360"/>
      <c r="U130" s="332"/>
      <c r="V130" s="332"/>
      <c r="W130" s="332"/>
      <c r="X130" s="332"/>
      <c r="Y130" s="332"/>
      <c r="Z130" s="332"/>
      <c r="AA130" s="332"/>
      <c r="AB130" s="332"/>
      <c r="AC130" s="332"/>
      <c r="AD130" s="332"/>
      <c r="AE130" s="332"/>
      <c r="AF130" s="332"/>
      <c r="AG130" s="332"/>
      <c r="AH130" s="332"/>
      <c r="AI130" s="332"/>
      <c r="AJ130" s="332"/>
      <c r="AK130" s="332"/>
      <c r="AL130" s="332"/>
      <c r="AM130" s="332"/>
      <c r="AN130" s="332" t="str">
        <f t="shared" si="13"/>
        <v>INTER PARNASOZ 707</v>
      </c>
      <c r="AO130" s="334" t="s">
        <v>26</v>
      </c>
      <c r="AP130" s="351">
        <v>45923</v>
      </c>
      <c r="AQ130" s="336" t="s">
        <v>81</v>
      </c>
      <c r="AR130" s="336" t="s">
        <v>181</v>
      </c>
      <c r="AS130" s="337">
        <v>0.67361111111111116</v>
      </c>
      <c r="AT130" s="332"/>
    </row>
    <row r="131" spans="1:46" ht="15" hidden="1" customHeight="1">
      <c r="A131" s="825"/>
      <c r="B131" s="868"/>
      <c r="C131" s="869"/>
      <c r="D131" s="832"/>
      <c r="E131" s="831"/>
      <c r="F131" s="829"/>
      <c r="G131" s="829"/>
      <c r="H131" s="445">
        <f t="shared" si="16"/>
        <v>0.74305555555555558</v>
      </c>
      <c r="I131" s="358">
        <v>0.86805555555555558</v>
      </c>
      <c r="J131" s="360" t="s">
        <v>173</v>
      </c>
      <c r="K131" s="360"/>
      <c r="L131" s="360"/>
      <c r="M131" s="360">
        <v>3</v>
      </c>
      <c r="N131" s="360"/>
      <c r="O131" s="373"/>
      <c r="P131" s="360"/>
      <c r="Q131" s="360"/>
      <c r="R131" s="360"/>
      <c r="S131" s="360"/>
      <c r="T131" s="360"/>
      <c r="U131" s="332"/>
      <c r="V131" s="332"/>
      <c r="W131" s="332"/>
      <c r="X131" s="332"/>
      <c r="Y131" s="332"/>
      <c r="Z131" s="332"/>
      <c r="AA131" s="332"/>
      <c r="AB131" s="332"/>
      <c r="AC131" s="332"/>
      <c r="AD131" s="332"/>
      <c r="AE131" s="332"/>
      <c r="AF131" s="332"/>
      <c r="AG131" s="332"/>
      <c r="AH131" s="332"/>
      <c r="AI131" s="332"/>
      <c r="AJ131" s="332"/>
      <c r="AK131" s="332"/>
      <c r="AL131" s="332"/>
      <c r="AM131" s="332"/>
      <c r="AN131" s="332" t="str">
        <f t="shared" si="13"/>
        <v>JW MARRIOTTPR 485</v>
      </c>
      <c r="AO131" s="334" t="s">
        <v>26</v>
      </c>
      <c r="AP131" s="351">
        <v>45923</v>
      </c>
      <c r="AQ131" s="336" t="s">
        <v>182</v>
      </c>
      <c r="AR131" s="336" t="s">
        <v>107</v>
      </c>
      <c r="AS131" s="337">
        <v>0.10069444444444445</v>
      </c>
      <c r="AT131" s="332"/>
    </row>
    <row r="132" spans="1:46" ht="15" hidden="1" customHeight="1">
      <c r="A132" s="825"/>
      <c r="B132" s="868"/>
      <c r="C132" s="869"/>
      <c r="D132" s="832"/>
      <c r="E132" s="831"/>
      <c r="F132" s="829"/>
      <c r="G132" s="829"/>
      <c r="H132" s="419">
        <f t="shared" si="16"/>
        <v>0.74652777777777779</v>
      </c>
      <c r="I132" s="352">
        <v>0.87152777777777779</v>
      </c>
      <c r="J132" s="355" t="s">
        <v>174</v>
      </c>
      <c r="K132" s="355"/>
      <c r="L132" s="355"/>
      <c r="M132" s="355">
        <v>6</v>
      </c>
      <c r="N132" s="355"/>
      <c r="O132" s="356"/>
      <c r="P132" s="355"/>
      <c r="Q132" s="355"/>
      <c r="R132" s="355"/>
      <c r="S132" s="355"/>
      <c r="T132" s="355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2"/>
      <c r="AK132" s="332"/>
      <c r="AL132" s="332"/>
      <c r="AM132" s="332"/>
      <c r="AN132" s="332" t="str">
        <f t="shared" si="13"/>
        <v>JW MARRIOTTKE 621</v>
      </c>
      <c r="AO132" s="334" t="s">
        <v>26</v>
      </c>
      <c r="AP132" s="351">
        <v>45923</v>
      </c>
      <c r="AQ132" s="336" t="s">
        <v>182</v>
      </c>
      <c r="AR132" s="336" t="s">
        <v>31</v>
      </c>
      <c r="AS132" s="337">
        <v>0.125</v>
      </c>
      <c r="AT132" s="332"/>
    </row>
    <row r="133" spans="1:46" ht="15" hidden="1" customHeight="1">
      <c r="A133" s="825"/>
      <c r="B133" s="581"/>
      <c r="C133" s="581"/>
      <c r="D133" s="582"/>
      <c r="E133" s="583"/>
      <c r="F133" s="582"/>
      <c r="G133" s="582"/>
      <c r="H133" s="584">
        <f>I133-TIME(3,0,0)</f>
        <v>0.73958333333333337</v>
      </c>
      <c r="I133" s="585">
        <v>0.86458333333333337</v>
      </c>
      <c r="J133" s="404" t="s">
        <v>77</v>
      </c>
      <c r="K133" s="404">
        <v>1</v>
      </c>
      <c r="L133" s="404"/>
      <c r="M133" s="404"/>
      <c r="N133" s="404"/>
      <c r="O133" s="586"/>
      <c r="P133" s="404"/>
      <c r="Q133" s="404"/>
      <c r="R133" s="404"/>
      <c r="S133" s="404"/>
      <c r="T133" s="404"/>
      <c r="U133" s="587" t="s">
        <v>79</v>
      </c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4"/>
      <c r="AP133" s="351"/>
      <c r="AT133" s="332"/>
    </row>
    <row r="134" spans="1:46" ht="15" hidden="1" customHeight="1">
      <c r="A134" s="825"/>
      <c r="B134" s="862">
        <f>C134-TIME(0,15,0)</f>
        <v>0.65277777777777779</v>
      </c>
      <c r="C134" s="864">
        <f>D134-TIME(0,30,0)</f>
        <v>0.66319444444444442</v>
      </c>
      <c r="D134" s="829">
        <f>E134-TIME(0,15,0)</f>
        <v>0.68402777777777779</v>
      </c>
      <c r="E134" s="831">
        <f>F134-TIME(1,30,0)</f>
        <v>0.69444444444444442</v>
      </c>
      <c r="F134" s="829">
        <f>H134</f>
        <v>0.75694444444444442</v>
      </c>
      <c r="G134" s="846"/>
      <c r="H134" s="434">
        <f t="shared" si="16"/>
        <v>0.75694444444444442</v>
      </c>
      <c r="I134" s="365">
        <v>0.88194444444444442</v>
      </c>
      <c r="J134" s="366" t="s">
        <v>175</v>
      </c>
      <c r="K134" s="366"/>
      <c r="L134" s="366"/>
      <c r="M134" s="366">
        <v>2</v>
      </c>
      <c r="N134" s="366"/>
      <c r="O134" s="367">
        <f>SUM(K134:N137)</f>
        <v>9</v>
      </c>
      <c r="P134" s="366"/>
      <c r="Q134" s="366"/>
      <c r="R134" s="580">
        <v>1</v>
      </c>
      <c r="S134" s="580"/>
      <c r="T134" s="580"/>
      <c r="U134" s="484" t="s">
        <v>183</v>
      </c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2"/>
      <c r="AK134" s="332"/>
      <c r="AL134" s="332"/>
      <c r="AM134" s="332"/>
      <c r="AN134" s="332" t="str">
        <f t="shared" si="13"/>
        <v>JW MARRIOTTOZ 701</v>
      </c>
      <c r="AO134" s="334" t="s">
        <v>26</v>
      </c>
      <c r="AP134" s="351">
        <v>45923</v>
      </c>
      <c r="AQ134" s="336" t="s">
        <v>182</v>
      </c>
      <c r="AR134" s="336" t="s">
        <v>33</v>
      </c>
      <c r="AS134" s="337">
        <v>0.125</v>
      </c>
      <c r="AT134" s="332"/>
    </row>
    <row r="135" spans="1:46" ht="15" hidden="1" customHeight="1">
      <c r="A135" s="825"/>
      <c r="B135" s="863"/>
      <c r="C135" s="863"/>
      <c r="D135" s="865"/>
      <c r="E135" s="866"/>
      <c r="F135" s="865"/>
      <c r="G135" s="865"/>
      <c r="H135" s="445">
        <f t="shared" si="16"/>
        <v>0.76388888888888884</v>
      </c>
      <c r="I135" s="358">
        <v>0.88888888888888884</v>
      </c>
      <c r="J135" s="360" t="s">
        <v>176</v>
      </c>
      <c r="K135" s="360"/>
      <c r="L135" s="360"/>
      <c r="M135" s="360">
        <v>2</v>
      </c>
      <c r="N135" s="360"/>
      <c r="O135" s="373"/>
      <c r="P135" s="588"/>
      <c r="Q135" s="588"/>
      <c r="R135" s="588"/>
      <c r="S135" s="588"/>
      <c r="T135" s="588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 t="str">
        <f t="shared" ref="AN135:AN200" si="17">AQ135&amp;AR135</f>
        <v>JW MARRIOTTOZ 112</v>
      </c>
      <c r="AO135" s="334" t="s">
        <v>26</v>
      </c>
      <c r="AP135" s="351">
        <v>45923</v>
      </c>
      <c r="AQ135" s="336" t="s">
        <v>182</v>
      </c>
      <c r="AR135" s="336" t="s">
        <v>39</v>
      </c>
      <c r="AS135" s="337">
        <v>0.125</v>
      </c>
      <c r="AT135" s="332"/>
    </row>
    <row r="136" spans="1:46" ht="15" hidden="1" customHeight="1">
      <c r="A136" s="825"/>
      <c r="B136" s="863"/>
      <c r="C136" s="863"/>
      <c r="D136" s="865"/>
      <c r="E136" s="866"/>
      <c r="F136" s="865"/>
      <c r="G136" s="865"/>
      <c r="H136" s="445">
        <f t="shared" si="16"/>
        <v>0.77083333333333337</v>
      </c>
      <c r="I136" s="358">
        <v>0.89583333333333337</v>
      </c>
      <c r="J136" s="360" t="s">
        <v>177</v>
      </c>
      <c r="K136" s="360"/>
      <c r="L136" s="360"/>
      <c r="M136" s="360">
        <v>1</v>
      </c>
      <c r="N136" s="360"/>
      <c r="O136" s="360"/>
      <c r="P136" s="360"/>
      <c r="Q136" s="588"/>
      <c r="R136" s="588"/>
      <c r="S136" s="588"/>
      <c r="T136" s="588"/>
      <c r="U136" s="332"/>
      <c r="V136" s="332"/>
      <c r="W136" s="332"/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2"/>
      <c r="AK136" s="332"/>
      <c r="AL136" s="332"/>
      <c r="AM136" s="332"/>
      <c r="AN136" s="332" t="str">
        <f t="shared" si="17"/>
        <v>JW MARRIOTTPR 467</v>
      </c>
      <c r="AO136" s="334" t="s">
        <v>26</v>
      </c>
      <c r="AP136" s="351">
        <v>45923</v>
      </c>
      <c r="AQ136" s="336" t="s">
        <v>182</v>
      </c>
      <c r="AR136" s="336" t="s">
        <v>87</v>
      </c>
      <c r="AS136" s="337">
        <v>0.125</v>
      </c>
      <c r="AT136" s="332"/>
    </row>
    <row r="137" spans="1:46" ht="15" hidden="1" customHeight="1">
      <c r="A137" s="825"/>
      <c r="B137" s="863"/>
      <c r="C137" s="863"/>
      <c r="D137" s="865"/>
      <c r="E137" s="867"/>
      <c r="F137" s="865"/>
      <c r="G137" s="865"/>
      <c r="H137" s="459">
        <f t="shared" si="16"/>
        <v>0.77430555555555558</v>
      </c>
      <c r="I137" s="589">
        <v>0.89930555555555558</v>
      </c>
      <c r="J137" s="379" t="s">
        <v>178</v>
      </c>
      <c r="K137" s="379"/>
      <c r="L137" s="379"/>
      <c r="M137" s="379">
        <v>4</v>
      </c>
      <c r="N137" s="379"/>
      <c r="O137" s="462"/>
      <c r="P137" s="379"/>
      <c r="Q137" s="379"/>
      <c r="R137" s="379"/>
      <c r="S137" s="379"/>
      <c r="T137" s="379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G137" s="332"/>
      <c r="AH137" s="332"/>
      <c r="AI137" s="332"/>
      <c r="AJ137" s="332"/>
      <c r="AK137" s="332"/>
      <c r="AL137" s="332"/>
      <c r="AM137" s="332"/>
      <c r="AN137" s="332" t="str">
        <f t="shared" si="17"/>
        <v>JW MARRIOTT5J 185</v>
      </c>
      <c r="AO137" s="334" t="s">
        <v>26</v>
      </c>
      <c r="AP137" s="351">
        <v>45923</v>
      </c>
      <c r="AQ137" s="336" t="s">
        <v>182</v>
      </c>
      <c r="AR137" s="336" t="s">
        <v>93</v>
      </c>
      <c r="AS137" s="337">
        <v>0.125</v>
      </c>
      <c r="AT137" s="332"/>
    </row>
    <row r="138" spans="1:46" ht="15" hidden="1" customHeight="1">
      <c r="A138" s="825"/>
      <c r="B138" s="590"/>
      <c r="C138" s="591"/>
      <c r="D138" s="592"/>
      <c r="E138" s="593"/>
      <c r="F138" s="592"/>
      <c r="G138" s="592"/>
      <c r="H138" s="594">
        <f>I138-TIME(3,0,0)</f>
        <v>0.77083333333333337</v>
      </c>
      <c r="I138" s="595">
        <v>0.89583333333333337</v>
      </c>
      <c r="J138" s="596" t="s">
        <v>177</v>
      </c>
      <c r="K138" s="596">
        <v>2</v>
      </c>
      <c r="L138" s="596"/>
      <c r="M138" s="596"/>
      <c r="N138" s="596"/>
      <c r="O138" s="597"/>
      <c r="P138" s="596"/>
      <c r="Q138" s="596"/>
      <c r="R138" s="596"/>
      <c r="S138" s="596"/>
      <c r="T138" s="598"/>
      <c r="U138" s="587" t="s">
        <v>79</v>
      </c>
      <c r="V138" s="332"/>
      <c r="W138" s="332"/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2"/>
      <c r="AL138" s="332"/>
      <c r="AM138" s="332"/>
      <c r="AN138" s="332"/>
      <c r="AO138" s="334"/>
      <c r="AP138" s="351"/>
      <c r="AT138" s="332"/>
    </row>
    <row r="139" spans="1:46" ht="15" hidden="1" customHeight="1">
      <c r="A139" s="825"/>
      <c r="B139" s="829">
        <f>C139-TIME(0,15,0)</f>
        <v>0.67361111111111116</v>
      </c>
      <c r="C139" s="830">
        <f>D139-TIME(0,40,0)</f>
        <v>0.68402777777777779</v>
      </c>
      <c r="D139" s="829">
        <f>E139-TIME(0,15,0)</f>
        <v>0.71180555555555558</v>
      </c>
      <c r="E139" s="831">
        <f>F139-TIME(1,30,0)</f>
        <v>0.72222222222222221</v>
      </c>
      <c r="F139" s="829">
        <f>H139</f>
        <v>0.78472222222222221</v>
      </c>
      <c r="G139" s="846"/>
      <c r="H139" s="434">
        <f t="shared" si="16"/>
        <v>0.78472222222222221</v>
      </c>
      <c r="I139" s="365">
        <v>0.90972222222222221</v>
      </c>
      <c r="J139" s="366" t="s">
        <v>179</v>
      </c>
      <c r="K139" s="366">
        <v>1</v>
      </c>
      <c r="L139" s="366"/>
      <c r="M139" s="366"/>
      <c r="N139" s="366"/>
      <c r="O139" s="367">
        <f>SUM(K139:N141)</f>
        <v>6</v>
      </c>
      <c r="P139" s="366"/>
      <c r="Q139" s="575">
        <v>1</v>
      </c>
      <c r="R139" s="575"/>
      <c r="S139" s="575"/>
      <c r="T139" s="575"/>
      <c r="U139" s="560" t="s">
        <v>136</v>
      </c>
      <c r="V139" s="332"/>
      <c r="W139" s="332"/>
      <c r="X139" s="332"/>
      <c r="Y139" s="332"/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2"/>
      <c r="AK139" s="332"/>
      <c r="AL139" s="332"/>
      <c r="AM139" s="332"/>
      <c r="AN139" s="332" t="str">
        <f t="shared" si="17"/>
        <v>JW MARRIOTT7C 1101</v>
      </c>
      <c r="AO139" s="334" t="s">
        <v>26</v>
      </c>
      <c r="AP139" s="351">
        <v>45923</v>
      </c>
      <c r="AQ139" s="336" t="s">
        <v>182</v>
      </c>
      <c r="AR139" s="336" t="s">
        <v>106</v>
      </c>
      <c r="AS139" s="337">
        <v>0.125</v>
      </c>
      <c r="AT139" s="332"/>
    </row>
    <row r="140" spans="1:46" ht="15" hidden="1" customHeight="1">
      <c r="A140" s="825"/>
      <c r="B140" s="865"/>
      <c r="C140" s="865"/>
      <c r="D140" s="865"/>
      <c r="E140" s="866"/>
      <c r="F140" s="865"/>
      <c r="G140" s="865"/>
      <c r="H140" s="445">
        <f t="shared" si="16"/>
        <v>0.78819444444444442</v>
      </c>
      <c r="I140" s="358">
        <v>0.91319444444444442</v>
      </c>
      <c r="J140" s="360" t="s">
        <v>181</v>
      </c>
      <c r="K140" s="360"/>
      <c r="L140" s="360"/>
      <c r="M140" s="360">
        <v>3</v>
      </c>
      <c r="N140" s="360"/>
      <c r="O140" s="373"/>
      <c r="P140" s="360"/>
      <c r="Q140" s="360"/>
      <c r="R140" s="360"/>
      <c r="S140" s="360"/>
      <c r="T140" s="360"/>
      <c r="U140" s="332"/>
      <c r="V140" s="332"/>
      <c r="W140" s="332"/>
      <c r="X140" s="332"/>
      <c r="Y140" s="332"/>
      <c r="Z140" s="332"/>
      <c r="AA140" s="332"/>
      <c r="AB140" s="332"/>
      <c r="AC140" s="332"/>
      <c r="AD140" s="332"/>
      <c r="AE140" s="332"/>
      <c r="AF140" s="332"/>
      <c r="AG140" s="332"/>
      <c r="AH140" s="332"/>
      <c r="AI140" s="332"/>
      <c r="AJ140" s="332"/>
      <c r="AK140" s="332"/>
      <c r="AL140" s="332"/>
      <c r="AM140" s="332"/>
      <c r="AN140" s="332" t="str">
        <f t="shared" si="17"/>
        <v>JW MARRIOTTTW 241</v>
      </c>
      <c r="AO140" s="334" t="s">
        <v>26</v>
      </c>
      <c r="AP140" s="351">
        <v>45923</v>
      </c>
      <c r="AQ140" s="336" t="s">
        <v>182</v>
      </c>
      <c r="AR140" s="336" t="s">
        <v>109</v>
      </c>
      <c r="AS140" s="337">
        <v>0.125</v>
      </c>
      <c r="AT140" s="332"/>
    </row>
    <row r="141" spans="1:46" ht="15" hidden="1" customHeight="1">
      <c r="A141" s="825"/>
      <c r="B141" s="873"/>
      <c r="C141" s="873"/>
      <c r="D141" s="873"/>
      <c r="E141" s="874"/>
      <c r="F141" s="873"/>
      <c r="G141" s="873"/>
      <c r="H141" s="419">
        <f t="shared" si="16"/>
        <v>0.79166666666666663</v>
      </c>
      <c r="I141" s="352">
        <v>0.91666666666666663</v>
      </c>
      <c r="J141" s="355" t="s">
        <v>78</v>
      </c>
      <c r="K141" s="355"/>
      <c r="L141" s="355"/>
      <c r="M141" s="355">
        <v>2</v>
      </c>
      <c r="N141" s="355"/>
      <c r="O141" s="356"/>
      <c r="P141" s="355"/>
      <c r="Q141" s="355"/>
      <c r="R141" s="355"/>
      <c r="S141" s="355"/>
      <c r="T141" s="355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 t="str">
        <f t="shared" si="17"/>
        <v>JW MARRIOTTOZ 102</v>
      </c>
      <c r="AO141" s="334" t="s">
        <v>26</v>
      </c>
      <c r="AP141" s="351">
        <v>45923</v>
      </c>
      <c r="AQ141" s="336" t="s">
        <v>182</v>
      </c>
      <c r="AR141" s="336" t="s">
        <v>111</v>
      </c>
      <c r="AS141" s="337">
        <v>0.1736111111111111</v>
      </c>
      <c r="AT141" s="332"/>
    </row>
    <row r="142" spans="1:46" ht="15" hidden="1" customHeight="1">
      <c r="A142" s="825"/>
      <c r="B142" s="870"/>
      <c r="C142" s="870"/>
      <c r="D142" s="829">
        <f>E142-TIME(0,15,0)</f>
        <v>0.79513888888888884</v>
      </c>
      <c r="E142" s="831">
        <f>G142-TIME(1,15,0)</f>
        <v>0.80555555555555547</v>
      </c>
      <c r="F142" s="870"/>
      <c r="G142" s="829">
        <f>H142</f>
        <v>0.85763888888888884</v>
      </c>
      <c r="H142" s="417">
        <v>0.85763888888888884</v>
      </c>
      <c r="I142" s="365">
        <v>0.98263888888888884</v>
      </c>
      <c r="J142" s="366" t="s">
        <v>184</v>
      </c>
      <c r="K142" s="366"/>
      <c r="L142" s="366"/>
      <c r="M142" s="366"/>
      <c r="N142" s="366">
        <v>2</v>
      </c>
      <c r="O142" s="367">
        <f>SUM(J142:N143)</f>
        <v>4</v>
      </c>
      <c r="P142" s="366">
        <v>0</v>
      </c>
      <c r="Q142" s="580">
        <v>1</v>
      </c>
      <c r="R142" s="580"/>
      <c r="S142" s="580"/>
      <c r="T142" s="580"/>
      <c r="U142" s="484" t="s">
        <v>185</v>
      </c>
      <c r="V142" s="332"/>
      <c r="W142" s="332"/>
      <c r="X142" s="332"/>
      <c r="Y142" s="332"/>
      <c r="Z142" s="332"/>
      <c r="AA142" s="332"/>
      <c r="AB142" s="332"/>
      <c r="AC142" s="332"/>
      <c r="AD142" s="332"/>
      <c r="AE142" s="332"/>
      <c r="AF142" s="332"/>
      <c r="AG142" s="332"/>
      <c r="AH142" s="332"/>
      <c r="AI142" s="332"/>
      <c r="AJ142" s="332"/>
      <c r="AK142" s="332"/>
      <c r="AL142" s="332"/>
      <c r="AM142" s="332"/>
      <c r="AN142" s="332" t="str">
        <f t="shared" si="17"/>
        <v>JW MARRIOTTKE 469</v>
      </c>
      <c r="AO142" s="334" t="s">
        <v>26</v>
      </c>
      <c r="AP142" s="351">
        <v>45923</v>
      </c>
      <c r="AQ142" s="336" t="s">
        <v>182</v>
      </c>
      <c r="AR142" s="336" t="s">
        <v>114</v>
      </c>
      <c r="AS142" s="337">
        <v>0.1736111111111111</v>
      </c>
      <c r="AT142" s="332"/>
    </row>
    <row r="143" spans="1:46" ht="15" hidden="1" customHeight="1">
      <c r="A143" s="825"/>
      <c r="B143" s="871"/>
      <c r="C143" s="871"/>
      <c r="D143" s="872"/>
      <c r="E143" s="866"/>
      <c r="F143" s="871"/>
      <c r="G143" s="872"/>
      <c r="H143" s="360"/>
      <c r="I143" s="360"/>
      <c r="J143" s="360" t="s">
        <v>186</v>
      </c>
      <c r="K143" s="448"/>
      <c r="L143" s="360"/>
      <c r="M143" s="448"/>
      <c r="N143" s="360">
        <v>2</v>
      </c>
      <c r="O143" s="361"/>
      <c r="P143" s="410"/>
      <c r="Q143" s="410"/>
      <c r="R143" s="410"/>
      <c r="S143" s="410"/>
      <c r="T143" s="410"/>
      <c r="U143" s="332" t="s">
        <v>187</v>
      </c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32"/>
      <c r="AN143" s="332" t="str">
        <f t="shared" si="17"/>
        <v>JW MARRIOTTBX 172</v>
      </c>
      <c r="AO143" s="334" t="s">
        <v>26</v>
      </c>
      <c r="AP143" s="351">
        <v>45923</v>
      </c>
      <c r="AQ143" s="336" t="s">
        <v>182</v>
      </c>
      <c r="AR143" s="336" t="s">
        <v>115</v>
      </c>
      <c r="AS143" s="337">
        <v>0.1736111111111111</v>
      </c>
      <c r="AT143" s="332"/>
    </row>
    <row r="144" spans="1:46" ht="22.5" hidden="1" customHeight="1">
      <c r="A144" s="819" t="s">
        <v>32</v>
      </c>
      <c r="B144" s="875"/>
      <c r="C144" s="875"/>
      <c r="D144" s="875"/>
      <c r="E144" s="875"/>
      <c r="F144" s="875"/>
      <c r="G144" s="875"/>
      <c r="H144" s="875"/>
      <c r="I144" s="875"/>
      <c r="J144" s="876"/>
      <c r="K144" s="372">
        <f>SUM(K52:K143)</f>
        <v>85</v>
      </c>
      <c r="L144" s="372">
        <f>SUM(L52:L143)</f>
        <v>79</v>
      </c>
      <c r="M144" s="372">
        <f>SUM(M52:M143)</f>
        <v>238</v>
      </c>
      <c r="N144" s="372">
        <f>SUM(N52:N143)</f>
        <v>76</v>
      </c>
      <c r="O144" s="372">
        <f>SUM(O52:O143)</f>
        <v>475</v>
      </c>
      <c r="P144" s="372">
        <f>SUM(P52:P142)</f>
        <v>1</v>
      </c>
      <c r="Q144" s="372">
        <f>SUM(Q52:Q142)</f>
        <v>8</v>
      </c>
      <c r="R144" s="372">
        <f>SUM(R52:R142)</f>
        <v>1</v>
      </c>
      <c r="S144" s="372">
        <f>SUM(S52:S142)</f>
        <v>19</v>
      </c>
      <c r="T144" s="372">
        <f>SUM(T52:T142)</f>
        <v>2</v>
      </c>
      <c r="U144" s="599"/>
      <c r="V144" s="332"/>
      <c r="W144" s="332"/>
      <c r="X144" s="332"/>
      <c r="Y144" s="332"/>
      <c r="Z144" s="332"/>
      <c r="AA144" s="332"/>
      <c r="AB144" s="332"/>
      <c r="AC144" s="332"/>
      <c r="AD144" s="332"/>
      <c r="AE144" s="332"/>
      <c r="AF144" s="332"/>
      <c r="AG144" s="332"/>
      <c r="AH144" s="332"/>
      <c r="AI144" s="332"/>
      <c r="AJ144" s="332"/>
      <c r="AK144" s="332"/>
      <c r="AL144" s="332"/>
      <c r="AM144" s="332"/>
      <c r="AN144" s="332" t="str">
        <f t="shared" si="17"/>
        <v>JW MARRIOTTDL 7851</v>
      </c>
      <c r="AO144" s="334" t="s">
        <v>26</v>
      </c>
      <c r="AP144" s="351">
        <v>45923</v>
      </c>
      <c r="AQ144" s="336" t="s">
        <v>182</v>
      </c>
      <c r="AR144" s="336" t="s">
        <v>116</v>
      </c>
      <c r="AS144" s="337">
        <v>0.1736111111111111</v>
      </c>
      <c r="AT144" s="332"/>
    </row>
    <row r="145" spans="1:46" ht="15" hidden="1" customHeight="1">
      <c r="A145" s="600"/>
      <c r="B145" s="600"/>
      <c r="C145" s="600"/>
      <c r="D145" s="600"/>
      <c r="E145" s="600"/>
      <c r="F145" s="600"/>
      <c r="G145" s="600"/>
      <c r="H145" s="332"/>
      <c r="I145" s="332"/>
      <c r="J145" s="332"/>
      <c r="K145" s="332"/>
      <c r="L145" s="332"/>
      <c r="M145" s="332"/>
      <c r="N145" s="332"/>
      <c r="O145" s="332" t="s">
        <v>82</v>
      </c>
      <c r="P145" s="332" t="s">
        <v>34</v>
      </c>
      <c r="Q145" s="332" t="s">
        <v>35</v>
      </c>
      <c r="R145" s="332" t="s">
        <v>36</v>
      </c>
      <c r="S145" s="332" t="s">
        <v>37</v>
      </c>
      <c r="T145" s="333"/>
      <c r="U145" s="333"/>
      <c r="V145" s="332"/>
      <c r="W145" s="332"/>
      <c r="X145" s="332"/>
      <c r="Y145" s="332"/>
      <c r="Z145" s="332"/>
      <c r="AA145" s="332"/>
      <c r="AB145" s="332"/>
      <c r="AC145" s="332"/>
      <c r="AD145" s="332"/>
      <c r="AE145" s="332"/>
      <c r="AF145" s="332"/>
      <c r="AG145" s="332"/>
      <c r="AH145" s="332"/>
      <c r="AI145" s="332"/>
      <c r="AJ145" s="332"/>
      <c r="AK145" s="332"/>
      <c r="AL145" s="332"/>
      <c r="AM145" s="332"/>
      <c r="AN145" s="332" t="str">
        <f t="shared" si="17"/>
        <v>JW MARRIOTTDL 7869</v>
      </c>
      <c r="AO145" s="334" t="s">
        <v>26</v>
      </c>
      <c r="AP145" s="351">
        <v>45923</v>
      </c>
      <c r="AQ145" s="336" t="s">
        <v>182</v>
      </c>
      <c r="AR145" s="336" t="s">
        <v>43</v>
      </c>
      <c r="AS145" s="337">
        <v>0.1736111111111111</v>
      </c>
      <c r="AT145" s="332"/>
    </row>
    <row r="146" spans="1:46" ht="15" hidden="1" customHeight="1">
      <c r="A146" s="600"/>
      <c r="B146" s="600"/>
      <c r="C146" s="600"/>
      <c r="D146" s="600"/>
      <c r="E146" s="600"/>
      <c r="F146" s="600"/>
      <c r="G146" s="600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  <c r="AC146" s="332"/>
      <c r="AD146" s="332"/>
      <c r="AE146" s="332"/>
      <c r="AF146" s="332"/>
      <c r="AG146" s="332"/>
      <c r="AH146" s="332"/>
      <c r="AI146" s="332"/>
      <c r="AJ146" s="332"/>
      <c r="AK146" s="332"/>
      <c r="AL146" s="332"/>
      <c r="AM146" s="332"/>
      <c r="AN146" s="332" t="str">
        <f t="shared" si="17"/>
        <v>JW MARRIOTTKE 31</v>
      </c>
      <c r="AO146" s="334" t="s">
        <v>26</v>
      </c>
      <c r="AP146" s="351">
        <v>45923</v>
      </c>
      <c r="AQ146" s="336" t="s">
        <v>182</v>
      </c>
      <c r="AR146" s="336" t="s">
        <v>44</v>
      </c>
      <c r="AS146" s="337">
        <v>0.1736111111111111</v>
      </c>
      <c r="AT146" s="332"/>
    </row>
    <row r="147" spans="1:46" ht="15" hidden="1" customHeight="1">
      <c r="A147" s="600"/>
      <c r="B147" s="600"/>
      <c r="C147" s="600"/>
      <c r="D147" s="600"/>
      <c r="E147" s="600"/>
      <c r="F147" s="600"/>
      <c r="G147" s="600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  <c r="AC147" s="332"/>
      <c r="AD147" s="332"/>
      <c r="AE147" s="332"/>
      <c r="AF147" s="332"/>
      <c r="AG147" s="332"/>
      <c r="AH147" s="332"/>
      <c r="AI147" s="332"/>
      <c r="AJ147" s="332"/>
      <c r="AK147" s="332"/>
      <c r="AL147" s="332"/>
      <c r="AM147" s="332"/>
      <c r="AN147" s="332" t="str">
        <f t="shared" si="17"/>
        <v>JW MARRIOTTCX 417</v>
      </c>
      <c r="AO147" s="334" t="s">
        <v>26</v>
      </c>
      <c r="AP147" s="351">
        <v>45923</v>
      </c>
      <c r="AQ147" s="336" t="s">
        <v>182</v>
      </c>
      <c r="AR147" s="336" t="s">
        <v>46</v>
      </c>
      <c r="AS147" s="337">
        <v>0.22222222222222221</v>
      </c>
      <c r="AT147" s="332"/>
    </row>
    <row r="148" spans="1:46" ht="15" hidden="1" customHeight="1">
      <c r="A148" s="600"/>
      <c r="B148" s="600"/>
      <c r="C148" s="600"/>
      <c r="D148" s="600"/>
      <c r="E148" s="600"/>
      <c r="F148" s="600"/>
      <c r="G148" s="600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  <c r="AC148" s="332"/>
      <c r="AD148" s="332"/>
      <c r="AE148" s="332"/>
      <c r="AF148" s="332"/>
      <c r="AG148" s="332"/>
      <c r="AH148" s="332"/>
      <c r="AI148" s="332"/>
      <c r="AJ148" s="332"/>
      <c r="AK148" s="332"/>
      <c r="AL148" s="332"/>
      <c r="AM148" s="332"/>
      <c r="AN148" s="332" t="str">
        <f t="shared" si="17"/>
        <v>JW MARRIOTTKE 703</v>
      </c>
      <c r="AO148" s="334" t="s">
        <v>26</v>
      </c>
      <c r="AP148" s="351">
        <v>45923</v>
      </c>
      <c r="AQ148" s="336" t="s">
        <v>182</v>
      </c>
      <c r="AR148" s="336" t="s">
        <v>47</v>
      </c>
      <c r="AS148" s="337">
        <v>0.22222222222222221</v>
      </c>
      <c r="AT148" s="332"/>
    </row>
    <row r="149" spans="1:46" ht="15" hidden="1" customHeight="1">
      <c r="A149" s="332"/>
      <c r="B149" s="332"/>
      <c r="C149" s="333"/>
      <c r="D149" s="333"/>
      <c r="E149" s="333"/>
      <c r="F149" s="333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 t="s">
        <v>188</v>
      </c>
      <c r="R149" s="332"/>
      <c r="S149" s="332" t="s">
        <v>189</v>
      </c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2"/>
      <c r="AK149" s="332"/>
      <c r="AL149" s="332"/>
      <c r="AM149" s="332"/>
      <c r="AN149" s="332" t="str">
        <f t="shared" si="17"/>
        <v>JW MARRIOTTDL 158</v>
      </c>
      <c r="AO149" s="334" t="s">
        <v>26</v>
      </c>
      <c r="AP149" s="351">
        <v>45923</v>
      </c>
      <c r="AQ149" s="336" t="s">
        <v>182</v>
      </c>
      <c r="AR149" s="336" t="s">
        <v>48</v>
      </c>
      <c r="AS149" s="337">
        <v>0.22222222222222221</v>
      </c>
      <c r="AT149" s="332"/>
    </row>
    <row r="150" spans="1:46" ht="22.5" customHeight="1">
      <c r="A150" s="877" t="s">
        <v>190</v>
      </c>
      <c r="B150" s="866"/>
      <c r="C150" s="866"/>
      <c r="D150" s="866"/>
      <c r="E150" s="333"/>
      <c r="F150" s="333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 t="s">
        <v>191</v>
      </c>
      <c r="R150" s="332"/>
      <c r="S150" s="332" t="s">
        <v>192</v>
      </c>
      <c r="T150" s="332"/>
      <c r="U150" s="332"/>
      <c r="V150" s="332"/>
      <c r="W150" s="878" t="s">
        <v>193</v>
      </c>
      <c r="X150" s="878"/>
      <c r="Y150" s="878"/>
      <c r="Z150" s="878"/>
      <c r="AA150" s="332" t="s">
        <v>92</v>
      </c>
      <c r="AB150" s="332"/>
      <c r="AC150" s="332"/>
      <c r="AD150" s="332"/>
      <c r="AE150" s="332"/>
      <c r="AF150" s="332"/>
      <c r="AG150" s="332"/>
      <c r="AH150" s="332"/>
      <c r="AI150" s="332"/>
      <c r="AJ150" s="332"/>
      <c r="AK150" s="332"/>
      <c r="AL150" s="332"/>
      <c r="AM150" s="332"/>
      <c r="AN150" s="332" t="str">
        <f t="shared" si="17"/>
        <v>JW MARRIOTT7C 1103</v>
      </c>
      <c r="AO150" s="334" t="s">
        <v>26</v>
      </c>
      <c r="AP150" s="351">
        <v>45923</v>
      </c>
      <c r="AQ150" s="336" t="s">
        <v>182</v>
      </c>
      <c r="AR150" s="336" t="s">
        <v>118</v>
      </c>
      <c r="AS150" s="337">
        <v>0.22222222222222221</v>
      </c>
      <c r="AT150" s="332"/>
    </row>
    <row r="151" spans="1:46" ht="22.5" customHeight="1">
      <c r="A151" s="601" t="s">
        <v>5</v>
      </c>
      <c r="B151" s="602" t="s">
        <v>194</v>
      </c>
      <c r="C151" s="602" t="s">
        <v>195</v>
      </c>
      <c r="D151" s="602" t="s">
        <v>196</v>
      </c>
      <c r="E151" s="602" t="s">
        <v>197</v>
      </c>
      <c r="F151" s="602" t="s">
        <v>11</v>
      </c>
      <c r="G151" s="602" t="s">
        <v>12</v>
      </c>
      <c r="H151" s="603" t="s">
        <v>13</v>
      </c>
      <c r="I151" s="604" t="s">
        <v>198</v>
      </c>
      <c r="J151" s="604" t="s">
        <v>199</v>
      </c>
      <c r="K151" s="605" t="s">
        <v>200</v>
      </c>
      <c r="L151" s="605" t="s">
        <v>201</v>
      </c>
      <c r="M151" s="606" t="s">
        <v>202</v>
      </c>
      <c r="N151" s="606" t="s">
        <v>203</v>
      </c>
      <c r="O151" s="602" t="s">
        <v>17</v>
      </c>
      <c r="P151" s="602" t="s">
        <v>18</v>
      </c>
      <c r="Q151" s="602" t="s">
        <v>19</v>
      </c>
      <c r="R151" s="602" t="s">
        <v>20</v>
      </c>
      <c r="S151" s="602" t="s">
        <v>21</v>
      </c>
      <c r="T151" s="602" t="s">
        <v>38</v>
      </c>
      <c r="U151" s="332"/>
      <c r="V151" s="607" t="s">
        <v>5</v>
      </c>
      <c r="W151" s="540" t="s">
        <v>204</v>
      </c>
      <c r="X151" s="540" t="s">
        <v>205</v>
      </c>
      <c r="Y151" s="540" t="s">
        <v>206</v>
      </c>
      <c r="Z151" s="540" t="s">
        <v>207</v>
      </c>
      <c r="AA151" s="608" t="s">
        <v>13</v>
      </c>
      <c r="AB151" s="609" t="s">
        <v>14</v>
      </c>
      <c r="AC151" s="609" t="s">
        <v>7</v>
      </c>
      <c r="AD151" s="610" t="s">
        <v>208</v>
      </c>
      <c r="AE151" s="610" t="s">
        <v>209</v>
      </c>
      <c r="AF151" s="610" t="s">
        <v>210</v>
      </c>
      <c r="AG151" s="610" t="s">
        <v>211</v>
      </c>
      <c r="AH151" s="611" t="s">
        <v>17</v>
      </c>
      <c r="AI151" s="540" t="s">
        <v>18</v>
      </c>
      <c r="AJ151" s="611" t="s">
        <v>19</v>
      </c>
      <c r="AK151" s="540" t="s">
        <v>20</v>
      </c>
      <c r="AL151" s="612" t="s">
        <v>21</v>
      </c>
      <c r="AM151" s="332"/>
      <c r="AN151" s="332" t="str">
        <f t="shared" si="17"/>
        <v>JW MARRIOTTVN 409</v>
      </c>
      <c r="AO151" s="334" t="s">
        <v>26</v>
      </c>
      <c r="AP151" s="351">
        <v>45923</v>
      </c>
      <c r="AQ151" s="336" t="s">
        <v>182</v>
      </c>
      <c r="AR151" s="336" t="s">
        <v>50</v>
      </c>
      <c r="AS151" s="337">
        <v>0.22222222222222221</v>
      </c>
    </row>
    <row r="152" spans="1:46" ht="15" customHeight="1">
      <c r="A152" s="825">
        <v>45923</v>
      </c>
      <c r="B152" s="613"/>
      <c r="C152" s="614"/>
      <c r="D152" s="382">
        <f>E152-TIME(0,15,0)</f>
        <v>-0.17013888888888887</v>
      </c>
      <c r="E152" s="615">
        <f>H152-TIME(1,20,0)</f>
        <v>-0.15972222222222221</v>
      </c>
      <c r="F152" s="616" t="s">
        <v>212</v>
      </c>
      <c r="G152" s="613"/>
      <c r="H152" s="617">
        <f>I152-TIME(3,0,0)</f>
        <v>-0.10416666666666667</v>
      </c>
      <c r="I152" s="617">
        <v>2.0833333333333332E-2</v>
      </c>
      <c r="J152" s="616" t="s">
        <v>213</v>
      </c>
      <c r="K152" s="616">
        <v>2</v>
      </c>
      <c r="L152" s="616"/>
      <c r="M152" s="616"/>
      <c r="N152" s="616"/>
      <c r="O152" s="618">
        <f>SUM(J152:N152)</f>
        <v>2</v>
      </c>
      <c r="P152" s="616">
        <v>1</v>
      </c>
      <c r="Q152" s="616"/>
      <c r="R152" s="616"/>
      <c r="S152" s="616"/>
      <c r="T152" s="616"/>
      <c r="U152" s="332"/>
      <c r="V152" s="880">
        <v>45923</v>
      </c>
      <c r="W152" s="816">
        <v>0.16666666666666666</v>
      </c>
      <c r="X152" s="884">
        <v>0.17708333333333334</v>
      </c>
      <c r="Y152" s="821"/>
      <c r="Z152" s="821"/>
      <c r="AA152" s="365">
        <f>AA153</f>
        <v>0.21527777777777779</v>
      </c>
      <c r="AB152" s="365">
        <v>0.29166666666666669</v>
      </c>
      <c r="AC152" s="366" t="s">
        <v>214</v>
      </c>
      <c r="AD152" s="366"/>
      <c r="AE152" s="366">
        <v>12</v>
      </c>
      <c r="AF152" s="366"/>
      <c r="AG152" s="366"/>
      <c r="AH152" s="458">
        <f>SUM(AC152:AG155)</f>
        <v>21</v>
      </c>
      <c r="AI152" s="366"/>
      <c r="AJ152" s="366"/>
      <c r="AK152" s="366"/>
      <c r="AL152" s="619">
        <v>1</v>
      </c>
      <c r="AM152" s="620"/>
      <c r="AN152" s="332" t="str">
        <f t="shared" si="17"/>
        <v>JW MARRIOTTKE 37</v>
      </c>
      <c r="AO152" s="334" t="s">
        <v>26</v>
      </c>
      <c r="AP152" s="351">
        <v>45923</v>
      </c>
      <c r="AQ152" s="336" t="s">
        <v>182</v>
      </c>
      <c r="AR152" s="336" t="s">
        <v>119</v>
      </c>
      <c r="AS152" s="337">
        <v>0.22222222222222221</v>
      </c>
    </row>
    <row r="153" spans="1:46" ht="15" customHeight="1">
      <c r="A153" s="879"/>
      <c r="B153" s="885">
        <f>C153-TIME(0,15,0)</f>
        <v>7.2916666666666644E-2</v>
      </c>
      <c r="C153" s="886">
        <f t="shared" ref="C153:D153" si="18">D153-TIME(0,15,0)</f>
        <v>8.3333333333333315E-2</v>
      </c>
      <c r="D153" s="816">
        <f t="shared" si="18"/>
        <v>9.3749999999999986E-2</v>
      </c>
      <c r="E153" s="859">
        <f>F153-TIME(1,0,0)</f>
        <v>0.10416666666666666</v>
      </c>
      <c r="F153" s="887">
        <f>G153-TIME(0,20,0)</f>
        <v>0.14583333333333331</v>
      </c>
      <c r="G153" s="885">
        <f>H153</f>
        <v>0.15972222222222221</v>
      </c>
      <c r="H153" s="617">
        <f>I153-TIME(3,0,0)</f>
        <v>0.15972222222222221</v>
      </c>
      <c r="I153" s="621">
        <v>0.28472222222222221</v>
      </c>
      <c r="J153" s="348" t="s">
        <v>215</v>
      </c>
      <c r="K153" s="348"/>
      <c r="L153" s="348">
        <v>1</v>
      </c>
      <c r="M153" s="348"/>
      <c r="N153" s="348"/>
      <c r="O153" s="622">
        <f>SUM(J153:N155)</f>
        <v>26</v>
      </c>
      <c r="P153" s="348"/>
      <c r="Q153" s="348"/>
      <c r="R153" s="348"/>
      <c r="S153" s="348">
        <v>1</v>
      </c>
      <c r="T153" s="348"/>
      <c r="U153" s="332"/>
      <c r="V153" s="881"/>
      <c r="W153" s="879"/>
      <c r="X153" s="879"/>
      <c r="Y153" s="879"/>
      <c r="Z153" s="879"/>
      <c r="AA153" s="358">
        <f>AA154+TIME(0,10,0)</f>
        <v>0.21527777777777779</v>
      </c>
      <c r="AB153" s="358">
        <v>0.2986111111111111</v>
      </c>
      <c r="AC153" s="360" t="s">
        <v>216</v>
      </c>
      <c r="AD153" s="360"/>
      <c r="AE153" s="360">
        <v>3</v>
      </c>
      <c r="AF153" s="360"/>
      <c r="AG153" s="360"/>
      <c r="AH153" s="361"/>
      <c r="AI153" s="360"/>
      <c r="AJ153" s="360"/>
      <c r="AK153" s="360"/>
      <c r="AL153" s="623"/>
      <c r="AM153" s="332"/>
      <c r="AN153" s="332" t="str">
        <f t="shared" si="17"/>
        <v>JW MARRIOTTKE 457</v>
      </c>
      <c r="AO153" s="334" t="s">
        <v>26</v>
      </c>
      <c r="AP153" s="351">
        <v>45923</v>
      </c>
      <c r="AQ153" s="336" t="s">
        <v>182</v>
      </c>
      <c r="AR153" s="336" t="s">
        <v>120</v>
      </c>
      <c r="AS153" s="337">
        <v>0.25347222222222221</v>
      </c>
    </row>
    <row r="154" spans="1:46" ht="15" customHeight="1">
      <c r="A154" s="879"/>
      <c r="B154" s="879"/>
      <c r="C154" s="879"/>
      <c r="D154" s="879"/>
      <c r="E154" s="879"/>
      <c r="F154" s="865"/>
      <c r="G154" s="879"/>
      <c r="H154" s="375">
        <f t="shared" ref="H154:H155" si="19">I154-TIME(3,0,0)</f>
        <v>0.17708333333333331</v>
      </c>
      <c r="I154" s="358">
        <v>0.30208333333333331</v>
      </c>
      <c r="J154" s="360" t="s">
        <v>217</v>
      </c>
      <c r="K154" s="360"/>
      <c r="L154" s="360"/>
      <c r="M154" s="360">
        <v>2</v>
      </c>
      <c r="N154" s="360">
        <v>22</v>
      </c>
      <c r="O154" s="373"/>
      <c r="P154" s="360"/>
      <c r="Q154" s="360"/>
      <c r="R154" s="360"/>
      <c r="S154" s="360"/>
      <c r="T154" s="360"/>
      <c r="U154" s="332"/>
      <c r="V154" s="881"/>
      <c r="W154" s="879"/>
      <c r="X154" s="879"/>
      <c r="Y154" s="879"/>
      <c r="Z154" s="879"/>
      <c r="AA154" s="358">
        <v>0.20833333333333334</v>
      </c>
      <c r="AB154" s="358">
        <v>0.31944444444444442</v>
      </c>
      <c r="AC154" s="360" t="s">
        <v>108</v>
      </c>
      <c r="AD154" s="360"/>
      <c r="AE154" s="360"/>
      <c r="AF154" s="360"/>
      <c r="AG154" s="360">
        <v>2</v>
      </c>
      <c r="AH154" s="361"/>
      <c r="AI154" s="360"/>
      <c r="AJ154" s="360"/>
      <c r="AK154" s="360"/>
      <c r="AL154" s="623"/>
      <c r="AM154" s="332"/>
      <c r="AN154" s="332" t="str">
        <f t="shared" si="17"/>
        <v>JW MARRIOTTKE 897</v>
      </c>
      <c r="AO154" s="334" t="s">
        <v>26</v>
      </c>
      <c r="AP154" s="351">
        <v>45923</v>
      </c>
      <c r="AQ154" s="336" t="s">
        <v>182</v>
      </c>
      <c r="AR154" s="336" t="s">
        <v>121</v>
      </c>
      <c r="AS154" s="337">
        <v>0.25347222222222221</v>
      </c>
    </row>
    <row r="155" spans="1:46" ht="15" customHeight="1">
      <c r="A155" s="879"/>
      <c r="B155" s="871"/>
      <c r="C155" s="871"/>
      <c r="D155" s="871"/>
      <c r="E155" s="871"/>
      <c r="F155" s="872"/>
      <c r="G155" s="871"/>
      <c r="H155" s="375">
        <f t="shared" si="19"/>
        <v>0.18055555555555558</v>
      </c>
      <c r="I155" s="589">
        <v>0.30555555555555558</v>
      </c>
      <c r="J155" s="379" t="s">
        <v>218</v>
      </c>
      <c r="K155" s="379"/>
      <c r="L155" s="379">
        <v>1</v>
      </c>
      <c r="M155" s="379"/>
      <c r="N155" s="379"/>
      <c r="O155" s="462"/>
      <c r="P155" s="379"/>
      <c r="Q155" s="379"/>
      <c r="R155" s="379"/>
      <c r="S155" s="379"/>
      <c r="T155" s="379"/>
      <c r="U155" s="332"/>
      <c r="V155" s="881"/>
      <c r="W155" s="883"/>
      <c r="X155" s="883"/>
      <c r="Y155" s="883"/>
      <c r="Z155" s="883"/>
      <c r="AA155" s="352">
        <v>0.20833333333333334</v>
      </c>
      <c r="AB155" s="352">
        <v>0.34027777777777779</v>
      </c>
      <c r="AC155" s="355" t="s">
        <v>219</v>
      </c>
      <c r="AD155" s="355"/>
      <c r="AE155" s="355"/>
      <c r="AF155" s="355"/>
      <c r="AG155" s="355">
        <v>4</v>
      </c>
      <c r="AH155" s="572"/>
      <c r="AI155" s="355"/>
      <c r="AJ155" s="355"/>
      <c r="AK155" s="355"/>
      <c r="AL155" s="624"/>
      <c r="AM155" s="332"/>
      <c r="AN155" s="332" t="str">
        <f t="shared" si="17"/>
        <v>JW MARRIOTTSQ 611</v>
      </c>
      <c r="AO155" s="334" t="s">
        <v>26</v>
      </c>
      <c r="AP155" s="351">
        <v>45923</v>
      </c>
      <c r="AQ155" s="336" t="s">
        <v>182</v>
      </c>
      <c r="AR155" s="336" t="s">
        <v>52</v>
      </c>
      <c r="AS155" s="337">
        <v>0.25347222222222221</v>
      </c>
    </row>
    <row r="156" spans="1:46" ht="15" customHeight="1">
      <c r="A156" s="879"/>
      <c r="B156" s="888"/>
      <c r="C156" s="889"/>
      <c r="D156" s="885">
        <f>E156-TIME(0,15,0)</f>
        <v>0.13541666666666669</v>
      </c>
      <c r="E156" s="845">
        <f>F156-TIME(1,0,0)</f>
        <v>0.14583333333333334</v>
      </c>
      <c r="F156" s="885">
        <f>G156-TIME(0,20,0)</f>
        <v>0.1875</v>
      </c>
      <c r="G156" s="885">
        <f>H156</f>
        <v>0.2013888888888889</v>
      </c>
      <c r="H156" s="617">
        <f>I156-TIME(3,0,0)</f>
        <v>0.2013888888888889</v>
      </c>
      <c r="I156" s="621">
        <v>0.3263888888888889</v>
      </c>
      <c r="J156" s="348" t="s">
        <v>31</v>
      </c>
      <c r="K156" s="348"/>
      <c r="L156" s="348"/>
      <c r="M156" s="348">
        <v>4</v>
      </c>
      <c r="N156" s="348"/>
      <c r="O156" s="622">
        <f>SUM(J156:N160)</f>
        <v>12</v>
      </c>
      <c r="P156" s="348"/>
      <c r="Q156" s="625">
        <v>1</v>
      </c>
      <c r="R156" s="626"/>
      <c r="S156" s="626"/>
      <c r="T156" s="626"/>
      <c r="U156" s="626" t="s">
        <v>220</v>
      </c>
      <c r="V156" s="881"/>
      <c r="W156" s="627"/>
      <c r="X156" s="628"/>
      <c r="Y156" s="380">
        <f>Z156-TIME(0,15,0)</f>
        <v>0.20833333333333334</v>
      </c>
      <c r="Z156" s="629">
        <f>AA156-TIME(0,45,0)</f>
        <v>0.21875</v>
      </c>
      <c r="AA156" s="380">
        <f>AB156-TIME(3,0,0)</f>
        <v>0.25</v>
      </c>
      <c r="AB156" s="380">
        <v>0.375</v>
      </c>
      <c r="AC156" s="384" t="s">
        <v>221</v>
      </c>
      <c r="AD156" s="384"/>
      <c r="AE156" s="384"/>
      <c r="AF156" s="384">
        <v>2</v>
      </c>
      <c r="AG156" s="384"/>
      <c r="AH156" s="630">
        <f t="shared" ref="AH156:AH157" si="20">SUM(AC156:AG156)</f>
        <v>2</v>
      </c>
      <c r="AI156" s="384">
        <v>1</v>
      </c>
      <c r="AJ156" s="384"/>
      <c r="AK156" s="384"/>
      <c r="AL156" s="631"/>
      <c r="AM156" s="332"/>
      <c r="AN156" s="332" t="str">
        <f t="shared" si="17"/>
        <v>JW MARRIOTTUA 806</v>
      </c>
      <c r="AO156" s="334" t="s">
        <v>26</v>
      </c>
      <c r="AP156" s="351">
        <v>45923</v>
      </c>
      <c r="AQ156" s="336" t="s">
        <v>182</v>
      </c>
      <c r="AR156" s="336" t="s">
        <v>54</v>
      </c>
      <c r="AS156" s="337">
        <v>0.25347222222222221</v>
      </c>
    </row>
    <row r="157" spans="1:46" ht="15" customHeight="1">
      <c r="A157" s="879"/>
      <c r="B157" s="879"/>
      <c r="C157" s="879"/>
      <c r="D157" s="879"/>
      <c r="E157" s="866"/>
      <c r="F157" s="879"/>
      <c r="G157" s="879"/>
      <c r="H157" s="375">
        <f>I157-TIME(3,0,0)</f>
        <v>0.2013888888888889</v>
      </c>
      <c r="I157" s="358">
        <v>0.3263888888888889</v>
      </c>
      <c r="J157" s="360" t="s">
        <v>33</v>
      </c>
      <c r="K157" s="360">
        <v>2</v>
      </c>
      <c r="L157" s="360"/>
      <c r="M157" s="360"/>
      <c r="N157" s="360"/>
      <c r="O157" s="373"/>
      <c r="P157" s="360"/>
      <c r="Q157" s="577">
        <v>1</v>
      </c>
      <c r="R157" s="577"/>
      <c r="S157" s="577"/>
      <c r="T157" s="626"/>
      <c r="U157" s="626" t="s">
        <v>222</v>
      </c>
      <c r="V157" s="881"/>
      <c r="W157" s="380">
        <f t="shared" ref="W157:W158" si="21">X157-TIME(0,15,0)</f>
        <v>0.25694444444444442</v>
      </c>
      <c r="X157" s="629">
        <f t="shared" ref="X157:X158" si="22">AA157-TIME(0,45,0)</f>
        <v>0.2673611111111111</v>
      </c>
      <c r="Y157" s="627"/>
      <c r="Z157" s="627"/>
      <c r="AA157" s="380">
        <f>AB157-TIME(2,0,0)</f>
        <v>0.2986111111111111</v>
      </c>
      <c r="AB157" s="380">
        <v>0.38194444444444442</v>
      </c>
      <c r="AC157" s="384" t="s">
        <v>223</v>
      </c>
      <c r="AD157" s="384"/>
      <c r="AE157" s="384">
        <v>5</v>
      </c>
      <c r="AF157" s="384"/>
      <c r="AG157" s="384"/>
      <c r="AH157" s="630">
        <f t="shared" si="20"/>
        <v>5</v>
      </c>
      <c r="AI157" s="384"/>
      <c r="AJ157" s="384">
        <v>1</v>
      </c>
      <c r="AK157" s="384"/>
      <c r="AL157" s="631"/>
      <c r="AM157" s="332"/>
      <c r="AN157" s="332" t="str">
        <f t="shared" si="17"/>
        <v>JW MARRIOTTVJ 863</v>
      </c>
      <c r="AO157" s="334" t="s">
        <v>26</v>
      </c>
      <c r="AP157" s="351">
        <v>45923</v>
      </c>
      <c r="AQ157" s="336" t="s">
        <v>182</v>
      </c>
      <c r="AR157" s="336" t="s">
        <v>123</v>
      </c>
      <c r="AS157" s="337">
        <v>0.28819444444444442</v>
      </c>
    </row>
    <row r="158" spans="1:46" ht="15" customHeight="1">
      <c r="A158" s="879"/>
      <c r="B158" s="879"/>
      <c r="C158" s="879"/>
      <c r="D158" s="879"/>
      <c r="E158" s="866"/>
      <c r="F158" s="879"/>
      <c r="G158" s="879"/>
      <c r="H158" s="375"/>
      <c r="I158" s="358"/>
      <c r="J158" s="360"/>
      <c r="K158" s="360"/>
      <c r="L158" s="360"/>
      <c r="M158" s="360"/>
      <c r="N158" s="360"/>
      <c r="O158" s="373"/>
      <c r="P158" s="360"/>
      <c r="Q158" s="360"/>
      <c r="R158" s="360"/>
      <c r="S158" s="360"/>
      <c r="T158" s="360"/>
      <c r="U158" s="332"/>
      <c r="V158" s="882"/>
      <c r="W158" s="380">
        <f t="shared" si="21"/>
        <v>0.52777777777777779</v>
      </c>
      <c r="X158" s="629">
        <f t="shared" si="22"/>
        <v>0.53819444444444442</v>
      </c>
      <c r="Y158" s="627"/>
      <c r="Z158" s="627"/>
      <c r="AA158" s="380">
        <f>AB158-TIME(2,0,0)</f>
        <v>0.56944444444444442</v>
      </c>
      <c r="AB158" s="380">
        <v>0.65277777777777779</v>
      </c>
      <c r="AC158" s="384" t="s">
        <v>224</v>
      </c>
      <c r="AD158" s="384"/>
      <c r="AE158" s="384">
        <v>4</v>
      </c>
      <c r="AF158" s="384"/>
      <c r="AG158" s="384"/>
      <c r="AH158" s="630">
        <f>SUM(AD158:AG158)</f>
        <v>4</v>
      </c>
      <c r="AI158" s="384">
        <v>1</v>
      </c>
      <c r="AJ158" s="384"/>
      <c r="AK158" s="384"/>
      <c r="AL158" s="631"/>
      <c r="AM158" s="332"/>
      <c r="AN158" s="332" t="str">
        <f t="shared" si="17"/>
        <v>JW MARRIOTTBR 169</v>
      </c>
      <c r="AO158" s="334" t="s">
        <v>26</v>
      </c>
      <c r="AP158" s="351">
        <v>45923</v>
      </c>
      <c r="AQ158" s="336" t="s">
        <v>182</v>
      </c>
      <c r="AR158" s="336" t="s">
        <v>55</v>
      </c>
      <c r="AS158" s="337">
        <v>0.28819444444444442</v>
      </c>
    </row>
    <row r="159" spans="1:46" ht="22.5" customHeight="1">
      <c r="A159" s="879"/>
      <c r="B159" s="879"/>
      <c r="C159" s="879"/>
      <c r="D159" s="879"/>
      <c r="E159" s="866"/>
      <c r="F159" s="879"/>
      <c r="G159" s="879"/>
      <c r="H159" s="375">
        <f t="shared" ref="H159:H176" si="23">I159-TIME(3,0,0)</f>
        <v>0.2048611111111111</v>
      </c>
      <c r="I159" s="358">
        <v>0.3298611111111111</v>
      </c>
      <c r="J159" s="360" t="s">
        <v>39</v>
      </c>
      <c r="K159" s="360">
        <v>4</v>
      </c>
      <c r="L159" s="360"/>
      <c r="M159" s="360"/>
      <c r="N159" s="360"/>
      <c r="O159" s="373"/>
      <c r="P159" s="360"/>
      <c r="Q159" s="360"/>
      <c r="R159" s="360"/>
      <c r="S159" s="360"/>
      <c r="T159" s="360"/>
      <c r="U159" s="332"/>
      <c r="V159" s="891" t="s">
        <v>32</v>
      </c>
      <c r="W159" s="892"/>
      <c r="X159" s="892"/>
      <c r="Y159" s="892"/>
      <c r="Z159" s="892"/>
      <c r="AA159" s="892"/>
      <c r="AB159" s="892"/>
      <c r="AC159" s="893"/>
      <c r="AD159" s="632">
        <v>0</v>
      </c>
      <c r="AE159" s="632">
        <f>SUM(AE152:AE158)</f>
        <v>24</v>
      </c>
      <c r="AF159" s="632">
        <f t="shared" ref="AF159:AG159" si="24">SUM(AF152:AF157)</f>
        <v>2</v>
      </c>
      <c r="AG159" s="632">
        <f t="shared" si="24"/>
        <v>6</v>
      </c>
      <c r="AH159" s="633">
        <f>SUM(AH152:AH158)</f>
        <v>32</v>
      </c>
      <c r="AI159" s="632">
        <f t="shared" ref="AI159:AK159" si="25">SUM(AI152:AI158)</f>
        <v>2</v>
      </c>
      <c r="AJ159" s="632">
        <f t="shared" si="25"/>
        <v>1</v>
      </c>
      <c r="AK159" s="632">
        <f t="shared" si="25"/>
        <v>0</v>
      </c>
      <c r="AL159" s="634">
        <f>SUM(AL152:AL157)</f>
        <v>1</v>
      </c>
      <c r="AM159" s="332"/>
      <c r="AN159" s="332" t="str">
        <f t="shared" si="17"/>
        <v>JW MARRIOTTMU 580</v>
      </c>
      <c r="AO159" s="334" t="s">
        <v>26</v>
      </c>
      <c r="AP159" s="351">
        <v>45923</v>
      </c>
      <c r="AQ159" s="336" t="s">
        <v>182</v>
      </c>
      <c r="AR159" s="336" t="s">
        <v>125</v>
      </c>
      <c r="AS159" s="337">
        <v>0.28819444444444442</v>
      </c>
    </row>
    <row r="160" spans="1:46" ht="15" customHeight="1">
      <c r="A160" s="879"/>
      <c r="B160" s="871"/>
      <c r="C160" s="871"/>
      <c r="D160" s="883"/>
      <c r="E160" s="890"/>
      <c r="F160" s="871"/>
      <c r="G160" s="883"/>
      <c r="H160" s="380">
        <f t="shared" si="23"/>
        <v>0.21527777777777779</v>
      </c>
      <c r="I160" s="352">
        <v>0.34027777777777779</v>
      </c>
      <c r="J160" s="379" t="s">
        <v>225</v>
      </c>
      <c r="K160" s="379"/>
      <c r="L160" s="379"/>
      <c r="M160" s="379">
        <v>2</v>
      </c>
      <c r="N160" s="379"/>
      <c r="O160" s="462"/>
      <c r="P160" s="379"/>
      <c r="Q160" s="379"/>
      <c r="R160" s="379"/>
      <c r="S160" s="379"/>
      <c r="T160" s="379"/>
      <c r="U160" s="332"/>
      <c r="V160" s="332"/>
      <c r="W160" s="332"/>
      <c r="X160" s="332"/>
      <c r="Y160" s="332"/>
      <c r="Z160" s="332"/>
      <c r="AA160" s="332"/>
      <c r="AB160" s="332"/>
      <c r="AC160" s="332"/>
      <c r="AD160" s="332"/>
      <c r="AE160" s="332"/>
      <c r="AF160" s="332"/>
      <c r="AG160" s="332"/>
      <c r="AH160" s="332"/>
      <c r="AI160" s="332" t="s">
        <v>34</v>
      </c>
      <c r="AJ160" s="332" t="s">
        <v>35</v>
      </c>
      <c r="AK160" s="332" t="s">
        <v>36</v>
      </c>
      <c r="AL160" s="332" t="s">
        <v>37</v>
      </c>
      <c r="AM160" s="332"/>
      <c r="AN160" s="332" t="str">
        <f t="shared" si="17"/>
        <v>JW MARRIOTTCZ 314</v>
      </c>
      <c r="AO160" s="334" t="s">
        <v>26</v>
      </c>
      <c r="AP160" s="351">
        <v>45923</v>
      </c>
      <c r="AQ160" s="336" t="s">
        <v>182</v>
      </c>
      <c r="AR160" s="336" t="s">
        <v>126</v>
      </c>
      <c r="AS160" s="337">
        <v>0.3263888888888889</v>
      </c>
    </row>
    <row r="161" spans="1:45" ht="15" customHeight="1">
      <c r="A161" s="879"/>
      <c r="B161" s="816">
        <f>C161-TIME(0,15,0)</f>
        <v>0.13541666666666669</v>
      </c>
      <c r="C161" s="817">
        <f t="shared" ref="C161:D161" si="26">D161-TIME(0,15,0)</f>
        <v>0.14583333333333334</v>
      </c>
      <c r="D161" s="816">
        <f t="shared" si="26"/>
        <v>0.15625</v>
      </c>
      <c r="E161" s="845">
        <f>F161-TIME(1,0,0)</f>
        <v>0.16666666666666666</v>
      </c>
      <c r="F161" s="885">
        <f>G161-TIME(0,20,0)</f>
        <v>0.20833333333333331</v>
      </c>
      <c r="G161" s="885">
        <f>H161</f>
        <v>0.22222222222222221</v>
      </c>
      <c r="H161" s="365">
        <f t="shared" si="23"/>
        <v>0.22222222222222221</v>
      </c>
      <c r="I161" s="621">
        <v>0.34722222222222221</v>
      </c>
      <c r="J161" s="348" t="s">
        <v>93</v>
      </c>
      <c r="K161" s="348">
        <v>2</v>
      </c>
      <c r="L161" s="348"/>
      <c r="M161" s="348"/>
      <c r="N161" s="348"/>
      <c r="O161" s="622">
        <f>SUM(J161:N164)</f>
        <v>20</v>
      </c>
      <c r="P161" s="348"/>
      <c r="Q161" s="348"/>
      <c r="R161" s="348"/>
      <c r="S161" s="348">
        <v>1</v>
      </c>
      <c r="T161" s="348"/>
      <c r="U161" s="332"/>
      <c r="V161" s="332"/>
      <c r="W161" s="332"/>
      <c r="X161" s="332"/>
      <c r="Y161" s="332"/>
      <c r="Z161" s="332"/>
      <c r="AA161" s="332"/>
      <c r="AB161" s="332"/>
      <c r="AC161" s="332"/>
      <c r="AD161" s="332"/>
      <c r="AE161" s="332"/>
      <c r="AF161" s="332"/>
      <c r="AG161" s="332"/>
      <c r="AH161" s="332"/>
      <c r="AI161" s="332"/>
      <c r="AJ161" s="332"/>
      <c r="AK161" s="332"/>
      <c r="AL161" s="332"/>
      <c r="AM161" s="332"/>
      <c r="AN161" s="332" t="str">
        <f t="shared" si="17"/>
        <v>JW MARRIOTTOZ 202</v>
      </c>
      <c r="AO161" s="334" t="s">
        <v>26</v>
      </c>
      <c r="AP161" s="351">
        <v>45923</v>
      </c>
      <c r="AQ161" s="336" t="s">
        <v>182</v>
      </c>
      <c r="AR161" s="336" t="s">
        <v>57</v>
      </c>
      <c r="AS161" s="337">
        <v>0.3263888888888889</v>
      </c>
    </row>
    <row r="162" spans="1:45" ht="15" customHeight="1">
      <c r="A162" s="879"/>
      <c r="B162" s="879"/>
      <c r="C162" s="879"/>
      <c r="D162" s="879"/>
      <c r="E162" s="866"/>
      <c r="F162" s="879"/>
      <c r="G162" s="879"/>
      <c r="H162" s="358">
        <f t="shared" si="23"/>
        <v>0.22222222222222221</v>
      </c>
      <c r="I162" s="358">
        <v>0.34722222222222221</v>
      </c>
      <c r="J162" s="360" t="s">
        <v>226</v>
      </c>
      <c r="K162" s="360"/>
      <c r="L162" s="360"/>
      <c r="M162" s="360">
        <v>14</v>
      </c>
      <c r="N162" s="360"/>
      <c r="O162" s="373"/>
      <c r="P162" s="360"/>
      <c r="Q162" s="360"/>
      <c r="R162" s="360"/>
      <c r="S162" s="360"/>
      <c r="T162" s="360"/>
      <c r="U162" s="332"/>
      <c r="V162" s="332"/>
      <c r="W162" s="332"/>
      <c r="X162" s="332"/>
      <c r="Y162" s="332"/>
      <c r="Z162" s="332"/>
      <c r="AA162" s="332"/>
      <c r="AB162" s="332"/>
      <c r="AC162" s="332"/>
      <c r="AD162" s="332"/>
      <c r="AE162" s="332"/>
      <c r="AF162" s="332"/>
      <c r="AG162" s="332"/>
      <c r="AH162" s="332"/>
      <c r="AI162" s="332"/>
      <c r="AJ162" s="332"/>
      <c r="AK162" s="332"/>
      <c r="AL162" s="332"/>
      <c r="AM162" s="332"/>
      <c r="AN162" s="332" t="str">
        <f t="shared" si="17"/>
        <v>JW MARRIOTTZ2 885</v>
      </c>
      <c r="AO162" s="334" t="s">
        <v>26</v>
      </c>
      <c r="AP162" s="351">
        <v>45923</v>
      </c>
      <c r="AQ162" s="336" t="s">
        <v>182</v>
      </c>
      <c r="AR162" s="336" t="s">
        <v>129</v>
      </c>
      <c r="AS162" s="337">
        <v>0.3263888888888889</v>
      </c>
    </row>
    <row r="163" spans="1:45" ht="15" customHeight="1">
      <c r="A163" s="879"/>
      <c r="B163" s="879"/>
      <c r="C163" s="879"/>
      <c r="D163" s="879"/>
      <c r="E163" s="866"/>
      <c r="F163" s="879"/>
      <c r="G163" s="879"/>
      <c r="H163" s="358">
        <f t="shared" si="23"/>
        <v>0.2326388888888889</v>
      </c>
      <c r="I163" s="358">
        <v>0.3576388888888889</v>
      </c>
      <c r="J163" s="360" t="s">
        <v>109</v>
      </c>
      <c r="K163" s="360"/>
      <c r="L163" s="360">
        <v>2</v>
      </c>
      <c r="M163" s="360"/>
      <c r="N163" s="360"/>
      <c r="O163" s="373"/>
      <c r="P163" s="360"/>
      <c r="Q163" s="360"/>
      <c r="R163" s="360"/>
      <c r="S163" s="360"/>
      <c r="T163" s="360"/>
      <c r="U163" s="332"/>
      <c r="V163" s="332"/>
      <c r="W163" s="332"/>
      <c r="X163" s="332"/>
      <c r="Y163" s="332"/>
      <c r="Z163" s="332"/>
      <c r="AA163" s="332"/>
      <c r="AB163" s="332"/>
      <c r="AC163" s="332"/>
      <c r="AD163" s="332"/>
      <c r="AE163" s="332"/>
      <c r="AF163" s="332"/>
      <c r="AG163" s="332"/>
      <c r="AH163" s="332"/>
      <c r="AI163" s="332"/>
      <c r="AJ163" s="332"/>
      <c r="AK163" s="332"/>
      <c r="AL163" s="332"/>
      <c r="AM163" s="332"/>
      <c r="AN163" s="332" t="str">
        <f t="shared" si="17"/>
        <v>JW MARRIOTTNQ 122</v>
      </c>
      <c r="AO163" s="334" t="s">
        <v>26</v>
      </c>
      <c r="AP163" s="351">
        <v>45923</v>
      </c>
      <c r="AQ163" s="336" t="s">
        <v>182</v>
      </c>
      <c r="AR163" s="336" t="s">
        <v>130</v>
      </c>
      <c r="AS163" s="337">
        <v>0.3611111111111111</v>
      </c>
    </row>
    <row r="164" spans="1:45" ht="15" customHeight="1">
      <c r="A164" s="879"/>
      <c r="B164" s="871"/>
      <c r="C164" s="871"/>
      <c r="D164" s="883"/>
      <c r="E164" s="866"/>
      <c r="F164" s="871"/>
      <c r="G164" s="871"/>
      <c r="H164" s="589">
        <f t="shared" si="23"/>
        <v>0.24305555555555558</v>
      </c>
      <c r="I164" s="589">
        <v>0.36805555555555558</v>
      </c>
      <c r="J164" s="379" t="s">
        <v>227</v>
      </c>
      <c r="K164" s="379"/>
      <c r="L164" s="379"/>
      <c r="M164" s="379">
        <v>2</v>
      </c>
      <c r="N164" s="379"/>
      <c r="O164" s="462"/>
      <c r="P164" s="379"/>
      <c r="Q164" s="379"/>
      <c r="R164" s="379"/>
      <c r="S164" s="379"/>
      <c r="T164" s="379"/>
      <c r="U164" s="332"/>
      <c r="V164" s="332"/>
      <c r="W164" s="332"/>
      <c r="X164" s="332"/>
      <c r="Y164" s="332"/>
      <c r="Z164" s="332"/>
      <c r="AA164" s="332"/>
      <c r="AB164" s="332"/>
      <c r="AC164" s="332"/>
      <c r="AD164" s="332"/>
      <c r="AE164" s="332"/>
      <c r="AF164" s="332"/>
      <c r="AG164" s="332"/>
      <c r="AH164" s="332"/>
      <c r="AI164" s="332"/>
      <c r="AJ164" s="332"/>
      <c r="AK164" s="332"/>
      <c r="AL164" s="332"/>
      <c r="AM164" s="332"/>
      <c r="AN164" s="332" t="str">
        <f t="shared" si="17"/>
        <v>JW MARRIOTTCX 439</v>
      </c>
      <c r="AO164" s="334" t="s">
        <v>26</v>
      </c>
      <c r="AP164" s="351">
        <v>45923</v>
      </c>
      <c r="AQ164" s="336" t="s">
        <v>182</v>
      </c>
      <c r="AR164" s="336" t="s">
        <v>59</v>
      </c>
      <c r="AS164" s="337">
        <v>0.3611111111111111</v>
      </c>
    </row>
    <row r="165" spans="1:45" ht="15" customHeight="1">
      <c r="A165" s="879"/>
      <c r="B165" s="885">
        <f>C165-TIME(0,15,0)</f>
        <v>0.17708333333333337</v>
      </c>
      <c r="C165" s="886">
        <f t="shared" ref="C165:D165" si="27">D165-TIME(0,15,0)</f>
        <v>0.18750000000000003</v>
      </c>
      <c r="D165" s="885">
        <f t="shared" si="27"/>
        <v>0.19791666666666669</v>
      </c>
      <c r="E165" s="856">
        <f>F165-TIME(1,0,0)</f>
        <v>0.20833333333333334</v>
      </c>
      <c r="F165" s="885">
        <f>H165</f>
        <v>0.25</v>
      </c>
      <c r="G165" s="885">
        <f>F165+TIME(0,20,0)</f>
        <v>0.2638888888888889</v>
      </c>
      <c r="H165" s="621">
        <f t="shared" si="23"/>
        <v>0.25</v>
      </c>
      <c r="I165" s="621">
        <v>0.375</v>
      </c>
      <c r="J165" s="348" t="s">
        <v>111</v>
      </c>
      <c r="K165" s="348">
        <v>4</v>
      </c>
      <c r="L165" s="348">
        <v>3</v>
      </c>
      <c r="M165" s="348"/>
      <c r="N165" s="348"/>
      <c r="O165" s="622">
        <f>SUM(J165:N170)</f>
        <v>19</v>
      </c>
      <c r="P165" s="348"/>
      <c r="Q165" s="348"/>
      <c r="R165" s="348"/>
      <c r="S165" s="348">
        <v>1</v>
      </c>
      <c r="T165" s="348"/>
      <c r="U165" s="332"/>
      <c r="V165" s="332"/>
      <c r="W165" s="332"/>
      <c r="X165" s="332"/>
      <c r="Y165" s="332"/>
      <c r="Z165" s="332"/>
      <c r="AA165" s="332"/>
      <c r="AB165" s="332"/>
      <c r="AC165" s="332"/>
      <c r="AD165" s="332"/>
      <c r="AE165" s="332"/>
      <c r="AF165" s="332"/>
      <c r="AG165" s="332"/>
      <c r="AH165" s="332"/>
      <c r="AI165" s="332"/>
      <c r="AJ165" s="332"/>
      <c r="AK165" s="332"/>
      <c r="AL165" s="332"/>
      <c r="AM165" s="332"/>
      <c r="AN165" s="332" t="str">
        <f t="shared" si="17"/>
        <v>JW MARRIOTTKE 789</v>
      </c>
      <c r="AO165" s="334" t="s">
        <v>26</v>
      </c>
      <c r="AP165" s="351">
        <v>45923</v>
      </c>
      <c r="AQ165" s="336" t="s">
        <v>182</v>
      </c>
      <c r="AR165" s="336" t="s">
        <v>132</v>
      </c>
      <c r="AS165" s="337">
        <v>0.3611111111111111</v>
      </c>
    </row>
    <row r="166" spans="1:45" ht="15" customHeight="1">
      <c r="A166" s="879"/>
      <c r="B166" s="879"/>
      <c r="C166" s="879"/>
      <c r="D166" s="879"/>
      <c r="E166" s="865"/>
      <c r="F166" s="879"/>
      <c r="G166" s="879"/>
      <c r="H166" s="358">
        <f t="shared" si="23"/>
        <v>0.25</v>
      </c>
      <c r="I166" s="358">
        <v>0.375</v>
      </c>
      <c r="J166" s="360" t="s">
        <v>228</v>
      </c>
      <c r="K166" s="360">
        <v>2</v>
      </c>
      <c r="L166" s="360"/>
      <c r="M166" s="360"/>
      <c r="N166" s="360"/>
      <c r="O166" s="373"/>
      <c r="P166" s="360"/>
      <c r="Q166" s="360"/>
      <c r="R166" s="360"/>
      <c r="S166" s="360"/>
      <c r="T166" s="360"/>
      <c r="U166" s="332"/>
      <c r="V166" s="332"/>
      <c r="W166" s="332"/>
      <c r="X166" s="332"/>
      <c r="Y166" s="332"/>
      <c r="Z166" s="332"/>
      <c r="AA166" s="332"/>
      <c r="AB166" s="332"/>
      <c r="AC166" s="332"/>
      <c r="AD166" s="332"/>
      <c r="AE166" s="332"/>
      <c r="AF166" s="332"/>
      <c r="AG166" s="332"/>
      <c r="AH166" s="332"/>
      <c r="AI166" s="332"/>
      <c r="AJ166" s="332"/>
      <c r="AK166" s="332"/>
      <c r="AL166" s="332"/>
      <c r="AM166" s="332"/>
      <c r="AN166" s="332" t="str">
        <f t="shared" si="17"/>
        <v>JW MARRIOTTNH 6954</v>
      </c>
      <c r="AO166" s="334" t="s">
        <v>26</v>
      </c>
      <c r="AP166" s="351">
        <v>45923</v>
      </c>
      <c r="AQ166" s="336" t="s">
        <v>182</v>
      </c>
      <c r="AR166" s="336" t="s">
        <v>134</v>
      </c>
      <c r="AS166" s="337">
        <v>0.3611111111111111</v>
      </c>
    </row>
    <row r="167" spans="1:45" ht="15" customHeight="1">
      <c r="A167" s="879"/>
      <c r="B167" s="879"/>
      <c r="C167" s="879"/>
      <c r="D167" s="879"/>
      <c r="E167" s="865"/>
      <c r="F167" s="879"/>
      <c r="G167" s="879"/>
      <c r="H167" s="358">
        <f t="shared" si="23"/>
        <v>0.25347222222222221</v>
      </c>
      <c r="I167" s="358">
        <v>0.37847222222222221</v>
      </c>
      <c r="J167" s="360" t="s">
        <v>229</v>
      </c>
      <c r="K167" s="360">
        <v>2</v>
      </c>
      <c r="L167" s="360">
        <v>2</v>
      </c>
      <c r="M167" s="360"/>
      <c r="N167" s="360"/>
      <c r="O167" s="373"/>
      <c r="P167" s="360"/>
      <c r="Q167" s="360"/>
      <c r="R167" s="360"/>
      <c r="S167" s="360"/>
      <c r="T167" s="360"/>
      <c r="U167" s="332"/>
      <c r="V167" s="332"/>
      <c r="W167" s="332"/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2"/>
      <c r="AK167" s="332"/>
      <c r="AL167" s="332"/>
      <c r="AM167" s="332"/>
      <c r="AN167" s="332" t="str">
        <f t="shared" si="17"/>
        <v>JW MARRIOTTOZ 114</v>
      </c>
      <c r="AO167" s="334" t="s">
        <v>26</v>
      </c>
      <c r="AP167" s="351">
        <v>45923</v>
      </c>
      <c r="AQ167" s="336" t="s">
        <v>182</v>
      </c>
      <c r="AR167" s="336" t="s">
        <v>135</v>
      </c>
      <c r="AS167" s="337">
        <v>0.3611111111111111</v>
      </c>
    </row>
    <row r="168" spans="1:45" ht="15" customHeight="1">
      <c r="A168" s="879"/>
      <c r="B168" s="879"/>
      <c r="C168" s="879"/>
      <c r="D168" s="879"/>
      <c r="E168" s="865"/>
      <c r="F168" s="879"/>
      <c r="G168" s="879"/>
      <c r="H168" s="358">
        <f t="shared" si="23"/>
        <v>0.2673611111111111</v>
      </c>
      <c r="I168" s="358">
        <v>0.3923611111111111</v>
      </c>
      <c r="J168" s="360" t="s">
        <v>42</v>
      </c>
      <c r="K168" s="360"/>
      <c r="L168" s="360"/>
      <c r="M168" s="360"/>
      <c r="N168" s="360">
        <v>2</v>
      </c>
      <c r="O168" s="373"/>
      <c r="P168" s="360"/>
      <c r="Q168" s="360"/>
      <c r="R168" s="360"/>
      <c r="S168" s="360"/>
      <c r="T168" s="360"/>
      <c r="U168" s="332"/>
      <c r="V168" s="332"/>
      <c r="W168" s="332"/>
      <c r="X168" s="332"/>
      <c r="Y168" s="332"/>
      <c r="Z168" s="332"/>
      <c r="AA168" s="332"/>
      <c r="AB168" s="332"/>
      <c r="AC168" s="332"/>
      <c r="AD168" s="332"/>
      <c r="AE168" s="332"/>
      <c r="AF168" s="332"/>
      <c r="AG168" s="332"/>
      <c r="AH168" s="332"/>
      <c r="AI168" s="332"/>
      <c r="AJ168" s="332"/>
      <c r="AK168" s="332"/>
      <c r="AL168" s="332"/>
      <c r="AM168" s="332"/>
      <c r="AN168" s="332" t="str">
        <f t="shared" si="17"/>
        <v>JW MARRIOTTDL 7860</v>
      </c>
      <c r="AO168" s="334" t="s">
        <v>26</v>
      </c>
      <c r="AP168" s="351">
        <v>45923</v>
      </c>
      <c r="AQ168" s="336" t="s">
        <v>182</v>
      </c>
      <c r="AR168" s="336" t="s">
        <v>142</v>
      </c>
      <c r="AS168" s="337">
        <v>0.46527777777777779</v>
      </c>
    </row>
    <row r="169" spans="1:45" ht="15" customHeight="1">
      <c r="A169" s="879"/>
      <c r="B169" s="879"/>
      <c r="C169" s="879"/>
      <c r="D169" s="879"/>
      <c r="E169" s="865"/>
      <c r="F169" s="879"/>
      <c r="G169" s="879"/>
      <c r="H169" s="358">
        <f t="shared" si="23"/>
        <v>0.27083333333333331</v>
      </c>
      <c r="I169" s="358">
        <v>0.39583333333333331</v>
      </c>
      <c r="J169" s="360" t="s">
        <v>230</v>
      </c>
      <c r="K169" s="360"/>
      <c r="L169" s="360"/>
      <c r="M169" s="360">
        <v>1</v>
      </c>
      <c r="N169" s="360"/>
      <c r="O169" s="373"/>
      <c r="P169" s="360"/>
      <c r="Q169" s="360"/>
      <c r="R169" s="360"/>
      <c r="S169" s="360"/>
      <c r="T169" s="360"/>
      <c r="U169" s="332"/>
      <c r="V169" s="332"/>
      <c r="W169" s="332"/>
      <c r="X169" s="332"/>
      <c r="Y169" s="332"/>
      <c r="Z169" s="332"/>
      <c r="AA169" s="332"/>
      <c r="AB169" s="332"/>
      <c r="AC169" s="332"/>
      <c r="AD169" s="332"/>
      <c r="AE169" s="332"/>
      <c r="AF169" s="332"/>
      <c r="AG169" s="332"/>
      <c r="AH169" s="332"/>
      <c r="AI169" s="332"/>
      <c r="AJ169" s="332"/>
      <c r="AK169" s="332"/>
      <c r="AL169" s="332"/>
      <c r="AM169" s="332"/>
      <c r="AN169" s="332" t="str">
        <f t="shared" si="17"/>
        <v>JW MARRIOTTKE 23</v>
      </c>
      <c r="AO169" s="334" t="s">
        <v>26</v>
      </c>
      <c r="AP169" s="351">
        <v>45923</v>
      </c>
      <c r="AQ169" s="336" t="s">
        <v>182</v>
      </c>
      <c r="AR169" s="336" t="s">
        <v>61</v>
      </c>
      <c r="AS169" s="337">
        <v>0.46527777777777779</v>
      </c>
    </row>
    <row r="170" spans="1:45" ht="15" customHeight="1">
      <c r="A170" s="879"/>
      <c r="B170" s="883"/>
      <c r="C170" s="883"/>
      <c r="D170" s="883"/>
      <c r="E170" s="873"/>
      <c r="F170" s="883"/>
      <c r="G170" s="883"/>
      <c r="H170" s="352">
        <f t="shared" si="23"/>
        <v>0.27083333333333331</v>
      </c>
      <c r="I170" s="589">
        <v>0.39583333333333331</v>
      </c>
      <c r="J170" s="379" t="s">
        <v>44</v>
      </c>
      <c r="K170" s="379"/>
      <c r="L170" s="379"/>
      <c r="M170" s="379">
        <v>3</v>
      </c>
      <c r="N170" s="379"/>
      <c r="O170" s="462"/>
      <c r="P170" s="379"/>
      <c r="Q170" s="379"/>
      <c r="R170" s="379"/>
      <c r="S170" s="379"/>
      <c r="T170" s="379"/>
      <c r="U170" s="332"/>
      <c r="V170" s="332"/>
      <c r="W170" s="332"/>
      <c r="X170" s="332"/>
      <c r="Y170" s="332"/>
      <c r="Z170" s="332"/>
      <c r="AA170" s="332"/>
      <c r="AB170" s="332"/>
      <c r="AC170" s="332"/>
      <c r="AD170" s="332"/>
      <c r="AE170" s="332"/>
      <c r="AF170" s="332"/>
      <c r="AG170" s="332"/>
      <c r="AH170" s="332"/>
      <c r="AI170" s="332"/>
      <c r="AJ170" s="332"/>
      <c r="AK170" s="332"/>
      <c r="AL170" s="332"/>
      <c r="AM170" s="332"/>
      <c r="AN170" s="332" t="str">
        <f t="shared" si="17"/>
        <v>JW MARRIOTTKE 187</v>
      </c>
      <c r="AO170" s="334" t="s">
        <v>26</v>
      </c>
      <c r="AP170" s="351">
        <v>45923</v>
      </c>
      <c r="AQ170" s="336" t="s">
        <v>182</v>
      </c>
      <c r="AR170" s="336" t="s">
        <v>143</v>
      </c>
      <c r="AS170" s="337">
        <v>0.46527777777777779</v>
      </c>
    </row>
    <row r="171" spans="1:45" ht="15" customHeight="1">
      <c r="A171" s="879"/>
      <c r="B171" s="885">
        <f>C171-TIME(0,15,0)</f>
        <v>0.21527777777777779</v>
      </c>
      <c r="C171" s="886">
        <f t="shared" ref="C171:D171" si="28">D171-TIME(0,15,0)</f>
        <v>0.22569444444444445</v>
      </c>
      <c r="D171" s="885">
        <f t="shared" si="28"/>
        <v>0.2361111111111111</v>
      </c>
      <c r="E171" s="845">
        <f>F171-TIME(1,0,0)</f>
        <v>0.24652777777777776</v>
      </c>
      <c r="F171" s="885">
        <f>G171-TIME(0,20,0)</f>
        <v>0.28819444444444442</v>
      </c>
      <c r="G171" s="885">
        <f>H171</f>
        <v>0.30208333333333331</v>
      </c>
      <c r="H171" s="621">
        <f t="shared" si="23"/>
        <v>0.30208333333333331</v>
      </c>
      <c r="I171" s="621">
        <v>0.42708333333333331</v>
      </c>
      <c r="J171" s="348" t="s">
        <v>48</v>
      </c>
      <c r="K171" s="348"/>
      <c r="L171" s="348"/>
      <c r="M171" s="348"/>
      <c r="N171" s="348">
        <v>3</v>
      </c>
      <c r="O171" s="635">
        <v>20</v>
      </c>
      <c r="P171" s="348"/>
      <c r="Q171" s="348"/>
      <c r="R171" s="348"/>
      <c r="S171" s="348">
        <v>1</v>
      </c>
      <c r="T171" s="348"/>
      <c r="U171" s="332"/>
      <c r="V171" s="332"/>
      <c r="W171" s="332"/>
      <c r="X171" s="332"/>
      <c r="Y171" s="332"/>
      <c r="Z171" s="332"/>
      <c r="AA171" s="332"/>
      <c r="AB171" s="332"/>
      <c r="AC171" s="332"/>
      <c r="AD171" s="332"/>
      <c r="AE171" s="332"/>
      <c r="AF171" s="332"/>
      <c r="AG171" s="332"/>
      <c r="AH171" s="332"/>
      <c r="AI171" s="332"/>
      <c r="AJ171" s="332"/>
      <c r="AK171" s="332"/>
      <c r="AL171" s="332"/>
      <c r="AM171" s="332"/>
      <c r="AN171" s="332" t="str">
        <f t="shared" si="17"/>
        <v>JW MARRIOTTOZ 751</v>
      </c>
      <c r="AO171" s="334" t="s">
        <v>26</v>
      </c>
      <c r="AP171" s="351">
        <v>45923</v>
      </c>
      <c r="AQ171" s="336" t="s">
        <v>182</v>
      </c>
      <c r="AR171" s="336" t="s">
        <v>145</v>
      </c>
      <c r="AS171" s="337">
        <v>0.46527777777777779</v>
      </c>
    </row>
    <row r="172" spans="1:45" ht="15" customHeight="1">
      <c r="A172" s="879"/>
      <c r="B172" s="879"/>
      <c r="C172" s="879"/>
      <c r="D172" s="879"/>
      <c r="E172" s="866"/>
      <c r="F172" s="879"/>
      <c r="G172" s="879"/>
      <c r="H172" s="358">
        <f t="shared" si="23"/>
        <v>0.3125</v>
      </c>
      <c r="I172" s="358">
        <v>0.4375</v>
      </c>
      <c r="J172" s="360" t="s">
        <v>231</v>
      </c>
      <c r="K172" s="360"/>
      <c r="L172" s="360"/>
      <c r="M172" s="360">
        <v>2</v>
      </c>
      <c r="N172" s="360"/>
      <c r="O172" s="373"/>
      <c r="P172" s="360"/>
      <c r="Q172" s="360"/>
      <c r="R172" s="360"/>
      <c r="S172" s="360"/>
      <c r="T172" s="360"/>
      <c r="U172" s="332"/>
      <c r="V172" s="332"/>
      <c r="W172" s="332"/>
      <c r="X172" s="332"/>
      <c r="Y172" s="332"/>
      <c r="Z172" s="332"/>
      <c r="AA172" s="332"/>
      <c r="AB172" s="332"/>
      <c r="AC172" s="332"/>
      <c r="AD172" s="332"/>
      <c r="AE172" s="332"/>
      <c r="AF172" s="332"/>
      <c r="AG172" s="332"/>
      <c r="AH172" s="332"/>
      <c r="AI172" s="332"/>
      <c r="AJ172" s="332"/>
      <c r="AK172" s="332"/>
      <c r="AL172" s="332"/>
      <c r="AM172" s="332"/>
      <c r="AN172" s="332" t="str">
        <f t="shared" si="17"/>
        <v>JW MARRIOTTKE 671</v>
      </c>
      <c r="AO172" s="334" t="s">
        <v>26</v>
      </c>
      <c r="AP172" s="351">
        <v>45923</v>
      </c>
      <c r="AQ172" s="336" t="s">
        <v>182</v>
      </c>
      <c r="AR172" s="336" t="s">
        <v>146</v>
      </c>
      <c r="AS172" s="337">
        <v>0.46527777777777779</v>
      </c>
    </row>
    <row r="173" spans="1:45" ht="15" customHeight="1">
      <c r="A173" s="879"/>
      <c r="B173" s="879"/>
      <c r="C173" s="879"/>
      <c r="D173" s="879"/>
      <c r="E173" s="866"/>
      <c r="F173" s="879"/>
      <c r="G173" s="879"/>
      <c r="H173" s="358">
        <f t="shared" si="23"/>
        <v>0.31597222222222221</v>
      </c>
      <c r="I173" s="358">
        <v>0.44097222222222221</v>
      </c>
      <c r="J173" s="360" t="s">
        <v>50</v>
      </c>
      <c r="K173" s="360"/>
      <c r="L173" s="360">
        <v>7</v>
      </c>
      <c r="M173" s="360"/>
      <c r="N173" s="360"/>
      <c r="O173" s="373"/>
      <c r="P173" s="360"/>
      <c r="Q173" s="360"/>
      <c r="R173" s="360"/>
      <c r="S173" s="360"/>
      <c r="T173" s="360"/>
      <c r="U173" s="332"/>
      <c r="V173" s="332"/>
      <c r="W173" s="332"/>
      <c r="X173" s="332"/>
      <c r="Y173" s="332"/>
      <c r="Z173" s="332"/>
      <c r="AA173" s="332"/>
      <c r="AB173" s="332"/>
      <c r="AC173" s="332"/>
      <c r="AD173" s="332"/>
      <c r="AE173" s="332"/>
      <c r="AF173" s="332"/>
      <c r="AG173" s="332"/>
      <c r="AH173" s="332"/>
      <c r="AI173" s="332"/>
      <c r="AJ173" s="332"/>
      <c r="AK173" s="332"/>
      <c r="AL173" s="332"/>
      <c r="AM173" s="332"/>
      <c r="AN173" s="332" t="str">
        <f t="shared" si="17"/>
        <v>JW MARRIOTTDL 188</v>
      </c>
      <c r="AO173" s="334" t="s">
        <v>26</v>
      </c>
      <c r="AP173" s="351">
        <v>45923</v>
      </c>
      <c r="AQ173" s="336" t="s">
        <v>182</v>
      </c>
      <c r="AR173" s="336" t="s">
        <v>62</v>
      </c>
      <c r="AS173" s="337">
        <v>0.46527777777777779</v>
      </c>
    </row>
    <row r="174" spans="1:45" ht="15" customHeight="1">
      <c r="A174" s="879"/>
      <c r="B174" s="879"/>
      <c r="C174" s="879"/>
      <c r="D174" s="879"/>
      <c r="E174" s="866"/>
      <c r="F174" s="879"/>
      <c r="G174" s="879"/>
      <c r="H174" s="358">
        <f t="shared" si="23"/>
        <v>0.31944444444444442</v>
      </c>
      <c r="I174" s="358">
        <v>0.44444444444444442</v>
      </c>
      <c r="J174" s="360" t="s">
        <v>232</v>
      </c>
      <c r="K174" s="360">
        <v>2</v>
      </c>
      <c r="L174" s="636">
        <v>2</v>
      </c>
      <c r="M174" s="360"/>
      <c r="N174" s="360"/>
      <c r="O174" s="373"/>
      <c r="P174" s="360"/>
      <c r="Q174" s="360"/>
      <c r="R174" s="360"/>
      <c r="S174" s="360"/>
      <c r="T174" s="360"/>
      <c r="U174" s="332"/>
      <c r="V174" s="332"/>
      <c r="W174" s="332"/>
      <c r="X174" s="332"/>
      <c r="Y174" s="332"/>
      <c r="Z174" s="332"/>
      <c r="AA174" s="332"/>
      <c r="AB174" s="332"/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32"/>
      <c r="AN174" s="332" t="str">
        <f t="shared" si="17"/>
        <v>JW MARRIOTTKE 41</v>
      </c>
      <c r="AO174" s="334" t="s">
        <v>26</v>
      </c>
      <c r="AP174" s="351">
        <v>45923</v>
      </c>
      <c r="AQ174" s="336" t="s">
        <v>182</v>
      </c>
      <c r="AR174" s="336" t="s">
        <v>63</v>
      </c>
      <c r="AS174" s="337">
        <v>0.49305555555555558</v>
      </c>
    </row>
    <row r="175" spans="1:45" ht="15" customHeight="1">
      <c r="A175" s="879"/>
      <c r="B175" s="871"/>
      <c r="C175" s="871"/>
      <c r="D175" s="871"/>
      <c r="E175" s="866"/>
      <c r="F175" s="871"/>
      <c r="G175" s="871"/>
      <c r="H175" s="589">
        <f t="shared" si="23"/>
        <v>0.31944444444444442</v>
      </c>
      <c r="I175" s="589">
        <v>0.44444444444444442</v>
      </c>
      <c r="J175" s="379" t="s">
        <v>119</v>
      </c>
      <c r="K175" s="379"/>
      <c r="L175" s="379"/>
      <c r="M175" s="379">
        <v>4</v>
      </c>
      <c r="N175" s="379"/>
      <c r="O175" s="462"/>
      <c r="P175" s="379"/>
      <c r="Q175" s="379"/>
      <c r="R175" s="379"/>
      <c r="S175" s="379"/>
      <c r="T175" s="379"/>
      <c r="U175" s="332"/>
      <c r="V175" s="332"/>
      <c r="W175" s="332"/>
      <c r="X175" s="332"/>
      <c r="Y175" s="332"/>
      <c r="Z175" s="332"/>
      <c r="AA175" s="332"/>
      <c r="AB175" s="332"/>
      <c r="AC175" s="332"/>
      <c r="AD175" s="332"/>
      <c r="AE175" s="332"/>
      <c r="AF175" s="332"/>
      <c r="AG175" s="332"/>
      <c r="AH175" s="332"/>
      <c r="AI175" s="332"/>
      <c r="AJ175" s="332"/>
      <c r="AK175" s="332"/>
      <c r="AL175" s="332"/>
      <c r="AM175" s="332"/>
      <c r="AN175" s="332" t="str">
        <f t="shared" si="17"/>
        <v>JW MARRIOTTCZ 3062</v>
      </c>
      <c r="AO175" s="334" t="s">
        <v>26</v>
      </c>
      <c r="AP175" s="351">
        <v>45923</v>
      </c>
      <c r="AQ175" s="336" t="s">
        <v>182</v>
      </c>
      <c r="AR175" s="336" t="s">
        <v>147</v>
      </c>
      <c r="AS175" s="337">
        <v>0.49305555555555558</v>
      </c>
    </row>
    <row r="176" spans="1:45" ht="15" customHeight="1">
      <c r="A176" s="879"/>
      <c r="B176" s="885">
        <f>C176-TIME(0,15,0)</f>
        <v>0.26041666666666657</v>
      </c>
      <c r="C176" s="886">
        <f t="shared" ref="C176:D176" si="29">D176-TIME(0,15,0)</f>
        <v>0.27083333333333326</v>
      </c>
      <c r="D176" s="885">
        <f t="shared" si="29"/>
        <v>0.28124999999999994</v>
      </c>
      <c r="E176" s="856">
        <f>F176-TIME(1,0,0)</f>
        <v>0.29166666666666663</v>
      </c>
      <c r="F176" s="885">
        <f>H176</f>
        <v>0.33333333333333331</v>
      </c>
      <c r="G176" s="885">
        <f>F176+TIME(0,20,0)</f>
        <v>0.34722222222222221</v>
      </c>
      <c r="H176" s="621">
        <f t="shared" si="23"/>
        <v>0.33333333333333331</v>
      </c>
      <c r="I176" s="621">
        <v>0.45833333333333331</v>
      </c>
      <c r="J176" s="348" t="s">
        <v>233</v>
      </c>
      <c r="K176" s="348">
        <v>2</v>
      </c>
      <c r="L176" s="348"/>
      <c r="M176" s="348"/>
      <c r="N176" s="348"/>
      <c r="O176" s="622">
        <f>SUM(J176:N180)</f>
        <v>35</v>
      </c>
      <c r="P176" s="348"/>
      <c r="Q176" s="637">
        <v>0</v>
      </c>
      <c r="R176" s="638">
        <v>1</v>
      </c>
      <c r="S176" s="638"/>
      <c r="T176" s="638"/>
      <c r="U176" s="639" t="s">
        <v>234</v>
      </c>
      <c r="V176" s="332"/>
      <c r="W176" s="332"/>
      <c r="X176" s="332"/>
      <c r="Y176" s="332"/>
      <c r="Z176" s="332"/>
      <c r="AA176" s="332"/>
      <c r="AB176" s="332"/>
      <c r="AC176" s="332"/>
      <c r="AD176" s="332"/>
      <c r="AE176" s="332"/>
      <c r="AF176" s="332"/>
      <c r="AG176" s="332"/>
      <c r="AH176" s="332"/>
      <c r="AI176" s="332"/>
      <c r="AJ176" s="332"/>
      <c r="AK176" s="332"/>
      <c r="AL176" s="332"/>
      <c r="AM176" s="332"/>
      <c r="AN176" s="332" t="str">
        <f t="shared" si="17"/>
        <v>JW MARRIOTTUA 892</v>
      </c>
      <c r="AO176" s="334" t="s">
        <v>26</v>
      </c>
      <c r="AP176" s="351">
        <v>45923</v>
      </c>
      <c r="AQ176" s="336" t="s">
        <v>182</v>
      </c>
      <c r="AR176" s="336" t="s">
        <v>64</v>
      </c>
      <c r="AS176" s="337">
        <v>0.49305555555555558</v>
      </c>
    </row>
    <row r="177" spans="1:45" ht="15" customHeight="1">
      <c r="A177" s="879"/>
      <c r="B177" s="879"/>
      <c r="C177" s="879"/>
      <c r="D177" s="879"/>
      <c r="E177" s="865"/>
      <c r="F177" s="879"/>
      <c r="G177" s="879"/>
      <c r="H177" s="365">
        <f>I177-TIME(3,0,0)</f>
        <v>0.33680555555555558</v>
      </c>
      <c r="I177" s="365">
        <v>0.46180555555555558</v>
      </c>
      <c r="J177" s="366" t="s">
        <v>51</v>
      </c>
      <c r="K177" s="366">
        <v>4</v>
      </c>
      <c r="L177" s="366">
        <v>2</v>
      </c>
      <c r="M177" s="366"/>
      <c r="N177" s="366"/>
      <c r="O177" s="367"/>
      <c r="P177" s="366"/>
      <c r="Q177" s="366"/>
      <c r="R177" s="575"/>
      <c r="S177" s="575">
        <v>1</v>
      </c>
      <c r="T177" s="575"/>
      <c r="U177" s="640" t="s">
        <v>235</v>
      </c>
      <c r="V177" s="332"/>
      <c r="W177" s="332"/>
      <c r="X177" s="332"/>
      <c r="Y177" s="332"/>
      <c r="Z177" s="332"/>
      <c r="AA177" s="332"/>
      <c r="AB177" s="332"/>
      <c r="AC177" s="332"/>
      <c r="AD177" s="332"/>
      <c r="AE177" s="332"/>
      <c r="AF177" s="332"/>
      <c r="AG177" s="332"/>
      <c r="AH177" s="332"/>
      <c r="AI177" s="332"/>
      <c r="AJ177" s="332"/>
      <c r="AK177" s="332"/>
      <c r="AL177" s="332"/>
      <c r="AM177" s="332"/>
      <c r="AN177" s="332" t="str">
        <f t="shared" si="17"/>
        <v>JW MARRIOTT9C 8560</v>
      </c>
      <c r="AO177" s="334" t="s">
        <v>26</v>
      </c>
      <c r="AP177" s="351">
        <v>45923</v>
      </c>
      <c r="AQ177" s="336" t="s">
        <v>182</v>
      </c>
      <c r="AR177" s="336" t="s">
        <v>150</v>
      </c>
      <c r="AS177" s="337">
        <v>0.49305555555555558</v>
      </c>
    </row>
    <row r="178" spans="1:45" ht="15" customHeight="1">
      <c r="A178" s="879"/>
      <c r="B178" s="879"/>
      <c r="C178" s="879"/>
      <c r="D178" s="879"/>
      <c r="E178" s="865"/>
      <c r="F178" s="879"/>
      <c r="G178" s="879"/>
      <c r="H178" s="358">
        <f t="shared" ref="H178:H181" si="30">I178-TIME(3,0,0)</f>
        <v>0.33680555555555558</v>
      </c>
      <c r="I178" s="358">
        <v>0.46180555555555558</v>
      </c>
      <c r="J178" s="360" t="s">
        <v>236</v>
      </c>
      <c r="K178" s="360"/>
      <c r="L178" s="360">
        <v>2</v>
      </c>
      <c r="M178" s="360"/>
      <c r="N178" s="360"/>
      <c r="O178" s="373"/>
      <c r="P178" s="360"/>
      <c r="Q178" s="360"/>
      <c r="R178" s="360"/>
      <c r="S178" s="360"/>
      <c r="T178" s="360"/>
      <c r="U178" s="332"/>
      <c r="V178" s="332"/>
      <c r="W178" s="332"/>
      <c r="X178" s="332"/>
      <c r="Y178" s="332"/>
      <c r="Z178" s="332"/>
      <c r="AA178" s="332"/>
      <c r="AB178" s="332"/>
      <c r="AC178" s="332"/>
      <c r="AD178" s="332"/>
      <c r="AE178" s="332"/>
      <c r="AF178" s="332"/>
      <c r="AG178" s="332"/>
      <c r="AH178" s="332"/>
      <c r="AI178" s="332"/>
      <c r="AJ178" s="332"/>
      <c r="AK178" s="332"/>
      <c r="AL178" s="332"/>
      <c r="AM178" s="332"/>
      <c r="AN178" s="332" t="str">
        <f t="shared" si="17"/>
        <v>JW MARRIOTTAA 280</v>
      </c>
      <c r="AO178" s="334" t="s">
        <v>26</v>
      </c>
      <c r="AP178" s="351">
        <v>45923</v>
      </c>
      <c r="AQ178" s="336" t="s">
        <v>182</v>
      </c>
      <c r="AR178" s="336" t="s">
        <v>65</v>
      </c>
      <c r="AS178" s="337">
        <v>0.53819444444444442</v>
      </c>
    </row>
    <row r="179" spans="1:45" ht="15" customHeight="1">
      <c r="A179" s="879"/>
      <c r="B179" s="879"/>
      <c r="C179" s="879"/>
      <c r="D179" s="879"/>
      <c r="E179" s="865"/>
      <c r="F179" s="879"/>
      <c r="G179" s="879"/>
      <c r="H179" s="358">
        <f t="shared" si="30"/>
        <v>0.34027777777777779</v>
      </c>
      <c r="I179" s="358">
        <v>0.46527777777777779</v>
      </c>
      <c r="J179" s="360" t="s">
        <v>121</v>
      </c>
      <c r="K179" s="360"/>
      <c r="L179" s="360"/>
      <c r="M179" s="360">
        <v>4</v>
      </c>
      <c r="N179" s="360"/>
      <c r="O179" s="373"/>
      <c r="P179" s="360"/>
      <c r="Q179" s="360"/>
      <c r="R179" s="360"/>
      <c r="S179" s="360"/>
      <c r="T179" s="360"/>
      <c r="U179" s="332"/>
      <c r="V179" s="332"/>
      <c r="W179" s="332"/>
      <c r="X179" s="332"/>
      <c r="Y179" s="332"/>
      <c r="Z179" s="332"/>
      <c r="AA179" s="332"/>
      <c r="AB179" s="332"/>
      <c r="AC179" s="332"/>
      <c r="AD179" s="332"/>
      <c r="AE179" s="332"/>
      <c r="AF179" s="332"/>
      <c r="AG179" s="332"/>
      <c r="AH179" s="332"/>
      <c r="AI179" s="332"/>
      <c r="AJ179" s="332"/>
      <c r="AK179" s="332"/>
      <c r="AL179" s="332"/>
      <c r="AM179" s="332"/>
      <c r="AN179" s="332" t="str">
        <f t="shared" si="17"/>
        <v>JW MARRIOTTTG 653</v>
      </c>
      <c r="AO179" s="334" t="s">
        <v>26</v>
      </c>
      <c r="AP179" s="351">
        <v>45923</v>
      </c>
      <c r="AQ179" s="336" t="s">
        <v>182</v>
      </c>
      <c r="AR179" s="336" t="s">
        <v>151</v>
      </c>
      <c r="AS179" s="337">
        <v>0.53819444444444442</v>
      </c>
    </row>
    <row r="180" spans="1:45" ht="15" customHeight="1">
      <c r="A180" s="879"/>
      <c r="B180" s="871"/>
      <c r="C180" s="871"/>
      <c r="D180" s="871"/>
      <c r="E180" s="872"/>
      <c r="F180" s="871"/>
      <c r="G180" s="871"/>
      <c r="H180" s="589">
        <f t="shared" si="30"/>
        <v>0.35416666666666669</v>
      </c>
      <c r="I180" s="589">
        <v>0.47916666666666669</v>
      </c>
      <c r="J180" s="379" t="s">
        <v>54</v>
      </c>
      <c r="K180" s="379"/>
      <c r="L180" s="379">
        <v>21</v>
      </c>
      <c r="M180" s="379"/>
      <c r="N180" s="379"/>
      <c r="O180" s="462"/>
      <c r="P180" s="379"/>
      <c r="Q180" s="379"/>
      <c r="R180" s="379"/>
      <c r="S180" s="379"/>
      <c r="T180" s="379"/>
      <c r="U180" s="332"/>
      <c r="V180" s="332"/>
      <c r="W180" s="332"/>
      <c r="X180" s="332"/>
      <c r="Y180" s="332"/>
      <c r="Z180" s="332"/>
      <c r="AA180" s="332"/>
      <c r="AB180" s="332"/>
      <c r="AC180" s="332"/>
      <c r="AD180" s="332"/>
      <c r="AE180" s="332"/>
      <c r="AF180" s="332"/>
      <c r="AG180" s="332"/>
      <c r="AH180" s="332"/>
      <c r="AI180" s="332"/>
      <c r="AJ180" s="332"/>
      <c r="AK180" s="332"/>
      <c r="AL180" s="332"/>
      <c r="AM180" s="332"/>
      <c r="AN180" s="332" t="str">
        <f t="shared" si="17"/>
        <v>JW MARRIOTTAC 64</v>
      </c>
      <c r="AO180" s="334" t="s">
        <v>26</v>
      </c>
      <c r="AP180" s="351">
        <v>45923</v>
      </c>
      <c r="AQ180" s="336" t="s">
        <v>182</v>
      </c>
      <c r="AR180" s="336" t="s">
        <v>66</v>
      </c>
      <c r="AS180" s="337">
        <v>0.53819444444444442</v>
      </c>
    </row>
    <row r="181" spans="1:45" ht="15" customHeight="1">
      <c r="A181" s="879"/>
      <c r="B181" s="382">
        <f t="shared" ref="B181:D182" si="31">C181-TIME(0,15,0)</f>
        <v>0.30902777777777773</v>
      </c>
      <c r="C181" s="381">
        <f>F181-TIME(1,20,0)</f>
        <v>0.31944444444444442</v>
      </c>
      <c r="D181" s="641"/>
      <c r="E181" s="642"/>
      <c r="F181" s="382">
        <f>H181</f>
        <v>0.375</v>
      </c>
      <c r="G181" s="641"/>
      <c r="H181" s="382">
        <f t="shared" si="30"/>
        <v>0.375</v>
      </c>
      <c r="I181" s="617">
        <v>0.5</v>
      </c>
      <c r="J181" s="616" t="s">
        <v>55</v>
      </c>
      <c r="K181" s="616"/>
      <c r="L181" s="616">
        <v>5</v>
      </c>
      <c r="M181" s="616"/>
      <c r="N181" s="616"/>
      <c r="O181" s="618">
        <f>SUM(K181:N181)</f>
        <v>5</v>
      </c>
      <c r="P181" s="616"/>
      <c r="Q181" s="616">
        <v>1</v>
      </c>
      <c r="R181" s="616"/>
      <c r="S181" s="616"/>
      <c r="T181" s="616"/>
      <c r="U181" s="620"/>
      <c r="V181" s="332"/>
      <c r="W181" s="332"/>
      <c r="X181" s="332"/>
      <c r="Y181" s="332"/>
      <c r="Z181" s="332"/>
      <c r="AA181" s="332"/>
      <c r="AB181" s="332"/>
      <c r="AC181" s="332"/>
      <c r="AD181" s="332"/>
      <c r="AE181" s="332"/>
      <c r="AF181" s="332"/>
      <c r="AG181" s="332"/>
      <c r="AH181" s="332"/>
      <c r="AI181" s="332"/>
      <c r="AJ181" s="332"/>
      <c r="AK181" s="332"/>
      <c r="AL181" s="332"/>
      <c r="AM181" s="332"/>
      <c r="AN181" s="332" t="str">
        <f t="shared" si="17"/>
        <v>JW MARRIOTTVN 403</v>
      </c>
      <c r="AO181" s="334" t="s">
        <v>26</v>
      </c>
      <c r="AP181" s="351">
        <v>45923</v>
      </c>
      <c r="AQ181" s="336" t="s">
        <v>182</v>
      </c>
      <c r="AR181" s="336" t="s">
        <v>152</v>
      </c>
      <c r="AS181" s="337">
        <v>0.53819444444444442</v>
      </c>
    </row>
    <row r="182" spans="1:45" ht="15" customHeight="1">
      <c r="A182" s="879"/>
      <c r="B182" s="894">
        <f t="shared" si="31"/>
        <v>0.3020833333333332</v>
      </c>
      <c r="C182" s="895">
        <f t="shared" si="31"/>
        <v>0.31249999999999989</v>
      </c>
      <c r="D182" s="896">
        <f t="shared" si="31"/>
        <v>0.32291666666666657</v>
      </c>
      <c r="E182" s="830">
        <f>F182-TIME(1,0,0)</f>
        <v>0.33333333333333326</v>
      </c>
      <c r="F182" s="896">
        <f>G182-TIME(0,20,0)</f>
        <v>0.37499999999999994</v>
      </c>
      <c r="G182" s="896">
        <f>H182</f>
        <v>0.38888888888888884</v>
      </c>
      <c r="H182" s="643">
        <f>I182-TIME(3,0,0)</f>
        <v>0.38888888888888884</v>
      </c>
      <c r="I182" s="643">
        <v>0.51388888888888884</v>
      </c>
      <c r="J182" s="521" t="s">
        <v>237</v>
      </c>
      <c r="K182" s="521"/>
      <c r="L182" s="521">
        <v>1</v>
      </c>
      <c r="M182" s="521"/>
      <c r="N182" s="521"/>
      <c r="O182" s="522">
        <f>SUM(K182:N187)</f>
        <v>16</v>
      </c>
      <c r="P182" s="521"/>
      <c r="Q182" s="521"/>
      <c r="R182" s="521"/>
      <c r="S182" s="644">
        <v>1</v>
      </c>
      <c r="T182" s="644"/>
      <c r="U182" s="620"/>
      <c r="V182" s="332"/>
      <c r="W182" s="332"/>
      <c r="X182" s="332"/>
      <c r="Y182" s="332"/>
      <c r="Z182" s="332"/>
      <c r="AA182" s="332"/>
      <c r="AB182" s="332"/>
      <c r="AC182" s="332"/>
      <c r="AD182" s="332"/>
      <c r="AE182" s="332"/>
      <c r="AF182" s="332"/>
      <c r="AG182" s="332"/>
      <c r="AH182" s="332"/>
      <c r="AI182" s="332"/>
      <c r="AJ182" s="332"/>
      <c r="AK182" s="332"/>
      <c r="AL182" s="332"/>
      <c r="AM182" s="332"/>
      <c r="AN182" s="332" t="str">
        <f t="shared" si="17"/>
        <v>JW MARRIOTTKE 651</v>
      </c>
      <c r="AO182" s="334" t="s">
        <v>26</v>
      </c>
      <c r="AP182" s="351">
        <v>45923</v>
      </c>
      <c r="AQ182" s="336" t="s">
        <v>182</v>
      </c>
      <c r="AR182" s="336" t="s">
        <v>67</v>
      </c>
      <c r="AS182" s="337">
        <v>0.56597222222222221</v>
      </c>
    </row>
    <row r="183" spans="1:45" ht="15" customHeight="1">
      <c r="A183" s="879"/>
      <c r="B183" s="881"/>
      <c r="C183" s="865"/>
      <c r="D183" s="865"/>
      <c r="E183" s="865"/>
      <c r="F183" s="865"/>
      <c r="G183" s="865"/>
      <c r="H183" s="600">
        <f>I183-TIME(3,0,0)</f>
        <v>0.39930555555555558</v>
      </c>
      <c r="I183" s="600">
        <v>0.52430555555555558</v>
      </c>
      <c r="J183" s="332" t="s">
        <v>238</v>
      </c>
      <c r="K183" s="332"/>
      <c r="L183" s="332"/>
      <c r="M183" s="332">
        <v>1</v>
      </c>
      <c r="N183" s="332">
        <v>7</v>
      </c>
      <c r="O183" s="527"/>
      <c r="P183" s="332"/>
      <c r="Q183" s="332"/>
      <c r="R183" s="332"/>
      <c r="S183" s="645"/>
      <c r="T183" s="645"/>
      <c r="U183" s="332"/>
      <c r="V183" s="332"/>
      <c r="W183" s="332"/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2"/>
      <c r="AI183" s="332"/>
      <c r="AJ183" s="332"/>
      <c r="AK183" s="332"/>
      <c r="AL183" s="332"/>
      <c r="AM183" s="332"/>
      <c r="AN183" s="332" t="str">
        <f t="shared" si="17"/>
        <v>JW MARRIOTTKE 461</v>
      </c>
      <c r="AO183" s="334" t="s">
        <v>26</v>
      </c>
      <c r="AP183" s="351">
        <v>45923</v>
      </c>
      <c r="AQ183" s="336" t="s">
        <v>182</v>
      </c>
      <c r="AR183" s="336" t="s">
        <v>154</v>
      </c>
      <c r="AS183" s="337">
        <v>0.56597222222222221</v>
      </c>
    </row>
    <row r="184" spans="1:45" ht="15" customHeight="1">
      <c r="A184" s="879"/>
      <c r="B184" s="881"/>
      <c r="C184" s="865"/>
      <c r="D184" s="865"/>
      <c r="E184" s="865"/>
      <c r="F184" s="865"/>
      <c r="G184" s="865"/>
      <c r="H184" s="365">
        <f>I184-TIME(3,0,0)</f>
        <v>0.39930555555555558</v>
      </c>
      <c r="I184" s="365">
        <v>0.52430555555555558</v>
      </c>
      <c r="J184" s="366" t="s">
        <v>126</v>
      </c>
      <c r="K184" s="366">
        <v>1</v>
      </c>
      <c r="L184" s="366"/>
      <c r="M184" s="366"/>
      <c r="N184" s="366"/>
      <c r="O184" s="367"/>
      <c r="P184" s="366"/>
      <c r="Q184" s="366"/>
      <c r="R184" s="366"/>
      <c r="S184" s="366"/>
      <c r="T184" s="366"/>
      <c r="U184" s="332"/>
      <c r="V184" s="332"/>
      <c r="W184" s="332"/>
      <c r="X184" s="332"/>
      <c r="Y184" s="332"/>
      <c r="Z184" s="332"/>
      <c r="AA184" s="332"/>
      <c r="AB184" s="332"/>
      <c r="AC184" s="332"/>
      <c r="AD184" s="332"/>
      <c r="AE184" s="332"/>
      <c r="AF184" s="332"/>
      <c r="AG184" s="332"/>
      <c r="AH184" s="332"/>
      <c r="AI184" s="332"/>
      <c r="AJ184" s="332"/>
      <c r="AK184" s="332"/>
      <c r="AL184" s="332"/>
      <c r="AM184" s="332"/>
      <c r="AN184" s="332" t="str">
        <f t="shared" si="17"/>
        <v>JW MARRIOTTDL 170</v>
      </c>
      <c r="AO184" s="334" t="s">
        <v>26</v>
      </c>
      <c r="AP184" s="351">
        <v>45923</v>
      </c>
      <c r="AQ184" s="336" t="s">
        <v>182</v>
      </c>
      <c r="AR184" s="336" t="s">
        <v>155</v>
      </c>
      <c r="AS184" s="337">
        <v>0.56597222222222221</v>
      </c>
    </row>
    <row r="185" spans="1:45" ht="15" customHeight="1">
      <c r="A185" s="879"/>
      <c r="B185" s="881"/>
      <c r="C185" s="865"/>
      <c r="D185" s="865"/>
      <c r="E185" s="865"/>
      <c r="F185" s="865"/>
      <c r="G185" s="865"/>
      <c r="H185" s="358">
        <f t="shared" ref="H185:H186" si="32">I185-TIME(3,0,0)</f>
        <v>0.40625</v>
      </c>
      <c r="I185" s="358">
        <v>0.53125</v>
      </c>
      <c r="J185" s="360" t="s">
        <v>239</v>
      </c>
      <c r="K185" s="360"/>
      <c r="L185" s="360">
        <v>2</v>
      </c>
      <c r="M185" s="360"/>
      <c r="N185" s="360"/>
      <c r="O185" s="373"/>
      <c r="P185" s="360"/>
      <c r="Q185" s="360"/>
      <c r="R185" s="360"/>
      <c r="S185" s="360"/>
      <c r="T185" s="360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2"/>
      <c r="AK185" s="332"/>
      <c r="AL185" s="332"/>
      <c r="AM185" s="332"/>
      <c r="AN185" s="332" t="str">
        <f t="shared" si="17"/>
        <v>JW MARRIOTTKE 645</v>
      </c>
      <c r="AO185" s="334" t="s">
        <v>26</v>
      </c>
      <c r="AP185" s="351">
        <v>45923</v>
      </c>
      <c r="AQ185" s="336" t="s">
        <v>182</v>
      </c>
      <c r="AR185" s="336" t="s">
        <v>156</v>
      </c>
      <c r="AS185" s="337">
        <v>0.56597222222222221</v>
      </c>
    </row>
    <row r="186" spans="1:45" ht="15" customHeight="1">
      <c r="A186" s="879"/>
      <c r="B186" s="881"/>
      <c r="C186" s="865"/>
      <c r="D186" s="865"/>
      <c r="E186" s="865"/>
      <c r="F186" s="865"/>
      <c r="G186" s="865"/>
      <c r="H186" s="358">
        <f t="shared" si="32"/>
        <v>0.40625</v>
      </c>
      <c r="I186" s="358">
        <v>0.53125</v>
      </c>
      <c r="J186" s="360" t="s">
        <v>58</v>
      </c>
      <c r="K186" s="360">
        <v>1</v>
      </c>
      <c r="L186" s="360">
        <v>1</v>
      </c>
      <c r="M186" s="360"/>
      <c r="N186" s="360"/>
      <c r="O186" s="373"/>
      <c r="P186" s="360"/>
      <c r="Q186" s="360"/>
      <c r="R186" s="360"/>
      <c r="S186" s="360"/>
      <c r="T186" s="360"/>
      <c r="U186" s="332"/>
      <c r="V186" s="332"/>
      <c r="W186" s="332"/>
      <c r="X186" s="332"/>
      <c r="Y186" s="332"/>
      <c r="Z186" s="332"/>
      <c r="AA186" s="332"/>
      <c r="AB186" s="332"/>
      <c r="AC186" s="332"/>
      <c r="AD186" s="332"/>
      <c r="AE186" s="332"/>
      <c r="AF186" s="332"/>
      <c r="AG186" s="332"/>
      <c r="AH186" s="332"/>
      <c r="AI186" s="332"/>
      <c r="AJ186" s="332"/>
      <c r="AK186" s="332"/>
      <c r="AL186" s="332"/>
      <c r="AM186" s="332"/>
      <c r="AN186" s="332" t="str">
        <f t="shared" si="17"/>
        <v>JW MARRIOTTDL 26</v>
      </c>
      <c r="AO186" s="334" t="s">
        <v>26</v>
      </c>
      <c r="AP186" s="351">
        <v>45923</v>
      </c>
      <c r="AQ186" s="336" t="s">
        <v>182</v>
      </c>
      <c r="AR186" s="336" t="s">
        <v>69</v>
      </c>
      <c r="AS186" s="337">
        <v>0.58333333333333337</v>
      </c>
    </row>
    <row r="187" spans="1:45" ht="15" customHeight="1">
      <c r="A187" s="879"/>
      <c r="B187" s="881"/>
      <c r="C187" s="872"/>
      <c r="D187" s="872"/>
      <c r="E187" s="872"/>
      <c r="F187" s="865"/>
      <c r="G187" s="865"/>
      <c r="H187" s="589">
        <f>I187-TIME(3,0,0)</f>
        <v>0.41319444444444442</v>
      </c>
      <c r="I187" s="589">
        <v>0.53819444444444442</v>
      </c>
      <c r="J187" s="379" t="s">
        <v>240</v>
      </c>
      <c r="K187" s="379"/>
      <c r="L187" s="379"/>
      <c r="M187" s="379">
        <v>2</v>
      </c>
      <c r="N187" s="379"/>
      <c r="O187" s="462"/>
      <c r="P187" s="379"/>
      <c r="Q187" s="379"/>
      <c r="R187" s="379"/>
      <c r="S187" s="379"/>
      <c r="T187" s="379"/>
      <c r="U187" s="332"/>
      <c r="V187" s="332"/>
      <c r="W187" s="332"/>
      <c r="X187" s="332"/>
      <c r="Y187" s="332"/>
      <c r="Z187" s="332"/>
      <c r="AA187" s="332"/>
      <c r="AB187" s="332"/>
      <c r="AC187" s="332"/>
      <c r="AD187" s="332"/>
      <c r="AE187" s="332"/>
      <c r="AF187" s="332"/>
      <c r="AG187" s="332"/>
      <c r="AH187" s="332"/>
      <c r="AI187" s="332"/>
      <c r="AJ187" s="332"/>
      <c r="AK187" s="332"/>
      <c r="AL187" s="332"/>
      <c r="AM187" s="332"/>
      <c r="AN187" s="332" t="str">
        <f t="shared" si="17"/>
        <v>JW MARRIOTTKE 623</v>
      </c>
      <c r="AO187" s="334" t="s">
        <v>26</v>
      </c>
      <c r="AP187" s="351">
        <v>45923</v>
      </c>
      <c r="AQ187" s="336" t="s">
        <v>182</v>
      </c>
      <c r="AR187" s="336" t="s">
        <v>160</v>
      </c>
      <c r="AS187" s="337">
        <v>0.58333333333333337</v>
      </c>
    </row>
    <row r="188" spans="1:45" ht="15" customHeight="1">
      <c r="A188" s="879"/>
      <c r="B188" s="885">
        <f>C188-TIME(0,15,0)</f>
        <v>0.34722222222222215</v>
      </c>
      <c r="C188" s="886">
        <f t="shared" ref="C188:D188" si="33">D188-TIME(0,15,0)</f>
        <v>0.35763888888888884</v>
      </c>
      <c r="D188" s="885">
        <f t="shared" si="33"/>
        <v>0.36805555555555552</v>
      </c>
      <c r="E188" s="845">
        <f>F188-TIME(1,0,0)</f>
        <v>0.37847222222222221</v>
      </c>
      <c r="F188" s="885">
        <f>G188-TIME(0,20,0)</f>
        <v>0.4201388888888889</v>
      </c>
      <c r="G188" s="885">
        <f>H188</f>
        <v>0.43402777777777779</v>
      </c>
      <c r="H188" s="621">
        <f t="shared" ref="H188:H239" si="34">I188-TIME(3,0,0)</f>
        <v>0.43402777777777779</v>
      </c>
      <c r="I188" s="621">
        <v>0.55902777777777779</v>
      </c>
      <c r="J188" s="348" t="s">
        <v>241</v>
      </c>
      <c r="K188" s="348"/>
      <c r="L188" s="348"/>
      <c r="M188" s="348"/>
      <c r="N188" s="348">
        <v>2</v>
      </c>
      <c r="O188" s="622">
        <f>SUM(J188:N189)</f>
        <v>25</v>
      </c>
      <c r="P188" s="348"/>
      <c r="Q188" s="348"/>
      <c r="R188" s="348"/>
      <c r="S188" s="348">
        <v>1</v>
      </c>
      <c r="T188" s="348"/>
      <c r="U188" s="332"/>
      <c r="V188" s="332"/>
      <c r="W188" s="332"/>
      <c r="X188" s="332"/>
      <c r="Y188" s="332"/>
      <c r="Z188" s="332"/>
      <c r="AA188" s="332"/>
      <c r="AB188" s="332"/>
      <c r="AC188" s="332"/>
      <c r="AD188" s="332"/>
      <c r="AE188" s="332"/>
      <c r="AF188" s="332"/>
      <c r="AG188" s="332"/>
      <c r="AH188" s="332"/>
      <c r="AI188" s="332"/>
      <c r="AJ188" s="332"/>
      <c r="AK188" s="332"/>
      <c r="AL188" s="332"/>
      <c r="AM188" s="332"/>
      <c r="AN188" s="332" t="str">
        <f t="shared" si="17"/>
        <v>JW MARRIOTTKE 689</v>
      </c>
      <c r="AO188" s="334" t="s">
        <v>26</v>
      </c>
      <c r="AP188" s="351">
        <v>45923</v>
      </c>
      <c r="AQ188" s="336" t="s">
        <v>182</v>
      </c>
      <c r="AR188" s="336" t="s">
        <v>162</v>
      </c>
      <c r="AS188" s="337">
        <v>0.58333333333333337</v>
      </c>
    </row>
    <row r="189" spans="1:45" ht="15" customHeight="1">
      <c r="A189" s="879"/>
      <c r="B189" s="871"/>
      <c r="C189" s="871"/>
      <c r="D189" s="871"/>
      <c r="E189" s="890"/>
      <c r="F189" s="871"/>
      <c r="G189" s="871"/>
      <c r="H189" s="589">
        <f t="shared" si="34"/>
        <v>0.44444444444444442</v>
      </c>
      <c r="I189" s="589">
        <v>0.56944444444444442</v>
      </c>
      <c r="J189" s="379" t="s">
        <v>59</v>
      </c>
      <c r="K189" s="379">
        <v>14</v>
      </c>
      <c r="L189" s="379">
        <v>9</v>
      </c>
      <c r="M189" s="379"/>
      <c r="N189" s="379"/>
      <c r="O189" s="462"/>
      <c r="P189" s="379"/>
      <c r="Q189" s="379"/>
      <c r="R189" s="379"/>
      <c r="S189" s="379"/>
      <c r="T189" s="379"/>
      <c r="U189" s="332"/>
      <c r="V189" s="332"/>
      <c r="W189" s="332"/>
      <c r="X189" s="332"/>
      <c r="Y189" s="332"/>
      <c r="Z189" s="332"/>
      <c r="AA189" s="332"/>
      <c r="AB189" s="332"/>
      <c r="AC189" s="332"/>
      <c r="AD189" s="332"/>
      <c r="AE189" s="332"/>
      <c r="AF189" s="332"/>
      <c r="AG189" s="332"/>
      <c r="AH189" s="332"/>
      <c r="AI189" s="332"/>
      <c r="AJ189" s="332"/>
      <c r="AK189" s="332"/>
      <c r="AL189" s="332"/>
      <c r="AM189" s="332"/>
      <c r="AN189" s="332" t="str">
        <f t="shared" si="17"/>
        <v>JW MARRIOTT7C 2103</v>
      </c>
      <c r="AO189" s="334" t="s">
        <v>26</v>
      </c>
      <c r="AP189" s="351">
        <v>45923</v>
      </c>
      <c r="AQ189" s="336" t="s">
        <v>182</v>
      </c>
      <c r="AR189" s="336" t="s">
        <v>163</v>
      </c>
      <c r="AS189" s="337">
        <v>0.58333333333333337</v>
      </c>
    </row>
    <row r="190" spans="1:45" ht="15" customHeight="1">
      <c r="A190" s="879"/>
      <c r="B190" s="646"/>
      <c r="C190" s="647"/>
      <c r="D190" s="617">
        <f>E190-TIME(0,15,0)</f>
        <v>0.40972222222222221</v>
      </c>
      <c r="E190" s="615">
        <f>F190-TIME(1,0,0)</f>
        <v>0.4201388888888889</v>
      </c>
      <c r="F190" s="617">
        <f t="shared" ref="F190:F191" si="35">H190</f>
        <v>0.46180555555555558</v>
      </c>
      <c r="G190" s="646"/>
      <c r="H190" s="617">
        <f t="shared" si="34"/>
        <v>0.46180555555555558</v>
      </c>
      <c r="I190" s="617">
        <v>0.58680555555555558</v>
      </c>
      <c r="J190" s="616" t="s">
        <v>135</v>
      </c>
      <c r="K190" s="616">
        <v>2</v>
      </c>
      <c r="L190" s="616"/>
      <c r="M190" s="616"/>
      <c r="N190" s="616"/>
      <c r="O190" s="618">
        <f>SUM(J190:N190)</f>
        <v>2</v>
      </c>
      <c r="P190" s="616">
        <v>1</v>
      </c>
      <c r="Q190" s="616"/>
      <c r="R190" s="616"/>
      <c r="S190" s="616"/>
      <c r="T190" s="616"/>
      <c r="U190" s="332"/>
      <c r="V190" s="332"/>
      <c r="W190" s="332"/>
      <c r="X190" s="332"/>
      <c r="Y190" s="332"/>
      <c r="Z190" s="332"/>
      <c r="AA190" s="332"/>
      <c r="AB190" s="332"/>
      <c r="AC190" s="332"/>
      <c r="AD190" s="332"/>
      <c r="AE190" s="332"/>
      <c r="AF190" s="332"/>
      <c r="AG190" s="332"/>
      <c r="AH190" s="332"/>
      <c r="AI190" s="332"/>
      <c r="AJ190" s="332"/>
      <c r="AK190" s="332"/>
      <c r="AL190" s="332"/>
      <c r="AM190" s="332"/>
      <c r="AN190" s="332" t="str">
        <f t="shared" si="17"/>
        <v>JW MARRIOTTAC 62</v>
      </c>
      <c r="AO190" s="334" t="s">
        <v>26</v>
      </c>
      <c r="AP190" s="351">
        <v>45923</v>
      </c>
      <c r="AQ190" s="336" t="s">
        <v>182</v>
      </c>
      <c r="AR190" s="336" t="s">
        <v>71</v>
      </c>
      <c r="AS190" s="337">
        <v>0.58333333333333337</v>
      </c>
    </row>
    <row r="191" spans="1:45" ht="15" customHeight="1">
      <c r="A191" s="879"/>
      <c r="B191" s="897">
        <f>C191-TIME(0,15,0)</f>
        <v>0.40972222222222221</v>
      </c>
      <c r="C191" s="900">
        <f>D191-TIME(0,30,0)</f>
        <v>0.4201388888888889</v>
      </c>
      <c r="D191" s="901">
        <f>E191-TIME(0,15,0)</f>
        <v>0.44097222222222221</v>
      </c>
      <c r="E191" s="902">
        <f>F191-TIME(1,0,0)</f>
        <v>0.4513888888888889</v>
      </c>
      <c r="F191" s="885">
        <f t="shared" si="35"/>
        <v>0.49305555555555558</v>
      </c>
      <c r="G191" s="903"/>
      <c r="H191" s="621">
        <f t="shared" si="34"/>
        <v>0.49305555555555558</v>
      </c>
      <c r="I191" s="621">
        <v>0.61805555555555558</v>
      </c>
      <c r="J191" s="348" t="s">
        <v>140</v>
      </c>
      <c r="K191" s="348"/>
      <c r="L191" s="348">
        <v>1</v>
      </c>
      <c r="M191" s="348"/>
      <c r="N191" s="348"/>
      <c r="O191" s="622">
        <f>SUM(J191:N194)</f>
        <v>17</v>
      </c>
      <c r="P191" s="348"/>
      <c r="Q191" s="348"/>
      <c r="R191" s="348"/>
      <c r="S191" s="348">
        <v>1</v>
      </c>
      <c r="T191" s="348"/>
      <c r="U191" s="332"/>
      <c r="V191" s="332"/>
      <c r="W191" s="332"/>
      <c r="X191" s="332"/>
      <c r="Y191" s="332"/>
      <c r="Z191" s="332"/>
      <c r="AA191" s="332"/>
      <c r="AB191" s="332"/>
      <c r="AC191" s="332"/>
      <c r="AD191" s="332"/>
      <c r="AE191" s="332"/>
      <c r="AF191" s="332"/>
      <c r="AG191" s="332"/>
      <c r="AH191" s="332"/>
      <c r="AI191" s="332"/>
      <c r="AJ191" s="332"/>
      <c r="AK191" s="332"/>
      <c r="AL191" s="332"/>
      <c r="AM191" s="332"/>
      <c r="AN191" s="332" t="str">
        <f t="shared" si="17"/>
        <v>JW MARRIOTTOZ 703</v>
      </c>
      <c r="AO191" s="334" t="s">
        <v>26</v>
      </c>
      <c r="AP191" s="351">
        <v>45923</v>
      </c>
      <c r="AQ191" s="336" t="s">
        <v>182</v>
      </c>
      <c r="AR191" s="336" t="s">
        <v>72</v>
      </c>
      <c r="AS191" s="337">
        <v>0.58333333333333337</v>
      </c>
    </row>
    <row r="192" spans="1:45" ht="15" customHeight="1">
      <c r="A192" s="879"/>
      <c r="B192" s="898"/>
      <c r="C192" s="898"/>
      <c r="D192" s="898"/>
      <c r="E192" s="898"/>
      <c r="F192" s="879"/>
      <c r="G192" s="879"/>
      <c r="H192" s="358">
        <f t="shared" si="34"/>
        <v>0.50694444444444442</v>
      </c>
      <c r="I192" s="358">
        <v>0.63194444444444442</v>
      </c>
      <c r="J192" s="360" t="s">
        <v>60</v>
      </c>
      <c r="K192" s="360"/>
      <c r="L192" s="360">
        <v>11</v>
      </c>
      <c r="M192" s="360"/>
      <c r="N192" s="360"/>
      <c r="O192" s="373"/>
      <c r="P192" s="360"/>
      <c r="Q192" s="360"/>
      <c r="R192" s="360"/>
      <c r="S192" s="360"/>
      <c r="T192" s="360"/>
      <c r="U192" s="332"/>
      <c r="V192" s="332"/>
      <c r="W192" s="332"/>
      <c r="X192" s="332"/>
      <c r="Y192" s="332"/>
      <c r="Z192" s="332"/>
      <c r="AA192" s="332"/>
      <c r="AB192" s="332"/>
      <c r="AC192" s="332"/>
      <c r="AD192" s="332"/>
      <c r="AE192" s="332"/>
      <c r="AF192" s="332"/>
      <c r="AG192" s="332"/>
      <c r="AH192" s="332"/>
      <c r="AI192" s="332"/>
      <c r="AJ192" s="332"/>
      <c r="AK192" s="332"/>
      <c r="AL192" s="332"/>
      <c r="AM192" s="332"/>
      <c r="AN192" s="332" t="str">
        <f t="shared" si="17"/>
        <v>JW MARRIOTTDL 196</v>
      </c>
      <c r="AO192" s="334" t="s">
        <v>26</v>
      </c>
      <c r="AP192" s="351">
        <v>45923</v>
      </c>
      <c r="AQ192" s="336" t="s">
        <v>182</v>
      </c>
      <c r="AR192" s="336" t="s">
        <v>166</v>
      </c>
      <c r="AS192" s="337">
        <v>0.58333333333333337</v>
      </c>
    </row>
    <row r="193" spans="1:45" ht="15" customHeight="1">
      <c r="A193" s="879"/>
      <c r="B193" s="898"/>
      <c r="C193" s="898"/>
      <c r="D193" s="898"/>
      <c r="E193" s="898"/>
      <c r="F193" s="879"/>
      <c r="G193" s="879"/>
      <c r="H193" s="681">
        <f t="shared" ref="H193" si="36">I193-TIME(3,0,0)</f>
        <v>0.52777777777777779</v>
      </c>
      <c r="I193" s="681">
        <v>0.65277777777777779</v>
      </c>
      <c r="J193" s="636" t="s">
        <v>146</v>
      </c>
      <c r="K193" s="678"/>
      <c r="L193" s="678"/>
      <c r="M193" s="678">
        <v>2</v>
      </c>
      <c r="N193" s="379"/>
      <c r="O193" s="462"/>
      <c r="P193" s="379"/>
      <c r="Q193" s="379"/>
      <c r="R193" s="379"/>
      <c r="S193" s="379"/>
      <c r="T193" s="379"/>
      <c r="U193" s="332"/>
      <c r="V193" s="332"/>
      <c r="W193" s="332"/>
      <c r="X193" s="332"/>
      <c r="Y193" s="332"/>
      <c r="Z193" s="332"/>
      <c r="AA193" s="332"/>
      <c r="AB193" s="332"/>
      <c r="AC193" s="332"/>
      <c r="AD193" s="332"/>
      <c r="AE193" s="332"/>
      <c r="AF193" s="332"/>
      <c r="AG193" s="332"/>
      <c r="AH193" s="332"/>
      <c r="AI193" s="332"/>
      <c r="AJ193" s="332"/>
      <c r="AK193" s="332"/>
      <c r="AL193" s="332"/>
      <c r="AM193" s="332"/>
      <c r="AN193" s="332"/>
      <c r="AO193" s="334"/>
      <c r="AP193" s="351"/>
    </row>
    <row r="194" spans="1:45" ht="15" customHeight="1">
      <c r="A194" s="879"/>
      <c r="B194" s="899"/>
      <c r="C194" s="899"/>
      <c r="D194" s="899"/>
      <c r="E194" s="899"/>
      <c r="F194" s="871"/>
      <c r="G194" s="871"/>
      <c r="H194" s="589">
        <f t="shared" si="34"/>
        <v>0.51041666666666663</v>
      </c>
      <c r="I194" s="589">
        <v>0.63541666666666663</v>
      </c>
      <c r="J194" s="379" t="s">
        <v>242</v>
      </c>
      <c r="K194" s="379"/>
      <c r="L194" s="379">
        <v>3</v>
      </c>
      <c r="M194" s="379"/>
      <c r="N194" s="379"/>
      <c r="O194" s="462"/>
      <c r="P194" s="379"/>
      <c r="Q194" s="379"/>
      <c r="R194" s="379"/>
      <c r="S194" s="379"/>
      <c r="T194" s="379"/>
      <c r="U194" s="332"/>
      <c r="V194" s="332"/>
      <c r="W194" s="332"/>
      <c r="X194" s="332"/>
      <c r="Y194" s="332"/>
      <c r="Z194" s="332"/>
      <c r="AA194" s="332"/>
      <c r="AB194" s="332"/>
      <c r="AC194" s="332"/>
      <c r="AD194" s="332"/>
      <c r="AE194" s="332"/>
      <c r="AF194" s="332"/>
      <c r="AG194" s="332"/>
      <c r="AH194" s="332"/>
      <c r="AI194" s="332"/>
      <c r="AJ194" s="332"/>
      <c r="AK194" s="332"/>
      <c r="AL194" s="332"/>
      <c r="AM194" s="332"/>
      <c r="AN194" s="332" t="str">
        <f t="shared" si="17"/>
        <v>JW MARRIOTTKE 85</v>
      </c>
      <c r="AO194" s="334" t="s">
        <v>26</v>
      </c>
      <c r="AP194" s="351">
        <v>45923</v>
      </c>
      <c r="AQ194" s="336" t="s">
        <v>182</v>
      </c>
      <c r="AR194" s="336" t="s">
        <v>172</v>
      </c>
      <c r="AS194" s="337">
        <v>0.63194444444444442</v>
      </c>
    </row>
    <row r="195" spans="1:45" ht="15" customHeight="1">
      <c r="A195" s="879"/>
      <c r="B195" s="885">
        <f>C195-TIME(0,15,0)</f>
        <v>0.45486111111111105</v>
      </c>
      <c r="C195" s="886">
        <f t="shared" ref="C195:D195" si="37">D195-TIME(0,15,0)</f>
        <v>0.46527777777777773</v>
      </c>
      <c r="D195" s="885">
        <f t="shared" si="37"/>
        <v>0.47569444444444442</v>
      </c>
      <c r="E195" s="856">
        <f>F195-TIME(1,0,0)</f>
        <v>0.4861111111111111</v>
      </c>
      <c r="F195" s="885">
        <f>G195-TIME(0,20,0)</f>
        <v>0.52777777777777779</v>
      </c>
      <c r="G195" s="885">
        <f>H195</f>
        <v>0.54166666666666663</v>
      </c>
      <c r="H195" s="621">
        <f t="shared" si="34"/>
        <v>0.54166666666666663</v>
      </c>
      <c r="I195" s="621">
        <v>0.66666666666666663</v>
      </c>
      <c r="J195" s="348" t="s">
        <v>61</v>
      </c>
      <c r="K195" s="348"/>
      <c r="L195" s="348"/>
      <c r="M195" s="348">
        <v>2</v>
      </c>
      <c r="N195" s="348">
        <v>7</v>
      </c>
      <c r="O195" s="622">
        <f>SUM(J195:N198)</f>
        <v>17</v>
      </c>
      <c r="P195" s="348"/>
      <c r="Q195" s="348"/>
      <c r="R195" s="348"/>
      <c r="S195" s="348">
        <v>1</v>
      </c>
      <c r="T195" s="348"/>
      <c r="U195" s="332"/>
      <c r="V195" s="332"/>
      <c r="W195" s="332"/>
      <c r="X195" s="332"/>
      <c r="Y195" s="332"/>
      <c r="Z195" s="332"/>
      <c r="AA195" s="332"/>
      <c r="AB195" s="332"/>
      <c r="AC195" s="332"/>
      <c r="AD195" s="332"/>
      <c r="AE195" s="332"/>
      <c r="AF195" s="332"/>
      <c r="AG195" s="332"/>
      <c r="AH195" s="332"/>
      <c r="AI195" s="332"/>
      <c r="AJ195" s="332"/>
      <c r="AK195" s="332"/>
      <c r="AL195" s="332"/>
      <c r="AM195" s="332"/>
      <c r="AN195" s="332" t="str">
        <f t="shared" si="17"/>
        <v>JW MARRIOTTDL 172</v>
      </c>
      <c r="AO195" s="334" t="s">
        <v>26</v>
      </c>
      <c r="AP195" s="351">
        <v>45923</v>
      </c>
      <c r="AQ195" s="336" t="s">
        <v>182</v>
      </c>
      <c r="AR195" s="336" t="s">
        <v>73</v>
      </c>
      <c r="AS195" s="337">
        <v>0.63194444444444442</v>
      </c>
    </row>
    <row r="196" spans="1:45" ht="15" customHeight="1">
      <c r="A196" s="879"/>
      <c r="B196" s="879"/>
      <c r="C196" s="879"/>
      <c r="D196" s="879"/>
      <c r="E196" s="865"/>
      <c r="F196" s="879"/>
      <c r="G196" s="879"/>
      <c r="H196" s="358">
        <f t="shared" si="34"/>
        <v>0.54861111111111116</v>
      </c>
      <c r="I196" s="358">
        <v>0.67361111111111116</v>
      </c>
      <c r="J196" s="360" t="s">
        <v>145</v>
      </c>
      <c r="K196" s="360"/>
      <c r="L196" s="360">
        <v>2</v>
      </c>
      <c r="M196" s="360"/>
      <c r="N196" s="360"/>
      <c r="O196" s="373"/>
      <c r="P196" s="360"/>
      <c r="Q196" s="360"/>
      <c r="R196" s="360"/>
      <c r="S196" s="360"/>
      <c r="T196" s="360"/>
      <c r="U196" s="332"/>
      <c r="V196" s="332"/>
      <c r="W196" s="332"/>
      <c r="X196" s="332"/>
      <c r="Y196" s="332"/>
      <c r="Z196" s="332"/>
      <c r="AA196" s="332"/>
      <c r="AB196" s="332"/>
      <c r="AC196" s="332"/>
      <c r="AD196" s="332"/>
      <c r="AE196" s="332"/>
      <c r="AF196" s="332"/>
      <c r="AG196" s="332"/>
      <c r="AH196" s="332"/>
      <c r="AI196" s="332"/>
      <c r="AJ196" s="332"/>
      <c r="AK196" s="332"/>
      <c r="AL196" s="332"/>
      <c r="AM196" s="332"/>
      <c r="AN196" s="332" t="str">
        <f t="shared" si="17"/>
        <v>JW MARRIOTTKE 477</v>
      </c>
      <c r="AO196" s="334" t="s">
        <v>26</v>
      </c>
      <c r="AP196" s="351">
        <v>45923</v>
      </c>
      <c r="AQ196" s="336" t="s">
        <v>182</v>
      </c>
      <c r="AR196" s="336" t="s">
        <v>167</v>
      </c>
      <c r="AS196" s="337">
        <v>0.63194444444444442</v>
      </c>
    </row>
    <row r="197" spans="1:45" ht="15" customHeight="1">
      <c r="A197" s="879"/>
      <c r="B197" s="879"/>
      <c r="C197" s="879"/>
      <c r="D197" s="879"/>
      <c r="E197" s="865"/>
      <c r="F197" s="879"/>
      <c r="G197" s="879"/>
      <c r="H197" s="358"/>
      <c r="I197" s="358"/>
      <c r="J197" s="360"/>
      <c r="K197" s="360"/>
      <c r="L197" s="360"/>
      <c r="M197" s="360"/>
      <c r="N197" s="360"/>
      <c r="O197" s="373"/>
      <c r="P197" s="360"/>
      <c r="Q197" s="360"/>
      <c r="R197" s="360"/>
      <c r="S197" s="360"/>
      <c r="T197" s="360"/>
      <c r="U197" s="332"/>
      <c r="V197" s="332"/>
      <c r="W197" s="332"/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2"/>
      <c r="AK197" s="332"/>
      <c r="AL197" s="332"/>
      <c r="AM197" s="332"/>
      <c r="AN197" s="332" t="str">
        <f t="shared" si="17"/>
        <v>JW MARRIOTTKE 615</v>
      </c>
      <c r="AO197" s="334" t="s">
        <v>26</v>
      </c>
      <c r="AP197" s="351">
        <v>45923</v>
      </c>
      <c r="AQ197" s="336" t="s">
        <v>182</v>
      </c>
      <c r="AR197" s="336" t="s">
        <v>168</v>
      </c>
      <c r="AS197" s="337">
        <v>0.63194444444444442</v>
      </c>
    </row>
    <row r="198" spans="1:45" ht="15" customHeight="1">
      <c r="A198" s="879"/>
      <c r="B198" s="883"/>
      <c r="C198" s="883"/>
      <c r="D198" s="883"/>
      <c r="E198" s="873"/>
      <c r="F198" s="883"/>
      <c r="G198" s="883"/>
      <c r="H198" s="589">
        <f t="shared" si="34"/>
        <v>0.55902777777777779</v>
      </c>
      <c r="I198" s="589">
        <v>0.68402777777777779</v>
      </c>
      <c r="J198" s="379" t="s">
        <v>62</v>
      </c>
      <c r="K198" s="379"/>
      <c r="L198" s="379"/>
      <c r="M198" s="379">
        <v>6</v>
      </c>
      <c r="N198" s="379"/>
      <c r="O198" s="462"/>
      <c r="P198" s="379"/>
      <c r="Q198" s="379"/>
      <c r="R198" s="379"/>
      <c r="S198" s="379"/>
      <c r="T198" s="379"/>
      <c r="U198" s="332"/>
      <c r="V198" s="332"/>
      <c r="W198" s="332"/>
      <c r="X198" s="332"/>
      <c r="Y198" s="332"/>
      <c r="Z198" s="332"/>
      <c r="AA198" s="332"/>
      <c r="AB198" s="332"/>
      <c r="AC198" s="332"/>
      <c r="AD198" s="332"/>
      <c r="AE198" s="332"/>
      <c r="AF198" s="332"/>
      <c r="AG198" s="332"/>
      <c r="AH198" s="332"/>
      <c r="AI198" s="332"/>
      <c r="AJ198" s="332"/>
      <c r="AK198" s="332"/>
      <c r="AL198" s="332"/>
      <c r="AM198" s="332"/>
      <c r="AN198" s="332" t="str">
        <f t="shared" si="17"/>
        <v>JW MARRIOTTKE 625</v>
      </c>
      <c r="AO198" s="334" t="s">
        <v>26</v>
      </c>
      <c r="AP198" s="351">
        <v>45923</v>
      </c>
      <c r="AQ198" s="336" t="s">
        <v>182</v>
      </c>
      <c r="AR198" s="336" t="s">
        <v>75</v>
      </c>
      <c r="AS198" s="337">
        <v>0.63194444444444442</v>
      </c>
    </row>
    <row r="199" spans="1:45" ht="15" customHeight="1">
      <c r="A199" s="879"/>
      <c r="B199" s="648"/>
      <c r="C199" s="648"/>
      <c r="D199" s="834">
        <f t="shared" ref="D199" si="38">E199-TIME(0,15,0)</f>
        <v>0.50000000000000011</v>
      </c>
      <c r="E199" s="859">
        <f>F199-TIME(1,0,0)</f>
        <v>0.51041666666666674</v>
      </c>
      <c r="F199" s="885">
        <f>G199-TIME(0,20,0)</f>
        <v>0.55208333333333337</v>
      </c>
      <c r="G199" s="904">
        <v>0.56597222222222221</v>
      </c>
      <c r="H199" s="649">
        <f t="shared" si="34"/>
        <v>0.56597222222222221</v>
      </c>
      <c r="I199" s="643">
        <v>0.69097222222222221</v>
      </c>
      <c r="J199" s="521" t="s">
        <v>243</v>
      </c>
      <c r="K199" s="521"/>
      <c r="L199" s="521">
        <v>2</v>
      </c>
      <c r="M199" s="521"/>
      <c r="N199" s="521"/>
      <c r="O199" s="522">
        <v>20</v>
      </c>
      <c r="P199" s="521"/>
      <c r="Q199" s="521"/>
      <c r="R199" s="521"/>
      <c r="S199" s="521">
        <v>1</v>
      </c>
      <c r="T199" s="644"/>
      <c r="U199" s="332" t="s">
        <v>244</v>
      </c>
      <c r="V199" s="332"/>
      <c r="W199" s="332"/>
      <c r="X199" s="332"/>
      <c r="Y199" s="332"/>
      <c r="Z199" s="332"/>
      <c r="AA199" s="332"/>
      <c r="AB199" s="332"/>
      <c r="AC199" s="332"/>
      <c r="AD199" s="332"/>
      <c r="AE199" s="332"/>
      <c r="AF199" s="332"/>
      <c r="AG199" s="332"/>
      <c r="AH199" s="332"/>
      <c r="AI199" s="332"/>
      <c r="AJ199" s="332"/>
      <c r="AK199" s="332"/>
      <c r="AL199" s="332"/>
      <c r="AM199" s="332"/>
      <c r="AN199" s="332" t="str">
        <f t="shared" si="17"/>
        <v>JW MARRIOTTDL 7833</v>
      </c>
      <c r="AO199" s="334" t="s">
        <v>26</v>
      </c>
      <c r="AP199" s="351">
        <v>45923</v>
      </c>
      <c r="AQ199" s="336" t="s">
        <v>182</v>
      </c>
      <c r="AR199" s="336" t="s">
        <v>169</v>
      </c>
      <c r="AS199" s="337">
        <v>0.64930555555555558</v>
      </c>
    </row>
    <row r="200" spans="1:45" ht="15" customHeight="1">
      <c r="A200" s="879"/>
      <c r="B200" s="650"/>
      <c r="C200" s="650"/>
      <c r="D200" s="848"/>
      <c r="E200" s="850"/>
      <c r="F200" s="816"/>
      <c r="G200" s="905"/>
      <c r="H200" s="651">
        <f t="shared" si="34"/>
        <v>0.56944444444444442</v>
      </c>
      <c r="I200" s="600">
        <v>0.69444444444444442</v>
      </c>
      <c r="J200" s="332" t="s">
        <v>63</v>
      </c>
      <c r="K200" s="332"/>
      <c r="L200" s="332"/>
      <c r="M200" s="332"/>
      <c r="N200" s="332">
        <v>3</v>
      </c>
      <c r="O200" s="527"/>
      <c r="P200" s="332"/>
      <c r="Q200" s="332"/>
      <c r="R200" s="332"/>
      <c r="S200" s="332"/>
      <c r="T200" s="645"/>
      <c r="V200" s="332"/>
      <c r="W200" s="332"/>
      <c r="X200" s="332"/>
      <c r="Y200" s="332"/>
      <c r="Z200" s="332"/>
      <c r="AA200" s="332"/>
      <c r="AB200" s="332"/>
      <c r="AC200" s="332"/>
      <c r="AD200" s="332"/>
      <c r="AE200" s="332"/>
      <c r="AF200" s="332"/>
      <c r="AG200" s="332"/>
      <c r="AH200" s="332"/>
      <c r="AI200" s="332"/>
      <c r="AJ200" s="332"/>
      <c r="AK200" s="332"/>
      <c r="AL200" s="332"/>
      <c r="AM200" s="332"/>
      <c r="AN200" s="332" t="str">
        <f t="shared" si="17"/>
        <v>JW MARRIOTTKE 11</v>
      </c>
      <c r="AO200" s="334" t="s">
        <v>26</v>
      </c>
      <c r="AP200" s="351">
        <v>45923</v>
      </c>
      <c r="AQ200" s="336" t="s">
        <v>182</v>
      </c>
      <c r="AR200" s="336" t="s">
        <v>170</v>
      </c>
      <c r="AS200" s="337">
        <v>0.64930555555555558</v>
      </c>
    </row>
    <row r="201" spans="1:45" ht="15" customHeight="1">
      <c r="A201" s="879"/>
      <c r="B201" s="650"/>
      <c r="C201" s="650"/>
      <c r="D201" s="652"/>
      <c r="E201" s="653"/>
      <c r="F201" s="380"/>
      <c r="G201" s="654"/>
      <c r="H201" s="655">
        <f>I201-TIME(3,0,0)</f>
        <v>0.57638888888888884</v>
      </c>
      <c r="I201" s="656">
        <v>0.70138888888888884</v>
      </c>
      <c r="J201" s="657" t="s">
        <v>64</v>
      </c>
      <c r="K201" s="657"/>
      <c r="L201" s="657">
        <v>15</v>
      </c>
      <c r="M201" s="657"/>
      <c r="N201" s="657"/>
      <c r="O201" s="658"/>
      <c r="P201" s="657"/>
      <c r="Q201" s="657"/>
      <c r="R201" s="657"/>
      <c r="S201" s="657"/>
      <c r="T201" s="659"/>
      <c r="V201" s="332"/>
      <c r="W201" s="332"/>
      <c r="X201" s="332"/>
      <c r="Y201" s="332"/>
      <c r="Z201" s="332"/>
      <c r="AA201" s="332"/>
      <c r="AB201" s="332"/>
      <c r="AC201" s="332"/>
      <c r="AD201" s="332"/>
      <c r="AE201" s="332"/>
      <c r="AF201" s="332"/>
      <c r="AG201" s="332"/>
      <c r="AH201" s="332"/>
      <c r="AI201" s="332"/>
      <c r="AJ201" s="332"/>
      <c r="AK201" s="332"/>
      <c r="AL201" s="332"/>
      <c r="AM201" s="332"/>
      <c r="AN201" s="332"/>
      <c r="AO201" s="334"/>
      <c r="AP201" s="351"/>
    </row>
    <row r="202" spans="1:45" ht="15" customHeight="1">
      <c r="A202" s="879"/>
      <c r="B202" s="848">
        <f>C202-TIME(0,15,0)</f>
        <v>0.47916666666666674</v>
      </c>
      <c r="C202" s="850">
        <f>D199-TIME(0,15,0)</f>
        <v>0.48958333333333343</v>
      </c>
      <c r="D202" s="650"/>
      <c r="E202" s="650"/>
      <c r="F202" s="650"/>
      <c r="G202" s="650"/>
      <c r="H202" s="365">
        <f t="shared" si="34"/>
        <v>0.57291666666666663</v>
      </c>
      <c r="I202" s="365">
        <v>0.69791666666666663</v>
      </c>
      <c r="J202" s="366" t="s">
        <v>147</v>
      </c>
      <c r="K202" s="366">
        <v>1</v>
      </c>
      <c r="L202" s="366"/>
      <c r="M202" s="366"/>
      <c r="N202" s="366"/>
      <c r="O202" s="367">
        <v>21</v>
      </c>
      <c r="P202" s="366"/>
      <c r="Q202" s="366"/>
      <c r="R202" s="366"/>
      <c r="S202" s="366">
        <v>1</v>
      </c>
      <c r="T202" s="366"/>
      <c r="U202" s="332" t="s">
        <v>245</v>
      </c>
      <c r="V202" s="332"/>
      <c r="W202" s="332"/>
      <c r="X202" s="332"/>
      <c r="Y202" s="332"/>
      <c r="Z202" s="332"/>
      <c r="AA202" s="332"/>
      <c r="AB202" s="332"/>
      <c r="AC202" s="332"/>
      <c r="AD202" s="332"/>
      <c r="AE202" s="332"/>
      <c r="AF202" s="332"/>
      <c r="AG202" s="332"/>
      <c r="AH202" s="332"/>
      <c r="AI202" s="332"/>
      <c r="AJ202" s="332"/>
      <c r="AK202" s="332"/>
      <c r="AL202" s="332"/>
      <c r="AM202" s="332"/>
      <c r="AN202" s="332" t="str">
        <f t="shared" ref="AN202:AN266" si="39">AQ202&amp;AR202</f>
        <v>JW MARRIOTTPR 469</v>
      </c>
      <c r="AO202" s="334" t="s">
        <v>26</v>
      </c>
      <c r="AP202" s="351">
        <v>45923</v>
      </c>
      <c r="AQ202" s="336" t="s">
        <v>182</v>
      </c>
      <c r="AR202" s="336" t="s">
        <v>171</v>
      </c>
      <c r="AS202" s="337">
        <v>0.64930555555555558</v>
      </c>
    </row>
    <row r="203" spans="1:45" ht="15" customHeight="1" thickBot="1">
      <c r="A203" s="879"/>
      <c r="B203" s="906"/>
      <c r="C203" s="907"/>
      <c r="D203" s="660"/>
      <c r="E203" s="660"/>
      <c r="F203" s="660"/>
      <c r="G203" s="660"/>
      <c r="H203" s="661">
        <f t="shared" si="34"/>
        <v>0.57638888888888884</v>
      </c>
      <c r="I203" s="661">
        <v>0.70138888888888884</v>
      </c>
      <c r="J203" s="662" t="s">
        <v>64</v>
      </c>
      <c r="K203" s="662">
        <v>20</v>
      </c>
      <c r="L203" s="662"/>
      <c r="M203" s="662"/>
      <c r="N203" s="662"/>
      <c r="O203" s="663"/>
      <c r="P203" s="662"/>
      <c r="Q203" s="662"/>
      <c r="R203" s="662"/>
      <c r="S203" s="662"/>
      <c r="T203" s="662"/>
      <c r="U203" s="332"/>
      <c r="V203" s="332"/>
      <c r="W203" s="332"/>
      <c r="X203" s="332"/>
      <c r="Y203" s="332"/>
      <c r="Z203" s="332"/>
      <c r="AA203" s="332"/>
      <c r="AB203" s="332"/>
      <c r="AC203" s="332"/>
      <c r="AD203" s="332"/>
      <c r="AE203" s="332"/>
      <c r="AF203" s="332"/>
      <c r="AG203" s="332"/>
      <c r="AH203" s="332"/>
      <c r="AI203" s="332"/>
      <c r="AJ203" s="332"/>
      <c r="AK203" s="332"/>
      <c r="AL203" s="332"/>
      <c r="AM203" s="332"/>
      <c r="AN203" s="332" t="str">
        <f t="shared" si="39"/>
        <v>JW MARRIOTT7C 2621</v>
      </c>
      <c r="AO203" s="334" t="s">
        <v>26</v>
      </c>
      <c r="AP203" s="351">
        <v>45923</v>
      </c>
      <c r="AQ203" s="336" t="s">
        <v>182</v>
      </c>
      <c r="AR203" s="336" t="s">
        <v>180</v>
      </c>
      <c r="AS203" s="337">
        <v>0.64930555555555558</v>
      </c>
    </row>
    <row r="204" spans="1:45" ht="15" customHeight="1">
      <c r="A204" s="879"/>
      <c r="B204" s="816">
        <f>C204-TIME(0,15,0)</f>
        <v>0.5277777777777779</v>
      </c>
      <c r="C204" s="817">
        <f t="shared" ref="C204:D204" si="40">D204-TIME(0,15,0)</f>
        <v>0.53819444444444453</v>
      </c>
      <c r="D204" s="816">
        <f t="shared" si="40"/>
        <v>0.54861111111111116</v>
      </c>
      <c r="E204" s="831">
        <f>F204-TIME(1,0,0)</f>
        <v>0.55902777777777779</v>
      </c>
      <c r="F204" s="816">
        <f>H204</f>
        <v>0.60069444444444442</v>
      </c>
      <c r="G204" s="821"/>
      <c r="H204" s="365">
        <f t="shared" si="34"/>
        <v>0.60069444444444442</v>
      </c>
      <c r="I204" s="365">
        <v>0.72569444444444442</v>
      </c>
      <c r="J204" s="366" t="s">
        <v>65</v>
      </c>
      <c r="K204" s="366">
        <v>13</v>
      </c>
      <c r="L204" s="366">
        <v>2</v>
      </c>
      <c r="M204" s="366"/>
      <c r="N204" s="366"/>
      <c r="O204" s="367">
        <f>SUM(J204:N207)</f>
        <v>67</v>
      </c>
      <c r="P204" s="366"/>
      <c r="Q204" s="366"/>
      <c r="R204" s="366"/>
      <c r="S204" s="664">
        <v>2</v>
      </c>
      <c r="T204" s="664"/>
      <c r="U204" s="665" t="s">
        <v>246</v>
      </c>
      <c r="V204" s="332"/>
      <c r="W204" s="332"/>
      <c r="X204" s="332"/>
      <c r="Y204" s="332"/>
      <c r="Z204" s="332"/>
      <c r="AA204" s="332"/>
      <c r="AB204" s="332"/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32"/>
      <c r="AN204" s="332" t="str">
        <f t="shared" si="39"/>
        <v>JW MARRIOTTWS 87</v>
      </c>
      <c r="AO204" s="334" t="s">
        <v>26</v>
      </c>
      <c r="AP204" s="351">
        <v>45923</v>
      </c>
      <c r="AQ204" s="336" t="s">
        <v>182</v>
      </c>
      <c r="AR204" s="336" t="s">
        <v>77</v>
      </c>
      <c r="AS204" s="337">
        <v>0.64930555555555558</v>
      </c>
    </row>
    <row r="205" spans="1:45" ht="15" customHeight="1">
      <c r="A205" s="879"/>
      <c r="B205" s="879"/>
      <c r="C205" s="879"/>
      <c r="D205" s="879"/>
      <c r="E205" s="866"/>
      <c r="F205" s="879"/>
      <c r="G205" s="879"/>
      <c r="H205" s="358">
        <f t="shared" si="34"/>
        <v>0.60069444444444442</v>
      </c>
      <c r="I205" s="358">
        <v>0.72569444444444442</v>
      </c>
      <c r="J205" s="360" t="s">
        <v>151</v>
      </c>
      <c r="K205" s="360"/>
      <c r="L205" s="360">
        <v>1</v>
      </c>
      <c r="M205" s="360"/>
      <c r="N205" s="360"/>
      <c r="O205" s="373"/>
      <c r="P205" s="360"/>
      <c r="Q205" s="360"/>
      <c r="R205" s="360"/>
      <c r="S205" s="577">
        <v>1</v>
      </c>
      <c r="T205" s="577"/>
      <c r="U205" s="514" t="s">
        <v>247</v>
      </c>
      <c r="V205" s="332"/>
      <c r="W205" s="332"/>
      <c r="X205" s="332"/>
      <c r="Y205" s="332"/>
      <c r="Z205" s="332"/>
      <c r="AA205" s="332"/>
      <c r="AB205" s="332"/>
      <c r="AC205" s="332"/>
      <c r="AD205" s="332"/>
      <c r="AE205" s="332"/>
      <c r="AF205" s="332"/>
      <c r="AG205" s="332"/>
      <c r="AH205" s="332"/>
      <c r="AI205" s="332"/>
      <c r="AJ205" s="332"/>
      <c r="AK205" s="332"/>
      <c r="AL205" s="332"/>
      <c r="AM205" s="332"/>
      <c r="AN205" s="332" t="str">
        <f t="shared" si="39"/>
        <v>JW MARRIOTT7C 2113</v>
      </c>
      <c r="AO205" s="334" t="s">
        <v>26</v>
      </c>
      <c r="AP205" s="351">
        <v>45923</v>
      </c>
      <c r="AQ205" s="336" t="s">
        <v>182</v>
      </c>
      <c r="AR205" s="336" t="s">
        <v>173</v>
      </c>
      <c r="AS205" s="337">
        <v>0.64930555555555558</v>
      </c>
    </row>
    <row r="206" spans="1:45" ht="15" customHeight="1">
      <c r="A206" s="879"/>
      <c r="B206" s="879"/>
      <c r="C206" s="879"/>
      <c r="D206" s="879"/>
      <c r="E206" s="866"/>
      <c r="F206" s="879"/>
      <c r="G206" s="879"/>
      <c r="H206" s="358">
        <f t="shared" si="34"/>
        <v>0.61458333333333337</v>
      </c>
      <c r="I206" s="358">
        <v>0.73958333333333337</v>
      </c>
      <c r="J206" s="360" t="s">
        <v>66</v>
      </c>
      <c r="K206" s="360">
        <v>4</v>
      </c>
      <c r="L206" s="360">
        <v>41</v>
      </c>
      <c r="M206" s="360"/>
      <c r="N206" s="360"/>
      <c r="O206" s="373"/>
      <c r="P206" s="360"/>
      <c r="Q206" s="360"/>
      <c r="R206" s="360"/>
      <c r="S206" s="360"/>
      <c r="T206" s="360"/>
      <c r="U206" s="332"/>
      <c r="V206" s="332"/>
      <c r="W206" s="332"/>
      <c r="X206" s="332"/>
      <c r="Y206" s="332"/>
      <c r="Z206" s="332"/>
      <c r="AA206" s="332"/>
      <c r="AB206" s="332"/>
      <c r="AC206" s="332"/>
      <c r="AD206" s="332"/>
      <c r="AE206" s="332"/>
      <c r="AF206" s="332"/>
      <c r="AG206" s="332"/>
      <c r="AH206" s="332"/>
      <c r="AI206" s="332"/>
      <c r="AJ206" s="332"/>
      <c r="AK206" s="332"/>
      <c r="AL206" s="332"/>
      <c r="AM206" s="332"/>
      <c r="AN206" s="332" t="str">
        <f t="shared" si="39"/>
        <v>JW MARRIOTTOZ 212</v>
      </c>
      <c r="AO206" s="334" t="s">
        <v>26</v>
      </c>
      <c r="AP206" s="351">
        <v>45923</v>
      </c>
      <c r="AQ206" s="336" t="s">
        <v>182</v>
      </c>
      <c r="AR206" s="336" t="s">
        <v>174</v>
      </c>
      <c r="AS206" s="337">
        <v>0.64930555555555558</v>
      </c>
    </row>
    <row r="207" spans="1:45" ht="15" customHeight="1">
      <c r="A207" s="879"/>
      <c r="B207" s="871"/>
      <c r="C207" s="871"/>
      <c r="D207" s="871"/>
      <c r="E207" s="866"/>
      <c r="F207" s="871"/>
      <c r="G207" s="871"/>
      <c r="H207" s="589">
        <f t="shared" si="34"/>
        <v>0.62152777777777779</v>
      </c>
      <c r="I207" s="589">
        <v>0.74652777777777779</v>
      </c>
      <c r="J207" s="379" t="s">
        <v>152</v>
      </c>
      <c r="K207" s="379"/>
      <c r="L207" s="379">
        <v>6</v>
      </c>
      <c r="M207" s="379"/>
      <c r="N207" s="379"/>
      <c r="O207" s="462"/>
      <c r="P207" s="379"/>
      <c r="Q207" s="379"/>
      <c r="R207" s="379"/>
      <c r="S207" s="379"/>
      <c r="T207" s="379"/>
      <c r="U207" s="332"/>
      <c r="V207" s="332"/>
      <c r="W207" s="332"/>
      <c r="X207" s="332"/>
      <c r="Y207" s="332"/>
      <c r="Z207" s="332"/>
      <c r="AA207" s="332"/>
      <c r="AB207" s="332"/>
      <c r="AC207" s="332"/>
      <c r="AD207" s="332"/>
      <c r="AE207" s="332"/>
      <c r="AF207" s="332"/>
      <c r="AG207" s="332"/>
      <c r="AH207" s="332"/>
      <c r="AI207" s="332"/>
      <c r="AJ207" s="332"/>
      <c r="AK207" s="332"/>
      <c r="AL207" s="332"/>
      <c r="AM207" s="332"/>
      <c r="AN207" s="332" t="str">
        <f t="shared" si="39"/>
        <v>JW MARRIOTT7C 2125</v>
      </c>
      <c r="AO207" s="334" t="s">
        <v>26</v>
      </c>
      <c r="AP207" s="351">
        <v>45923</v>
      </c>
      <c r="AQ207" s="336" t="s">
        <v>182</v>
      </c>
      <c r="AR207" s="336" t="s">
        <v>175</v>
      </c>
      <c r="AS207" s="337">
        <v>0.68402777777777779</v>
      </c>
    </row>
    <row r="208" spans="1:45" ht="15" customHeight="1">
      <c r="A208" s="879"/>
      <c r="B208" s="885">
        <f>C208-TIME(0,15,0)</f>
        <v>0.54166666666666685</v>
      </c>
      <c r="C208" s="886">
        <f t="shared" ref="C208:D208" si="41">D208-TIME(0,15,0)</f>
        <v>0.55208333333333348</v>
      </c>
      <c r="D208" s="885">
        <f t="shared" si="41"/>
        <v>0.56250000000000011</v>
      </c>
      <c r="E208" s="856">
        <f>F208-TIME(1,0,0)</f>
        <v>0.57291666666666674</v>
      </c>
      <c r="F208" s="885">
        <f>G208-TIME(0,20,0)</f>
        <v>0.61458333333333337</v>
      </c>
      <c r="G208" s="885">
        <f>H209</f>
        <v>0.62847222222222221</v>
      </c>
      <c r="H208" s="621">
        <f t="shared" si="34"/>
        <v>0.625</v>
      </c>
      <c r="I208" s="621">
        <v>0.75</v>
      </c>
      <c r="J208" s="348" t="s">
        <v>248</v>
      </c>
      <c r="K208" s="348"/>
      <c r="L208" s="348"/>
      <c r="M208" s="348"/>
      <c r="N208" s="348"/>
      <c r="O208" s="622">
        <f>SUM(J208:N210)</f>
        <v>4</v>
      </c>
      <c r="P208" s="348"/>
      <c r="Q208" s="348">
        <v>1</v>
      </c>
      <c r="R208" s="348"/>
      <c r="S208" s="348"/>
      <c r="T208" s="348"/>
      <c r="U208" s="332"/>
      <c r="V208" s="332"/>
      <c r="W208" s="332"/>
      <c r="X208" s="332"/>
      <c r="Y208" s="332"/>
      <c r="Z208" s="332"/>
      <c r="AA208" s="332"/>
      <c r="AB208" s="332"/>
      <c r="AC208" s="332"/>
      <c r="AD208" s="332"/>
      <c r="AE208" s="332"/>
      <c r="AF208" s="332"/>
      <c r="AG208" s="332"/>
      <c r="AH208" s="332"/>
      <c r="AI208" s="332"/>
      <c r="AJ208" s="332"/>
      <c r="AK208" s="332"/>
      <c r="AL208" s="332"/>
      <c r="AM208" s="332"/>
      <c r="AN208" s="332" t="str">
        <f t="shared" si="39"/>
        <v>JW MARRIOTTOZ 709</v>
      </c>
      <c r="AO208" s="334" t="s">
        <v>26</v>
      </c>
      <c r="AP208" s="351">
        <v>45923</v>
      </c>
      <c r="AQ208" s="336" t="s">
        <v>182</v>
      </c>
      <c r="AR208" s="336" t="s">
        <v>176</v>
      </c>
      <c r="AS208" s="337">
        <v>0.68402777777777779</v>
      </c>
    </row>
    <row r="209" spans="1:45" ht="15" customHeight="1">
      <c r="A209" s="879"/>
      <c r="B209" s="879"/>
      <c r="C209" s="879"/>
      <c r="D209" s="879"/>
      <c r="E209" s="865"/>
      <c r="F209" s="879"/>
      <c r="G209" s="879"/>
      <c r="H209" s="358">
        <f t="shared" si="34"/>
        <v>0.62847222222222221</v>
      </c>
      <c r="I209" s="358">
        <v>0.75347222222222221</v>
      </c>
      <c r="J209" s="360" t="s">
        <v>67</v>
      </c>
      <c r="K209" s="360"/>
      <c r="L209" s="360"/>
      <c r="M209" s="360">
        <v>2</v>
      </c>
      <c r="N209" s="360"/>
      <c r="O209" s="373"/>
      <c r="P209" s="360"/>
      <c r="Q209" s="360"/>
      <c r="R209" s="360"/>
      <c r="S209" s="360"/>
      <c r="T209" s="360"/>
      <c r="U209" s="332"/>
      <c r="V209" s="332"/>
      <c r="W209" s="332"/>
      <c r="X209" s="332"/>
      <c r="Y209" s="332"/>
      <c r="Z209" s="332"/>
      <c r="AA209" s="332"/>
      <c r="AB209" s="332"/>
      <c r="AC209" s="332"/>
      <c r="AD209" s="332"/>
      <c r="AE209" s="332"/>
      <c r="AF209" s="332"/>
      <c r="AG209" s="332"/>
      <c r="AH209" s="332"/>
      <c r="AI209" s="332"/>
      <c r="AJ209" s="332"/>
      <c r="AK209" s="332"/>
      <c r="AL209" s="332"/>
      <c r="AM209" s="332"/>
      <c r="AN209" s="332" t="str">
        <f t="shared" si="39"/>
        <v>JW MARRIOTTYP 131</v>
      </c>
      <c r="AO209" s="334" t="s">
        <v>26</v>
      </c>
      <c r="AP209" s="351">
        <v>45923</v>
      </c>
      <c r="AQ209" s="336" t="s">
        <v>182</v>
      </c>
      <c r="AR209" s="336" t="s">
        <v>177</v>
      </c>
      <c r="AS209" s="337">
        <v>0.68402777777777779</v>
      </c>
    </row>
    <row r="210" spans="1:45" ht="15" customHeight="1">
      <c r="A210" s="879"/>
      <c r="B210" s="871"/>
      <c r="C210" s="871"/>
      <c r="D210" s="871"/>
      <c r="E210" s="872"/>
      <c r="F210" s="871"/>
      <c r="G210" s="871"/>
      <c r="H210" s="589">
        <f t="shared" si="34"/>
        <v>0.63888888888888884</v>
      </c>
      <c r="I210" s="589">
        <v>0.76388888888888884</v>
      </c>
      <c r="J210" s="379" t="s">
        <v>68</v>
      </c>
      <c r="K210" s="379"/>
      <c r="L210" s="379">
        <v>2</v>
      </c>
      <c r="M210" s="379"/>
      <c r="N210" s="379"/>
      <c r="O210" s="462"/>
      <c r="P210" s="379"/>
      <c r="Q210" s="379"/>
      <c r="R210" s="379"/>
      <c r="S210" s="379"/>
      <c r="T210" s="379"/>
      <c r="U210" s="332"/>
      <c r="V210" s="332"/>
      <c r="W210" s="332"/>
      <c r="X210" s="332"/>
      <c r="Y210" s="332"/>
      <c r="Z210" s="332"/>
      <c r="AA210" s="332"/>
      <c r="AB210" s="332"/>
      <c r="AC210" s="332"/>
      <c r="AD210" s="332"/>
      <c r="AE210" s="332"/>
      <c r="AF210" s="332"/>
      <c r="AG210" s="332"/>
      <c r="AH210" s="332"/>
      <c r="AI210" s="332"/>
      <c r="AJ210" s="332"/>
      <c r="AK210" s="332"/>
      <c r="AL210" s="332"/>
      <c r="AM210" s="332"/>
      <c r="AN210" s="332" t="str">
        <f t="shared" si="39"/>
        <v>JW MARRIOTT7C 2107</v>
      </c>
      <c r="AO210" s="334" t="s">
        <v>26</v>
      </c>
      <c r="AP210" s="351">
        <v>45923</v>
      </c>
      <c r="AQ210" s="336" t="s">
        <v>182</v>
      </c>
      <c r="AR210" s="336" t="s">
        <v>178</v>
      </c>
      <c r="AS210" s="337">
        <v>0.68402777777777779</v>
      </c>
    </row>
    <row r="211" spans="1:45" ht="15" customHeight="1">
      <c r="A211" s="879"/>
      <c r="B211" s="908"/>
      <c r="C211" s="911"/>
      <c r="D211" s="885">
        <f>E211-TIME(0,15,0)</f>
        <v>0.59375000000000011</v>
      </c>
      <c r="E211" s="856">
        <f>F211-TIME(1,0,0)</f>
        <v>0.60416666666666674</v>
      </c>
      <c r="F211" s="885">
        <f>G211-TIME(0,20,0)</f>
        <v>0.64583333333333337</v>
      </c>
      <c r="G211" s="885">
        <f>H211</f>
        <v>0.65972222222222221</v>
      </c>
      <c r="H211" s="621">
        <f t="shared" si="34"/>
        <v>0.65972222222222221</v>
      </c>
      <c r="I211" s="621">
        <v>0.78472222222222221</v>
      </c>
      <c r="J211" s="348" t="s">
        <v>69</v>
      </c>
      <c r="K211" s="348"/>
      <c r="L211" s="348"/>
      <c r="M211" s="666">
        <v>4</v>
      </c>
      <c r="N211" s="348"/>
      <c r="O211" s="622">
        <f>SUM(J211:N213)</f>
        <v>29</v>
      </c>
      <c r="P211" s="626">
        <v>1</v>
      </c>
      <c r="Q211" s="626"/>
      <c r="R211" s="626"/>
      <c r="S211" s="626"/>
      <c r="T211" s="626"/>
      <c r="U211" s="514" t="s">
        <v>276</v>
      </c>
      <c r="V211" s="332"/>
      <c r="W211" s="332"/>
      <c r="X211" s="332"/>
      <c r="Y211" s="332"/>
      <c r="Z211" s="332"/>
      <c r="AA211" s="332"/>
      <c r="AB211" s="332"/>
      <c r="AC211" s="332"/>
      <c r="AD211" s="332"/>
      <c r="AE211" s="332"/>
      <c r="AF211" s="332"/>
      <c r="AG211" s="332"/>
      <c r="AH211" s="332"/>
      <c r="AI211" s="332"/>
      <c r="AJ211" s="332"/>
      <c r="AK211" s="332"/>
      <c r="AL211" s="332"/>
      <c r="AM211" s="332"/>
      <c r="AN211" s="332" t="str">
        <f t="shared" si="39"/>
        <v>JW MARRIOTTJQ 48</v>
      </c>
      <c r="AO211" s="334" t="s">
        <v>26</v>
      </c>
      <c r="AP211" s="351">
        <v>45923</v>
      </c>
      <c r="AQ211" s="336" t="s">
        <v>182</v>
      </c>
      <c r="AR211" s="336" t="s">
        <v>179</v>
      </c>
      <c r="AS211" s="337">
        <v>0.71180555555555558</v>
      </c>
    </row>
    <row r="212" spans="1:45" ht="15" customHeight="1">
      <c r="A212" s="879"/>
      <c r="B212" s="909"/>
      <c r="C212" s="909"/>
      <c r="D212" s="879"/>
      <c r="E212" s="865"/>
      <c r="F212" s="879"/>
      <c r="G212" s="879"/>
      <c r="H212" s="358">
        <f t="shared" si="34"/>
        <v>0.67013888888888884</v>
      </c>
      <c r="I212" s="358">
        <v>0.79513888888888884</v>
      </c>
      <c r="J212" s="360" t="s">
        <v>163</v>
      </c>
      <c r="K212" s="360">
        <v>1</v>
      </c>
      <c r="L212" s="360"/>
      <c r="M212" s="360"/>
      <c r="N212" s="360"/>
      <c r="O212" s="373"/>
      <c r="P212" s="360"/>
      <c r="Q212" s="360"/>
      <c r="R212" s="360"/>
      <c r="S212" s="577">
        <v>1</v>
      </c>
      <c r="T212" s="577"/>
      <c r="U212" s="514" t="s">
        <v>250</v>
      </c>
      <c r="V212" s="332"/>
      <c r="W212" s="332"/>
      <c r="X212" s="332"/>
      <c r="Y212" s="332"/>
      <c r="Z212" s="332"/>
      <c r="AA212" s="332"/>
      <c r="AB212" s="332"/>
      <c r="AC212" s="332"/>
      <c r="AD212" s="332"/>
      <c r="AE212" s="332"/>
      <c r="AF212" s="332"/>
      <c r="AG212" s="332"/>
      <c r="AH212" s="332"/>
      <c r="AI212" s="332"/>
      <c r="AJ212" s="332"/>
      <c r="AK212" s="332"/>
      <c r="AL212" s="332"/>
      <c r="AM212" s="332"/>
      <c r="AN212" s="332" t="str">
        <f t="shared" si="39"/>
        <v>JW MARRIOTTOZ 707</v>
      </c>
      <c r="AO212" s="334" t="s">
        <v>26</v>
      </c>
      <c r="AP212" s="351">
        <v>45923</v>
      </c>
      <c r="AQ212" s="336" t="s">
        <v>182</v>
      </c>
      <c r="AR212" s="336" t="s">
        <v>181</v>
      </c>
      <c r="AS212" s="337">
        <v>0.71180555555555558</v>
      </c>
    </row>
    <row r="213" spans="1:45" ht="15" customHeight="1">
      <c r="A213" s="879"/>
      <c r="B213" s="910"/>
      <c r="C213" s="910"/>
      <c r="D213" s="871"/>
      <c r="E213" s="872"/>
      <c r="F213" s="871"/>
      <c r="G213" s="871"/>
      <c r="H213" s="589">
        <f t="shared" si="34"/>
        <v>0.67013888888888884</v>
      </c>
      <c r="I213" s="589">
        <v>0.79513888888888884</v>
      </c>
      <c r="J213" s="379" t="s">
        <v>71</v>
      </c>
      <c r="K213" s="379">
        <v>24</v>
      </c>
      <c r="L213" s="379"/>
      <c r="M213" s="379"/>
      <c r="N213" s="379"/>
      <c r="O213" s="462"/>
      <c r="P213" s="379"/>
      <c r="Q213" s="379"/>
      <c r="R213" s="379"/>
      <c r="S213" s="379"/>
      <c r="T213" s="379"/>
      <c r="U213" s="332"/>
      <c r="V213" s="332"/>
      <c r="W213" s="332"/>
      <c r="X213" s="332"/>
      <c r="Y213" s="332"/>
      <c r="Z213" s="332"/>
      <c r="AA213" s="332"/>
      <c r="AB213" s="332"/>
      <c r="AC213" s="332"/>
      <c r="AD213" s="332"/>
      <c r="AE213" s="332"/>
      <c r="AF213" s="332"/>
      <c r="AG213" s="332"/>
      <c r="AH213" s="332"/>
      <c r="AI213" s="332"/>
      <c r="AJ213" s="332"/>
      <c r="AK213" s="332"/>
      <c r="AL213" s="332"/>
      <c r="AM213" s="332"/>
      <c r="AN213" s="332" t="str">
        <f t="shared" si="39"/>
        <v>JW MARRIOTT5J 131</v>
      </c>
      <c r="AO213" s="334" t="s">
        <v>26</v>
      </c>
      <c r="AP213" s="351">
        <v>45923</v>
      </c>
      <c r="AQ213" s="336" t="s">
        <v>182</v>
      </c>
      <c r="AR213" s="336" t="s">
        <v>78</v>
      </c>
      <c r="AS213" s="337">
        <v>0.71180555555555558</v>
      </c>
    </row>
    <row r="214" spans="1:45" ht="15" customHeight="1">
      <c r="A214" s="879"/>
      <c r="B214" s="885">
        <f>C214-TIME(0,15,0)</f>
        <v>0.59375000000000022</v>
      </c>
      <c r="C214" s="886">
        <f t="shared" ref="C214:D214" si="42">D214-TIME(0,15,0)</f>
        <v>0.60416666666666685</v>
      </c>
      <c r="D214" s="885">
        <f t="shared" si="42"/>
        <v>0.61458333333333348</v>
      </c>
      <c r="E214" s="856">
        <f>F214-TIME(1,0,0)</f>
        <v>0.62500000000000011</v>
      </c>
      <c r="F214" s="885">
        <f>G214-TIME(0,20,0)</f>
        <v>0.66666666666666674</v>
      </c>
      <c r="G214" s="885">
        <f>H214</f>
        <v>0.68055555555555558</v>
      </c>
      <c r="H214" s="621">
        <f t="shared" si="34"/>
        <v>0.68055555555555558</v>
      </c>
      <c r="I214" s="621">
        <v>0.80555555555555558</v>
      </c>
      <c r="J214" s="348" t="s">
        <v>166</v>
      </c>
      <c r="K214" s="348"/>
      <c r="L214" s="348"/>
      <c r="M214" s="348">
        <v>2</v>
      </c>
      <c r="N214" s="348">
        <v>1</v>
      </c>
      <c r="O214" s="622">
        <f>SUM(J214:N219)</f>
        <v>23</v>
      </c>
      <c r="P214" s="348"/>
      <c r="Q214" s="348"/>
      <c r="R214" s="348"/>
      <c r="S214" s="348">
        <v>1</v>
      </c>
      <c r="T214" s="348"/>
      <c r="U214" s="332"/>
      <c r="V214" s="332"/>
      <c r="W214" s="332"/>
      <c r="X214" s="332"/>
      <c r="Y214" s="332"/>
      <c r="Z214" s="332"/>
      <c r="AA214" s="332"/>
      <c r="AB214" s="332"/>
      <c r="AC214" s="332"/>
      <c r="AD214" s="332"/>
      <c r="AE214" s="332"/>
      <c r="AF214" s="332"/>
      <c r="AG214" s="332"/>
      <c r="AH214" s="332"/>
      <c r="AI214" s="332"/>
      <c r="AJ214" s="332"/>
      <c r="AK214" s="332"/>
      <c r="AL214" s="332"/>
      <c r="AM214" s="332"/>
      <c r="AN214" s="332" t="str">
        <f t="shared" si="39"/>
        <v>JW MARRIOTTKE 647</v>
      </c>
      <c r="AO214" s="334" t="s">
        <v>26</v>
      </c>
      <c r="AP214" s="351">
        <v>45923</v>
      </c>
      <c r="AQ214" s="336" t="s">
        <v>182</v>
      </c>
      <c r="AR214" s="336" t="s">
        <v>184</v>
      </c>
      <c r="AS214" s="337">
        <v>0.79513888888888884</v>
      </c>
    </row>
    <row r="215" spans="1:45" ht="15" customHeight="1">
      <c r="A215" s="879"/>
      <c r="B215" s="879"/>
      <c r="C215" s="879"/>
      <c r="D215" s="879"/>
      <c r="E215" s="865"/>
      <c r="F215" s="879"/>
      <c r="G215" s="879"/>
      <c r="H215" s="358">
        <f t="shared" si="34"/>
        <v>0.68402777777777779</v>
      </c>
      <c r="I215" s="358">
        <v>0.80902777777777779</v>
      </c>
      <c r="J215" s="360" t="s">
        <v>251</v>
      </c>
      <c r="K215" s="360"/>
      <c r="L215" s="360">
        <v>1</v>
      </c>
      <c r="M215" s="360"/>
      <c r="N215" s="360"/>
      <c r="O215" s="373"/>
      <c r="P215" s="360"/>
      <c r="Q215" s="360"/>
      <c r="R215" s="360"/>
      <c r="S215" s="360"/>
      <c r="T215" s="360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2"/>
      <c r="AK215" s="332"/>
      <c r="AL215" s="332"/>
      <c r="AM215" s="332"/>
      <c r="AN215" s="332" t="str">
        <f t="shared" si="39"/>
        <v>JW MARRIOTTKE 621 on 24 Sep</v>
      </c>
      <c r="AO215" s="334" t="s">
        <v>26</v>
      </c>
      <c r="AP215" s="351">
        <v>45923</v>
      </c>
      <c r="AQ215" s="336" t="s">
        <v>182</v>
      </c>
      <c r="AR215" s="336" t="s">
        <v>186</v>
      </c>
      <c r="AS215" s="337">
        <v>0.79513888888888884</v>
      </c>
    </row>
    <row r="216" spans="1:45" ht="15" customHeight="1">
      <c r="A216" s="879"/>
      <c r="B216" s="879"/>
      <c r="C216" s="879"/>
      <c r="D216" s="879"/>
      <c r="E216" s="865"/>
      <c r="F216" s="879"/>
      <c r="G216" s="879"/>
      <c r="H216" s="358">
        <f t="shared" si="34"/>
        <v>0.6875</v>
      </c>
      <c r="I216" s="358">
        <v>0.8125</v>
      </c>
      <c r="J216" s="360" t="s">
        <v>252</v>
      </c>
      <c r="K216" s="360"/>
      <c r="L216" s="360"/>
      <c r="M216" s="360">
        <v>5</v>
      </c>
      <c r="N216" s="360"/>
      <c r="O216" s="373"/>
      <c r="P216" s="360"/>
      <c r="Q216" s="360"/>
      <c r="R216" s="360"/>
      <c r="S216" s="360"/>
      <c r="T216" s="360"/>
      <c r="U216" s="332"/>
      <c r="V216" s="332"/>
      <c r="W216" s="332"/>
      <c r="X216" s="332"/>
      <c r="Y216" s="332"/>
      <c r="Z216" s="332"/>
      <c r="AA216" s="332"/>
      <c r="AB216" s="332"/>
      <c r="AC216" s="332"/>
      <c r="AD216" s="332"/>
      <c r="AE216" s="332"/>
      <c r="AF216" s="332"/>
      <c r="AG216" s="332"/>
      <c r="AH216" s="332"/>
      <c r="AI216" s="332"/>
      <c r="AJ216" s="332"/>
      <c r="AK216" s="332"/>
      <c r="AL216" s="332"/>
      <c r="AM216" s="332"/>
      <c r="AN216" s="332" t="str">
        <f t="shared" si="39"/>
        <v>JW MARRIOTTNH 862</v>
      </c>
      <c r="AO216" s="334" t="s">
        <v>26</v>
      </c>
      <c r="AP216" s="351">
        <v>45923</v>
      </c>
      <c r="AQ216" s="336" t="s">
        <v>182</v>
      </c>
      <c r="AR216" s="336" t="s">
        <v>108</v>
      </c>
      <c r="AS216" s="337">
        <v>0.1701388888888889</v>
      </c>
    </row>
    <row r="217" spans="1:45" ht="15" customHeight="1">
      <c r="A217" s="879"/>
      <c r="B217" s="879"/>
      <c r="C217" s="879"/>
      <c r="D217" s="879"/>
      <c r="E217" s="865"/>
      <c r="F217" s="879"/>
      <c r="G217" s="879"/>
      <c r="H217" s="358">
        <f t="shared" si="34"/>
        <v>0.6875</v>
      </c>
      <c r="I217" s="358">
        <v>0.8125</v>
      </c>
      <c r="J217" s="360" t="s">
        <v>172</v>
      </c>
      <c r="K217" s="360"/>
      <c r="L217" s="360"/>
      <c r="M217" s="360">
        <v>8</v>
      </c>
      <c r="N217" s="360"/>
      <c r="O217" s="373"/>
      <c r="P217" s="360"/>
      <c r="Q217" s="360"/>
      <c r="R217" s="360"/>
      <c r="S217" s="360"/>
      <c r="T217" s="360"/>
      <c r="U217" s="332"/>
      <c r="V217" s="332"/>
      <c r="W217" s="332"/>
      <c r="X217" s="332"/>
      <c r="Y217" s="332"/>
      <c r="Z217" s="332"/>
      <c r="AA217" s="332"/>
      <c r="AB217" s="332"/>
      <c r="AC217" s="332"/>
      <c r="AD217" s="332"/>
      <c r="AE217" s="332"/>
      <c r="AF217" s="332"/>
      <c r="AG217" s="332"/>
      <c r="AH217" s="332"/>
      <c r="AI217" s="332"/>
      <c r="AJ217" s="332"/>
      <c r="AK217" s="332"/>
      <c r="AL217" s="332"/>
      <c r="AM217" s="332"/>
      <c r="AN217" s="332" t="str">
        <f t="shared" si="39"/>
        <v>JW MARRIOTTJL 90</v>
      </c>
      <c r="AO217" s="334" t="s">
        <v>26</v>
      </c>
      <c r="AP217" s="351">
        <v>45923</v>
      </c>
      <c r="AQ217" s="336" t="s">
        <v>182</v>
      </c>
      <c r="AR217" s="336" t="s">
        <v>110</v>
      </c>
      <c r="AS217" s="337">
        <v>0.1701388888888889</v>
      </c>
    </row>
    <row r="218" spans="1:45" ht="15" customHeight="1">
      <c r="A218" s="879"/>
      <c r="B218" s="879"/>
      <c r="C218" s="879"/>
      <c r="D218" s="879"/>
      <c r="E218" s="865"/>
      <c r="F218" s="879"/>
      <c r="G218" s="879"/>
      <c r="H218" s="358">
        <f t="shared" si="34"/>
        <v>0.69791666666666663</v>
      </c>
      <c r="I218" s="358">
        <v>0.82291666666666663</v>
      </c>
      <c r="J218" s="360" t="s">
        <v>253</v>
      </c>
      <c r="K218" s="360">
        <v>4</v>
      </c>
      <c r="L218" s="360">
        <v>1</v>
      </c>
      <c r="M218" s="360"/>
      <c r="N218" s="360"/>
      <c r="O218" s="373"/>
      <c r="P218" s="360"/>
      <c r="Q218" s="360"/>
      <c r="R218" s="360"/>
      <c r="S218" s="360"/>
      <c r="T218" s="360"/>
      <c r="U218" s="332"/>
      <c r="V218" s="332"/>
      <c r="W218" s="332"/>
      <c r="X218" s="332"/>
      <c r="Y218" s="332"/>
      <c r="Z218" s="332"/>
      <c r="AA218" s="332"/>
      <c r="AB218" s="332"/>
      <c r="AC218" s="332"/>
      <c r="AD218" s="332"/>
      <c r="AE218" s="332"/>
      <c r="AF218" s="332"/>
      <c r="AG218" s="332"/>
      <c r="AH218" s="332"/>
      <c r="AI218" s="332"/>
      <c r="AJ218" s="332"/>
      <c r="AK218" s="332"/>
      <c r="AL218" s="332"/>
      <c r="AM218" s="332"/>
      <c r="AN218" s="332" t="str">
        <f t="shared" si="39"/>
        <v>JW MARRIOTTOZ 1045</v>
      </c>
      <c r="AO218" s="334" t="s">
        <v>26</v>
      </c>
      <c r="AP218" s="351">
        <v>45923</v>
      </c>
      <c r="AQ218" s="336" t="s">
        <v>182</v>
      </c>
      <c r="AR218" s="336" t="s">
        <v>113</v>
      </c>
      <c r="AS218" s="337">
        <v>0.47916666666666669</v>
      </c>
    </row>
    <row r="219" spans="1:45" ht="15" customHeight="1">
      <c r="A219" s="879"/>
      <c r="B219" s="871"/>
      <c r="C219" s="871"/>
      <c r="D219" s="879"/>
      <c r="E219" s="865"/>
      <c r="F219" s="879"/>
      <c r="G219" s="879"/>
      <c r="H219" s="589">
        <f t="shared" si="34"/>
        <v>0.69791666666666663</v>
      </c>
      <c r="I219" s="589">
        <v>0.82291666666666663</v>
      </c>
      <c r="J219" s="379" t="s">
        <v>254</v>
      </c>
      <c r="K219" s="379"/>
      <c r="L219" s="379"/>
      <c r="M219" s="379">
        <v>1</v>
      </c>
      <c r="N219" s="379"/>
      <c r="O219" s="462"/>
      <c r="P219" s="355"/>
      <c r="Q219" s="379"/>
      <c r="R219" s="379"/>
      <c r="S219" s="379"/>
      <c r="T219" s="379"/>
      <c r="U219" s="332"/>
      <c r="V219" s="332"/>
      <c r="W219" s="332"/>
      <c r="X219" s="332"/>
      <c r="Y219" s="332"/>
      <c r="Z219" s="332"/>
      <c r="AA219" s="332"/>
      <c r="AB219" s="332"/>
      <c r="AC219" s="332"/>
      <c r="AD219" s="332"/>
      <c r="AE219" s="332"/>
      <c r="AF219" s="332"/>
      <c r="AG219" s="332"/>
      <c r="AH219" s="332"/>
      <c r="AI219" s="332"/>
      <c r="AJ219" s="332"/>
      <c r="AK219" s="332"/>
      <c r="AL219" s="332"/>
      <c r="AM219" s="332"/>
      <c r="AN219" s="332" t="str">
        <f t="shared" si="39"/>
        <v>THE PLAZAKE 1803</v>
      </c>
      <c r="AO219" s="334" t="s">
        <v>26</v>
      </c>
      <c r="AP219" s="351">
        <v>45923</v>
      </c>
      <c r="AQ219" s="336" t="s">
        <v>255</v>
      </c>
      <c r="AR219" s="336" t="s">
        <v>214</v>
      </c>
      <c r="AS219" s="337">
        <v>0.16666666666666666</v>
      </c>
    </row>
    <row r="220" spans="1:45" ht="15" customHeight="1">
      <c r="A220" s="879"/>
      <c r="B220" s="885">
        <f>C220-TIME(0,15,0)</f>
        <v>0.62500000000000022</v>
      </c>
      <c r="C220" s="912">
        <f t="shared" ref="C220:D220" si="43">D220-TIME(0,15,0)</f>
        <v>0.63541666666666685</v>
      </c>
      <c r="D220" s="915">
        <f t="shared" si="43"/>
        <v>0.64583333333333348</v>
      </c>
      <c r="E220" s="918">
        <f>F220-TIME(1,0,0)</f>
        <v>0.65625000000000011</v>
      </c>
      <c r="F220" s="919">
        <f>G220-TIME(0,20,0)</f>
        <v>0.69791666666666674</v>
      </c>
      <c r="G220" s="920">
        <f>H220</f>
        <v>0.71180555555555558</v>
      </c>
      <c r="H220" s="667">
        <f t="shared" si="34"/>
        <v>0.71180555555555558</v>
      </c>
      <c r="I220" s="621">
        <v>0.83680555555555558</v>
      </c>
      <c r="J220" s="348" t="s">
        <v>74</v>
      </c>
      <c r="K220" s="348">
        <v>2</v>
      </c>
      <c r="L220" s="348"/>
      <c r="M220" s="348"/>
      <c r="N220" s="348"/>
      <c r="O220" s="622">
        <f>SUM(J220:N225)</f>
        <v>24</v>
      </c>
      <c r="P220" s="366"/>
      <c r="Q220" s="348"/>
      <c r="R220" s="348"/>
      <c r="S220" s="626">
        <v>1</v>
      </c>
      <c r="T220" s="626"/>
      <c r="U220" s="514" t="s">
        <v>256</v>
      </c>
      <c r="V220" s="332"/>
      <c r="W220" s="332"/>
      <c r="X220" s="332"/>
      <c r="Y220" s="332"/>
      <c r="Z220" s="332"/>
      <c r="AA220" s="332"/>
      <c r="AB220" s="332"/>
      <c r="AC220" s="332"/>
      <c r="AD220" s="332"/>
      <c r="AE220" s="332"/>
      <c r="AF220" s="332"/>
      <c r="AG220" s="332"/>
      <c r="AH220" s="332"/>
      <c r="AI220" s="332"/>
      <c r="AJ220" s="332"/>
      <c r="AK220" s="332"/>
      <c r="AL220" s="332"/>
      <c r="AM220" s="332"/>
      <c r="AN220" s="332" t="str">
        <f t="shared" si="39"/>
        <v>THE PLAZABX 8803</v>
      </c>
      <c r="AO220" s="334" t="s">
        <v>26</v>
      </c>
      <c r="AP220" s="351">
        <v>45923</v>
      </c>
      <c r="AQ220" s="336" t="s">
        <v>255</v>
      </c>
      <c r="AR220" s="336" t="s">
        <v>216</v>
      </c>
      <c r="AS220" s="337">
        <v>0.16666666666666666</v>
      </c>
    </row>
    <row r="221" spans="1:45" ht="15" customHeight="1">
      <c r="A221" s="879"/>
      <c r="B221" s="879"/>
      <c r="C221" s="913"/>
      <c r="D221" s="916"/>
      <c r="E221" s="865"/>
      <c r="F221" s="879"/>
      <c r="G221" s="921"/>
      <c r="H221" s="668">
        <f t="shared" si="34"/>
        <v>0.71180555555555558</v>
      </c>
      <c r="I221" s="358">
        <v>0.83680555555555558</v>
      </c>
      <c r="J221" s="360" t="s">
        <v>168</v>
      </c>
      <c r="K221" s="360"/>
      <c r="L221" s="360"/>
      <c r="M221" s="360">
        <v>4</v>
      </c>
      <c r="N221" s="360"/>
      <c r="O221" s="373"/>
      <c r="P221" s="360"/>
      <c r="Q221" s="360"/>
      <c r="R221" s="360"/>
      <c r="S221" s="360"/>
      <c r="T221" s="360"/>
      <c r="U221" s="332"/>
      <c r="V221" s="332"/>
      <c r="W221" s="332"/>
      <c r="X221" s="332"/>
      <c r="Y221" s="332"/>
      <c r="Z221" s="332"/>
      <c r="AA221" s="332"/>
      <c r="AB221" s="332"/>
      <c r="AC221" s="332"/>
      <c r="AD221" s="332"/>
      <c r="AE221" s="332"/>
      <c r="AF221" s="332"/>
      <c r="AG221" s="332"/>
      <c r="AH221" s="332"/>
      <c r="AI221" s="332"/>
      <c r="AJ221" s="332"/>
      <c r="AK221" s="332"/>
      <c r="AL221" s="332"/>
      <c r="AM221" s="332"/>
      <c r="AN221" s="332" t="str">
        <f t="shared" si="39"/>
        <v>THE PLAZANH 862</v>
      </c>
      <c r="AO221" s="334" t="s">
        <v>26</v>
      </c>
      <c r="AP221" s="351">
        <v>45923</v>
      </c>
      <c r="AQ221" s="336" t="s">
        <v>255</v>
      </c>
      <c r="AR221" s="336" t="s">
        <v>108</v>
      </c>
      <c r="AS221" s="337">
        <v>0.16666666666666666</v>
      </c>
    </row>
    <row r="222" spans="1:45" ht="15" customHeight="1">
      <c r="A222" s="879"/>
      <c r="B222" s="879"/>
      <c r="C222" s="913"/>
      <c r="D222" s="916"/>
      <c r="E222" s="865"/>
      <c r="F222" s="879"/>
      <c r="G222" s="921"/>
      <c r="H222" s="668">
        <f t="shared" si="34"/>
        <v>0.72569444444444442</v>
      </c>
      <c r="I222" s="358">
        <v>0.85069444444444442</v>
      </c>
      <c r="J222" s="360" t="s">
        <v>170</v>
      </c>
      <c r="K222" s="360"/>
      <c r="L222" s="360"/>
      <c r="M222" s="360">
        <v>3</v>
      </c>
      <c r="N222" s="360"/>
      <c r="O222" s="373"/>
      <c r="P222" s="360"/>
      <c r="Q222" s="360"/>
      <c r="R222" s="360"/>
      <c r="S222" s="360"/>
      <c r="T222" s="360"/>
      <c r="U222" s="332"/>
      <c r="V222" s="332"/>
      <c r="W222" s="332"/>
      <c r="X222" s="332"/>
      <c r="Y222" s="332"/>
      <c r="Z222" s="332"/>
      <c r="AA222" s="332"/>
      <c r="AB222" s="332"/>
      <c r="AC222" s="332"/>
      <c r="AD222" s="332"/>
      <c r="AE222" s="332"/>
      <c r="AF222" s="332"/>
      <c r="AG222" s="332"/>
      <c r="AH222" s="332"/>
      <c r="AI222" s="332"/>
      <c r="AJ222" s="332"/>
      <c r="AK222" s="332"/>
      <c r="AL222" s="332"/>
      <c r="AM222" s="332"/>
      <c r="AN222" s="332" t="str">
        <f t="shared" si="39"/>
        <v>THE PLAZAOZ 1145</v>
      </c>
      <c r="AO222" s="334" t="s">
        <v>26</v>
      </c>
      <c r="AP222" s="351">
        <v>45923</v>
      </c>
      <c r="AQ222" s="336" t="s">
        <v>255</v>
      </c>
      <c r="AR222" s="336" t="s">
        <v>219</v>
      </c>
      <c r="AS222" s="337">
        <v>0.16666666666666666</v>
      </c>
    </row>
    <row r="223" spans="1:45" ht="15" customHeight="1">
      <c r="A223" s="879"/>
      <c r="B223" s="879"/>
      <c r="C223" s="913"/>
      <c r="D223" s="916"/>
      <c r="E223" s="865"/>
      <c r="F223" s="879"/>
      <c r="G223" s="921"/>
      <c r="H223" s="668">
        <f>I223-TIME(3,0,0)</f>
        <v>0.72916666666666663</v>
      </c>
      <c r="I223" s="358">
        <v>0.85416666666666663</v>
      </c>
      <c r="J223" s="360" t="s">
        <v>171</v>
      </c>
      <c r="K223" s="360">
        <v>5</v>
      </c>
      <c r="L223" s="360"/>
      <c r="M223" s="360"/>
      <c r="N223" s="360"/>
      <c r="O223" s="373"/>
      <c r="P223" s="360"/>
      <c r="Q223" s="360"/>
      <c r="R223" s="360"/>
      <c r="S223" s="360"/>
      <c r="T223" s="360"/>
      <c r="U223" s="332"/>
      <c r="V223" s="332"/>
      <c r="W223" s="332"/>
      <c r="X223" s="332"/>
      <c r="Y223" s="332"/>
      <c r="Z223" s="332"/>
      <c r="AA223" s="332"/>
      <c r="AB223" s="332"/>
      <c r="AC223" s="332"/>
      <c r="AD223" s="332"/>
      <c r="AE223" s="332"/>
      <c r="AF223" s="332"/>
      <c r="AG223" s="332"/>
      <c r="AH223" s="332"/>
      <c r="AI223" s="332"/>
      <c r="AJ223" s="332"/>
      <c r="AK223" s="332"/>
      <c r="AL223" s="332"/>
      <c r="AM223" s="332"/>
      <c r="AN223" s="332" t="str">
        <f t="shared" si="39"/>
        <v>THE PLAZABX 8807</v>
      </c>
      <c r="AO223" s="334" t="s">
        <v>26</v>
      </c>
      <c r="AP223" s="351">
        <v>45923</v>
      </c>
      <c r="AQ223" s="336" t="s">
        <v>255</v>
      </c>
      <c r="AR223" s="336" t="s">
        <v>223</v>
      </c>
      <c r="AS223" s="337">
        <v>0.25694444444444442</v>
      </c>
    </row>
    <row r="224" spans="1:45" ht="15" customHeight="1">
      <c r="A224" s="879"/>
      <c r="B224" s="879"/>
      <c r="C224" s="913"/>
      <c r="D224" s="916"/>
      <c r="E224" s="865"/>
      <c r="F224" s="879"/>
      <c r="G224" s="921"/>
      <c r="H224" s="668">
        <f>I224-TIME(3,0,0)</f>
        <v>0.73263888888888884</v>
      </c>
      <c r="I224" s="358">
        <v>0.85763888888888884</v>
      </c>
      <c r="J224" s="360" t="s">
        <v>257</v>
      </c>
      <c r="K224" s="360"/>
      <c r="L224" s="360"/>
      <c r="M224" s="360">
        <v>2</v>
      </c>
      <c r="N224" s="360"/>
      <c r="O224" s="373"/>
      <c r="P224" s="360"/>
      <c r="Q224" s="360"/>
      <c r="R224" s="360"/>
      <c r="S224" s="360"/>
      <c r="T224" s="360"/>
      <c r="U224" s="332"/>
      <c r="V224" s="332"/>
      <c r="W224" s="332"/>
      <c r="X224" s="332"/>
      <c r="Y224" s="332"/>
      <c r="Z224" s="332"/>
      <c r="AA224" s="332"/>
      <c r="AB224" s="332"/>
      <c r="AC224" s="332"/>
      <c r="AD224" s="332"/>
      <c r="AE224" s="332"/>
      <c r="AF224" s="332"/>
      <c r="AG224" s="332"/>
      <c r="AH224" s="332"/>
      <c r="AI224" s="332"/>
      <c r="AJ224" s="332"/>
      <c r="AK224" s="332"/>
      <c r="AL224" s="332"/>
      <c r="AM224" s="332"/>
      <c r="AN224" s="332" t="str">
        <f t="shared" si="39"/>
        <v>THE PLAZALJ 511</v>
      </c>
      <c r="AO224" s="334" t="s">
        <v>26</v>
      </c>
      <c r="AP224" s="351">
        <v>45923</v>
      </c>
      <c r="AQ224" s="336" t="s">
        <v>255</v>
      </c>
      <c r="AR224" s="336" t="s">
        <v>224</v>
      </c>
      <c r="AS224" s="337">
        <v>0.52777777777777779</v>
      </c>
    </row>
    <row r="225" spans="1:45" ht="15" customHeight="1">
      <c r="A225" s="879"/>
      <c r="B225" s="883"/>
      <c r="C225" s="914"/>
      <c r="D225" s="917"/>
      <c r="E225" s="873"/>
      <c r="F225" s="883"/>
      <c r="G225" s="922"/>
      <c r="H225" s="669">
        <f>I225-TIME(3,0,0)</f>
        <v>0.73263888888888884</v>
      </c>
      <c r="I225" s="352">
        <v>0.85763888888888884</v>
      </c>
      <c r="J225" s="355" t="s">
        <v>258</v>
      </c>
      <c r="K225" s="355"/>
      <c r="L225" s="355"/>
      <c r="M225" s="355">
        <v>8</v>
      </c>
      <c r="N225" s="355"/>
      <c r="O225" s="356"/>
      <c r="P225" s="355"/>
      <c r="Q225" s="355"/>
      <c r="R225" s="355"/>
      <c r="S225" s="355"/>
      <c r="T225" s="355"/>
      <c r="U225" s="332"/>
      <c r="V225" s="332"/>
      <c r="W225" s="332"/>
      <c r="X225" s="332"/>
      <c r="Y225" s="332"/>
      <c r="Z225" s="332"/>
      <c r="AA225" s="332"/>
      <c r="AB225" s="332"/>
      <c r="AC225" s="332"/>
      <c r="AD225" s="332"/>
      <c r="AE225" s="332"/>
      <c r="AF225" s="332"/>
      <c r="AG225" s="332"/>
      <c r="AH225" s="332"/>
      <c r="AI225" s="332"/>
      <c r="AJ225" s="332"/>
      <c r="AK225" s="332"/>
      <c r="AL225" s="332"/>
      <c r="AM225" s="332"/>
      <c r="AN225" s="332" t="str">
        <f t="shared" si="39"/>
        <v>LOTTEKE 2117</v>
      </c>
      <c r="AO225" s="334" t="s">
        <v>26</v>
      </c>
      <c r="AP225" s="351">
        <v>45923</v>
      </c>
      <c r="AQ225" s="336" t="s">
        <v>259</v>
      </c>
      <c r="AR225" s="336" t="s">
        <v>221</v>
      </c>
      <c r="AS225" s="337">
        <v>0.20833333333333334</v>
      </c>
    </row>
    <row r="226" spans="1:45" ht="15" customHeight="1">
      <c r="A226" s="879"/>
      <c r="B226" s="670"/>
      <c r="C226" s="670"/>
      <c r="D226" s="923">
        <v>0.64583333333333337</v>
      </c>
      <c r="E226" s="925">
        <v>0.65625</v>
      </c>
      <c r="F226" s="671"/>
      <c r="G226" s="923">
        <v>0.71180555555555558</v>
      </c>
      <c r="H226" s="365">
        <f>I226-TIME(3,0,0)</f>
        <v>0.72916666666666663</v>
      </c>
      <c r="I226" s="365">
        <v>0.85416666666666663</v>
      </c>
      <c r="J226" s="366" t="s">
        <v>260</v>
      </c>
      <c r="K226" s="366"/>
      <c r="L226" s="366"/>
      <c r="M226" s="366"/>
      <c r="N226" s="366">
        <v>1</v>
      </c>
      <c r="O226" s="377">
        <v>3</v>
      </c>
      <c r="P226" s="672">
        <v>1</v>
      </c>
      <c r="Q226" s="672"/>
      <c r="R226" s="672"/>
      <c r="S226" s="672"/>
      <c r="T226" s="672"/>
      <c r="U226" s="665" t="s">
        <v>261</v>
      </c>
      <c r="V226" s="332"/>
      <c r="W226" s="332"/>
      <c r="X226" s="332"/>
      <c r="Y226" s="332"/>
      <c r="Z226" s="332"/>
      <c r="AA226" s="332"/>
      <c r="AB226" s="332"/>
      <c r="AC226" s="332"/>
      <c r="AD226" s="332"/>
      <c r="AE226" s="332"/>
      <c r="AF226" s="332"/>
      <c r="AG226" s="332"/>
      <c r="AH226" s="332"/>
      <c r="AI226" s="332"/>
      <c r="AJ226" s="332"/>
      <c r="AK226" s="332"/>
      <c r="AL226" s="332"/>
      <c r="AM226" s="332"/>
      <c r="AN226" s="332"/>
      <c r="AO226" s="334"/>
      <c r="AP226" s="351"/>
    </row>
    <row r="227" spans="1:45" ht="15" customHeight="1">
      <c r="A227" s="879"/>
      <c r="B227" s="670"/>
      <c r="C227" s="670"/>
      <c r="D227" s="924"/>
      <c r="E227" s="926"/>
      <c r="F227" s="671"/>
      <c r="G227" s="927"/>
      <c r="H227" s="589">
        <f>I227-TIME(3,0,0)</f>
        <v>0.73263888888888884</v>
      </c>
      <c r="I227" s="589">
        <v>0.85763888888888884</v>
      </c>
      <c r="J227" s="379" t="s">
        <v>258</v>
      </c>
      <c r="K227" s="379"/>
      <c r="L227" s="379"/>
      <c r="M227" s="379"/>
      <c r="N227" s="379">
        <v>2</v>
      </c>
      <c r="O227" s="377"/>
      <c r="P227" s="376"/>
      <c r="Q227" s="376"/>
      <c r="R227" s="376"/>
      <c r="S227" s="376"/>
      <c r="T227" s="376"/>
      <c r="U227" s="332"/>
      <c r="V227" s="332"/>
      <c r="W227" s="332"/>
      <c r="X227" s="332"/>
      <c r="Y227" s="332"/>
      <c r="Z227" s="332"/>
      <c r="AA227" s="332"/>
      <c r="AB227" s="332"/>
      <c r="AC227" s="332"/>
      <c r="AD227" s="332"/>
      <c r="AE227" s="332"/>
      <c r="AF227" s="332"/>
      <c r="AG227" s="332"/>
      <c r="AH227" s="332"/>
      <c r="AI227" s="332"/>
      <c r="AJ227" s="332"/>
      <c r="AK227" s="332"/>
      <c r="AL227" s="332"/>
      <c r="AM227" s="332"/>
      <c r="AN227" s="332"/>
      <c r="AO227" s="334"/>
      <c r="AP227" s="351"/>
    </row>
    <row r="228" spans="1:45" ht="15" customHeight="1">
      <c r="A228" s="879"/>
      <c r="B228" s="885">
        <f>C228-TIME(0,15,0)</f>
        <v>0.62500000000000022</v>
      </c>
      <c r="C228" s="886">
        <f t="shared" ref="C228:D228" si="44">D228-TIME(0,15,0)</f>
        <v>0.63541666666666685</v>
      </c>
      <c r="D228" s="885">
        <f t="shared" si="44"/>
        <v>0.64583333333333348</v>
      </c>
      <c r="E228" s="856">
        <f>F228-TIME(1,15,0)</f>
        <v>0.65625000000000011</v>
      </c>
      <c r="F228" s="885">
        <f t="shared" ref="F228:G228" si="45">G228-TIME(0,20,0)</f>
        <v>0.70833333333333348</v>
      </c>
      <c r="G228" s="885">
        <f t="shared" si="45"/>
        <v>0.72222222222222232</v>
      </c>
      <c r="H228" s="621">
        <f t="shared" si="34"/>
        <v>0.73611111111111116</v>
      </c>
      <c r="I228" s="621">
        <v>0.86111111111111116</v>
      </c>
      <c r="J228" s="348" t="s">
        <v>76</v>
      </c>
      <c r="K228" s="348">
        <v>2</v>
      </c>
      <c r="L228" s="348"/>
      <c r="M228" s="348"/>
      <c r="N228" s="348"/>
      <c r="O228" s="622">
        <f>SUM(J228:N235)</f>
        <v>73</v>
      </c>
      <c r="P228" s="348"/>
      <c r="Q228" s="348"/>
      <c r="R228" s="348"/>
      <c r="S228" s="638">
        <v>1</v>
      </c>
      <c r="T228" s="638"/>
      <c r="U228" s="665" t="s">
        <v>262</v>
      </c>
      <c r="V228" s="332"/>
      <c r="W228" s="332"/>
      <c r="X228" s="332"/>
      <c r="Y228" s="332"/>
      <c r="Z228" s="332"/>
      <c r="AA228" s="332"/>
      <c r="AB228" s="332"/>
      <c r="AC228" s="332"/>
      <c r="AD228" s="332"/>
      <c r="AE228" s="332"/>
      <c r="AF228" s="332"/>
      <c r="AG228" s="332"/>
      <c r="AH228" s="332"/>
      <c r="AI228" s="332"/>
      <c r="AJ228" s="332"/>
      <c r="AK228" s="332"/>
      <c r="AL228" s="332"/>
      <c r="AM228" s="332"/>
      <c r="AN228" s="332" t="str">
        <f t="shared" si="39"/>
        <v>THE PLAZABX 164</v>
      </c>
      <c r="AO228" s="334" t="s">
        <v>26</v>
      </c>
      <c r="AP228" s="351">
        <v>45923</v>
      </c>
      <c r="AQ228" s="336" t="s">
        <v>255</v>
      </c>
      <c r="AR228" s="336" t="s">
        <v>217</v>
      </c>
      <c r="AS228" s="337">
        <v>7.2916666666666671E-2</v>
      </c>
    </row>
    <row r="229" spans="1:45" ht="15" customHeight="1">
      <c r="A229" s="879"/>
      <c r="B229" s="879"/>
      <c r="C229" s="879"/>
      <c r="D229" s="879"/>
      <c r="E229" s="865"/>
      <c r="F229" s="879"/>
      <c r="G229" s="879"/>
      <c r="H229" s="358">
        <f t="shared" si="34"/>
        <v>0.73958333333333337</v>
      </c>
      <c r="I229" s="358">
        <v>0.86458333333333337</v>
      </c>
      <c r="J229" s="360" t="s">
        <v>77</v>
      </c>
      <c r="K229" s="360">
        <v>4</v>
      </c>
      <c r="L229" s="360">
        <v>15</v>
      </c>
      <c r="M229" s="360"/>
      <c r="N229" s="360"/>
      <c r="O229" s="373"/>
      <c r="P229" s="360"/>
      <c r="Q229" s="360"/>
      <c r="R229" s="360"/>
      <c r="S229" s="577">
        <v>2</v>
      </c>
      <c r="T229" s="577">
        <v>1</v>
      </c>
      <c r="U229" s="560" t="s">
        <v>263</v>
      </c>
      <c r="V229" s="332"/>
      <c r="W229" s="332"/>
      <c r="X229" s="332"/>
      <c r="Y229" s="332"/>
      <c r="Z229" s="332"/>
      <c r="AA229" s="332"/>
      <c r="AB229" s="332"/>
      <c r="AC229" s="332"/>
      <c r="AD229" s="332"/>
      <c r="AE229" s="332"/>
      <c r="AF229" s="332"/>
      <c r="AG229" s="332"/>
      <c r="AH229" s="332"/>
      <c r="AI229" s="332"/>
      <c r="AJ229" s="332"/>
      <c r="AK229" s="332"/>
      <c r="AL229" s="332"/>
      <c r="AM229" s="332"/>
      <c r="AN229" s="332" t="str">
        <f t="shared" si="39"/>
        <v>THE PLAZA7C 1501</v>
      </c>
      <c r="AO229" s="334" t="s">
        <v>26</v>
      </c>
      <c r="AP229" s="351">
        <v>45923</v>
      </c>
      <c r="AQ229" s="336" t="s">
        <v>255</v>
      </c>
      <c r="AR229" s="336" t="s">
        <v>218</v>
      </c>
      <c r="AS229" s="337">
        <v>7.2916666666666671E-2</v>
      </c>
    </row>
    <row r="230" spans="1:45" ht="15" customHeight="1">
      <c r="A230" s="879"/>
      <c r="B230" s="879"/>
      <c r="C230" s="879"/>
      <c r="D230" s="879"/>
      <c r="E230" s="865"/>
      <c r="F230" s="879"/>
      <c r="G230" s="879"/>
      <c r="H230" s="358">
        <f t="shared" si="34"/>
        <v>0.74652777777777779</v>
      </c>
      <c r="I230" s="358">
        <v>0.87152777777777779</v>
      </c>
      <c r="J230" s="360" t="s">
        <v>174</v>
      </c>
      <c r="K230" s="360">
        <v>12</v>
      </c>
      <c r="L230" s="360">
        <v>17</v>
      </c>
      <c r="M230" s="360"/>
      <c r="N230" s="360"/>
      <c r="O230" s="373"/>
      <c r="P230" s="360"/>
      <c r="Q230" s="360"/>
      <c r="R230" s="360"/>
      <c r="S230" s="360"/>
      <c r="T230" s="360"/>
      <c r="U230" s="332"/>
      <c r="V230" s="332"/>
      <c r="W230" s="332"/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2"/>
      <c r="AK230" s="332"/>
      <c r="AL230" s="332"/>
      <c r="AM230" s="332"/>
      <c r="AN230" s="332" t="str">
        <f t="shared" si="39"/>
        <v>THE PLAZA5J 185</v>
      </c>
      <c r="AO230" s="334" t="s">
        <v>26</v>
      </c>
      <c r="AP230" s="351">
        <v>45923</v>
      </c>
      <c r="AQ230" s="336" t="s">
        <v>255</v>
      </c>
      <c r="AR230" s="336" t="s">
        <v>93</v>
      </c>
      <c r="AS230" s="337">
        <v>0.13541666666666666</v>
      </c>
    </row>
    <row r="231" spans="1:45" ht="15" customHeight="1">
      <c r="A231" s="879"/>
      <c r="B231" s="879"/>
      <c r="C231" s="879"/>
      <c r="D231" s="879"/>
      <c r="E231" s="865"/>
      <c r="F231" s="879"/>
      <c r="G231" s="879"/>
      <c r="H231" s="358">
        <f t="shared" si="34"/>
        <v>0.75</v>
      </c>
      <c r="I231" s="358">
        <v>0.875</v>
      </c>
      <c r="J231" s="360" t="s">
        <v>264</v>
      </c>
      <c r="K231" s="360"/>
      <c r="L231" s="360"/>
      <c r="M231" s="360"/>
      <c r="N231" s="360">
        <v>1</v>
      </c>
      <c r="O231" s="373"/>
      <c r="P231" s="360"/>
      <c r="Q231" s="360"/>
      <c r="R231" s="360"/>
      <c r="S231" s="360"/>
      <c r="T231" s="360"/>
      <c r="U231" s="332"/>
      <c r="V231" s="332"/>
      <c r="W231" s="332"/>
      <c r="X231" s="332"/>
      <c r="Y231" s="332"/>
      <c r="Z231" s="332"/>
      <c r="AA231" s="332"/>
      <c r="AB231" s="332"/>
      <c r="AC231" s="332"/>
      <c r="AD231" s="332"/>
      <c r="AE231" s="332"/>
      <c r="AF231" s="332"/>
      <c r="AG231" s="332"/>
      <c r="AH231" s="332"/>
      <c r="AI231" s="332"/>
      <c r="AJ231" s="332"/>
      <c r="AK231" s="332"/>
      <c r="AL231" s="332"/>
      <c r="AM231" s="332"/>
      <c r="AN231" s="332" t="str">
        <f t="shared" si="39"/>
        <v>THE PLAZAKE 127</v>
      </c>
      <c r="AO231" s="334" t="s">
        <v>26</v>
      </c>
      <c r="AP231" s="351">
        <v>45923</v>
      </c>
      <c r="AQ231" s="336" t="s">
        <v>255</v>
      </c>
      <c r="AR231" s="336" t="s">
        <v>226</v>
      </c>
      <c r="AS231" s="337">
        <v>0.13541666666666666</v>
      </c>
    </row>
    <row r="232" spans="1:45" ht="15" customHeight="1">
      <c r="A232" s="879"/>
      <c r="B232" s="879"/>
      <c r="C232" s="879"/>
      <c r="D232" s="879"/>
      <c r="E232" s="865"/>
      <c r="F232" s="879"/>
      <c r="G232" s="879"/>
      <c r="H232" s="358">
        <f t="shared" si="34"/>
        <v>0.75347222222222221</v>
      </c>
      <c r="I232" s="358">
        <v>0.87847222222222221</v>
      </c>
      <c r="J232" s="360" t="s">
        <v>265</v>
      </c>
      <c r="K232" s="360"/>
      <c r="L232" s="360"/>
      <c r="M232" s="360"/>
      <c r="N232" s="360">
        <v>2</v>
      </c>
      <c r="O232" s="373"/>
      <c r="P232" s="360"/>
      <c r="Q232" s="360"/>
      <c r="R232" s="360"/>
      <c r="S232" s="360"/>
      <c r="T232" s="360"/>
      <c r="U232" s="332"/>
      <c r="V232" s="332"/>
      <c r="W232" s="332"/>
      <c r="X232" s="332"/>
      <c r="Y232" s="332"/>
      <c r="Z232" s="332"/>
      <c r="AA232" s="332"/>
      <c r="AB232" s="332"/>
      <c r="AC232" s="332"/>
      <c r="AD232" s="332"/>
      <c r="AE232" s="332"/>
      <c r="AF232" s="332"/>
      <c r="AG232" s="332"/>
      <c r="AH232" s="332"/>
      <c r="AI232" s="332"/>
      <c r="AJ232" s="332"/>
      <c r="AK232" s="332"/>
      <c r="AL232" s="332"/>
      <c r="AM232" s="332"/>
      <c r="AN232" s="332" t="str">
        <f t="shared" si="39"/>
        <v>THE PLAZATW 241</v>
      </c>
      <c r="AO232" s="334" t="s">
        <v>26</v>
      </c>
      <c r="AP232" s="351">
        <v>45923</v>
      </c>
      <c r="AQ232" s="336" t="s">
        <v>255</v>
      </c>
      <c r="AR232" s="336" t="s">
        <v>109</v>
      </c>
      <c r="AS232" s="337">
        <v>0.13541666666666666</v>
      </c>
    </row>
    <row r="233" spans="1:45" ht="15" customHeight="1">
      <c r="A233" s="879"/>
      <c r="B233" s="879"/>
      <c r="C233" s="879"/>
      <c r="D233" s="879"/>
      <c r="E233" s="865"/>
      <c r="F233" s="879"/>
      <c r="G233" s="879"/>
      <c r="H233" s="358">
        <f t="shared" si="34"/>
        <v>0.75347222222222221</v>
      </c>
      <c r="I233" s="358">
        <v>0.87847222222222221</v>
      </c>
      <c r="J233" s="360" t="s">
        <v>266</v>
      </c>
      <c r="K233" s="360">
        <v>2</v>
      </c>
      <c r="L233" s="360"/>
      <c r="M233" s="360"/>
      <c r="N233" s="360"/>
      <c r="O233" s="373"/>
      <c r="P233" s="360"/>
      <c r="Q233" s="360"/>
      <c r="R233" s="360"/>
      <c r="S233" s="360"/>
      <c r="T233" s="360"/>
      <c r="U233" s="332"/>
      <c r="V233" s="332"/>
      <c r="W233" s="332"/>
      <c r="X233" s="332"/>
      <c r="Y233" s="332"/>
      <c r="Z233" s="332"/>
      <c r="AA233" s="332"/>
      <c r="AB233" s="332"/>
      <c r="AC233" s="332"/>
      <c r="AD233" s="332"/>
      <c r="AE233" s="332"/>
      <c r="AF233" s="332"/>
      <c r="AG233" s="332"/>
      <c r="AH233" s="332"/>
      <c r="AI233" s="332"/>
      <c r="AJ233" s="332"/>
      <c r="AK233" s="332"/>
      <c r="AL233" s="332"/>
      <c r="AM233" s="332"/>
      <c r="AN233" s="332" t="str">
        <f t="shared" si="39"/>
        <v>THE PLAZAKE 865</v>
      </c>
      <c r="AO233" s="334" t="s">
        <v>26</v>
      </c>
      <c r="AP233" s="351">
        <v>45923</v>
      </c>
      <c r="AQ233" s="336" t="s">
        <v>255</v>
      </c>
      <c r="AR233" s="336" t="s">
        <v>227</v>
      </c>
      <c r="AS233" s="337">
        <v>0.13541666666666666</v>
      </c>
    </row>
    <row r="234" spans="1:45" ht="15" customHeight="1">
      <c r="A234" s="879"/>
      <c r="B234" s="879"/>
      <c r="C234" s="879"/>
      <c r="D234" s="879"/>
      <c r="E234" s="865"/>
      <c r="F234" s="879"/>
      <c r="G234" s="879"/>
      <c r="H234" s="358">
        <f t="shared" si="34"/>
        <v>0.75347222222222221</v>
      </c>
      <c r="I234" s="358">
        <v>0.87847222222222221</v>
      </c>
      <c r="J234" s="360" t="s">
        <v>267</v>
      </c>
      <c r="K234" s="360"/>
      <c r="L234" s="360">
        <v>12</v>
      </c>
      <c r="M234" s="360"/>
      <c r="N234" s="360"/>
      <c r="O234" s="373"/>
      <c r="P234" s="360"/>
      <c r="Q234" s="360"/>
      <c r="R234" s="360"/>
      <c r="S234" s="360"/>
      <c r="T234" s="360"/>
      <c r="U234" s="332"/>
      <c r="V234" s="332"/>
      <c r="W234" s="332"/>
      <c r="X234" s="332"/>
      <c r="Y234" s="332"/>
      <c r="Z234" s="332"/>
      <c r="AA234" s="332"/>
      <c r="AB234" s="332"/>
      <c r="AC234" s="332"/>
      <c r="AD234" s="332"/>
      <c r="AE234" s="332"/>
      <c r="AF234" s="332"/>
      <c r="AG234" s="332"/>
      <c r="AH234" s="332"/>
      <c r="AI234" s="332"/>
      <c r="AJ234" s="332"/>
      <c r="AK234" s="332"/>
      <c r="AL234" s="332"/>
      <c r="AM234" s="332"/>
      <c r="AN234" s="332" t="str">
        <f t="shared" si="39"/>
        <v>THE PLAZAOZ 102</v>
      </c>
      <c r="AO234" s="334" t="s">
        <v>26</v>
      </c>
      <c r="AP234" s="351">
        <v>45923</v>
      </c>
      <c r="AQ234" s="336" t="s">
        <v>255</v>
      </c>
      <c r="AR234" s="336" t="s">
        <v>111</v>
      </c>
      <c r="AS234" s="337">
        <v>0.17708333333333334</v>
      </c>
    </row>
    <row r="235" spans="1:45" ht="15" customHeight="1">
      <c r="A235" s="879"/>
      <c r="B235" s="871"/>
      <c r="C235" s="871"/>
      <c r="D235" s="871"/>
      <c r="E235" s="872"/>
      <c r="F235" s="871"/>
      <c r="G235" s="871"/>
      <c r="H235" s="589">
        <f t="shared" si="34"/>
        <v>0.75694444444444442</v>
      </c>
      <c r="I235" s="589">
        <v>0.88194444444444442</v>
      </c>
      <c r="J235" s="379" t="s">
        <v>268</v>
      </c>
      <c r="K235" s="379">
        <v>6</v>
      </c>
      <c r="L235" s="379"/>
      <c r="M235" s="379"/>
      <c r="N235" s="379"/>
      <c r="O235" s="462"/>
      <c r="P235" s="379"/>
      <c r="Q235" s="379"/>
      <c r="R235" s="379"/>
      <c r="S235" s="379"/>
      <c r="T235" s="379"/>
      <c r="U235" s="332"/>
      <c r="V235" s="332"/>
      <c r="W235" s="332"/>
      <c r="X235" s="332"/>
      <c r="Y235" s="332"/>
      <c r="Z235" s="332"/>
      <c r="AA235" s="332"/>
      <c r="AB235" s="332"/>
      <c r="AC235" s="332"/>
      <c r="AD235" s="332"/>
      <c r="AE235" s="332"/>
      <c r="AF235" s="332"/>
      <c r="AG235" s="332"/>
      <c r="AH235" s="332"/>
      <c r="AI235" s="332"/>
      <c r="AJ235" s="332"/>
      <c r="AK235" s="332"/>
      <c r="AL235" s="332"/>
      <c r="AM235" s="332"/>
      <c r="AN235" s="332" t="str">
        <f t="shared" si="39"/>
        <v>THE PLAZAOZ 222</v>
      </c>
      <c r="AO235" s="334" t="s">
        <v>26</v>
      </c>
      <c r="AP235" s="351">
        <v>45923</v>
      </c>
      <c r="AQ235" s="336" t="s">
        <v>255</v>
      </c>
      <c r="AR235" s="336" t="s">
        <v>228</v>
      </c>
      <c r="AS235" s="337">
        <v>0.17708333333333334</v>
      </c>
    </row>
    <row r="236" spans="1:45" ht="15" customHeight="1">
      <c r="A236" s="879"/>
      <c r="B236" s="646"/>
      <c r="C236" s="647"/>
      <c r="D236" s="617">
        <f>E236-TIME(0,15,0)</f>
        <v>0.69791666666666674</v>
      </c>
      <c r="E236" s="615">
        <f t="shared" ref="E236:E237" si="46">F236-TIME(1,30,0)</f>
        <v>0.70833333333333337</v>
      </c>
      <c r="F236" s="617">
        <f>H236</f>
        <v>0.77083333333333337</v>
      </c>
      <c r="G236" s="646"/>
      <c r="H236" s="617">
        <f t="shared" si="34"/>
        <v>0.77083333333333337</v>
      </c>
      <c r="I236" s="617">
        <v>0.89583333333333337</v>
      </c>
      <c r="J236" s="616" t="s">
        <v>177</v>
      </c>
      <c r="K236" s="616">
        <v>4</v>
      </c>
      <c r="L236" s="616"/>
      <c r="M236" s="616"/>
      <c r="N236" s="616"/>
      <c r="O236" s="618">
        <f>SUM(J236:N236)</f>
        <v>4</v>
      </c>
      <c r="P236" s="616"/>
      <c r="Q236" s="673">
        <v>1</v>
      </c>
      <c r="R236" s="673"/>
      <c r="S236" s="673"/>
      <c r="T236" s="673"/>
      <c r="U236" s="514" t="s">
        <v>269</v>
      </c>
      <c r="V236" s="332"/>
      <c r="W236" s="332"/>
      <c r="X236" s="332"/>
      <c r="Y236" s="332"/>
      <c r="Z236" s="332"/>
      <c r="AA236" s="332"/>
      <c r="AB236" s="332"/>
      <c r="AC236" s="332"/>
      <c r="AD236" s="332"/>
      <c r="AE236" s="332"/>
      <c r="AF236" s="332"/>
      <c r="AG236" s="332"/>
      <c r="AH236" s="332"/>
      <c r="AI236" s="332"/>
      <c r="AJ236" s="332"/>
      <c r="AK236" s="332"/>
      <c r="AL236" s="332"/>
      <c r="AM236" s="332"/>
      <c r="AN236" s="332" t="str">
        <f t="shared" si="39"/>
        <v>THE PLAZA7C 6101</v>
      </c>
      <c r="AO236" s="334" t="s">
        <v>26</v>
      </c>
      <c r="AP236" s="351">
        <v>45923</v>
      </c>
      <c r="AQ236" s="336" t="s">
        <v>255</v>
      </c>
      <c r="AR236" s="336" t="s">
        <v>229</v>
      </c>
      <c r="AS236" s="337">
        <v>0.17708333333333334</v>
      </c>
    </row>
    <row r="237" spans="1:45" ht="15" customHeight="1">
      <c r="A237" s="879"/>
      <c r="B237" s="885">
        <f>C237-TIME(0,15,0)</f>
        <v>0.70138888888888906</v>
      </c>
      <c r="C237" s="886">
        <f t="shared" ref="C237:D237" si="47">D237-TIME(0,15,0)</f>
        <v>0.71180555555555569</v>
      </c>
      <c r="D237" s="885">
        <f t="shared" si="47"/>
        <v>0.72222222222222232</v>
      </c>
      <c r="E237" s="856">
        <f t="shared" si="46"/>
        <v>0.73263888888888895</v>
      </c>
      <c r="F237" s="885">
        <f>G237-TIME(0,20,0)</f>
        <v>0.79513888888888895</v>
      </c>
      <c r="G237" s="885">
        <f>H237</f>
        <v>0.80902777777777779</v>
      </c>
      <c r="H237" s="621">
        <f t="shared" si="34"/>
        <v>0.80902777777777779</v>
      </c>
      <c r="I237" s="621">
        <v>0.93402777777777779</v>
      </c>
      <c r="J237" s="348" t="s">
        <v>270</v>
      </c>
      <c r="K237" s="348"/>
      <c r="L237" s="348"/>
      <c r="M237" s="348">
        <v>1</v>
      </c>
      <c r="N237" s="348"/>
      <c r="O237" s="622">
        <f>SUM(J237:N240)</f>
        <v>5</v>
      </c>
      <c r="P237" s="348"/>
      <c r="Q237" s="348">
        <v>1</v>
      </c>
      <c r="R237" s="348"/>
      <c r="S237" s="348"/>
      <c r="T237" s="348"/>
      <c r="U237" s="332"/>
      <c r="V237" s="332"/>
      <c r="W237" s="332"/>
      <c r="X237" s="332"/>
      <c r="Y237" s="332"/>
      <c r="Z237" s="332"/>
      <c r="AA237" s="332"/>
      <c r="AB237" s="332"/>
      <c r="AC237" s="332"/>
      <c r="AD237" s="332"/>
      <c r="AE237" s="332"/>
      <c r="AF237" s="332"/>
      <c r="AG237" s="332"/>
      <c r="AH237" s="332"/>
      <c r="AI237" s="332"/>
      <c r="AJ237" s="332"/>
      <c r="AK237" s="332"/>
      <c r="AL237" s="332"/>
      <c r="AM237" s="332"/>
      <c r="AN237" s="332" t="str">
        <f t="shared" si="39"/>
        <v>THE PLAZARS 701</v>
      </c>
      <c r="AO237" s="334" t="s">
        <v>26</v>
      </c>
      <c r="AP237" s="351">
        <v>45923</v>
      </c>
      <c r="AQ237" s="336" t="s">
        <v>255</v>
      </c>
      <c r="AR237" s="336" t="s">
        <v>42</v>
      </c>
      <c r="AS237" s="337">
        <v>0.17708333333333334</v>
      </c>
    </row>
    <row r="238" spans="1:45" ht="15" customHeight="1">
      <c r="A238" s="879"/>
      <c r="B238" s="879"/>
      <c r="C238" s="879"/>
      <c r="D238" s="879"/>
      <c r="E238" s="865"/>
      <c r="F238" s="879"/>
      <c r="G238" s="879"/>
      <c r="H238" s="358">
        <f t="shared" si="34"/>
        <v>0.8125</v>
      </c>
      <c r="I238" s="358">
        <v>0.9375</v>
      </c>
      <c r="J238" s="360" t="s">
        <v>271</v>
      </c>
      <c r="K238" s="360">
        <v>1</v>
      </c>
      <c r="L238" s="360"/>
      <c r="M238" s="360"/>
      <c r="N238" s="360"/>
      <c r="O238" s="373"/>
      <c r="P238" s="360"/>
      <c r="Q238" s="360"/>
      <c r="R238" s="360"/>
      <c r="S238" s="360"/>
      <c r="T238" s="360"/>
      <c r="U238" s="332"/>
      <c r="V238" s="332"/>
      <c r="W238" s="332"/>
      <c r="X238" s="332"/>
      <c r="Y238" s="332"/>
      <c r="Z238" s="332"/>
      <c r="AA238" s="332"/>
      <c r="AB238" s="332"/>
      <c r="AC238" s="332"/>
      <c r="AD238" s="332"/>
      <c r="AE238" s="332"/>
      <c r="AF238" s="332"/>
      <c r="AG238" s="332"/>
      <c r="AH238" s="332"/>
      <c r="AI238" s="332"/>
      <c r="AJ238" s="332"/>
      <c r="AK238" s="332"/>
      <c r="AL238" s="332"/>
      <c r="AM238" s="332"/>
      <c r="AN238" s="332" t="str">
        <f t="shared" si="39"/>
        <v>THE PLAZADL 7839</v>
      </c>
      <c r="AO238" s="334" t="s">
        <v>26</v>
      </c>
      <c r="AP238" s="351">
        <v>45923</v>
      </c>
      <c r="AQ238" s="336" t="s">
        <v>255</v>
      </c>
      <c r="AR238" s="336" t="s">
        <v>230</v>
      </c>
      <c r="AS238" s="337">
        <v>0.17708333333333334</v>
      </c>
    </row>
    <row r="239" spans="1:45" ht="15" customHeight="1">
      <c r="A239" s="879"/>
      <c r="B239" s="879"/>
      <c r="C239" s="879"/>
      <c r="D239" s="879"/>
      <c r="E239" s="865"/>
      <c r="F239" s="879"/>
      <c r="G239" s="879"/>
      <c r="H239" s="358">
        <f t="shared" si="34"/>
        <v>0.81597222222222221</v>
      </c>
      <c r="I239" s="358">
        <v>0.94097222222222221</v>
      </c>
      <c r="J239" s="360" t="s">
        <v>272</v>
      </c>
      <c r="K239" s="360"/>
      <c r="L239" s="360">
        <v>1</v>
      </c>
      <c r="M239" s="360"/>
      <c r="N239" s="360"/>
      <c r="O239" s="373"/>
      <c r="P239" s="360"/>
      <c r="Q239" s="360"/>
      <c r="R239" s="360"/>
      <c r="S239" s="360"/>
      <c r="T239" s="360"/>
      <c r="U239" s="332"/>
      <c r="V239" s="332"/>
      <c r="W239" s="332"/>
      <c r="X239" s="332"/>
      <c r="Y239" s="332"/>
      <c r="Z239" s="332"/>
      <c r="AA239" s="332"/>
      <c r="AB239" s="332"/>
      <c r="AC239" s="332"/>
      <c r="AD239" s="332"/>
      <c r="AE239" s="332"/>
      <c r="AF239" s="332"/>
      <c r="AG239" s="332"/>
      <c r="AH239" s="332"/>
      <c r="AI239" s="332"/>
      <c r="AJ239" s="332"/>
      <c r="AK239" s="332"/>
      <c r="AL239" s="332"/>
      <c r="AM239" s="332"/>
      <c r="AN239" s="332" t="str">
        <f t="shared" si="39"/>
        <v>THE PLAZAKE 31</v>
      </c>
      <c r="AO239" s="334" t="s">
        <v>26</v>
      </c>
      <c r="AP239" s="351">
        <v>45923</v>
      </c>
      <c r="AQ239" s="336" t="s">
        <v>255</v>
      </c>
      <c r="AR239" s="336" t="s">
        <v>44</v>
      </c>
      <c r="AS239" s="337">
        <v>0.17708333333333334</v>
      </c>
    </row>
    <row r="240" spans="1:45" ht="15" customHeight="1">
      <c r="A240" s="871"/>
      <c r="B240" s="871"/>
      <c r="C240" s="871"/>
      <c r="D240" s="871"/>
      <c r="E240" s="872"/>
      <c r="F240" s="871"/>
      <c r="G240" s="871"/>
      <c r="H240" s="358"/>
      <c r="I240" s="358"/>
      <c r="J240" s="360" t="s">
        <v>273</v>
      </c>
      <c r="K240" s="360"/>
      <c r="L240" s="360">
        <v>2</v>
      </c>
      <c r="M240" s="360"/>
      <c r="N240" s="360"/>
      <c r="O240" s="601"/>
      <c r="P240" s="360"/>
      <c r="Q240" s="360"/>
      <c r="R240" s="360"/>
      <c r="S240" s="360"/>
      <c r="T240" s="360"/>
      <c r="U240" s="332"/>
      <c r="V240" s="332"/>
      <c r="W240" s="332"/>
      <c r="X240" s="332"/>
      <c r="Y240" s="332"/>
      <c r="Z240" s="332"/>
      <c r="AA240" s="332"/>
      <c r="AB240" s="332"/>
      <c r="AC240" s="332"/>
      <c r="AD240" s="332"/>
      <c r="AE240" s="332"/>
      <c r="AF240" s="332"/>
      <c r="AG240" s="332"/>
      <c r="AH240" s="332"/>
      <c r="AI240" s="332"/>
      <c r="AJ240" s="332"/>
      <c r="AK240" s="332"/>
      <c r="AL240" s="332"/>
      <c r="AM240" s="332"/>
      <c r="AN240" s="332" t="str">
        <f t="shared" si="39"/>
        <v>THE PLAZADL 158</v>
      </c>
      <c r="AO240" s="334" t="s">
        <v>26</v>
      </c>
      <c r="AP240" s="351">
        <v>45923</v>
      </c>
      <c r="AQ240" s="336" t="s">
        <v>255</v>
      </c>
      <c r="AR240" s="336" t="s">
        <v>48</v>
      </c>
      <c r="AS240" s="337">
        <v>0.21527777777777779</v>
      </c>
    </row>
    <row r="241" spans="1:46" ht="22.5" customHeight="1">
      <c r="A241" s="819" t="s">
        <v>32</v>
      </c>
      <c r="B241" s="875"/>
      <c r="C241" s="875"/>
      <c r="D241" s="875"/>
      <c r="E241" s="875"/>
      <c r="F241" s="875"/>
      <c r="G241" s="875"/>
      <c r="H241" s="875"/>
      <c r="I241" s="875"/>
      <c r="J241" s="876"/>
      <c r="K241" s="372">
        <f t="shared" ref="K241:N241" si="48">SUM(K151:K240)</f>
        <v>149</v>
      </c>
      <c r="L241" s="372">
        <f t="shared" si="48"/>
        <v>196</v>
      </c>
      <c r="M241" s="372">
        <f t="shared" si="48"/>
        <v>91</v>
      </c>
      <c r="N241" s="372">
        <f t="shared" si="48"/>
        <v>53</v>
      </c>
      <c r="O241" s="372">
        <f t="shared" ref="O241:T241" si="49">SUM(O152:O239)</f>
        <v>489</v>
      </c>
      <c r="P241" s="372">
        <f t="shared" si="49"/>
        <v>4</v>
      </c>
      <c r="Q241" s="372">
        <f t="shared" si="49"/>
        <v>6</v>
      </c>
      <c r="R241" s="372">
        <f t="shared" si="49"/>
        <v>1</v>
      </c>
      <c r="S241" s="372">
        <f t="shared" si="49"/>
        <v>20</v>
      </c>
      <c r="T241" s="372">
        <f t="shared" si="49"/>
        <v>1</v>
      </c>
      <c r="U241" s="332"/>
      <c r="V241" s="332"/>
      <c r="W241" s="332"/>
      <c r="X241" s="332"/>
      <c r="Y241" s="332"/>
      <c r="Z241" s="332"/>
      <c r="AA241" s="332"/>
      <c r="AB241" s="332"/>
      <c r="AC241" s="332"/>
      <c r="AD241" s="332"/>
      <c r="AE241" s="332"/>
      <c r="AF241" s="332"/>
      <c r="AG241" s="332"/>
      <c r="AH241" s="332"/>
      <c r="AI241" s="332"/>
      <c r="AJ241" s="332"/>
      <c r="AK241" s="332"/>
      <c r="AL241" s="332"/>
      <c r="AM241" s="332"/>
      <c r="AN241" s="332" t="str">
        <f t="shared" si="39"/>
        <v>THE PLAZAKE 185</v>
      </c>
      <c r="AO241" s="334" t="s">
        <v>26</v>
      </c>
      <c r="AP241" s="351">
        <v>45923</v>
      </c>
      <c r="AQ241" s="336" t="s">
        <v>255</v>
      </c>
      <c r="AR241" s="336" t="s">
        <v>231</v>
      </c>
      <c r="AS241" s="337">
        <v>0.21527777777777779</v>
      </c>
    </row>
    <row r="242" spans="1:46" ht="15" customHeight="1">
      <c r="A242" s="600"/>
      <c r="B242" s="600"/>
      <c r="C242" s="600"/>
      <c r="D242" s="600"/>
      <c r="E242" s="600"/>
      <c r="F242" s="600"/>
      <c r="G242" s="600"/>
      <c r="H242" s="600"/>
      <c r="I242" s="600"/>
      <c r="J242" s="332"/>
      <c r="K242" s="332"/>
      <c r="L242" s="332"/>
      <c r="M242" s="332"/>
      <c r="N242" s="332"/>
      <c r="O242" s="332"/>
      <c r="P242" s="332" t="s">
        <v>34</v>
      </c>
      <c r="Q242" s="332" t="s">
        <v>35</v>
      </c>
      <c r="R242" s="332" t="s">
        <v>36</v>
      </c>
      <c r="S242" s="332" t="s">
        <v>37</v>
      </c>
      <c r="V242" s="332"/>
      <c r="W242" s="332"/>
      <c r="X242" s="332"/>
      <c r="Y242" s="332"/>
      <c r="Z242" s="332"/>
      <c r="AA242" s="332"/>
      <c r="AB242" s="332"/>
      <c r="AC242" s="332"/>
      <c r="AD242" s="332"/>
      <c r="AE242" s="332"/>
      <c r="AF242" s="332"/>
      <c r="AG242" s="332"/>
      <c r="AH242" s="332"/>
      <c r="AI242" s="332"/>
      <c r="AJ242" s="332"/>
      <c r="AK242" s="332"/>
      <c r="AL242" s="332"/>
      <c r="AM242" s="332"/>
      <c r="AN242" s="332" t="str">
        <f t="shared" si="39"/>
        <v>THE PLAZAVN 409</v>
      </c>
      <c r="AO242" s="334" t="s">
        <v>26</v>
      </c>
      <c r="AP242" s="351">
        <v>45923</v>
      </c>
      <c r="AQ242" s="336" t="s">
        <v>255</v>
      </c>
      <c r="AR242" s="336" t="s">
        <v>50</v>
      </c>
      <c r="AS242" s="337">
        <v>0.21527777777777779</v>
      </c>
      <c r="AT242" s="332"/>
    </row>
    <row r="243" spans="1:46" ht="15" customHeight="1">
      <c r="A243" s="600"/>
      <c r="B243" s="600"/>
      <c r="C243" s="600"/>
      <c r="D243" s="600"/>
      <c r="E243" s="600"/>
      <c r="F243" s="600"/>
      <c r="G243" s="600"/>
      <c r="H243" s="600"/>
      <c r="I243" s="600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  <c r="AA243" s="332"/>
      <c r="AB243" s="332"/>
      <c r="AC243" s="332"/>
      <c r="AD243" s="332"/>
      <c r="AE243" s="332"/>
      <c r="AF243" s="332"/>
      <c r="AG243" s="332"/>
      <c r="AH243" s="332"/>
      <c r="AI243" s="332"/>
      <c r="AJ243" s="332"/>
      <c r="AK243" s="332"/>
      <c r="AL243" s="332"/>
      <c r="AM243" s="332"/>
      <c r="AN243" s="332" t="str">
        <f t="shared" si="39"/>
        <v>THE PLAZA7C 1373</v>
      </c>
      <c r="AO243" s="334" t="s">
        <v>26</v>
      </c>
      <c r="AP243" s="351">
        <v>45923</v>
      </c>
      <c r="AQ243" s="336" t="s">
        <v>255</v>
      </c>
      <c r="AR243" s="336" t="s">
        <v>232</v>
      </c>
      <c r="AS243" s="337">
        <v>0.21527777777777779</v>
      </c>
      <c r="AT243" s="332"/>
    </row>
    <row r="244" spans="1:46" ht="15" customHeight="1">
      <c r="A244" s="332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  <c r="AA244" s="332"/>
      <c r="AB244" s="332"/>
      <c r="AC244" s="332"/>
      <c r="AD244" s="332"/>
      <c r="AE244" s="332"/>
      <c r="AF244" s="332"/>
      <c r="AG244" s="332"/>
      <c r="AH244" s="332"/>
      <c r="AI244" s="332"/>
      <c r="AJ244" s="332"/>
      <c r="AK244" s="332"/>
      <c r="AL244" s="332"/>
      <c r="AM244" s="332"/>
      <c r="AN244" s="332" t="str">
        <f t="shared" si="39"/>
        <v>THE PLAZAKE 37</v>
      </c>
      <c r="AO244" s="334" t="s">
        <v>26</v>
      </c>
      <c r="AP244" s="351">
        <v>45923</v>
      </c>
      <c r="AQ244" s="336" t="s">
        <v>255</v>
      </c>
      <c r="AR244" s="336" t="s">
        <v>119</v>
      </c>
      <c r="AS244" s="337">
        <v>0.21527777777777779</v>
      </c>
      <c r="AT244" s="332"/>
    </row>
    <row r="245" spans="1:46" ht="15" customHeight="1">
      <c r="A245" s="332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  <c r="AA245" s="332"/>
      <c r="AB245" s="332"/>
      <c r="AC245" s="332"/>
      <c r="AD245" s="332"/>
      <c r="AE245" s="332"/>
      <c r="AF245" s="332"/>
      <c r="AG245" s="332"/>
      <c r="AH245" s="332"/>
      <c r="AI245" s="332"/>
      <c r="AJ245" s="332"/>
      <c r="AK245" s="332"/>
      <c r="AL245" s="332"/>
      <c r="AM245" s="332"/>
      <c r="AN245" s="332" t="str">
        <f t="shared" si="39"/>
        <v>THE PLAZA7C 6001</v>
      </c>
      <c r="AO245" s="334" t="s">
        <v>26</v>
      </c>
      <c r="AP245" s="351">
        <v>45923</v>
      </c>
      <c r="AQ245" s="336" t="s">
        <v>255</v>
      </c>
      <c r="AR245" s="336" t="s">
        <v>233</v>
      </c>
      <c r="AS245" s="337">
        <v>0.26041666666666669</v>
      </c>
      <c r="AT245" s="332"/>
    </row>
    <row r="246" spans="1:46" ht="15" customHeight="1">
      <c r="A246" s="332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  <c r="AA246" s="332"/>
      <c r="AB246" s="332"/>
      <c r="AC246" s="332"/>
      <c r="AD246" s="332"/>
      <c r="AE246" s="332"/>
      <c r="AF246" s="332"/>
      <c r="AG246" s="332"/>
      <c r="AH246" s="332"/>
      <c r="AI246" s="332"/>
      <c r="AJ246" s="332"/>
      <c r="AK246" s="332"/>
      <c r="AL246" s="332"/>
      <c r="AM246" s="332"/>
      <c r="AN246" s="332" t="str">
        <f t="shared" si="39"/>
        <v>THE PLAZAVJ 961</v>
      </c>
      <c r="AO246" s="334" t="s">
        <v>26</v>
      </c>
      <c r="AP246" s="351">
        <v>45923</v>
      </c>
      <c r="AQ246" s="336" t="s">
        <v>255</v>
      </c>
      <c r="AR246" s="336" t="s">
        <v>51</v>
      </c>
      <c r="AS246" s="337">
        <v>0.26041666666666669</v>
      </c>
      <c r="AT246" s="332"/>
    </row>
    <row r="247" spans="1:46" ht="15" customHeight="1">
      <c r="A247" s="332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  <c r="AA247" s="332"/>
      <c r="AB247" s="332"/>
      <c r="AC247" s="332"/>
      <c r="AD247" s="332"/>
      <c r="AE247" s="332"/>
      <c r="AF247" s="332"/>
      <c r="AG247" s="332"/>
      <c r="AH247" s="332"/>
      <c r="AI247" s="332"/>
      <c r="AJ247" s="332"/>
      <c r="AK247" s="332"/>
      <c r="AL247" s="332"/>
      <c r="AM247" s="332"/>
      <c r="AN247" s="332" t="str">
        <f t="shared" si="39"/>
        <v>THE PLAZAVN 431</v>
      </c>
      <c r="AO247" s="334" t="s">
        <v>26</v>
      </c>
      <c r="AP247" s="351">
        <v>45923</v>
      </c>
      <c r="AQ247" s="336" t="s">
        <v>255</v>
      </c>
      <c r="AR247" s="336" t="s">
        <v>236</v>
      </c>
      <c r="AS247" s="337">
        <v>0.26041666666666669</v>
      </c>
      <c r="AT247" s="332"/>
    </row>
    <row r="248" spans="1:46" ht="15" customHeight="1">
      <c r="A248" s="332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  <c r="AA248" s="332"/>
      <c r="AB248" s="332"/>
      <c r="AC248" s="332"/>
      <c r="AD248" s="332"/>
      <c r="AE248" s="332"/>
      <c r="AF248" s="332"/>
      <c r="AG248" s="332"/>
      <c r="AH248" s="332"/>
      <c r="AI248" s="332"/>
      <c r="AJ248" s="332"/>
      <c r="AK248" s="332"/>
      <c r="AL248" s="332"/>
      <c r="AM248" s="332"/>
      <c r="AN248" s="332" t="str">
        <f t="shared" si="39"/>
        <v>THE PLAZAKE 897</v>
      </c>
      <c r="AO248" s="334" t="s">
        <v>26</v>
      </c>
      <c r="AP248" s="351">
        <v>45923</v>
      </c>
      <c r="AQ248" s="336" t="s">
        <v>255</v>
      </c>
      <c r="AR248" s="336" t="s">
        <v>121</v>
      </c>
      <c r="AS248" s="337">
        <v>0.26041666666666669</v>
      </c>
      <c r="AT248" s="332"/>
    </row>
    <row r="249" spans="1:46" ht="15" customHeight="1">
      <c r="A249" s="332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  <c r="AA249" s="332"/>
      <c r="AB249" s="332"/>
      <c r="AC249" s="332"/>
      <c r="AD249" s="332"/>
      <c r="AE249" s="332"/>
      <c r="AF249" s="332"/>
      <c r="AG249" s="332"/>
      <c r="AH249" s="332"/>
      <c r="AI249" s="332"/>
      <c r="AJ249" s="332"/>
      <c r="AK249" s="332"/>
      <c r="AL249" s="332"/>
      <c r="AM249" s="332"/>
      <c r="AN249" s="332" t="str">
        <f t="shared" si="39"/>
        <v>THE PLAZAUA 806</v>
      </c>
      <c r="AO249" s="334" t="s">
        <v>26</v>
      </c>
      <c r="AP249" s="351">
        <v>45923</v>
      </c>
      <c r="AQ249" s="336" t="s">
        <v>255</v>
      </c>
      <c r="AR249" s="336" t="s">
        <v>54</v>
      </c>
      <c r="AS249" s="337">
        <v>0.26041666666666669</v>
      </c>
      <c r="AT249" s="332"/>
    </row>
    <row r="250" spans="1:46" ht="15" customHeight="1">
      <c r="A250" s="332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  <c r="AA250" s="332"/>
      <c r="AB250" s="332"/>
      <c r="AC250" s="332"/>
      <c r="AD250" s="332"/>
      <c r="AE250" s="332"/>
      <c r="AF250" s="332"/>
      <c r="AG250" s="332"/>
      <c r="AH250" s="332"/>
      <c r="AI250" s="332"/>
      <c r="AJ250" s="332"/>
      <c r="AK250" s="332"/>
      <c r="AL250" s="332"/>
      <c r="AM250" s="332"/>
      <c r="AN250" s="332" t="str">
        <f t="shared" si="39"/>
        <v>THE PLAZABR 169</v>
      </c>
      <c r="AO250" s="334" t="s">
        <v>26</v>
      </c>
      <c r="AP250" s="351">
        <v>45923</v>
      </c>
      <c r="AQ250" s="336" t="s">
        <v>255</v>
      </c>
      <c r="AR250" s="336" t="s">
        <v>55</v>
      </c>
      <c r="AS250" s="337">
        <v>0.30902777777777779</v>
      </c>
      <c r="AT250" s="332"/>
    </row>
    <row r="251" spans="1:46" ht="15" customHeight="1">
      <c r="A251" s="332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  <c r="AA251" s="332"/>
      <c r="AB251" s="332"/>
      <c r="AC251" s="332"/>
      <c r="AD251" s="332"/>
      <c r="AE251" s="332"/>
      <c r="AF251" s="332"/>
      <c r="AG251" s="332"/>
      <c r="AH251" s="332"/>
      <c r="AI251" s="332"/>
      <c r="AJ251" s="332"/>
      <c r="AK251" s="332"/>
      <c r="AL251" s="332"/>
      <c r="AM251" s="332"/>
      <c r="AN251" s="332" t="str">
        <f t="shared" si="39"/>
        <v>THE PLAZAOZ 521</v>
      </c>
      <c r="AO251" s="334" t="s">
        <v>26</v>
      </c>
      <c r="AP251" s="351">
        <v>45923</v>
      </c>
      <c r="AQ251" s="336" t="s">
        <v>255</v>
      </c>
      <c r="AR251" s="336" t="s">
        <v>237</v>
      </c>
      <c r="AS251" s="337">
        <v>0.30208333333333331</v>
      </c>
      <c r="AT251" s="332"/>
    </row>
    <row r="252" spans="1:46" ht="15" customHeight="1">
      <c r="A252" s="332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  <c r="AA252" s="332"/>
      <c r="AB252" s="332"/>
      <c r="AC252" s="332"/>
      <c r="AD252" s="332"/>
      <c r="AE252" s="332"/>
      <c r="AF252" s="332"/>
      <c r="AG252" s="332"/>
      <c r="AH252" s="332"/>
      <c r="AI252" s="332"/>
      <c r="AJ252" s="332"/>
      <c r="AK252" s="332"/>
      <c r="AL252" s="332"/>
      <c r="AM252" s="332"/>
      <c r="AN252" s="332" t="str">
        <f t="shared" si="39"/>
        <v>THE PLAZACI 161</v>
      </c>
      <c r="AO252" s="334" t="s">
        <v>26</v>
      </c>
      <c r="AP252" s="351">
        <v>45923</v>
      </c>
      <c r="AQ252" s="336" t="s">
        <v>255</v>
      </c>
      <c r="AR252" s="336" t="s">
        <v>238</v>
      </c>
      <c r="AS252" s="337">
        <v>0.30208333333333331</v>
      </c>
      <c r="AT252" s="332"/>
    </row>
    <row r="253" spans="1:46" ht="15" customHeight="1">
      <c r="A253" s="332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  <c r="AA253" s="332"/>
      <c r="AB253" s="332"/>
      <c r="AC253" s="332"/>
      <c r="AD253" s="332"/>
      <c r="AE253" s="332"/>
      <c r="AF253" s="332"/>
      <c r="AG253" s="332"/>
      <c r="AH253" s="332"/>
      <c r="AI253" s="332"/>
      <c r="AJ253" s="332"/>
      <c r="AK253" s="332"/>
      <c r="AL253" s="332"/>
      <c r="AM253" s="332"/>
      <c r="AN253" s="332" t="str">
        <f t="shared" si="39"/>
        <v>THE PLAZACZ 314</v>
      </c>
      <c r="AO253" s="334" t="s">
        <v>26</v>
      </c>
      <c r="AP253" s="351">
        <v>45923</v>
      </c>
      <c r="AQ253" s="336" t="s">
        <v>255</v>
      </c>
      <c r="AR253" s="336" t="s">
        <v>126</v>
      </c>
      <c r="AS253" s="337">
        <v>0.30208333333333331</v>
      </c>
      <c r="AT253" s="332"/>
    </row>
    <row r="254" spans="1:46" ht="9.75" customHeight="1">
      <c r="A254" s="332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  <c r="AA254" s="332"/>
      <c r="AB254" s="332"/>
      <c r="AC254" s="332"/>
      <c r="AD254" s="332"/>
      <c r="AE254" s="332"/>
      <c r="AF254" s="332"/>
      <c r="AG254" s="332"/>
      <c r="AH254" s="332"/>
      <c r="AI254" s="332"/>
      <c r="AJ254" s="332"/>
      <c r="AK254" s="332"/>
      <c r="AL254" s="332"/>
      <c r="AM254" s="332"/>
      <c r="AN254" s="332" t="str">
        <f t="shared" si="39"/>
        <v>THE PLAZAUO 619</v>
      </c>
      <c r="AO254" s="334" t="s">
        <v>26</v>
      </c>
      <c r="AP254" s="351">
        <v>45923</v>
      </c>
      <c r="AQ254" s="336" t="s">
        <v>255</v>
      </c>
      <c r="AR254" s="336" t="s">
        <v>239</v>
      </c>
      <c r="AS254" s="337">
        <v>0.30208333333333331</v>
      </c>
      <c r="AT254" s="332"/>
    </row>
    <row r="255" spans="1:46" ht="9.75" customHeight="1">
      <c r="A255" s="332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  <c r="AA255" s="332"/>
      <c r="AB255" s="332"/>
      <c r="AC255" s="332"/>
      <c r="AD255" s="332"/>
      <c r="AE255" s="332"/>
      <c r="AF255" s="332"/>
      <c r="AG255" s="332"/>
      <c r="AH255" s="332"/>
      <c r="AI255" s="332"/>
      <c r="AJ255" s="332"/>
      <c r="AK255" s="332"/>
      <c r="AL255" s="332"/>
      <c r="AM255" s="332"/>
      <c r="AN255" s="332" t="str">
        <f t="shared" si="39"/>
        <v>THE PLAZAYP 101</v>
      </c>
      <c r="AO255" s="334" t="s">
        <v>26</v>
      </c>
      <c r="AP255" s="351">
        <v>45923</v>
      </c>
      <c r="AQ255" s="336" t="s">
        <v>255</v>
      </c>
      <c r="AR255" s="336" t="s">
        <v>58</v>
      </c>
      <c r="AS255" s="337">
        <v>0.30208333333333331</v>
      </c>
      <c r="AT255" s="332"/>
    </row>
    <row r="256" spans="1:46" ht="9.75" customHeight="1">
      <c r="A256" s="332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  <c r="AA256" s="332"/>
      <c r="AB256" s="332"/>
      <c r="AC256" s="332"/>
      <c r="AD256" s="332"/>
      <c r="AE256" s="332"/>
      <c r="AF256" s="332"/>
      <c r="AG256" s="332"/>
      <c r="AH256" s="332"/>
      <c r="AI256" s="332"/>
      <c r="AJ256" s="332"/>
      <c r="AK256" s="332"/>
      <c r="AL256" s="332"/>
      <c r="AM256" s="332"/>
      <c r="AN256" s="332" t="str">
        <f t="shared" si="39"/>
        <v>THE PLAZAKE 497</v>
      </c>
      <c r="AO256" s="334" t="s">
        <v>26</v>
      </c>
      <c r="AP256" s="351">
        <v>45923</v>
      </c>
      <c r="AQ256" s="336" t="s">
        <v>255</v>
      </c>
      <c r="AR256" s="336" t="s">
        <v>240</v>
      </c>
      <c r="AS256" s="337">
        <v>0.30208333333333331</v>
      </c>
      <c r="AT256" s="332"/>
    </row>
    <row r="257" spans="1:46" ht="9.75" customHeight="1">
      <c r="A257" s="332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  <c r="AA257" s="332"/>
      <c r="AB257" s="332"/>
      <c r="AC257" s="332"/>
      <c r="AD257" s="332"/>
      <c r="AE257" s="332"/>
      <c r="AF257" s="332"/>
      <c r="AG257" s="332"/>
      <c r="AH257" s="332"/>
      <c r="AI257" s="332"/>
      <c r="AJ257" s="332"/>
      <c r="AK257" s="332"/>
      <c r="AL257" s="332"/>
      <c r="AM257" s="332"/>
      <c r="AN257" s="332" t="str">
        <f t="shared" si="39"/>
        <v>THE PLAZAKE 175</v>
      </c>
      <c r="AO257" s="334" t="s">
        <v>26</v>
      </c>
      <c r="AP257" s="351">
        <v>45923</v>
      </c>
      <c r="AQ257" s="336" t="s">
        <v>255</v>
      </c>
      <c r="AR257" s="336" t="s">
        <v>241</v>
      </c>
      <c r="AS257" s="337">
        <v>0.34722222222222221</v>
      </c>
      <c r="AT257" s="332"/>
    </row>
    <row r="258" spans="1:46" ht="9.75" customHeight="1">
      <c r="A258" s="332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  <c r="AA258" s="332"/>
      <c r="AB258" s="332"/>
      <c r="AC258" s="332"/>
      <c r="AD258" s="332"/>
      <c r="AE258" s="332"/>
      <c r="AF258" s="332"/>
      <c r="AG258" s="332"/>
      <c r="AH258" s="332"/>
      <c r="AI258" s="332"/>
      <c r="AJ258" s="332"/>
      <c r="AK258" s="332"/>
      <c r="AL258" s="332"/>
      <c r="AM258" s="332"/>
      <c r="AN258" s="332" t="str">
        <f t="shared" si="39"/>
        <v>THE PLAZACX 439</v>
      </c>
      <c r="AO258" s="334" t="s">
        <v>26</v>
      </c>
      <c r="AP258" s="351">
        <v>45923</v>
      </c>
      <c r="AQ258" s="336" t="s">
        <v>255</v>
      </c>
      <c r="AR258" s="336" t="s">
        <v>59</v>
      </c>
      <c r="AS258" s="337">
        <v>0.34722222222222221</v>
      </c>
      <c r="AT258" s="332"/>
    </row>
    <row r="259" spans="1:46" ht="9.75" customHeight="1">
      <c r="A259" s="332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  <c r="AA259" s="332"/>
      <c r="AB259" s="332"/>
      <c r="AC259" s="332"/>
      <c r="AD259" s="332"/>
      <c r="AE259" s="332"/>
      <c r="AF259" s="332"/>
      <c r="AG259" s="332"/>
      <c r="AH259" s="332"/>
      <c r="AI259" s="332"/>
      <c r="AJ259" s="332"/>
      <c r="AK259" s="332"/>
      <c r="AL259" s="332"/>
      <c r="AM259" s="332"/>
      <c r="AN259" s="332" t="str">
        <f t="shared" si="39"/>
        <v>THE PLAZAOZ 335</v>
      </c>
      <c r="AO259" s="334" t="s">
        <v>26</v>
      </c>
      <c r="AP259" s="351">
        <v>45923</v>
      </c>
      <c r="AQ259" s="336" t="s">
        <v>255</v>
      </c>
      <c r="AR259" s="336" t="s">
        <v>140</v>
      </c>
      <c r="AS259" s="337">
        <v>0.44097222222222221</v>
      </c>
      <c r="AT259" s="332"/>
    </row>
    <row r="260" spans="1:46" ht="9.75" customHeight="1">
      <c r="A260" s="332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  <c r="AA260" s="332"/>
      <c r="AB260" s="332"/>
      <c r="AC260" s="332"/>
      <c r="AD260" s="332"/>
      <c r="AE260" s="332"/>
      <c r="AF260" s="332"/>
      <c r="AG260" s="332"/>
      <c r="AH260" s="332"/>
      <c r="AI260" s="332"/>
      <c r="AJ260" s="332"/>
      <c r="AK260" s="332"/>
      <c r="AL260" s="332"/>
      <c r="AM260" s="332"/>
      <c r="AN260" s="332" t="str">
        <f t="shared" si="39"/>
        <v>THE PLAZACX 411</v>
      </c>
      <c r="AO260" s="334" t="s">
        <v>26</v>
      </c>
      <c r="AP260" s="351">
        <v>45923</v>
      </c>
      <c r="AQ260" s="336" t="s">
        <v>255</v>
      </c>
      <c r="AR260" s="336" t="s">
        <v>60</v>
      </c>
      <c r="AS260" s="337">
        <v>0.44097222222222221</v>
      </c>
      <c r="AT260" s="332"/>
    </row>
    <row r="261" spans="1:46" ht="9.75" customHeight="1">
      <c r="A261" s="332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  <c r="AA261" s="332"/>
      <c r="AB261" s="332"/>
      <c r="AC261" s="332"/>
      <c r="AD261" s="332"/>
      <c r="AE261" s="332"/>
      <c r="AF261" s="332"/>
      <c r="AG261" s="332"/>
      <c r="AH261" s="332"/>
      <c r="AI261" s="332"/>
      <c r="AJ261" s="332"/>
      <c r="AK261" s="332"/>
      <c r="AL261" s="332"/>
      <c r="AM261" s="332"/>
      <c r="AN261" s="332" t="str">
        <f t="shared" si="39"/>
        <v>THE PLAZACZ 338</v>
      </c>
      <c r="AO261" s="334" t="s">
        <v>26</v>
      </c>
      <c r="AP261" s="351">
        <v>45923</v>
      </c>
      <c r="AQ261" s="336" t="s">
        <v>255</v>
      </c>
      <c r="AR261" s="336" t="s">
        <v>242</v>
      </c>
      <c r="AS261" s="337">
        <v>0.44097222222222221</v>
      </c>
      <c r="AT261" s="332"/>
    </row>
    <row r="262" spans="1:46" ht="9.75" customHeight="1">
      <c r="A262" s="332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  <c r="AA262" s="332"/>
      <c r="AB262" s="332"/>
      <c r="AC262" s="332"/>
      <c r="AD262" s="332"/>
      <c r="AE262" s="332"/>
      <c r="AF262" s="332"/>
      <c r="AG262" s="332"/>
      <c r="AH262" s="332"/>
      <c r="AI262" s="332"/>
      <c r="AJ262" s="332"/>
      <c r="AK262" s="332"/>
      <c r="AL262" s="332"/>
      <c r="AM262" s="332"/>
      <c r="AN262" s="332" t="str">
        <f t="shared" si="39"/>
        <v>THE PLAZAKE 23</v>
      </c>
      <c r="AO262" s="334" t="s">
        <v>26</v>
      </c>
      <c r="AP262" s="351">
        <v>45923</v>
      </c>
      <c r="AQ262" s="336" t="s">
        <v>255</v>
      </c>
      <c r="AR262" s="336" t="s">
        <v>61</v>
      </c>
      <c r="AS262" s="337">
        <v>0.4548611111111111</v>
      </c>
      <c r="AT262" s="332"/>
    </row>
    <row r="263" spans="1:46" ht="9.75" customHeight="1">
      <c r="A263" s="332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  <c r="AA263" s="332"/>
      <c r="AB263" s="332"/>
      <c r="AC263" s="332"/>
      <c r="AD263" s="332"/>
      <c r="AE263" s="332"/>
      <c r="AF263" s="332"/>
      <c r="AG263" s="332"/>
      <c r="AH263" s="332"/>
      <c r="AI263" s="332"/>
      <c r="AJ263" s="332"/>
      <c r="AK263" s="332"/>
      <c r="AL263" s="332"/>
      <c r="AM263" s="332"/>
      <c r="AN263" s="332" t="str">
        <f t="shared" si="39"/>
        <v>THE PLAZAOZ 751</v>
      </c>
      <c r="AO263" s="334" t="s">
        <v>26</v>
      </c>
      <c r="AP263" s="351">
        <v>45923</v>
      </c>
      <c r="AQ263" s="336" t="s">
        <v>255</v>
      </c>
      <c r="AR263" s="336" t="s">
        <v>145</v>
      </c>
      <c r="AS263" s="337">
        <v>0.4548611111111111</v>
      </c>
      <c r="AT263" s="332"/>
    </row>
    <row r="264" spans="1:46" ht="9.75" customHeight="1">
      <c r="A264" s="332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  <c r="AA264" s="332"/>
      <c r="AB264" s="332"/>
      <c r="AC264" s="332"/>
      <c r="AD264" s="332"/>
      <c r="AE264" s="332"/>
      <c r="AF264" s="332"/>
      <c r="AG264" s="332"/>
      <c r="AH264" s="332"/>
      <c r="AI264" s="332"/>
      <c r="AJ264" s="332"/>
      <c r="AK264" s="332"/>
      <c r="AL264" s="332"/>
      <c r="AM264" s="332"/>
      <c r="AN264" s="332" t="str">
        <f t="shared" si="39"/>
        <v>THE PLAZAKE 671</v>
      </c>
      <c r="AO264" s="334" t="s">
        <v>26</v>
      </c>
      <c r="AP264" s="351">
        <v>45923</v>
      </c>
      <c r="AQ264" s="336" t="s">
        <v>255</v>
      </c>
      <c r="AR264" s="336" t="s">
        <v>146</v>
      </c>
      <c r="AS264" s="337">
        <v>0.4548611111111111</v>
      </c>
      <c r="AT264" s="332"/>
    </row>
    <row r="265" spans="1:46" ht="9.75" customHeight="1">
      <c r="A265" s="332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  <c r="AA265" s="332"/>
      <c r="AB265" s="332"/>
      <c r="AC265" s="332"/>
      <c r="AD265" s="332"/>
      <c r="AE265" s="332"/>
      <c r="AF265" s="332"/>
      <c r="AG265" s="332"/>
      <c r="AH265" s="332"/>
      <c r="AI265" s="332"/>
      <c r="AJ265" s="332"/>
      <c r="AK265" s="332"/>
      <c r="AL265" s="332"/>
      <c r="AM265" s="332"/>
      <c r="AN265" s="332" t="str">
        <f t="shared" si="39"/>
        <v>THE PLAZADL 188</v>
      </c>
      <c r="AO265" s="334" t="s">
        <v>26</v>
      </c>
      <c r="AP265" s="351">
        <v>45923</v>
      </c>
      <c r="AQ265" s="336" t="s">
        <v>255</v>
      </c>
      <c r="AR265" s="336" t="s">
        <v>62</v>
      </c>
      <c r="AS265" s="337">
        <v>0.4548611111111111</v>
      </c>
      <c r="AT265" s="332"/>
    </row>
    <row r="266" spans="1:46" ht="9.75" customHeight="1">
      <c r="A266" s="332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  <c r="AA266" s="332"/>
      <c r="AB266" s="332"/>
      <c r="AC266" s="332"/>
      <c r="AD266" s="332"/>
      <c r="AE266" s="332"/>
      <c r="AF266" s="332"/>
      <c r="AG266" s="332"/>
      <c r="AH266" s="332"/>
      <c r="AI266" s="332"/>
      <c r="AJ266" s="332"/>
      <c r="AK266" s="332"/>
      <c r="AL266" s="332"/>
      <c r="AM266" s="332"/>
      <c r="AN266" s="332" t="str">
        <f t="shared" si="39"/>
        <v>THE PLAZAMU 5012</v>
      </c>
      <c r="AO266" s="334" t="s">
        <v>26</v>
      </c>
      <c r="AP266" s="351">
        <v>45923</v>
      </c>
      <c r="AQ266" s="336" t="s">
        <v>255</v>
      </c>
      <c r="AR266" s="336" t="s">
        <v>243</v>
      </c>
      <c r="AS266" s="337">
        <v>0.47916666666666669</v>
      </c>
      <c r="AT266" s="332"/>
    </row>
    <row r="267" spans="1:46" ht="9.75" customHeight="1">
      <c r="A267" s="332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  <c r="AA267" s="332"/>
      <c r="AB267" s="332"/>
      <c r="AC267" s="332"/>
      <c r="AD267" s="332"/>
      <c r="AE267" s="332"/>
      <c r="AF267" s="332"/>
      <c r="AG267" s="332"/>
      <c r="AH267" s="332"/>
      <c r="AI267" s="332"/>
      <c r="AJ267" s="332"/>
      <c r="AK267" s="332"/>
      <c r="AL267" s="332"/>
      <c r="AM267" s="332"/>
      <c r="AN267" s="332" t="str">
        <f t="shared" ref="AN267:AN330" si="50">AQ267&amp;AR267</f>
        <v>THE PLAZAKE 41</v>
      </c>
      <c r="AO267" s="334" t="s">
        <v>26</v>
      </c>
      <c r="AP267" s="351">
        <v>45923</v>
      </c>
      <c r="AQ267" s="336" t="s">
        <v>255</v>
      </c>
      <c r="AR267" s="336" t="s">
        <v>63</v>
      </c>
      <c r="AS267" s="337">
        <v>0.47916666666666669</v>
      </c>
      <c r="AT267" s="332"/>
    </row>
    <row r="268" spans="1:46" ht="9.75" customHeight="1">
      <c r="A268" s="332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  <c r="AA268" s="332"/>
      <c r="AB268" s="332"/>
      <c r="AC268" s="332"/>
      <c r="AD268" s="332"/>
      <c r="AE268" s="332"/>
      <c r="AF268" s="332"/>
      <c r="AG268" s="332"/>
      <c r="AH268" s="332"/>
      <c r="AI268" s="332"/>
      <c r="AJ268" s="332"/>
      <c r="AK268" s="332"/>
      <c r="AL268" s="332"/>
      <c r="AM268" s="332"/>
      <c r="AN268" s="332" t="str">
        <f t="shared" si="50"/>
        <v>THE PLAZACZ 3062</v>
      </c>
      <c r="AO268" s="334" t="s">
        <v>26</v>
      </c>
      <c r="AP268" s="351">
        <v>45923</v>
      </c>
      <c r="AQ268" s="336" t="s">
        <v>255</v>
      </c>
      <c r="AR268" s="336" t="s">
        <v>147</v>
      </c>
      <c r="AS268" s="337">
        <v>0.47916666666666669</v>
      </c>
      <c r="AT268" s="332"/>
    </row>
    <row r="269" spans="1:46" ht="9.75" customHeight="1">
      <c r="A269" s="332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  <c r="AA269" s="332"/>
      <c r="AB269" s="332"/>
      <c r="AC269" s="332"/>
      <c r="AD269" s="332"/>
      <c r="AE269" s="332"/>
      <c r="AF269" s="332"/>
      <c r="AG269" s="332"/>
      <c r="AH269" s="332"/>
      <c r="AI269" s="332"/>
      <c r="AJ269" s="332"/>
      <c r="AK269" s="332"/>
      <c r="AL269" s="332"/>
      <c r="AM269" s="332"/>
      <c r="AN269" s="332" t="str">
        <f t="shared" si="50"/>
        <v>THE PLAZAUA 892</v>
      </c>
      <c r="AO269" s="334" t="s">
        <v>26</v>
      </c>
      <c r="AP269" s="351">
        <v>45923</v>
      </c>
      <c r="AQ269" s="336" t="s">
        <v>255</v>
      </c>
      <c r="AR269" s="336" t="s">
        <v>64</v>
      </c>
      <c r="AS269" s="337">
        <v>0.47916666666666669</v>
      </c>
      <c r="AT269" s="332"/>
    </row>
    <row r="270" spans="1:46" ht="9.75" customHeight="1">
      <c r="A270" s="332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  <c r="AA270" s="332"/>
      <c r="AB270" s="332"/>
      <c r="AC270" s="332"/>
      <c r="AD270" s="332"/>
      <c r="AE270" s="332"/>
      <c r="AF270" s="332"/>
      <c r="AG270" s="332"/>
      <c r="AH270" s="332"/>
      <c r="AI270" s="332"/>
      <c r="AJ270" s="332"/>
      <c r="AK270" s="332"/>
      <c r="AL270" s="332"/>
      <c r="AM270" s="332"/>
      <c r="AN270" s="332" t="str">
        <f t="shared" si="50"/>
        <v>THE PLAZAAA 280</v>
      </c>
      <c r="AO270" s="334" t="s">
        <v>26</v>
      </c>
      <c r="AP270" s="351">
        <v>45923</v>
      </c>
      <c r="AQ270" s="336" t="s">
        <v>255</v>
      </c>
      <c r="AR270" s="336" t="s">
        <v>65</v>
      </c>
      <c r="AS270" s="337">
        <v>0.52777777777777779</v>
      </c>
      <c r="AT270" s="332"/>
    </row>
    <row r="271" spans="1:46" ht="9.75" customHeight="1">
      <c r="A271" s="332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  <c r="AA271" s="332"/>
      <c r="AB271" s="332"/>
      <c r="AC271" s="332"/>
      <c r="AD271" s="332"/>
      <c r="AE271" s="332"/>
      <c r="AF271" s="332"/>
      <c r="AG271" s="332"/>
      <c r="AH271" s="332"/>
      <c r="AI271" s="332"/>
      <c r="AJ271" s="332"/>
      <c r="AK271" s="332"/>
      <c r="AL271" s="332"/>
      <c r="AM271" s="332"/>
      <c r="AN271" s="332" t="str">
        <f t="shared" si="50"/>
        <v>THE PLAZATG 653</v>
      </c>
      <c r="AO271" s="334" t="s">
        <v>26</v>
      </c>
      <c r="AP271" s="351">
        <v>45923</v>
      </c>
      <c r="AQ271" s="336" t="s">
        <v>255</v>
      </c>
      <c r="AR271" s="336" t="s">
        <v>151</v>
      </c>
      <c r="AS271" s="337">
        <v>0.52777777777777779</v>
      </c>
      <c r="AT271" s="332"/>
    </row>
    <row r="272" spans="1:46" ht="9.75" customHeight="1">
      <c r="A272" s="332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  <c r="AA272" s="332"/>
      <c r="AB272" s="332"/>
      <c r="AC272" s="332"/>
      <c r="AD272" s="332"/>
      <c r="AE272" s="332"/>
      <c r="AF272" s="332"/>
      <c r="AG272" s="332"/>
      <c r="AH272" s="332"/>
      <c r="AI272" s="332"/>
      <c r="AJ272" s="332"/>
      <c r="AK272" s="332"/>
      <c r="AL272" s="332"/>
      <c r="AM272" s="332"/>
      <c r="AN272" s="332" t="str">
        <f t="shared" si="50"/>
        <v>THE PLAZAAC 64</v>
      </c>
      <c r="AO272" s="334" t="s">
        <v>26</v>
      </c>
      <c r="AP272" s="351">
        <v>45923</v>
      </c>
      <c r="AQ272" s="336" t="s">
        <v>255</v>
      </c>
      <c r="AR272" s="336" t="s">
        <v>66</v>
      </c>
      <c r="AS272" s="337">
        <v>0.52777777777777779</v>
      </c>
      <c r="AT272" s="332"/>
    </row>
    <row r="273" spans="1:46" ht="9.75" customHeight="1">
      <c r="A273" s="332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  <c r="AA273" s="332"/>
      <c r="AB273" s="332"/>
      <c r="AC273" s="332"/>
      <c r="AD273" s="332"/>
      <c r="AE273" s="332"/>
      <c r="AF273" s="332"/>
      <c r="AG273" s="332"/>
      <c r="AH273" s="332"/>
      <c r="AI273" s="332"/>
      <c r="AJ273" s="332"/>
      <c r="AK273" s="332"/>
      <c r="AL273" s="332"/>
      <c r="AM273" s="332"/>
      <c r="AN273" s="332" t="str">
        <f t="shared" si="50"/>
        <v>THE PLAZAVN 403</v>
      </c>
      <c r="AO273" s="334" t="s">
        <v>26</v>
      </c>
      <c r="AP273" s="351">
        <v>45923</v>
      </c>
      <c r="AQ273" s="336" t="s">
        <v>255</v>
      </c>
      <c r="AR273" s="336" t="s">
        <v>152</v>
      </c>
      <c r="AS273" s="337">
        <v>0.52777777777777779</v>
      </c>
      <c r="AT273" s="332"/>
    </row>
    <row r="274" spans="1:46" ht="9.75" customHeight="1">
      <c r="A274" s="332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  <c r="AA274" s="332"/>
      <c r="AB274" s="332"/>
      <c r="AC274" s="332"/>
      <c r="AD274" s="332"/>
      <c r="AE274" s="332"/>
      <c r="AF274" s="332"/>
      <c r="AG274" s="332"/>
      <c r="AH274" s="332"/>
      <c r="AI274" s="332"/>
      <c r="AJ274" s="332"/>
      <c r="AK274" s="332"/>
      <c r="AL274" s="332"/>
      <c r="AM274" s="332"/>
      <c r="AN274" s="332" t="str">
        <f t="shared" si="50"/>
        <v>THE PLAZA7C 2515</v>
      </c>
      <c r="AO274" s="334" t="s">
        <v>26</v>
      </c>
      <c r="AP274" s="351">
        <v>45923</v>
      </c>
      <c r="AQ274" s="336" t="s">
        <v>255</v>
      </c>
      <c r="AR274" s="336" t="s">
        <v>248</v>
      </c>
      <c r="AS274" s="337">
        <v>0.54166666666666663</v>
      </c>
      <c r="AT274" s="332"/>
    </row>
    <row r="275" spans="1:46" ht="9.75" customHeight="1">
      <c r="A275" s="332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  <c r="AA275" s="332"/>
      <c r="AB275" s="332"/>
      <c r="AC275" s="332"/>
      <c r="AD275" s="332"/>
      <c r="AE275" s="332"/>
      <c r="AF275" s="332"/>
      <c r="AG275" s="332"/>
      <c r="AH275" s="332"/>
      <c r="AI275" s="332"/>
      <c r="AJ275" s="332"/>
      <c r="AK275" s="332"/>
      <c r="AL275" s="332"/>
      <c r="AM275" s="332"/>
      <c r="AN275" s="332" t="str">
        <f t="shared" si="50"/>
        <v>THE PLAZAKE 651</v>
      </c>
      <c r="AO275" s="334" t="s">
        <v>26</v>
      </c>
      <c r="AP275" s="351">
        <v>45923</v>
      </c>
      <c r="AQ275" s="336" t="s">
        <v>255</v>
      </c>
      <c r="AR275" s="336" t="s">
        <v>67</v>
      </c>
      <c r="AS275" s="337">
        <v>0.54166666666666663</v>
      </c>
      <c r="AT275" s="332"/>
    </row>
    <row r="276" spans="1:46" ht="9.75" customHeight="1">
      <c r="A276" s="332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  <c r="AA276" s="332"/>
      <c r="AB276" s="332"/>
      <c r="AC276" s="332"/>
      <c r="AD276" s="332"/>
      <c r="AE276" s="332"/>
      <c r="AF276" s="332"/>
      <c r="AG276" s="332"/>
      <c r="AH276" s="332"/>
      <c r="AI276" s="332"/>
      <c r="AJ276" s="332"/>
      <c r="AK276" s="332"/>
      <c r="AL276" s="332"/>
      <c r="AM276" s="332"/>
      <c r="AN276" s="332" t="str">
        <f t="shared" si="50"/>
        <v>THE PLAZAOZ 272</v>
      </c>
      <c r="AO276" s="334" t="s">
        <v>26</v>
      </c>
      <c r="AP276" s="351">
        <v>45923</v>
      </c>
      <c r="AQ276" s="336" t="s">
        <v>255</v>
      </c>
      <c r="AR276" s="336" t="s">
        <v>68</v>
      </c>
      <c r="AS276" s="337">
        <v>0.54166666666666663</v>
      </c>
      <c r="AT276" s="332"/>
    </row>
    <row r="277" spans="1:46" ht="9.75" customHeight="1">
      <c r="A277" s="332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 t="str">
        <f t="shared" si="50"/>
        <v>THE PLAZADL 196</v>
      </c>
      <c r="AO277" s="334" t="s">
        <v>26</v>
      </c>
      <c r="AP277" s="351">
        <v>45923</v>
      </c>
      <c r="AQ277" s="336" t="s">
        <v>255</v>
      </c>
      <c r="AR277" s="336" t="s">
        <v>166</v>
      </c>
      <c r="AS277" s="337">
        <v>0.59375</v>
      </c>
      <c r="AT277" s="332"/>
    </row>
    <row r="278" spans="1:46" ht="9.75" customHeight="1">
      <c r="A278" s="332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 t="str">
        <f t="shared" si="50"/>
        <v>THE PLAZAOZ 735</v>
      </c>
      <c r="AO278" s="334" t="s">
        <v>26</v>
      </c>
      <c r="AP278" s="351">
        <v>45923</v>
      </c>
      <c r="AQ278" s="336" t="s">
        <v>255</v>
      </c>
      <c r="AR278" s="336" t="s">
        <v>251</v>
      </c>
      <c r="AS278" s="337">
        <v>0.59375</v>
      </c>
      <c r="AT278" s="332"/>
    </row>
    <row r="279" spans="1:46" ht="9.75" customHeight="1">
      <c r="A279" s="332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 t="str">
        <f t="shared" si="50"/>
        <v>THE PLAZADL 7843</v>
      </c>
      <c r="AO279" s="334" t="s">
        <v>26</v>
      </c>
      <c r="AP279" s="351">
        <v>45923</v>
      </c>
      <c r="AQ279" s="336" t="s">
        <v>255</v>
      </c>
      <c r="AR279" s="336" t="s">
        <v>252</v>
      </c>
      <c r="AS279" s="337">
        <v>0.59375</v>
      </c>
      <c r="AT279" s="332"/>
    </row>
    <row r="280" spans="1:46" ht="9.75" customHeight="1">
      <c r="A280" s="332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 t="str">
        <f t="shared" si="50"/>
        <v>THE PLAZAKE 85</v>
      </c>
      <c r="AO280" s="334" t="s">
        <v>26</v>
      </c>
      <c r="AP280" s="351">
        <v>45923</v>
      </c>
      <c r="AQ280" s="336" t="s">
        <v>255</v>
      </c>
      <c r="AR280" s="336" t="s">
        <v>172</v>
      </c>
      <c r="AS280" s="337">
        <v>0.59375</v>
      </c>
      <c r="AT280" s="332"/>
    </row>
    <row r="281" spans="1:46" ht="9.75" customHeight="1">
      <c r="A281" s="332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  <c r="AA281" s="332"/>
      <c r="AB281" s="332"/>
      <c r="AC281" s="332"/>
      <c r="AD281" s="332"/>
      <c r="AE281" s="332"/>
      <c r="AF281" s="332"/>
      <c r="AG281" s="332"/>
      <c r="AH281" s="332"/>
      <c r="AI281" s="332"/>
      <c r="AJ281" s="332"/>
      <c r="AK281" s="332"/>
      <c r="AL281" s="332"/>
      <c r="AM281" s="332"/>
      <c r="AN281" s="332" t="str">
        <f t="shared" si="50"/>
        <v>THE PLAZABR 159</v>
      </c>
      <c r="AO281" s="334" t="s">
        <v>26</v>
      </c>
      <c r="AP281" s="351">
        <v>45923</v>
      </c>
      <c r="AQ281" s="336" t="s">
        <v>255</v>
      </c>
      <c r="AR281" s="336" t="s">
        <v>253</v>
      </c>
      <c r="AS281" s="337">
        <v>0.59375</v>
      </c>
      <c r="AT281" s="332"/>
    </row>
    <row r="282" spans="1:46" ht="9.75" customHeight="1">
      <c r="A282" s="332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  <c r="AA282" s="332"/>
      <c r="AB282" s="332"/>
      <c r="AC282" s="332"/>
      <c r="AD282" s="332"/>
      <c r="AE282" s="332"/>
      <c r="AF282" s="332"/>
      <c r="AG282" s="332"/>
      <c r="AH282" s="332"/>
      <c r="AI282" s="332"/>
      <c r="AJ282" s="332"/>
      <c r="AK282" s="332"/>
      <c r="AL282" s="332"/>
      <c r="AM282" s="332"/>
      <c r="AN282" s="332" t="str">
        <f t="shared" si="50"/>
        <v>THE PLAZAKE 177</v>
      </c>
      <c r="AO282" s="334" t="s">
        <v>26</v>
      </c>
      <c r="AP282" s="351">
        <v>45923</v>
      </c>
      <c r="AQ282" s="336" t="s">
        <v>255</v>
      </c>
      <c r="AR282" s="336" t="s">
        <v>254</v>
      </c>
      <c r="AS282" s="337">
        <v>0.59375</v>
      </c>
      <c r="AT282" s="332"/>
    </row>
    <row r="283" spans="1:46" ht="9.75" customHeight="1">
      <c r="A283" s="332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/>
      <c r="AN283" s="332" t="str">
        <f t="shared" si="50"/>
        <v>THE PLAZACX 419</v>
      </c>
      <c r="AO283" s="334" t="s">
        <v>26</v>
      </c>
      <c r="AP283" s="351">
        <v>45923</v>
      </c>
      <c r="AQ283" s="336" t="s">
        <v>255</v>
      </c>
      <c r="AR283" s="336" t="s">
        <v>74</v>
      </c>
      <c r="AS283" s="337">
        <v>0.625</v>
      </c>
      <c r="AT283" s="332"/>
    </row>
    <row r="284" spans="1:46" ht="9.75" customHeight="1">
      <c r="A284" s="332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/>
      <c r="AN284" s="332" t="str">
        <f t="shared" si="50"/>
        <v>THE PLAZAKE 615</v>
      </c>
      <c r="AO284" s="334" t="s">
        <v>26</v>
      </c>
      <c r="AP284" s="351">
        <v>45923</v>
      </c>
      <c r="AQ284" s="336" t="s">
        <v>255</v>
      </c>
      <c r="AR284" s="336" t="s">
        <v>168</v>
      </c>
      <c r="AS284" s="337">
        <v>0.625</v>
      </c>
      <c r="AT284" s="332"/>
    </row>
    <row r="285" spans="1:46" ht="9.75" customHeight="1">
      <c r="A285" s="332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2"/>
      <c r="AK285" s="332"/>
      <c r="AL285" s="332"/>
      <c r="AM285" s="332"/>
      <c r="AN285" s="332" t="str">
        <f t="shared" si="50"/>
        <v>THE PLAZAKE 11</v>
      </c>
      <c r="AO285" s="334" t="s">
        <v>26</v>
      </c>
      <c r="AP285" s="351">
        <v>45923</v>
      </c>
      <c r="AQ285" s="336" t="s">
        <v>255</v>
      </c>
      <c r="AR285" s="336" t="s">
        <v>170</v>
      </c>
      <c r="AS285" s="337">
        <v>0.625</v>
      </c>
      <c r="AT285" s="332"/>
    </row>
    <row r="286" spans="1:46" ht="9.75" customHeight="1">
      <c r="A286" s="332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/>
      <c r="AM286" s="332"/>
      <c r="AN286" s="332" t="str">
        <f t="shared" si="50"/>
        <v>THE PLAZAKE 719</v>
      </c>
      <c r="AO286" s="334" t="s">
        <v>26</v>
      </c>
      <c r="AP286" s="351">
        <v>45923</v>
      </c>
      <c r="AQ286" s="336" t="s">
        <v>255</v>
      </c>
      <c r="AR286" s="336" t="s">
        <v>260</v>
      </c>
      <c r="AS286" s="337">
        <v>0.625</v>
      </c>
      <c r="AT286" s="332"/>
    </row>
    <row r="287" spans="1:46" ht="9.75" customHeight="1">
      <c r="A287" s="332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/>
      <c r="AN287" s="332" t="str">
        <f t="shared" si="50"/>
        <v>THE PLAZAPR 469</v>
      </c>
      <c r="AO287" s="334" t="s">
        <v>26</v>
      </c>
      <c r="AP287" s="351">
        <v>45923</v>
      </c>
      <c r="AQ287" s="336" t="s">
        <v>255</v>
      </c>
      <c r="AR287" s="336" t="s">
        <v>171</v>
      </c>
      <c r="AS287" s="337">
        <v>0.625</v>
      </c>
      <c r="AT287" s="332"/>
    </row>
    <row r="288" spans="1:46" ht="9.75" customHeight="1">
      <c r="A288" s="332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/>
      <c r="AN288" s="332" t="str">
        <f t="shared" si="50"/>
        <v>THE PLAZACI 163</v>
      </c>
      <c r="AO288" s="334" t="s">
        <v>26</v>
      </c>
      <c r="AP288" s="351">
        <v>45923</v>
      </c>
      <c r="AQ288" s="336" t="s">
        <v>255</v>
      </c>
      <c r="AR288" s="336" t="s">
        <v>257</v>
      </c>
      <c r="AS288" s="337">
        <v>0.625</v>
      </c>
      <c r="AT288" s="332"/>
    </row>
    <row r="289" spans="1:46" ht="9.75" customHeight="1">
      <c r="A289" s="332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2"/>
      <c r="AK289" s="332"/>
      <c r="AL289" s="332"/>
      <c r="AM289" s="332"/>
      <c r="AN289" s="332" t="str">
        <f t="shared" si="50"/>
        <v>THE PLAZAMF 878</v>
      </c>
      <c r="AO289" s="334" t="s">
        <v>26</v>
      </c>
      <c r="AP289" s="351">
        <v>45923</v>
      </c>
      <c r="AQ289" s="336" t="s">
        <v>255</v>
      </c>
      <c r="AR289" s="336" t="s">
        <v>258</v>
      </c>
      <c r="AS289" s="337">
        <v>0.625</v>
      </c>
      <c r="AT289" s="332"/>
    </row>
    <row r="290" spans="1:46" ht="9.75" customHeight="1">
      <c r="A290" s="332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2"/>
      <c r="AK290" s="332"/>
      <c r="AL290" s="332"/>
      <c r="AM290" s="332"/>
      <c r="AN290" s="332" t="str">
        <f t="shared" si="50"/>
        <v>THE PLAZAOZ 204</v>
      </c>
      <c r="AO290" s="334" t="s">
        <v>26</v>
      </c>
      <c r="AP290" s="351">
        <v>45923</v>
      </c>
      <c r="AQ290" s="336" t="s">
        <v>255</v>
      </c>
      <c r="AR290" s="336" t="s">
        <v>76</v>
      </c>
      <c r="AS290" s="337">
        <v>0.625</v>
      </c>
      <c r="AT290" s="332"/>
    </row>
    <row r="291" spans="1:46" ht="9.75" customHeight="1">
      <c r="A291" s="332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/>
      <c r="AN291" s="332" t="str">
        <f t="shared" si="50"/>
        <v>THE PLAZAWS 87</v>
      </c>
      <c r="AO291" s="334" t="s">
        <v>26</v>
      </c>
      <c r="AP291" s="351">
        <v>45923</v>
      </c>
      <c r="AQ291" s="336" t="s">
        <v>255</v>
      </c>
      <c r="AR291" s="336" t="s">
        <v>77</v>
      </c>
      <c r="AS291" s="337">
        <v>0.625</v>
      </c>
      <c r="AT291" s="332"/>
    </row>
    <row r="292" spans="1:46" ht="9.75" customHeight="1">
      <c r="A292" s="332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/>
      <c r="AN292" s="332" t="str">
        <f t="shared" si="50"/>
        <v>THE PLAZAOZ 212</v>
      </c>
      <c r="AO292" s="334" t="s">
        <v>26</v>
      </c>
      <c r="AP292" s="351">
        <v>45923</v>
      </c>
      <c r="AQ292" s="336" t="s">
        <v>255</v>
      </c>
      <c r="AR292" s="336" t="s">
        <v>174</v>
      </c>
      <c r="AS292" s="337">
        <v>0.625</v>
      </c>
      <c r="AT292" s="332"/>
    </row>
    <row r="293" spans="1:46" ht="9.75" customHeight="1">
      <c r="A293" s="332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/>
      <c r="AN293" s="332" t="str">
        <f t="shared" si="50"/>
        <v>THE PLAZAKE 5</v>
      </c>
      <c r="AO293" s="334" t="s">
        <v>26</v>
      </c>
      <c r="AP293" s="351">
        <v>45923</v>
      </c>
      <c r="AQ293" s="336" t="s">
        <v>255</v>
      </c>
      <c r="AR293" s="336" t="s">
        <v>264</v>
      </c>
      <c r="AS293" s="337">
        <v>0.625</v>
      </c>
      <c r="AT293" s="332"/>
    </row>
    <row r="294" spans="1:46" ht="9.75" customHeight="1">
      <c r="A294" s="332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/>
      <c r="AN294" s="332" t="str">
        <f t="shared" si="50"/>
        <v>THE PLAZAKE 53</v>
      </c>
      <c r="AO294" s="334" t="s">
        <v>26</v>
      </c>
      <c r="AP294" s="351">
        <v>45923</v>
      </c>
      <c r="AQ294" s="336" t="s">
        <v>255</v>
      </c>
      <c r="AR294" s="336" t="s">
        <v>265</v>
      </c>
      <c r="AS294" s="337">
        <v>0.625</v>
      </c>
      <c r="AT294" s="332"/>
    </row>
    <row r="295" spans="1:46" ht="9.75" customHeight="1">
      <c r="A295" s="332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/>
      <c r="AN295" s="332" t="str">
        <f t="shared" si="50"/>
        <v>THE PLAZAOZ 224</v>
      </c>
      <c r="AO295" s="334" t="s">
        <v>26</v>
      </c>
      <c r="AP295" s="351">
        <v>45923</v>
      </c>
      <c r="AQ295" s="336" t="s">
        <v>255</v>
      </c>
      <c r="AR295" s="336" t="s">
        <v>266</v>
      </c>
      <c r="AS295" s="337">
        <v>0.625</v>
      </c>
      <c r="AT295" s="332"/>
    </row>
    <row r="296" spans="1:46" ht="9.75" customHeight="1">
      <c r="A296" s="332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/>
      <c r="AN296" s="332" t="str">
        <f t="shared" si="50"/>
        <v>THE PLAZATW 531</v>
      </c>
      <c r="AO296" s="334" t="s">
        <v>26</v>
      </c>
      <c r="AP296" s="351">
        <v>45923</v>
      </c>
      <c r="AQ296" s="336" t="s">
        <v>255</v>
      </c>
      <c r="AR296" s="336" t="s">
        <v>267</v>
      </c>
      <c r="AS296" s="337">
        <v>0.625</v>
      </c>
      <c r="AT296" s="332"/>
    </row>
    <row r="297" spans="1:46" ht="9.75" customHeight="1">
      <c r="A297" s="332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/>
      <c r="AN297" s="332" t="str">
        <f t="shared" si="50"/>
        <v>THE PLAZAOZ 178</v>
      </c>
      <c r="AO297" s="334" t="s">
        <v>26</v>
      </c>
      <c r="AP297" s="351">
        <v>45923</v>
      </c>
      <c r="AQ297" s="336" t="s">
        <v>255</v>
      </c>
      <c r="AR297" s="336" t="s">
        <v>268</v>
      </c>
      <c r="AS297" s="337">
        <v>0.625</v>
      </c>
      <c r="AT297" s="332"/>
    </row>
    <row r="298" spans="1:46" ht="9.75" customHeight="1">
      <c r="A298" s="332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/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/>
      <c r="AN298" s="332" t="str">
        <f t="shared" si="50"/>
        <v>THE PLAZAKL 856</v>
      </c>
      <c r="AO298" s="334" t="s">
        <v>26</v>
      </c>
      <c r="AP298" s="351">
        <v>45923</v>
      </c>
      <c r="AQ298" s="336" t="s">
        <v>255</v>
      </c>
      <c r="AR298" s="336" t="s">
        <v>270</v>
      </c>
      <c r="AS298" s="337">
        <v>0.70138888888888884</v>
      </c>
      <c r="AT298" s="332"/>
    </row>
    <row r="299" spans="1:46" ht="9.75" customHeight="1">
      <c r="A299" s="332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  <c r="AA299" s="332"/>
      <c r="AB299" s="332"/>
      <c r="AC299" s="332"/>
      <c r="AD299" s="332"/>
      <c r="AE299" s="332"/>
      <c r="AF299" s="332"/>
      <c r="AG299" s="332"/>
      <c r="AH299" s="332"/>
      <c r="AI299" s="332"/>
      <c r="AJ299" s="332"/>
      <c r="AK299" s="332"/>
      <c r="AL299" s="332"/>
      <c r="AM299" s="332"/>
      <c r="AN299" s="332" t="str">
        <f t="shared" si="50"/>
        <v>THE PLAZAUO 627</v>
      </c>
      <c r="AO299" s="334" t="s">
        <v>26</v>
      </c>
      <c r="AP299" s="351">
        <v>45923</v>
      </c>
      <c r="AQ299" s="336" t="s">
        <v>255</v>
      </c>
      <c r="AR299" s="336" t="s">
        <v>271</v>
      </c>
      <c r="AS299" s="337">
        <v>0.70138888888888884</v>
      </c>
      <c r="AT299" s="332"/>
    </row>
    <row r="300" spans="1:46" ht="9.75" customHeight="1">
      <c r="A300" s="332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2"/>
      <c r="AK300" s="332"/>
      <c r="AL300" s="332"/>
      <c r="AM300" s="332"/>
      <c r="AN300" s="332" t="str">
        <f t="shared" si="50"/>
        <v>THE PLAZATR 897</v>
      </c>
      <c r="AO300" s="334" t="s">
        <v>26</v>
      </c>
      <c r="AP300" s="351">
        <v>45923</v>
      </c>
      <c r="AQ300" s="336" t="s">
        <v>255</v>
      </c>
      <c r="AR300" s="336" t="s">
        <v>272</v>
      </c>
      <c r="AS300" s="337">
        <v>0.70138888888888884</v>
      </c>
      <c r="AT300" s="332"/>
    </row>
    <row r="301" spans="1:46" ht="9.75" customHeight="1">
      <c r="A301" s="332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2"/>
      <c r="AK301" s="332"/>
      <c r="AL301" s="332"/>
      <c r="AM301" s="332"/>
      <c r="AN301" s="332" t="str">
        <f t="shared" si="50"/>
        <v>THE PLAZAHA 460 on 24 Sep</v>
      </c>
      <c r="AO301" s="334" t="s">
        <v>26</v>
      </c>
      <c r="AP301" s="351">
        <v>45923</v>
      </c>
      <c r="AQ301" s="336" t="s">
        <v>255</v>
      </c>
      <c r="AR301" s="336" t="s">
        <v>273</v>
      </c>
      <c r="AS301" s="337">
        <v>0.70138888888888884</v>
      </c>
      <c r="AT301" s="332"/>
    </row>
    <row r="302" spans="1:46" ht="9.75" customHeight="1">
      <c r="A302" s="332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2"/>
      <c r="AK302" s="332"/>
      <c r="AL302" s="332"/>
      <c r="AM302" s="332"/>
      <c r="AN302" s="332" t="str">
        <f t="shared" si="50"/>
        <v>LOTTEIT 603</v>
      </c>
      <c r="AO302" s="334" t="s">
        <v>26</v>
      </c>
      <c r="AP302" s="351">
        <v>45923</v>
      </c>
      <c r="AQ302" s="336" t="s">
        <v>259</v>
      </c>
      <c r="AR302" s="336" t="s">
        <v>213</v>
      </c>
      <c r="AS302" s="337" t="s">
        <v>274</v>
      </c>
      <c r="AT302" s="332"/>
    </row>
    <row r="303" spans="1:46" ht="9.75" customHeight="1">
      <c r="A303" s="332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2"/>
      <c r="AK303" s="332"/>
      <c r="AL303" s="332"/>
      <c r="AM303" s="332"/>
      <c r="AN303" s="332" t="str">
        <f t="shared" si="50"/>
        <v>LOTTEMU 2004</v>
      </c>
      <c r="AO303" s="334" t="s">
        <v>26</v>
      </c>
      <c r="AP303" s="351">
        <v>45923</v>
      </c>
      <c r="AQ303" s="336" t="s">
        <v>259</v>
      </c>
      <c r="AR303" s="336" t="s">
        <v>215</v>
      </c>
      <c r="AS303" s="337">
        <v>9.375E-2</v>
      </c>
      <c r="AT303" s="332"/>
    </row>
    <row r="304" spans="1:46" ht="9.75" customHeight="1">
      <c r="A304" s="332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2"/>
      <c r="AK304" s="332"/>
      <c r="AL304" s="332"/>
      <c r="AM304" s="332"/>
      <c r="AN304" s="332" t="str">
        <f t="shared" si="50"/>
        <v>LOTTEBX 164</v>
      </c>
      <c r="AO304" s="334" t="s">
        <v>26</v>
      </c>
      <c r="AP304" s="351">
        <v>45923</v>
      </c>
      <c r="AQ304" s="336" t="s">
        <v>259</v>
      </c>
      <c r="AR304" s="336" t="s">
        <v>217</v>
      </c>
      <c r="AS304" s="337">
        <v>9.375E-2</v>
      </c>
      <c r="AT304" s="332"/>
    </row>
    <row r="305" spans="1:46" ht="9.75" customHeight="1">
      <c r="A305" s="332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2"/>
      <c r="AK305" s="332"/>
      <c r="AL305" s="332"/>
      <c r="AM305" s="332"/>
      <c r="AN305" s="332" t="str">
        <f t="shared" si="50"/>
        <v>LOTTE7C 1501</v>
      </c>
      <c r="AO305" s="334" t="s">
        <v>26</v>
      </c>
      <c r="AP305" s="351">
        <v>45923</v>
      </c>
      <c r="AQ305" s="336" t="s">
        <v>259</v>
      </c>
      <c r="AR305" s="336" t="s">
        <v>218</v>
      </c>
      <c r="AS305" s="337">
        <v>9.375E-2</v>
      </c>
      <c r="AT305" s="332"/>
    </row>
    <row r="306" spans="1:46" ht="9.75" customHeight="1">
      <c r="A306" s="332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2"/>
      <c r="AK306" s="332"/>
      <c r="AL306" s="332"/>
      <c r="AM306" s="332"/>
      <c r="AN306" s="332" t="str">
        <f t="shared" si="50"/>
        <v>LOTTEKE 621</v>
      </c>
      <c r="AO306" s="334" t="s">
        <v>26</v>
      </c>
      <c r="AP306" s="351">
        <v>45923</v>
      </c>
      <c r="AQ306" s="336" t="s">
        <v>259</v>
      </c>
      <c r="AR306" s="336" t="s">
        <v>31</v>
      </c>
      <c r="AS306" s="337">
        <v>0.13541666666666666</v>
      </c>
      <c r="AT306" s="332"/>
    </row>
    <row r="307" spans="1:46" ht="9.75" customHeight="1">
      <c r="A307" s="332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2"/>
      <c r="AK307" s="332"/>
      <c r="AL307" s="332"/>
      <c r="AM307" s="332"/>
      <c r="AN307" s="332" t="str">
        <f t="shared" si="50"/>
        <v>LOTTEOZ 701</v>
      </c>
      <c r="AO307" s="334" t="s">
        <v>26</v>
      </c>
      <c r="AP307" s="351">
        <v>45923</v>
      </c>
      <c r="AQ307" s="336" t="s">
        <v>259</v>
      </c>
      <c r="AR307" s="336" t="s">
        <v>33</v>
      </c>
      <c r="AS307" s="337">
        <v>0.13541666666666666</v>
      </c>
      <c r="AT307" s="332"/>
    </row>
    <row r="308" spans="1:46" ht="9.75" customHeight="1">
      <c r="A308" s="332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  <c r="AA308" s="332"/>
      <c r="AB308" s="332"/>
      <c r="AC308" s="332"/>
      <c r="AD308" s="332"/>
      <c r="AE308" s="332"/>
      <c r="AF308" s="332"/>
      <c r="AG308" s="332"/>
      <c r="AH308" s="332"/>
      <c r="AI308" s="332"/>
      <c r="AJ308" s="332"/>
      <c r="AK308" s="332"/>
      <c r="AL308" s="332"/>
      <c r="AM308" s="332"/>
      <c r="AN308" s="332" t="str">
        <f t="shared" si="50"/>
        <v>LOTTEOZ 112</v>
      </c>
      <c r="AO308" s="334" t="s">
        <v>26</v>
      </c>
      <c r="AP308" s="351">
        <v>45923</v>
      </c>
      <c r="AQ308" s="336" t="s">
        <v>259</v>
      </c>
      <c r="AR308" s="336" t="s">
        <v>39</v>
      </c>
      <c r="AS308" s="337">
        <v>0.13541666666666666</v>
      </c>
      <c r="AT308" s="332"/>
    </row>
    <row r="309" spans="1:46" ht="9.75" customHeight="1">
      <c r="A309" s="332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  <c r="AA309" s="332"/>
      <c r="AB309" s="332"/>
      <c r="AC309" s="332"/>
      <c r="AD309" s="332"/>
      <c r="AE309" s="332"/>
      <c r="AF309" s="332"/>
      <c r="AG309" s="332"/>
      <c r="AH309" s="332"/>
      <c r="AI309" s="332"/>
      <c r="AJ309" s="332"/>
      <c r="AK309" s="332"/>
      <c r="AL309" s="332"/>
      <c r="AM309" s="332"/>
      <c r="AN309" s="332" t="str">
        <f t="shared" si="50"/>
        <v>LOTTERS 705</v>
      </c>
      <c r="AO309" s="334" t="s">
        <v>26</v>
      </c>
      <c r="AP309" s="351">
        <v>45923</v>
      </c>
      <c r="AQ309" s="336" t="s">
        <v>259</v>
      </c>
      <c r="AR309" s="336" t="s">
        <v>225</v>
      </c>
      <c r="AS309" s="337">
        <v>0.13541666666666666</v>
      </c>
      <c r="AT309" s="332"/>
    </row>
    <row r="310" spans="1:46" ht="9.75" customHeight="1">
      <c r="A310" s="332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  <c r="AA310" s="332"/>
      <c r="AB310" s="332"/>
      <c r="AC310" s="332"/>
      <c r="AD310" s="332"/>
      <c r="AE310" s="332"/>
      <c r="AF310" s="332"/>
      <c r="AG310" s="332"/>
      <c r="AH310" s="332"/>
      <c r="AI310" s="332"/>
      <c r="AJ310" s="332"/>
      <c r="AK310" s="332"/>
      <c r="AL310" s="332"/>
      <c r="AM310" s="332"/>
      <c r="AN310" s="332" t="str">
        <f t="shared" si="50"/>
        <v>LOTTE5J 185</v>
      </c>
      <c r="AO310" s="334" t="s">
        <v>26</v>
      </c>
      <c r="AP310" s="351">
        <v>45923</v>
      </c>
      <c r="AQ310" s="336" t="s">
        <v>259</v>
      </c>
      <c r="AR310" s="336" t="s">
        <v>93</v>
      </c>
      <c r="AS310" s="337">
        <v>0.15625</v>
      </c>
      <c r="AT310" s="332"/>
    </row>
    <row r="311" spans="1:46" ht="9.75" customHeight="1">
      <c r="A311" s="332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  <c r="AA311" s="332"/>
      <c r="AB311" s="332"/>
      <c r="AC311" s="332"/>
      <c r="AD311" s="332"/>
      <c r="AE311" s="332"/>
      <c r="AF311" s="332"/>
      <c r="AG311" s="332"/>
      <c r="AH311" s="332"/>
      <c r="AI311" s="332"/>
      <c r="AJ311" s="332"/>
      <c r="AK311" s="332"/>
      <c r="AL311" s="332"/>
      <c r="AM311" s="332"/>
      <c r="AN311" s="332" t="str">
        <f t="shared" si="50"/>
        <v>LOTTEKE 127</v>
      </c>
      <c r="AO311" s="334" t="s">
        <v>26</v>
      </c>
      <c r="AP311" s="351">
        <v>45923</v>
      </c>
      <c r="AQ311" s="336" t="s">
        <v>259</v>
      </c>
      <c r="AR311" s="336" t="s">
        <v>226</v>
      </c>
      <c r="AS311" s="337">
        <v>0.15625</v>
      </c>
      <c r="AT311" s="332"/>
    </row>
    <row r="312" spans="1:46" ht="9.75" customHeight="1">
      <c r="A312" s="332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  <c r="AA312" s="332"/>
      <c r="AB312" s="332"/>
      <c r="AC312" s="332"/>
      <c r="AD312" s="332"/>
      <c r="AE312" s="332"/>
      <c r="AF312" s="332"/>
      <c r="AG312" s="332"/>
      <c r="AH312" s="332"/>
      <c r="AI312" s="332"/>
      <c r="AJ312" s="332"/>
      <c r="AK312" s="332"/>
      <c r="AL312" s="332"/>
      <c r="AM312" s="332"/>
      <c r="AN312" s="332" t="str">
        <f t="shared" si="50"/>
        <v>LOTTETW 241</v>
      </c>
      <c r="AO312" s="334" t="s">
        <v>26</v>
      </c>
      <c r="AP312" s="351">
        <v>45923</v>
      </c>
      <c r="AQ312" s="336" t="s">
        <v>259</v>
      </c>
      <c r="AR312" s="336" t="s">
        <v>109</v>
      </c>
      <c r="AS312" s="337">
        <v>0.15625</v>
      </c>
      <c r="AT312" s="332"/>
    </row>
    <row r="313" spans="1:46" ht="9.75" customHeight="1">
      <c r="A313" s="332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  <c r="AA313" s="332"/>
      <c r="AB313" s="332"/>
      <c r="AC313" s="332"/>
      <c r="AD313" s="332"/>
      <c r="AE313" s="332"/>
      <c r="AF313" s="332"/>
      <c r="AG313" s="332"/>
      <c r="AH313" s="332"/>
      <c r="AI313" s="332"/>
      <c r="AJ313" s="332"/>
      <c r="AK313" s="332"/>
      <c r="AL313" s="332"/>
      <c r="AM313" s="332"/>
      <c r="AN313" s="332" t="str">
        <f t="shared" si="50"/>
        <v>LOTTEKE 865</v>
      </c>
      <c r="AO313" s="334" t="s">
        <v>26</v>
      </c>
      <c r="AP313" s="351">
        <v>45923</v>
      </c>
      <c r="AQ313" s="336" t="s">
        <v>259</v>
      </c>
      <c r="AR313" s="336" t="s">
        <v>227</v>
      </c>
      <c r="AS313" s="337">
        <v>0.15625</v>
      </c>
      <c r="AT313" s="332"/>
    </row>
    <row r="314" spans="1:46" ht="9.75" customHeight="1">
      <c r="A314" s="332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  <c r="AA314" s="332"/>
      <c r="AB314" s="332"/>
      <c r="AC314" s="332"/>
      <c r="AD314" s="332"/>
      <c r="AE314" s="332"/>
      <c r="AF314" s="332"/>
      <c r="AG314" s="332"/>
      <c r="AH314" s="332"/>
      <c r="AI314" s="332"/>
      <c r="AJ314" s="332"/>
      <c r="AK314" s="332"/>
      <c r="AL314" s="332"/>
      <c r="AM314" s="332"/>
      <c r="AN314" s="332" t="str">
        <f t="shared" si="50"/>
        <v>LOTTEOZ 102</v>
      </c>
      <c r="AO314" s="334" t="s">
        <v>26</v>
      </c>
      <c r="AP314" s="351">
        <v>45923</v>
      </c>
      <c r="AQ314" s="336" t="s">
        <v>259</v>
      </c>
      <c r="AR314" s="336" t="s">
        <v>111</v>
      </c>
      <c r="AS314" s="337">
        <v>0.19791666666666666</v>
      </c>
      <c r="AT314" s="332"/>
    </row>
    <row r="315" spans="1:46" ht="9.75" customHeight="1">
      <c r="A315" s="332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  <c r="AA315" s="332"/>
      <c r="AB315" s="332"/>
      <c r="AC315" s="332"/>
      <c r="AD315" s="332"/>
      <c r="AE315" s="332"/>
      <c r="AF315" s="332"/>
      <c r="AG315" s="332"/>
      <c r="AH315" s="332"/>
      <c r="AI315" s="332"/>
      <c r="AJ315" s="332"/>
      <c r="AK315" s="332"/>
      <c r="AL315" s="332"/>
      <c r="AM315" s="332"/>
      <c r="AN315" s="332" t="str">
        <f t="shared" si="50"/>
        <v>LOTTEOZ 222</v>
      </c>
      <c r="AO315" s="334" t="s">
        <v>26</v>
      </c>
      <c r="AP315" s="351">
        <v>45923</v>
      </c>
      <c r="AQ315" s="336" t="s">
        <v>259</v>
      </c>
      <c r="AR315" s="336" t="s">
        <v>228</v>
      </c>
      <c r="AS315" s="337">
        <v>0.19791666666666666</v>
      </c>
      <c r="AT315" s="332"/>
    </row>
    <row r="316" spans="1:46" ht="9.75" customHeight="1">
      <c r="A316" s="332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  <c r="AA316" s="332"/>
      <c r="AB316" s="332"/>
      <c r="AC316" s="332"/>
      <c r="AD316" s="332"/>
      <c r="AE316" s="332"/>
      <c r="AF316" s="332"/>
      <c r="AG316" s="332"/>
      <c r="AH316" s="332"/>
      <c r="AI316" s="332"/>
      <c r="AJ316" s="332"/>
      <c r="AK316" s="332"/>
      <c r="AL316" s="332"/>
      <c r="AM316" s="332"/>
      <c r="AN316" s="332" t="str">
        <f t="shared" si="50"/>
        <v>LOTTE7C 6101</v>
      </c>
      <c r="AO316" s="334" t="s">
        <v>26</v>
      </c>
      <c r="AP316" s="351">
        <v>45923</v>
      </c>
      <c r="AQ316" s="336" t="s">
        <v>259</v>
      </c>
      <c r="AR316" s="336" t="s">
        <v>229</v>
      </c>
      <c r="AS316" s="337">
        <v>0.19791666666666666</v>
      </c>
      <c r="AT316" s="332"/>
    </row>
    <row r="317" spans="1:46" ht="9.75" customHeight="1">
      <c r="A317" s="332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  <c r="AA317" s="332"/>
      <c r="AB317" s="332"/>
      <c r="AC317" s="332"/>
      <c r="AD317" s="332"/>
      <c r="AE317" s="332"/>
      <c r="AF317" s="332"/>
      <c r="AG317" s="332"/>
      <c r="AH317" s="332"/>
      <c r="AI317" s="332"/>
      <c r="AJ317" s="332"/>
      <c r="AK317" s="332"/>
      <c r="AL317" s="332"/>
      <c r="AM317" s="332"/>
      <c r="AN317" s="332" t="str">
        <f t="shared" si="50"/>
        <v>LOTTERS 701</v>
      </c>
      <c r="AO317" s="334" t="s">
        <v>26</v>
      </c>
      <c r="AP317" s="351">
        <v>45923</v>
      </c>
      <c r="AQ317" s="336" t="s">
        <v>259</v>
      </c>
      <c r="AR317" s="336" t="s">
        <v>42</v>
      </c>
      <c r="AS317" s="337">
        <v>0.19791666666666666</v>
      </c>
      <c r="AT317" s="332"/>
    </row>
    <row r="318" spans="1:46" ht="9.75" customHeight="1">
      <c r="A318" s="332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  <c r="AA318" s="332"/>
      <c r="AB318" s="332"/>
      <c r="AC318" s="332"/>
      <c r="AD318" s="332"/>
      <c r="AE318" s="332"/>
      <c r="AF318" s="332"/>
      <c r="AG318" s="332"/>
      <c r="AH318" s="332"/>
      <c r="AI318" s="332"/>
      <c r="AJ318" s="332"/>
      <c r="AK318" s="332"/>
      <c r="AL318" s="332"/>
      <c r="AM318" s="332"/>
      <c r="AN318" s="332" t="str">
        <f t="shared" si="50"/>
        <v>LOTTEDL 7839</v>
      </c>
      <c r="AO318" s="334" t="s">
        <v>26</v>
      </c>
      <c r="AP318" s="351">
        <v>45923</v>
      </c>
      <c r="AQ318" s="336" t="s">
        <v>259</v>
      </c>
      <c r="AR318" s="336" t="s">
        <v>230</v>
      </c>
      <c r="AS318" s="337">
        <v>0.19791666666666666</v>
      </c>
      <c r="AT318" s="332"/>
    </row>
    <row r="319" spans="1:46" ht="9.75" customHeight="1">
      <c r="A319" s="332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  <c r="AA319" s="332"/>
      <c r="AB319" s="332"/>
      <c r="AC319" s="332"/>
      <c r="AD319" s="332"/>
      <c r="AE319" s="332"/>
      <c r="AF319" s="332"/>
      <c r="AG319" s="332"/>
      <c r="AH319" s="332"/>
      <c r="AI319" s="332"/>
      <c r="AJ319" s="332"/>
      <c r="AK319" s="332"/>
      <c r="AL319" s="332"/>
      <c r="AM319" s="332"/>
      <c r="AN319" s="332" t="str">
        <f t="shared" si="50"/>
        <v>LOTTEKE 31</v>
      </c>
      <c r="AO319" s="334" t="s">
        <v>26</v>
      </c>
      <c r="AP319" s="351">
        <v>45923</v>
      </c>
      <c r="AQ319" s="336" t="s">
        <v>259</v>
      </c>
      <c r="AR319" s="336" t="s">
        <v>44</v>
      </c>
      <c r="AS319" s="337">
        <v>0.19791666666666666</v>
      </c>
      <c r="AT319" s="332"/>
    </row>
    <row r="320" spans="1:46" ht="9.75" customHeight="1">
      <c r="A320" s="332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  <c r="AA320" s="332"/>
      <c r="AB320" s="332"/>
      <c r="AC320" s="332"/>
      <c r="AD320" s="332"/>
      <c r="AE320" s="332"/>
      <c r="AF320" s="332"/>
      <c r="AG320" s="332"/>
      <c r="AH320" s="332"/>
      <c r="AI320" s="332"/>
      <c r="AJ320" s="332"/>
      <c r="AK320" s="332"/>
      <c r="AL320" s="332"/>
      <c r="AM320" s="332"/>
      <c r="AN320" s="332" t="str">
        <f t="shared" si="50"/>
        <v>LOTTEDL 158</v>
      </c>
      <c r="AO320" s="334" t="s">
        <v>26</v>
      </c>
      <c r="AP320" s="351">
        <v>45923</v>
      </c>
      <c r="AQ320" s="336" t="s">
        <v>259</v>
      </c>
      <c r="AR320" s="336" t="s">
        <v>48</v>
      </c>
      <c r="AS320" s="337">
        <v>0.2361111111111111</v>
      </c>
      <c r="AT320" s="332"/>
    </row>
    <row r="321" spans="1:46" ht="9.75" customHeight="1">
      <c r="A321" s="332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  <c r="AA321" s="332"/>
      <c r="AB321" s="332"/>
      <c r="AC321" s="332"/>
      <c r="AD321" s="332"/>
      <c r="AE321" s="332"/>
      <c r="AF321" s="332"/>
      <c r="AG321" s="332"/>
      <c r="AH321" s="332"/>
      <c r="AI321" s="332"/>
      <c r="AJ321" s="332"/>
      <c r="AK321" s="332"/>
      <c r="AL321" s="332"/>
      <c r="AM321" s="332"/>
      <c r="AN321" s="332" t="str">
        <f t="shared" si="50"/>
        <v>LOTTEKE 185</v>
      </c>
      <c r="AO321" s="334" t="s">
        <v>26</v>
      </c>
      <c r="AP321" s="351">
        <v>45923</v>
      </c>
      <c r="AQ321" s="336" t="s">
        <v>259</v>
      </c>
      <c r="AR321" s="336" t="s">
        <v>231</v>
      </c>
      <c r="AS321" s="337">
        <v>0.2361111111111111</v>
      </c>
      <c r="AT321" s="332"/>
    </row>
    <row r="322" spans="1:46" ht="9.75" customHeight="1">
      <c r="A322" s="332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  <c r="AA322" s="332"/>
      <c r="AB322" s="332"/>
      <c r="AC322" s="332"/>
      <c r="AD322" s="332"/>
      <c r="AE322" s="332"/>
      <c r="AF322" s="332"/>
      <c r="AG322" s="332"/>
      <c r="AH322" s="332"/>
      <c r="AI322" s="332"/>
      <c r="AJ322" s="332"/>
      <c r="AK322" s="332"/>
      <c r="AL322" s="332"/>
      <c r="AM322" s="332"/>
      <c r="AN322" s="332" t="str">
        <f t="shared" si="50"/>
        <v>LOTTEVN 409</v>
      </c>
      <c r="AO322" s="334" t="s">
        <v>26</v>
      </c>
      <c r="AP322" s="351">
        <v>45923</v>
      </c>
      <c r="AQ322" s="336" t="s">
        <v>259</v>
      </c>
      <c r="AR322" s="336" t="s">
        <v>50</v>
      </c>
      <c r="AS322" s="337">
        <v>0.2361111111111111</v>
      </c>
      <c r="AT322" s="332"/>
    </row>
    <row r="323" spans="1:46" ht="9.75" customHeight="1">
      <c r="A323" s="332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  <c r="AA323" s="332"/>
      <c r="AB323" s="332"/>
      <c r="AC323" s="332"/>
      <c r="AD323" s="332"/>
      <c r="AE323" s="332"/>
      <c r="AF323" s="332"/>
      <c r="AG323" s="332"/>
      <c r="AH323" s="332"/>
      <c r="AI323" s="332"/>
      <c r="AJ323" s="332"/>
      <c r="AK323" s="332"/>
      <c r="AL323" s="332"/>
      <c r="AM323" s="332"/>
      <c r="AN323" s="332" t="str">
        <f t="shared" si="50"/>
        <v>LOTTE7C 1373</v>
      </c>
      <c r="AO323" s="334" t="s">
        <v>26</v>
      </c>
      <c r="AP323" s="351">
        <v>45923</v>
      </c>
      <c r="AQ323" s="336" t="s">
        <v>259</v>
      </c>
      <c r="AR323" s="336" t="s">
        <v>232</v>
      </c>
      <c r="AS323" s="337">
        <v>0.2361111111111111</v>
      </c>
      <c r="AT323" s="332"/>
    </row>
    <row r="324" spans="1:46" ht="9.75" customHeight="1">
      <c r="A324" s="332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  <c r="AA324" s="332"/>
      <c r="AB324" s="332"/>
      <c r="AC324" s="332"/>
      <c r="AD324" s="332"/>
      <c r="AE324" s="332"/>
      <c r="AF324" s="332"/>
      <c r="AG324" s="332"/>
      <c r="AH324" s="332"/>
      <c r="AI324" s="332"/>
      <c r="AJ324" s="332"/>
      <c r="AK324" s="332"/>
      <c r="AL324" s="332"/>
      <c r="AM324" s="332"/>
      <c r="AN324" s="332" t="str">
        <f t="shared" si="50"/>
        <v>LOTTEKE 37</v>
      </c>
      <c r="AO324" s="334" t="s">
        <v>26</v>
      </c>
      <c r="AP324" s="351">
        <v>45923</v>
      </c>
      <c r="AQ324" s="336" t="s">
        <v>259</v>
      </c>
      <c r="AR324" s="336" t="s">
        <v>119</v>
      </c>
      <c r="AS324" s="337">
        <v>0.2361111111111111</v>
      </c>
      <c r="AT324" s="332"/>
    </row>
    <row r="325" spans="1:46" ht="9.75" customHeight="1">
      <c r="A325" s="332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  <c r="AA325" s="332"/>
      <c r="AB325" s="332"/>
      <c r="AC325" s="332"/>
      <c r="AD325" s="332"/>
      <c r="AE325" s="332"/>
      <c r="AF325" s="332"/>
      <c r="AG325" s="332"/>
      <c r="AH325" s="332"/>
      <c r="AI325" s="332"/>
      <c r="AJ325" s="332"/>
      <c r="AK325" s="332"/>
      <c r="AL325" s="332"/>
      <c r="AM325" s="332"/>
      <c r="AN325" s="332" t="str">
        <f t="shared" si="50"/>
        <v>LOTTE7C 6001</v>
      </c>
      <c r="AO325" s="334" t="s">
        <v>26</v>
      </c>
      <c r="AP325" s="351">
        <v>45923</v>
      </c>
      <c r="AQ325" s="336" t="s">
        <v>259</v>
      </c>
      <c r="AR325" s="336" t="s">
        <v>233</v>
      </c>
      <c r="AS325" s="337">
        <v>0.28125</v>
      </c>
      <c r="AT325" s="332"/>
    </row>
    <row r="326" spans="1:46" ht="9.75" customHeight="1">
      <c r="A326" s="332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  <c r="AA326" s="332"/>
      <c r="AB326" s="332"/>
      <c r="AC326" s="332"/>
      <c r="AD326" s="332"/>
      <c r="AE326" s="332"/>
      <c r="AF326" s="332"/>
      <c r="AG326" s="332"/>
      <c r="AH326" s="332"/>
      <c r="AI326" s="332"/>
      <c r="AJ326" s="332"/>
      <c r="AK326" s="332"/>
      <c r="AL326" s="332"/>
      <c r="AM326" s="332"/>
      <c r="AN326" s="332" t="str">
        <f t="shared" si="50"/>
        <v>LOTTEVJ 961</v>
      </c>
      <c r="AO326" s="334" t="s">
        <v>26</v>
      </c>
      <c r="AP326" s="351">
        <v>45923</v>
      </c>
      <c r="AQ326" s="336" t="s">
        <v>259</v>
      </c>
      <c r="AR326" s="336" t="s">
        <v>51</v>
      </c>
      <c r="AS326" s="337">
        <v>0.28125</v>
      </c>
      <c r="AT326" s="332"/>
    </row>
    <row r="327" spans="1:46" ht="9.75" customHeight="1">
      <c r="A327" s="332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  <c r="AA327" s="332"/>
      <c r="AB327" s="332"/>
      <c r="AC327" s="332"/>
      <c r="AD327" s="332"/>
      <c r="AE327" s="332"/>
      <c r="AF327" s="332"/>
      <c r="AG327" s="332"/>
      <c r="AH327" s="332"/>
      <c r="AI327" s="332"/>
      <c r="AJ327" s="332"/>
      <c r="AK327" s="332"/>
      <c r="AL327" s="332"/>
      <c r="AM327" s="332"/>
      <c r="AN327" s="332" t="str">
        <f t="shared" si="50"/>
        <v>LOTTEVN 431</v>
      </c>
      <c r="AO327" s="334" t="s">
        <v>26</v>
      </c>
      <c r="AP327" s="351">
        <v>45923</v>
      </c>
      <c r="AQ327" s="336" t="s">
        <v>259</v>
      </c>
      <c r="AR327" s="336" t="s">
        <v>236</v>
      </c>
      <c r="AS327" s="337">
        <v>0.28125</v>
      </c>
      <c r="AT327" s="332"/>
    </row>
    <row r="328" spans="1:46" ht="9.75" customHeight="1">
      <c r="A328" s="332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  <c r="AA328" s="332"/>
      <c r="AB328" s="332"/>
      <c r="AC328" s="332"/>
      <c r="AD328" s="332"/>
      <c r="AE328" s="332"/>
      <c r="AF328" s="332"/>
      <c r="AG328" s="332"/>
      <c r="AH328" s="332"/>
      <c r="AI328" s="332"/>
      <c r="AJ328" s="332"/>
      <c r="AK328" s="332"/>
      <c r="AL328" s="332"/>
      <c r="AM328" s="332"/>
      <c r="AN328" s="332" t="str">
        <f t="shared" si="50"/>
        <v>LOTTEKE 897</v>
      </c>
      <c r="AO328" s="334" t="s">
        <v>26</v>
      </c>
      <c r="AP328" s="351">
        <v>45923</v>
      </c>
      <c r="AQ328" s="336" t="s">
        <v>259</v>
      </c>
      <c r="AR328" s="336" t="s">
        <v>121</v>
      </c>
      <c r="AS328" s="337">
        <v>0.28125</v>
      </c>
      <c r="AT328" s="332"/>
    </row>
    <row r="329" spans="1:46" ht="9.75" customHeight="1">
      <c r="A329" s="332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  <c r="AA329" s="332"/>
      <c r="AB329" s="332"/>
      <c r="AC329" s="332"/>
      <c r="AD329" s="332"/>
      <c r="AE329" s="332"/>
      <c r="AF329" s="332"/>
      <c r="AG329" s="332"/>
      <c r="AH329" s="332"/>
      <c r="AI329" s="332"/>
      <c r="AJ329" s="332"/>
      <c r="AK329" s="332"/>
      <c r="AL329" s="332"/>
      <c r="AM329" s="332"/>
      <c r="AN329" s="332" t="str">
        <f t="shared" si="50"/>
        <v>LOTTEUA 806</v>
      </c>
      <c r="AO329" s="334" t="s">
        <v>26</v>
      </c>
      <c r="AP329" s="351">
        <v>45923</v>
      </c>
      <c r="AQ329" s="336" t="s">
        <v>259</v>
      </c>
      <c r="AR329" s="336" t="s">
        <v>54</v>
      </c>
      <c r="AS329" s="337">
        <v>0.28125</v>
      </c>
      <c r="AT329" s="332"/>
    </row>
    <row r="330" spans="1:46" ht="9.75" customHeight="1">
      <c r="A330" s="332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  <c r="AA330" s="332"/>
      <c r="AB330" s="332"/>
      <c r="AC330" s="332"/>
      <c r="AD330" s="332"/>
      <c r="AE330" s="332"/>
      <c r="AF330" s="332"/>
      <c r="AG330" s="332"/>
      <c r="AH330" s="332"/>
      <c r="AI330" s="332"/>
      <c r="AJ330" s="332"/>
      <c r="AK330" s="332"/>
      <c r="AL330" s="332"/>
      <c r="AM330" s="332"/>
      <c r="AN330" s="332" t="str">
        <f t="shared" si="50"/>
        <v>LOTTEOZ 521</v>
      </c>
      <c r="AO330" s="334" t="s">
        <v>26</v>
      </c>
      <c r="AP330" s="351">
        <v>45923</v>
      </c>
      <c r="AQ330" s="336" t="s">
        <v>259</v>
      </c>
      <c r="AR330" s="336" t="s">
        <v>237</v>
      </c>
      <c r="AS330" s="337">
        <v>0.32291666666666669</v>
      </c>
      <c r="AT330" s="332"/>
    </row>
    <row r="331" spans="1:46" ht="9.75" customHeight="1">
      <c r="A331" s="332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  <c r="AA331" s="332"/>
      <c r="AB331" s="332"/>
      <c r="AC331" s="332"/>
      <c r="AD331" s="332"/>
      <c r="AE331" s="332"/>
      <c r="AF331" s="332"/>
      <c r="AG331" s="332"/>
      <c r="AH331" s="332"/>
      <c r="AI331" s="332"/>
      <c r="AJ331" s="332"/>
      <c r="AK331" s="332"/>
      <c r="AL331" s="332"/>
      <c r="AM331" s="332"/>
      <c r="AN331" s="332" t="str">
        <f t="shared" ref="AN331:AN383" si="51">AQ331&amp;AR331</f>
        <v>LOTTECI 161</v>
      </c>
      <c r="AO331" s="334" t="s">
        <v>26</v>
      </c>
      <c r="AP331" s="351">
        <v>45923</v>
      </c>
      <c r="AQ331" s="336" t="s">
        <v>259</v>
      </c>
      <c r="AR331" s="336" t="s">
        <v>238</v>
      </c>
      <c r="AS331" s="337">
        <v>0.32291666666666669</v>
      </c>
      <c r="AT331" s="332"/>
    </row>
    <row r="332" spans="1:46" ht="9.75" customHeight="1">
      <c r="A332" s="332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  <c r="AA332" s="332"/>
      <c r="AB332" s="332"/>
      <c r="AC332" s="332"/>
      <c r="AD332" s="332"/>
      <c r="AE332" s="332"/>
      <c r="AF332" s="332"/>
      <c r="AG332" s="332"/>
      <c r="AH332" s="332"/>
      <c r="AI332" s="332"/>
      <c r="AJ332" s="332"/>
      <c r="AK332" s="332"/>
      <c r="AL332" s="332"/>
      <c r="AM332" s="332"/>
      <c r="AN332" s="332" t="str">
        <f t="shared" si="51"/>
        <v>LOTTECZ 314</v>
      </c>
      <c r="AO332" s="334" t="s">
        <v>26</v>
      </c>
      <c r="AP332" s="351">
        <v>45923</v>
      </c>
      <c r="AQ332" s="336" t="s">
        <v>259</v>
      </c>
      <c r="AR332" s="336" t="s">
        <v>126</v>
      </c>
      <c r="AS332" s="337">
        <v>0.32291666666666669</v>
      </c>
      <c r="AT332" s="332"/>
    </row>
    <row r="333" spans="1:46" ht="9.75" customHeight="1">
      <c r="A333" s="332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  <c r="AA333" s="332"/>
      <c r="AB333" s="332"/>
      <c r="AC333" s="332"/>
      <c r="AD333" s="332"/>
      <c r="AE333" s="332"/>
      <c r="AF333" s="332"/>
      <c r="AG333" s="332"/>
      <c r="AH333" s="332"/>
      <c r="AI333" s="332"/>
      <c r="AJ333" s="332"/>
      <c r="AK333" s="332"/>
      <c r="AL333" s="332"/>
      <c r="AM333" s="332"/>
      <c r="AN333" s="332" t="str">
        <f t="shared" si="51"/>
        <v>LOTTEUO 619</v>
      </c>
      <c r="AO333" s="334" t="s">
        <v>26</v>
      </c>
      <c r="AP333" s="351">
        <v>45923</v>
      </c>
      <c r="AQ333" s="336" t="s">
        <v>259</v>
      </c>
      <c r="AR333" s="336" t="s">
        <v>239</v>
      </c>
      <c r="AS333" s="337">
        <v>0.32291666666666669</v>
      </c>
      <c r="AT333" s="332"/>
    </row>
    <row r="334" spans="1:46" ht="9.75" customHeight="1">
      <c r="A334" s="332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  <c r="AA334" s="332"/>
      <c r="AB334" s="332"/>
      <c r="AC334" s="332"/>
      <c r="AD334" s="332"/>
      <c r="AE334" s="332"/>
      <c r="AF334" s="332"/>
      <c r="AG334" s="332"/>
      <c r="AH334" s="332"/>
      <c r="AI334" s="332"/>
      <c r="AJ334" s="332"/>
      <c r="AK334" s="332"/>
      <c r="AL334" s="332"/>
      <c r="AM334" s="332"/>
      <c r="AN334" s="332" t="str">
        <f t="shared" si="51"/>
        <v>LOTTEYP 101</v>
      </c>
      <c r="AO334" s="334" t="s">
        <v>26</v>
      </c>
      <c r="AP334" s="351">
        <v>45923</v>
      </c>
      <c r="AQ334" s="336" t="s">
        <v>259</v>
      </c>
      <c r="AR334" s="336" t="s">
        <v>58</v>
      </c>
      <c r="AS334" s="337">
        <v>0.32291666666666669</v>
      </c>
      <c r="AT334" s="332"/>
    </row>
    <row r="335" spans="1:46" ht="9.75" customHeight="1">
      <c r="A335" s="332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  <c r="AA335" s="332"/>
      <c r="AB335" s="332"/>
      <c r="AC335" s="332"/>
      <c r="AD335" s="332"/>
      <c r="AE335" s="332"/>
      <c r="AF335" s="332"/>
      <c r="AG335" s="332"/>
      <c r="AH335" s="332"/>
      <c r="AI335" s="332"/>
      <c r="AJ335" s="332"/>
      <c r="AK335" s="332"/>
      <c r="AL335" s="332"/>
      <c r="AM335" s="332"/>
      <c r="AN335" s="332" t="str">
        <f t="shared" si="51"/>
        <v>LOTTEKE 497</v>
      </c>
      <c r="AO335" s="334" t="s">
        <v>26</v>
      </c>
      <c r="AP335" s="351">
        <v>45923</v>
      </c>
      <c r="AQ335" s="336" t="s">
        <v>259</v>
      </c>
      <c r="AR335" s="336" t="s">
        <v>240</v>
      </c>
      <c r="AS335" s="337">
        <v>0.32291666666666669</v>
      </c>
      <c r="AT335" s="332"/>
    </row>
    <row r="336" spans="1:46" ht="9.75" customHeight="1">
      <c r="A336" s="332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  <c r="AA336" s="332"/>
      <c r="AB336" s="332"/>
      <c r="AC336" s="332"/>
      <c r="AD336" s="332"/>
      <c r="AE336" s="332"/>
      <c r="AF336" s="332"/>
      <c r="AG336" s="332"/>
      <c r="AH336" s="332"/>
      <c r="AI336" s="332"/>
      <c r="AJ336" s="332"/>
      <c r="AK336" s="332"/>
      <c r="AL336" s="332"/>
      <c r="AM336" s="332"/>
      <c r="AN336" s="332" t="str">
        <f t="shared" si="51"/>
        <v>LOTTEKE 175</v>
      </c>
      <c r="AO336" s="334" t="s">
        <v>26</v>
      </c>
      <c r="AP336" s="351">
        <v>45923</v>
      </c>
      <c r="AQ336" s="336" t="s">
        <v>259</v>
      </c>
      <c r="AR336" s="336" t="s">
        <v>241</v>
      </c>
      <c r="AS336" s="337">
        <v>0.36805555555555558</v>
      </c>
      <c r="AT336" s="332"/>
    </row>
    <row r="337" spans="1:46" ht="9.75" customHeight="1">
      <c r="A337" s="332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  <c r="AA337" s="332"/>
      <c r="AB337" s="332"/>
      <c r="AC337" s="332"/>
      <c r="AD337" s="332"/>
      <c r="AE337" s="332"/>
      <c r="AF337" s="332"/>
      <c r="AG337" s="332"/>
      <c r="AH337" s="332"/>
      <c r="AI337" s="332"/>
      <c r="AJ337" s="332"/>
      <c r="AK337" s="332"/>
      <c r="AL337" s="332"/>
      <c r="AM337" s="332"/>
      <c r="AN337" s="332" t="str">
        <f t="shared" si="51"/>
        <v>LOTTECX 439</v>
      </c>
      <c r="AO337" s="334" t="s">
        <v>26</v>
      </c>
      <c r="AP337" s="351">
        <v>45923</v>
      </c>
      <c r="AQ337" s="336" t="s">
        <v>259</v>
      </c>
      <c r="AR337" s="336" t="s">
        <v>59</v>
      </c>
      <c r="AS337" s="337">
        <v>0.36805555555555558</v>
      </c>
      <c r="AT337" s="332"/>
    </row>
    <row r="338" spans="1:46" ht="9.75" customHeight="1">
      <c r="A338" s="332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  <c r="AA338" s="332"/>
      <c r="AB338" s="332"/>
      <c r="AC338" s="332"/>
      <c r="AD338" s="332"/>
      <c r="AE338" s="332"/>
      <c r="AF338" s="332"/>
      <c r="AG338" s="332"/>
      <c r="AH338" s="332"/>
      <c r="AI338" s="332"/>
      <c r="AJ338" s="332"/>
      <c r="AK338" s="332"/>
      <c r="AL338" s="332"/>
      <c r="AM338" s="332"/>
      <c r="AN338" s="332" t="str">
        <f t="shared" si="51"/>
        <v>LOTTEOZ 114</v>
      </c>
      <c r="AO338" s="334" t="s">
        <v>26</v>
      </c>
      <c r="AP338" s="351">
        <v>45923</v>
      </c>
      <c r="AQ338" s="336" t="s">
        <v>259</v>
      </c>
      <c r="AR338" s="336" t="s">
        <v>135</v>
      </c>
      <c r="AS338" s="337">
        <v>0.40972222222222221</v>
      </c>
      <c r="AT338" s="332"/>
    </row>
    <row r="339" spans="1:46" ht="9.75" customHeight="1">
      <c r="A339" s="332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  <c r="AA339" s="332"/>
      <c r="AB339" s="332"/>
      <c r="AC339" s="332"/>
      <c r="AD339" s="332"/>
      <c r="AE339" s="332"/>
      <c r="AF339" s="332"/>
      <c r="AG339" s="332"/>
      <c r="AH339" s="332"/>
      <c r="AI339" s="332"/>
      <c r="AJ339" s="332"/>
      <c r="AK339" s="332"/>
      <c r="AL339" s="332"/>
      <c r="AM339" s="332"/>
      <c r="AN339" s="332" t="str">
        <f t="shared" si="51"/>
        <v>LOTTEKE 23</v>
      </c>
      <c r="AO339" s="334" t="s">
        <v>26</v>
      </c>
      <c r="AP339" s="351">
        <v>45923</v>
      </c>
      <c r="AQ339" s="336" t="s">
        <v>259</v>
      </c>
      <c r="AR339" s="336" t="s">
        <v>61</v>
      </c>
      <c r="AS339" s="337">
        <v>0.47569444444444442</v>
      </c>
      <c r="AT339" s="332"/>
    </row>
    <row r="340" spans="1:46" ht="9.75" customHeight="1">
      <c r="A340" s="332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  <c r="AA340" s="332"/>
      <c r="AB340" s="332"/>
      <c r="AC340" s="332"/>
      <c r="AD340" s="332"/>
      <c r="AE340" s="332"/>
      <c r="AF340" s="332"/>
      <c r="AG340" s="332"/>
      <c r="AH340" s="332"/>
      <c r="AI340" s="332"/>
      <c r="AJ340" s="332"/>
      <c r="AK340" s="332"/>
      <c r="AL340" s="332"/>
      <c r="AM340" s="332"/>
      <c r="AN340" s="332" t="str">
        <f t="shared" si="51"/>
        <v>LOTTEOZ 751</v>
      </c>
      <c r="AO340" s="334" t="s">
        <v>26</v>
      </c>
      <c r="AP340" s="351">
        <v>45923</v>
      </c>
      <c r="AQ340" s="336" t="s">
        <v>259</v>
      </c>
      <c r="AR340" s="336" t="s">
        <v>145</v>
      </c>
      <c r="AS340" s="337">
        <v>0.47569444444444442</v>
      </c>
      <c r="AT340" s="332"/>
    </row>
    <row r="341" spans="1:46" ht="9.75" customHeight="1">
      <c r="A341" s="332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  <c r="AA341" s="332"/>
      <c r="AB341" s="332"/>
      <c r="AC341" s="332"/>
      <c r="AD341" s="332"/>
      <c r="AE341" s="332"/>
      <c r="AF341" s="332"/>
      <c r="AG341" s="332"/>
      <c r="AH341" s="332"/>
      <c r="AI341" s="332"/>
      <c r="AJ341" s="332"/>
      <c r="AK341" s="332"/>
      <c r="AL341" s="332"/>
      <c r="AM341" s="332"/>
      <c r="AN341" s="332" t="str">
        <f t="shared" si="51"/>
        <v>LOTTEKE 671</v>
      </c>
      <c r="AO341" s="334" t="s">
        <v>26</v>
      </c>
      <c r="AP341" s="351">
        <v>45923</v>
      </c>
      <c r="AQ341" s="336" t="s">
        <v>259</v>
      </c>
      <c r="AR341" s="336" t="s">
        <v>146</v>
      </c>
      <c r="AS341" s="337">
        <v>0.47569444444444442</v>
      </c>
      <c r="AT341" s="332"/>
    </row>
    <row r="342" spans="1:46" ht="9.75" customHeight="1">
      <c r="A342" s="332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  <c r="AA342" s="332"/>
      <c r="AB342" s="332"/>
      <c r="AC342" s="332"/>
      <c r="AD342" s="332"/>
      <c r="AE342" s="332"/>
      <c r="AF342" s="332"/>
      <c r="AG342" s="332"/>
      <c r="AH342" s="332"/>
      <c r="AI342" s="332"/>
      <c r="AJ342" s="332"/>
      <c r="AK342" s="332"/>
      <c r="AL342" s="332"/>
      <c r="AM342" s="332"/>
      <c r="AN342" s="332" t="str">
        <f t="shared" si="51"/>
        <v>LOTTEDL 188</v>
      </c>
      <c r="AO342" s="334" t="s">
        <v>26</v>
      </c>
      <c r="AP342" s="351">
        <v>45923</v>
      </c>
      <c r="AQ342" s="336" t="s">
        <v>259</v>
      </c>
      <c r="AR342" s="336" t="s">
        <v>62</v>
      </c>
      <c r="AS342" s="337">
        <v>0.47569444444444442</v>
      </c>
      <c r="AT342" s="332"/>
    </row>
    <row r="343" spans="1:46" ht="9.75" customHeight="1">
      <c r="A343" s="332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  <c r="AA343" s="332"/>
      <c r="AB343" s="332"/>
      <c r="AC343" s="332"/>
      <c r="AD343" s="332"/>
      <c r="AE343" s="332"/>
      <c r="AF343" s="332"/>
      <c r="AG343" s="332"/>
      <c r="AH343" s="332"/>
      <c r="AI343" s="332"/>
      <c r="AJ343" s="332"/>
      <c r="AK343" s="332"/>
      <c r="AL343" s="332"/>
      <c r="AM343" s="332"/>
      <c r="AN343" s="332" t="str">
        <f t="shared" si="51"/>
        <v>LOTTEMU 5012</v>
      </c>
      <c r="AO343" s="334" t="s">
        <v>26</v>
      </c>
      <c r="AP343" s="351">
        <v>45923</v>
      </c>
      <c r="AQ343" s="336" t="s">
        <v>259</v>
      </c>
      <c r="AR343" s="336" t="s">
        <v>243</v>
      </c>
      <c r="AS343" s="337">
        <v>0.5</v>
      </c>
      <c r="AT343" s="332"/>
    </row>
    <row r="344" spans="1:46" ht="9.75" customHeight="1">
      <c r="A344" s="332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  <c r="AA344" s="332"/>
      <c r="AB344" s="332"/>
      <c r="AC344" s="332"/>
      <c r="AD344" s="332"/>
      <c r="AE344" s="332"/>
      <c r="AF344" s="332"/>
      <c r="AG344" s="332"/>
      <c r="AH344" s="332"/>
      <c r="AI344" s="332"/>
      <c r="AJ344" s="332"/>
      <c r="AK344" s="332"/>
      <c r="AL344" s="332"/>
      <c r="AM344" s="332"/>
      <c r="AN344" s="332" t="str">
        <f t="shared" si="51"/>
        <v>LOTTEKE 41</v>
      </c>
      <c r="AO344" s="334" t="s">
        <v>26</v>
      </c>
      <c r="AP344" s="351">
        <v>45923</v>
      </c>
      <c r="AQ344" s="336" t="s">
        <v>259</v>
      </c>
      <c r="AR344" s="336" t="s">
        <v>63</v>
      </c>
      <c r="AS344" s="337">
        <v>0.5</v>
      </c>
      <c r="AT344" s="332"/>
    </row>
    <row r="345" spans="1:46" ht="9.75" customHeight="1">
      <c r="A345" s="332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  <c r="AA345" s="332"/>
      <c r="AB345" s="332"/>
      <c r="AC345" s="332"/>
      <c r="AD345" s="332"/>
      <c r="AE345" s="332"/>
      <c r="AF345" s="332"/>
      <c r="AG345" s="332"/>
      <c r="AH345" s="332"/>
      <c r="AI345" s="332"/>
      <c r="AJ345" s="332"/>
      <c r="AK345" s="332"/>
      <c r="AL345" s="332"/>
      <c r="AM345" s="332"/>
      <c r="AN345" s="332" t="str">
        <f t="shared" si="51"/>
        <v>LOTTECZ 3062</v>
      </c>
      <c r="AO345" s="334" t="s">
        <v>26</v>
      </c>
      <c r="AP345" s="351">
        <v>45923</v>
      </c>
      <c r="AQ345" s="336" t="s">
        <v>259</v>
      </c>
      <c r="AR345" s="336" t="s">
        <v>147</v>
      </c>
      <c r="AS345" s="337">
        <v>0.5</v>
      </c>
      <c r="AT345" s="332"/>
    </row>
    <row r="346" spans="1:46" ht="9.75" customHeight="1">
      <c r="A346" s="332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  <c r="AA346" s="332"/>
      <c r="AB346" s="332"/>
      <c r="AC346" s="332"/>
      <c r="AD346" s="332"/>
      <c r="AE346" s="332"/>
      <c r="AF346" s="332"/>
      <c r="AG346" s="332"/>
      <c r="AH346" s="332"/>
      <c r="AI346" s="332"/>
      <c r="AJ346" s="332"/>
      <c r="AK346" s="332"/>
      <c r="AL346" s="332"/>
      <c r="AM346" s="332"/>
      <c r="AN346" s="332" t="str">
        <f t="shared" si="51"/>
        <v>LOTTEUA 892</v>
      </c>
      <c r="AO346" s="334" t="s">
        <v>26</v>
      </c>
      <c r="AP346" s="351">
        <v>45923</v>
      </c>
      <c r="AQ346" s="336" t="s">
        <v>259</v>
      </c>
      <c r="AR346" s="336" t="s">
        <v>64</v>
      </c>
      <c r="AS346" s="337">
        <v>0.5</v>
      </c>
      <c r="AT346" s="332"/>
    </row>
    <row r="347" spans="1:46" ht="9.75" customHeight="1">
      <c r="A347" s="332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  <c r="AA347" s="332"/>
      <c r="AB347" s="332"/>
      <c r="AC347" s="332"/>
      <c r="AD347" s="332"/>
      <c r="AE347" s="332"/>
      <c r="AF347" s="332"/>
      <c r="AG347" s="332"/>
      <c r="AH347" s="332"/>
      <c r="AI347" s="332"/>
      <c r="AJ347" s="332"/>
      <c r="AK347" s="332"/>
      <c r="AL347" s="332"/>
      <c r="AM347" s="332"/>
      <c r="AN347" s="332" t="str">
        <f t="shared" si="51"/>
        <v>LOTTEAA 280</v>
      </c>
      <c r="AO347" s="334" t="s">
        <v>26</v>
      </c>
      <c r="AP347" s="351">
        <v>45923</v>
      </c>
      <c r="AQ347" s="336" t="s">
        <v>259</v>
      </c>
      <c r="AR347" s="336" t="s">
        <v>65</v>
      </c>
      <c r="AS347" s="337">
        <v>0.54861111111111116</v>
      </c>
      <c r="AT347" s="332"/>
    </row>
    <row r="348" spans="1:46" ht="9.75" customHeight="1">
      <c r="A348" s="332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  <c r="AA348" s="332"/>
      <c r="AB348" s="332"/>
      <c r="AC348" s="332"/>
      <c r="AD348" s="332"/>
      <c r="AE348" s="332"/>
      <c r="AF348" s="332"/>
      <c r="AG348" s="332"/>
      <c r="AH348" s="332"/>
      <c r="AI348" s="332"/>
      <c r="AJ348" s="332"/>
      <c r="AK348" s="332"/>
      <c r="AL348" s="332"/>
      <c r="AM348" s="332"/>
      <c r="AN348" s="332" t="str">
        <f t="shared" si="51"/>
        <v>LOTTETG 653</v>
      </c>
      <c r="AO348" s="334" t="s">
        <v>26</v>
      </c>
      <c r="AP348" s="351">
        <v>45923</v>
      </c>
      <c r="AQ348" s="336" t="s">
        <v>259</v>
      </c>
      <c r="AR348" s="336" t="s">
        <v>151</v>
      </c>
      <c r="AS348" s="337">
        <v>0.54861111111111116</v>
      </c>
      <c r="AT348" s="332"/>
    </row>
    <row r="349" spans="1:46" ht="9.75" customHeight="1">
      <c r="A349" s="332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  <c r="AA349" s="332"/>
      <c r="AB349" s="332"/>
      <c r="AC349" s="332"/>
      <c r="AD349" s="332"/>
      <c r="AE349" s="332"/>
      <c r="AF349" s="332"/>
      <c r="AG349" s="332"/>
      <c r="AH349" s="332"/>
      <c r="AI349" s="332"/>
      <c r="AJ349" s="332"/>
      <c r="AK349" s="332"/>
      <c r="AL349" s="332"/>
      <c r="AM349" s="332"/>
      <c r="AN349" s="332" t="str">
        <f t="shared" si="51"/>
        <v>LOTTEAC 64</v>
      </c>
      <c r="AO349" s="334" t="s">
        <v>26</v>
      </c>
      <c r="AP349" s="351">
        <v>45923</v>
      </c>
      <c r="AQ349" s="336" t="s">
        <v>259</v>
      </c>
      <c r="AR349" s="336" t="s">
        <v>66</v>
      </c>
      <c r="AS349" s="337">
        <v>0.54861111111111116</v>
      </c>
      <c r="AT349" s="332"/>
    </row>
    <row r="350" spans="1:46" ht="9.75" customHeight="1">
      <c r="A350" s="332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  <c r="AA350" s="332"/>
      <c r="AB350" s="332"/>
      <c r="AC350" s="332"/>
      <c r="AD350" s="332"/>
      <c r="AE350" s="332"/>
      <c r="AF350" s="332"/>
      <c r="AG350" s="332"/>
      <c r="AH350" s="332"/>
      <c r="AI350" s="332"/>
      <c r="AJ350" s="332"/>
      <c r="AK350" s="332"/>
      <c r="AL350" s="332"/>
      <c r="AM350" s="332"/>
      <c r="AN350" s="332" t="str">
        <f t="shared" si="51"/>
        <v>LOTTEVN 403</v>
      </c>
      <c r="AO350" s="334" t="s">
        <v>26</v>
      </c>
      <c r="AP350" s="351">
        <v>45923</v>
      </c>
      <c r="AQ350" s="336" t="s">
        <v>259</v>
      </c>
      <c r="AR350" s="336" t="s">
        <v>152</v>
      </c>
      <c r="AS350" s="337">
        <v>0.54861111111111116</v>
      </c>
      <c r="AT350" s="332"/>
    </row>
    <row r="351" spans="1:46" ht="9.75" customHeight="1">
      <c r="A351" s="332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  <c r="AA351" s="332"/>
      <c r="AB351" s="332"/>
      <c r="AC351" s="332"/>
      <c r="AD351" s="332"/>
      <c r="AE351" s="332"/>
      <c r="AF351" s="332"/>
      <c r="AG351" s="332"/>
      <c r="AH351" s="332"/>
      <c r="AI351" s="332"/>
      <c r="AJ351" s="332"/>
      <c r="AK351" s="332"/>
      <c r="AL351" s="332"/>
      <c r="AM351" s="332"/>
      <c r="AN351" s="332" t="str">
        <f t="shared" si="51"/>
        <v>LOTTE7C 2515</v>
      </c>
      <c r="AO351" s="334" t="s">
        <v>26</v>
      </c>
      <c r="AP351" s="351">
        <v>45923</v>
      </c>
      <c r="AQ351" s="336" t="s">
        <v>259</v>
      </c>
      <c r="AR351" s="336" t="s">
        <v>248</v>
      </c>
      <c r="AS351" s="337">
        <v>0.5625</v>
      </c>
      <c r="AT351" s="332"/>
    </row>
    <row r="352" spans="1:46" ht="9.75" customHeight="1">
      <c r="A352" s="332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  <c r="AA352" s="332"/>
      <c r="AB352" s="332"/>
      <c r="AC352" s="332"/>
      <c r="AD352" s="332"/>
      <c r="AE352" s="332"/>
      <c r="AF352" s="332"/>
      <c r="AG352" s="332"/>
      <c r="AH352" s="332"/>
      <c r="AI352" s="332"/>
      <c r="AJ352" s="332"/>
      <c r="AK352" s="332"/>
      <c r="AL352" s="332"/>
      <c r="AM352" s="332"/>
      <c r="AN352" s="332" t="str">
        <f t="shared" si="51"/>
        <v>LOTTEKE 651</v>
      </c>
      <c r="AO352" s="334" t="s">
        <v>26</v>
      </c>
      <c r="AP352" s="351">
        <v>45923</v>
      </c>
      <c r="AQ352" s="336" t="s">
        <v>259</v>
      </c>
      <c r="AR352" s="336" t="s">
        <v>67</v>
      </c>
      <c r="AS352" s="337">
        <v>0.5625</v>
      </c>
      <c r="AT352" s="332"/>
    </row>
    <row r="353" spans="1:46" ht="9.75" customHeight="1">
      <c r="A353" s="332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  <c r="AA353" s="332"/>
      <c r="AB353" s="332"/>
      <c r="AC353" s="332"/>
      <c r="AD353" s="332"/>
      <c r="AE353" s="332"/>
      <c r="AF353" s="332"/>
      <c r="AG353" s="332"/>
      <c r="AH353" s="332"/>
      <c r="AI353" s="332"/>
      <c r="AJ353" s="332"/>
      <c r="AK353" s="332"/>
      <c r="AL353" s="332"/>
      <c r="AM353" s="332"/>
      <c r="AN353" s="332" t="str">
        <f t="shared" si="51"/>
        <v>LOTTEOZ 272</v>
      </c>
      <c r="AO353" s="334" t="s">
        <v>26</v>
      </c>
      <c r="AP353" s="351">
        <v>45923</v>
      </c>
      <c r="AQ353" s="336" t="s">
        <v>259</v>
      </c>
      <c r="AR353" s="336" t="s">
        <v>68</v>
      </c>
      <c r="AS353" s="337">
        <v>0.5625</v>
      </c>
      <c r="AT353" s="332"/>
    </row>
    <row r="354" spans="1:46" ht="9.75" customHeight="1">
      <c r="A354" s="332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  <c r="AA354" s="332"/>
      <c r="AB354" s="332"/>
      <c r="AC354" s="332"/>
      <c r="AD354" s="332"/>
      <c r="AE354" s="332"/>
      <c r="AF354" s="332"/>
      <c r="AG354" s="332"/>
      <c r="AH354" s="332"/>
      <c r="AI354" s="332"/>
      <c r="AJ354" s="332"/>
      <c r="AK354" s="332"/>
      <c r="AL354" s="332"/>
      <c r="AM354" s="332"/>
      <c r="AN354" s="332" t="str">
        <f t="shared" si="51"/>
        <v>LOTTEDL 26</v>
      </c>
      <c r="AO354" s="334" t="s">
        <v>26</v>
      </c>
      <c r="AP354" s="351">
        <v>45923</v>
      </c>
      <c r="AQ354" s="336" t="s">
        <v>259</v>
      </c>
      <c r="AR354" s="336" t="s">
        <v>69</v>
      </c>
      <c r="AS354" s="337">
        <v>0.59375</v>
      </c>
      <c r="AT354" s="332"/>
    </row>
    <row r="355" spans="1:46" ht="9.75" customHeight="1">
      <c r="A355" s="332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  <c r="AA355" s="332"/>
      <c r="AB355" s="332"/>
      <c r="AC355" s="332"/>
      <c r="AD355" s="332"/>
      <c r="AE355" s="332"/>
      <c r="AF355" s="332"/>
      <c r="AG355" s="332"/>
      <c r="AH355" s="332"/>
      <c r="AI355" s="332"/>
      <c r="AJ355" s="332"/>
      <c r="AK355" s="332"/>
      <c r="AL355" s="332"/>
      <c r="AM355" s="332"/>
      <c r="AN355" s="332" t="str">
        <f t="shared" si="51"/>
        <v>LOTTE7C 2103</v>
      </c>
      <c r="AO355" s="334" t="s">
        <v>26</v>
      </c>
      <c r="AP355" s="351">
        <v>45923</v>
      </c>
      <c r="AQ355" s="336" t="s">
        <v>259</v>
      </c>
      <c r="AR355" s="336" t="s">
        <v>163</v>
      </c>
      <c r="AS355" s="337">
        <v>0.59375</v>
      </c>
      <c r="AT355" s="332"/>
    </row>
    <row r="356" spans="1:46" ht="9.75" customHeight="1">
      <c r="A356" s="332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  <c r="AA356" s="332"/>
      <c r="AB356" s="332"/>
      <c r="AC356" s="332"/>
      <c r="AD356" s="332"/>
      <c r="AE356" s="332"/>
      <c r="AF356" s="332"/>
      <c r="AG356" s="332"/>
      <c r="AH356" s="332"/>
      <c r="AI356" s="332"/>
      <c r="AJ356" s="332"/>
      <c r="AK356" s="332"/>
      <c r="AL356" s="332"/>
      <c r="AM356" s="332"/>
      <c r="AN356" s="332" t="str">
        <f t="shared" si="51"/>
        <v>LOTTEAC 62</v>
      </c>
      <c r="AO356" s="334" t="s">
        <v>26</v>
      </c>
      <c r="AP356" s="351">
        <v>45923</v>
      </c>
      <c r="AQ356" s="336" t="s">
        <v>259</v>
      </c>
      <c r="AR356" s="336" t="s">
        <v>71</v>
      </c>
      <c r="AS356" s="337">
        <v>0.59375</v>
      </c>
      <c r="AT356" s="332"/>
    </row>
    <row r="357" spans="1:46" ht="9.75" customHeight="1">
      <c r="A357" s="332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  <c r="AA357" s="332"/>
      <c r="AB357" s="332"/>
      <c r="AC357" s="332"/>
      <c r="AD357" s="332"/>
      <c r="AE357" s="332"/>
      <c r="AF357" s="332"/>
      <c r="AG357" s="332"/>
      <c r="AH357" s="332"/>
      <c r="AI357" s="332"/>
      <c r="AJ357" s="332"/>
      <c r="AK357" s="332"/>
      <c r="AL357" s="332"/>
      <c r="AM357" s="332"/>
      <c r="AN357" s="332" t="str">
        <f t="shared" si="51"/>
        <v>LOTTEDL 196</v>
      </c>
      <c r="AO357" s="334" t="s">
        <v>26</v>
      </c>
      <c r="AP357" s="351">
        <v>45923</v>
      </c>
      <c r="AQ357" s="336" t="s">
        <v>259</v>
      </c>
      <c r="AR357" s="336" t="s">
        <v>166</v>
      </c>
      <c r="AS357" s="337">
        <v>0.61458333333333337</v>
      </c>
      <c r="AT357" s="332"/>
    </row>
    <row r="358" spans="1:46" ht="9.75" customHeight="1">
      <c r="A358" s="332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  <c r="AA358" s="332"/>
      <c r="AB358" s="332"/>
      <c r="AC358" s="332"/>
      <c r="AD358" s="332"/>
      <c r="AE358" s="332"/>
      <c r="AF358" s="332"/>
      <c r="AG358" s="332"/>
      <c r="AH358" s="332"/>
      <c r="AI358" s="332"/>
      <c r="AJ358" s="332"/>
      <c r="AK358" s="332"/>
      <c r="AL358" s="332"/>
      <c r="AM358" s="332"/>
      <c r="AN358" s="332" t="str">
        <f t="shared" si="51"/>
        <v>LOTTEOZ 735</v>
      </c>
      <c r="AO358" s="334" t="s">
        <v>26</v>
      </c>
      <c r="AP358" s="351">
        <v>45923</v>
      </c>
      <c r="AQ358" s="336" t="s">
        <v>259</v>
      </c>
      <c r="AR358" s="336" t="s">
        <v>251</v>
      </c>
      <c r="AS358" s="337">
        <v>0.61458333333333337</v>
      </c>
      <c r="AT358" s="332"/>
    </row>
    <row r="359" spans="1:46" ht="9.75" customHeight="1">
      <c r="A359" s="332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  <c r="AA359" s="332"/>
      <c r="AB359" s="332"/>
      <c r="AC359" s="332"/>
      <c r="AD359" s="332"/>
      <c r="AE359" s="332"/>
      <c r="AF359" s="332"/>
      <c r="AG359" s="332"/>
      <c r="AH359" s="332"/>
      <c r="AI359" s="332"/>
      <c r="AJ359" s="332"/>
      <c r="AK359" s="332"/>
      <c r="AL359" s="332"/>
      <c r="AM359" s="332"/>
      <c r="AN359" s="332" t="str">
        <f t="shared" si="51"/>
        <v>LOTTEDL 7843</v>
      </c>
      <c r="AO359" s="334" t="s">
        <v>26</v>
      </c>
      <c r="AP359" s="351">
        <v>45923</v>
      </c>
      <c r="AQ359" s="336" t="s">
        <v>259</v>
      </c>
      <c r="AR359" s="336" t="s">
        <v>252</v>
      </c>
      <c r="AS359" s="337">
        <v>0.61458333333333337</v>
      </c>
      <c r="AT359" s="332"/>
    </row>
    <row r="360" spans="1:46" ht="9.75" customHeight="1">
      <c r="A360" s="332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  <c r="AA360" s="332"/>
      <c r="AB360" s="332"/>
      <c r="AC360" s="332"/>
      <c r="AD360" s="332"/>
      <c r="AE360" s="332"/>
      <c r="AF360" s="332"/>
      <c r="AG360" s="332"/>
      <c r="AH360" s="332"/>
      <c r="AI360" s="332"/>
      <c r="AJ360" s="332"/>
      <c r="AK360" s="332"/>
      <c r="AL360" s="332"/>
      <c r="AM360" s="332"/>
      <c r="AN360" s="332" t="str">
        <f t="shared" si="51"/>
        <v>LOTTEKE 85</v>
      </c>
      <c r="AO360" s="334" t="s">
        <v>26</v>
      </c>
      <c r="AP360" s="351">
        <v>45923</v>
      </c>
      <c r="AQ360" s="336" t="s">
        <v>259</v>
      </c>
      <c r="AR360" s="336" t="s">
        <v>172</v>
      </c>
      <c r="AS360" s="337">
        <v>0.61458333333333337</v>
      </c>
      <c r="AT360" s="332"/>
    </row>
    <row r="361" spans="1:46" ht="9.75" customHeight="1">
      <c r="A361" s="332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  <c r="AA361" s="332"/>
      <c r="AB361" s="332"/>
      <c r="AC361" s="332"/>
      <c r="AD361" s="332"/>
      <c r="AE361" s="332"/>
      <c r="AF361" s="332"/>
      <c r="AG361" s="332"/>
      <c r="AH361" s="332"/>
      <c r="AI361" s="332"/>
      <c r="AJ361" s="332"/>
      <c r="AK361" s="332"/>
      <c r="AL361" s="332"/>
      <c r="AM361" s="332"/>
      <c r="AN361" s="332" t="str">
        <f t="shared" si="51"/>
        <v>LOTTEBR 159</v>
      </c>
      <c r="AO361" s="334" t="s">
        <v>26</v>
      </c>
      <c r="AP361" s="351">
        <v>45923</v>
      </c>
      <c r="AQ361" s="336" t="s">
        <v>259</v>
      </c>
      <c r="AR361" s="336" t="s">
        <v>253</v>
      </c>
      <c r="AS361" s="337">
        <v>0.61458333333333337</v>
      </c>
      <c r="AT361" s="332"/>
    </row>
    <row r="362" spans="1:46" ht="9.75" customHeight="1">
      <c r="A362" s="332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  <c r="AA362" s="332"/>
      <c r="AB362" s="332"/>
      <c r="AC362" s="332"/>
      <c r="AD362" s="332"/>
      <c r="AE362" s="332"/>
      <c r="AF362" s="332"/>
      <c r="AG362" s="332"/>
      <c r="AH362" s="332"/>
      <c r="AI362" s="332"/>
      <c r="AJ362" s="332"/>
      <c r="AK362" s="332"/>
      <c r="AL362" s="332"/>
      <c r="AM362" s="332"/>
      <c r="AN362" s="332" t="str">
        <f t="shared" si="51"/>
        <v>LOTTEKE 177</v>
      </c>
      <c r="AO362" s="334" t="s">
        <v>26</v>
      </c>
      <c r="AP362" s="351">
        <v>45923</v>
      </c>
      <c r="AQ362" s="336" t="s">
        <v>259</v>
      </c>
      <c r="AR362" s="336" t="s">
        <v>254</v>
      </c>
      <c r="AS362" s="337">
        <v>0.61458333333333337</v>
      </c>
      <c r="AT362" s="332"/>
    </row>
    <row r="363" spans="1:46" ht="9.75" customHeight="1">
      <c r="A363" s="332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  <c r="AA363" s="332"/>
      <c r="AB363" s="332"/>
      <c r="AC363" s="332"/>
      <c r="AD363" s="332"/>
      <c r="AE363" s="332"/>
      <c r="AF363" s="332"/>
      <c r="AG363" s="332"/>
      <c r="AH363" s="332"/>
      <c r="AI363" s="332"/>
      <c r="AJ363" s="332"/>
      <c r="AK363" s="332"/>
      <c r="AL363" s="332"/>
      <c r="AM363" s="332"/>
      <c r="AN363" s="332" t="str">
        <f t="shared" si="51"/>
        <v>LOTTECX 419</v>
      </c>
      <c r="AO363" s="334" t="s">
        <v>26</v>
      </c>
      <c r="AP363" s="351">
        <v>45923</v>
      </c>
      <c r="AQ363" s="336" t="s">
        <v>259</v>
      </c>
      <c r="AR363" s="336" t="s">
        <v>74</v>
      </c>
      <c r="AS363" s="337">
        <v>0.64583333333333337</v>
      </c>
      <c r="AT363" s="332"/>
    </row>
    <row r="364" spans="1:46" ht="9.75" customHeight="1">
      <c r="A364" s="332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  <c r="AA364" s="332"/>
      <c r="AB364" s="332"/>
      <c r="AC364" s="332"/>
      <c r="AD364" s="332"/>
      <c r="AE364" s="332"/>
      <c r="AF364" s="332"/>
      <c r="AG364" s="332"/>
      <c r="AH364" s="332"/>
      <c r="AI364" s="332"/>
      <c r="AJ364" s="332"/>
      <c r="AK364" s="332"/>
      <c r="AL364" s="332"/>
      <c r="AM364" s="332"/>
      <c r="AN364" s="332" t="str">
        <f t="shared" si="51"/>
        <v>LOTTEKE 615</v>
      </c>
      <c r="AO364" s="334" t="s">
        <v>26</v>
      </c>
      <c r="AP364" s="351">
        <v>45923</v>
      </c>
      <c r="AQ364" s="336" t="s">
        <v>259</v>
      </c>
      <c r="AR364" s="336" t="s">
        <v>168</v>
      </c>
      <c r="AS364" s="337">
        <v>0.64583333333333337</v>
      </c>
      <c r="AT364" s="332"/>
    </row>
    <row r="365" spans="1:46" ht="9.75" customHeight="1">
      <c r="A365" s="332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  <c r="AA365" s="332"/>
      <c r="AB365" s="332"/>
      <c r="AC365" s="332"/>
      <c r="AD365" s="332"/>
      <c r="AE365" s="332"/>
      <c r="AF365" s="332"/>
      <c r="AG365" s="332"/>
      <c r="AH365" s="332"/>
      <c r="AI365" s="332"/>
      <c r="AJ365" s="332"/>
      <c r="AK365" s="332"/>
      <c r="AL365" s="332"/>
      <c r="AM365" s="332"/>
      <c r="AN365" s="332" t="str">
        <f t="shared" si="51"/>
        <v>LOTTEKE 11</v>
      </c>
      <c r="AO365" s="334" t="s">
        <v>26</v>
      </c>
      <c r="AP365" s="351">
        <v>45923</v>
      </c>
      <c r="AQ365" s="336" t="s">
        <v>259</v>
      </c>
      <c r="AR365" s="336" t="s">
        <v>170</v>
      </c>
      <c r="AS365" s="337">
        <v>0.64583333333333337</v>
      </c>
      <c r="AT365" s="332"/>
    </row>
    <row r="366" spans="1:46" ht="9.75" customHeight="1">
      <c r="A366" s="332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  <c r="AA366" s="332"/>
      <c r="AB366" s="332"/>
      <c r="AC366" s="332"/>
      <c r="AD366" s="332"/>
      <c r="AE366" s="332"/>
      <c r="AF366" s="332"/>
      <c r="AG366" s="332"/>
      <c r="AH366" s="332"/>
      <c r="AI366" s="332"/>
      <c r="AJ366" s="332"/>
      <c r="AK366" s="332"/>
      <c r="AL366" s="332"/>
      <c r="AM366" s="332"/>
      <c r="AN366" s="332" t="str">
        <f t="shared" si="51"/>
        <v>LOTTEKE 719</v>
      </c>
      <c r="AO366" s="334" t="s">
        <v>26</v>
      </c>
      <c r="AP366" s="351">
        <v>45923</v>
      </c>
      <c r="AQ366" s="336" t="s">
        <v>259</v>
      </c>
      <c r="AR366" s="336" t="s">
        <v>260</v>
      </c>
      <c r="AS366" s="337">
        <v>0.64583333333333337</v>
      </c>
      <c r="AT366" s="332"/>
    </row>
    <row r="367" spans="1:46" ht="9.75" customHeight="1">
      <c r="A367" s="332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  <c r="AA367" s="332"/>
      <c r="AB367" s="332"/>
      <c r="AC367" s="332"/>
      <c r="AD367" s="332"/>
      <c r="AE367" s="332"/>
      <c r="AF367" s="332"/>
      <c r="AG367" s="332"/>
      <c r="AH367" s="332"/>
      <c r="AI367" s="332"/>
      <c r="AJ367" s="332"/>
      <c r="AK367" s="332"/>
      <c r="AL367" s="332"/>
      <c r="AM367" s="332"/>
      <c r="AN367" s="332" t="str">
        <f t="shared" si="51"/>
        <v>LOTTEPR 469</v>
      </c>
      <c r="AO367" s="334" t="s">
        <v>26</v>
      </c>
      <c r="AP367" s="351">
        <v>45923</v>
      </c>
      <c r="AQ367" s="336" t="s">
        <v>259</v>
      </c>
      <c r="AR367" s="336" t="s">
        <v>171</v>
      </c>
      <c r="AS367" s="337">
        <v>0.64583333333333337</v>
      </c>
      <c r="AT367" s="332"/>
    </row>
    <row r="368" spans="1:46" ht="9.75" customHeight="1">
      <c r="A368" s="332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  <c r="AA368" s="332"/>
      <c r="AB368" s="332"/>
      <c r="AC368" s="332"/>
      <c r="AD368" s="332"/>
      <c r="AE368" s="332"/>
      <c r="AF368" s="332"/>
      <c r="AG368" s="332"/>
      <c r="AH368" s="332"/>
      <c r="AI368" s="332"/>
      <c r="AJ368" s="332"/>
      <c r="AK368" s="332"/>
      <c r="AL368" s="332"/>
      <c r="AM368" s="332"/>
      <c r="AN368" s="332" t="str">
        <f t="shared" si="51"/>
        <v>LOTTECI 163</v>
      </c>
      <c r="AO368" s="334" t="s">
        <v>26</v>
      </c>
      <c r="AP368" s="351">
        <v>45923</v>
      </c>
      <c r="AQ368" s="336" t="s">
        <v>259</v>
      </c>
      <c r="AR368" s="336" t="s">
        <v>257</v>
      </c>
      <c r="AS368" s="337">
        <v>0.64583333333333337</v>
      </c>
      <c r="AT368" s="332"/>
    </row>
    <row r="369" spans="1:46" ht="9.75" customHeight="1">
      <c r="A369" s="332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  <c r="AA369" s="332"/>
      <c r="AB369" s="332"/>
      <c r="AC369" s="332"/>
      <c r="AD369" s="332"/>
      <c r="AE369" s="332"/>
      <c r="AF369" s="332"/>
      <c r="AG369" s="332"/>
      <c r="AH369" s="332"/>
      <c r="AI369" s="332"/>
      <c r="AJ369" s="332"/>
      <c r="AK369" s="332"/>
      <c r="AL369" s="332"/>
      <c r="AM369" s="332"/>
      <c r="AN369" s="332" t="str">
        <f t="shared" si="51"/>
        <v>LOTTEMF 878</v>
      </c>
      <c r="AO369" s="334" t="s">
        <v>26</v>
      </c>
      <c r="AP369" s="351">
        <v>45923</v>
      </c>
      <c r="AQ369" s="336" t="s">
        <v>259</v>
      </c>
      <c r="AR369" s="336" t="s">
        <v>258</v>
      </c>
      <c r="AS369" s="337">
        <v>0.64583333333333337</v>
      </c>
      <c r="AT369" s="332"/>
    </row>
    <row r="370" spans="1:46" ht="9.75" customHeight="1">
      <c r="A370" s="332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  <c r="AA370" s="332"/>
      <c r="AB370" s="332"/>
      <c r="AC370" s="332"/>
      <c r="AD370" s="332"/>
      <c r="AE370" s="332"/>
      <c r="AF370" s="332"/>
      <c r="AG370" s="332"/>
      <c r="AH370" s="332"/>
      <c r="AI370" s="332"/>
      <c r="AJ370" s="332"/>
      <c r="AK370" s="332"/>
      <c r="AL370" s="332"/>
      <c r="AM370" s="332"/>
      <c r="AN370" s="332" t="str">
        <f t="shared" si="51"/>
        <v>LOTTEOZ 204</v>
      </c>
      <c r="AO370" s="334" t="s">
        <v>26</v>
      </c>
      <c r="AP370" s="351">
        <v>45923</v>
      </c>
      <c r="AQ370" s="336" t="s">
        <v>259</v>
      </c>
      <c r="AR370" s="336" t="s">
        <v>76</v>
      </c>
      <c r="AS370" s="337">
        <v>0.64583333333333337</v>
      </c>
      <c r="AT370" s="332"/>
    </row>
    <row r="371" spans="1:46" ht="9.75" customHeight="1">
      <c r="A371" s="332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  <c r="Z371" s="332"/>
      <c r="AA371" s="332"/>
      <c r="AB371" s="332"/>
      <c r="AC371" s="332"/>
      <c r="AD371" s="332"/>
      <c r="AE371" s="332"/>
      <c r="AF371" s="332"/>
      <c r="AG371" s="332"/>
      <c r="AH371" s="332"/>
      <c r="AI371" s="332"/>
      <c r="AJ371" s="332"/>
      <c r="AK371" s="332"/>
      <c r="AL371" s="332"/>
      <c r="AM371" s="332"/>
      <c r="AN371" s="332" t="str">
        <f t="shared" si="51"/>
        <v>LOTTEWS 87</v>
      </c>
      <c r="AO371" s="334" t="s">
        <v>26</v>
      </c>
      <c r="AP371" s="351">
        <v>45923</v>
      </c>
      <c r="AQ371" s="336" t="s">
        <v>259</v>
      </c>
      <c r="AR371" s="336" t="s">
        <v>77</v>
      </c>
      <c r="AS371" s="337">
        <v>0.64583333333333337</v>
      </c>
      <c r="AT371" s="332"/>
    </row>
    <row r="372" spans="1:46" ht="9.75" customHeight="1">
      <c r="A372" s="332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  <c r="Z372" s="332"/>
      <c r="AA372" s="332"/>
      <c r="AB372" s="332"/>
      <c r="AC372" s="332"/>
      <c r="AD372" s="332"/>
      <c r="AE372" s="332"/>
      <c r="AF372" s="332"/>
      <c r="AG372" s="332"/>
      <c r="AH372" s="332"/>
      <c r="AI372" s="332"/>
      <c r="AJ372" s="332"/>
      <c r="AK372" s="332"/>
      <c r="AL372" s="332"/>
      <c r="AM372" s="332"/>
      <c r="AN372" s="332" t="str">
        <f t="shared" si="51"/>
        <v>LOTTEOZ 212</v>
      </c>
      <c r="AO372" s="334" t="s">
        <v>26</v>
      </c>
      <c r="AP372" s="351">
        <v>45923</v>
      </c>
      <c r="AQ372" s="336" t="s">
        <v>259</v>
      </c>
      <c r="AR372" s="336" t="s">
        <v>174</v>
      </c>
      <c r="AS372" s="337">
        <v>0.64583333333333337</v>
      </c>
      <c r="AT372" s="332"/>
    </row>
    <row r="373" spans="1:46" ht="9.75" customHeight="1">
      <c r="A373" s="332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  <c r="Z373" s="332"/>
      <c r="AA373" s="332"/>
      <c r="AB373" s="332"/>
      <c r="AC373" s="332"/>
      <c r="AD373" s="332"/>
      <c r="AE373" s="332"/>
      <c r="AF373" s="332"/>
      <c r="AG373" s="332"/>
      <c r="AH373" s="332"/>
      <c r="AI373" s="332"/>
      <c r="AJ373" s="332"/>
      <c r="AK373" s="332"/>
      <c r="AL373" s="332"/>
      <c r="AM373" s="332"/>
      <c r="AN373" s="332" t="str">
        <f t="shared" si="51"/>
        <v>LOTTEKE 5</v>
      </c>
      <c r="AO373" s="334" t="s">
        <v>26</v>
      </c>
      <c r="AP373" s="351">
        <v>45923</v>
      </c>
      <c r="AQ373" s="336" t="s">
        <v>259</v>
      </c>
      <c r="AR373" s="336" t="s">
        <v>264</v>
      </c>
      <c r="AS373" s="337">
        <v>0.64583333333333337</v>
      </c>
      <c r="AT373" s="332"/>
    </row>
    <row r="374" spans="1:46" ht="9.75" customHeight="1">
      <c r="A374" s="332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  <c r="Z374" s="332"/>
      <c r="AA374" s="332"/>
      <c r="AB374" s="332"/>
      <c r="AC374" s="332"/>
      <c r="AD374" s="332"/>
      <c r="AE374" s="332"/>
      <c r="AF374" s="332"/>
      <c r="AG374" s="332"/>
      <c r="AH374" s="332"/>
      <c r="AI374" s="332"/>
      <c r="AJ374" s="332"/>
      <c r="AK374" s="332"/>
      <c r="AL374" s="332"/>
      <c r="AM374" s="332"/>
      <c r="AN374" s="332" t="str">
        <f t="shared" si="51"/>
        <v>LOTTEKE 53</v>
      </c>
      <c r="AO374" s="334" t="s">
        <v>26</v>
      </c>
      <c r="AP374" s="351">
        <v>45923</v>
      </c>
      <c r="AQ374" s="336" t="s">
        <v>259</v>
      </c>
      <c r="AR374" s="336" t="s">
        <v>265</v>
      </c>
      <c r="AS374" s="337">
        <v>0.64583333333333337</v>
      </c>
      <c r="AT374" s="332"/>
    </row>
    <row r="375" spans="1:46" ht="9.75" customHeight="1">
      <c r="A375" s="332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  <c r="Z375" s="332"/>
      <c r="AA375" s="332"/>
      <c r="AB375" s="332"/>
      <c r="AC375" s="332"/>
      <c r="AD375" s="332"/>
      <c r="AE375" s="332"/>
      <c r="AF375" s="332"/>
      <c r="AG375" s="332"/>
      <c r="AH375" s="332"/>
      <c r="AI375" s="332"/>
      <c r="AJ375" s="332"/>
      <c r="AK375" s="332"/>
      <c r="AL375" s="332"/>
      <c r="AM375" s="332"/>
      <c r="AN375" s="332" t="str">
        <f t="shared" si="51"/>
        <v>LOTTEOZ 224</v>
      </c>
      <c r="AO375" s="334" t="s">
        <v>26</v>
      </c>
      <c r="AP375" s="351">
        <v>45923</v>
      </c>
      <c r="AQ375" s="336" t="s">
        <v>259</v>
      </c>
      <c r="AR375" s="336" t="s">
        <v>266</v>
      </c>
      <c r="AS375" s="337">
        <v>0.64583333333333337</v>
      </c>
      <c r="AT375" s="332"/>
    </row>
    <row r="376" spans="1:46" ht="9.75" customHeight="1">
      <c r="A376" s="332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2"/>
      <c r="AF376" s="332"/>
      <c r="AG376" s="332"/>
      <c r="AH376" s="332"/>
      <c r="AI376" s="332"/>
      <c r="AJ376" s="332"/>
      <c r="AK376" s="332"/>
      <c r="AL376" s="332"/>
      <c r="AM376" s="332"/>
      <c r="AN376" s="332" t="str">
        <f t="shared" si="51"/>
        <v>LOTTETW 531</v>
      </c>
      <c r="AO376" s="334" t="s">
        <v>26</v>
      </c>
      <c r="AP376" s="351">
        <v>45923</v>
      </c>
      <c r="AQ376" s="336" t="s">
        <v>259</v>
      </c>
      <c r="AR376" s="336" t="s">
        <v>267</v>
      </c>
      <c r="AS376" s="337">
        <v>0.64583333333333337</v>
      </c>
      <c r="AT376" s="332"/>
    </row>
    <row r="377" spans="1:46" ht="9.75" customHeight="1">
      <c r="A377" s="332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2"/>
      <c r="AF377" s="332"/>
      <c r="AG377" s="332"/>
      <c r="AH377" s="332"/>
      <c r="AI377" s="332"/>
      <c r="AJ377" s="332"/>
      <c r="AK377" s="332"/>
      <c r="AL377" s="332"/>
      <c r="AM377" s="332"/>
      <c r="AN377" s="332" t="str">
        <f t="shared" si="51"/>
        <v>LOTTEOZ 178</v>
      </c>
      <c r="AO377" s="334" t="s">
        <v>26</v>
      </c>
      <c r="AP377" s="351">
        <v>45923</v>
      </c>
      <c r="AQ377" s="336" t="s">
        <v>259</v>
      </c>
      <c r="AR377" s="336" t="s">
        <v>268</v>
      </c>
      <c r="AS377" s="337">
        <v>0.64583333333333337</v>
      </c>
      <c r="AT377" s="332"/>
    </row>
    <row r="378" spans="1:46" ht="9.75" customHeight="1">
      <c r="A378" s="332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  <c r="Z378" s="332"/>
      <c r="AA378" s="332"/>
      <c r="AB378" s="332"/>
      <c r="AC378" s="332"/>
      <c r="AD378" s="332"/>
      <c r="AE378" s="332"/>
      <c r="AF378" s="332"/>
      <c r="AG378" s="332"/>
      <c r="AH378" s="332"/>
      <c r="AI378" s="332"/>
      <c r="AJ378" s="332"/>
      <c r="AK378" s="332"/>
      <c r="AL378" s="332"/>
      <c r="AM378" s="332"/>
      <c r="AN378" s="332" t="str">
        <f t="shared" si="51"/>
        <v>LOTTEYP 131</v>
      </c>
      <c r="AO378" s="334" t="s">
        <v>26</v>
      </c>
      <c r="AP378" s="351">
        <v>45923</v>
      </c>
      <c r="AQ378" s="336" t="s">
        <v>259</v>
      </c>
      <c r="AR378" s="336" t="s">
        <v>177</v>
      </c>
      <c r="AS378" s="337">
        <v>0.69791666666666663</v>
      </c>
      <c r="AT378" s="332"/>
    </row>
    <row r="379" spans="1:46" ht="9.75" customHeight="1">
      <c r="A379" s="332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  <c r="Z379" s="332"/>
      <c r="AA379" s="332"/>
      <c r="AB379" s="332"/>
      <c r="AC379" s="332"/>
      <c r="AD379" s="332"/>
      <c r="AE379" s="332"/>
      <c r="AF379" s="332"/>
      <c r="AG379" s="332"/>
      <c r="AH379" s="332"/>
      <c r="AI379" s="332"/>
      <c r="AJ379" s="332"/>
      <c r="AK379" s="332"/>
      <c r="AL379" s="332"/>
      <c r="AM379" s="332"/>
      <c r="AN379" s="332" t="str">
        <f t="shared" si="51"/>
        <v>LOTTEKL 856</v>
      </c>
      <c r="AO379" s="334" t="s">
        <v>26</v>
      </c>
      <c r="AP379" s="351">
        <v>45923</v>
      </c>
      <c r="AQ379" s="336" t="s">
        <v>259</v>
      </c>
      <c r="AR379" s="336" t="s">
        <v>270</v>
      </c>
      <c r="AS379" s="337">
        <v>0.72222222222222221</v>
      </c>
      <c r="AT379" s="332"/>
    </row>
    <row r="380" spans="1:46" ht="9.75" customHeight="1">
      <c r="A380" s="332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  <c r="Z380" s="332"/>
      <c r="AA380" s="332"/>
      <c r="AB380" s="332"/>
      <c r="AC380" s="332"/>
      <c r="AD380" s="332"/>
      <c r="AE380" s="332"/>
      <c r="AF380" s="332"/>
      <c r="AG380" s="332"/>
      <c r="AH380" s="332"/>
      <c r="AI380" s="332"/>
      <c r="AJ380" s="332"/>
      <c r="AK380" s="332"/>
      <c r="AL380" s="332"/>
      <c r="AM380" s="332"/>
      <c r="AN380" s="332" t="str">
        <f t="shared" si="51"/>
        <v>LOTTEUO 627</v>
      </c>
      <c r="AO380" s="334" t="s">
        <v>26</v>
      </c>
      <c r="AP380" s="351">
        <v>45923</v>
      </c>
      <c r="AQ380" s="336" t="s">
        <v>259</v>
      </c>
      <c r="AR380" s="336" t="s">
        <v>271</v>
      </c>
      <c r="AS380" s="337">
        <v>0.72222222222222221</v>
      </c>
      <c r="AT380" s="332"/>
    </row>
    <row r="381" spans="1:46" ht="9.75" customHeight="1">
      <c r="A381" s="332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  <c r="Z381" s="332"/>
      <c r="AA381" s="332"/>
      <c r="AB381" s="332"/>
      <c r="AC381" s="332"/>
      <c r="AD381" s="332"/>
      <c r="AE381" s="332"/>
      <c r="AF381" s="332"/>
      <c r="AG381" s="332"/>
      <c r="AH381" s="332"/>
      <c r="AI381" s="332"/>
      <c r="AJ381" s="332"/>
      <c r="AK381" s="332"/>
      <c r="AL381" s="332"/>
      <c r="AM381" s="332"/>
      <c r="AN381" s="332" t="str">
        <f t="shared" si="51"/>
        <v>LOTTETR 897</v>
      </c>
      <c r="AO381" s="334" t="s">
        <v>26</v>
      </c>
      <c r="AP381" s="351">
        <v>45923</v>
      </c>
      <c r="AQ381" s="336" t="s">
        <v>259</v>
      </c>
      <c r="AR381" s="336" t="s">
        <v>272</v>
      </c>
      <c r="AS381" s="337">
        <v>0.72222222222222221</v>
      </c>
      <c r="AT381" s="332"/>
    </row>
    <row r="382" spans="1:46" ht="9.75" customHeight="1">
      <c r="A382" s="332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  <c r="Z382" s="332"/>
      <c r="AA382" s="332"/>
      <c r="AB382" s="332"/>
      <c r="AC382" s="332"/>
      <c r="AD382" s="332"/>
      <c r="AE382" s="332"/>
      <c r="AF382" s="332"/>
      <c r="AG382" s="332"/>
      <c r="AH382" s="332"/>
      <c r="AI382" s="332"/>
      <c r="AJ382" s="332"/>
      <c r="AK382" s="332"/>
      <c r="AL382" s="332"/>
      <c r="AM382" s="332"/>
      <c r="AN382" s="332" t="str">
        <f t="shared" si="51"/>
        <v>LOTTEHA 460 on 24 Sep</v>
      </c>
      <c r="AO382" s="334" t="s">
        <v>26</v>
      </c>
      <c r="AP382" s="351">
        <v>45923</v>
      </c>
      <c r="AQ382" s="336" t="s">
        <v>259</v>
      </c>
      <c r="AR382" s="336" t="s">
        <v>273</v>
      </c>
      <c r="AS382" s="337">
        <v>0.72222222222222221</v>
      </c>
      <c r="AT382" s="332"/>
    </row>
    <row r="383" spans="1:46" ht="9.75" customHeight="1">
      <c r="A383" s="332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  <c r="Z383" s="332"/>
      <c r="AA383" s="332"/>
      <c r="AB383" s="332"/>
      <c r="AC383" s="332"/>
      <c r="AD383" s="332"/>
      <c r="AE383" s="332"/>
      <c r="AF383" s="332"/>
      <c r="AG383" s="332"/>
      <c r="AH383" s="332"/>
      <c r="AI383" s="332"/>
      <c r="AJ383" s="332"/>
      <c r="AK383" s="332"/>
      <c r="AL383" s="332"/>
      <c r="AM383" s="332"/>
      <c r="AN383" s="332" t="str">
        <f t="shared" si="51"/>
        <v>INTER PARNASKE 85</v>
      </c>
      <c r="AO383" s="334" t="s">
        <v>26</v>
      </c>
      <c r="AP383" s="351">
        <v>45923</v>
      </c>
      <c r="AQ383" s="336" t="s">
        <v>81</v>
      </c>
      <c r="AR383" s="336" t="s">
        <v>172</v>
      </c>
      <c r="AS383" s="337">
        <v>0.60069444444444442</v>
      </c>
      <c r="AT383" s="332"/>
    </row>
    <row r="384" spans="1:46" ht="9.75" customHeight="1">
      <c r="A384" s="332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  <c r="Z384" s="332"/>
      <c r="AA384" s="332"/>
      <c r="AB384" s="332"/>
      <c r="AC384" s="332"/>
      <c r="AD384" s="332"/>
      <c r="AE384" s="332"/>
      <c r="AF384" s="332"/>
      <c r="AG384" s="332"/>
      <c r="AH384" s="332"/>
      <c r="AI384" s="332"/>
      <c r="AJ384" s="332"/>
      <c r="AK384" s="332"/>
      <c r="AL384" s="332"/>
      <c r="AM384" s="332"/>
      <c r="AN384" s="332"/>
      <c r="AO384" s="334"/>
      <c r="AP384" s="351"/>
      <c r="AT384" s="332"/>
    </row>
    <row r="385" spans="1:46" ht="9.75" customHeight="1">
      <c r="A385" s="332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  <c r="Z385" s="332"/>
      <c r="AA385" s="332"/>
      <c r="AB385" s="332"/>
      <c r="AC385" s="332"/>
      <c r="AD385" s="332"/>
      <c r="AE385" s="332"/>
      <c r="AF385" s="332"/>
      <c r="AG385" s="332"/>
      <c r="AH385" s="332"/>
      <c r="AI385" s="332"/>
      <c r="AJ385" s="332"/>
      <c r="AK385" s="332"/>
      <c r="AL385" s="332"/>
      <c r="AM385" s="332"/>
      <c r="AN385" s="332"/>
      <c r="AO385" s="334"/>
      <c r="AP385" s="351"/>
      <c r="AT385" s="332"/>
    </row>
    <row r="386" spans="1:46" ht="9.75" customHeight="1">
      <c r="A386" s="332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  <c r="Z386" s="332"/>
      <c r="AA386" s="332"/>
      <c r="AB386" s="332"/>
      <c r="AC386" s="332"/>
      <c r="AD386" s="332"/>
      <c r="AE386" s="332"/>
      <c r="AF386" s="332"/>
      <c r="AG386" s="332"/>
      <c r="AH386" s="332"/>
      <c r="AI386" s="332"/>
      <c r="AJ386" s="332"/>
      <c r="AK386" s="332"/>
      <c r="AL386" s="332"/>
      <c r="AM386" s="332"/>
      <c r="AN386" s="332"/>
      <c r="AO386" s="334"/>
      <c r="AP386" s="351"/>
      <c r="AT386" s="332"/>
    </row>
    <row r="387" spans="1:46" ht="9.75" customHeight="1">
      <c r="A387" s="332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  <c r="Z387" s="332"/>
      <c r="AA387" s="332"/>
      <c r="AB387" s="332"/>
      <c r="AC387" s="332"/>
      <c r="AD387" s="332"/>
      <c r="AE387" s="332"/>
      <c r="AF387" s="332"/>
      <c r="AG387" s="332"/>
      <c r="AH387" s="332"/>
      <c r="AI387" s="332"/>
      <c r="AJ387" s="332"/>
      <c r="AK387" s="332"/>
      <c r="AL387" s="332"/>
      <c r="AM387" s="332"/>
      <c r="AN387" s="332"/>
      <c r="AO387" s="334"/>
      <c r="AP387" s="351"/>
      <c r="AT387" s="332"/>
    </row>
    <row r="388" spans="1:46" ht="9.75" customHeight="1">
      <c r="A388" s="332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  <c r="Z388" s="332"/>
      <c r="AA388" s="332"/>
      <c r="AB388" s="332"/>
      <c r="AC388" s="332"/>
      <c r="AD388" s="332"/>
      <c r="AE388" s="332"/>
      <c r="AF388" s="332"/>
      <c r="AG388" s="332"/>
      <c r="AH388" s="332"/>
      <c r="AI388" s="332"/>
      <c r="AJ388" s="332"/>
      <c r="AK388" s="332"/>
      <c r="AL388" s="332"/>
      <c r="AM388" s="332"/>
      <c r="AN388" s="332"/>
      <c r="AO388" s="334"/>
      <c r="AP388" s="351"/>
      <c r="AT388" s="332"/>
    </row>
    <row r="389" spans="1:46" ht="9.75" customHeight="1">
      <c r="A389" s="332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  <c r="Z389" s="332"/>
      <c r="AA389" s="332"/>
      <c r="AB389" s="332"/>
      <c r="AC389" s="332"/>
      <c r="AD389" s="332"/>
      <c r="AE389" s="332"/>
      <c r="AF389" s="332"/>
      <c r="AG389" s="332"/>
      <c r="AH389" s="332"/>
      <c r="AI389" s="332"/>
      <c r="AJ389" s="332"/>
      <c r="AK389" s="332"/>
      <c r="AL389" s="332"/>
      <c r="AM389" s="332"/>
      <c r="AN389" s="332"/>
      <c r="AO389" s="334"/>
      <c r="AP389" s="351"/>
      <c r="AT389" s="332"/>
    </row>
    <row r="390" spans="1:46" ht="9.75" customHeight="1">
      <c r="A390" s="332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  <c r="Z390" s="332"/>
      <c r="AA390" s="332"/>
      <c r="AB390" s="332"/>
      <c r="AC390" s="332"/>
      <c r="AD390" s="332"/>
      <c r="AE390" s="332"/>
      <c r="AF390" s="332"/>
      <c r="AG390" s="332"/>
      <c r="AH390" s="332"/>
      <c r="AI390" s="332"/>
      <c r="AJ390" s="332"/>
      <c r="AK390" s="332"/>
      <c r="AL390" s="332"/>
      <c r="AM390" s="332"/>
      <c r="AN390" s="332"/>
      <c r="AO390" s="334"/>
      <c r="AP390" s="351"/>
      <c r="AT390" s="332"/>
    </row>
    <row r="391" spans="1:46" ht="9.75" customHeight="1">
      <c r="A391" s="332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  <c r="Z391" s="332"/>
      <c r="AA391" s="332"/>
      <c r="AB391" s="332"/>
      <c r="AC391" s="332"/>
      <c r="AD391" s="332"/>
      <c r="AE391" s="332"/>
      <c r="AF391" s="332"/>
      <c r="AG391" s="332"/>
      <c r="AH391" s="332"/>
      <c r="AI391" s="332"/>
      <c r="AJ391" s="332"/>
      <c r="AK391" s="332"/>
      <c r="AL391" s="332"/>
      <c r="AM391" s="332"/>
      <c r="AN391" s="332"/>
      <c r="AO391" s="334"/>
      <c r="AP391" s="351"/>
      <c r="AT391" s="332"/>
    </row>
    <row r="392" spans="1:46" ht="9.75" customHeight="1">
      <c r="A392" s="332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  <c r="Z392" s="332"/>
      <c r="AA392" s="332"/>
      <c r="AB392" s="332"/>
      <c r="AC392" s="332"/>
      <c r="AD392" s="332"/>
      <c r="AE392" s="332"/>
      <c r="AF392" s="332"/>
      <c r="AG392" s="332"/>
      <c r="AH392" s="332"/>
      <c r="AI392" s="332"/>
      <c r="AJ392" s="332"/>
      <c r="AK392" s="332"/>
      <c r="AL392" s="332"/>
      <c r="AM392" s="332"/>
      <c r="AN392" s="332"/>
      <c r="AO392" s="334"/>
      <c r="AP392" s="351"/>
      <c r="AT392" s="332"/>
    </row>
    <row r="393" spans="1:46" ht="9.75" customHeight="1">
      <c r="A393" s="332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  <c r="Z393" s="332"/>
      <c r="AA393" s="332"/>
      <c r="AB393" s="332"/>
      <c r="AC393" s="332"/>
      <c r="AD393" s="332"/>
      <c r="AE393" s="332"/>
      <c r="AF393" s="332"/>
      <c r="AG393" s="332"/>
      <c r="AH393" s="332"/>
      <c r="AI393" s="332"/>
      <c r="AJ393" s="332"/>
      <c r="AK393" s="332"/>
      <c r="AL393" s="332"/>
      <c r="AM393" s="332"/>
      <c r="AN393" s="332"/>
      <c r="AP393" s="332"/>
      <c r="AT393" s="332"/>
    </row>
    <row r="394" spans="1:46" ht="9.75" customHeight="1">
      <c r="A394" s="332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  <c r="Z394" s="332"/>
      <c r="AA394" s="332"/>
      <c r="AB394" s="332"/>
      <c r="AC394" s="332"/>
      <c r="AD394" s="332"/>
      <c r="AE394" s="332"/>
      <c r="AF394" s="332"/>
      <c r="AG394" s="332"/>
      <c r="AH394" s="332"/>
      <c r="AI394" s="332"/>
      <c r="AJ394" s="332"/>
      <c r="AK394" s="332"/>
      <c r="AL394" s="332"/>
      <c r="AM394" s="332"/>
      <c r="AN394" s="332"/>
      <c r="AP394" s="332"/>
      <c r="AT394" s="332"/>
    </row>
    <row r="395" spans="1:46" ht="9.75" customHeight="1">
      <c r="A395" s="332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  <c r="Z395" s="332"/>
      <c r="AA395" s="332"/>
      <c r="AB395" s="332"/>
      <c r="AC395" s="332"/>
      <c r="AD395" s="332"/>
      <c r="AE395" s="332"/>
      <c r="AF395" s="332"/>
      <c r="AG395" s="332"/>
      <c r="AH395" s="332"/>
      <c r="AI395" s="332"/>
      <c r="AJ395" s="332"/>
      <c r="AK395" s="332"/>
      <c r="AL395" s="332"/>
      <c r="AM395" s="332"/>
      <c r="AN395" s="332"/>
      <c r="AP395" s="332"/>
      <c r="AT395" s="332"/>
    </row>
    <row r="396" spans="1:46" ht="9.75" customHeight="1">
      <c r="A396" s="332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  <c r="Z396" s="332"/>
      <c r="AA396" s="332"/>
      <c r="AB396" s="332"/>
      <c r="AC396" s="332"/>
      <c r="AD396" s="332"/>
      <c r="AE396" s="332"/>
      <c r="AF396" s="332"/>
      <c r="AG396" s="332"/>
      <c r="AH396" s="332"/>
      <c r="AI396" s="332"/>
      <c r="AJ396" s="332"/>
      <c r="AK396" s="332"/>
      <c r="AL396" s="332"/>
      <c r="AM396" s="332"/>
      <c r="AN396" s="332"/>
      <c r="AP396" s="332"/>
      <c r="AT396" s="332"/>
    </row>
    <row r="397" spans="1:46" ht="9.75" customHeight="1">
      <c r="A397" s="332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  <c r="Z397" s="332"/>
      <c r="AA397" s="332"/>
      <c r="AB397" s="332"/>
      <c r="AC397" s="332"/>
      <c r="AD397" s="332"/>
      <c r="AE397" s="332"/>
      <c r="AF397" s="332"/>
      <c r="AG397" s="332"/>
      <c r="AH397" s="332"/>
      <c r="AI397" s="332"/>
      <c r="AJ397" s="332"/>
      <c r="AK397" s="332"/>
      <c r="AL397" s="332"/>
      <c r="AM397" s="332"/>
      <c r="AN397" s="332"/>
      <c r="AP397" s="332"/>
      <c r="AT397" s="332"/>
    </row>
    <row r="398" spans="1:46" ht="9.75" customHeight="1">
      <c r="A398" s="332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2"/>
      <c r="AF398" s="332"/>
      <c r="AG398" s="332"/>
      <c r="AH398" s="332"/>
      <c r="AI398" s="332"/>
      <c r="AJ398" s="332"/>
      <c r="AK398" s="332"/>
      <c r="AL398" s="332"/>
      <c r="AM398" s="332"/>
      <c r="AN398" s="332"/>
      <c r="AP398" s="332"/>
      <c r="AT398" s="332"/>
    </row>
    <row r="399" spans="1:46" ht="9.75" customHeight="1">
      <c r="A399" s="332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  <c r="Z399" s="332"/>
      <c r="AA399" s="332"/>
      <c r="AB399" s="332"/>
      <c r="AC399" s="332"/>
      <c r="AD399" s="332"/>
      <c r="AE399" s="332"/>
      <c r="AF399" s="332"/>
      <c r="AG399" s="332"/>
      <c r="AH399" s="332"/>
      <c r="AI399" s="332"/>
      <c r="AJ399" s="332"/>
      <c r="AK399" s="332"/>
      <c r="AL399" s="332"/>
      <c r="AM399" s="332"/>
      <c r="AN399" s="332"/>
      <c r="AP399" s="332"/>
      <c r="AT399" s="332"/>
    </row>
    <row r="400" spans="1:46" ht="9.75" customHeight="1">
      <c r="A400" s="332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  <c r="Z400" s="332"/>
      <c r="AA400" s="332"/>
      <c r="AB400" s="332"/>
      <c r="AC400" s="332"/>
      <c r="AD400" s="332"/>
      <c r="AE400" s="332"/>
      <c r="AF400" s="332"/>
      <c r="AG400" s="332"/>
      <c r="AH400" s="332"/>
      <c r="AI400" s="332"/>
      <c r="AJ400" s="332"/>
      <c r="AK400" s="332"/>
      <c r="AL400" s="332"/>
      <c r="AM400" s="332"/>
      <c r="AN400" s="332"/>
      <c r="AP400" s="332"/>
      <c r="AT400" s="332"/>
    </row>
    <row r="401" spans="1:46" ht="9.75" customHeight="1">
      <c r="A401" s="332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  <c r="Z401" s="332"/>
      <c r="AA401" s="332"/>
      <c r="AB401" s="332"/>
      <c r="AC401" s="332"/>
      <c r="AD401" s="332"/>
      <c r="AE401" s="332"/>
      <c r="AF401" s="332"/>
      <c r="AG401" s="332"/>
      <c r="AH401" s="332"/>
      <c r="AI401" s="332"/>
      <c r="AJ401" s="332"/>
      <c r="AK401" s="332"/>
      <c r="AL401" s="332"/>
      <c r="AM401" s="332"/>
      <c r="AN401" s="332"/>
      <c r="AP401" s="332"/>
      <c r="AT401" s="332"/>
    </row>
    <row r="402" spans="1:46" ht="9.75" customHeight="1">
      <c r="A402" s="332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  <c r="Z402" s="332"/>
      <c r="AA402" s="332"/>
      <c r="AB402" s="332"/>
      <c r="AC402" s="332"/>
      <c r="AD402" s="332"/>
      <c r="AE402" s="332"/>
      <c r="AF402" s="332"/>
      <c r="AG402" s="332"/>
      <c r="AH402" s="332"/>
      <c r="AI402" s="332"/>
      <c r="AJ402" s="332"/>
      <c r="AK402" s="332"/>
      <c r="AL402" s="332"/>
      <c r="AM402" s="332"/>
      <c r="AN402" s="332"/>
      <c r="AP402" s="332"/>
      <c r="AT402" s="332"/>
    </row>
    <row r="403" spans="1:46" ht="9.75" customHeight="1">
      <c r="A403" s="332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  <c r="Z403" s="332"/>
      <c r="AA403" s="332"/>
      <c r="AB403" s="332"/>
      <c r="AC403" s="332"/>
      <c r="AD403" s="332"/>
      <c r="AE403" s="332"/>
      <c r="AF403" s="332"/>
      <c r="AG403" s="332"/>
      <c r="AH403" s="332"/>
      <c r="AI403" s="332"/>
      <c r="AJ403" s="332"/>
      <c r="AK403" s="332"/>
      <c r="AL403" s="332"/>
      <c r="AM403" s="332"/>
      <c r="AN403" s="332"/>
      <c r="AP403" s="332"/>
      <c r="AT403" s="332"/>
    </row>
    <row r="404" spans="1:46" ht="9.75" customHeight="1">
      <c r="A404" s="332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  <c r="Z404" s="332"/>
      <c r="AA404" s="332"/>
      <c r="AB404" s="332"/>
      <c r="AC404" s="332"/>
      <c r="AD404" s="332"/>
      <c r="AE404" s="332"/>
      <c r="AF404" s="332"/>
      <c r="AG404" s="332"/>
      <c r="AH404" s="332"/>
      <c r="AI404" s="332"/>
      <c r="AJ404" s="332"/>
      <c r="AK404" s="332"/>
      <c r="AL404" s="332"/>
      <c r="AM404" s="332"/>
      <c r="AN404" s="332"/>
      <c r="AP404" s="332"/>
      <c r="AT404" s="332"/>
    </row>
    <row r="405" spans="1:46" ht="9.75" customHeight="1">
      <c r="A405" s="332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  <c r="Z405" s="332"/>
      <c r="AA405" s="332"/>
      <c r="AB405" s="332"/>
      <c r="AC405" s="332"/>
      <c r="AD405" s="332"/>
      <c r="AE405" s="332"/>
      <c r="AF405" s="332"/>
      <c r="AG405" s="332"/>
      <c r="AH405" s="332"/>
      <c r="AI405" s="332"/>
      <c r="AJ405" s="332"/>
      <c r="AK405" s="332"/>
      <c r="AL405" s="332"/>
      <c r="AM405" s="332"/>
      <c r="AN405" s="332"/>
      <c r="AP405" s="332"/>
      <c r="AT405" s="332"/>
    </row>
    <row r="406" spans="1:46" ht="9.75" customHeight="1">
      <c r="A406" s="332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  <c r="Z406" s="332"/>
      <c r="AA406" s="332"/>
      <c r="AB406" s="332"/>
      <c r="AC406" s="332"/>
      <c r="AD406" s="332"/>
      <c r="AE406" s="332"/>
      <c r="AF406" s="332"/>
      <c r="AG406" s="332"/>
      <c r="AH406" s="332"/>
      <c r="AI406" s="332"/>
      <c r="AJ406" s="332"/>
      <c r="AK406" s="332"/>
      <c r="AL406" s="332"/>
      <c r="AM406" s="332"/>
      <c r="AN406" s="332"/>
      <c r="AP406" s="332"/>
      <c r="AT406" s="332"/>
    </row>
    <row r="407" spans="1:46" ht="9.75" customHeight="1">
      <c r="A407" s="332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  <c r="Z407" s="332"/>
      <c r="AA407" s="332"/>
      <c r="AB407" s="332"/>
      <c r="AC407" s="332"/>
      <c r="AD407" s="332"/>
      <c r="AE407" s="332"/>
      <c r="AF407" s="332"/>
      <c r="AG407" s="332"/>
      <c r="AH407" s="332"/>
      <c r="AI407" s="332"/>
      <c r="AJ407" s="332"/>
      <c r="AK407" s="332"/>
      <c r="AL407" s="332"/>
      <c r="AM407" s="332"/>
      <c r="AN407" s="332"/>
      <c r="AP407" s="332"/>
      <c r="AT407" s="332"/>
    </row>
    <row r="408" spans="1:46" ht="9.75" customHeight="1">
      <c r="A408" s="332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  <c r="Z408" s="332"/>
      <c r="AA408" s="332"/>
      <c r="AB408" s="332"/>
      <c r="AC408" s="332"/>
      <c r="AD408" s="332"/>
      <c r="AE408" s="332"/>
      <c r="AF408" s="332"/>
      <c r="AG408" s="332"/>
      <c r="AH408" s="332"/>
      <c r="AI408" s="332"/>
      <c r="AJ408" s="332"/>
      <c r="AK408" s="332"/>
      <c r="AL408" s="332"/>
      <c r="AM408" s="332"/>
      <c r="AN408" s="332"/>
      <c r="AP408" s="332"/>
      <c r="AT408" s="332"/>
    </row>
    <row r="409" spans="1:46" ht="9.75" customHeight="1">
      <c r="A409" s="332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  <c r="Z409" s="332"/>
      <c r="AA409" s="332"/>
      <c r="AB409" s="332"/>
      <c r="AC409" s="332"/>
      <c r="AD409" s="332"/>
      <c r="AE409" s="332"/>
      <c r="AF409" s="332"/>
      <c r="AG409" s="332"/>
      <c r="AH409" s="332"/>
      <c r="AI409" s="332"/>
      <c r="AJ409" s="332"/>
      <c r="AK409" s="332"/>
      <c r="AL409" s="332"/>
      <c r="AM409" s="332"/>
      <c r="AN409" s="332"/>
      <c r="AP409" s="332"/>
      <c r="AT409" s="332"/>
    </row>
    <row r="410" spans="1:46" ht="9.75" customHeight="1">
      <c r="A410" s="332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  <c r="Z410" s="332"/>
      <c r="AA410" s="332"/>
      <c r="AB410" s="332"/>
      <c r="AC410" s="332"/>
      <c r="AD410" s="332"/>
      <c r="AE410" s="332"/>
      <c r="AF410" s="332"/>
      <c r="AG410" s="332"/>
      <c r="AH410" s="332"/>
      <c r="AI410" s="332"/>
      <c r="AJ410" s="332"/>
      <c r="AK410" s="332"/>
      <c r="AL410" s="332"/>
      <c r="AM410" s="332"/>
      <c r="AN410" s="332"/>
      <c r="AP410" s="332"/>
      <c r="AT410" s="332"/>
    </row>
    <row r="411" spans="1:46" ht="9.75" customHeight="1">
      <c r="A411" s="332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  <c r="Z411" s="332"/>
      <c r="AA411" s="332"/>
      <c r="AB411" s="332"/>
      <c r="AC411" s="332"/>
      <c r="AD411" s="332"/>
      <c r="AE411" s="332"/>
      <c r="AF411" s="332"/>
      <c r="AG411" s="332"/>
      <c r="AH411" s="332"/>
      <c r="AI411" s="332"/>
      <c r="AJ411" s="332"/>
      <c r="AK411" s="332"/>
      <c r="AL411" s="332"/>
      <c r="AM411" s="332"/>
      <c r="AN411" s="332"/>
      <c r="AP411" s="332"/>
      <c r="AT411" s="332"/>
    </row>
    <row r="412" spans="1:46" ht="9.75" customHeight="1">
      <c r="A412" s="332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  <c r="Z412" s="332"/>
      <c r="AA412" s="332"/>
      <c r="AB412" s="332"/>
      <c r="AC412" s="332"/>
      <c r="AD412" s="332"/>
      <c r="AE412" s="332"/>
      <c r="AF412" s="332"/>
      <c r="AG412" s="332"/>
      <c r="AH412" s="332"/>
      <c r="AI412" s="332"/>
      <c r="AJ412" s="332"/>
      <c r="AK412" s="332"/>
      <c r="AL412" s="332"/>
      <c r="AM412" s="332"/>
      <c r="AN412" s="332"/>
      <c r="AP412" s="332"/>
      <c r="AT412" s="332"/>
    </row>
    <row r="413" spans="1:46" ht="9.75" customHeight="1">
      <c r="A413" s="332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  <c r="Z413" s="332"/>
      <c r="AA413" s="332"/>
      <c r="AB413" s="332"/>
      <c r="AC413" s="332"/>
      <c r="AD413" s="332"/>
      <c r="AE413" s="332"/>
      <c r="AF413" s="332"/>
      <c r="AG413" s="332"/>
      <c r="AH413" s="332"/>
      <c r="AI413" s="332"/>
      <c r="AJ413" s="332"/>
      <c r="AK413" s="332"/>
      <c r="AL413" s="332"/>
      <c r="AM413" s="332"/>
      <c r="AN413" s="332"/>
      <c r="AP413" s="332"/>
      <c r="AT413" s="332"/>
    </row>
    <row r="414" spans="1:46" ht="9.75" customHeight="1">
      <c r="A414" s="332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  <c r="Z414" s="332"/>
      <c r="AA414" s="332"/>
      <c r="AB414" s="332"/>
      <c r="AC414" s="332"/>
      <c r="AD414" s="332"/>
      <c r="AE414" s="332"/>
      <c r="AF414" s="332"/>
      <c r="AG414" s="332"/>
      <c r="AH414" s="332"/>
      <c r="AI414" s="332"/>
      <c r="AJ414" s="332"/>
      <c r="AK414" s="332"/>
      <c r="AL414" s="332"/>
      <c r="AM414" s="332"/>
      <c r="AN414" s="332"/>
      <c r="AP414" s="332"/>
      <c r="AT414" s="332"/>
    </row>
    <row r="415" spans="1:46" ht="9.75" customHeight="1">
      <c r="A415" s="332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  <c r="Z415" s="332"/>
      <c r="AA415" s="332"/>
      <c r="AB415" s="332"/>
      <c r="AC415" s="332"/>
      <c r="AD415" s="332"/>
      <c r="AE415" s="332"/>
      <c r="AF415" s="332"/>
      <c r="AG415" s="332"/>
      <c r="AH415" s="332"/>
      <c r="AI415" s="332"/>
      <c r="AJ415" s="332"/>
      <c r="AK415" s="332"/>
      <c r="AL415" s="332"/>
      <c r="AM415" s="332"/>
      <c r="AN415" s="332"/>
      <c r="AP415" s="332"/>
      <c r="AT415" s="332"/>
    </row>
    <row r="416" spans="1:46" ht="9.75" customHeight="1">
      <c r="A416" s="332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  <c r="Z416" s="332"/>
      <c r="AA416" s="332"/>
      <c r="AB416" s="332"/>
      <c r="AC416" s="332"/>
      <c r="AD416" s="332"/>
      <c r="AE416" s="332"/>
      <c r="AF416" s="332"/>
      <c r="AG416" s="332"/>
      <c r="AH416" s="332"/>
      <c r="AI416" s="332"/>
      <c r="AJ416" s="332"/>
      <c r="AK416" s="332"/>
      <c r="AL416" s="332"/>
      <c r="AM416" s="332"/>
      <c r="AN416" s="332"/>
      <c r="AP416" s="332"/>
      <c r="AT416" s="332"/>
    </row>
    <row r="417" spans="1:46" ht="9.75" customHeight="1">
      <c r="A417" s="332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  <c r="Z417" s="332"/>
      <c r="AA417" s="332"/>
      <c r="AB417" s="332"/>
      <c r="AC417" s="332"/>
      <c r="AD417" s="332"/>
      <c r="AE417" s="332"/>
      <c r="AF417" s="332"/>
      <c r="AG417" s="332"/>
      <c r="AH417" s="332"/>
      <c r="AI417" s="332"/>
      <c r="AJ417" s="332"/>
      <c r="AK417" s="332"/>
      <c r="AL417" s="332"/>
      <c r="AM417" s="332"/>
      <c r="AN417" s="332"/>
      <c r="AP417" s="332"/>
      <c r="AT417" s="332"/>
    </row>
    <row r="418" spans="1:46" ht="9.75" customHeight="1">
      <c r="A418" s="332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  <c r="Z418" s="332"/>
      <c r="AA418" s="332"/>
      <c r="AB418" s="332"/>
      <c r="AC418" s="332"/>
      <c r="AD418" s="332"/>
      <c r="AE418" s="332"/>
      <c r="AF418" s="332"/>
      <c r="AG418" s="332"/>
      <c r="AH418" s="332"/>
      <c r="AI418" s="332"/>
      <c r="AJ418" s="332"/>
      <c r="AK418" s="332"/>
      <c r="AL418" s="332"/>
      <c r="AM418" s="332"/>
      <c r="AN418" s="332"/>
      <c r="AP418" s="332"/>
      <c r="AT418" s="332"/>
    </row>
    <row r="419" spans="1:46" ht="9.75" customHeight="1">
      <c r="A419" s="332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  <c r="Z419" s="332"/>
      <c r="AA419" s="332"/>
      <c r="AB419" s="332"/>
      <c r="AC419" s="332"/>
      <c r="AD419" s="332"/>
      <c r="AE419" s="332"/>
      <c r="AF419" s="332"/>
      <c r="AG419" s="332"/>
      <c r="AH419" s="332"/>
      <c r="AI419" s="332"/>
      <c r="AJ419" s="332"/>
      <c r="AK419" s="332"/>
      <c r="AL419" s="332"/>
      <c r="AM419" s="332"/>
      <c r="AN419" s="332"/>
      <c r="AP419" s="332"/>
      <c r="AT419" s="332"/>
    </row>
    <row r="420" spans="1:46" ht="9.75" customHeight="1">
      <c r="A420" s="332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  <c r="Z420" s="332"/>
      <c r="AA420" s="332"/>
      <c r="AB420" s="332"/>
      <c r="AC420" s="332"/>
      <c r="AD420" s="332"/>
      <c r="AE420" s="332"/>
      <c r="AF420" s="332"/>
      <c r="AG420" s="332"/>
      <c r="AH420" s="332"/>
      <c r="AI420" s="332"/>
      <c r="AJ420" s="332"/>
      <c r="AK420" s="332"/>
      <c r="AL420" s="332"/>
      <c r="AM420" s="332"/>
      <c r="AN420" s="332"/>
      <c r="AP420" s="332"/>
      <c r="AT420" s="332"/>
    </row>
    <row r="421" spans="1:46" ht="9.75" customHeight="1">
      <c r="A421" s="332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  <c r="Z421" s="332"/>
      <c r="AA421" s="332"/>
      <c r="AB421" s="332"/>
      <c r="AC421" s="332"/>
      <c r="AD421" s="332"/>
      <c r="AE421" s="332"/>
      <c r="AF421" s="332"/>
      <c r="AG421" s="332"/>
      <c r="AH421" s="332"/>
      <c r="AI421" s="332"/>
      <c r="AJ421" s="332"/>
      <c r="AK421" s="332"/>
      <c r="AL421" s="332"/>
      <c r="AM421" s="332"/>
      <c r="AN421" s="332"/>
      <c r="AP421" s="332"/>
      <c r="AT421" s="332"/>
    </row>
    <row r="422" spans="1:46" ht="9.75" customHeight="1">
      <c r="A422" s="332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  <c r="Z422" s="332"/>
      <c r="AA422" s="332"/>
      <c r="AB422" s="332"/>
      <c r="AC422" s="332"/>
      <c r="AD422" s="332"/>
      <c r="AE422" s="332"/>
      <c r="AF422" s="332"/>
      <c r="AG422" s="332"/>
      <c r="AH422" s="332"/>
      <c r="AI422" s="332"/>
      <c r="AJ422" s="332"/>
      <c r="AK422" s="332"/>
      <c r="AL422" s="332"/>
      <c r="AM422" s="332"/>
      <c r="AN422" s="332"/>
      <c r="AP422" s="332"/>
      <c r="AT422" s="332"/>
    </row>
    <row r="423" spans="1:46" ht="9.75" customHeight="1">
      <c r="A423" s="332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  <c r="Z423" s="332"/>
      <c r="AA423" s="332"/>
      <c r="AB423" s="332"/>
      <c r="AC423" s="332"/>
      <c r="AD423" s="332"/>
      <c r="AE423" s="332"/>
      <c r="AF423" s="332"/>
      <c r="AG423" s="332"/>
      <c r="AH423" s="332"/>
      <c r="AI423" s="332"/>
      <c r="AJ423" s="332"/>
      <c r="AK423" s="332"/>
      <c r="AL423" s="332"/>
      <c r="AM423" s="332"/>
      <c r="AN423" s="332"/>
      <c r="AP423" s="332"/>
      <c r="AT423" s="332"/>
    </row>
    <row r="424" spans="1:46" ht="9.75" customHeight="1">
      <c r="A424" s="332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  <c r="Z424" s="332"/>
      <c r="AA424" s="332"/>
      <c r="AB424" s="332"/>
      <c r="AC424" s="332"/>
      <c r="AD424" s="332"/>
      <c r="AE424" s="332"/>
      <c r="AF424" s="332"/>
      <c r="AG424" s="332"/>
      <c r="AH424" s="332"/>
      <c r="AI424" s="332"/>
      <c r="AJ424" s="332"/>
      <c r="AK424" s="332"/>
      <c r="AL424" s="332"/>
      <c r="AM424" s="332"/>
      <c r="AN424" s="332"/>
      <c r="AP424" s="332"/>
      <c r="AT424" s="332"/>
    </row>
    <row r="425" spans="1:46" ht="9.75" customHeight="1">
      <c r="A425" s="332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  <c r="Z425" s="332"/>
      <c r="AA425" s="332"/>
      <c r="AB425" s="332"/>
      <c r="AC425" s="332"/>
      <c r="AD425" s="332"/>
      <c r="AE425" s="332"/>
      <c r="AF425" s="332"/>
      <c r="AG425" s="332"/>
      <c r="AH425" s="332"/>
      <c r="AI425" s="332"/>
      <c r="AJ425" s="332"/>
      <c r="AK425" s="332"/>
      <c r="AL425" s="332"/>
      <c r="AM425" s="332"/>
      <c r="AN425" s="332"/>
      <c r="AP425" s="332"/>
      <c r="AT425" s="332"/>
    </row>
    <row r="426" spans="1:46" ht="9.75" customHeight="1">
      <c r="A426" s="332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2"/>
      <c r="AF426" s="332"/>
      <c r="AG426" s="332"/>
      <c r="AH426" s="332"/>
      <c r="AI426" s="332"/>
      <c r="AJ426" s="332"/>
      <c r="AK426" s="332"/>
      <c r="AL426" s="332"/>
      <c r="AM426" s="332"/>
      <c r="AN426" s="332"/>
      <c r="AP426" s="332"/>
      <c r="AT426" s="332"/>
    </row>
    <row r="427" spans="1:46" ht="9.75" customHeight="1">
      <c r="A427" s="332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  <c r="AA427" s="332"/>
      <c r="AB427" s="332"/>
      <c r="AC427" s="332"/>
      <c r="AD427" s="332"/>
      <c r="AE427" s="332"/>
      <c r="AF427" s="332"/>
      <c r="AG427" s="332"/>
      <c r="AH427" s="332"/>
      <c r="AI427" s="332"/>
      <c r="AJ427" s="332"/>
      <c r="AK427" s="332"/>
      <c r="AL427" s="332"/>
      <c r="AM427" s="332"/>
      <c r="AN427" s="332"/>
      <c r="AP427" s="332"/>
      <c r="AT427" s="332"/>
    </row>
    <row r="428" spans="1:46" ht="9.75" customHeight="1">
      <c r="A428" s="332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2"/>
      <c r="AF428" s="332"/>
      <c r="AG428" s="332"/>
      <c r="AH428" s="332"/>
      <c r="AI428" s="332"/>
      <c r="AJ428" s="332"/>
      <c r="AK428" s="332"/>
      <c r="AL428" s="332"/>
      <c r="AM428" s="332"/>
      <c r="AN428" s="332"/>
      <c r="AP428" s="332"/>
      <c r="AT428" s="332"/>
    </row>
    <row r="429" spans="1:46" ht="9.75" customHeight="1">
      <c r="A429" s="332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  <c r="AA429" s="332"/>
      <c r="AB429" s="332"/>
      <c r="AC429" s="332"/>
      <c r="AD429" s="332"/>
      <c r="AE429" s="332"/>
      <c r="AF429" s="332"/>
      <c r="AG429" s="332"/>
      <c r="AH429" s="332"/>
      <c r="AI429" s="332"/>
      <c r="AJ429" s="332"/>
      <c r="AK429" s="332"/>
      <c r="AL429" s="332"/>
      <c r="AM429" s="332"/>
      <c r="AN429" s="332"/>
      <c r="AP429" s="332"/>
      <c r="AT429" s="332"/>
    </row>
    <row r="430" spans="1:46" ht="9.75" customHeight="1">
      <c r="A430" s="332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  <c r="AA430" s="332"/>
      <c r="AB430" s="332"/>
      <c r="AC430" s="332"/>
      <c r="AD430" s="332"/>
      <c r="AE430" s="332"/>
      <c r="AF430" s="332"/>
      <c r="AG430" s="332"/>
      <c r="AH430" s="332"/>
      <c r="AI430" s="332"/>
      <c r="AJ430" s="332"/>
      <c r="AK430" s="332"/>
      <c r="AL430" s="332"/>
      <c r="AM430" s="332"/>
      <c r="AN430" s="332"/>
      <c r="AP430" s="332"/>
      <c r="AT430" s="332"/>
    </row>
    <row r="431" spans="1:46" ht="9.75" customHeight="1">
      <c r="A431" s="332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  <c r="AA431" s="332"/>
      <c r="AB431" s="332"/>
      <c r="AC431" s="332"/>
      <c r="AD431" s="332"/>
      <c r="AE431" s="332"/>
      <c r="AF431" s="332"/>
      <c r="AG431" s="332"/>
      <c r="AH431" s="332"/>
      <c r="AI431" s="332"/>
      <c r="AJ431" s="332"/>
      <c r="AK431" s="332"/>
      <c r="AL431" s="332"/>
      <c r="AM431" s="332"/>
      <c r="AN431" s="332"/>
      <c r="AP431" s="332"/>
      <c r="AT431" s="332"/>
    </row>
    <row r="432" spans="1:46" ht="9.75" customHeight="1">
      <c r="A432" s="332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  <c r="AA432" s="332"/>
      <c r="AB432" s="332"/>
      <c r="AC432" s="332"/>
      <c r="AD432" s="332"/>
      <c r="AE432" s="332"/>
      <c r="AF432" s="332"/>
      <c r="AG432" s="332"/>
      <c r="AH432" s="332"/>
      <c r="AI432" s="332"/>
      <c r="AJ432" s="332"/>
      <c r="AK432" s="332"/>
      <c r="AL432" s="332"/>
      <c r="AM432" s="332"/>
      <c r="AN432" s="332"/>
      <c r="AP432" s="332"/>
      <c r="AT432" s="332"/>
    </row>
    <row r="433" spans="1:46" ht="9.75" customHeight="1">
      <c r="A433" s="332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  <c r="AA433" s="332"/>
      <c r="AB433" s="332"/>
      <c r="AC433" s="332"/>
      <c r="AD433" s="332"/>
      <c r="AE433" s="332"/>
      <c r="AF433" s="332"/>
      <c r="AG433" s="332"/>
      <c r="AH433" s="332"/>
      <c r="AI433" s="332"/>
      <c r="AJ433" s="332"/>
      <c r="AK433" s="332"/>
      <c r="AL433" s="332"/>
      <c r="AM433" s="332"/>
      <c r="AN433" s="332"/>
      <c r="AP433" s="332"/>
      <c r="AT433" s="332"/>
    </row>
    <row r="434" spans="1:46" ht="9.75" customHeight="1">
      <c r="A434" s="332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  <c r="AA434" s="332"/>
      <c r="AB434" s="332"/>
      <c r="AC434" s="332"/>
      <c r="AD434" s="332"/>
      <c r="AE434" s="332"/>
      <c r="AF434" s="332"/>
      <c r="AG434" s="332"/>
      <c r="AH434" s="332"/>
      <c r="AI434" s="332"/>
      <c r="AJ434" s="332"/>
      <c r="AK434" s="332"/>
      <c r="AL434" s="332"/>
      <c r="AM434" s="332"/>
      <c r="AN434" s="332"/>
      <c r="AP434" s="332"/>
      <c r="AT434" s="332"/>
    </row>
    <row r="435" spans="1:46" ht="9.75" customHeight="1">
      <c r="A435" s="332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  <c r="AA435" s="332"/>
      <c r="AB435" s="332"/>
      <c r="AC435" s="332"/>
      <c r="AD435" s="332"/>
      <c r="AE435" s="332"/>
      <c r="AF435" s="332"/>
      <c r="AG435" s="332"/>
      <c r="AH435" s="332"/>
      <c r="AI435" s="332"/>
      <c r="AJ435" s="332"/>
      <c r="AK435" s="332"/>
      <c r="AL435" s="332"/>
      <c r="AM435" s="332"/>
      <c r="AN435" s="332"/>
      <c r="AP435" s="332"/>
      <c r="AT435" s="332"/>
    </row>
    <row r="436" spans="1:46" ht="9.75" customHeight="1">
      <c r="A436" s="332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  <c r="AA436" s="332"/>
      <c r="AB436" s="332"/>
      <c r="AC436" s="332"/>
      <c r="AD436" s="332"/>
      <c r="AE436" s="332"/>
      <c r="AF436" s="332"/>
      <c r="AG436" s="332"/>
      <c r="AH436" s="332"/>
      <c r="AI436" s="332"/>
      <c r="AJ436" s="332"/>
      <c r="AK436" s="332"/>
      <c r="AL436" s="332"/>
      <c r="AM436" s="332"/>
      <c r="AN436" s="332"/>
      <c r="AP436" s="332"/>
      <c r="AT436" s="332"/>
    </row>
    <row r="437" spans="1:46" ht="9.75" customHeight="1">
      <c r="A437" s="332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  <c r="AA437" s="332"/>
      <c r="AB437" s="332"/>
      <c r="AC437" s="332"/>
      <c r="AD437" s="332"/>
      <c r="AE437" s="332"/>
      <c r="AF437" s="332"/>
      <c r="AG437" s="332"/>
      <c r="AH437" s="332"/>
      <c r="AI437" s="332"/>
      <c r="AJ437" s="332"/>
      <c r="AK437" s="332"/>
      <c r="AL437" s="332"/>
      <c r="AM437" s="332"/>
      <c r="AN437" s="332"/>
      <c r="AP437" s="332"/>
      <c r="AT437" s="332"/>
    </row>
    <row r="438" spans="1:46" ht="9.75" customHeight="1">
      <c r="A438" s="332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  <c r="AA438" s="332"/>
      <c r="AB438" s="332"/>
      <c r="AC438" s="332"/>
      <c r="AD438" s="332"/>
      <c r="AE438" s="332"/>
      <c r="AF438" s="332"/>
      <c r="AG438" s="332"/>
      <c r="AH438" s="332"/>
      <c r="AI438" s="332"/>
      <c r="AJ438" s="332"/>
      <c r="AK438" s="332"/>
      <c r="AL438" s="332"/>
      <c r="AM438" s="332"/>
      <c r="AN438" s="332"/>
      <c r="AP438" s="332"/>
      <c r="AT438" s="332"/>
    </row>
    <row r="439" spans="1:46" ht="9.75" customHeight="1">
      <c r="A439" s="332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  <c r="AA439" s="332"/>
      <c r="AB439" s="332"/>
      <c r="AC439" s="332"/>
      <c r="AD439" s="332"/>
      <c r="AE439" s="332"/>
      <c r="AF439" s="332"/>
      <c r="AG439" s="332"/>
      <c r="AH439" s="332"/>
      <c r="AI439" s="332"/>
      <c r="AJ439" s="332"/>
      <c r="AK439" s="332"/>
      <c r="AL439" s="332"/>
      <c r="AM439" s="332"/>
      <c r="AN439" s="332"/>
      <c r="AP439" s="332"/>
      <c r="AT439" s="332"/>
    </row>
    <row r="440" spans="1:46" ht="9.75" customHeight="1">
      <c r="A440" s="332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  <c r="AA440" s="332"/>
      <c r="AB440" s="332"/>
      <c r="AC440" s="332"/>
      <c r="AD440" s="332"/>
      <c r="AE440" s="332"/>
      <c r="AF440" s="332"/>
      <c r="AG440" s="332"/>
      <c r="AH440" s="332"/>
      <c r="AI440" s="332"/>
      <c r="AJ440" s="332"/>
      <c r="AK440" s="332"/>
      <c r="AL440" s="332"/>
      <c r="AM440" s="332"/>
      <c r="AN440" s="332"/>
      <c r="AP440" s="332"/>
      <c r="AT440" s="332"/>
    </row>
    <row r="441" spans="1:46" ht="9.75" customHeight="1">
      <c r="A441" s="332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  <c r="AA441" s="332"/>
      <c r="AB441" s="332"/>
      <c r="AC441" s="332"/>
      <c r="AD441" s="332"/>
      <c r="AE441" s="332"/>
      <c r="AF441" s="332"/>
      <c r="AG441" s="332"/>
      <c r="AH441" s="332"/>
      <c r="AI441" s="332"/>
      <c r="AJ441" s="332"/>
      <c r="AK441" s="332"/>
      <c r="AL441" s="332"/>
      <c r="AM441" s="332"/>
      <c r="AN441" s="332"/>
      <c r="AP441" s="332"/>
      <c r="AT441" s="332"/>
    </row>
    <row r="442" spans="1:46" ht="9.75" customHeight="1">
      <c r="A442" s="332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  <c r="AA442" s="332"/>
      <c r="AB442" s="332"/>
      <c r="AC442" s="332"/>
      <c r="AD442" s="332"/>
      <c r="AE442" s="332"/>
      <c r="AF442" s="332"/>
      <c r="AG442" s="332"/>
      <c r="AH442" s="332"/>
      <c r="AI442" s="332"/>
      <c r="AJ442" s="332"/>
      <c r="AK442" s="332"/>
      <c r="AL442" s="332"/>
      <c r="AM442" s="332"/>
      <c r="AN442" s="332"/>
      <c r="AP442" s="332"/>
      <c r="AT442" s="332"/>
    </row>
    <row r="443" spans="1:46" ht="9.75" customHeight="1">
      <c r="A443" s="332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  <c r="AA443" s="332"/>
      <c r="AB443" s="332"/>
      <c r="AC443" s="332"/>
      <c r="AD443" s="332"/>
      <c r="AE443" s="332"/>
      <c r="AF443" s="332"/>
      <c r="AG443" s="332"/>
      <c r="AH443" s="332"/>
      <c r="AI443" s="332"/>
      <c r="AJ443" s="332"/>
      <c r="AK443" s="332"/>
      <c r="AL443" s="332"/>
      <c r="AM443" s="332"/>
      <c r="AN443" s="332"/>
      <c r="AP443" s="332"/>
      <c r="AT443" s="332"/>
    </row>
    <row r="444" spans="1:46" ht="9.75" customHeight="1">
      <c r="A444" s="332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  <c r="Z444" s="332"/>
      <c r="AA444" s="332"/>
      <c r="AB444" s="332"/>
      <c r="AC444" s="332"/>
      <c r="AD444" s="332"/>
      <c r="AE444" s="332"/>
      <c r="AF444" s="332"/>
      <c r="AG444" s="332"/>
      <c r="AH444" s="332"/>
      <c r="AI444" s="332"/>
      <c r="AJ444" s="332"/>
      <c r="AK444" s="332"/>
      <c r="AL444" s="332"/>
      <c r="AM444" s="332"/>
      <c r="AN444" s="332"/>
      <c r="AP444" s="332"/>
      <c r="AT444" s="332"/>
    </row>
    <row r="445" spans="1:46" ht="9.75" customHeight="1">
      <c r="A445" s="332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  <c r="AA445" s="332"/>
      <c r="AB445" s="332"/>
      <c r="AC445" s="332"/>
      <c r="AD445" s="332"/>
      <c r="AE445" s="332"/>
      <c r="AF445" s="332"/>
      <c r="AG445" s="332"/>
      <c r="AH445" s="332"/>
      <c r="AI445" s="332"/>
      <c r="AJ445" s="332"/>
      <c r="AK445" s="332"/>
      <c r="AL445" s="332"/>
      <c r="AM445" s="332"/>
      <c r="AN445" s="332"/>
      <c r="AP445" s="332"/>
      <c r="AT445" s="332"/>
    </row>
    <row r="446" spans="1:46" ht="9.75" customHeight="1">
      <c r="A446" s="332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  <c r="AA446" s="332"/>
      <c r="AB446" s="332"/>
      <c r="AC446" s="332"/>
      <c r="AD446" s="332"/>
      <c r="AE446" s="332"/>
      <c r="AF446" s="332"/>
      <c r="AG446" s="332"/>
      <c r="AH446" s="332"/>
      <c r="AI446" s="332"/>
      <c r="AJ446" s="332"/>
      <c r="AK446" s="332"/>
      <c r="AL446" s="332"/>
      <c r="AM446" s="332"/>
      <c r="AN446" s="332"/>
      <c r="AP446" s="332"/>
      <c r="AT446" s="332"/>
    </row>
    <row r="447" spans="1:46" ht="9.75" customHeight="1">
      <c r="A447" s="332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  <c r="AA447" s="332"/>
      <c r="AB447" s="332"/>
      <c r="AC447" s="332"/>
      <c r="AD447" s="332"/>
      <c r="AE447" s="332"/>
      <c r="AF447" s="332"/>
      <c r="AG447" s="332"/>
      <c r="AH447" s="332"/>
      <c r="AI447" s="332"/>
      <c r="AJ447" s="332"/>
      <c r="AK447" s="332"/>
      <c r="AL447" s="332"/>
      <c r="AM447" s="332"/>
      <c r="AN447" s="332"/>
      <c r="AP447" s="332"/>
      <c r="AT447" s="332"/>
    </row>
    <row r="448" spans="1:46" ht="9.75" customHeight="1">
      <c r="A448" s="332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  <c r="AA448" s="332"/>
      <c r="AB448" s="332"/>
      <c r="AC448" s="332"/>
      <c r="AD448" s="332"/>
      <c r="AE448" s="332"/>
      <c r="AF448" s="332"/>
      <c r="AG448" s="332"/>
      <c r="AH448" s="332"/>
      <c r="AI448" s="332"/>
      <c r="AJ448" s="332"/>
      <c r="AK448" s="332"/>
      <c r="AL448" s="332"/>
      <c r="AM448" s="332"/>
      <c r="AN448" s="332"/>
      <c r="AP448" s="332"/>
      <c r="AT448" s="332"/>
    </row>
    <row r="449" spans="1:46" ht="9.75" customHeight="1">
      <c r="A449" s="332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  <c r="AA449" s="332"/>
      <c r="AB449" s="332"/>
      <c r="AC449" s="332"/>
      <c r="AD449" s="332"/>
      <c r="AE449" s="332"/>
      <c r="AF449" s="332"/>
      <c r="AG449" s="332"/>
      <c r="AH449" s="332"/>
      <c r="AI449" s="332"/>
      <c r="AJ449" s="332"/>
      <c r="AK449" s="332"/>
      <c r="AL449" s="332"/>
      <c r="AM449" s="332"/>
      <c r="AN449" s="332"/>
      <c r="AP449" s="332"/>
      <c r="AT449" s="332"/>
    </row>
    <row r="450" spans="1:46" ht="9.75" customHeight="1">
      <c r="A450" s="332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  <c r="AA450" s="332"/>
      <c r="AB450" s="332"/>
      <c r="AC450" s="332"/>
      <c r="AD450" s="332"/>
      <c r="AE450" s="332"/>
      <c r="AF450" s="332"/>
      <c r="AG450" s="332"/>
      <c r="AH450" s="332"/>
      <c r="AI450" s="332"/>
      <c r="AJ450" s="332"/>
      <c r="AK450" s="332"/>
      <c r="AL450" s="332"/>
      <c r="AM450" s="332"/>
      <c r="AN450" s="332"/>
      <c r="AP450" s="332"/>
      <c r="AT450" s="332"/>
    </row>
    <row r="451" spans="1:46" ht="9.75" customHeight="1">
      <c r="A451" s="332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  <c r="AA451" s="332"/>
      <c r="AB451" s="332"/>
      <c r="AC451" s="332"/>
      <c r="AD451" s="332"/>
      <c r="AE451" s="332"/>
      <c r="AF451" s="332"/>
      <c r="AG451" s="332"/>
      <c r="AH451" s="332"/>
      <c r="AI451" s="332"/>
      <c r="AJ451" s="332"/>
      <c r="AK451" s="332"/>
      <c r="AL451" s="332"/>
      <c r="AM451" s="332"/>
      <c r="AN451" s="332"/>
      <c r="AP451" s="332"/>
      <c r="AT451" s="332"/>
    </row>
    <row r="452" spans="1:46" ht="9.75" customHeight="1">
      <c r="A452" s="332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  <c r="AA452" s="332"/>
      <c r="AB452" s="332"/>
      <c r="AC452" s="332"/>
      <c r="AD452" s="332"/>
      <c r="AE452" s="332"/>
      <c r="AF452" s="332"/>
      <c r="AG452" s="332"/>
      <c r="AH452" s="332"/>
      <c r="AI452" s="332"/>
      <c r="AJ452" s="332"/>
      <c r="AK452" s="332"/>
      <c r="AL452" s="332"/>
      <c r="AM452" s="332"/>
      <c r="AN452" s="332"/>
      <c r="AP452" s="332"/>
      <c r="AT452" s="332"/>
    </row>
    <row r="453" spans="1:46" ht="9.75" customHeight="1">
      <c r="A453" s="332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  <c r="AA453" s="332"/>
      <c r="AB453" s="332"/>
      <c r="AC453" s="332"/>
      <c r="AD453" s="332"/>
      <c r="AE453" s="332"/>
      <c r="AF453" s="332"/>
      <c r="AG453" s="332"/>
      <c r="AH453" s="332"/>
      <c r="AI453" s="332"/>
      <c r="AJ453" s="332"/>
      <c r="AK453" s="332"/>
      <c r="AL453" s="332"/>
      <c r="AM453" s="332"/>
      <c r="AN453" s="332"/>
      <c r="AP453" s="332"/>
      <c r="AT453" s="332"/>
    </row>
    <row r="454" spans="1:46" ht="9.75" customHeight="1">
      <c r="A454" s="332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  <c r="AA454" s="332"/>
      <c r="AB454" s="332"/>
      <c r="AC454" s="332"/>
      <c r="AD454" s="332"/>
      <c r="AE454" s="332"/>
      <c r="AF454" s="332"/>
      <c r="AG454" s="332"/>
      <c r="AH454" s="332"/>
      <c r="AI454" s="332"/>
      <c r="AJ454" s="332"/>
      <c r="AK454" s="332"/>
      <c r="AL454" s="332"/>
      <c r="AM454" s="332"/>
      <c r="AN454" s="332"/>
      <c r="AP454" s="332"/>
      <c r="AT454" s="332"/>
    </row>
    <row r="455" spans="1:46" ht="9.75" customHeight="1">
      <c r="A455" s="332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  <c r="AA455" s="332"/>
      <c r="AB455" s="332"/>
      <c r="AC455" s="332"/>
      <c r="AD455" s="332"/>
      <c r="AE455" s="332"/>
      <c r="AF455" s="332"/>
      <c r="AG455" s="332"/>
      <c r="AH455" s="332"/>
      <c r="AI455" s="332"/>
      <c r="AJ455" s="332"/>
      <c r="AK455" s="332"/>
      <c r="AL455" s="332"/>
      <c r="AM455" s="332"/>
      <c r="AN455" s="332"/>
      <c r="AP455" s="332"/>
      <c r="AT455" s="332"/>
    </row>
    <row r="456" spans="1:46" ht="9.75" customHeight="1">
      <c r="A456" s="332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  <c r="AA456" s="332"/>
      <c r="AB456" s="332"/>
      <c r="AC456" s="332"/>
      <c r="AD456" s="332"/>
      <c r="AE456" s="332"/>
      <c r="AF456" s="332"/>
      <c r="AG456" s="332"/>
      <c r="AH456" s="332"/>
      <c r="AI456" s="332"/>
      <c r="AJ456" s="332"/>
      <c r="AK456" s="332"/>
      <c r="AL456" s="332"/>
      <c r="AM456" s="332"/>
      <c r="AN456" s="332"/>
      <c r="AP456" s="332"/>
      <c r="AT456" s="332"/>
    </row>
    <row r="457" spans="1:46" ht="9.75" customHeight="1">
      <c r="A457" s="332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  <c r="AA457" s="332"/>
      <c r="AB457" s="332"/>
      <c r="AC457" s="332"/>
      <c r="AD457" s="332"/>
      <c r="AE457" s="332"/>
      <c r="AF457" s="332"/>
      <c r="AG457" s="332"/>
      <c r="AH457" s="332"/>
      <c r="AI457" s="332"/>
      <c r="AJ457" s="332"/>
      <c r="AK457" s="332"/>
      <c r="AL457" s="332"/>
      <c r="AM457" s="332"/>
      <c r="AN457" s="332"/>
      <c r="AP457" s="332"/>
      <c r="AT457" s="332"/>
    </row>
    <row r="458" spans="1:46" ht="9.75" customHeight="1">
      <c r="A458" s="332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  <c r="AA458" s="332"/>
      <c r="AB458" s="332"/>
      <c r="AC458" s="332"/>
      <c r="AD458" s="332"/>
      <c r="AE458" s="332"/>
      <c r="AF458" s="332"/>
      <c r="AG458" s="332"/>
      <c r="AH458" s="332"/>
      <c r="AI458" s="332"/>
      <c r="AJ458" s="332"/>
      <c r="AK458" s="332"/>
      <c r="AL458" s="332"/>
      <c r="AM458" s="332"/>
      <c r="AN458" s="332"/>
      <c r="AP458" s="332"/>
      <c r="AT458" s="332"/>
    </row>
    <row r="459" spans="1:46" ht="9.75" customHeight="1">
      <c r="A459" s="332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  <c r="AA459" s="332"/>
      <c r="AB459" s="332"/>
      <c r="AC459" s="332"/>
      <c r="AD459" s="332"/>
      <c r="AE459" s="332"/>
      <c r="AF459" s="332"/>
      <c r="AG459" s="332"/>
      <c r="AH459" s="332"/>
      <c r="AI459" s="332"/>
      <c r="AJ459" s="332"/>
      <c r="AK459" s="332"/>
      <c r="AL459" s="332"/>
      <c r="AM459" s="332"/>
      <c r="AN459" s="332"/>
      <c r="AP459" s="332"/>
      <c r="AT459" s="332"/>
    </row>
    <row r="460" spans="1:46" ht="9.75" customHeight="1">
      <c r="A460" s="332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  <c r="AA460" s="332"/>
      <c r="AB460" s="332"/>
      <c r="AC460" s="332"/>
      <c r="AD460" s="332"/>
      <c r="AE460" s="332"/>
      <c r="AF460" s="332"/>
      <c r="AG460" s="332"/>
      <c r="AH460" s="332"/>
      <c r="AI460" s="332"/>
      <c r="AJ460" s="332"/>
      <c r="AK460" s="332"/>
      <c r="AL460" s="332"/>
      <c r="AM460" s="332"/>
      <c r="AN460" s="332"/>
      <c r="AP460" s="332"/>
      <c r="AT460" s="332"/>
    </row>
    <row r="461" spans="1:46" ht="9.75" customHeight="1">
      <c r="A461" s="332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  <c r="AA461" s="332"/>
      <c r="AB461" s="332"/>
      <c r="AC461" s="332"/>
      <c r="AD461" s="332"/>
      <c r="AE461" s="332"/>
      <c r="AF461" s="332"/>
      <c r="AG461" s="332"/>
      <c r="AH461" s="332"/>
      <c r="AI461" s="332"/>
      <c r="AJ461" s="332"/>
      <c r="AK461" s="332"/>
      <c r="AL461" s="332"/>
      <c r="AM461" s="332"/>
      <c r="AN461" s="332"/>
      <c r="AP461" s="332"/>
      <c r="AT461" s="332"/>
    </row>
    <row r="462" spans="1:46" ht="9.75" customHeight="1">
      <c r="A462" s="332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  <c r="AA462" s="332"/>
      <c r="AB462" s="332"/>
      <c r="AC462" s="332"/>
      <c r="AD462" s="332"/>
      <c r="AE462" s="332"/>
      <c r="AF462" s="332"/>
      <c r="AG462" s="332"/>
      <c r="AH462" s="332"/>
      <c r="AI462" s="332"/>
      <c r="AJ462" s="332"/>
      <c r="AK462" s="332"/>
      <c r="AL462" s="332"/>
      <c r="AM462" s="332"/>
      <c r="AN462" s="332"/>
      <c r="AP462" s="332"/>
      <c r="AT462" s="332"/>
    </row>
    <row r="463" spans="1:46" ht="9.75" customHeight="1">
      <c r="A463" s="332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  <c r="Z463" s="332"/>
      <c r="AA463" s="332"/>
      <c r="AB463" s="332"/>
      <c r="AC463" s="332"/>
      <c r="AD463" s="332"/>
      <c r="AE463" s="332"/>
      <c r="AF463" s="332"/>
      <c r="AG463" s="332"/>
      <c r="AH463" s="332"/>
      <c r="AI463" s="332"/>
      <c r="AJ463" s="332"/>
      <c r="AK463" s="332"/>
      <c r="AL463" s="332"/>
      <c r="AM463" s="332"/>
      <c r="AN463" s="332"/>
      <c r="AP463" s="332"/>
      <c r="AT463" s="332"/>
    </row>
    <row r="464" spans="1:46" ht="9.75" customHeight="1">
      <c r="A464" s="332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  <c r="AA464" s="332"/>
      <c r="AB464" s="332"/>
      <c r="AC464" s="332"/>
      <c r="AD464" s="332"/>
      <c r="AE464" s="332"/>
      <c r="AF464" s="332"/>
      <c r="AG464" s="332"/>
      <c r="AH464" s="332"/>
      <c r="AI464" s="332"/>
      <c r="AJ464" s="332"/>
      <c r="AK464" s="332"/>
      <c r="AL464" s="332"/>
      <c r="AM464" s="332"/>
      <c r="AN464" s="332"/>
      <c r="AP464" s="332"/>
      <c r="AT464" s="332"/>
    </row>
    <row r="465" spans="1:46" ht="9.75" customHeight="1">
      <c r="A465" s="332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  <c r="AA465" s="332"/>
      <c r="AB465" s="332"/>
      <c r="AC465" s="332"/>
      <c r="AD465" s="332"/>
      <c r="AE465" s="332"/>
      <c r="AF465" s="332"/>
      <c r="AG465" s="332"/>
      <c r="AH465" s="332"/>
      <c r="AI465" s="332"/>
      <c r="AJ465" s="332"/>
      <c r="AK465" s="332"/>
      <c r="AL465" s="332"/>
      <c r="AM465" s="332"/>
      <c r="AN465" s="332"/>
      <c r="AP465" s="332"/>
      <c r="AT465" s="332"/>
    </row>
    <row r="466" spans="1:46" ht="9.75" customHeight="1">
      <c r="A466" s="332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  <c r="AA466" s="332"/>
      <c r="AB466" s="332"/>
      <c r="AC466" s="332"/>
      <c r="AD466" s="332"/>
      <c r="AE466" s="332"/>
      <c r="AF466" s="332"/>
      <c r="AG466" s="332"/>
      <c r="AH466" s="332"/>
      <c r="AI466" s="332"/>
      <c r="AJ466" s="332"/>
      <c r="AK466" s="332"/>
      <c r="AL466" s="332"/>
      <c r="AM466" s="332"/>
      <c r="AN466" s="332"/>
      <c r="AP466" s="332"/>
      <c r="AT466" s="332"/>
    </row>
    <row r="467" spans="1:46" ht="9.75" customHeight="1">
      <c r="A467" s="332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  <c r="Z467" s="332"/>
      <c r="AA467" s="332"/>
      <c r="AB467" s="332"/>
      <c r="AC467" s="332"/>
      <c r="AD467" s="332"/>
      <c r="AE467" s="332"/>
      <c r="AF467" s="332"/>
      <c r="AG467" s="332"/>
      <c r="AH467" s="332"/>
      <c r="AI467" s="332"/>
      <c r="AJ467" s="332"/>
      <c r="AK467" s="332"/>
      <c r="AL467" s="332"/>
      <c r="AM467" s="332"/>
      <c r="AN467" s="332"/>
      <c r="AP467" s="332"/>
      <c r="AT467" s="332"/>
    </row>
    <row r="468" spans="1:46" ht="9.75" customHeight="1">
      <c r="A468" s="332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  <c r="AA468" s="332"/>
      <c r="AB468" s="332"/>
      <c r="AC468" s="332"/>
      <c r="AD468" s="332"/>
      <c r="AE468" s="332"/>
      <c r="AF468" s="332"/>
      <c r="AG468" s="332"/>
      <c r="AH468" s="332"/>
      <c r="AI468" s="332"/>
      <c r="AJ468" s="332"/>
      <c r="AK468" s="332"/>
      <c r="AL468" s="332"/>
      <c r="AM468" s="332"/>
      <c r="AN468" s="332"/>
      <c r="AP468" s="332"/>
      <c r="AT468" s="332"/>
    </row>
    <row r="469" spans="1:46" ht="9.75" customHeight="1">
      <c r="A469" s="332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  <c r="AA469" s="332"/>
      <c r="AB469" s="332"/>
      <c r="AC469" s="332"/>
      <c r="AD469" s="332"/>
      <c r="AE469" s="332"/>
      <c r="AF469" s="332"/>
      <c r="AG469" s="332"/>
      <c r="AH469" s="332"/>
      <c r="AI469" s="332"/>
      <c r="AJ469" s="332"/>
      <c r="AK469" s="332"/>
      <c r="AL469" s="332"/>
      <c r="AM469" s="332"/>
      <c r="AN469" s="332"/>
      <c r="AP469" s="332"/>
      <c r="AT469" s="332"/>
    </row>
    <row r="470" spans="1:46" ht="9.75" customHeight="1">
      <c r="A470" s="332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  <c r="AA470" s="332"/>
      <c r="AB470" s="332"/>
      <c r="AC470" s="332"/>
      <c r="AD470" s="332"/>
      <c r="AE470" s="332"/>
      <c r="AF470" s="332"/>
      <c r="AG470" s="332"/>
      <c r="AH470" s="332"/>
      <c r="AI470" s="332"/>
      <c r="AJ470" s="332"/>
      <c r="AK470" s="332"/>
      <c r="AL470" s="332"/>
      <c r="AM470" s="332"/>
      <c r="AN470" s="332"/>
      <c r="AP470" s="332"/>
      <c r="AT470" s="332"/>
    </row>
    <row r="471" spans="1:46" ht="9.75" customHeight="1">
      <c r="A471" s="332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  <c r="AA471" s="332"/>
      <c r="AB471" s="332"/>
      <c r="AC471" s="332"/>
      <c r="AD471" s="332"/>
      <c r="AE471" s="332"/>
      <c r="AF471" s="332"/>
      <c r="AG471" s="332"/>
      <c r="AH471" s="332"/>
      <c r="AI471" s="332"/>
      <c r="AJ471" s="332"/>
      <c r="AK471" s="332"/>
      <c r="AL471" s="332"/>
      <c r="AM471" s="332"/>
      <c r="AN471" s="332"/>
      <c r="AP471" s="332"/>
      <c r="AT471" s="332"/>
    </row>
    <row r="472" spans="1:46" ht="9.75" customHeight="1">
      <c r="A472" s="332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  <c r="AA472" s="332"/>
      <c r="AB472" s="332"/>
      <c r="AC472" s="332"/>
      <c r="AD472" s="332"/>
      <c r="AE472" s="332"/>
      <c r="AF472" s="332"/>
      <c r="AG472" s="332"/>
      <c r="AH472" s="332"/>
      <c r="AI472" s="332"/>
      <c r="AJ472" s="332"/>
      <c r="AK472" s="332"/>
      <c r="AL472" s="332"/>
      <c r="AM472" s="332"/>
      <c r="AN472" s="332"/>
      <c r="AP472" s="332"/>
      <c r="AT472" s="332"/>
    </row>
    <row r="473" spans="1:46" ht="9.75" customHeight="1">
      <c r="A473" s="332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  <c r="AA473" s="332"/>
      <c r="AB473" s="332"/>
      <c r="AC473" s="332"/>
      <c r="AD473" s="332"/>
      <c r="AE473" s="332"/>
      <c r="AF473" s="332"/>
      <c r="AG473" s="332"/>
      <c r="AH473" s="332"/>
      <c r="AI473" s="332"/>
      <c r="AJ473" s="332"/>
      <c r="AK473" s="332"/>
      <c r="AL473" s="332"/>
      <c r="AM473" s="332"/>
      <c r="AN473" s="332"/>
      <c r="AP473" s="332"/>
      <c r="AT473" s="332"/>
    </row>
    <row r="474" spans="1:46" ht="9.75" customHeight="1">
      <c r="A474" s="332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  <c r="AA474" s="332"/>
      <c r="AB474" s="332"/>
      <c r="AC474" s="332"/>
      <c r="AD474" s="332"/>
      <c r="AE474" s="332"/>
      <c r="AF474" s="332"/>
      <c r="AG474" s="332"/>
      <c r="AH474" s="332"/>
      <c r="AI474" s="332"/>
      <c r="AJ474" s="332"/>
      <c r="AK474" s="332"/>
      <c r="AL474" s="332"/>
      <c r="AM474" s="332"/>
      <c r="AN474" s="332"/>
      <c r="AP474" s="332"/>
      <c r="AT474" s="332"/>
    </row>
    <row r="475" spans="1:46" ht="9.75" customHeight="1">
      <c r="A475" s="332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  <c r="AA475" s="332"/>
      <c r="AB475" s="332"/>
      <c r="AC475" s="332"/>
      <c r="AD475" s="332"/>
      <c r="AE475" s="332"/>
      <c r="AF475" s="332"/>
      <c r="AG475" s="332"/>
      <c r="AH475" s="332"/>
      <c r="AI475" s="332"/>
      <c r="AJ475" s="332"/>
      <c r="AK475" s="332"/>
      <c r="AL475" s="332"/>
      <c r="AM475" s="332"/>
      <c r="AN475" s="332"/>
      <c r="AP475" s="332"/>
      <c r="AT475" s="332"/>
    </row>
    <row r="476" spans="1:46" ht="9.75" customHeight="1">
      <c r="A476" s="332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  <c r="AA476" s="332"/>
      <c r="AB476" s="332"/>
      <c r="AC476" s="332"/>
      <c r="AD476" s="332"/>
      <c r="AE476" s="332"/>
      <c r="AF476" s="332"/>
      <c r="AG476" s="332"/>
      <c r="AH476" s="332"/>
      <c r="AI476" s="332"/>
      <c r="AJ476" s="332"/>
      <c r="AK476" s="332"/>
      <c r="AL476" s="332"/>
      <c r="AM476" s="332"/>
      <c r="AN476" s="332"/>
      <c r="AP476" s="332"/>
      <c r="AT476" s="332"/>
    </row>
    <row r="477" spans="1:46" ht="9.75" customHeight="1">
      <c r="A477" s="332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  <c r="AA477" s="332"/>
      <c r="AB477" s="332"/>
      <c r="AC477" s="332"/>
      <c r="AD477" s="332"/>
      <c r="AE477" s="332"/>
      <c r="AF477" s="332"/>
      <c r="AG477" s="332"/>
      <c r="AH477" s="332"/>
      <c r="AI477" s="332"/>
      <c r="AJ477" s="332"/>
      <c r="AK477" s="332"/>
      <c r="AL477" s="332"/>
      <c r="AM477" s="332"/>
      <c r="AN477" s="332"/>
      <c r="AP477" s="332"/>
      <c r="AT477" s="332"/>
    </row>
    <row r="478" spans="1:46" ht="9.75" customHeight="1">
      <c r="A478" s="332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  <c r="AA478" s="332"/>
      <c r="AB478" s="332"/>
      <c r="AC478" s="332"/>
      <c r="AD478" s="332"/>
      <c r="AE478" s="332"/>
      <c r="AF478" s="332"/>
      <c r="AG478" s="332"/>
      <c r="AH478" s="332"/>
      <c r="AI478" s="332"/>
      <c r="AJ478" s="332"/>
      <c r="AK478" s="332"/>
      <c r="AL478" s="332"/>
      <c r="AM478" s="332"/>
      <c r="AN478" s="332"/>
      <c r="AP478" s="332"/>
      <c r="AT478" s="332"/>
    </row>
    <row r="479" spans="1:46" ht="9.75" customHeight="1">
      <c r="A479" s="332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  <c r="AA479" s="332"/>
      <c r="AB479" s="332"/>
      <c r="AC479" s="332"/>
      <c r="AD479" s="332"/>
      <c r="AE479" s="332"/>
      <c r="AF479" s="332"/>
      <c r="AG479" s="332"/>
      <c r="AH479" s="332"/>
      <c r="AI479" s="332"/>
      <c r="AJ479" s="332"/>
      <c r="AK479" s="332"/>
      <c r="AL479" s="332"/>
      <c r="AM479" s="332"/>
      <c r="AN479" s="332"/>
      <c r="AP479" s="332"/>
      <c r="AT479" s="332"/>
    </row>
    <row r="480" spans="1:46" ht="9.75" customHeight="1">
      <c r="A480" s="332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  <c r="AA480" s="332"/>
      <c r="AB480" s="332"/>
      <c r="AC480" s="332"/>
      <c r="AD480" s="332"/>
      <c r="AE480" s="332"/>
      <c r="AF480" s="332"/>
      <c r="AG480" s="332"/>
      <c r="AH480" s="332"/>
      <c r="AI480" s="332"/>
      <c r="AJ480" s="332"/>
      <c r="AK480" s="332"/>
      <c r="AL480" s="332"/>
      <c r="AM480" s="332"/>
      <c r="AN480" s="332"/>
      <c r="AP480" s="332"/>
      <c r="AT480" s="332"/>
    </row>
    <row r="481" spans="1:46" ht="9.75" customHeight="1">
      <c r="A481" s="332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  <c r="AA481" s="332"/>
      <c r="AB481" s="332"/>
      <c r="AC481" s="332"/>
      <c r="AD481" s="332"/>
      <c r="AE481" s="332"/>
      <c r="AF481" s="332"/>
      <c r="AG481" s="332"/>
      <c r="AH481" s="332"/>
      <c r="AI481" s="332"/>
      <c r="AJ481" s="332"/>
      <c r="AK481" s="332"/>
      <c r="AL481" s="332"/>
      <c r="AM481" s="332"/>
      <c r="AN481" s="332"/>
      <c r="AP481" s="332"/>
      <c r="AT481" s="332"/>
    </row>
    <row r="482" spans="1:46" ht="9.75" customHeight="1">
      <c r="A482" s="332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  <c r="Z482" s="332"/>
      <c r="AA482" s="332"/>
      <c r="AB482" s="332"/>
      <c r="AC482" s="332"/>
      <c r="AD482" s="332"/>
      <c r="AE482" s="332"/>
      <c r="AF482" s="332"/>
      <c r="AG482" s="332"/>
      <c r="AH482" s="332"/>
      <c r="AI482" s="332"/>
      <c r="AJ482" s="332"/>
      <c r="AK482" s="332"/>
      <c r="AL482" s="332"/>
      <c r="AM482" s="332"/>
      <c r="AN482" s="332"/>
      <c r="AP482" s="332"/>
      <c r="AT482" s="332"/>
    </row>
    <row r="483" spans="1:46" ht="9.75" customHeight="1">
      <c r="A483" s="332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  <c r="AA483" s="332"/>
      <c r="AB483" s="332"/>
      <c r="AC483" s="332"/>
      <c r="AD483" s="332"/>
      <c r="AE483" s="332"/>
      <c r="AF483" s="332"/>
      <c r="AG483" s="332"/>
      <c r="AH483" s="332"/>
      <c r="AI483" s="332"/>
      <c r="AJ483" s="332"/>
      <c r="AK483" s="332"/>
      <c r="AL483" s="332"/>
      <c r="AM483" s="332"/>
      <c r="AN483" s="332"/>
      <c r="AP483" s="332"/>
      <c r="AT483" s="332"/>
    </row>
    <row r="484" spans="1:46" ht="9.75" customHeight="1">
      <c r="A484" s="332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  <c r="AA484" s="332"/>
      <c r="AB484" s="332"/>
      <c r="AC484" s="332"/>
      <c r="AD484" s="332"/>
      <c r="AE484" s="332"/>
      <c r="AF484" s="332"/>
      <c r="AG484" s="332"/>
      <c r="AH484" s="332"/>
      <c r="AI484" s="332"/>
      <c r="AJ484" s="332"/>
      <c r="AK484" s="332"/>
      <c r="AL484" s="332"/>
      <c r="AM484" s="332"/>
      <c r="AN484" s="332"/>
      <c r="AP484" s="332"/>
      <c r="AT484" s="332"/>
    </row>
    <row r="485" spans="1:46" ht="9.75" customHeight="1">
      <c r="A485" s="332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  <c r="Z485" s="332"/>
      <c r="AA485" s="332"/>
      <c r="AB485" s="332"/>
      <c r="AC485" s="332"/>
      <c r="AD485" s="332"/>
      <c r="AE485" s="332"/>
      <c r="AF485" s="332"/>
      <c r="AG485" s="332"/>
      <c r="AH485" s="332"/>
      <c r="AI485" s="332"/>
      <c r="AJ485" s="332"/>
      <c r="AK485" s="332"/>
      <c r="AL485" s="332"/>
      <c r="AM485" s="332"/>
      <c r="AN485" s="332"/>
      <c r="AP485" s="332"/>
      <c r="AT485" s="332"/>
    </row>
    <row r="486" spans="1:46" ht="9.75" customHeight="1">
      <c r="A486" s="332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  <c r="Z486" s="332"/>
      <c r="AA486" s="332"/>
      <c r="AB486" s="332"/>
      <c r="AC486" s="332"/>
      <c r="AD486" s="332"/>
      <c r="AE486" s="332"/>
      <c r="AF486" s="332"/>
      <c r="AG486" s="332"/>
      <c r="AH486" s="332"/>
      <c r="AI486" s="332"/>
      <c r="AJ486" s="332"/>
      <c r="AK486" s="332"/>
      <c r="AL486" s="332"/>
      <c r="AM486" s="332"/>
      <c r="AN486" s="332"/>
      <c r="AP486" s="332"/>
      <c r="AT486" s="332"/>
    </row>
    <row r="487" spans="1:46" ht="9.75" customHeight="1">
      <c r="A487" s="332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  <c r="AA487" s="332"/>
      <c r="AB487" s="332"/>
      <c r="AC487" s="332"/>
      <c r="AD487" s="332"/>
      <c r="AE487" s="332"/>
      <c r="AF487" s="332"/>
      <c r="AG487" s="332"/>
      <c r="AH487" s="332"/>
      <c r="AI487" s="332"/>
      <c r="AJ487" s="332"/>
      <c r="AK487" s="332"/>
      <c r="AL487" s="332"/>
      <c r="AM487" s="332"/>
      <c r="AN487" s="332"/>
      <c r="AP487" s="332"/>
      <c r="AT487" s="332"/>
    </row>
    <row r="488" spans="1:46" ht="9.75" customHeight="1">
      <c r="A488" s="332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  <c r="Z488" s="332"/>
      <c r="AA488" s="332"/>
      <c r="AB488" s="332"/>
      <c r="AC488" s="332"/>
      <c r="AD488" s="332"/>
      <c r="AE488" s="332"/>
      <c r="AF488" s="332"/>
      <c r="AG488" s="332"/>
      <c r="AH488" s="332"/>
      <c r="AI488" s="332"/>
      <c r="AJ488" s="332"/>
      <c r="AK488" s="332"/>
      <c r="AL488" s="332"/>
      <c r="AM488" s="332"/>
      <c r="AN488" s="332"/>
      <c r="AP488" s="332"/>
      <c r="AT488" s="332"/>
    </row>
    <row r="489" spans="1:46" ht="9.75" customHeight="1">
      <c r="A489" s="332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  <c r="AA489" s="332"/>
      <c r="AB489" s="332"/>
      <c r="AC489" s="332"/>
      <c r="AD489" s="332"/>
      <c r="AE489" s="332"/>
      <c r="AF489" s="332"/>
      <c r="AG489" s="332"/>
      <c r="AH489" s="332"/>
      <c r="AI489" s="332"/>
      <c r="AJ489" s="332"/>
      <c r="AK489" s="332"/>
      <c r="AL489" s="332"/>
      <c r="AM489" s="332"/>
      <c r="AN489" s="332"/>
      <c r="AP489" s="332"/>
      <c r="AT489" s="332"/>
    </row>
    <row r="490" spans="1:46" ht="9.75" customHeight="1">
      <c r="A490" s="332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  <c r="AA490" s="332"/>
      <c r="AB490" s="332"/>
      <c r="AC490" s="332"/>
      <c r="AD490" s="332"/>
      <c r="AE490" s="332"/>
      <c r="AF490" s="332"/>
      <c r="AG490" s="332"/>
      <c r="AH490" s="332"/>
      <c r="AI490" s="332"/>
      <c r="AJ490" s="332"/>
      <c r="AK490" s="332"/>
      <c r="AL490" s="332"/>
      <c r="AM490" s="332"/>
      <c r="AN490" s="332"/>
      <c r="AP490" s="332"/>
      <c r="AT490" s="332"/>
    </row>
    <row r="491" spans="1:46" ht="9.75" customHeight="1">
      <c r="A491" s="332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  <c r="AA491" s="332"/>
      <c r="AB491" s="332"/>
      <c r="AC491" s="332"/>
      <c r="AD491" s="332"/>
      <c r="AE491" s="332"/>
      <c r="AF491" s="332"/>
      <c r="AG491" s="332"/>
      <c r="AH491" s="332"/>
      <c r="AI491" s="332"/>
      <c r="AJ491" s="332"/>
      <c r="AK491" s="332"/>
      <c r="AL491" s="332"/>
      <c r="AM491" s="332"/>
      <c r="AN491" s="332"/>
      <c r="AP491" s="332"/>
      <c r="AT491" s="332"/>
    </row>
    <row r="492" spans="1:46" ht="9.75" customHeight="1">
      <c r="A492" s="332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  <c r="AA492" s="332"/>
      <c r="AB492" s="332"/>
      <c r="AC492" s="332"/>
      <c r="AD492" s="332"/>
      <c r="AE492" s="332"/>
      <c r="AF492" s="332"/>
      <c r="AG492" s="332"/>
      <c r="AH492" s="332"/>
      <c r="AI492" s="332"/>
      <c r="AJ492" s="332"/>
      <c r="AK492" s="332"/>
      <c r="AL492" s="332"/>
      <c r="AM492" s="332"/>
      <c r="AN492" s="332"/>
      <c r="AP492" s="332"/>
      <c r="AT492" s="332"/>
    </row>
    <row r="493" spans="1:46" ht="9.75" customHeight="1">
      <c r="A493" s="332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  <c r="AA493" s="332"/>
      <c r="AB493" s="332"/>
      <c r="AC493" s="332"/>
      <c r="AD493" s="332"/>
      <c r="AE493" s="332"/>
      <c r="AF493" s="332"/>
      <c r="AG493" s="332"/>
      <c r="AH493" s="332"/>
      <c r="AI493" s="332"/>
      <c r="AJ493" s="332"/>
      <c r="AK493" s="332"/>
      <c r="AL493" s="332"/>
      <c r="AM493" s="332"/>
      <c r="AN493" s="332"/>
      <c r="AP493" s="332"/>
      <c r="AT493" s="332"/>
    </row>
    <row r="494" spans="1:46" ht="9.75" customHeight="1">
      <c r="A494" s="332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  <c r="AA494" s="332"/>
      <c r="AB494" s="332"/>
      <c r="AC494" s="332"/>
      <c r="AD494" s="332"/>
      <c r="AE494" s="332"/>
      <c r="AF494" s="332"/>
      <c r="AG494" s="332"/>
      <c r="AH494" s="332"/>
      <c r="AI494" s="332"/>
      <c r="AJ494" s="332"/>
      <c r="AK494" s="332"/>
      <c r="AL494" s="332"/>
      <c r="AM494" s="332"/>
      <c r="AN494" s="332"/>
      <c r="AP494" s="332"/>
      <c r="AT494" s="332"/>
    </row>
    <row r="495" spans="1:46" ht="9.75" customHeight="1">
      <c r="A495" s="332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  <c r="AA495" s="332"/>
      <c r="AB495" s="332"/>
      <c r="AC495" s="332"/>
      <c r="AD495" s="332"/>
      <c r="AE495" s="332"/>
      <c r="AF495" s="332"/>
      <c r="AG495" s="332"/>
      <c r="AH495" s="332"/>
      <c r="AI495" s="332"/>
      <c r="AJ495" s="332"/>
      <c r="AK495" s="332"/>
      <c r="AL495" s="332"/>
      <c r="AM495" s="332"/>
      <c r="AN495" s="332"/>
      <c r="AP495" s="332"/>
      <c r="AT495" s="332"/>
    </row>
    <row r="496" spans="1:46" ht="9.75" customHeight="1">
      <c r="A496" s="332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  <c r="AA496" s="332"/>
      <c r="AB496" s="332"/>
      <c r="AC496" s="332"/>
      <c r="AD496" s="332"/>
      <c r="AE496" s="332"/>
      <c r="AF496" s="332"/>
      <c r="AG496" s="332"/>
      <c r="AH496" s="332"/>
      <c r="AI496" s="332"/>
      <c r="AJ496" s="332"/>
      <c r="AK496" s="332"/>
      <c r="AL496" s="332"/>
      <c r="AM496" s="332"/>
      <c r="AN496" s="332"/>
      <c r="AP496" s="332"/>
      <c r="AT496" s="332"/>
    </row>
    <row r="497" spans="1:46" ht="9.75" customHeight="1">
      <c r="A497" s="332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  <c r="AA497" s="332"/>
      <c r="AB497" s="332"/>
      <c r="AC497" s="332"/>
      <c r="AD497" s="332"/>
      <c r="AE497" s="332"/>
      <c r="AF497" s="332"/>
      <c r="AG497" s="332"/>
      <c r="AH497" s="332"/>
      <c r="AI497" s="332"/>
      <c r="AJ497" s="332"/>
      <c r="AK497" s="332"/>
      <c r="AL497" s="332"/>
      <c r="AM497" s="332"/>
      <c r="AN497" s="332"/>
      <c r="AP497" s="332"/>
      <c r="AT497" s="332"/>
    </row>
    <row r="498" spans="1:46" ht="9.75" customHeight="1">
      <c r="A498" s="332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  <c r="AA498" s="332"/>
      <c r="AB498" s="332"/>
      <c r="AC498" s="332"/>
      <c r="AD498" s="332"/>
      <c r="AE498" s="332"/>
      <c r="AF498" s="332"/>
      <c r="AG498" s="332"/>
      <c r="AH498" s="332"/>
      <c r="AI498" s="332"/>
      <c r="AJ498" s="332"/>
      <c r="AK498" s="332"/>
      <c r="AL498" s="332"/>
      <c r="AM498" s="332"/>
      <c r="AN498" s="332"/>
      <c r="AP498" s="332"/>
      <c r="AT498" s="332"/>
    </row>
    <row r="499" spans="1:46" ht="9.75" customHeight="1">
      <c r="A499" s="332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  <c r="AA499" s="332"/>
      <c r="AB499" s="332"/>
      <c r="AC499" s="332"/>
      <c r="AD499" s="332"/>
      <c r="AE499" s="332"/>
      <c r="AF499" s="332"/>
      <c r="AG499" s="332"/>
      <c r="AH499" s="332"/>
      <c r="AI499" s="332"/>
      <c r="AJ499" s="332"/>
      <c r="AK499" s="332"/>
      <c r="AL499" s="332"/>
      <c r="AM499" s="332"/>
      <c r="AN499" s="332"/>
      <c r="AP499" s="332"/>
      <c r="AT499" s="332"/>
    </row>
    <row r="500" spans="1:46" ht="9.75" customHeight="1">
      <c r="A500" s="332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  <c r="AA500" s="332"/>
      <c r="AB500" s="332"/>
      <c r="AC500" s="332"/>
      <c r="AD500" s="332"/>
      <c r="AE500" s="332"/>
      <c r="AF500" s="332"/>
      <c r="AG500" s="332"/>
      <c r="AH500" s="332"/>
      <c r="AI500" s="332"/>
      <c r="AJ500" s="332"/>
      <c r="AK500" s="332"/>
      <c r="AL500" s="332"/>
      <c r="AM500" s="332"/>
      <c r="AN500" s="332"/>
      <c r="AP500" s="332"/>
      <c r="AT500" s="332"/>
    </row>
    <row r="501" spans="1:46" ht="9.75" customHeight="1">
      <c r="A501" s="332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  <c r="Z501" s="332"/>
      <c r="AA501" s="332"/>
      <c r="AB501" s="332"/>
      <c r="AC501" s="332"/>
      <c r="AD501" s="332"/>
      <c r="AE501" s="332"/>
      <c r="AF501" s="332"/>
      <c r="AG501" s="332"/>
      <c r="AH501" s="332"/>
      <c r="AI501" s="332"/>
      <c r="AJ501" s="332"/>
      <c r="AK501" s="332"/>
      <c r="AL501" s="332"/>
      <c r="AM501" s="332"/>
      <c r="AN501" s="332"/>
      <c r="AP501" s="332"/>
      <c r="AT501" s="332"/>
    </row>
    <row r="502" spans="1:46" ht="9.75" customHeight="1">
      <c r="A502" s="332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  <c r="AA502" s="332"/>
      <c r="AB502" s="332"/>
      <c r="AC502" s="332"/>
      <c r="AD502" s="332"/>
      <c r="AE502" s="332"/>
      <c r="AF502" s="332"/>
      <c r="AG502" s="332"/>
      <c r="AH502" s="332"/>
      <c r="AI502" s="332"/>
      <c r="AJ502" s="332"/>
      <c r="AK502" s="332"/>
      <c r="AL502" s="332"/>
      <c r="AM502" s="332"/>
      <c r="AN502" s="332"/>
      <c r="AP502" s="332"/>
      <c r="AT502" s="332"/>
    </row>
    <row r="503" spans="1:46" ht="9.75" customHeight="1">
      <c r="A503" s="332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  <c r="AA503" s="332"/>
      <c r="AB503" s="332"/>
      <c r="AC503" s="332"/>
      <c r="AD503" s="332"/>
      <c r="AE503" s="332"/>
      <c r="AF503" s="332"/>
      <c r="AG503" s="332"/>
      <c r="AH503" s="332"/>
      <c r="AI503" s="332"/>
      <c r="AJ503" s="332"/>
      <c r="AK503" s="332"/>
      <c r="AL503" s="332"/>
      <c r="AM503" s="332"/>
      <c r="AN503" s="332"/>
      <c r="AP503" s="332"/>
      <c r="AT503" s="332"/>
    </row>
    <row r="504" spans="1:46" ht="9.75" customHeight="1">
      <c r="A504" s="332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  <c r="Z504" s="332"/>
      <c r="AA504" s="332"/>
      <c r="AB504" s="332"/>
      <c r="AC504" s="332"/>
      <c r="AD504" s="332"/>
      <c r="AE504" s="332"/>
      <c r="AF504" s="332"/>
      <c r="AG504" s="332"/>
      <c r="AH504" s="332"/>
      <c r="AI504" s="332"/>
      <c r="AJ504" s="332"/>
      <c r="AK504" s="332"/>
      <c r="AL504" s="332"/>
      <c r="AM504" s="332"/>
      <c r="AN504" s="332"/>
      <c r="AP504" s="332"/>
      <c r="AT504" s="332"/>
    </row>
    <row r="505" spans="1:46" ht="9.75" customHeight="1">
      <c r="A505" s="332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  <c r="Z505" s="332"/>
      <c r="AA505" s="332"/>
      <c r="AB505" s="332"/>
      <c r="AC505" s="332"/>
      <c r="AD505" s="332"/>
      <c r="AE505" s="332"/>
      <c r="AF505" s="332"/>
      <c r="AG505" s="332"/>
      <c r="AH505" s="332"/>
      <c r="AI505" s="332"/>
      <c r="AJ505" s="332"/>
      <c r="AK505" s="332"/>
      <c r="AL505" s="332"/>
      <c r="AM505" s="332"/>
      <c r="AN505" s="332"/>
      <c r="AP505" s="332"/>
      <c r="AT505" s="332"/>
    </row>
    <row r="506" spans="1:46" ht="9.75" customHeight="1">
      <c r="A506" s="332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  <c r="Z506" s="332"/>
      <c r="AA506" s="332"/>
      <c r="AB506" s="332"/>
      <c r="AC506" s="332"/>
      <c r="AD506" s="332"/>
      <c r="AE506" s="332"/>
      <c r="AF506" s="332"/>
      <c r="AG506" s="332"/>
      <c r="AH506" s="332"/>
      <c r="AI506" s="332"/>
      <c r="AJ506" s="332"/>
      <c r="AK506" s="332"/>
      <c r="AL506" s="332"/>
      <c r="AM506" s="332"/>
      <c r="AN506" s="332"/>
      <c r="AP506" s="332"/>
      <c r="AT506" s="332"/>
    </row>
    <row r="507" spans="1:46" ht="9.75" customHeight="1">
      <c r="A507" s="332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  <c r="AA507" s="332"/>
      <c r="AB507" s="332"/>
      <c r="AC507" s="332"/>
      <c r="AD507" s="332"/>
      <c r="AE507" s="332"/>
      <c r="AF507" s="332"/>
      <c r="AG507" s="332"/>
      <c r="AH507" s="332"/>
      <c r="AI507" s="332"/>
      <c r="AJ507" s="332"/>
      <c r="AK507" s="332"/>
      <c r="AL507" s="332"/>
      <c r="AM507" s="332"/>
      <c r="AN507" s="332"/>
      <c r="AP507" s="332"/>
      <c r="AT507" s="332"/>
    </row>
    <row r="508" spans="1:46" ht="9.75" customHeight="1">
      <c r="A508" s="332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  <c r="AA508" s="332"/>
      <c r="AB508" s="332"/>
      <c r="AC508" s="332"/>
      <c r="AD508" s="332"/>
      <c r="AE508" s="332"/>
      <c r="AF508" s="332"/>
      <c r="AG508" s="332"/>
      <c r="AH508" s="332"/>
      <c r="AI508" s="332"/>
      <c r="AJ508" s="332"/>
      <c r="AK508" s="332"/>
      <c r="AL508" s="332"/>
      <c r="AM508" s="332"/>
      <c r="AN508" s="332"/>
      <c r="AP508" s="332"/>
      <c r="AT508" s="332"/>
    </row>
    <row r="509" spans="1:46" ht="9.75" customHeight="1">
      <c r="A509" s="332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  <c r="AA509" s="332"/>
      <c r="AB509" s="332"/>
      <c r="AC509" s="332"/>
      <c r="AD509" s="332"/>
      <c r="AE509" s="332"/>
      <c r="AF509" s="332"/>
      <c r="AG509" s="332"/>
      <c r="AH509" s="332"/>
      <c r="AI509" s="332"/>
      <c r="AJ509" s="332"/>
      <c r="AK509" s="332"/>
      <c r="AL509" s="332"/>
      <c r="AM509" s="332"/>
      <c r="AN509" s="332"/>
      <c r="AP509" s="332"/>
      <c r="AT509" s="332"/>
    </row>
    <row r="510" spans="1:46" ht="9.75" customHeight="1">
      <c r="A510" s="332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  <c r="AA510" s="332"/>
      <c r="AB510" s="332"/>
      <c r="AC510" s="332"/>
      <c r="AD510" s="332"/>
      <c r="AE510" s="332"/>
      <c r="AF510" s="332"/>
      <c r="AG510" s="332"/>
      <c r="AH510" s="332"/>
      <c r="AI510" s="332"/>
      <c r="AJ510" s="332"/>
      <c r="AK510" s="332"/>
      <c r="AL510" s="332"/>
      <c r="AM510" s="332"/>
      <c r="AN510" s="332"/>
      <c r="AP510" s="332"/>
      <c r="AT510" s="332"/>
    </row>
    <row r="511" spans="1:46" ht="9.75" customHeight="1">
      <c r="A511" s="332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  <c r="AA511" s="332"/>
      <c r="AB511" s="332"/>
      <c r="AC511" s="332"/>
      <c r="AD511" s="332"/>
      <c r="AE511" s="332"/>
      <c r="AF511" s="332"/>
      <c r="AG511" s="332"/>
      <c r="AH511" s="332"/>
      <c r="AI511" s="332"/>
      <c r="AJ511" s="332"/>
      <c r="AK511" s="332"/>
      <c r="AL511" s="332"/>
      <c r="AM511" s="332"/>
      <c r="AN511" s="332"/>
      <c r="AP511" s="332"/>
      <c r="AT511" s="332"/>
    </row>
    <row r="512" spans="1:46" ht="9.75" customHeight="1">
      <c r="A512" s="332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  <c r="AA512" s="332"/>
      <c r="AB512" s="332"/>
      <c r="AC512" s="332"/>
      <c r="AD512" s="332"/>
      <c r="AE512" s="332"/>
      <c r="AF512" s="332"/>
      <c r="AG512" s="332"/>
      <c r="AH512" s="332"/>
      <c r="AI512" s="332"/>
      <c r="AJ512" s="332"/>
      <c r="AK512" s="332"/>
      <c r="AL512" s="332"/>
      <c r="AM512" s="332"/>
      <c r="AN512" s="332"/>
      <c r="AP512" s="332"/>
      <c r="AT512" s="332"/>
    </row>
    <row r="513" spans="1:46" ht="9.75" customHeight="1">
      <c r="A513" s="332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  <c r="AA513" s="332"/>
      <c r="AB513" s="332"/>
      <c r="AC513" s="332"/>
      <c r="AD513" s="332"/>
      <c r="AE513" s="332"/>
      <c r="AF513" s="332"/>
      <c r="AG513" s="332"/>
      <c r="AH513" s="332"/>
      <c r="AI513" s="332"/>
      <c r="AJ513" s="332"/>
      <c r="AK513" s="332"/>
      <c r="AL513" s="332"/>
      <c r="AM513" s="332"/>
      <c r="AN513" s="332"/>
      <c r="AP513" s="332"/>
      <c r="AT513" s="332"/>
    </row>
    <row r="514" spans="1:46" ht="9.75" customHeight="1">
      <c r="A514" s="332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  <c r="AA514" s="332"/>
      <c r="AB514" s="332"/>
      <c r="AC514" s="332"/>
      <c r="AD514" s="332"/>
      <c r="AE514" s="332"/>
      <c r="AF514" s="332"/>
      <c r="AG514" s="332"/>
      <c r="AH514" s="332"/>
      <c r="AI514" s="332"/>
      <c r="AJ514" s="332"/>
      <c r="AK514" s="332"/>
      <c r="AL514" s="332"/>
      <c r="AM514" s="332"/>
      <c r="AN514" s="332"/>
      <c r="AP514" s="332"/>
      <c r="AT514" s="332"/>
    </row>
    <row r="515" spans="1:46" ht="9.75" customHeight="1">
      <c r="A515" s="332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  <c r="AA515" s="332"/>
      <c r="AB515" s="332"/>
      <c r="AC515" s="332"/>
      <c r="AD515" s="332"/>
      <c r="AE515" s="332"/>
      <c r="AF515" s="332"/>
      <c r="AG515" s="332"/>
      <c r="AH515" s="332"/>
      <c r="AI515" s="332"/>
      <c r="AJ515" s="332"/>
      <c r="AK515" s="332"/>
      <c r="AL515" s="332"/>
      <c r="AM515" s="332"/>
      <c r="AN515" s="332"/>
      <c r="AP515" s="332"/>
      <c r="AT515" s="332"/>
    </row>
    <row r="516" spans="1:46" ht="9.75" customHeight="1">
      <c r="A516" s="332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  <c r="AA516" s="332"/>
      <c r="AB516" s="332"/>
      <c r="AC516" s="332"/>
      <c r="AD516" s="332"/>
      <c r="AE516" s="332"/>
      <c r="AF516" s="332"/>
      <c r="AG516" s="332"/>
      <c r="AH516" s="332"/>
      <c r="AI516" s="332"/>
      <c r="AJ516" s="332"/>
      <c r="AK516" s="332"/>
      <c r="AL516" s="332"/>
      <c r="AM516" s="332"/>
      <c r="AN516" s="332"/>
      <c r="AP516" s="332"/>
      <c r="AT516" s="332"/>
    </row>
    <row r="517" spans="1:46" ht="9.75" customHeight="1">
      <c r="A517" s="332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  <c r="AA517" s="332"/>
      <c r="AB517" s="332"/>
      <c r="AC517" s="332"/>
      <c r="AD517" s="332"/>
      <c r="AE517" s="332"/>
      <c r="AF517" s="332"/>
      <c r="AG517" s="332"/>
      <c r="AH517" s="332"/>
      <c r="AI517" s="332"/>
      <c r="AJ517" s="332"/>
      <c r="AK517" s="332"/>
      <c r="AL517" s="332"/>
      <c r="AM517" s="332"/>
      <c r="AN517" s="332"/>
      <c r="AP517" s="332"/>
      <c r="AT517" s="332"/>
    </row>
    <row r="518" spans="1:46" ht="9.75" customHeight="1">
      <c r="A518" s="332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  <c r="AA518" s="332"/>
      <c r="AB518" s="332"/>
      <c r="AC518" s="332"/>
      <c r="AD518" s="332"/>
      <c r="AE518" s="332"/>
      <c r="AF518" s="332"/>
      <c r="AG518" s="332"/>
      <c r="AH518" s="332"/>
      <c r="AI518" s="332"/>
      <c r="AJ518" s="332"/>
      <c r="AK518" s="332"/>
      <c r="AL518" s="332"/>
      <c r="AM518" s="332"/>
      <c r="AN518" s="332"/>
      <c r="AP518" s="332"/>
      <c r="AT518" s="332"/>
    </row>
    <row r="519" spans="1:46" ht="9.75" customHeight="1">
      <c r="A519" s="332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  <c r="AA519" s="332"/>
      <c r="AB519" s="332"/>
      <c r="AC519" s="332"/>
      <c r="AD519" s="332"/>
      <c r="AE519" s="332"/>
      <c r="AF519" s="332"/>
      <c r="AG519" s="332"/>
      <c r="AH519" s="332"/>
      <c r="AI519" s="332"/>
      <c r="AJ519" s="332"/>
      <c r="AK519" s="332"/>
      <c r="AL519" s="332"/>
      <c r="AM519" s="332"/>
      <c r="AN519" s="332"/>
      <c r="AP519" s="332"/>
      <c r="AT519" s="332"/>
    </row>
    <row r="520" spans="1:46" ht="9.75" customHeight="1">
      <c r="A520" s="332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  <c r="Z520" s="332"/>
      <c r="AA520" s="332"/>
      <c r="AB520" s="332"/>
      <c r="AC520" s="332"/>
      <c r="AD520" s="332"/>
      <c r="AE520" s="332"/>
      <c r="AF520" s="332"/>
      <c r="AG520" s="332"/>
      <c r="AH520" s="332"/>
      <c r="AI520" s="332"/>
      <c r="AJ520" s="332"/>
      <c r="AK520" s="332"/>
      <c r="AL520" s="332"/>
      <c r="AM520" s="332"/>
      <c r="AN520" s="332"/>
      <c r="AP520" s="332"/>
      <c r="AT520" s="332"/>
    </row>
    <row r="521" spans="1:46" ht="9.75" customHeight="1">
      <c r="A521" s="332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  <c r="AA521" s="332"/>
      <c r="AB521" s="332"/>
      <c r="AC521" s="332"/>
      <c r="AD521" s="332"/>
      <c r="AE521" s="332"/>
      <c r="AF521" s="332"/>
      <c r="AG521" s="332"/>
      <c r="AH521" s="332"/>
      <c r="AI521" s="332"/>
      <c r="AJ521" s="332"/>
      <c r="AK521" s="332"/>
      <c r="AL521" s="332"/>
      <c r="AM521" s="332"/>
      <c r="AN521" s="332"/>
      <c r="AP521" s="332"/>
      <c r="AT521" s="332"/>
    </row>
    <row r="522" spans="1:46" ht="9.75" customHeight="1">
      <c r="A522" s="332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  <c r="AA522" s="332"/>
      <c r="AB522" s="332"/>
      <c r="AC522" s="332"/>
      <c r="AD522" s="332"/>
      <c r="AE522" s="332"/>
      <c r="AF522" s="332"/>
      <c r="AG522" s="332"/>
      <c r="AH522" s="332"/>
      <c r="AI522" s="332"/>
      <c r="AJ522" s="332"/>
      <c r="AK522" s="332"/>
      <c r="AL522" s="332"/>
      <c r="AM522" s="332"/>
      <c r="AN522" s="332"/>
      <c r="AP522" s="332"/>
      <c r="AT522" s="332"/>
    </row>
    <row r="523" spans="1:46" ht="9.75" customHeight="1">
      <c r="A523" s="332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  <c r="AA523" s="332"/>
      <c r="AB523" s="332"/>
      <c r="AC523" s="332"/>
      <c r="AD523" s="332"/>
      <c r="AE523" s="332"/>
      <c r="AF523" s="332"/>
      <c r="AG523" s="332"/>
      <c r="AH523" s="332"/>
      <c r="AI523" s="332"/>
      <c r="AJ523" s="332"/>
      <c r="AK523" s="332"/>
      <c r="AL523" s="332"/>
      <c r="AM523" s="332"/>
      <c r="AN523" s="332"/>
      <c r="AP523" s="332"/>
      <c r="AT523" s="332"/>
    </row>
    <row r="524" spans="1:46" ht="9.75" customHeight="1">
      <c r="A524" s="332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  <c r="Z524" s="332"/>
      <c r="AA524" s="332"/>
      <c r="AB524" s="332"/>
      <c r="AC524" s="332"/>
      <c r="AD524" s="332"/>
      <c r="AE524" s="332"/>
      <c r="AF524" s="332"/>
      <c r="AG524" s="332"/>
      <c r="AH524" s="332"/>
      <c r="AI524" s="332"/>
      <c r="AJ524" s="332"/>
      <c r="AK524" s="332"/>
      <c r="AL524" s="332"/>
      <c r="AM524" s="332"/>
      <c r="AN524" s="332"/>
      <c r="AP524" s="332"/>
      <c r="AT524" s="332"/>
    </row>
    <row r="525" spans="1:46" ht="9.75" customHeight="1">
      <c r="A525" s="332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  <c r="AA525" s="332"/>
      <c r="AB525" s="332"/>
      <c r="AC525" s="332"/>
      <c r="AD525" s="332"/>
      <c r="AE525" s="332"/>
      <c r="AF525" s="332"/>
      <c r="AG525" s="332"/>
      <c r="AH525" s="332"/>
      <c r="AI525" s="332"/>
      <c r="AJ525" s="332"/>
      <c r="AK525" s="332"/>
      <c r="AL525" s="332"/>
      <c r="AM525" s="332"/>
      <c r="AN525" s="332"/>
      <c r="AP525" s="332"/>
      <c r="AT525" s="332"/>
    </row>
    <row r="526" spans="1:46" ht="9.75" customHeight="1">
      <c r="A526" s="332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  <c r="AA526" s="332"/>
      <c r="AB526" s="332"/>
      <c r="AC526" s="332"/>
      <c r="AD526" s="332"/>
      <c r="AE526" s="332"/>
      <c r="AF526" s="332"/>
      <c r="AG526" s="332"/>
      <c r="AH526" s="332"/>
      <c r="AI526" s="332"/>
      <c r="AJ526" s="332"/>
      <c r="AK526" s="332"/>
      <c r="AL526" s="332"/>
      <c r="AM526" s="332"/>
      <c r="AN526" s="332"/>
      <c r="AP526" s="332"/>
      <c r="AT526" s="332"/>
    </row>
    <row r="527" spans="1:46" ht="9.75" customHeight="1">
      <c r="A527" s="332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  <c r="AA527" s="332"/>
      <c r="AB527" s="332"/>
      <c r="AC527" s="332"/>
      <c r="AD527" s="332"/>
      <c r="AE527" s="332"/>
      <c r="AF527" s="332"/>
      <c r="AG527" s="332"/>
      <c r="AH527" s="332"/>
      <c r="AI527" s="332"/>
      <c r="AJ527" s="332"/>
      <c r="AK527" s="332"/>
      <c r="AL527" s="332"/>
      <c r="AM527" s="332"/>
      <c r="AN527" s="332"/>
      <c r="AP527" s="332"/>
      <c r="AT527" s="332"/>
    </row>
    <row r="528" spans="1:46" ht="9.75" customHeight="1">
      <c r="A528" s="332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  <c r="AA528" s="332"/>
      <c r="AB528" s="332"/>
      <c r="AC528" s="332"/>
      <c r="AD528" s="332"/>
      <c r="AE528" s="332"/>
      <c r="AF528" s="332"/>
      <c r="AG528" s="332"/>
      <c r="AH528" s="332"/>
      <c r="AI528" s="332"/>
      <c r="AJ528" s="332"/>
      <c r="AK528" s="332"/>
      <c r="AL528" s="332"/>
      <c r="AM528" s="332"/>
      <c r="AN528" s="332"/>
      <c r="AP528" s="332"/>
      <c r="AT528" s="332"/>
    </row>
    <row r="529" spans="1:46" ht="9.75" customHeight="1">
      <c r="A529" s="332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  <c r="AA529" s="332"/>
      <c r="AB529" s="332"/>
      <c r="AC529" s="332"/>
      <c r="AD529" s="332"/>
      <c r="AE529" s="332"/>
      <c r="AF529" s="332"/>
      <c r="AG529" s="332"/>
      <c r="AH529" s="332"/>
      <c r="AI529" s="332"/>
      <c r="AJ529" s="332"/>
      <c r="AK529" s="332"/>
      <c r="AL529" s="332"/>
      <c r="AM529" s="332"/>
      <c r="AN529" s="332"/>
      <c r="AP529" s="332"/>
      <c r="AT529" s="332"/>
    </row>
    <row r="530" spans="1:46" ht="9.75" customHeight="1">
      <c r="A530" s="332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  <c r="AA530" s="332"/>
      <c r="AB530" s="332"/>
      <c r="AC530" s="332"/>
      <c r="AD530" s="332"/>
      <c r="AE530" s="332"/>
      <c r="AF530" s="332"/>
      <c r="AG530" s="332"/>
      <c r="AH530" s="332"/>
      <c r="AI530" s="332"/>
      <c r="AJ530" s="332"/>
      <c r="AK530" s="332"/>
      <c r="AL530" s="332"/>
      <c r="AM530" s="332"/>
      <c r="AN530" s="332"/>
      <c r="AP530" s="332"/>
      <c r="AT530" s="332"/>
    </row>
    <row r="531" spans="1:46" ht="9.75" customHeight="1">
      <c r="A531" s="332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  <c r="AA531" s="332"/>
      <c r="AB531" s="332"/>
      <c r="AC531" s="332"/>
      <c r="AD531" s="332"/>
      <c r="AE531" s="332"/>
      <c r="AF531" s="332"/>
      <c r="AG531" s="332"/>
      <c r="AH531" s="332"/>
      <c r="AI531" s="332"/>
      <c r="AJ531" s="332"/>
      <c r="AK531" s="332"/>
      <c r="AL531" s="332"/>
      <c r="AM531" s="332"/>
      <c r="AN531" s="332"/>
      <c r="AP531" s="332"/>
      <c r="AT531" s="332"/>
    </row>
    <row r="532" spans="1:46" ht="9.75" customHeight="1">
      <c r="A532" s="332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  <c r="AA532" s="332"/>
      <c r="AB532" s="332"/>
      <c r="AC532" s="332"/>
      <c r="AD532" s="332"/>
      <c r="AE532" s="332"/>
      <c r="AF532" s="332"/>
      <c r="AG532" s="332"/>
      <c r="AH532" s="332"/>
      <c r="AI532" s="332"/>
      <c r="AJ532" s="332"/>
      <c r="AK532" s="332"/>
      <c r="AL532" s="332"/>
      <c r="AM532" s="332"/>
      <c r="AN532" s="332"/>
      <c r="AP532" s="332"/>
      <c r="AT532" s="332"/>
    </row>
    <row r="533" spans="1:46" ht="9.75" customHeight="1">
      <c r="A533" s="332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  <c r="AA533" s="332"/>
      <c r="AB533" s="332"/>
      <c r="AC533" s="332"/>
      <c r="AD533" s="332"/>
      <c r="AE533" s="332"/>
      <c r="AF533" s="332"/>
      <c r="AG533" s="332"/>
      <c r="AH533" s="332"/>
      <c r="AI533" s="332"/>
      <c r="AJ533" s="332"/>
      <c r="AK533" s="332"/>
      <c r="AL533" s="332"/>
      <c r="AM533" s="332"/>
      <c r="AN533" s="332"/>
      <c r="AP533" s="332"/>
      <c r="AT533" s="332"/>
    </row>
    <row r="534" spans="1:46" ht="9.75" customHeight="1">
      <c r="A534" s="332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  <c r="AA534" s="332"/>
      <c r="AB534" s="332"/>
      <c r="AC534" s="332"/>
      <c r="AD534" s="332"/>
      <c r="AE534" s="332"/>
      <c r="AF534" s="332"/>
      <c r="AG534" s="332"/>
      <c r="AH534" s="332"/>
      <c r="AI534" s="332"/>
      <c r="AJ534" s="332"/>
      <c r="AK534" s="332"/>
      <c r="AL534" s="332"/>
      <c r="AM534" s="332"/>
      <c r="AN534" s="332"/>
      <c r="AP534" s="332"/>
      <c r="AT534" s="332"/>
    </row>
    <row r="535" spans="1:46" ht="9.75" customHeight="1">
      <c r="A535" s="332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  <c r="AA535" s="332"/>
      <c r="AB535" s="332"/>
      <c r="AC535" s="332"/>
      <c r="AD535" s="332"/>
      <c r="AE535" s="332"/>
      <c r="AF535" s="332"/>
      <c r="AG535" s="332"/>
      <c r="AH535" s="332"/>
      <c r="AI535" s="332"/>
      <c r="AJ535" s="332"/>
      <c r="AK535" s="332"/>
      <c r="AL535" s="332"/>
      <c r="AM535" s="332"/>
      <c r="AN535" s="332"/>
      <c r="AP535" s="332"/>
      <c r="AT535" s="332"/>
    </row>
    <row r="536" spans="1:46" ht="9.75" customHeight="1">
      <c r="A536" s="332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  <c r="AA536" s="332"/>
      <c r="AB536" s="332"/>
      <c r="AC536" s="332"/>
      <c r="AD536" s="332"/>
      <c r="AE536" s="332"/>
      <c r="AF536" s="332"/>
      <c r="AG536" s="332"/>
      <c r="AH536" s="332"/>
      <c r="AI536" s="332"/>
      <c r="AJ536" s="332"/>
      <c r="AK536" s="332"/>
      <c r="AL536" s="332"/>
      <c r="AM536" s="332"/>
      <c r="AN536" s="332"/>
      <c r="AP536" s="332"/>
      <c r="AT536" s="332"/>
    </row>
    <row r="537" spans="1:46" ht="9.75" customHeight="1">
      <c r="A537" s="332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  <c r="AA537" s="332"/>
      <c r="AB537" s="332"/>
      <c r="AC537" s="332"/>
      <c r="AD537" s="332"/>
      <c r="AE537" s="332"/>
      <c r="AF537" s="332"/>
      <c r="AG537" s="332"/>
      <c r="AH537" s="332"/>
      <c r="AI537" s="332"/>
      <c r="AJ537" s="332"/>
      <c r="AK537" s="332"/>
      <c r="AL537" s="332"/>
      <c r="AM537" s="332"/>
      <c r="AN537" s="332"/>
      <c r="AP537" s="332"/>
      <c r="AT537" s="332"/>
    </row>
    <row r="538" spans="1:46" ht="9.75" customHeight="1">
      <c r="A538" s="332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  <c r="AA538" s="332"/>
      <c r="AB538" s="332"/>
      <c r="AC538" s="332"/>
      <c r="AD538" s="332"/>
      <c r="AE538" s="332"/>
      <c r="AF538" s="332"/>
      <c r="AG538" s="332"/>
      <c r="AH538" s="332"/>
      <c r="AI538" s="332"/>
      <c r="AJ538" s="332"/>
      <c r="AK538" s="332"/>
      <c r="AL538" s="332"/>
      <c r="AM538" s="332"/>
      <c r="AN538" s="332"/>
      <c r="AP538" s="332"/>
      <c r="AT538" s="332"/>
    </row>
    <row r="539" spans="1:46" ht="9.75" customHeight="1">
      <c r="A539" s="332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  <c r="Z539" s="332"/>
      <c r="AA539" s="332"/>
      <c r="AB539" s="332"/>
      <c r="AC539" s="332"/>
      <c r="AD539" s="332"/>
      <c r="AE539" s="332"/>
      <c r="AF539" s="332"/>
      <c r="AG539" s="332"/>
      <c r="AH539" s="332"/>
      <c r="AI539" s="332"/>
      <c r="AJ539" s="332"/>
      <c r="AK539" s="332"/>
      <c r="AL539" s="332"/>
      <c r="AM539" s="332"/>
      <c r="AN539" s="332"/>
      <c r="AP539" s="332"/>
      <c r="AT539" s="332"/>
    </row>
    <row r="540" spans="1:46" ht="9.75" customHeight="1">
      <c r="A540" s="332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  <c r="AA540" s="332"/>
      <c r="AB540" s="332"/>
      <c r="AC540" s="332"/>
      <c r="AD540" s="332"/>
      <c r="AE540" s="332"/>
      <c r="AF540" s="332"/>
      <c r="AG540" s="332"/>
      <c r="AH540" s="332"/>
      <c r="AI540" s="332"/>
      <c r="AJ540" s="332"/>
      <c r="AK540" s="332"/>
      <c r="AL540" s="332"/>
      <c r="AM540" s="332"/>
      <c r="AN540" s="332"/>
      <c r="AP540" s="332"/>
      <c r="AT540" s="332"/>
    </row>
    <row r="541" spans="1:46" ht="9.75" customHeight="1">
      <c r="A541" s="332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  <c r="AA541" s="332"/>
      <c r="AB541" s="332"/>
      <c r="AC541" s="332"/>
      <c r="AD541" s="332"/>
      <c r="AE541" s="332"/>
      <c r="AF541" s="332"/>
      <c r="AG541" s="332"/>
      <c r="AH541" s="332"/>
      <c r="AI541" s="332"/>
      <c r="AJ541" s="332"/>
      <c r="AK541" s="332"/>
      <c r="AL541" s="332"/>
      <c r="AM541" s="332"/>
      <c r="AN541" s="332"/>
      <c r="AP541" s="332"/>
      <c r="AT541" s="332"/>
    </row>
    <row r="542" spans="1:46" ht="9.75" customHeight="1">
      <c r="A542" s="332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  <c r="Z542" s="332"/>
      <c r="AA542" s="332"/>
      <c r="AB542" s="332"/>
      <c r="AC542" s="332"/>
      <c r="AD542" s="332"/>
      <c r="AE542" s="332"/>
      <c r="AF542" s="332"/>
      <c r="AG542" s="332"/>
      <c r="AH542" s="332"/>
      <c r="AI542" s="332"/>
      <c r="AJ542" s="332"/>
      <c r="AK542" s="332"/>
      <c r="AL542" s="332"/>
      <c r="AM542" s="332"/>
      <c r="AN542" s="332"/>
      <c r="AP542" s="332"/>
      <c r="AT542" s="332"/>
    </row>
    <row r="543" spans="1:46" ht="9.75" customHeight="1">
      <c r="A543" s="332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  <c r="AA543" s="332"/>
      <c r="AB543" s="332"/>
      <c r="AC543" s="332"/>
      <c r="AD543" s="332"/>
      <c r="AE543" s="332"/>
      <c r="AF543" s="332"/>
      <c r="AG543" s="332"/>
      <c r="AH543" s="332"/>
      <c r="AI543" s="332"/>
      <c r="AJ543" s="332"/>
      <c r="AK543" s="332"/>
      <c r="AL543" s="332"/>
      <c r="AM543" s="332"/>
      <c r="AN543" s="332"/>
      <c r="AP543" s="332"/>
      <c r="AT543" s="332"/>
    </row>
    <row r="544" spans="1:46" ht="9.75" customHeight="1">
      <c r="A544" s="332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  <c r="AA544" s="332"/>
      <c r="AB544" s="332"/>
      <c r="AC544" s="332"/>
      <c r="AD544" s="332"/>
      <c r="AE544" s="332"/>
      <c r="AF544" s="332"/>
      <c r="AG544" s="332"/>
      <c r="AH544" s="332"/>
      <c r="AI544" s="332"/>
      <c r="AJ544" s="332"/>
      <c r="AK544" s="332"/>
      <c r="AL544" s="332"/>
      <c r="AM544" s="332"/>
      <c r="AN544" s="332"/>
      <c r="AP544" s="332"/>
      <c r="AT544" s="332"/>
    </row>
    <row r="545" spans="1:46" ht="9.75" customHeight="1">
      <c r="A545" s="332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  <c r="AA545" s="332"/>
      <c r="AB545" s="332"/>
      <c r="AC545" s="332"/>
      <c r="AD545" s="332"/>
      <c r="AE545" s="332"/>
      <c r="AF545" s="332"/>
      <c r="AG545" s="332"/>
      <c r="AH545" s="332"/>
      <c r="AI545" s="332"/>
      <c r="AJ545" s="332"/>
      <c r="AK545" s="332"/>
      <c r="AL545" s="332"/>
      <c r="AM545" s="332"/>
      <c r="AN545" s="332"/>
      <c r="AP545" s="332"/>
      <c r="AT545" s="332"/>
    </row>
    <row r="546" spans="1:46" ht="9.75" customHeight="1">
      <c r="A546" s="332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  <c r="AA546" s="332"/>
      <c r="AB546" s="332"/>
      <c r="AC546" s="332"/>
      <c r="AD546" s="332"/>
      <c r="AE546" s="332"/>
      <c r="AF546" s="332"/>
      <c r="AG546" s="332"/>
      <c r="AH546" s="332"/>
      <c r="AI546" s="332"/>
      <c r="AJ546" s="332"/>
      <c r="AK546" s="332"/>
      <c r="AL546" s="332"/>
      <c r="AM546" s="332"/>
      <c r="AN546" s="332"/>
      <c r="AP546" s="332"/>
      <c r="AT546" s="332"/>
    </row>
    <row r="547" spans="1:46" ht="9.75" customHeight="1">
      <c r="A547" s="332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  <c r="AA547" s="332"/>
      <c r="AB547" s="332"/>
      <c r="AC547" s="332"/>
      <c r="AD547" s="332"/>
      <c r="AE547" s="332"/>
      <c r="AF547" s="332"/>
      <c r="AG547" s="332"/>
      <c r="AH547" s="332"/>
      <c r="AI547" s="332"/>
      <c r="AJ547" s="332"/>
      <c r="AK547" s="332"/>
      <c r="AL547" s="332"/>
      <c r="AM547" s="332"/>
      <c r="AN547" s="332"/>
      <c r="AP547" s="332"/>
      <c r="AT547" s="332"/>
    </row>
    <row r="548" spans="1:46" ht="9.75" customHeight="1">
      <c r="A548" s="332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  <c r="AA548" s="332"/>
      <c r="AB548" s="332"/>
      <c r="AC548" s="332"/>
      <c r="AD548" s="332"/>
      <c r="AE548" s="332"/>
      <c r="AF548" s="332"/>
      <c r="AG548" s="332"/>
      <c r="AH548" s="332"/>
      <c r="AI548" s="332"/>
      <c r="AJ548" s="332"/>
      <c r="AK548" s="332"/>
      <c r="AL548" s="332"/>
      <c r="AM548" s="332"/>
      <c r="AN548" s="332"/>
      <c r="AP548" s="332"/>
      <c r="AT548" s="332"/>
    </row>
    <row r="549" spans="1:46" ht="9.75" customHeight="1">
      <c r="A549" s="332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  <c r="AA549" s="332"/>
      <c r="AB549" s="332"/>
      <c r="AC549" s="332"/>
      <c r="AD549" s="332"/>
      <c r="AE549" s="332"/>
      <c r="AF549" s="332"/>
      <c r="AG549" s="332"/>
      <c r="AH549" s="332"/>
      <c r="AI549" s="332"/>
      <c r="AJ549" s="332"/>
      <c r="AK549" s="332"/>
      <c r="AL549" s="332"/>
      <c r="AM549" s="332"/>
      <c r="AN549" s="332"/>
      <c r="AP549" s="332"/>
      <c r="AT549" s="332"/>
    </row>
    <row r="550" spans="1:46" ht="9.75" customHeight="1">
      <c r="A550" s="332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  <c r="AA550" s="332"/>
      <c r="AB550" s="332"/>
      <c r="AC550" s="332"/>
      <c r="AD550" s="332"/>
      <c r="AE550" s="332"/>
      <c r="AF550" s="332"/>
      <c r="AG550" s="332"/>
      <c r="AH550" s="332"/>
      <c r="AI550" s="332"/>
      <c r="AJ550" s="332"/>
      <c r="AK550" s="332"/>
      <c r="AL550" s="332"/>
      <c r="AM550" s="332"/>
      <c r="AN550" s="332"/>
      <c r="AP550" s="332"/>
      <c r="AT550" s="332"/>
    </row>
    <row r="551" spans="1:46" ht="9.75" customHeight="1">
      <c r="A551" s="332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  <c r="AA551" s="332"/>
      <c r="AB551" s="332"/>
      <c r="AC551" s="332"/>
      <c r="AD551" s="332"/>
      <c r="AE551" s="332"/>
      <c r="AF551" s="332"/>
      <c r="AG551" s="332"/>
      <c r="AH551" s="332"/>
      <c r="AI551" s="332"/>
      <c r="AJ551" s="332"/>
      <c r="AK551" s="332"/>
      <c r="AL551" s="332"/>
      <c r="AM551" s="332"/>
      <c r="AN551" s="332"/>
      <c r="AP551" s="332"/>
      <c r="AT551" s="332"/>
    </row>
    <row r="552" spans="1:46" ht="9.75" customHeight="1">
      <c r="A552" s="332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  <c r="AA552" s="332"/>
      <c r="AB552" s="332"/>
      <c r="AC552" s="332"/>
      <c r="AD552" s="332"/>
      <c r="AE552" s="332"/>
      <c r="AF552" s="332"/>
      <c r="AG552" s="332"/>
      <c r="AH552" s="332"/>
      <c r="AI552" s="332"/>
      <c r="AJ552" s="332"/>
      <c r="AK552" s="332"/>
      <c r="AL552" s="332"/>
      <c r="AM552" s="332"/>
      <c r="AN552" s="332"/>
      <c r="AP552" s="332"/>
      <c r="AT552" s="332"/>
    </row>
    <row r="553" spans="1:46" ht="9.75" customHeight="1">
      <c r="A553" s="332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  <c r="AA553" s="332"/>
      <c r="AB553" s="332"/>
      <c r="AC553" s="332"/>
      <c r="AD553" s="332"/>
      <c r="AE553" s="332"/>
      <c r="AF553" s="332"/>
      <c r="AG553" s="332"/>
      <c r="AH553" s="332"/>
      <c r="AI553" s="332"/>
      <c r="AJ553" s="332"/>
      <c r="AK553" s="332"/>
      <c r="AL553" s="332"/>
      <c r="AM553" s="332"/>
      <c r="AN553" s="332"/>
      <c r="AP553" s="332"/>
      <c r="AT553" s="332"/>
    </row>
    <row r="554" spans="1:46" ht="9.75" customHeight="1">
      <c r="A554" s="332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  <c r="AA554" s="332"/>
      <c r="AB554" s="332"/>
      <c r="AC554" s="332"/>
      <c r="AD554" s="332"/>
      <c r="AE554" s="332"/>
      <c r="AF554" s="332"/>
      <c r="AG554" s="332"/>
      <c r="AH554" s="332"/>
      <c r="AI554" s="332"/>
      <c r="AJ554" s="332"/>
      <c r="AK554" s="332"/>
      <c r="AL554" s="332"/>
      <c r="AM554" s="332"/>
      <c r="AN554" s="332"/>
      <c r="AP554" s="332"/>
      <c r="AT554" s="332"/>
    </row>
    <row r="555" spans="1:46" ht="9.75" customHeight="1">
      <c r="A555" s="332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  <c r="AA555" s="332"/>
      <c r="AB555" s="332"/>
      <c r="AC555" s="332"/>
      <c r="AD555" s="332"/>
      <c r="AE555" s="332"/>
      <c r="AF555" s="332"/>
      <c r="AG555" s="332"/>
      <c r="AH555" s="332"/>
      <c r="AI555" s="332"/>
      <c r="AJ555" s="332"/>
      <c r="AK555" s="332"/>
      <c r="AL555" s="332"/>
      <c r="AM555" s="332"/>
      <c r="AN555" s="332"/>
      <c r="AP555" s="332"/>
      <c r="AT555" s="332"/>
    </row>
    <row r="556" spans="1:46" ht="9.75" customHeight="1">
      <c r="A556" s="332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  <c r="AA556" s="332"/>
      <c r="AB556" s="332"/>
      <c r="AC556" s="332"/>
      <c r="AD556" s="332"/>
      <c r="AE556" s="332"/>
      <c r="AF556" s="332"/>
      <c r="AG556" s="332"/>
      <c r="AH556" s="332"/>
      <c r="AI556" s="332"/>
      <c r="AJ556" s="332"/>
      <c r="AK556" s="332"/>
      <c r="AL556" s="332"/>
      <c r="AM556" s="332"/>
      <c r="AN556" s="332"/>
      <c r="AP556" s="332"/>
      <c r="AT556" s="332"/>
    </row>
    <row r="557" spans="1:46" ht="9.75" customHeight="1">
      <c r="A557" s="332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  <c r="AA557" s="332"/>
      <c r="AB557" s="332"/>
      <c r="AC557" s="332"/>
      <c r="AD557" s="332"/>
      <c r="AE557" s="332"/>
      <c r="AF557" s="332"/>
      <c r="AG557" s="332"/>
      <c r="AH557" s="332"/>
      <c r="AI557" s="332"/>
      <c r="AJ557" s="332"/>
      <c r="AK557" s="332"/>
      <c r="AL557" s="332"/>
      <c r="AM557" s="332"/>
      <c r="AN557" s="332"/>
      <c r="AP557" s="332"/>
      <c r="AT557" s="332"/>
    </row>
    <row r="558" spans="1:46" ht="9.75" customHeight="1">
      <c r="A558" s="332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  <c r="Z558" s="332"/>
      <c r="AA558" s="332"/>
      <c r="AB558" s="332"/>
      <c r="AC558" s="332"/>
      <c r="AD558" s="332"/>
      <c r="AE558" s="332"/>
      <c r="AF558" s="332"/>
      <c r="AG558" s="332"/>
      <c r="AH558" s="332"/>
      <c r="AI558" s="332"/>
      <c r="AJ558" s="332"/>
      <c r="AK558" s="332"/>
      <c r="AL558" s="332"/>
      <c r="AM558" s="332"/>
      <c r="AN558" s="332"/>
      <c r="AP558" s="332"/>
      <c r="AT558" s="332"/>
    </row>
    <row r="559" spans="1:46" ht="9.75" customHeight="1">
      <c r="A559" s="332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  <c r="AA559" s="332"/>
      <c r="AB559" s="332"/>
      <c r="AC559" s="332"/>
      <c r="AD559" s="332"/>
      <c r="AE559" s="332"/>
      <c r="AF559" s="332"/>
      <c r="AG559" s="332"/>
      <c r="AH559" s="332"/>
      <c r="AI559" s="332"/>
      <c r="AJ559" s="332"/>
      <c r="AK559" s="332"/>
      <c r="AL559" s="332"/>
      <c r="AM559" s="332"/>
      <c r="AN559" s="332"/>
      <c r="AP559" s="332"/>
      <c r="AT559" s="332"/>
    </row>
    <row r="560" spans="1:46" ht="9.75" customHeight="1">
      <c r="A560" s="332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  <c r="AA560" s="332"/>
      <c r="AB560" s="332"/>
      <c r="AC560" s="332"/>
      <c r="AD560" s="332"/>
      <c r="AE560" s="332"/>
      <c r="AF560" s="332"/>
      <c r="AG560" s="332"/>
      <c r="AH560" s="332"/>
      <c r="AI560" s="332"/>
      <c r="AJ560" s="332"/>
      <c r="AK560" s="332"/>
      <c r="AL560" s="332"/>
      <c r="AM560" s="332"/>
      <c r="AN560" s="332"/>
      <c r="AP560" s="332"/>
      <c r="AT560" s="332"/>
    </row>
    <row r="561" spans="1:46" ht="9.75" customHeight="1">
      <c r="A561" s="332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  <c r="AA561" s="332"/>
      <c r="AB561" s="332"/>
      <c r="AC561" s="332"/>
      <c r="AD561" s="332"/>
      <c r="AE561" s="332"/>
      <c r="AF561" s="332"/>
      <c r="AG561" s="332"/>
      <c r="AH561" s="332"/>
      <c r="AI561" s="332"/>
      <c r="AJ561" s="332"/>
      <c r="AK561" s="332"/>
      <c r="AL561" s="332"/>
      <c r="AM561" s="332"/>
      <c r="AN561" s="332"/>
      <c r="AP561" s="332"/>
      <c r="AT561" s="332"/>
    </row>
    <row r="562" spans="1:46" ht="9.75" customHeight="1">
      <c r="A562" s="332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  <c r="AA562" s="332"/>
      <c r="AB562" s="332"/>
      <c r="AC562" s="332"/>
      <c r="AD562" s="332"/>
      <c r="AE562" s="332"/>
      <c r="AF562" s="332"/>
      <c r="AG562" s="332"/>
      <c r="AH562" s="332"/>
      <c r="AI562" s="332"/>
      <c r="AJ562" s="332"/>
      <c r="AK562" s="332"/>
      <c r="AL562" s="332"/>
      <c r="AM562" s="332"/>
      <c r="AN562" s="332"/>
      <c r="AP562" s="332"/>
      <c r="AT562" s="332"/>
    </row>
    <row r="563" spans="1:46" ht="9.75" customHeight="1">
      <c r="A563" s="332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  <c r="Z563" s="332"/>
      <c r="AA563" s="332"/>
      <c r="AB563" s="332"/>
      <c r="AC563" s="332"/>
      <c r="AD563" s="332"/>
      <c r="AE563" s="332"/>
      <c r="AF563" s="332"/>
      <c r="AG563" s="332"/>
      <c r="AH563" s="332"/>
      <c r="AI563" s="332"/>
      <c r="AJ563" s="332"/>
      <c r="AK563" s="332"/>
      <c r="AL563" s="332"/>
      <c r="AM563" s="332"/>
      <c r="AN563" s="332"/>
      <c r="AP563" s="332"/>
      <c r="AT563" s="332"/>
    </row>
    <row r="564" spans="1:46" ht="9.75" customHeight="1">
      <c r="A564" s="332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  <c r="AA564" s="332"/>
      <c r="AB564" s="332"/>
      <c r="AC564" s="332"/>
      <c r="AD564" s="332"/>
      <c r="AE564" s="332"/>
      <c r="AF564" s="332"/>
      <c r="AG564" s="332"/>
      <c r="AH564" s="332"/>
      <c r="AI564" s="332"/>
      <c r="AJ564" s="332"/>
      <c r="AK564" s="332"/>
      <c r="AL564" s="332"/>
      <c r="AM564" s="332"/>
      <c r="AN564" s="332"/>
      <c r="AP564" s="332"/>
      <c r="AT564" s="332"/>
    </row>
    <row r="565" spans="1:46" ht="9.75" customHeight="1">
      <c r="A565" s="332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  <c r="AA565" s="332"/>
      <c r="AB565" s="332"/>
      <c r="AC565" s="332"/>
      <c r="AD565" s="332"/>
      <c r="AE565" s="332"/>
      <c r="AF565" s="332"/>
      <c r="AG565" s="332"/>
      <c r="AH565" s="332"/>
      <c r="AI565" s="332"/>
      <c r="AJ565" s="332"/>
      <c r="AK565" s="332"/>
      <c r="AL565" s="332"/>
      <c r="AM565" s="332"/>
      <c r="AN565" s="332"/>
      <c r="AP565" s="332"/>
      <c r="AT565" s="332"/>
    </row>
    <row r="566" spans="1:46" ht="9.75" customHeight="1">
      <c r="A566" s="332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  <c r="AA566" s="332"/>
      <c r="AB566" s="332"/>
      <c r="AC566" s="332"/>
      <c r="AD566" s="332"/>
      <c r="AE566" s="332"/>
      <c r="AF566" s="332"/>
      <c r="AG566" s="332"/>
      <c r="AH566" s="332"/>
      <c r="AI566" s="332"/>
      <c r="AJ566" s="332"/>
      <c r="AK566" s="332"/>
      <c r="AL566" s="332"/>
      <c r="AM566" s="332"/>
      <c r="AN566" s="332"/>
      <c r="AP566" s="332"/>
      <c r="AT566" s="332"/>
    </row>
    <row r="567" spans="1:46" ht="9.75" customHeight="1">
      <c r="A567" s="332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  <c r="AA567" s="332"/>
      <c r="AB567" s="332"/>
      <c r="AC567" s="332"/>
      <c r="AD567" s="332"/>
      <c r="AE567" s="332"/>
      <c r="AF567" s="332"/>
      <c r="AG567" s="332"/>
      <c r="AH567" s="332"/>
      <c r="AI567" s="332"/>
      <c r="AJ567" s="332"/>
      <c r="AK567" s="332"/>
      <c r="AL567" s="332"/>
      <c r="AM567" s="332"/>
      <c r="AN567" s="332"/>
      <c r="AP567" s="332"/>
      <c r="AT567" s="332"/>
    </row>
    <row r="568" spans="1:46" ht="9.75" customHeight="1">
      <c r="A568" s="332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  <c r="AA568" s="332"/>
      <c r="AB568" s="332"/>
      <c r="AC568" s="332"/>
      <c r="AD568" s="332"/>
      <c r="AE568" s="332"/>
      <c r="AF568" s="332"/>
      <c r="AG568" s="332"/>
      <c r="AH568" s="332"/>
      <c r="AI568" s="332"/>
      <c r="AJ568" s="332"/>
      <c r="AK568" s="332"/>
      <c r="AL568" s="332"/>
      <c r="AM568" s="332"/>
      <c r="AN568" s="332"/>
      <c r="AP568" s="332"/>
      <c r="AT568" s="332"/>
    </row>
    <row r="569" spans="1:46" ht="9.75" customHeight="1">
      <c r="A569" s="332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  <c r="AA569" s="332"/>
      <c r="AB569" s="332"/>
      <c r="AC569" s="332"/>
      <c r="AD569" s="332"/>
      <c r="AE569" s="332"/>
      <c r="AF569" s="332"/>
      <c r="AG569" s="332"/>
      <c r="AH569" s="332"/>
      <c r="AI569" s="332"/>
      <c r="AJ569" s="332"/>
      <c r="AK569" s="332"/>
      <c r="AL569" s="332"/>
      <c r="AM569" s="332"/>
      <c r="AN569" s="332"/>
      <c r="AP569" s="332"/>
      <c r="AT569" s="332"/>
    </row>
    <row r="570" spans="1:46" ht="9.75" customHeight="1">
      <c r="A570" s="332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  <c r="AA570" s="332"/>
      <c r="AB570" s="332"/>
      <c r="AC570" s="332"/>
      <c r="AD570" s="332"/>
      <c r="AE570" s="332"/>
      <c r="AF570" s="332"/>
      <c r="AG570" s="332"/>
      <c r="AH570" s="332"/>
      <c r="AI570" s="332"/>
      <c r="AJ570" s="332"/>
      <c r="AK570" s="332"/>
      <c r="AL570" s="332"/>
      <c r="AM570" s="332"/>
      <c r="AN570" s="332"/>
      <c r="AP570" s="332"/>
      <c r="AT570" s="332"/>
    </row>
    <row r="571" spans="1:46" ht="9.75" customHeight="1">
      <c r="A571" s="332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  <c r="AA571" s="332"/>
      <c r="AB571" s="332"/>
      <c r="AC571" s="332"/>
      <c r="AD571" s="332"/>
      <c r="AE571" s="332"/>
      <c r="AF571" s="332"/>
      <c r="AG571" s="332"/>
      <c r="AH571" s="332"/>
      <c r="AI571" s="332"/>
      <c r="AJ571" s="332"/>
      <c r="AK571" s="332"/>
      <c r="AL571" s="332"/>
      <c r="AM571" s="332"/>
      <c r="AN571" s="332"/>
      <c r="AP571" s="332"/>
      <c r="AT571" s="332"/>
    </row>
    <row r="572" spans="1:46" ht="9.75" customHeight="1">
      <c r="A572" s="332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  <c r="AA572" s="332"/>
      <c r="AB572" s="332"/>
      <c r="AC572" s="332"/>
      <c r="AD572" s="332"/>
      <c r="AE572" s="332"/>
      <c r="AF572" s="332"/>
      <c r="AG572" s="332"/>
      <c r="AH572" s="332"/>
      <c r="AI572" s="332"/>
      <c r="AJ572" s="332"/>
      <c r="AK572" s="332"/>
      <c r="AL572" s="332"/>
      <c r="AM572" s="332"/>
      <c r="AN572" s="332"/>
      <c r="AP572" s="332"/>
      <c r="AT572" s="332"/>
    </row>
    <row r="573" spans="1:46" ht="9.75" customHeight="1">
      <c r="A573" s="332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  <c r="AA573" s="332"/>
      <c r="AB573" s="332"/>
      <c r="AC573" s="332"/>
      <c r="AD573" s="332"/>
      <c r="AE573" s="332"/>
      <c r="AF573" s="332"/>
      <c r="AG573" s="332"/>
      <c r="AH573" s="332"/>
      <c r="AI573" s="332"/>
      <c r="AJ573" s="332"/>
      <c r="AK573" s="332"/>
      <c r="AL573" s="332"/>
      <c r="AM573" s="332"/>
      <c r="AN573" s="332"/>
      <c r="AP573" s="332"/>
      <c r="AT573" s="332"/>
    </row>
    <row r="574" spans="1:46" ht="9.75" customHeight="1">
      <c r="A574" s="332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  <c r="AA574" s="332"/>
      <c r="AB574" s="332"/>
      <c r="AC574" s="332"/>
      <c r="AD574" s="332"/>
      <c r="AE574" s="332"/>
      <c r="AF574" s="332"/>
      <c r="AG574" s="332"/>
      <c r="AH574" s="332"/>
      <c r="AI574" s="332"/>
      <c r="AJ574" s="332"/>
      <c r="AK574" s="332"/>
      <c r="AL574" s="332"/>
      <c r="AM574" s="332"/>
      <c r="AN574" s="332"/>
      <c r="AP574" s="332"/>
      <c r="AT574" s="332"/>
    </row>
    <row r="575" spans="1:46" ht="9.75" customHeight="1">
      <c r="A575" s="332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  <c r="AA575" s="332"/>
      <c r="AB575" s="332"/>
      <c r="AC575" s="332"/>
      <c r="AD575" s="332"/>
      <c r="AE575" s="332"/>
      <c r="AF575" s="332"/>
      <c r="AG575" s="332"/>
      <c r="AH575" s="332"/>
      <c r="AI575" s="332"/>
      <c r="AJ575" s="332"/>
      <c r="AK575" s="332"/>
      <c r="AL575" s="332"/>
      <c r="AM575" s="332"/>
      <c r="AN575" s="332"/>
      <c r="AP575" s="332"/>
      <c r="AT575" s="332"/>
    </row>
    <row r="576" spans="1:46" ht="9.75" customHeight="1">
      <c r="A576" s="332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  <c r="AA576" s="332"/>
      <c r="AB576" s="332"/>
      <c r="AC576" s="332"/>
      <c r="AD576" s="332"/>
      <c r="AE576" s="332"/>
      <c r="AF576" s="332"/>
      <c r="AG576" s="332"/>
      <c r="AH576" s="332"/>
      <c r="AI576" s="332"/>
      <c r="AJ576" s="332"/>
      <c r="AK576" s="332"/>
      <c r="AL576" s="332"/>
      <c r="AM576" s="332"/>
      <c r="AN576" s="332"/>
      <c r="AP576" s="332"/>
      <c r="AT576" s="332"/>
    </row>
    <row r="577" spans="1:46" ht="9.75" customHeight="1">
      <c r="A577" s="332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  <c r="Z577" s="332"/>
      <c r="AA577" s="332"/>
      <c r="AB577" s="332"/>
      <c r="AC577" s="332"/>
      <c r="AD577" s="332"/>
      <c r="AE577" s="332"/>
      <c r="AF577" s="332"/>
      <c r="AG577" s="332"/>
      <c r="AH577" s="332"/>
      <c r="AI577" s="332"/>
      <c r="AJ577" s="332"/>
      <c r="AK577" s="332"/>
      <c r="AL577" s="332"/>
      <c r="AM577" s="332"/>
      <c r="AN577" s="332"/>
      <c r="AP577" s="332"/>
      <c r="AT577" s="332"/>
    </row>
    <row r="578" spans="1:46" ht="9.75" customHeight="1">
      <c r="A578" s="332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  <c r="AA578" s="332"/>
      <c r="AB578" s="332"/>
      <c r="AC578" s="332"/>
      <c r="AD578" s="332"/>
      <c r="AE578" s="332"/>
      <c r="AF578" s="332"/>
      <c r="AG578" s="332"/>
      <c r="AH578" s="332"/>
      <c r="AI578" s="332"/>
      <c r="AJ578" s="332"/>
      <c r="AK578" s="332"/>
      <c r="AL578" s="332"/>
      <c r="AM578" s="332"/>
      <c r="AN578" s="332"/>
      <c r="AP578" s="332"/>
      <c r="AT578" s="332"/>
    </row>
    <row r="579" spans="1:46" ht="9.75" customHeight="1">
      <c r="A579" s="332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  <c r="AA579" s="332"/>
      <c r="AB579" s="332"/>
      <c r="AC579" s="332"/>
      <c r="AD579" s="332"/>
      <c r="AE579" s="332"/>
      <c r="AF579" s="332"/>
      <c r="AG579" s="332"/>
      <c r="AH579" s="332"/>
      <c r="AI579" s="332"/>
      <c r="AJ579" s="332"/>
      <c r="AK579" s="332"/>
      <c r="AL579" s="332"/>
      <c r="AM579" s="332"/>
      <c r="AN579" s="332"/>
      <c r="AP579" s="332"/>
      <c r="AT579" s="332"/>
    </row>
    <row r="580" spans="1:46" ht="9.75" customHeight="1">
      <c r="A580" s="332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  <c r="AA580" s="332"/>
      <c r="AB580" s="332"/>
      <c r="AC580" s="332"/>
      <c r="AD580" s="332"/>
      <c r="AE580" s="332"/>
      <c r="AF580" s="332"/>
      <c r="AG580" s="332"/>
      <c r="AH580" s="332"/>
      <c r="AI580" s="332"/>
      <c r="AJ580" s="332"/>
      <c r="AK580" s="332"/>
      <c r="AL580" s="332"/>
      <c r="AM580" s="332"/>
      <c r="AN580" s="332"/>
      <c r="AP580" s="332"/>
      <c r="AT580" s="332"/>
    </row>
    <row r="581" spans="1:46" ht="9.75" customHeight="1">
      <c r="A581" s="332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  <c r="AA581" s="332"/>
      <c r="AB581" s="332"/>
      <c r="AC581" s="332"/>
      <c r="AD581" s="332"/>
      <c r="AE581" s="332"/>
      <c r="AF581" s="332"/>
      <c r="AG581" s="332"/>
      <c r="AH581" s="332"/>
      <c r="AI581" s="332"/>
      <c r="AJ581" s="332"/>
      <c r="AK581" s="332"/>
      <c r="AL581" s="332"/>
      <c r="AM581" s="332"/>
      <c r="AN581" s="332"/>
      <c r="AP581" s="332"/>
      <c r="AT581" s="332"/>
    </row>
    <row r="582" spans="1:46" ht="9.75" customHeight="1">
      <c r="A582" s="332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  <c r="Z582" s="332"/>
      <c r="AA582" s="332"/>
      <c r="AB582" s="332"/>
      <c r="AC582" s="332"/>
      <c r="AD582" s="332"/>
      <c r="AE582" s="332"/>
      <c r="AF582" s="332"/>
      <c r="AG582" s="332"/>
      <c r="AH582" s="332"/>
      <c r="AI582" s="332"/>
      <c r="AJ582" s="332"/>
      <c r="AK582" s="332"/>
      <c r="AL582" s="332"/>
      <c r="AM582" s="332"/>
      <c r="AN582" s="332"/>
      <c r="AP582" s="332"/>
      <c r="AT582" s="332"/>
    </row>
    <row r="583" spans="1:46" ht="9.75" customHeight="1">
      <c r="A583" s="332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  <c r="AA583" s="332"/>
      <c r="AB583" s="332"/>
      <c r="AC583" s="332"/>
      <c r="AD583" s="332"/>
      <c r="AE583" s="332"/>
      <c r="AF583" s="332"/>
      <c r="AG583" s="332"/>
      <c r="AH583" s="332"/>
      <c r="AI583" s="332"/>
      <c r="AJ583" s="332"/>
      <c r="AK583" s="332"/>
      <c r="AL583" s="332"/>
      <c r="AM583" s="332"/>
      <c r="AN583" s="332"/>
      <c r="AP583" s="332"/>
      <c r="AT583" s="332"/>
    </row>
    <row r="584" spans="1:46" ht="9.75" customHeight="1">
      <c r="A584" s="332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  <c r="AA584" s="332"/>
      <c r="AB584" s="332"/>
      <c r="AC584" s="332"/>
      <c r="AD584" s="332"/>
      <c r="AE584" s="332"/>
      <c r="AF584" s="332"/>
      <c r="AG584" s="332"/>
      <c r="AH584" s="332"/>
      <c r="AI584" s="332"/>
      <c r="AJ584" s="332"/>
      <c r="AK584" s="332"/>
      <c r="AL584" s="332"/>
      <c r="AM584" s="332"/>
      <c r="AN584" s="332"/>
      <c r="AP584" s="332"/>
      <c r="AT584" s="332"/>
    </row>
    <row r="585" spans="1:46" ht="9.75" customHeight="1">
      <c r="A585" s="332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  <c r="AA585" s="332"/>
      <c r="AB585" s="332"/>
      <c r="AC585" s="332"/>
      <c r="AD585" s="332"/>
      <c r="AE585" s="332"/>
      <c r="AF585" s="332"/>
      <c r="AG585" s="332"/>
      <c r="AH585" s="332"/>
      <c r="AI585" s="332"/>
      <c r="AJ585" s="332"/>
      <c r="AK585" s="332"/>
      <c r="AL585" s="332"/>
      <c r="AM585" s="332"/>
      <c r="AN585" s="332"/>
      <c r="AP585" s="332"/>
      <c r="AT585" s="332"/>
    </row>
    <row r="586" spans="1:46" ht="9.75" customHeight="1">
      <c r="A586" s="332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  <c r="AA586" s="332"/>
      <c r="AB586" s="332"/>
      <c r="AC586" s="332"/>
      <c r="AD586" s="332"/>
      <c r="AE586" s="332"/>
      <c r="AF586" s="332"/>
      <c r="AG586" s="332"/>
      <c r="AH586" s="332"/>
      <c r="AI586" s="332"/>
      <c r="AJ586" s="332"/>
      <c r="AK586" s="332"/>
      <c r="AL586" s="332"/>
      <c r="AM586" s="332"/>
      <c r="AN586" s="332"/>
      <c r="AP586" s="332"/>
      <c r="AT586" s="332"/>
    </row>
    <row r="587" spans="1:46" ht="9.75" customHeight="1">
      <c r="A587" s="332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  <c r="Z587" s="332"/>
      <c r="AA587" s="332"/>
      <c r="AB587" s="332"/>
      <c r="AC587" s="332"/>
      <c r="AD587" s="332"/>
      <c r="AE587" s="332"/>
      <c r="AF587" s="332"/>
      <c r="AG587" s="332"/>
      <c r="AH587" s="332"/>
      <c r="AI587" s="332"/>
      <c r="AJ587" s="332"/>
      <c r="AK587" s="332"/>
      <c r="AL587" s="332"/>
      <c r="AM587" s="332"/>
      <c r="AN587" s="332"/>
      <c r="AP587" s="332"/>
      <c r="AT587" s="332"/>
    </row>
    <row r="588" spans="1:46" ht="9.75" customHeight="1">
      <c r="A588" s="332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  <c r="AA588" s="332"/>
      <c r="AB588" s="332"/>
      <c r="AC588" s="332"/>
      <c r="AD588" s="332"/>
      <c r="AE588" s="332"/>
      <c r="AF588" s="332"/>
      <c r="AG588" s="332"/>
      <c r="AH588" s="332"/>
      <c r="AI588" s="332"/>
      <c r="AJ588" s="332"/>
      <c r="AK588" s="332"/>
      <c r="AL588" s="332"/>
      <c r="AM588" s="332"/>
      <c r="AN588" s="332"/>
      <c r="AP588" s="332"/>
      <c r="AT588" s="332"/>
    </row>
    <row r="589" spans="1:46" ht="9.75" customHeight="1">
      <c r="A589" s="332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  <c r="AA589" s="332"/>
      <c r="AB589" s="332"/>
      <c r="AC589" s="332"/>
      <c r="AD589" s="332"/>
      <c r="AE589" s="332"/>
      <c r="AF589" s="332"/>
      <c r="AG589" s="332"/>
      <c r="AH589" s="332"/>
      <c r="AI589" s="332"/>
      <c r="AJ589" s="332"/>
      <c r="AK589" s="332"/>
      <c r="AL589" s="332"/>
      <c r="AM589" s="332"/>
      <c r="AN589" s="332"/>
      <c r="AP589" s="332"/>
      <c r="AT589" s="332"/>
    </row>
    <row r="590" spans="1:46" ht="9.75" customHeight="1">
      <c r="A590" s="332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  <c r="Z590" s="332"/>
      <c r="AA590" s="332"/>
      <c r="AB590" s="332"/>
      <c r="AC590" s="332"/>
      <c r="AD590" s="332"/>
      <c r="AE590" s="332"/>
      <c r="AF590" s="332"/>
      <c r="AG590" s="332"/>
      <c r="AH590" s="332"/>
      <c r="AI590" s="332"/>
      <c r="AJ590" s="332"/>
      <c r="AK590" s="332"/>
      <c r="AL590" s="332"/>
      <c r="AM590" s="332"/>
      <c r="AN590" s="332"/>
      <c r="AP590" s="332"/>
      <c r="AT590" s="332"/>
    </row>
    <row r="591" spans="1:46" ht="9.75" customHeight="1">
      <c r="A591" s="332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  <c r="AA591" s="332"/>
      <c r="AB591" s="332"/>
      <c r="AC591" s="332"/>
      <c r="AD591" s="332"/>
      <c r="AE591" s="332"/>
      <c r="AF591" s="332"/>
      <c r="AG591" s="332"/>
      <c r="AH591" s="332"/>
      <c r="AI591" s="332"/>
      <c r="AJ591" s="332"/>
      <c r="AK591" s="332"/>
      <c r="AL591" s="332"/>
      <c r="AM591" s="332"/>
      <c r="AN591" s="332"/>
      <c r="AP591" s="332"/>
      <c r="AT591" s="332"/>
    </row>
    <row r="592" spans="1:46" ht="9.75" customHeight="1">
      <c r="A592" s="332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  <c r="AA592" s="332"/>
      <c r="AB592" s="332"/>
      <c r="AC592" s="332"/>
      <c r="AD592" s="332"/>
      <c r="AE592" s="332"/>
      <c r="AF592" s="332"/>
      <c r="AG592" s="332"/>
      <c r="AH592" s="332"/>
      <c r="AI592" s="332"/>
      <c r="AJ592" s="332"/>
      <c r="AK592" s="332"/>
      <c r="AL592" s="332"/>
      <c r="AM592" s="332"/>
      <c r="AN592" s="332"/>
      <c r="AP592" s="332"/>
      <c r="AT592" s="332"/>
    </row>
    <row r="593" spans="1:46" ht="9.75" customHeight="1">
      <c r="A593" s="332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  <c r="AA593" s="332"/>
      <c r="AB593" s="332"/>
      <c r="AC593" s="332"/>
      <c r="AD593" s="332"/>
      <c r="AE593" s="332"/>
      <c r="AF593" s="332"/>
      <c r="AG593" s="332"/>
      <c r="AH593" s="332"/>
      <c r="AI593" s="332"/>
      <c r="AJ593" s="332"/>
      <c r="AK593" s="332"/>
      <c r="AL593" s="332"/>
      <c r="AM593" s="332"/>
      <c r="AN593" s="332"/>
      <c r="AP593" s="332"/>
      <c r="AT593" s="332"/>
    </row>
    <row r="594" spans="1:46" ht="9.75" customHeight="1">
      <c r="A594" s="332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  <c r="AA594" s="332"/>
      <c r="AB594" s="332"/>
      <c r="AC594" s="332"/>
      <c r="AD594" s="332"/>
      <c r="AE594" s="332"/>
      <c r="AF594" s="332"/>
      <c r="AG594" s="332"/>
      <c r="AH594" s="332"/>
      <c r="AI594" s="332"/>
      <c r="AJ594" s="332"/>
      <c r="AK594" s="332"/>
      <c r="AL594" s="332"/>
      <c r="AM594" s="332"/>
      <c r="AN594" s="332"/>
      <c r="AP594" s="332"/>
      <c r="AT594" s="332"/>
    </row>
    <row r="595" spans="1:46" ht="9.75" customHeight="1">
      <c r="A595" s="332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  <c r="AA595" s="332"/>
      <c r="AB595" s="332"/>
      <c r="AC595" s="332"/>
      <c r="AD595" s="332"/>
      <c r="AE595" s="332"/>
      <c r="AF595" s="332"/>
      <c r="AG595" s="332"/>
      <c r="AH595" s="332"/>
      <c r="AI595" s="332"/>
      <c r="AJ595" s="332"/>
      <c r="AK595" s="332"/>
      <c r="AL595" s="332"/>
      <c r="AM595" s="332"/>
      <c r="AN595" s="332"/>
      <c r="AP595" s="332"/>
      <c r="AT595" s="332"/>
    </row>
    <row r="596" spans="1:46" ht="9.75" customHeight="1">
      <c r="A596" s="332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  <c r="AA596" s="332"/>
      <c r="AB596" s="332"/>
      <c r="AC596" s="332"/>
      <c r="AD596" s="332"/>
      <c r="AE596" s="332"/>
      <c r="AF596" s="332"/>
      <c r="AG596" s="332"/>
      <c r="AH596" s="332"/>
      <c r="AI596" s="332"/>
      <c r="AJ596" s="332"/>
      <c r="AK596" s="332"/>
      <c r="AL596" s="332"/>
      <c r="AM596" s="332"/>
      <c r="AN596" s="332"/>
      <c r="AP596" s="332"/>
      <c r="AT596" s="332"/>
    </row>
    <row r="597" spans="1:46" ht="9.75" customHeight="1">
      <c r="A597" s="332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  <c r="AA597" s="332"/>
      <c r="AB597" s="332"/>
      <c r="AC597" s="332"/>
      <c r="AD597" s="332"/>
      <c r="AE597" s="332"/>
      <c r="AF597" s="332"/>
      <c r="AG597" s="332"/>
      <c r="AH597" s="332"/>
      <c r="AI597" s="332"/>
      <c r="AJ597" s="332"/>
      <c r="AK597" s="332"/>
      <c r="AL597" s="332"/>
      <c r="AM597" s="332"/>
      <c r="AN597" s="332"/>
      <c r="AP597" s="332"/>
      <c r="AT597" s="332"/>
    </row>
    <row r="598" spans="1:46" ht="9.75" customHeight="1">
      <c r="A598" s="332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  <c r="AA598" s="332"/>
      <c r="AB598" s="332"/>
      <c r="AC598" s="332"/>
      <c r="AD598" s="332"/>
      <c r="AE598" s="332"/>
      <c r="AF598" s="332"/>
      <c r="AG598" s="332"/>
      <c r="AH598" s="332"/>
      <c r="AI598" s="332"/>
      <c r="AJ598" s="332"/>
      <c r="AK598" s="332"/>
      <c r="AL598" s="332"/>
      <c r="AM598" s="332"/>
      <c r="AN598" s="332"/>
      <c r="AP598" s="332"/>
      <c r="AT598" s="332"/>
    </row>
    <row r="599" spans="1:46" ht="9.75" customHeight="1">
      <c r="A599" s="332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  <c r="AA599" s="332"/>
      <c r="AB599" s="332"/>
      <c r="AC599" s="332"/>
      <c r="AD599" s="332"/>
      <c r="AE599" s="332"/>
      <c r="AF599" s="332"/>
      <c r="AG599" s="332"/>
      <c r="AH599" s="332"/>
      <c r="AI599" s="332"/>
      <c r="AJ599" s="332"/>
      <c r="AK599" s="332"/>
      <c r="AL599" s="332"/>
      <c r="AM599" s="332"/>
      <c r="AN599" s="332"/>
      <c r="AP599" s="332"/>
      <c r="AT599" s="332"/>
    </row>
    <row r="600" spans="1:46" ht="9.75" customHeight="1">
      <c r="A600" s="332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  <c r="AA600" s="332"/>
      <c r="AB600" s="332"/>
      <c r="AC600" s="332"/>
      <c r="AD600" s="332"/>
      <c r="AE600" s="332"/>
      <c r="AF600" s="332"/>
      <c r="AG600" s="332"/>
      <c r="AH600" s="332"/>
      <c r="AI600" s="332"/>
      <c r="AJ600" s="332"/>
      <c r="AK600" s="332"/>
      <c r="AL600" s="332"/>
      <c r="AM600" s="332"/>
      <c r="AN600" s="332"/>
      <c r="AP600" s="332"/>
      <c r="AT600" s="332"/>
    </row>
    <row r="601" spans="1:46" ht="9.75" customHeight="1">
      <c r="A601" s="332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  <c r="AA601" s="332"/>
      <c r="AB601" s="332"/>
      <c r="AC601" s="332"/>
      <c r="AD601" s="332"/>
      <c r="AE601" s="332"/>
      <c r="AF601" s="332"/>
      <c r="AG601" s="332"/>
      <c r="AH601" s="332"/>
      <c r="AI601" s="332"/>
      <c r="AJ601" s="332"/>
      <c r="AK601" s="332"/>
      <c r="AL601" s="332"/>
      <c r="AM601" s="332"/>
      <c r="AN601" s="332"/>
      <c r="AP601" s="332"/>
      <c r="AT601" s="332"/>
    </row>
    <row r="602" spans="1:46" ht="9.75" customHeight="1">
      <c r="A602" s="332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  <c r="AA602" s="332"/>
      <c r="AB602" s="332"/>
      <c r="AC602" s="332"/>
      <c r="AD602" s="332"/>
      <c r="AE602" s="332"/>
      <c r="AF602" s="332"/>
      <c r="AG602" s="332"/>
      <c r="AH602" s="332"/>
      <c r="AI602" s="332"/>
      <c r="AJ602" s="332"/>
      <c r="AK602" s="332"/>
      <c r="AL602" s="332"/>
      <c r="AM602" s="332"/>
      <c r="AN602" s="332"/>
      <c r="AP602" s="332"/>
      <c r="AT602" s="332"/>
    </row>
    <row r="603" spans="1:46" ht="9.75" customHeight="1">
      <c r="A603" s="332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  <c r="Z603" s="332"/>
      <c r="AA603" s="332"/>
      <c r="AB603" s="332"/>
      <c r="AC603" s="332"/>
      <c r="AD603" s="332"/>
      <c r="AE603" s="332"/>
      <c r="AF603" s="332"/>
      <c r="AG603" s="332"/>
      <c r="AH603" s="332"/>
      <c r="AI603" s="332"/>
      <c r="AJ603" s="332"/>
      <c r="AK603" s="332"/>
      <c r="AL603" s="332"/>
      <c r="AM603" s="332"/>
      <c r="AN603" s="332"/>
      <c r="AP603" s="332"/>
      <c r="AT603" s="332"/>
    </row>
    <row r="604" spans="1:46" ht="9.75" customHeight="1">
      <c r="A604" s="332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  <c r="Z604" s="332"/>
      <c r="AA604" s="332"/>
      <c r="AB604" s="332"/>
      <c r="AC604" s="332"/>
      <c r="AD604" s="332"/>
      <c r="AE604" s="332"/>
      <c r="AF604" s="332"/>
      <c r="AG604" s="332"/>
      <c r="AH604" s="332"/>
      <c r="AI604" s="332"/>
      <c r="AJ604" s="332"/>
      <c r="AK604" s="332"/>
      <c r="AL604" s="332"/>
      <c r="AM604" s="332"/>
      <c r="AN604" s="332"/>
      <c r="AP604" s="332"/>
      <c r="AT604" s="332"/>
    </row>
    <row r="605" spans="1:46" ht="9.75" customHeight="1">
      <c r="A605" s="332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  <c r="Z605" s="332"/>
      <c r="AA605" s="332"/>
      <c r="AB605" s="332"/>
      <c r="AC605" s="332"/>
      <c r="AD605" s="332"/>
      <c r="AE605" s="332"/>
      <c r="AF605" s="332"/>
      <c r="AG605" s="332"/>
      <c r="AH605" s="332"/>
      <c r="AI605" s="332"/>
      <c r="AJ605" s="332"/>
      <c r="AK605" s="332"/>
      <c r="AL605" s="332"/>
      <c r="AM605" s="332"/>
      <c r="AN605" s="332"/>
      <c r="AP605" s="332"/>
      <c r="AT605" s="332"/>
    </row>
    <row r="606" spans="1:46" ht="9.75" customHeight="1">
      <c r="A606" s="332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  <c r="Z606" s="332"/>
      <c r="AA606" s="332"/>
      <c r="AB606" s="332"/>
      <c r="AC606" s="332"/>
      <c r="AD606" s="332"/>
      <c r="AE606" s="332"/>
      <c r="AF606" s="332"/>
      <c r="AG606" s="332"/>
      <c r="AH606" s="332"/>
      <c r="AI606" s="332"/>
      <c r="AJ606" s="332"/>
      <c r="AK606" s="332"/>
      <c r="AL606" s="332"/>
      <c r="AM606" s="332"/>
      <c r="AN606" s="332"/>
      <c r="AP606" s="332"/>
      <c r="AT606" s="332"/>
    </row>
    <row r="607" spans="1:46" ht="9.75" customHeight="1">
      <c r="A607" s="332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  <c r="Z607" s="332"/>
      <c r="AA607" s="332"/>
      <c r="AB607" s="332"/>
      <c r="AC607" s="332"/>
      <c r="AD607" s="332"/>
      <c r="AE607" s="332"/>
      <c r="AF607" s="332"/>
      <c r="AG607" s="332"/>
      <c r="AH607" s="332"/>
      <c r="AI607" s="332"/>
      <c r="AJ607" s="332"/>
      <c r="AK607" s="332"/>
      <c r="AL607" s="332"/>
      <c r="AM607" s="332"/>
      <c r="AN607" s="332"/>
      <c r="AP607" s="332"/>
      <c r="AT607" s="332"/>
    </row>
    <row r="608" spans="1:46" ht="9.75" customHeight="1">
      <c r="A608" s="332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  <c r="Z608" s="332"/>
      <c r="AA608" s="332"/>
      <c r="AB608" s="332"/>
      <c r="AC608" s="332"/>
      <c r="AD608" s="332"/>
      <c r="AE608" s="332"/>
      <c r="AF608" s="332"/>
      <c r="AG608" s="332"/>
      <c r="AH608" s="332"/>
      <c r="AI608" s="332"/>
      <c r="AJ608" s="332"/>
      <c r="AK608" s="332"/>
      <c r="AL608" s="332"/>
      <c r="AM608" s="332"/>
      <c r="AN608" s="332"/>
      <c r="AP608" s="332"/>
      <c r="AT608" s="332"/>
    </row>
    <row r="609" spans="1:46" ht="9.75" customHeight="1">
      <c r="A609" s="332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  <c r="Z609" s="332"/>
      <c r="AA609" s="332"/>
      <c r="AB609" s="332"/>
      <c r="AC609" s="332"/>
      <c r="AD609" s="332"/>
      <c r="AE609" s="332"/>
      <c r="AF609" s="332"/>
      <c r="AG609" s="332"/>
      <c r="AH609" s="332"/>
      <c r="AI609" s="332"/>
      <c r="AJ609" s="332"/>
      <c r="AK609" s="332"/>
      <c r="AL609" s="332"/>
      <c r="AM609" s="332"/>
      <c r="AN609" s="332"/>
      <c r="AP609" s="332"/>
      <c r="AT609" s="332"/>
    </row>
    <row r="610" spans="1:46" ht="9.75" customHeight="1">
      <c r="A610" s="332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  <c r="Z610" s="332"/>
      <c r="AA610" s="332"/>
      <c r="AB610" s="332"/>
      <c r="AC610" s="332"/>
      <c r="AD610" s="332"/>
      <c r="AE610" s="332"/>
      <c r="AF610" s="332"/>
      <c r="AG610" s="332"/>
      <c r="AH610" s="332"/>
      <c r="AI610" s="332"/>
      <c r="AJ610" s="332"/>
      <c r="AK610" s="332"/>
      <c r="AL610" s="332"/>
      <c r="AM610" s="332"/>
      <c r="AN610" s="332"/>
      <c r="AP610" s="332"/>
      <c r="AT610" s="332"/>
    </row>
    <row r="611" spans="1:46" ht="9.75" customHeight="1">
      <c r="A611" s="332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  <c r="Z611" s="332"/>
      <c r="AA611" s="332"/>
      <c r="AB611" s="332"/>
      <c r="AC611" s="332"/>
      <c r="AD611" s="332"/>
      <c r="AE611" s="332"/>
      <c r="AF611" s="332"/>
      <c r="AG611" s="332"/>
      <c r="AH611" s="332"/>
      <c r="AI611" s="332"/>
      <c r="AJ611" s="332"/>
      <c r="AK611" s="332"/>
      <c r="AL611" s="332"/>
      <c r="AM611" s="332"/>
      <c r="AN611" s="332"/>
      <c r="AP611" s="332"/>
      <c r="AT611" s="332"/>
    </row>
    <row r="612" spans="1:46" ht="9.75" customHeight="1">
      <c r="A612" s="332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  <c r="Z612" s="332"/>
      <c r="AA612" s="332"/>
      <c r="AB612" s="332"/>
      <c r="AC612" s="332"/>
      <c r="AD612" s="332"/>
      <c r="AE612" s="332"/>
      <c r="AF612" s="332"/>
      <c r="AG612" s="332"/>
      <c r="AH612" s="332"/>
      <c r="AI612" s="332"/>
      <c r="AJ612" s="332"/>
      <c r="AK612" s="332"/>
      <c r="AL612" s="332"/>
      <c r="AM612" s="332"/>
      <c r="AN612" s="332"/>
      <c r="AP612" s="332"/>
      <c r="AT612" s="332"/>
    </row>
    <row r="613" spans="1:46" ht="9.75" customHeight="1">
      <c r="A613" s="332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  <c r="Z613" s="332"/>
      <c r="AA613" s="332"/>
      <c r="AB613" s="332"/>
      <c r="AC613" s="332"/>
      <c r="AD613" s="332"/>
      <c r="AE613" s="332"/>
      <c r="AF613" s="332"/>
      <c r="AG613" s="332"/>
      <c r="AH613" s="332"/>
      <c r="AI613" s="332"/>
      <c r="AJ613" s="332"/>
      <c r="AK613" s="332"/>
      <c r="AL613" s="332"/>
      <c r="AM613" s="332"/>
      <c r="AN613" s="332"/>
      <c r="AP613" s="332"/>
      <c r="AT613" s="332"/>
    </row>
    <row r="614" spans="1:46" ht="9.75" customHeight="1">
      <c r="A614" s="332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  <c r="Z614" s="332"/>
      <c r="AA614" s="332"/>
      <c r="AB614" s="332"/>
      <c r="AC614" s="332"/>
      <c r="AD614" s="332"/>
      <c r="AE614" s="332"/>
      <c r="AF614" s="332"/>
      <c r="AG614" s="332"/>
      <c r="AH614" s="332"/>
      <c r="AI614" s="332"/>
      <c r="AJ614" s="332"/>
      <c r="AK614" s="332"/>
      <c r="AL614" s="332"/>
      <c r="AM614" s="332"/>
      <c r="AN614" s="332"/>
      <c r="AP614" s="332"/>
      <c r="AT614" s="332"/>
    </row>
    <row r="615" spans="1:46" ht="9.75" customHeight="1">
      <c r="A615" s="332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  <c r="Z615" s="332"/>
      <c r="AA615" s="332"/>
      <c r="AB615" s="332"/>
      <c r="AC615" s="332"/>
      <c r="AD615" s="332"/>
      <c r="AE615" s="332"/>
      <c r="AF615" s="332"/>
      <c r="AG615" s="332"/>
      <c r="AH615" s="332"/>
      <c r="AI615" s="332"/>
      <c r="AJ615" s="332"/>
      <c r="AK615" s="332"/>
      <c r="AL615" s="332"/>
      <c r="AM615" s="332"/>
      <c r="AN615" s="332"/>
      <c r="AP615" s="332"/>
      <c r="AT615" s="332"/>
    </row>
    <row r="616" spans="1:46" ht="9.75" customHeight="1">
      <c r="A616" s="332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  <c r="Z616" s="332"/>
      <c r="AA616" s="332"/>
      <c r="AB616" s="332"/>
      <c r="AC616" s="332"/>
      <c r="AD616" s="332"/>
      <c r="AE616" s="332"/>
      <c r="AF616" s="332"/>
      <c r="AG616" s="332"/>
      <c r="AH616" s="332"/>
      <c r="AI616" s="332"/>
      <c r="AJ616" s="332"/>
      <c r="AK616" s="332"/>
      <c r="AL616" s="332"/>
      <c r="AM616" s="332"/>
      <c r="AN616" s="332"/>
      <c r="AP616" s="332"/>
      <c r="AT616" s="332"/>
    </row>
    <row r="617" spans="1:46" ht="9.75" customHeight="1">
      <c r="A617" s="332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  <c r="Z617" s="332"/>
      <c r="AA617" s="332"/>
      <c r="AB617" s="332"/>
      <c r="AC617" s="332"/>
      <c r="AD617" s="332"/>
      <c r="AE617" s="332"/>
      <c r="AF617" s="332"/>
      <c r="AG617" s="332"/>
      <c r="AH617" s="332"/>
      <c r="AI617" s="332"/>
      <c r="AJ617" s="332"/>
      <c r="AK617" s="332"/>
      <c r="AL617" s="332"/>
      <c r="AM617" s="332"/>
      <c r="AN617" s="332"/>
      <c r="AP617" s="332"/>
      <c r="AT617" s="332"/>
    </row>
    <row r="618" spans="1:46" ht="9.75" customHeight="1">
      <c r="A618" s="332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  <c r="Z618" s="332"/>
      <c r="AA618" s="332"/>
      <c r="AB618" s="332"/>
      <c r="AC618" s="332"/>
      <c r="AD618" s="332"/>
      <c r="AE618" s="332"/>
      <c r="AF618" s="332"/>
      <c r="AG618" s="332"/>
      <c r="AH618" s="332"/>
      <c r="AI618" s="332"/>
      <c r="AJ618" s="332"/>
      <c r="AK618" s="332"/>
      <c r="AL618" s="332"/>
      <c r="AM618" s="332"/>
      <c r="AN618" s="332"/>
      <c r="AP618" s="332"/>
      <c r="AT618" s="332"/>
    </row>
    <row r="619" spans="1:46" ht="9.75" customHeight="1">
      <c r="A619" s="332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  <c r="Z619" s="332"/>
      <c r="AA619" s="332"/>
      <c r="AB619" s="332"/>
      <c r="AC619" s="332"/>
      <c r="AD619" s="332"/>
      <c r="AE619" s="332"/>
      <c r="AF619" s="332"/>
      <c r="AG619" s="332"/>
      <c r="AH619" s="332"/>
      <c r="AI619" s="332"/>
      <c r="AJ619" s="332"/>
      <c r="AK619" s="332"/>
      <c r="AL619" s="332"/>
      <c r="AM619" s="332"/>
      <c r="AN619" s="332"/>
      <c r="AP619" s="332"/>
      <c r="AT619" s="332"/>
    </row>
    <row r="620" spans="1:46" ht="9.75" customHeight="1">
      <c r="A620" s="332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  <c r="Z620" s="332"/>
      <c r="AA620" s="332"/>
      <c r="AB620" s="332"/>
      <c r="AC620" s="332"/>
      <c r="AD620" s="332"/>
      <c r="AE620" s="332"/>
      <c r="AF620" s="332"/>
      <c r="AG620" s="332"/>
      <c r="AH620" s="332"/>
      <c r="AI620" s="332"/>
      <c r="AJ620" s="332"/>
      <c r="AK620" s="332"/>
      <c r="AL620" s="332"/>
      <c r="AM620" s="332"/>
      <c r="AN620" s="332"/>
      <c r="AP620" s="332"/>
      <c r="AT620" s="332"/>
    </row>
    <row r="621" spans="1:46" ht="9.75" customHeight="1">
      <c r="A621" s="332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  <c r="Z621" s="332"/>
      <c r="AA621" s="332"/>
      <c r="AB621" s="332"/>
      <c r="AC621" s="332"/>
      <c r="AD621" s="332"/>
      <c r="AE621" s="332"/>
      <c r="AF621" s="332"/>
      <c r="AG621" s="332"/>
      <c r="AH621" s="332"/>
      <c r="AI621" s="332"/>
      <c r="AJ621" s="332"/>
      <c r="AK621" s="332"/>
      <c r="AL621" s="332"/>
      <c r="AM621" s="332"/>
      <c r="AN621" s="332"/>
      <c r="AP621" s="332"/>
      <c r="AT621" s="332"/>
    </row>
    <row r="622" spans="1:46" ht="9.75" customHeight="1">
      <c r="A622" s="332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  <c r="Z622" s="332"/>
      <c r="AA622" s="332"/>
      <c r="AB622" s="332"/>
      <c r="AC622" s="332"/>
      <c r="AD622" s="332"/>
      <c r="AE622" s="332"/>
      <c r="AF622" s="332"/>
      <c r="AG622" s="332"/>
      <c r="AH622" s="332"/>
      <c r="AI622" s="332"/>
      <c r="AJ622" s="332"/>
      <c r="AK622" s="332"/>
      <c r="AL622" s="332"/>
      <c r="AM622" s="332"/>
      <c r="AN622" s="332"/>
      <c r="AP622" s="332"/>
      <c r="AT622" s="332"/>
    </row>
    <row r="623" spans="1:46" ht="9.75" customHeight="1">
      <c r="A623" s="332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  <c r="Z623" s="332"/>
      <c r="AA623" s="332"/>
      <c r="AB623" s="332"/>
      <c r="AC623" s="332"/>
      <c r="AD623" s="332"/>
      <c r="AE623" s="332"/>
      <c r="AF623" s="332"/>
      <c r="AG623" s="332"/>
      <c r="AH623" s="332"/>
      <c r="AI623" s="332"/>
      <c r="AJ623" s="332"/>
      <c r="AK623" s="332"/>
      <c r="AL623" s="332"/>
      <c r="AM623" s="332"/>
      <c r="AN623" s="332"/>
      <c r="AP623" s="332"/>
      <c r="AT623" s="332"/>
    </row>
    <row r="624" spans="1:46" ht="9.75" customHeight="1">
      <c r="A624" s="332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  <c r="Z624" s="332"/>
      <c r="AA624" s="332"/>
      <c r="AB624" s="332"/>
      <c r="AC624" s="332"/>
      <c r="AD624" s="332"/>
      <c r="AE624" s="332"/>
      <c r="AF624" s="332"/>
      <c r="AG624" s="332"/>
      <c r="AH624" s="332"/>
      <c r="AI624" s="332"/>
      <c r="AJ624" s="332"/>
      <c r="AK624" s="332"/>
      <c r="AL624" s="332"/>
      <c r="AM624" s="332"/>
      <c r="AN624" s="332"/>
      <c r="AP624" s="332"/>
      <c r="AT624" s="332"/>
    </row>
    <row r="625" spans="1:46" ht="9.75" customHeight="1">
      <c r="A625" s="332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  <c r="Z625" s="332"/>
      <c r="AA625" s="332"/>
      <c r="AB625" s="332"/>
      <c r="AC625" s="332"/>
      <c r="AD625" s="332"/>
      <c r="AE625" s="332"/>
      <c r="AF625" s="332"/>
      <c r="AG625" s="332"/>
      <c r="AH625" s="332"/>
      <c r="AI625" s="332"/>
      <c r="AJ625" s="332"/>
      <c r="AK625" s="332"/>
      <c r="AL625" s="332"/>
      <c r="AM625" s="332"/>
      <c r="AN625" s="332"/>
      <c r="AP625" s="332"/>
      <c r="AT625" s="332"/>
    </row>
    <row r="626" spans="1:46" ht="9.75" customHeight="1">
      <c r="A626" s="332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  <c r="Z626" s="332"/>
      <c r="AA626" s="332"/>
      <c r="AB626" s="332"/>
      <c r="AC626" s="332"/>
      <c r="AD626" s="332"/>
      <c r="AE626" s="332"/>
      <c r="AF626" s="332"/>
      <c r="AG626" s="332"/>
      <c r="AH626" s="332"/>
      <c r="AI626" s="332"/>
      <c r="AJ626" s="332"/>
      <c r="AK626" s="332"/>
      <c r="AL626" s="332"/>
      <c r="AM626" s="332"/>
      <c r="AN626" s="332"/>
      <c r="AP626" s="332"/>
      <c r="AT626" s="332"/>
    </row>
    <row r="627" spans="1:46" ht="9.75" customHeight="1">
      <c r="A627" s="332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  <c r="Z627" s="332"/>
      <c r="AA627" s="332"/>
      <c r="AB627" s="332"/>
      <c r="AC627" s="332"/>
      <c r="AD627" s="332"/>
      <c r="AE627" s="332"/>
      <c r="AF627" s="332"/>
      <c r="AG627" s="332"/>
      <c r="AH627" s="332"/>
      <c r="AI627" s="332"/>
      <c r="AJ627" s="332"/>
      <c r="AK627" s="332"/>
      <c r="AL627" s="332"/>
      <c r="AM627" s="332"/>
      <c r="AN627" s="332"/>
      <c r="AP627" s="332"/>
      <c r="AT627" s="332"/>
    </row>
    <row r="628" spans="1:46" ht="9.75" customHeight="1">
      <c r="A628" s="332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  <c r="Z628" s="332"/>
      <c r="AA628" s="332"/>
      <c r="AB628" s="332"/>
      <c r="AC628" s="332"/>
      <c r="AD628" s="332"/>
      <c r="AE628" s="332"/>
      <c r="AF628" s="332"/>
      <c r="AG628" s="332"/>
      <c r="AH628" s="332"/>
      <c r="AI628" s="332"/>
      <c r="AJ628" s="332"/>
      <c r="AK628" s="332"/>
      <c r="AL628" s="332"/>
      <c r="AM628" s="332"/>
      <c r="AN628" s="332"/>
      <c r="AP628" s="332"/>
      <c r="AT628" s="332"/>
    </row>
    <row r="629" spans="1:46" ht="9.75" customHeight="1">
      <c r="A629" s="332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  <c r="Z629" s="332"/>
      <c r="AA629" s="332"/>
      <c r="AB629" s="332"/>
      <c r="AC629" s="332"/>
      <c r="AD629" s="332"/>
      <c r="AE629" s="332"/>
      <c r="AF629" s="332"/>
      <c r="AG629" s="332"/>
      <c r="AH629" s="332"/>
      <c r="AI629" s="332"/>
      <c r="AJ629" s="332"/>
      <c r="AK629" s="332"/>
      <c r="AL629" s="332"/>
      <c r="AM629" s="332"/>
      <c r="AN629" s="332"/>
      <c r="AP629" s="332"/>
      <c r="AT629" s="332"/>
    </row>
    <row r="630" spans="1:46" ht="9.75" customHeight="1">
      <c r="A630" s="332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  <c r="Z630" s="332"/>
      <c r="AA630" s="332"/>
      <c r="AB630" s="332"/>
      <c r="AC630" s="332"/>
      <c r="AD630" s="332"/>
      <c r="AE630" s="332"/>
      <c r="AF630" s="332"/>
      <c r="AG630" s="332"/>
      <c r="AH630" s="332"/>
      <c r="AI630" s="332"/>
      <c r="AJ630" s="332"/>
      <c r="AK630" s="332"/>
      <c r="AL630" s="332"/>
      <c r="AM630" s="332"/>
      <c r="AN630" s="332"/>
      <c r="AP630" s="332"/>
      <c r="AT630" s="332"/>
    </row>
    <row r="631" spans="1:46" ht="9.75" customHeight="1">
      <c r="A631" s="332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  <c r="AA631" s="332"/>
      <c r="AB631" s="332"/>
      <c r="AC631" s="332"/>
      <c r="AD631" s="332"/>
      <c r="AE631" s="332"/>
      <c r="AF631" s="332"/>
      <c r="AG631" s="332"/>
      <c r="AH631" s="332"/>
      <c r="AI631" s="332"/>
      <c r="AJ631" s="332"/>
      <c r="AK631" s="332"/>
      <c r="AL631" s="332"/>
      <c r="AM631" s="332"/>
      <c r="AN631" s="332"/>
      <c r="AP631" s="332"/>
      <c r="AT631" s="332"/>
    </row>
    <row r="632" spans="1:46" ht="9.75" customHeight="1">
      <c r="A632" s="332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  <c r="AA632" s="332"/>
      <c r="AB632" s="332"/>
      <c r="AC632" s="332"/>
      <c r="AD632" s="332"/>
      <c r="AE632" s="332"/>
      <c r="AF632" s="332"/>
      <c r="AG632" s="332"/>
      <c r="AH632" s="332"/>
      <c r="AI632" s="332"/>
      <c r="AJ632" s="332"/>
      <c r="AK632" s="332"/>
      <c r="AL632" s="332"/>
      <c r="AM632" s="332"/>
      <c r="AN632" s="332"/>
      <c r="AP632" s="332"/>
      <c r="AT632" s="332"/>
    </row>
    <row r="633" spans="1:46" ht="9.75" customHeight="1">
      <c r="A633" s="332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  <c r="AA633" s="332"/>
      <c r="AB633" s="332"/>
      <c r="AC633" s="332"/>
      <c r="AD633" s="332"/>
      <c r="AE633" s="332"/>
      <c r="AF633" s="332"/>
      <c r="AG633" s="332"/>
      <c r="AH633" s="332"/>
      <c r="AI633" s="332"/>
      <c r="AJ633" s="332"/>
      <c r="AK633" s="332"/>
      <c r="AL633" s="332"/>
      <c r="AM633" s="332"/>
      <c r="AN633" s="332"/>
      <c r="AP633" s="332"/>
      <c r="AT633" s="332"/>
    </row>
    <row r="634" spans="1:46" ht="9.75" customHeight="1">
      <c r="A634" s="332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  <c r="AA634" s="332"/>
      <c r="AB634" s="332"/>
      <c r="AC634" s="332"/>
      <c r="AD634" s="332"/>
      <c r="AE634" s="332"/>
      <c r="AF634" s="332"/>
      <c r="AG634" s="332"/>
      <c r="AH634" s="332"/>
      <c r="AI634" s="332"/>
      <c r="AJ634" s="332"/>
      <c r="AK634" s="332"/>
      <c r="AL634" s="332"/>
      <c r="AM634" s="332"/>
      <c r="AN634" s="332"/>
      <c r="AP634" s="332"/>
      <c r="AT634" s="332"/>
    </row>
    <row r="635" spans="1:46" ht="9.75" customHeight="1">
      <c r="A635" s="332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  <c r="Z635" s="332"/>
      <c r="AA635" s="332"/>
      <c r="AB635" s="332"/>
      <c r="AC635" s="332"/>
      <c r="AD635" s="332"/>
      <c r="AE635" s="332"/>
      <c r="AF635" s="332"/>
      <c r="AG635" s="332"/>
      <c r="AH635" s="332"/>
      <c r="AI635" s="332"/>
      <c r="AJ635" s="332"/>
      <c r="AK635" s="332"/>
      <c r="AL635" s="332"/>
      <c r="AM635" s="332"/>
      <c r="AN635" s="332"/>
      <c r="AP635" s="332"/>
      <c r="AT635" s="332"/>
    </row>
    <row r="636" spans="1:46" ht="9.75" customHeight="1">
      <c r="A636" s="332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  <c r="AA636" s="332"/>
      <c r="AB636" s="332"/>
      <c r="AC636" s="332"/>
      <c r="AD636" s="332"/>
      <c r="AE636" s="332"/>
      <c r="AF636" s="332"/>
      <c r="AG636" s="332"/>
      <c r="AH636" s="332"/>
      <c r="AI636" s="332"/>
      <c r="AJ636" s="332"/>
      <c r="AK636" s="332"/>
      <c r="AL636" s="332"/>
      <c r="AM636" s="332"/>
      <c r="AN636" s="332"/>
      <c r="AP636" s="332"/>
      <c r="AT636" s="332"/>
    </row>
    <row r="637" spans="1:46" ht="9.75" customHeight="1">
      <c r="A637" s="332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  <c r="AA637" s="332"/>
      <c r="AB637" s="332"/>
      <c r="AC637" s="332"/>
      <c r="AD637" s="332"/>
      <c r="AE637" s="332"/>
      <c r="AF637" s="332"/>
      <c r="AG637" s="332"/>
      <c r="AH637" s="332"/>
      <c r="AI637" s="332"/>
      <c r="AJ637" s="332"/>
      <c r="AK637" s="332"/>
      <c r="AL637" s="332"/>
      <c r="AM637" s="332"/>
      <c r="AN637" s="332"/>
      <c r="AP637" s="332"/>
      <c r="AT637" s="332"/>
    </row>
    <row r="638" spans="1:46" ht="9.75" customHeight="1">
      <c r="A638" s="332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  <c r="AA638" s="332"/>
      <c r="AB638" s="332"/>
      <c r="AC638" s="332"/>
      <c r="AD638" s="332"/>
      <c r="AE638" s="332"/>
      <c r="AF638" s="332"/>
      <c r="AG638" s="332"/>
      <c r="AH638" s="332"/>
      <c r="AI638" s="332"/>
      <c r="AJ638" s="332"/>
      <c r="AK638" s="332"/>
      <c r="AL638" s="332"/>
      <c r="AM638" s="332"/>
      <c r="AN638" s="332"/>
      <c r="AP638" s="332"/>
      <c r="AT638" s="332"/>
    </row>
    <row r="639" spans="1:46" ht="9.75" customHeight="1">
      <c r="A639" s="332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  <c r="AA639" s="332"/>
      <c r="AB639" s="332"/>
      <c r="AC639" s="332"/>
      <c r="AD639" s="332"/>
      <c r="AE639" s="332"/>
      <c r="AF639" s="332"/>
      <c r="AG639" s="332"/>
      <c r="AH639" s="332"/>
      <c r="AI639" s="332"/>
      <c r="AJ639" s="332"/>
      <c r="AK639" s="332"/>
      <c r="AL639" s="332"/>
      <c r="AM639" s="332"/>
      <c r="AN639" s="332"/>
      <c r="AP639" s="332"/>
      <c r="AT639" s="332"/>
    </row>
    <row r="640" spans="1:46" ht="9.75" customHeight="1">
      <c r="A640" s="332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  <c r="AA640" s="332"/>
      <c r="AB640" s="332"/>
      <c r="AC640" s="332"/>
      <c r="AD640" s="332"/>
      <c r="AE640" s="332"/>
      <c r="AF640" s="332"/>
      <c r="AG640" s="332"/>
      <c r="AH640" s="332"/>
      <c r="AI640" s="332"/>
      <c r="AJ640" s="332"/>
      <c r="AK640" s="332"/>
      <c r="AL640" s="332"/>
      <c r="AM640" s="332"/>
      <c r="AN640" s="332"/>
      <c r="AP640" s="332"/>
      <c r="AT640" s="332"/>
    </row>
    <row r="641" spans="1:46" ht="9.75" customHeight="1">
      <c r="A641" s="332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  <c r="AA641" s="332"/>
      <c r="AB641" s="332"/>
      <c r="AC641" s="332"/>
      <c r="AD641" s="332"/>
      <c r="AE641" s="332"/>
      <c r="AF641" s="332"/>
      <c r="AG641" s="332"/>
      <c r="AH641" s="332"/>
      <c r="AI641" s="332"/>
      <c r="AJ641" s="332"/>
      <c r="AK641" s="332"/>
      <c r="AL641" s="332"/>
      <c r="AM641" s="332"/>
      <c r="AN641" s="332"/>
      <c r="AP641" s="332"/>
      <c r="AT641" s="332"/>
    </row>
    <row r="642" spans="1:46" ht="9.75" customHeight="1">
      <c r="A642" s="332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  <c r="AA642" s="332"/>
      <c r="AB642" s="332"/>
      <c r="AC642" s="332"/>
      <c r="AD642" s="332"/>
      <c r="AE642" s="332"/>
      <c r="AF642" s="332"/>
      <c r="AG642" s="332"/>
      <c r="AH642" s="332"/>
      <c r="AI642" s="332"/>
      <c r="AJ642" s="332"/>
      <c r="AK642" s="332"/>
      <c r="AL642" s="332"/>
      <c r="AM642" s="332"/>
      <c r="AN642" s="332"/>
      <c r="AP642" s="332"/>
      <c r="AT642" s="332"/>
    </row>
    <row r="643" spans="1:46" ht="9.75" customHeight="1">
      <c r="A643" s="332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  <c r="AA643" s="332"/>
      <c r="AB643" s="332"/>
      <c r="AC643" s="332"/>
      <c r="AD643" s="332"/>
      <c r="AE643" s="332"/>
      <c r="AF643" s="332"/>
      <c r="AG643" s="332"/>
      <c r="AH643" s="332"/>
      <c r="AI643" s="332"/>
      <c r="AJ643" s="332"/>
      <c r="AK643" s="332"/>
      <c r="AL643" s="332"/>
      <c r="AM643" s="332"/>
      <c r="AN643" s="332"/>
      <c r="AP643" s="332"/>
      <c r="AT643" s="332"/>
    </row>
    <row r="644" spans="1:46" ht="9.75" customHeight="1">
      <c r="A644" s="332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  <c r="AA644" s="332"/>
      <c r="AB644" s="332"/>
      <c r="AC644" s="332"/>
      <c r="AD644" s="332"/>
      <c r="AE644" s="332"/>
      <c r="AF644" s="332"/>
      <c r="AG644" s="332"/>
      <c r="AH644" s="332"/>
      <c r="AI644" s="332"/>
      <c r="AJ644" s="332"/>
      <c r="AK644" s="332"/>
      <c r="AL644" s="332"/>
      <c r="AM644" s="332"/>
      <c r="AN644" s="332"/>
      <c r="AP644" s="332"/>
      <c r="AT644" s="332"/>
    </row>
    <row r="645" spans="1:46" ht="9.75" customHeight="1">
      <c r="A645" s="332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  <c r="AA645" s="332"/>
      <c r="AB645" s="332"/>
      <c r="AC645" s="332"/>
      <c r="AD645" s="332"/>
      <c r="AE645" s="332"/>
      <c r="AF645" s="332"/>
      <c r="AG645" s="332"/>
      <c r="AH645" s="332"/>
      <c r="AI645" s="332"/>
      <c r="AJ645" s="332"/>
      <c r="AK645" s="332"/>
      <c r="AL645" s="332"/>
      <c r="AM645" s="332"/>
      <c r="AN645" s="332"/>
      <c r="AP645" s="332"/>
      <c r="AT645" s="332"/>
    </row>
    <row r="646" spans="1:46" ht="9.75" customHeight="1">
      <c r="A646" s="332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  <c r="AA646" s="332"/>
      <c r="AB646" s="332"/>
      <c r="AC646" s="332"/>
      <c r="AD646" s="332"/>
      <c r="AE646" s="332"/>
      <c r="AF646" s="332"/>
      <c r="AG646" s="332"/>
      <c r="AH646" s="332"/>
      <c r="AI646" s="332"/>
      <c r="AJ646" s="332"/>
      <c r="AK646" s="332"/>
      <c r="AL646" s="332"/>
      <c r="AM646" s="332"/>
      <c r="AN646" s="332"/>
      <c r="AP646" s="332"/>
      <c r="AT646" s="332"/>
    </row>
    <row r="647" spans="1:46" ht="9.75" customHeight="1">
      <c r="A647" s="332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  <c r="AA647" s="332"/>
      <c r="AB647" s="332"/>
      <c r="AC647" s="332"/>
      <c r="AD647" s="332"/>
      <c r="AE647" s="332"/>
      <c r="AF647" s="332"/>
      <c r="AG647" s="332"/>
      <c r="AH647" s="332"/>
      <c r="AI647" s="332"/>
      <c r="AJ647" s="332"/>
      <c r="AK647" s="332"/>
      <c r="AL647" s="332"/>
      <c r="AM647" s="332"/>
      <c r="AN647" s="332"/>
      <c r="AP647" s="332"/>
      <c r="AT647" s="332"/>
    </row>
    <row r="648" spans="1:46" ht="9.75" customHeight="1">
      <c r="A648" s="332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  <c r="AA648" s="332"/>
      <c r="AB648" s="332"/>
      <c r="AC648" s="332"/>
      <c r="AD648" s="332"/>
      <c r="AE648" s="332"/>
      <c r="AF648" s="332"/>
      <c r="AG648" s="332"/>
      <c r="AH648" s="332"/>
      <c r="AI648" s="332"/>
      <c r="AJ648" s="332"/>
      <c r="AK648" s="332"/>
      <c r="AL648" s="332"/>
      <c r="AM648" s="332"/>
      <c r="AN648" s="332"/>
      <c r="AP648" s="332"/>
      <c r="AT648" s="332"/>
    </row>
    <row r="649" spans="1:46" ht="9.75" customHeight="1">
      <c r="A649" s="332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  <c r="AA649" s="332"/>
      <c r="AB649" s="332"/>
      <c r="AC649" s="332"/>
      <c r="AD649" s="332"/>
      <c r="AE649" s="332"/>
      <c r="AF649" s="332"/>
      <c r="AG649" s="332"/>
      <c r="AH649" s="332"/>
      <c r="AI649" s="332"/>
      <c r="AJ649" s="332"/>
      <c r="AK649" s="332"/>
      <c r="AL649" s="332"/>
      <c r="AM649" s="332"/>
      <c r="AN649" s="332"/>
      <c r="AP649" s="332"/>
      <c r="AT649" s="332"/>
    </row>
    <row r="650" spans="1:46" ht="9.75" customHeight="1">
      <c r="A650" s="332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  <c r="AA650" s="332"/>
      <c r="AB650" s="332"/>
      <c r="AC650" s="332"/>
      <c r="AD650" s="332"/>
      <c r="AE650" s="332"/>
      <c r="AF650" s="332"/>
      <c r="AG650" s="332"/>
      <c r="AH650" s="332"/>
      <c r="AI650" s="332"/>
      <c r="AJ650" s="332"/>
      <c r="AK650" s="332"/>
      <c r="AL650" s="332"/>
      <c r="AM650" s="332"/>
      <c r="AN650" s="332"/>
      <c r="AP650" s="332"/>
      <c r="AT650" s="332"/>
    </row>
    <row r="651" spans="1:46" ht="9.75" customHeight="1">
      <c r="A651" s="332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  <c r="AA651" s="332"/>
      <c r="AB651" s="332"/>
      <c r="AC651" s="332"/>
      <c r="AD651" s="332"/>
      <c r="AE651" s="332"/>
      <c r="AF651" s="332"/>
      <c r="AG651" s="332"/>
      <c r="AH651" s="332"/>
      <c r="AI651" s="332"/>
      <c r="AJ651" s="332"/>
      <c r="AK651" s="332"/>
      <c r="AL651" s="332"/>
      <c r="AM651" s="332"/>
      <c r="AN651" s="332"/>
      <c r="AP651" s="332"/>
      <c r="AT651" s="332"/>
    </row>
    <row r="652" spans="1:46" ht="9.75" customHeight="1">
      <c r="A652" s="332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  <c r="AA652" s="332"/>
      <c r="AB652" s="332"/>
      <c r="AC652" s="332"/>
      <c r="AD652" s="332"/>
      <c r="AE652" s="332"/>
      <c r="AF652" s="332"/>
      <c r="AG652" s="332"/>
      <c r="AH652" s="332"/>
      <c r="AI652" s="332"/>
      <c r="AJ652" s="332"/>
      <c r="AK652" s="332"/>
      <c r="AL652" s="332"/>
      <c r="AM652" s="332"/>
      <c r="AN652" s="332"/>
      <c r="AP652" s="332"/>
      <c r="AT652" s="332"/>
    </row>
    <row r="653" spans="1:46" ht="9.75" customHeight="1">
      <c r="A653" s="332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  <c r="Z653" s="332"/>
      <c r="AA653" s="332"/>
      <c r="AB653" s="332"/>
      <c r="AC653" s="332"/>
      <c r="AD653" s="332"/>
      <c r="AE653" s="332"/>
      <c r="AF653" s="332"/>
      <c r="AG653" s="332"/>
      <c r="AH653" s="332"/>
      <c r="AI653" s="332"/>
      <c r="AJ653" s="332"/>
      <c r="AK653" s="332"/>
      <c r="AL653" s="332"/>
      <c r="AM653" s="332"/>
      <c r="AN653" s="332"/>
      <c r="AP653" s="332"/>
      <c r="AT653" s="332"/>
    </row>
    <row r="654" spans="1:46" ht="9.75" customHeight="1">
      <c r="A654" s="332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  <c r="Z654" s="332"/>
      <c r="AA654" s="332"/>
      <c r="AB654" s="332"/>
      <c r="AC654" s="332"/>
      <c r="AD654" s="332"/>
      <c r="AE654" s="332"/>
      <c r="AF654" s="332"/>
      <c r="AG654" s="332"/>
      <c r="AH654" s="332"/>
      <c r="AI654" s="332"/>
      <c r="AJ654" s="332"/>
      <c r="AK654" s="332"/>
      <c r="AL654" s="332"/>
      <c r="AM654" s="332"/>
      <c r="AN654" s="332"/>
      <c r="AP654" s="332"/>
      <c r="AT654" s="332"/>
    </row>
    <row r="655" spans="1:46" ht="9.75" customHeight="1">
      <c r="A655" s="332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  <c r="Z655" s="332"/>
      <c r="AA655" s="332"/>
      <c r="AB655" s="332"/>
      <c r="AC655" s="332"/>
      <c r="AD655" s="332"/>
      <c r="AE655" s="332"/>
      <c r="AF655" s="332"/>
      <c r="AG655" s="332"/>
      <c r="AH655" s="332"/>
      <c r="AI655" s="332"/>
      <c r="AJ655" s="332"/>
      <c r="AK655" s="332"/>
      <c r="AL655" s="332"/>
      <c r="AM655" s="332"/>
      <c r="AN655" s="332"/>
      <c r="AP655" s="332"/>
      <c r="AT655" s="332"/>
    </row>
    <row r="656" spans="1:46" ht="9.75" customHeight="1">
      <c r="A656" s="332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  <c r="Z656" s="332"/>
      <c r="AA656" s="332"/>
      <c r="AB656" s="332"/>
      <c r="AC656" s="332"/>
      <c r="AD656" s="332"/>
      <c r="AE656" s="332"/>
      <c r="AF656" s="332"/>
      <c r="AG656" s="332"/>
      <c r="AH656" s="332"/>
      <c r="AI656" s="332"/>
      <c r="AJ656" s="332"/>
      <c r="AK656" s="332"/>
      <c r="AL656" s="332"/>
      <c r="AM656" s="332"/>
      <c r="AN656" s="332"/>
      <c r="AP656" s="332"/>
      <c r="AT656" s="332"/>
    </row>
    <row r="657" spans="1:46" ht="9.75" customHeight="1">
      <c r="A657" s="332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  <c r="Z657" s="332"/>
      <c r="AA657" s="332"/>
      <c r="AB657" s="332"/>
      <c r="AC657" s="332"/>
      <c r="AD657" s="332"/>
      <c r="AE657" s="332"/>
      <c r="AF657" s="332"/>
      <c r="AG657" s="332"/>
      <c r="AH657" s="332"/>
      <c r="AI657" s="332"/>
      <c r="AJ657" s="332"/>
      <c r="AK657" s="332"/>
      <c r="AL657" s="332"/>
      <c r="AM657" s="332"/>
      <c r="AN657" s="332"/>
      <c r="AP657" s="332"/>
      <c r="AT657" s="332"/>
    </row>
    <row r="658" spans="1:46" ht="9.75" customHeight="1">
      <c r="A658" s="332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  <c r="Z658" s="332"/>
      <c r="AA658" s="332"/>
      <c r="AB658" s="332"/>
      <c r="AC658" s="332"/>
      <c r="AD658" s="332"/>
      <c r="AE658" s="332"/>
      <c r="AF658" s="332"/>
      <c r="AG658" s="332"/>
      <c r="AH658" s="332"/>
      <c r="AI658" s="332"/>
      <c r="AJ658" s="332"/>
      <c r="AK658" s="332"/>
      <c r="AL658" s="332"/>
      <c r="AM658" s="332"/>
      <c r="AN658" s="332"/>
      <c r="AP658" s="332"/>
      <c r="AT658" s="332"/>
    </row>
    <row r="659" spans="1:46" ht="9.75" customHeight="1">
      <c r="A659" s="332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  <c r="Z659" s="332"/>
      <c r="AA659" s="332"/>
      <c r="AB659" s="332"/>
      <c r="AC659" s="332"/>
      <c r="AD659" s="332"/>
      <c r="AE659" s="332"/>
      <c r="AF659" s="332"/>
      <c r="AG659" s="332"/>
      <c r="AH659" s="332"/>
      <c r="AI659" s="332"/>
      <c r="AJ659" s="332"/>
      <c r="AK659" s="332"/>
      <c r="AL659" s="332"/>
      <c r="AM659" s="332"/>
      <c r="AN659" s="332"/>
      <c r="AP659" s="332"/>
      <c r="AT659" s="332"/>
    </row>
    <row r="660" spans="1:46" ht="9.75" customHeight="1">
      <c r="A660" s="332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  <c r="Z660" s="332"/>
      <c r="AA660" s="332"/>
      <c r="AB660" s="332"/>
      <c r="AC660" s="332"/>
      <c r="AD660" s="332"/>
      <c r="AE660" s="332"/>
      <c r="AF660" s="332"/>
      <c r="AG660" s="332"/>
      <c r="AH660" s="332"/>
      <c r="AI660" s="332"/>
      <c r="AJ660" s="332"/>
      <c r="AK660" s="332"/>
      <c r="AL660" s="332"/>
      <c r="AM660" s="332"/>
      <c r="AN660" s="332"/>
      <c r="AP660" s="332"/>
      <c r="AT660" s="332"/>
    </row>
    <row r="661" spans="1:46" ht="9.75" customHeight="1">
      <c r="A661" s="332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  <c r="Z661" s="332"/>
      <c r="AA661" s="332"/>
      <c r="AB661" s="332"/>
      <c r="AC661" s="332"/>
      <c r="AD661" s="332"/>
      <c r="AE661" s="332"/>
      <c r="AF661" s="332"/>
      <c r="AG661" s="332"/>
      <c r="AH661" s="332"/>
      <c r="AI661" s="332"/>
      <c r="AJ661" s="332"/>
      <c r="AK661" s="332"/>
      <c r="AL661" s="332"/>
      <c r="AM661" s="332"/>
      <c r="AN661" s="332"/>
      <c r="AP661" s="332"/>
      <c r="AT661" s="332"/>
    </row>
    <row r="662" spans="1:46" ht="9.75" customHeight="1">
      <c r="A662" s="332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  <c r="Z662" s="332"/>
      <c r="AA662" s="332"/>
      <c r="AB662" s="332"/>
      <c r="AC662" s="332"/>
      <c r="AD662" s="332"/>
      <c r="AE662" s="332"/>
      <c r="AF662" s="332"/>
      <c r="AG662" s="332"/>
      <c r="AH662" s="332"/>
      <c r="AI662" s="332"/>
      <c r="AJ662" s="332"/>
      <c r="AK662" s="332"/>
      <c r="AL662" s="332"/>
      <c r="AM662" s="332"/>
      <c r="AN662" s="332"/>
      <c r="AP662" s="332"/>
      <c r="AT662" s="332"/>
    </row>
    <row r="663" spans="1:46" ht="9.75" customHeight="1">
      <c r="A663" s="332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  <c r="Z663" s="332"/>
      <c r="AA663" s="332"/>
      <c r="AB663" s="332"/>
      <c r="AC663" s="332"/>
      <c r="AD663" s="332"/>
      <c r="AE663" s="332"/>
      <c r="AF663" s="332"/>
      <c r="AG663" s="332"/>
      <c r="AH663" s="332"/>
      <c r="AI663" s="332"/>
      <c r="AJ663" s="332"/>
      <c r="AK663" s="332"/>
      <c r="AL663" s="332"/>
      <c r="AM663" s="332"/>
      <c r="AN663" s="332"/>
      <c r="AP663" s="332"/>
      <c r="AT663" s="332"/>
    </row>
    <row r="664" spans="1:46" ht="9.75" customHeight="1">
      <c r="A664" s="332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  <c r="Z664" s="332"/>
      <c r="AA664" s="332"/>
      <c r="AB664" s="332"/>
      <c r="AC664" s="332"/>
      <c r="AD664" s="332"/>
      <c r="AE664" s="332"/>
      <c r="AF664" s="332"/>
      <c r="AG664" s="332"/>
      <c r="AH664" s="332"/>
      <c r="AI664" s="332"/>
      <c r="AJ664" s="332"/>
      <c r="AK664" s="332"/>
      <c r="AL664" s="332"/>
      <c r="AM664" s="332"/>
      <c r="AN664" s="332"/>
      <c r="AP664" s="332"/>
      <c r="AT664" s="332"/>
    </row>
    <row r="665" spans="1:46" ht="9.75" customHeight="1">
      <c r="A665" s="332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  <c r="Z665" s="332"/>
      <c r="AA665" s="332"/>
      <c r="AB665" s="332"/>
      <c r="AC665" s="332"/>
      <c r="AD665" s="332"/>
      <c r="AE665" s="332"/>
      <c r="AF665" s="332"/>
      <c r="AG665" s="332"/>
      <c r="AH665" s="332"/>
      <c r="AI665" s="332"/>
      <c r="AJ665" s="332"/>
      <c r="AK665" s="332"/>
      <c r="AL665" s="332"/>
      <c r="AM665" s="332"/>
      <c r="AN665" s="332"/>
      <c r="AP665" s="332"/>
      <c r="AT665" s="332"/>
    </row>
    <row r="666" spans="1:46" ht="9.75" customHeight="1">
      <c r="A666" s="332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  <c r="Z666" s="332"/>
      <c r="AA666" s="332"/>
      <c r="AB666" s="332"/>
      <c r="AC666" s="332"/>
      <c r="AD666" s="332"/>
      <c r="AE666" s="332"/>
      <c r="AF666" s="332"/>
      <c r="AG666" s="332"/>
      <c r="AH666" s="332"/>
      <c r="AI666" s="332"/>
      <c r="AJ666" s="332"/>
      <c r="AK666" s="332"/>
      <c r="AL666" s="332"/>
      <c r="AM666" s="332"/>
      <c r="AN666" s="332"/>
      <c r="AP666" s="332"/>
      <c r="AT666" s="332"/>
    </row>
    <row r="667" spans="1:46" ht="9.75" customHeight="1">
      <c r="A667" s="332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  <c r="Z667" s="332"/>
      <c r="AA667" s="332"/>
      <c r="AB667" s="332"/>
      <c r="AC667" s="332"/>
      <c r="AD667" s="332"/>
      <c r="AE667" s="332"/>
      <c r="AF667" s="332"/>
      <c r="AG667" s="332"/>
      <c r="AH667" s="332"/>
      <c r="AI667" s="332"/>
      <c r="AJ667" s="332"/>
      <c r="AK667" s="332"/>
      <c r="AL667" s="332"/>
      <c r="AM667" s="332"/>
      <c r="AN667" s="332"/>
      <c r="AP667" s="332"/>
      <c r="AT667" s="332"/>
    </row>
    <row r="668" spans="1:46" ht="9.75" customHeight="1">
      <c r="A668" s="332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  <c r="Z668" s="332"/>
      <c r="AA668" s="332"/>
      <c r="AB668" s="332"/>
      <c r="AC668" s="332"/>
      <c r="AD668" s="332"/>
      <c r="AE668" s="332"/>
      <c r="AF668" s="332"/>
      <c r="AG668" s="332"/>
      <c r="AH668" s="332"/>
      <c r="AI668" s="332"/>
      <c r="AJ668" s="332"/>
      <c r="AK668" s="332"/>
      <c r="AL668" s="332"/>
      <c r="AM668" s="332"/>
      <c r="AN668" s="332"/>
      <c r="AP668" s="332"/>
      <c r="AT668" s="332"/>
    </row>
    <row r="669" spans="1:46" ht="9.75" customHeight="1">
      <c r="A669" s="332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  <c r="Z669" s="332"/>
      <c r="AA669" s="332"/>
      <c r="AB669" s="332"/>
      <c r="AC669" s="332"/>
      <c r="AD669" s="332"/>
      <c r="AE669" s="332"/>
      <c r="AF669" s="332"/>
      <c r="AG669" s="332"/>
      <c r="AH669" s="332"/>
      <c r="AI669" s="332"/>
      <c r="AJ669" s="332"/>
      <c r="AK669" s="332"/>
      <c r="AL669" s="332"/>
      <c r="AM669" s="332"/>
      <c r="AN669" s="332"/>
      <c r="AP669" s="332"/>
      <c r="AT669" s="332"/>
    </row>
    <row r="670" spans="1:46" ht="9.75" customHeight="1">
      <c r="A670" s="332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  <c r="Z670" s="332"/>
      <c r="AA670" s="332"/>
      <c r="AB670" s="332"/>
      <c r="AC670" s="332"/>
      <c r="AD670" s="332"/>
      <c r="AE670" s="332"/>
      <c r="AF670" s="332"/>
      <c r="AG670" s="332"/>
      <c r="AH670" s="332"/>
      <c r="AI670" s="332"/>
      <c r="AJ670" s="332"/>
      <c r="AK670" s="332"/>
      <c r="AL670" s="332"/>
      <c r="AM670" s="332"/>
      <c r="AN670" s="332"/>
      <c r="AP670" s="332"/>
      <c r="AT670" s="332"/>
    </row>
    <row r="671" spans="1:46" ht="9.75" customHeight="1">
      <c r="A671" s="332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  <c r="Z671" s="332"/>
      <c r="AA671" s="332"/>
      <c r="AB671" s="332"/>
      <c r="AC671" s="332"/>
      <c r="AD671" s="332"/>
      <c r="AE671" s="332"/>
      <c r="AF671" s="332"/>
      <c r="AG671" s="332"/>
      <c r="AH671" s="332"/>
      <c r="AI671" s="332"/>
      <c r="AJ671" s="332"/>
      <c r="AK671" s="332"/>
      <c r="AL671" s="332"/>
      <c r="AM671" s="332"/>
      <c r="AN671" s="332"/>
      <c r="AP671" s="332"/>
      <c r="AT671" s="332"/>
    </row>
    <row r="672" spans="1:46" ht="9.75" customHeight="1">
      <c r="A672" s="332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  <c r="Z672" s="332"/>
      <c r="AA672" s="332"/>
      <c r="AB672" s="332"/>
      <c r="AC672" s="332"/>
      <c r="AD672" s="332"/>
      <c r="AE672" s="332"/>
      <c r="AF672" s="332"/>
      <c r="AG672" s="332"/>
      <c r="AH672" s="332"/>
      <c r="AI672" s="332"/>
      <c r="AJ672" s="332"/>
      <c r="AK672" s="332"/>
      <c r="AL672" s="332"/>
      <c r="AM672" s="332"/>
      <c r="AN672" s="332"/>
      <c r="AP672" s="332"/>
      <c r="AT672" s="332"/>
    </row>
    <row r="673" spans="1:46" ht="9.75" customHeight="1">
      <c r="A673" s="332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  <c r="Z673" s="332"/>
      <c r="AA673" s="332"/>
      <c r="AB673" s="332"/>
      <c r="AC673" s="332"/>
      <c r="AD673" s="332"/>
      <c r="AE673" s="332"/>
      <c r="AF673" s="332"/>
      <c r="AG673" s="332"/>
      <c r="AH673" s="332"/>
      <c r="AI673" s="332"/>
      <c r="AJ673" s="332"/>
      <c r="AK673" s="332"/>
      <c r="AL673" s="332"/>
      <c r="AM673" s="332"/>
      <c r="AN673" s="332"/>
      <c r="AP673" s="332"/>
      <c r="AT673" s="332"/>
    </row>
    <row r="674" spans="1:46" ht="9.75" customHeight="1">
      <c r="A674" s="332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  <c r="Z674" s="332"/>
      <c r="AA674" s="332"/>
      <c r="AB674" s="332"/>
      <c r="AC674" s="332"/>
      <c r="AD674" s="332"/>
      <c r="AE674" s="332"/>
      <c r="AF674" s="332"/>
      <c r="AG674" s="332"/>
      <c r="AH674" s="332"/>
      <c r="AI674" s="332"/>
      <c r="AJ674" s="332"/>
      <c r="AK674" s="332"/>
      <c r="AL674" s="332"/>
      <c r="AM674" s="332"/>
      <c r="AN674" s="332"/>
      <c r="AP674" s="332"/>
      <c r="AT674" s="332"/>
    </row>
    <row r="675" spans="1:46" ht="9.75" customHeight="1">
      <c r="A675" s="332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  <c r="Z675" s="332"/>
      <c r="AA675" s="332"/>
      <c r="AB675" s="332"/>
      <c r="AC675" s="332"/>
      <c r="AD675" s="332"/>
      <c r="AE675" s="332"/>
      <c r="AF675" s="332"/>
      <c r="AG675" s="332"/>
      <c r="AH675" s="332"/>
      <c r="AI675" s="332"/>
      <c r="AJ675" s="332"/>
      <c r="AK675" s="332"/>
      <c r="AL675" s="332"/>
      <c r="AM675" s="332"/>
      <c r="AN675" s="332"/>
      <c r="AP675" s="332"/>
      <c r="AT675" s="332"/>
    </row>
    <row r="676" spans="1:46" ht="9.75" customHeight="1">
      <c r="A676" s="332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  <c r="Z676" s="332"/>
      <c r="AA676" s="332"/>
      <c r="AB676" s="332"/>
      <c r="AC676" s="332"/>
      <c r="AD676" s="332"/>
      <c r="AE676" s="332"/>
      <c r="AF676" s="332"/>
      <c r="AG676" s="332"/>
      <c r="AH676" s="332"/>
      <c r="AI676" s="332"/>
      <c r="AJ676" s="332"/>
      <c r="AK676" s="332"/>
      <c r="AL676" s="332"/>
      <c r="AM676" s="332"/>
      <c r="AN676" s="332"/>
      <c r="AP676" s="332"/>
      <c r="AT676" s="332"/>
    </row>
    <row r="677" spans="1:46" ht="9.75" customHeight="1">
      <c r="A677" s="332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  <c r="Z677" s="332"/>
      <c r="AA677" s="332"/>
      <c r="AB677" s="332"/>
      <c r="AC677" s="332"/>
      <c r="AD677" s="332"/>
      <c r="AE677" s="332"/>
      <c r="AF677" s="332"/>
      <c r="AG677" s="332"/>
      <c r="AH677" s="332"/>
      <c r="AI677" s="332"/>
      <c r="AJ677" s="332"/>
      <c r="AK677" s="332"/>
      <c r="AL677" s="332"/>
      <c r="AM677" s="332"/>
      <c r="AN677" s="332"/>
      <c r="AP677" s="332"/>
      <c r="AT677" s="332"/>
    </row>
    <row r="678" spans="1:46" ht="9.75" customHeight="1">
      <c r="A678" s="332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  <c r="Z678" s="332"/>
      <c r="AA678" s="332"/>
      <c r="AB678" s="332"/>
      <c r="AC678" s="332"/>
      <c r="AD678" s="332"/>
      <c r="AE678" s="332"/>
      <c r="AF678" s="332"/>
      <c r="AG678" s="332"/>
      <c r="AH678" s="332"/>
      <c r="AI678" s="332"/>
      <c r="AJ678" s="332"/>
      <c r="AK678" s="332"/>
      <c r="AL678" s="332"/>
      <c r="AM678" s="332"/>
      <c r="AN678" s="332"/>
      <c r="AP678" s="332"/>
      <c r="AT678" s="332"/>
    </row>
    <row r="679" spans="1:46" ht="9.75" customHeight="1">
      <c r="A679" s="332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  <c r="Z679" s="332"/>
      <c r="AA679" s="332"/>
      <c r="AB679" s="332"/>
      <c r="AC679" s="332"/>
      <c r="AD679" s="332"/>
      <c r="AE679" s="332"/>
      <c r="AF679" s="332"/>
      <c r="AG679" s="332"/>
      <c r="AH679" s="332"/>
      <c r="AI679" s="332"/>
      <c r="AJ679" s="332"/>
      <c r="AK679" s="332"/>
      <c r="AL679" s="332"/>
      <c r="AM679" s="332"/>
      <c r="AN679" s="332"/>
      <c r="AP679" s="332"/>
      <c r="AT679" s="332"/>
    </row>
    <row r="680" spans="1:46" ht="9.75" customHeight="1">
      <c r="A680" s="332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  <c r="Z680" s="332"/>
      <c r="AA680" s="332"/>
      <c r="AB680" s="332"/>
      <c r="AC680" s="332"/>
      <c r="AD680" s="332"/>
      <c r="AE680" s="332"/>
      <c r="AF680" s="332"/>
      <c r="AG680" s="332"/>
      <c r="AH680" s="332"/>
      <c r="AI680" s="332"/>
      <c r="AJ680" s="332"/>
      <c r="AK680" s="332"/>
      <c r="AL680" s="332"/>
      <c r="AM680" s="332"/>
      <c r="AN680" s="332"/>
      <c r="AP680" s="332"/>
      <c r="AT680" s="332"/>
    </row>
    <row r="681" spans="1:46" ht="9.75" customHeight="1">
      <c r="A681" s="332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  <c r="Z681" s="332"/>
      <c r="AA681" s="332"/>
      <c r="AB681" s="332"/>
      <c r="AC681" s="332"/>
      <c r="AD681" s="332"/>
      <c r="AE681" s="332"/>
      <c r="AF681" s="332"/>
      <c r="AG681" s="332"/>
      <c r="AH681" s="332"/>
      <c r="AI681" s="332"/>
      <c r="AJ681" s="332"/>
      <c r="AK681" s="332"/>
      <c r="AL681" s="332"/>
      <c r="AM681" s="332"/>
      <c r="AN681" s="332"/>
      <c r="AP681" s="332"/>
      <c r="AT681" s="332"/>
    </row>
    <row r="682" spans="1:46" ht="9.75" customHeight="1">
      <c r="A682" s="332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  <c r="Z682" s="332"/>
      <c r="AA682" s="332"/>
      <c r="AB682" s="332"/>
      <c r="AC682" s="332"/>
      <c r="AD682" s="332"/>
      <c r="AE682" s="332"/>
      <c r="AF682" s="332"/>
      <c r="AG682" s="332"/>
      <c r="AH682" s="332"/>
      <c r="AI682" s="332"/>
      <c r="AJ682" s="332"/>
      <c r="AK682" s="332"/>
      <c r="AL682" s="332"/>
      <c r="AM682" s="332"/>
      <c r="AN682" s="332"/>
      <c r="AP682" s="332"/>
      <c r="AT682" s="332"/>
    </row>
    <row r="683" spans="1:46" ht="9.75" customHeight="1">
      <c r="A683" s="332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  <c r="Z683" s="332"/>
      <c r="AA683" s="332"/>
      <c r="AB683" s="332"/>
      <c r="AC683" s="332"/>
      <c r="AD683" s="332"/>
      <c r="AE683" s="332"/>
      <c r="AF683" s="332"/>
      <c r="AG683" s="332"/>
      <c r="AH683" s="332"/>
      <c r="AI683" s="332"/>
      <c r="AJ683" s="332"/>
      <c r="AK683" s="332"/>
      <c r="AL683" s="332"/>
      <c r="AM683" s="332"/>
      <c r="AN683" s="332"/>
      <c r="AP683" s="332"/>
      <c r="AT683" s="332"/>
    </row>
    <row r="684" spans="1:46" ht="9.75" customHeight="1">
      <c r="A684" s="332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  <c r="Z684" s="332"/>
      <c r="AA684" s="332"/>
      <c r="AB684" s="332"/>
      <c r="AC684" s="332"/>
      <c r="AD684" s="332"/>
      <c r="AE684" s="332"/>
      <c r="AF684" s="332"/>
      <c r="AG684" s="332"/>
      <c r="AH684" s="332"/>
      <c r="AI684" s="332"/>
      <c r="AJ684" s="332"/>
      <c r="AK684" s="332"/>
      <c r="AL684" s="332"/>
      <c r="AM684" s="332"/>
      <c r="AN684" s="332"/>
      <c r="AP684" s="332"/>
      <c r="AT684" s="332"/>
    </row>
    <row r="685" spans="1:46" ht="9.75" customHeight="1">
      <c r="A685" s="332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  <c r="Z685" s="332"/>
      <c r="AA685" s="332"/>
      <c r="AB685" s="332"/>
      <c r="AC685" s="332"/>
      <c r="AD685" s="332"/>
      <c r="AE685" s="332"/>
      <c r="AF685" s="332"/>
      <c r="AG685" s="332"/>
      <c r="AH685" s="332"/>
      <c r="AI685" s="332"/>
      <c r="AJ685" s="332"/>
      <c r="AK685" s="332"/>
      <c r="AL685" s="332"/>
      <c r="AM685" s="332"/>
      <c r="AN685" s="332"/>
      <c r="AP685" s="332"/>
      <c r="AT685" s="332"/>
    </row>
    <row r="686" spans="1:46" ht="9.75" customHeight="1">
      <c r="A686" s="332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  <c r="Z686" s="332"/>
      <c r="AA686" s="332"/>
      <c r="AB686" s="332"/>
      <c r="AC686" s="332"/>
      <c r="AD686" s="332"/>
      <c r="AE686" s="332"/>
      <c r="AF686" s="332"/>
      <c r="AG686" s="332"/>
      <c r="AH686" s="332"/>
      <c r="AI686" s="332"/>
      <c r="AJ686" s="332"/>
      <c r="AK686" s="332"/>
      <c r="AL686" s="332"/>
      <c r="AM686" s="332"/>
      <c r="AN686" s="332"/>
      <c r="AP686" s="332"/>
      <c r="AT686" s="332"/>
    </row>
    <row r="687" spans="1:46" ht="9.75" customHeight="1">
      <c r="A687" s="332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  <c r="Z687" s="332"/>
      <c r="AA687" s="332"/>
      <c r="AB687" s="332"/>
      <c r="AC687" s="332"/>
      <c r="AD687" s="332"/>
      <c r="AE687" s="332"/>
      <c r="AF687" s="332"/>
      <c r="AG687" s="332"/>
      <c r="AH687" s="332"/>
      <c r="AI687" s="332"/>
      <c r="AJ687" s="332"/>
      <c r="AK687" s="332"/>
      <c r="AL687" s="332"/>
      <c r="AM687" s="332"/>
      <c r="AN687" s="332"/>
      <c r="AP687" s="332"/>
      <c r="AT687" s="332"/>
    </row>
    <row r="688" spans="1:46" ht="9.75" customHeight="1">
      <c r="A688" s="332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  <c r="Z688" s="332"/>
      <c r="AA688" s="332"/>
      <c r="AB688" s="332"/>
      <c r="AC688" s="332"/>
      <c r="AD688" s="332"/>
      <c r="AE688" s="332"/>
      <c r="AF688" s="332"/>
      <c r="AG688" s="332"/>
      <c r="AH688" s="332"/>
      <c r="AI688" s="332"/>
      <c r="AJ688" s="332"/>
      <c r="AK688" s="332"/>
      <c r="AL688" s="332"/>
      <c r="AM688" s="332"/>
      <c r="AN688" s="332"/>
      <c r="AP688" s="332"/>
      <c r="AT688" s="332"/>
    </row>
    <row r="689" spans="1:46" ht="9.75" customHeight="1">
      <c r="A689" s="332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  <c r="Z689" s="332"/>
      <c r="AA689" s="332"/>
      <c r="AB689" s="332"/>
      <c r="AC689" s="332"/>
      <c r="AD689" s="332"/>
      <c r="AE689" s="332"/>
      <c r="AF689" s="332"/>
      <c r="AG689" s="332"/>
      <c r="AH689" s="332"/>
      <c r="AI689" s="332"/>
      <c r="AJ689" s="332"/>
      <c r="AK689" s="332"/>
      <c r="AL689" s="332"/>
      <c r="AM689" s="332"/>
      <c r="AN689" s="332"/>
      <c r="AP689" s="332"/>
      <c r="AT689" s="332"/>
    </row>
    <row r="690" spans="1:46" ht="9.75" customHeight="1">
      <c r="A690" s="332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  <c r="Z690" s="332"/>
      <c r="AA690" s="332"/>
      <c r="AB690" s="332"/>
      <c r="AC690" s="332"/>
      <c r="AD690" s="332"/>
      <c r="AE690" s="332"/>
      <c r="AF690" s="332"/>
      <c r="AG690" s="332"/>
      <c r="AH690" s="332"/>
      <c r="AI690" s="332"/>
      <c r="AJ690" s="332"/>
      <c r="AK690" s="332"/>
      <c r="AL690" s="332"/>
      <c r="AM690" s="332"/>
      <c r="AN690" s="332"/>
      <c r="AP690" s="332"/>
      <c r="AT690" s="332"/>
    </row>
    <row r="691" spans="1:46" ht="9.75" customHeight="1">
      <c r="A691" s="332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  <c r="Z691" s="332"/>
      <c r="AA691" s="332"/>
      <c r="AB691" s="332"/>
      <c r="AC691" s="332"/>
      <c r="AD691" s="332"/>
      <c r="AE691" s="332"/>
      <c r="AF691" s="332"/>
      <c r="AG691" s="332"/>
      <c r="AH691" s="332"/>
      <c r="AI691" s="332"/>
      <c r="AJ691" s="332"/>
      <c r="AK691" s="332"/>
      <c r="AL691" s="332"/>
      <c r="AM691" s="332"/>
      <c r="AN691" s="332"/>
      <c r="AP691" s="332"/>
      <c r="AT691" s="332"/>
    </row>
    <row r="692" spans="1:46" ht="9.75" customHeight="1">
      <c r="A692" s="332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  <c r="Z692" s="332"/>
      <c r="AA692" s="332"/>
      <c r="AB692" s="332"/>
      <c r="AC692" s="332"/>
      <c r="AD692" s="332"/>
      <c r="AE692" s="332"/>
      <c r="AF692" s="332"/>
      <c r="AG692" s="332"/>
      <c r="AH692" s="332"/>
      <c r="AI692" s="332"/>
      <c r="AJ692" s="332"/>
      <c r="AK692" s="332"/>
      <c r="AL692" s="332"/>
      <c r="AM692" s="332"/>
      <c r="AN692" s="332"/>
      <c r="AP692" s="332"/>
      <c r="AT692" s="332"/>
    </row>
    <row r="693" spans="1:46" ht="9.75" customHeight="1">
      <c r="A693" s="332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  <c r="Z693" s="332"/>
      <c r="AA693" s="332"/>
      <c r="AB693" s="332"/>
      <c r="AC693" s="332"/>
      <c r="AD693" s="332"/>
      <c r="AE693" s="332"/>
      <c r="AF693" s="332"/>
      <c r="AG693" s="332"/>
      <c r="AH693" s="332"/>
      <c r="AI693" s="332"/>
      <c r="AJ693" s="332"/>
      <c r="AK693" s="332"/>
      <c r="AL693" s="332"/>
      <c r="AM693" s="332"/>
      <c r="AN693" s="332"/>
      <c r="AP693" s="332"/>
      <c r="AT693" s="332"/>
    </row>
    <row r="694" spans="1:46" ht="9.75" customHeight="1">
      <c r="A694" s="332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  <c r="Z694" s="332"/>
      <c r="AA694" s="332"/>
      <c r="AB694" s="332"/>
      <c r="AC694" s="332"/>
      <c r="AD694" s="332"/>
      <c r="AE694" s="332"/>
      <c r="AF694" s="332"/>
      <c r="AG694" s="332"/>
      <c r="AH694" s="332"/>
      <c r="AI694" s="332"/>
      <c r="AJ694" s="332"/>
      <c r="AK694" s="332"/>
      <c r="AL694" s="332"/>
      <c r="AM694" s="332"/>
      <c r="AN694" s="332"/>
      <c r="AP694" s="332"/>
      <c r="AT694" s="332"/>
    </row>
    <row r="695" spans="1:46" ht="9.75" customHeight="1">
      <c r="A695" s="332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  <c r="Z695" s="332"/>
      <c r="AA695" s="332"/>
      <c r="AB695" s="332"/>
      <c r="AC695" s="332"/>
      <c r="AD695" s="332"/>
      <c r="AE695" s="332"/>
      <c r="AF695" s="332"/>
      <c r="AG695" s="332"/>
      <c r="AH695" s="332"/>
      <c r="AI695" s="332"/>
      <c r="AJ695" s="332"/>
      <c r="AK695" s="332"/>
      <c r="AL695" s="332"/>
      <c r="AM695" s="332"/>
      <c r="AN695" s="332"/>
      <c r="AP695" s="332"/>
      <c r="AT695" s="332"/>
    </row>
    <row r="696" spans="1:46" ht="9.75" customHeight="1">
      <c r="A696" s="332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  <c r="Z696" s="332"/>
      <c r="AA696" s="332"/>
      <c r="AB696" s="332"/>
      <c r="AC696" s="332"/>
      <c r="AD696" s="332"/>
      <c r="AE696" s="332"/>
      <c r="AF696" s="332"/>
      <c r="AG696" s="332"/>
      <c r="AH696" s="332"/>
      <c r="AI696" s="332"/>
      <c r="AJ696" s="332"/>
      <c r="AK696" s="332"/>
      <c r="AL696" s="332"/>
      <c r="AM696" s="332"/>
      <c r="AN696" s="332"/>
      <c r="AP696" s="332"/>
      <c r="AT696" s="332"/>
    </row>
    <row r="697" spans="1:46" ht="9.75" customHeight="1">
      <c r="A697" s="332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  <c r="Z697" s="332"/>
      <c r="AA697" s="332"/>
      <c r="AB697" s="332"/>
      <c r="AC697" s="332"/>
      <c r="AD697" s="332"/>
      <c r="AE697" s="332"/>
      <c r="AF697" s="332"/>
      <c r="AG697" s="332"/>
      <c r="AH697" s="332"/>
      <c r="AI697" s="332"/>
      <c r="AJ697" s="332"/>
      <c r="AK697" s="332"/>
      <c r="AL697" s="332"/>
      <c r="AM697" s="332"/>
      <c r="AN697" s="332"/>
      <c r="AP697" s="332"/>
      <c r="AT697" s="332"/>
    </row>
    <row r="698" spans="1:46" ht="9.75" customHeight="1">
      <c r="A698" s="332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  <c r="Z698" s="332"/>
      <c r="AA698" s="332"/>
      <c r="AB698" s="332"/>
      <c r="AC698" s="332"/>
      <c r="AD698" s="332"/>
      <c r="AE698" s="332"/>
      <c r="AF698" s="332"/>
      <c r="AG698" s="332"/>
      <c r="AH698" s="332"/>
      <c r="AI698" s="332"/>
      <c r="AJ698" s="332"/>
      <c r="AK698" s="332"/>
      <c r="AL698" s="332"/>
      <c r="AM698" s="332"/>
      <c r="AN698" s="332"/>
      <c r="AP698" s="332"/>
      <c r="AT698" s="332"/>
    </row>
    <row r="699" spans="1:46" ht="9.75" customHeight="1">
      <c r="A699" s="332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  <c r="Z699" s="332"/>
      <c r="AA699" s="332"/>
      <c r="AB699" s="332"/>
      <c r="AC699" s="332"/>
      <c r="AD699" s="332"/>
      <c r="AE699" s="332"/>
      <c r="AF699" s="332"/>
      <c r="AG699" s="332"/>
      <c r="AH699" s="332"/>
      <c r="AI699" s="332"/>
      <c r="AJ699" s="332"/>
      <c r="AK699" s="332"/>
      <c r="AL699" s="332"/>
      <c r="AM699" s="332"/>
      <c r="AN699" s="332"/>
      <c r="AP699" s="332"/>
      <c r="AT699" s="332"/>
    </row>
    <row r="700" spans="1:46" ht="9.75" customHeight="1">
      <c r="A700" s="332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  <c r="Z700" s="332"/>
      <c r="AA700" s="332"/>
      <c r="AB700" s="332"/>
      <c r="AC700" s="332"/>
      <c r="AD700" s="332"/>
      <c r="AE700" s="332"/>
      <c r="AF700" s="332"/>
      <c r="AG700" s="332"/>
      <c r="AH700" s="332"/>
      <c r="AI700" s="332"/>
      <c r="AJ700" s="332"/>
      <c r="AK700" s="332"/>
      <c r="AL700" s="332"/>
      <c r="AM700" s="332"/>
      <c r="AN700" s="332"/>
      <c r="AP700" s="332"/>
      <c r="AT700" s="332"/>
    </row>
    <row r="701" spans="1:46" ht="9.75" customHeight="1">
      <c r="A701" s="332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  <c r="Z701" s="332"/>
      <c r="AA701" s="332"/>
      <c r="AB701" s="332"/>
      <c r="AC701" s="332"/>
      <c r="AD701" s="332"/>
      <c r="AE701" s="332"/>
      <c r="AF701" s="332"/>
      <c r="AG701" s="332"/>
      <c r="AH701" s="332"/>
      <c r="AI701" s="332"/>
      <c r="AJ701" s="332"/>
      <c r="AK701" s="332"/>
      <c r="AL701" s="332"/>
      <c r="AM701" s="332"/>
      <c r="AN701" s="332"/>
      <c r="AP701" s="332"/>
      <c r="AT701" s="332"/>
    </row>
    <row r="702" spans="1:46" ht="9.75" customHeight="1">
      <c r="A702" s="332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  <c r="Z702" s="332"/>
      <c r="AA702" s="332"/>
      <c r="AB702" s="332"/>
      <c r="AC702" s="332"/>
      <c r="AD702" s="332"/>
      <c r="AE702" s="332"/>
      <c r="AF702" s="332"/>
      <c r="AG702" s="332"/>
      <c r="AH702" s="332"/>
      <c r="AI702" s="332"/>
      <c r="AJ702" s="332"/>
      <c r="AK702" s="332"/>
      <c r="AL702" s="332"/>
      <c r="AM702" s="332"/>
      <c r="AN702" s="332"/>
      <c r="AP702" s="332"/>
      <c r="AT702" s="332"/>
    </row>
    <row r="703" spans="1:46" ht="9.75" customHeight="1">
      <c r="A703" s="332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  <c r="Z703" s="332"/>
      <c r="AA703" s="332"/>
      <c r="AB703" s="332"/>
      <c r="AC703" s="332"/>
      <c r="AD703" s="332"/>
      <c r="AE703" s="332"/>
      <c r="AF703" s="332"/>
      <c r="AG703" s="332"/>
      <c r="AH703" s="332"/>
      <c r="AI703" s="332"/>
      <c r="AJ703" s="332"/>
      <c r="AK703" s="332"/>
      <c r="AL703" s="332"/>
      <c r="AM703" s="332"/>
      <c r="AN703" s="332"/>
      <c r="AP703" s="332"/>
      <c r="AT703" s="332"/>
    </row>
    <row r="704" spans="1:46" ht="9.75" customHeight="1">
      <c r="A704" s="332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  <c r="Z704" s="332"/>
      <c r="AA704" s="332"/>
      <c r="AB704" s="332"/>
      <c r="AC704" s="332"/>
      <c r="AD704" s="332"/>
      <c r="AE704" s="332"/>
      <c r="AF704" s="332"/>
      <c r="AG704" s="332"/>
      <c r="AH704" s="332"/>
      <c r="AI704" s="332"/>
      <c r="AJ704" s="332"/>
      <c r="AK704" s="332"/>
      <c r="AL704" s="332"/>
      <c r="AM704" s="332"/>
      <c r="AN704" s="332"/>
      <c r="AP704" s="332"/>
      <c r="AT704" s="332"/>
    </row>
    <row r="705" spans="1:46" ht="9.75" customHeight="1">
      <c r="A705" s="332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  <c r="Z705" s="332"/>
      <c r="AA705" s="332"/>
      <c r="AB705" s="332"/>
      <c r="AC705" s="332"/>
      <c r="AD705" s="332"/>
      <c r="AE705" s="332"/>
      <c r="AF705" s="332"/>
      <c r="AG705" s="332"/>
      <c r="AH705" s="332"/>
      <c r="AI705" s="332"/>
      <c r="AJ705" s="332"/>
      <c r="AK705" s="332"/>
      <c r="AL705" s="332"/>
      <c r="AM705" s="332"/>
      <c r="AN705" s="332"/>
      <c r="AP705" s="332"/>
      <c r="AT705" s="332"/>
    </row>
    <row r="706" spans="1:46" ht="9.75" customHeight="1">
      <c r="A706" s="332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  <c r="Z706" s="332"/>
      <c r="AA706" s="332"/>
      <c r="AB706" s="332"/>
      <c r="AC706" s="332"/>
      <c r="AD706" s="332"/>
      <c r="AE706" s="332"/>
      <c r="AF706" s="332"/>
      <c r="AG706" s="332"/>
      <c r="AH706" s="332"/>
      <c r="AI706" s="332"/>
      <c r="AJ706" s="332"/>
      <c r="AK706" s="332"/>
      <c r="AL706" s="332"/>
      <c r="AM706" s="332"/>
      <c r="AN706" s="332"/>
      <c r="AP706" s="332"/>
      <c r="AT706" s="332"/>
    </row>
    <row r="707" spans="1:46" ht="9.75" customHeight="1">
      <c r="A707" s="332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  <c r="Z707" s="332"/>
      <c r="AA707" s="332"/>
      <c r="AB707" s="332"/>
      <c r="AC707" s="332"/>
      <c r="AD707" s="332"/>
      <c r="AE707" s="332"/>
      <c r="AF707" s="332"/>
      <c r="AG707" s="332"/>
      <c r="AH707" s="332"/>
      <c r="AI707" s="332"/>
      <c r="AJ707" s="332"/>
      <c r="AK707" s="332"/>
      <c r="AL707" s="332"/>
      <c r="AM707" s="332"/>
      <c r="AN707" s="332"/>
      <c r="AP707" s="332"/>
      <c r="AT707" s="332"/>
    </row>
    <row r="708" spans="1:46" ht="9.75" customHeight="1">
      <c r="A708" s="332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  <c r="Z708" s="332"/>
      <c r="AA708" s="332"/>
      <c r="AB708" s="332"/>
      <c r="AC708" s="332"/>
      <c r="AD708" s="332"/>
      <c r="AE708" s="332"/>
      <c r="AF708" s="332"/>
      <c r="AG708" s="332"/>
      <c r="AH708" s="332"/>
      <c r="AI708" s="332"/>
      <c r="AJ708" s="332"/>
      <c r="AK708" s="332"/>
      <c r="AL708" s="332"/>
      <c r="AM708" s="332"/>
      <c r="AN708" s="332"/>
      <c r="AP708" s="332"/>
      <c r="AT708" s="332"/>
    </row>
    <row r="709" spans="1:46" ht="9.75" customHeight="1">
      <c r="A709" s="332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  <c r="Z709" s="332"/>
      <c r="AA709" s="332"/>
      <c r="AB709" s="332"/>
      <c r="AC709" s="332"/>
      <c r="AD709" s="332"/>
      <c r="AE709" s="332"/>
      <c r="AF709" s="332"/>
      <c r="AG709" s="332"/>
      <c r="AH709" s="332"/>
      <c r="AI709" s="332"/>
      <c r="AJ709" s="332"/>
      <c r="AK709" s="332"/>
      <c r="AL709" s="332"/>
      <c r="AM709" s="332"/>
      <c r="AN709" s="332"/>
      <c r="AP709" s="332"/>
      <c r="AT709" s="332"/>
    </row>
    <row r="710" spans="1:46" ht="9.75" customHeight="1">
      <c r="A710" s="332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  <c r="Z710" s="332"/>
      <c r="AA710" s="332"/>
      <c r="AB710" s="332"/>
      <c r="AC710" s="332"/>
      <c r="AD710" s="332"/>
      <c r="AE710" s="332"/>
      <c r="AF710" s="332"/>
      <c r="AG710" s="332"/>
      <c r="AH710" s="332"/>
      <c r="AI710" s="332"/>
      <c r="AJ710" s="332"/>
      <c r="AK710" s="332"/>
      <c r="AL710" s="332"/>
      <c r="AM710" s="332"/>
      <c r="AN710" s="332"/>
      <c r="AP710" s="332"/>
      <c r="AT710" s="332"/>
    </row>
    <row r="711" spans="1:46" ht="9.75" customHeight="1">
      <c r="A711" s="332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  <c r="Z711" s="332"/>
      <c r="AA711" s="332"/>
      <c r="AB711" s="332"/>
      <c r="AC711" s="332"/>
      <c r="AD711" s="332"/>
      <c r="AE711" s="332"/>
      <c r="AF711" s="332"/>
      <c r="AG711" s="332"/>
      <c r="AH711" s="332"/>
      <c r="AI711" s="332"/>
      <c r="AJ711" s="332"/>
      <c r="AK711" s="332"/>
      <c r="AL711" s="332"/>
      <c r="AM711" s="332"/>
      <c r="AN711" s="332"/>
      <c r="AP711" s="332"/>
      <c r="AT711" s="332"/>
    </row>
    <row r="712" spans="1:46" ht="9.75" customHeight="1">
      <c r="A712" s="332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  <c r="Z712" s="332"/>
      <c r="AA712" s="332"/>
      <c r="AB712" s="332"/>
      <c r="AC712" s="332"/>
      <c r="AD712" s="332"/>
      <c r="AE712" s="332"/>
      <c r="AF712" s="332"/>
      <c r="AG712" s="332"/>
      <c r="AH712" s="332"/>
      <c r="AI712" s="332"/>
      <c r="AJ712" s="332"/>
      <c r="AK712" s="332"/>
      <c r="AL712" s="332"/>
      <c r="AM712" s="332"/>
      <c r="AN712" s="332"/>
      <c r="AP712" s="332"/>
      <c r="AT712" s="332"/>
    </row>
    <row r="713" spans="1:46" ht="9.75" customHeight="1">
      <c r="A713" s="332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  <c r="Z713" s="332"/>
      <c r="AA713" s="332"/>
      <c r="AB713" s="332"/>
      <c r="AC713" s="332"/>
      <c r="AD713" s="332"/>
      <c r="AE713" s="332"/>
      <c r="AF713" s="332"/>
      <c r="AG713" s="332"/>
      <c r="AH713" s="332"/>
      <c r="AI713" s="332"/>
      <c r="AJ713" s="332"/>
      <c r="AK713" s="332"/>
      <c r="AL713" s="332"/>
      <c r="AM713" s="332"/>
      <c r="AN713" s="332"/>
      <c r="AP713" s="332"/>
      <c r="AT713" s="332"/>
    </row>
    <row r="714" spans="1:46" ht="9.75" customHeight="1">
      <c r="A714" s="332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  <c r="Z714" s="332"/>
      <c r="AA714" s="332"/>
      <c r="AB714" s="332"/>
      <c r="AC714" s="332"/>
      <c r="AD714" s="332"/>
      <c r="AE714" s="332"/>
      <c r="AF714" s="332"/>
      <c r="AG714" s="332"/>
      <c r="AH714" s="332"/>
      <c r="AI714" s="332"/>
      <c r="AJ714" s="332"/>
      <c r="AK714" s="332"/>
      <c r="AL714" s="332"/>
      <c r="AM714" s="332"/>
      <c r="AN714" s="332"/>
      <c r="AP714" s="332"/>
      <c r="AT714" s="332"/>
    </row>
    <row r="715" spans="1:46" ht="9.75" customHeight="1">
      <c r="A715" s="332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  <c r="Z715" s="332"/>
      <c r="AA715" s="332"/>
      <c r="AB715" s="332"/>
      <c r="AC715" s="332"/>
      <c r="AD715" s="332"/>
      <c r="AE715" s="332"/>
      <c r="AF715" s="332"/>
      <c r="AG715" s="332"/>
      <c r="AH715" s="332"/>
      <c r="AI715" s="332"/>
      <c r="AJ715" s="332"/>
      <c r="AK715" s="332"/>
      <c r="AL715" s="332"/>
      <c r="AM715" s="332"/>
      <c r="AN715" s="332"/>
      <c r="AP715" s="332"/>
      <c r="AT715" s="332"/>
    </row>
    <row r="716" spans="1:46" ht="9.75" customHeight="1">
      <c r="A716" s="332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  <c r="Z716" s="332"/>
      <c r="AA716" s="332"/>
      <c r="AB716" s="332"/>
      <c r="AC716" s="332"/>
      <c r="AD716" s="332"/>
      <c r="AE716" s="332"/>
      <c r="AF716" s="332"/>
      <c r="AG716" s="332"/>
      <c r="AH716" s="332"/>
      <c r="AI716" s="332"/>
      <c r="AJ716" s="332"/>
      <c r="AK716" s="332"/>
      <c r="AL716" s="332"/>
      <c r="AM716" s="332"/>
      <c r="AN716" s="332"/>
      <c r="AP716" s="332"/>
      <c r="AT716" s="332"/>
    </row>
    <row r="717" spans="1:46" ht="9.75" customHeight="1">
      <c r="A717" s="332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  <c r="Z717" s="332"/>
      <c r="AA717" s="332"/>
      <c r="AB717" s="332"/>
      <c r="AC717" s="332"/>
      <c r="AD717" s="332"/>
      <c r="AE717" s="332"/>
      <c r="AF717" s="332"/>
      <c r="AG717" s="332"/>
      <c r="AH717" s="332"/>
      <c r="AI717" s="332"/>
      <c r="AJ717" s="332"/>
      <c r="AK717" s="332"/>
      <c r="AL717" s="332"/>
      <c r="AM717" s="332"/>
      <c r="AN717" s="332"/>
      <c r="AP717" s="332"/>
      <c r="AT717" s="332"/>
    </row>
    <row r="718" spans="1:46" ht="9.75" customHeight="1">
      <c r="A718" s="332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  <c r="Z718" s="332"/>
      <c r="AA718" s="332"/>
      <c r="AB718" s="332"/>
      <c r="AC718" s="332"/>
      <c r="AD718" s="332"/>
      <c r="AE718" s="332"/>
      <c r="AF718" s="332"/>
      <c r="AG718" s="332"/>
      <c r="AH718" s="332"/>
      <c r="AI718" s="332"/>
      <c r="AJ718" s="332"/>
      <c r="AK718" s="332"/>
      <c r="AL718" s="332"/>
      <c r="AM718" s="332"/>
      <c r="AN718" s="332"/>
      <c r="AP718" s="332"/>
      <c r="AT718" s="332"/>
    </row>
    <row r="719" spans="1:46" ht="9.75" customHeight="1">
      <c r="A719" s="332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  <c r="Z719" s="332"/>
      <c r="AA719" s="332"/>
      <c r="AB719" s="332"/>
      <c r="AC719" s="332"/>
      <c r="AD719" s="332"/>
      <c r="AE719" s="332"/>
      <c r="AF719" s="332"/>
      <c r="AG719" s="332"/>
      <c r="AH719" s="332"/>
      <c r="AI719" s="332"/>
      <c r="AJ719" s="332"/>
      <c r="AK719" s="332"/>
      <c r="AL719" s="332"/>
      <c r="AM719" s="332"/>
      <c r="AN719" s="332"/>
      <c r="AP719" s="332"/>
      <c r="AT719" s="332"/>
    </row>
    <row r="720" spans="1:46" ht="9.75" customHeight="1">
      <c r="A720" s="332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  <c r="Z720" s="332"/>
      <c r="AA720" s="332"/>
      <c r="AB720" s="332"/>
      <c r="AC720" s="332"/>
      <c r="AD720" s="332"/>
      <c r="AE720" s="332"/>
      <c r="AF720" s="332"/>
      <c r="AG720" s="332"/>
      <c r="AH720" s="332"/>
      <c r="AI720" s="332"/>
      <c r="AJ720" s="332"/>
      <c r="AK720" s="332"/>
      <c r="AL720" s="332"/>
      <c r="AM720" s="332"/>
      <c r="AN720" s="332"/>
      <c r="AP720" s="332"/>
      <c r="AT720" s="332"/>
    </row>
    <row r="721" spans="1:46" ht="9.75" customHeight="1">
      <c r="A721" s="332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  <c r="Z721" s="332"/>
      <c r="AA721" s="332"/>
      <c r="AB721" s="332"/>
      <c r="AC721" s="332"/>
      <c r="AD721" s="332"/>
      <c r="AE721" s="332"/>
      <c r="AF721" s="332"/>
      <c r="AG721" s="332"/>
      <c r="AH721" s="332"/>
      <c r="AI721" s="332"/>
      <c r="AJ721" s="332"/>
      <c r="AK721" s="332"/>
      <c r="AL721" s="332"/>
      <c r="AM721" s="332"/>
      <c r="AN721" s="332"/>
      <c r="AP721" s="332"/>
      <c r="AT721" s="332"/>
    </row>
    <row r="722" spans="1:46" ht="9.75" customHeight="1">
      <c r="A722" s="332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  <c r="Z722" s="332"/>
      <c r="AA722" s="332"/>
      <c r="AB722" s="332"/>
      <c r="AC722" s="332"/>
      <c r="AD722" s="332"/>
      <c r="AE722" s="332"/>
      <c r="AF722" s="332"/>
      <c r="AG722" s="332"/>
      <c r="AH722" s="332"/>
      <c r="AI722" s="332"/>
      <c r="AJ722" s="332"/>
      <c r="AK722" s="332"/>
      <c r="AL722" s="332"/>
      <c r="AM722" s="332"/>
      <c r="AN722" s="332"/>
      <c r="AP722" s="332"/>
      <c r="AT722" s="332"/>
    </row>
    <row r="723" spans="1:46" ht="9.75" customHeight="1">
      <c r="A723" s="332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  <c r="Z723" s="332"/>
      <c r="AA723" s="332"/>
      <c r="AB723" s="332"/>
      <c r="AC723" s="332"/>
      <c r="AD723" s="332"/>
      <c r="AE723" s="332"/>
      <c r="AF723" s="332"/>
      <c r="AG723" s="332"/>
      <c r="AH723" s="332"/>
      <c r="AI723" s="332"/>
      <c r="AJ723" s="332"/>
      <c r="AK723" s="332"/>
      <c r="AL723" s="332"/>
      <c r="AM723" s="332"/>
      <c r="AN723" s="332"/>
      <c r="AP723" s="332"/>
      <c r="AT723" s="332"/>
    </row>
    <row r="724" spans="1:46" ht="9.75" customHeight="1">
      <c r="A724" s="332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  <c r="Z724" s="332"/>
      <c r="AA724" s="332"/>
      <c r="AB724" s="332"/>
      <c r="AC724" s="332"/>
      <c r="AD724" s="332"/>
      <c r="AE724" s="332"/>
      <c r="AF724" s="332"/>
      <c r="AG724" s="332"/>
      <c r="AH724" s="332"/>
      <c r="AI724" s="332"/>
      <c r="AJ724" s="332"/>
      <c r="AK724" s="332"/>
      <c r="AL724" s="332"/>
      <c r="AM724" s="332"/>
      <c r="AN724" s="332"/>
      <c r="AP724" s="332"/>
      <c r="AT724" s="332"/>
    </row>
    <row r="725" spans="1:46" ht="9.75" customHeight="1">
      <c r="A725" s="332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  <c r="Z725" s="332"/>
      <c r="AA725" s="332"/>
      <c r="AB725" s="332"/>
      <c r="AC725" s="332"/>
      <c r="AD725" s="332"/>
      <c r="AE725" s="332"/>
      <c r="AF725" s="332"/>
      <c r="AG725" s="332"/>
      <c r="AH725" s="332"/>
      <c r="AI725" s="332"/>
      <c r="AJ725" s="332"/>
      <c r="AK725" s="332"/>
      <c r="AL725" s="332"/>
      <c r="AM725" s="332"/>
      <c r="AN725" s="332"/>
      <c r="AP725" s="332"/>
      <c r="AT725" s="332"/>
    </row>
    <row r="726" spans="1:46" ht="9.75" customHeight="1">
      <c r="A726" s="332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  <c r="Z726" s="332"/>
      <c r="AA726" s="332"/>
      <c r="AB726" s="332"/>
      <c r="AC726" s="332"/>
      <c r="AD726" s="332"/>
      <c r="AE726" s="332"/>
      <c r="AF726" s="332"/>
      <c r="AG726" s="332"/>
      <c r="AH726" s="332"/>
      <c r="AI726" s="332"/>
      <c r="AJ726" s="332"/>
      <c r="AK726" s="332"/>
      <c r="AL726" s="332"/>
      <c r="AM726" s="332"/>
      <c r="AN726" s="332"/>
      <c r="AP726" s="332"/>
      <c r="AT726" s="332"/>
    </row>
    <row r="727" spans="1:46" ht="9.75" customHeight="1">
      <c r="A727" s="332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  <c r="Z727" s="332"/>
      <c r="AA727" s="332"/>
      <c r="AB727" s="332"/>
      <c r="AC727" s="332"/>
      <c r="AD727" s="332"/>
      <c r="AE727" s="332"/>
      <c r="AF727" s="332"/>
      <c r="AG727" s="332"/>
      <c r="AH727" s="332"/>
      <c r="AI727" s="332"/>
      <c r="AJ727" s="332"/>
      <c r="AK727" s="332"/>
      <c r="AL727" s="332"/>
      <c r="AM727" s="332"/>
      <c r="AN727" s="332"/>
      <c r="AP727" s="332"/>
      <c r="AT727" s="332"/>
    </row>
    <row r="728" spans="1:46" ht="9.75" customHeight="1">
      <c r="A728" s="332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  <c r="Z728" s="332"/>
      <c r="AA728" s="332"/>
      <c r="AB728" s="332"/>
      <c r="AC728" s="332"/>
      <c r="AD728" s="332"/>
      <c r="AE728" s="332"/>
      <c r="AF728" s="332"/>
      <c r="AG728" s="332"/>
      <c r="AH728" s="332"/>
      <c r="AI728" s="332"/>
      <c r="AJ728" s="332"/>
      <c r="AK728" s="332"/>
      <c r="AL728" s="332"/>
      <c r="AM728" s="332"/>
      <c r="AN728" s="332"/>
      <c r="AP728" s="332"/>
      <c r="AT728" s="332"/>
    </row>
    <row r="729" spans="1:46" ht="9.75" customHeight="1">
      <c r="A729" s="332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  <c r="Z729" s="332"/>
      <c r="AA729" s="332"/>
      <c r="AB729" s="332"/>
      <c r="AC729" s="332"/>
      <c r="AD729" s="332"/>
      <c r="AE729" s="332"/>
      <c r="AF729" s="332"/>
      <c r="AG729" s="332"/>
      <c r="AH729" s="332"/>
      <c r="AI729" s="332"/>
      <c r="AJ729" s="332"/>
      <c r="AK729" s="332"/>
      <c r="AL729" s="332"/>
      <c r="AM729" s="332"/>
      <c r="AN729" s="332"/>
      <c r="AP729" s="332"/>
      <c r="AT729" s="332"/>
    </row>
    <row r="730" spans="1:46" ht="9.75" customHeight="1">
      <c r="A730" s="332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  <c r="Z730" s="332"/>
      <c r="AA730" s="332"/>
      <c r="AB730" s="332"/>
      <c r="AC730" s="332"/>
      <c r="AD730" s="332"/>
      <c r="AE730" s="332"/>
      <c r="AF730" s="332"/>
      <c r="AG730" s="332"/>
      <c r="AH730" s="332"/>
      <c r="AI730" s="332"/>
      <c r="AJ730" s="332"/>
      <c r="AK730" s="332"/>
      <c r="AL730" s="332"/>
      <c r="AM730" s="332"/>
      <c r="AN730" s="332"/>
      <c r="AP730" s="332"/>
      <c r="AT730" s="332"/>
    </row>
    <row r="731" spans="1:46" ht="9.75" customHeight="1">
      <c r="A731" s="332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  <c r="Z731" s="332"/>
      <c r="AA731" s="332"/>
      <c r="AB731" s="332"/>
      <c r="AC731" s="332"/>
      <c r="AD731" s="332"/>
      <c r="AE731" s="332"/>
      <c r="AF731" s="332"/>
      <c r="AG731" s="332"/>
      <c r="AH731" s="332"/>
      <c r="AI731" s="332"/>
      <c r="AJ731" s="332"/>
      <c r="AK731" s="332"/>
      <c r="AL731" s="332"/>
      <c r="AM731" s="332"/>
      <c r="AN731" s="332"/>
      <c r="AP731" s="332"/>
      <c r="AT731" s="332"/>
    </row>
    <row r="732" spans="1:46" ht="9.75" customHeight="1">
      <c r="A732" s="332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  <c r="Z732" s="332"/>
      <c r="AA732" s="332"/>
      <c r="AB732" s="332"/>
      <c r="AC732" s="332"/>
      <c r="AD732" s="332"/>
      <c r="AE732" s="332"/>
      <c r="AF732" s="332"/>
      <c r="AG732" s="332"/>
      <c r="AH732" s="332"/>
      <c r="AI732" s="332"/>
      <c r="AJ732" s="332"/>
      <c r="AK732" s="332"/>
      <c r="AL732" s="332"/>
      <c r="AM732" s="332"/>
      <c r="AN732" s="332"/>
      <c r="AP732" s="332"/>
      <c r="AT732" s="332"/>
    </row>
    <row r="733" spans="1:46" ht="9.75" customHeight="1">
      <c r="A733" s="332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  <c r="Z733" s="332"/>
      <c r="AA733" s="332"/>
      <c r="AB733" s="332"/>
      <c r="AC733" s="332"/>
      <c r="AD733" s="332"/>
      <c r="AE733" s="332"/>
      <c r="AF733" s="332"/>
      <c r="AG733" s="332"/>
      <c r="AH733" s="332"/>
      <c r="AI733" s="332"/>
      <c r="AJ733" s="332"/>
      <c r="AK733" s="332"/>
      <c r="AL733" s="332"/>
      <c r="AM733" s="332"/>
      <c r="AN733" s="332"/>
      <c r="AP733" s="332"/>
      <c r="AT733" s="332"/>
    </row>
    <row r="734" spans="1:46" ht="9.75" customHeight="1">
      <c r="A734" s="332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  <c r="Z734" s="332"/>
      <c r="AA734" s="332"/>
      <c r="AB734" s="332"/>
      <c r="AC734" s="332"/>
      <c r="AD734" s="332"/>
      <c r="AE734" s="332"/>
      <c r="AF734" s="332"/>
      <c r="AG734" s="332"/>
      <c r="AH734" s="332"/>
      <c r="AI734" s="332"/>
      <c r="AJ734" s="332"/>
      <c r="AK734" s="332"/>
      <c r="AL734" s="332"/>
      <c r="AM734" s="332"/>
      <c r="AN734" s="332"/>
      <c r="AP734" s="332"/>
      <c r="AT734" s="332"/>
    </row>
    <row r="735" spans="1:46" ht="9.75" customHeight="1">
      <c r="A735" s="332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  <c r="Z735" s="332"/>
      <c r="AA735" s="332"/>
      <c r="AB735" s="332"/>
      <c r="AC735" s="332"/>
      <c r="AD735" s="332"/>
      <c r="AE735" s="332"/>
      <c r="AF735" s="332"/>
      <c r="AG735" s="332"/>
      <c r="AH735" s="332"/>
      <c r="AI735" s="332"/>
      <c r="AJ735" s="332"/>
      <c r="AK735" s="332"/>
      <c r="AL735" s="332"/>
      <c r="AM735" s="332"/>
      <c r="AN735" s="332"/>
      <c r="AP735" s="332"/>
      <c r="AT735" s="332"/>
    </row>
    <row r="736" spans="1:46" ht="9.75" customHeight="1">
      <c r="A736" s="332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  <c r="Z736" s="332"/>
      <c r="AA736" s="332"/>
      <c r="AB736" s="332"/>
      <c r="AC736" s="332"/>
      <c r="AD736" s="332"/>
      <c r="AE736" s="332"/>
      <c r="AF736" s="332"/>
      <c r="AG736" s="332"/>
      <c r="AH736" s="332"/>
      <c r="AI736" s="332"/>
      <c r="AJ736" s="332"/>
      <c r="AK736" s="332"/>
      <c r="AL736" s="332"/>
      <c r="AM736" s="332"/>
      <c r="AN736" s="332"/>
      <c r="AP736" s="332"/>
      <c r="AT736" s="332"/>
    </row>
    <row r="737" spans="1:46" ht="9.75" customHeight="1">
      <c r="A737" s="332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  <c r="Z737" s="332"/>
      <c r="AA737" s="332"/>
      <c r="AB737" s="332"/>
      <c r="AC737" s="332"/>
      <c r="AD737" s="332"/>
      <c r="AE737" s="332"/>
      <c r="AF737" s="332"/>
      <c r="AG737" s="332"/>
      <c r="AH737" s="332"/>
      <c r="AI737" s="332"/>
      <c r="AJ737" s="332"/>
      <c r="AK737" s="332"/>
      <c r="AL737" s="332"/>
      <c r="AM737" s="332"/>
      <c r="AN737" s="332"/>
      <c r="AP737" s="332"/>
      <c r="AT737" s="332"/>
    </row>
    <row r="738" spans="1:46" ht="9.75" customHeight="1">
      <c r="A738" s="332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  <c r="Z738" s="332"/>
      <c r="AA738" s="332"/>
      <c r="AB738" s="332"/>
      <c r="AC738" s="332"/>
      <c r="AD738" s="332"/>
      <c r="AE738" s="332"/>
      <c r="AF738" s="332"/>
      <c r="AG738" s="332"/>
      <c r="AH738" s="332"/>
      <c r="AI738" s="332"/>
      <c r="AJ738" s="332"/>
      <c r="AK738" s="332"/>
      <c r="AL738" s="332"/>
      <c r="AM738" s="332"/>
      <c r="AN738" s="332"/>
      <c r="AP738" s="332"/>
      <c r="AT738" s="332"/>
    </row>
    <row r="739" spans="1:46" ht="9.75" customHeight="1">
      <c r="A739" s="332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  <c r="Z739" s="332"/>
      <c r="AA739" s="332"/>
      <c r="AB739" s="332"/>
      <c r="AC739" s="332"/>
      <c r="AD739" s="332"/>
      <c r="AE739" s="332"/>
      <c r="AF739" s="332"/>
      <c r="AG739" s="332"/>
      <c r="AH739" s="332"/>
      <c r="AI739" s="332"/>
      <c r="AJ739" s="332"/>
      <c r="AK739" s="332"/>
      <c r="AL739" s="332"/>
      <c r="AM739" s="332"/>
      <c r="AN739" s="332"/>
      <c r="AP739" s="332"/>
      <c r="AT739" s="332"/>
    </row>
    <row r="740" spans="1:46" ht="9.75" customHeight="1">
      <c r="A740" s="332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  <c r="Z740" s="332"/>
      <c r="AA740" s="332"/>
      <c r="AB740" s="332"/>
      <c r="AC740" s="332"/>
      <c r="AD740" s="332"/>
      <c r="AE740" s="332"/>
      <c r="AF740" s="332"/>
      <c r="AG740" s="332"/>
      <c r="AH740" s="332"/>
      <c r="AI740" s="332"/>
      <c r="AJ740" s="332"/>
      <c r="AK740" s="332"/>
      <c r="AL740" s="332"/>
      <c r="AM740" s="332"/>
      <c r="AN740" s="332"/>
      <c r="AP740" s="332"/>
      <c r="AT740" s="332"/>
    </row>
    <row r="741" spans="1:46" ht="9.75" customHeight="1">
      <c r="A741" s="332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  <c r="Z741" s="332"/>
      <c r="AA741" s="332"/>
      <c r="AB741" s="332"/>
      <c r="AC741" s="332"/>
      <c r="AD741" s="332"/>
      <c r="AE741" s="332"/>
      <c r="AF741" s="332"/>
      <c r="AG741" s="332"/>
      <c r="AH741" s="332"/>
      <c r="AI741" s="332"/>
      <c r="AJ741" s="332"/>
      <c r="AK741" s="332"/>
      <c r="AL741" s="332"/>
      <c r="AM741" s="332"/>
      <c r="AN741" s="332"/>
      <c r="AP741" s="332"/>
      <c r="AT741" s="332"/>
    </row>
    <row r="742" spans="1:46" ht="9.75" customHeight="1">
      <c r="A742" s="332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  <c r="Z742" s="332"/>
      <c r="AA742" s="332"/>
      <c r="AB742" s="332"/>
      <c r="AC742" s="332"/>
      <c r="AD742" s="332"/>
      <c r="AE742" s="332"/>
      <c r="AF742" s="332"/>
      <c r="AG742" s="332"/>
      <c r="AH742" s="332"/>
      <c r="AI742" s="332"/>
      <c r="AJ742" s="332"/>
      <c r="AK742" s="332"/>
      <c r="AL742" s="332"/>
      <c r="AM742" s="332"/>
      <c r="AN742" s="332"/>
      <c r="AP742" s="332"/>
      <c r="AT742" s="332"/>
    </row>
    <row r="743" spans="1:46" ht="9.75" customHeight="1">
      <c r="A743" s="332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  <c r="Z743" s="332"/>
      <c r="AA743" s="332"/>
      <c r="AB743" s="332"/>
      <c r="AC743" s="332"/>
      <c r="AD743" s="332"/>
      <c r="AE743" s="332"/>
      <c r="AF743" s="332"/>
      <c r="AG743" s="332"/>
      <c r="AH743" s="332"/>
      <c r="AI743" s="332"/>
      <c r="AJ743" s="332"/>
      <c r="AK743" s="332"/>
      <c r="AL743" s="332"/>
      <c r="AM743" s="332"/>
      <c r="AN743" s="332"/>
      <c r="AP743" s="332"/>
      <c r="AT743" s="332"/>
    </row>
    <row r="744" spans="1:46" ht="9.75" customHeight="1">
      <c r="A744" s="332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  <c r="Z744" s="332"/>
      <c r="AA744" s="332"/>
      <c r="AB744" s="332"/>
      <c r="AC744" s="332"/>
      <c r="AD744" s="332"/>
      <c r="AE744" s="332"/>
      <c r="AF744" s="332"/>
      <c r="AG744" s="332"/>
      <c r="AH744" s="332"/>
      <c r="AI744" s="332"/>
      <c r="AJ744" s="332"/>
      <c r="AK744" s="332"/>
      <c r="AL744" s="332"/>
      <c r="AM744" s="332"/>
      <c r="AN744" s="332"/>
      <c r="AP744" s="332"/>
      <c r="AT744" s="332"/>
    </row>
    <row r="745" spans="1:46" ht="9.75" customHeight="1">
      <c r="A745" s="332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  <c r="Z745" s="332"/>
      <c r="AA745" s="332"/>
      <c r="AB745" s="332"/>
      <c r="AC745" s="332"/>
      <c r="AD745" s="332"/>
      <c r="AE745" s="332"/>
      <c r="AF745" s="332"/>
      <c r="AG745" s="332"/>
      <c r="AH745" s="332"/>
      <c r="AI745" s="332"/>
      <c r="AJ745" s="332"/>
      <c r="AK745" s="332"/>
      <c r="AL745" s="332"/>
      <c r="AM745" s="332"/>
      <c r="AN745" s="332"/>
      <c r="AP745" s="332"/>
      <c r="AT745" s="332"/>
    </row>
    <row r="746" spans="1:46" ht="9.75" customHeight="1">
      <c r="A746" s="332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  <c r="Z746" s="332"/>
      <c r="AA746" s="332"/>
      <c r="AB746" s="332"/>
      <c r="AC746" s="332"/>
      <c r="AD746" s="332"/>
      <c r="AE746" s="332"/>
      <c r="AF746" s="332"/>
      <c r="AG746" s="332"/>
      <c r="AH746" s="332"/>
      <c r="AI746" s="332"/>
      <c r="AJ746" s="332"/>
      <c r="AK746" s="332"/>
      <c r="AL746" s="332"/>
      <c r="AM746" s="332"/>
      <c r="AN746" s="332"/>
      <c r="AP746" s="332"/>
      <c r="AT746" s="332"/>
    </row>
    <row r="747" spans="1:46" ht="9.75" customHeight="1">
      <c r="A747" s="332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  <c r="Z747" s="332"/>
      <c r="AA747" s="332"/>
      <c r="AB747" s="332"/>
      <c r="AC747" s="332"/>
      <c r="AD747" s="332"/>
      <c r="AE747" s="332"/>
      <c r="AF747" s="332"/>
      <c r="AG747" s="332"/>
      <c r="AH747" s="332"/>
      <c r="AI747" s="332"/>
      <c r="AJ747" s="332"/>
      <c r="AK747" s="332"/>
      <c r="AL747" s="332"/>
      <c r="AM747" s="332"/>
      <c r="AN747" s="332"/>
      <c r="AP747" s="332"/>
      <c r="AT747" s="332"/>
    </row>
    <row r="748" spans="1:46" ht="9.75" customHeight="1">
      <c r="A748" s="332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  <c r="Z748" s="332"/>
      <c r="AA748" s="332"/>
      <c r="AB748" s="332"/>
      <c r="AC748" s="332"/>
      <c r="AD748" s="332"/>
      <c r="AE748" s="332"/>
      <c r="AF748" s="332"/>
      <c r="AG748" s="332"/>
      <c r="AH748" s="332"/>
      <c r="AI748" s="332"/>
      <c r="AJ748" s="332"/>
      <c r="AK748" s="332"/>
      <c r="AL748" s="332"/>
      <c r="AM748" s="332"/>
      <c r="AN748" s="332"/>
      <c r="AP748" s="332"/>
      <c r="AT748" s="332"/>
    </row>
    <row r="749" spans="1:46" ht="9.75" customHeight="1">
      <c r="A749" s="332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  <c r="Z749" s="332"/>
      <c r="AA749" s="332"/>
      <c r="AB749" s="332"/>
      <c r="AC749" s="332"/>
      <c r="AD749" s="332"/>
      <c r="AE749" s="332"/>
      <c r="AF749" s="332"/>
      <c r="AG749" s="332"/>
      <c r="AH749" s="332"/>
      <c r="AI749" s="332"/>
      <c r="AJ749" s="332"/>
      <c r="AK749" s="332"/>
      <c r="AL749" s="332"/>
      <c r="AM749" s="332"/>
      <c r="AN749" s="332"/>
      <c r="AP749" s="332"/>
      <c r="AT749" s="332"/>
    </row>
    <row r="750" spans="1:46" ht="9.75" customHeight="1">
      <c r="A750" s="332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  <c r="Z750" s="332"/>
      <c r="AA750" s="332"/>
      <c r="AB750" s="332"/>
      <c r="AC750" s="332"/>
      <c r="AD750" s="332"/>
      <c r="AE750" s="332"/>
      <c r="AF750" s="332"/>
      <c r="AG750" s="332"/>
      <c r="AH750" s="332"/>
      <c r="AI750" s="332"/>
      <c r="AJ750" s="332"/>
      <c r="AK750" s="332"/>
      <c r="AL750" s="332"/>
      <c r="AM750" s="332"/>
      <c r="AN750" s="332"/>
      <c r="AP750" s="332"/>
      <c r="AT750" s="332"/>
    </row>
    <row r="751" spans="1:46" ht="9.75" customHeight="1">
      <c r="A751" s="332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  <c r="Z751" s="332"/>
      <c r="AA751" s="332"/>
      <c r="AB751" s="332"/>
      <c r="AC751" s="332"/>
      <c r="AD751" s="332"/>
      <c r="AE751" s="332"/>
      <c r="AF751" s="332"/>
      <c r="AG751" s="332"/>
      <c r="AH751" s="332"/>
      <c r="AI751" s="332"/>
      <c r="AJ751" s="332"/>
      <c r="AK751" s="332"/>
      <c r="AL751" s="332"/>
      <c r="AM751" s="332"/>
      <c r="AN751" s="332"/>
      <c r="AP751" s="332"/>
      <c r="AT751" s="332"/>
    </row>
    <row r="752" spans="1:46" ht="9.75" customHeight="1">
      <c r="A752" s="332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  <c r="Z752" s="332"/>
      <c r="AA752" s="332"/>
      <c r="AB752" s="332"/>
      <c r="AC752" s="332"/>
      <c r="AD752" s="332"/>
      <c r="AE752" s="332"/>
      <c r="AF752" s="332"/>
      <c r="AG752" s="332"/>
      <c r="AH752" s="332"/>
      <c r="AI752" s="332"/>
      <c r="AJ752" s="332"/>
      <c r="AK752" s="332"/>
      <c r="AL752" s="332"/>
      <c r="AM752" s="332"/>
      <c r="AN752" s="332"/>
      <c r="AP752" s="332"/>
      <c r="AT752" s="332"/>
    </row>
    <row r="753" spans="1:46" ht="9.75" customHeight="1">
      <c r="A753" s="332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  <c r="Z753" s="332"/>
      <c r="AA753" s="332"/>
      <c r="AB753" s="332"/>
      <c r="AC753" s="332"/>
      <c r="AD753" s="332"/>
      <c r="AE753" s="332"/>
      <c r="AF753" s="332"/>
      <c r="AG753" s="332"/>
      <c r="AH753" s="332"/>
      <c r="AI753" s="332"/>
      <c r="AJ753" s="332"/>
      <c r="AK753" s="332"/>
      <c r="AL753" s="332"/>
      <c r="AM753" s="332"/>
      <c r="AN753" s="332"/>
      <c r="AP753" s="332"/>
      <c r="AT753" s="332"/>
    </row>
    <row r="754" spans="1:46" ht="9.75" customHeight="1">
      <c r="A754" s="332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  <c r="Z754" s="332"/>
      <c r="AA754" s="332"/>
      <c r="AB754" s="332"/>
      <c r="AC754" s="332"/>
      <c r="AD754" s="332"/>
      <c r="AE754" s="332"/>
      <c r="AF754" s="332"/>
      <c r="AG754" s="332"/>
      <c r="AH754" s="332"/>
      <c r="AI754" s="332"/>
      <c r="AJ754" s="332"/>
      <c r="AK754" s="332"/>
      <c r="AL754" s="332"/>
      <c r="AM754" s="332"/>
      <c r="AN754" s="332"/>
      <c r="AP754" s="332"/>
      <c r="AT754" s="332"/>
    </row>
    <row r="755" spans="1:46" ht="9.75" customHeight="1">
      <c r="A755" s="332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  <c r="Z755" s="332"/>
      <c r="AA755" s="332"/>
      <c r="AB755" s="332"/>
      <c r="AC755" s="332"/>
      <c r="AD755" s="332"/>
      <c r="AE755" s="332"/>
      <c r="AF755" s="332"/>
      <c r="AG755" s="332"/>
      <c r="AH755" s="332"/>
      <c r="AI755" s="332"/>
      <c r="AJ755" s="332"/>
      <c r="AK755" s="332"/>
      <c r="AL755" s="332"/>
      <c r="AM755" s="332"/>
      <c r="AN755" s="332"/>
      <c r="AP755" s="332"/>
      <c r="AT755" s="332"/>
    </row>
    <row r="756" spans="1:46" ht="9.75" customHeight="1">
      <c r="A756" s="332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  <c r="Z756" s="332"/>
      <c r="AA756" s="332"/>
      <c r="AB756" s="332"/>
      <c r="AC756" s="332"/>
      <c r="AD756" s="332"/>
      <c r="AE756" s="332"/>
      <c r="AF756" s="332"/>
      <c r="AG756" s="332"/>
      <c r="AH756" s="332"/>
      <c r="AI756" s="332"/>
      <c r="AJ756" s="332"/>
      <c r="AK756" s="332"/>
      <c r="AL756" s="332"/>
      <c r="AM756" s="332"/>
      <c r="AN756" s="332"/>
      <c r="AP756" s="332"/>
      <c r="AT756" s="332"/>
    </row>
    <row r="757" spans="1:46" ht="9.75" customHeight="1">
      <c r="A757" s="332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  <c r="Z757" s="332"/>
      <c r="AA757" s="332"/>
      <c r="AB757" s="332"/>
      <c r="AC757" s="332"/>
      <c r="AD757" s="332"/>
      <c r="AE757" s="332"/>
      <c r="AF757" s="332"/>
      <c r="AG757" s="332"/>
      <c r="AH757" s="332"/>
      <c r="AI757" s="332"/>
      <c r="AJ757" s="332"/>
      <c r="AK757" s="332"/>
      <c r="AL757" s="332"/>
      <c r="AM757" s="332"/>
      <c r="AN757" s="332"/>
      <c r="AP757" s="332"/>
      <c r="AT757" s="332"/>
    </row>
    <row r="758" spans="1:46" ht="9.75" customHeight="1">
      <c r="A758" s="332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  <c r="Z758" s="332"/>
      <c r="AA758" s="332"/>
      <c r="AB758" s="332"/>
      <c r="AC758" s="332"/>
      <c r="AD758" s="332"/>
      <c r="AE758" s="332"/>
      <c r="AF758" s="332"/>
      <c r="AG758" s="332"/>
      <c r="AH758" s="332"/>
      <c r="AI758" s="332"/>
      <c r="AJ758" s="332"/>
      <c r="AK758" s="332"/>
      <c r="AL758" s="332"/>
      <c r="AM758" s="332"/>
      <c r="AN758" s="332"/>
      <c r="AP758" s="332"/>
      <c r="AT758" s="332"/>
    </row>
    <row r="759" spans="1:46" ht="9.75" customHeight="1">
      <c r="A759" s="332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  <c r="Z759" s="332"/>
      <c r="AA759" s="332"/>
      <c r="AB759" s="332"/>
      <c r="AC759" s="332"/>
      <c r="AD759" s="332"/>
      <c r="AE759" s="332"/>
      <c r="AF759" s="332"/>
      <c r="AG759" s="332"/>
      <c r="AH759" s="332"/>
      <c r="AI759" s="332"/>
      <c r="AJ759" s="332"/>
      <c r="AK759" s="332"/>
      <c r="AL759" s="332"/>
      <c r="AM759" s="332"/>
      <c r="AN759" s="332"/>
      <c r="AP759" s="332"/>
      <c r="AT759" s="332"/>
    </row>
    <row r="760" spans="1:46" ht="9.75" customHeight="1">
      <c r="A760" s="332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  <c r="Z760" s="332"/>
      <c r="AA760" s="332"/>
      <c r="AB760" s="332"/>
      <c r="AC760" s="332"/>
      <c r="AD760" s="332"/>
      <c r="AE760" s="332"/>
      <c r="AF760" s="332"/>
      <c r="AG760" s="332"/>
      <c r="AH760" s="332"/>
      <c r="AI760" s="332"/>
      <c r="AJ760" s="332"/>
      <c r="AK760" s="332"/>
      <c r="AL760" s="332"/>
      <c r="AM760" s="332"/>
      <c r="AN760" s="332"/>
      <c r="AP760" s="332"/>
      <c r="AT760" s="332"/>
    </row>
    <row r="761" spans="1:46" ht="9.75" customHeight="1">
      <c r="A761" s="332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  <c r="Z761" s="332"/>
      <c r="AA761" s="332"/>
      <c r="AB761" s="332"/>
      <c r="AC761" s="332"/>
      <c r="AD761" s="332"/>
      <c r="AE761" s="332"/>
      <c r="AF761" s="332"/>
      <c r="AG761" s="332"/>
      <c r="AH761" s="332"/>
      <c r="AI761" s="332"/>
      <c r="AJ761" s="332"/>
      <c r="AK761" s="332"/>
      <c r="AL761" s="332"/>
      <c r="AM761" s="332"/>
      <c r="AN761" s="332"/>
      <c r="AP761" s="332"/>
      <c r="AT761" s="332"/>
    </row>
    <row r="762" spans="1:46" ht="9.75" customHeight="1">
      <c r="A762" s="332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  <c r="Z762" s="332"/>
      <c r="AA762" s="332"/>
      <c r="AB762" s="332"/>
      <c r="AC762" s="332"/>
      <c r="AD762" s="332"/>
      <c r="AE762" s="332"/>
      <c r="AF762" s="332"/>
      <c r="AG762" s="332"/>
      <c r="AH762" s="332"/>
      <c r="AI762" s="332"/>
      <c r="AJ762" s="332"/>
      <c r="AK762" s="332"/>
      <c r="AL762" s="332"/>
      <c r="AM762" s="332"/>
      <c r="AN762" s="332"/>
      <c r="AP762" s="332"/>
      <c r="AT762" s="332"/>
    </row>
    <row r="763" spans="1:46" ht="9.75" customHeight="1">
      <c r="A763" s="332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  <c r="Z763" s="332"/>
      <c r="AA763" s="332"/>
      <c r="AB763" s="332"/>
      <c r="AC763" s="332"/>
      <c r="AD763" s="332"/>
      <c r="AE763" s="332"/>
      <c r="AF763" s="332"/>
      <c r="AG763" s="332"/>
      <c r="AH763" s="332"/>
      <c r="AI763" s="332"/>
      <c r="AJ763" s="332"/>
      <c r="AK763" s="332"/>
      <c r="AL763" s="332"/>
      <c r="AM763" s="332"/>
      <c r="AN763" s="332"/>
      <c r="AP763" s="332"/>
      <c r="AT763" s="332"/>
    </row>
    <row r="764" spans="1:46" ht="9.75" customHeight="1">
      <c r="A764" s="332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  <c r="Z764" s="332"/>
      <c r="AA764" s="332"/>
      <c r="AB764" s="332"/>
      <c r="AC764" s="332"/>
      <c r="AD764" s="332"/>
      <c r="AE764" s="332"/>
      <c r="AF764" s="332"/>
      <c r="AG764" s="332"/>
      <c r="AH764" s="332"/>
      <c r="AI764" s="332"/>
      <c r="AJ764" s="332"/>
      <c r="AK764" s="332"/>
      <c r="AL764" s="332"/>
      <c r="AM764" s="332"/>
      <c r="AN764" s="332"/>
      <c r="AP764" s="332"/>
      <c r="AT764" s="332"/>
    </row>
    <row r="765" spans="1:46" ht="9.75" customHeight="1">
      <c r="A765" s="332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  <c r="Z765" s="332"/>
      <c r="AA765" s="332"/>
      <c r="AB765" s="332"/>
      <c r="AC765" s="332"/>
      <c r="AD765" s="332"/>
      <c r="AE765" s="332"/>
      <c r="AF765" s="332"/>
      <c r="AG765" s="332"/>
      <c r="AH765" s="332"/>
      <c r="AI765" s="332"/>
      <c r="AJ765" s="332"/>
      <c r="AK765" s="332"/>
      <c r="AL765" s="332"/>
      <c r="AM765" s="332"/>
      <c r="AN765" s="332"/>
      <c r="AP765" s="332"/>
      <c r="AT765" s="332"/>
    </row>
    <row r="766" spans="1:46" ht="9.75" customHeight="1">
      <c r="A766" s="332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  <c r="Z766" s="332"/>
      <c r="AA766" s="332"/>
      <c r="AB766" s="332"/>
      <c r="AC766" s="332"/>
      <c r="AD766" s="332"/>
      <c r="AE766" s="332"/>
      <c r="AF766" s="332"/>
      <c r="AG766" s="332"/>
      <c r="AH766" s="332"/>
      <c r="AI766" s="332"/>
      <c r="AJ766" s="332"/>
      <c r="AK766" s="332"/>
      <c r="AL766" s="332"/>
      <c r="AM766" s="332"/>
      <c r="AN766" s="332"/>
      <c r="AP766" s="332"/>
      <c r="AT766" s="332"/>
    </row>
    <row r="767" spans="1:46" ht="9.75" customHeight="1">
      <c r="A767" s="332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  <c r="Z767" s="332"/>
      <c r="AA767" s="332"/>
      <c r="AB767" s="332"/>
      <c r="AC767" s="332"/>
      <c r="AD767" s="332"/>
      <c r="AE767" s="332"/>
      <c r="AF767" s="332"/>
      <c r="AG767" s="332"/>
      <c r="AH767" s="332"/>
      <c r="AI767" s="332"/>
      <c r="AJ767" s="332"/>
      <c r="AK767" s="332"/>
      <c r="AL767" s="332"/>
      <c r="AM767" s="332"/>
      <c r="AN767" s="332"/>
      <c r="AP767" s="332"/>
      <c r="AT767" s="332"/>
    </row>
    <row r="768" spans="1:46" ht="9.75" customHeight="1">
      <c r="A768" s="332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  <c r="Z768" s="332"/>
      <c r="AA768" s="332"/>
      <c r="AB768" s="332"/>
      <c r="AC768" s="332"/>
      <c r="AD768" s="332"/>
      <c r="AE768" s="332"/>
      <c r="AF768" s="332"/>
      <c r="AG768" s="332"/>
      <c r="AH768" s="332"/>
      <c r="AI768" s="332"/>
      <c r="AJ768" s="332"/>
      <c r="AK768" s="332"/>
      <c r="AL768" s="332"/>
      <c r="AM768" s="332"/>
      <c r="AN768" s="332"/>
      <c r="AP768" s="332"/>
      <c r="AT768" s="332"/>
    </row>
    <row r="769" spans="1:46" ht="9.75" customHeight="1">
      <c r="A769" s="332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  <c r="Z769" s="332"/>
      <c r="AA769" s="332"/>
      <c r="AB769" s="332"/>
      <c r="AC769" s="332"/>
      <c r="AD769" s="332"/>
      <c r="AE769" s="332"/>
      <c r="AF769" s="332"/>
      <c r="AG769" s="332"/>
      <c r="AH769" s="332"/>
      <c r="AI769" s="332"/>
      <c r="AJ769" s="332"/>
      <c r="AK769" s="332"/>
      <c r="AL769" s="332"/>
      <c r="AM769" s="332"/>
      <c r="AN769" s="332"/>
      <c r="AP769" s="332"/>
      <c r="AT769" s="332"/>
    </row>
    <row r="770" spans="1:46" ht="9.75" customHeight="1">
      <c r="A770" s="332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  <c r="Z770" s="332"/>
      <c r="AA770" s="332"/>
      <c r="AB770" s="332"/>
      <c r="AC770" s="332"/>
      <c r="AD770" s="332"/>
      <c r="AE770" s="332"/>
      <c r="AF770" s="332"/>
      <c r="AG770" s="332"/>
      <c r="AH770" s="332"/>
      <c r="AI770" s="332"/>
      <c r="AJ770" s="332"/>
      <c r="AK770" s="332"/>
      <c r="AL770" s="332"/>
      <c r="AM770" s="332"/>
      <c r="AN770" s="332"/>
      <c r="AP770" s="332"/>
      <c r="AT770" s="332"/>
    </row>
    <row r="771" spans="1:46" ht="9.75" customHeight="1">
      <c r="A771" s="332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  <c r="Z771" s="332"/>
      <c r="AA771" s="332"/>
      <c r="AB771" s="332"/>
      <c r="AC771" s="332"/>
      <c r="AD771" s="332"/>
      <c r="AE771" s="332"/>
      <c r="AF771" s="332"/>
      <c r="AG771" s="332"/>
      <c r="AH771" s="332"/>
      <c r="AI771" s="332"/>
      <c r="AJ771" s="332"/>
      <c r="AK771" s="332"/>
      <c r="AL771" s="332"/>
      <c r="AM771" s="332"/>
      <c r="AN771" s="332"/>
      <c r="AP771" s="332"/>
      <c r="AT771" s="332"/>
    </row>
    <row r="772" spans="1:46" ht="9.75" customHeight="1">
      <c r="A772" s="332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  <c r="Z772" s="332"/>
      <c r="AA772" s="332"/>
      <c r="AB772" s="332"/>
      <c r="AC772" s="332"/>
      <c r="AD772" s="332"/>
      <c r="AE772" s="332"/>
      <c r="AF772" s="332"/>
      <c r="AG772" s="332"/>
      <c r="AH772" s="332"/>
      <c r="AI772" s="332"/>
      <c r="AJ772" s="332"/>
      <c r="AK772" s="332"/>
      <c r="AL772" s="332"/>
      <c r="AM772" s="332"/>
      <c r="AN772" s="332"/>
      <c r="AP772" s="332"/>
      <c r="AT772" s="332"/>
    </row>
    <row r="773" spans="1:46" ht="9.75" customHeight="1">
      <c r="A773" s="332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  <c r="Z773" s="332"/>
      <c r="AA773" s="332"/>
      <c r="AB773" s="332"/>
      <c r="AC773" s="332"/>
      <c r="AD773" s="332"/>
      <c r="AE773" s="332"/>
      <c r="AF773" s="332"/>
      <c r="AG773" s="332"/>
      <c r="AH773" s="332"/>
      <c r="AI773" s="332"/>
      <c r="AJ773" s="332"/>
      <c r="AK773" s="332"/>
      <c r="AL773" s="332"/>
      <c r="AM773" s="332"/>
      <c r="AN773" s="332"/>
      <c r="AP773" s="332"/>
      <c r="AT773" s="332"/>
    </row>
    <row r="774" spans="1:46" ht="9.75" customHeight="1">
      <c r="A774" s="332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  <c r="Z774" s="332"/>
      <c r="AA774" s="332"/>
      <c r="AB774" s="332"/>
      <c r="AC774" s="332"/>
      <c r="AD774" s="332"/>
      <c r="AE774" s="332"/>
      <c r="AF774" s="332"/>
      <c r="AG774" s="332"/>
      <c r="AH774" s="332"/>
      <c r="AI774" s="332"/>
      <c r="AJ774" s="332"/>
      <c r="AK774" s="332"/>
      <c r="AL774" s="332"/>
      <c r="AM774" s="332"/>
      <c r="AN774" s="332"/>
      <c r="AP774" s="332"/>
      <c r="AT774" s="332"/>
    </row>
    <row r="775" spans="1:46" ht="9.75" customHeight="1">
      <c r="A775" s="332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  <c r="Z775" s="332"/>
      <c r="AA775" s="332"/>
      <c r="AB775" s="332"/>
      <c r="AC775" s="332"/>
      <c r="AD775" s="332"/>
      <c r="AE775" s="332"/>
      <c r="AF775" s="332"/>
      <c r="AG775" s="332"/>
      <c r="AH775" s="332"/>
      <c r="AI775" s="332"/>
      <c r="AJ775" s="332"/>
      <c r="AK775" s="332"/>
      <c r="AL775" s="332"/>
      <c r="AM775" s="332"/>
      <c r="AN775" s="332"/>
      <c r="AP775" s="332"/>
      <c r="AT775" s="332"/>
    </row>
    <row r="776" spans="1:46" ht="9.75" customHeight="1">
      <c r="A776" s="332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  <c r="Z776" s="332"/>
      <c r="AA776" s="332"/>
      <c r="AB776" s="332"/>
      <c r="AC776" s="332"/>
      <c r="AD776" s="332"/>
      <c r="AE776" s="332"/>
      <c r="AF776" s="332"/>
      <c r="AG776" s="332"/>
      <c r="AH776" s="332"/>
      <c r="AI776" s="332"/>
      <c r="AJ776" s="332"/>
      <c r="AK776" s="332"/>
      <c r="AL776" s="332"/>
      <c r="AM776" s="332"/>
      <c r="AN776" s="332"/>
      <c r="AP776" s="332"/>
      <c r="AT776" s="332"/>
    </row>
    <row r="777" spans="1:46" ht="9.75" customHeight="1">
      <c r="A777" s="332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  <c r="Z777" s="332"/>
      <c r="AA777" s="332"/>
      <c r="AB777" s="332"/>
      <c r="AC777" s="332"/>
      <c r="AD777" s="332"/>
      <c r="AE777" s="332"/>
      <c r="AF777" s="332"/>
      <c r="AG777" s="332"/>
      <c r="AH777" s="332"/>
      <c r="AI777" s="332"/>
      <c r="AJ777" s="332"/>
      <c r="AK777" s="332"/>
      <c r="AL777" s="332"/>
      <c r="AM777" s="332"/>
      <c r="AN777" s="332"/>
      <c r="AP777" s="332"/>
      <c r="AT777" s="332"/>
    </row>
    <row r="778" spans="1:46" ht="9.75" customHeight="1">
      <c r="A778" s="332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  <c r="AA778" s="332"/>
      <c r="AB778" s="332"/>
      <c r="AC778" s="332"/>
      <c r="AD778" s="332"/>
      <c r="AE778" s="332"/>
      <c r="AF778" s="332"/>
      <c r="AG778" s="332"/>
      <c r="AH778" s="332"/>
      <c r="AI778" s="332"/>
      <c r="AJ778" s="332"/>
      <c r="AK778" s="332"/>
      <c r="AL778" s="332"/>
      <c r="AM778" s="332"/>
      <c r="AN778" s="332"/>
      <c r="AP778" s="332"/>
      <c r="AT778" s="332"/>
    </row>
    <row r="779" spans="1:46" ht="9.75" customHeight="1">
      <c r="A779" s="332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  <c r="AA779" s="332"/>
      <c r="AB779" s="332"/>
      <c r="AC779" s="332"/>
      <c r="AD779" s="332"/>
      <c r="AE779" s="332"/>
      <c r="AF779" s="332"/>
      <c r="AG779" s="332"/>
      <c r="AH779" s="332"/>
      <c r="AI779" s="332"/>
      <c r="AJ779" s="332"/>
      <c r="AK779" s="332"/>
      <c r="AL779" s="332"/>
      <c r="AM779" s="332"/>
      <c r="AN779" s="332"/>
      <c r="AP779" s="332"/>
      <c r="AT779" s="332"/>
    </row>
    <row r="780" spans="1:46" ht="9.75" customHeight="1">
      <c r="A780" s="332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  <c r="AA780" s="332"/>
      <c r="AB780" s="332"/>
      <c r="AC780" s="332"/>
      <c r="AD780" s="332"/>
      <c r="AE780" s="332"/>
      <c r="AF780" s="332"/>
      <c r="AG780" s="332"/>
      <c r="AH780" s="332"/>
      <c r="AI780" s="332"/>
      <c r="AJ780" s="332"/>
      <c r="AK780" s="332"/>
      <c r="AL780" s="332"/>
      <c r="AM780" s="332"/>
      <c r="AN780" s="332"/>
      <c r="AP780" s="332"/>
      <c r="AT780" s="332"/>
    </row>
    <row r="781" spans="1:46" ht="9.75" customHeight="1">
      <c r="A781" s="332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  <c r="AA781" s="332"/>
      <c r="AB781" s="332"/>
      <c r="AC781" s="332"/>
      <c r="AD781" s="332"/>
      <c r="AE781" s="332"/>
      <c r="AF781" s="332"/>
      <c r="AG781" s="332"/>
      <c r="AH781" s="332"/>
      <c r="AI781" s="332"/>
      <c r="AJ781" s="332"/>
      <c r="AK781" s="332"/>
      <c r="AL781" s="332"/>
      <c r="AM781" s="332"/>
      <c r="AN781" s="332"/>
      <c r="AP781" s="332"/>
      <c r="AT781" s="332"/>
    </row>
    <row r="782" spans="1:46" ht="9.75" customHeight="1">
      <c r="A782" s="332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  <c r="AA782" s="332"/>
      <c r="AB782" s="332"/>
      <c r="AC782" s="332"/>
      <c r="AD782" s="332"/>
      <c r="AE782" s="332"/>
      <c r="AF782" s="332"/>
      <c r="AG782" s="332"/>
      <c r="AH782" s="332"/>
      <c r="AI782" s="332"/>
      <c r="AJ782" s="332"/>
      <c r="AK782" s="332"/>
      <c r="AL782" s="332"/>
      <c r="AM782" s="332"/>
      <c r="AN782" s="332"/>
      <c r="AP782" s="332"/>
      <c r="AT782" s="332"/>
    </row>
    <row r="783" spans="1:46" ht="9.75" customHeight="1">
      <c r="A783" s="332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  <c r="AA783" s="332"/>
      <c r="AB783" s="332"/>
      <c r="AC783" s="332"/>
      <c r="AD783" s="332"/>
      <c r="AE783" s="332"/>
      <c r="AF783" s="332"/>
      <c r="AG783" s="332"/>
      <c r="AH783" s="332"/>
      <c r="AI783" s="332"/>
      <c r="AJ783" s="332"/>
      <c r="AK783" s="332"/>
      <c r="AL783" s="332"/>
      <c r="AM783" s="332"/>
      <c r="AN783" s="332"/>
      <c r="AP783" s="332"/>
      <c r="AT783" s="332"/>
    </row>
    <row r="784" spans="1:46" ht="9.75" customHeight="1">
      <c r="A784" s="332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  <c r="AA784" s="332"/>
      <c r="AB784" s="332"/>
      <c r="AC784" s="332"/>
      <c r="AD784" s="332"/>
      <c r="AE784" s="332"/>
      <c r="AF784" s="332"/>
      <c r="AG784" s="332"/>
      <c r="AH784" s="332"/>
      <c r="AI784" s="332"/>
      <c r="AJ784" s="332"/>
      <c r="AK784" s="332"/>
      <c r="AL784" s="332"/>
      <c r="AM784" s="332"/>
      <c r="AN784" s="332"/>
      <c r="AP784" s="332"/>
      <c r="AT784" s="332"/>
    </row>
    <row r="785" spans="1:46" ht="9.75" customHeight="1">
      <c r="A785" s="332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  <c r="AA785" s="332"/>
      <c r="AB785" s="332"/>
      <c r="AC785" s="332"/>
      <c r="AD785" s="332"/>
      <c r="AE785" s="332"/>
      <c r="AF785" s="332"/>
      <c r="AG785" s="332"/>
      <c r="AH785" s="332"/>
      <c r="AI785" s="332"/>
      <c r="AJ785" s="332"/>
      <c r="AK785" s="332"/>
      <c r="AL785" s="332"/>
      <c r="AM785" s="332"/>
      <c r="AN785" s="332"/>
      <c r="AP785" s="332"/>
      <c r="AT785" s="332"/>
    </row>
    <row r="786" spans="1:46" ht="9.75" customHeight="1">
      <c r="A786" s="332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  <c r="AA786" s="332"/>
      <c r="AB786" s="332"/>
      <c r="AC786" s="332"/>
      <c r="AD786" s="332"/>
      <c r="AE786" s="332"/>
      <c r="AF786" s="332"/>
      <c r="AG786" s="332"/>
      <c r="AH786" s="332"/>
      <c r="AI786" s="332"/>
      <c r="AJ786" s="332"/>
      <c r="AK786" s="332"/>
      <c r="AL786" s="332"/>
      <c r="AM786" s="332"/>
      <c r="AN786" s="332"/>
      <c r="AP786" s="332"/>
      <c r="AT786" s="332"/>
    </row>
    <row r="787" spans="1:46" ht="9.75" customHeight="1">
      <c r="A787" s="332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  <c r="AA787" s="332"/>
      <c r="AB787" s="332"/>
      <c r="AC787" s="332"/>
      <c r="AD787" s="332"/>
      <c r="AE787" s="332"/>
      <c r="AF787" s="332"/>
      <c r="AG787" s="332"/>
      <c r="AH787" s="332"/>
      <c r="AI787" s="332"/>
      <c r="AJ787" s="332"/>
      <c r="AK787" s="332"/>
      <c r="AL787" s="332"/>
      <c r="AM787" s="332"/>
      <c r="AN787" s="332"/>
      <c r="AP787" s="332"/>
      <c r="AT787" s="332"/>
    </row>
    <row r="788" spans="1:46" ht="9.75" customHeight="1">
      <c r="A788" s="332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  <c r="AA788" s="332"/>
      <c r="AB788" s="332"/>
      <c r="AC788" s="332"/>
      <c r="AD788" s="332"/>
      <c r="AE788" s="332"/>
      <c r="AF788" s="332"/>
      <c r="AG788" s="332"/>
      <c r="AH788" s="332"/>
      <c r="AI788" s="332"/>
      <c r="AJ788" s="332"/>
      <c r="AK788" s="332"/>
      <c r="AL788" s="332"/>
      <c r="AM788" s="332"/>
      <c r="AN788" s="332"/>
      <c r="AP788" s="332"/>
      <c r="AT788" s="332"/>
    </row>
    <row r="789" spans="1:46" ht="9.75" customHeight="1">
      <c r="A789" s="332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  <c r="AA789" s="332"/>
      <c r="AB789" s="332"/>
      <c r="AC789" s="332"/>
      <c r="AD789" s="332"/>
      <c r="AE789" s="332"/>
      <c r="AF789" s="332"/>
      <c r="AG789" s="332"/>
      <c r="AH789" s="332"/>
      <c r="AI789" s="332"/>
      <c r="AJ789" s="332"/>
      <c r="AK789" s="332"/>
      <c r="AL789" s="332"/>
      <c r="AM789" s="332"/>
      <c r="AN789" s="332"/>
      <c r="AP789" s="332"/>
      <c r="AT789" s="332"/>
    </row>
    <row r="790" spans="1:46" ht="9.75" customHeight="1">
      <c r="A790" s="332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  <c r="AA790" s="332"/>
      <c r="AB790" s="332"/>
      <c r="AC790" s="332"/>
      <c r="AD790" s="332"/>
      <c r="AE790" s="332"/>
      <c r="AF790" s="332"/>
      <c r="AG790" s="332"/>
      <c r="AH790" s="332"/>
      <c r="AI790" s="332"/>
      <c r="AJ790" s="332"/>
      <c r="AK790" s="332"/>
      <c r="AL790" s="332"/>
      <c r="AM790" s="332"/>
      <c r="AN790" s="332"/>
      <c r="AP790" s="332"/>
      <c r="AT790" s="332"/>
    </row>
    <row r="791" spans="1:46" ht="9.75" customHeight="1">
      <c r="A791" s="332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  <c r="AA791" s="332"/>
      <c r="AB791" s="332"/>
      <c r="AC791" s="332"/>
      <c r="AD791" s="332"/>
      <c r="AE791" s="332"/>
      <c r="AF791" s="332"/>
      <c r="AG791" s="332"/>
      <c r="AH791" s="332"/>
      <c r="AI791" s="332"/>
      <c r="AJ791" s="332"/>
      <c r="AK791" s="332"/>
      <c r="AL791" s="332"/>
      <c r="AM791" s="332"/>
      <c r="AN791" s="332"/>
      <c r="AP791" s="332"/>
      <c r="AT791" s="332"/>
    </row>
    <row r="792" spans="1:46" ht="9.75" customHeight="1">
      <c r="A792" s="332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  <c r="AA792" s="332"/>
      <c r="AB792" s="332"/>
      <c r="AC792" s="332"/>
      <c r="AD792" s="332"/>
      <c r="AE792" s="332"/>
      <c r="AF792" s="332"/>
      <c r="AG792" s="332"/>
      <c r="AH792" s="332"/>
      <c r="AI792" s="332"/>
      <c r="AJ792" s="332"/>
      <c r="AK792" s="332"/>
      <c r="AL792" s="332"/>
      <c r="AM792" s="332"/>
      <c r="AN792" s="332"/>
      <c r="AP792" s="332"/>
      <c r="AT792" s="332"/>
    </row>
    <row r="793" spans="1:46" ht="9.75" customHeight="1">
      <c r="A793" s="332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  <c r="AA793" s="332"/>
      <c r="AB793" s="332"/>
      <c r="AC793" s="332"/>
      <c r="AD793" s="332"/>
      <c r="AE793" s="332"/>
      <c r="AF793" s="332"/>
      <c r="AG793" s="332"/>
      <c r="AH793" s="332"/>
      <c r="AI793" s="332"/>
      <c r="AJ793" s="332"/>
      <c r="AK793" s="332"/>
      <c r="AL793" s="332"/>
      <c r="AM793" s="332"/>
      <c r="AN793" s="332"/>
      <c r="AP793" s="332"/>
      <c r="AT793" s="332"/>
    </row>
    <row r="794" spans="1:46" ht="9.75" customHeight="1">
      <c r="A794" s="332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  <c r="AA794" s="332"/>
      <c r="AB794" s="332"/>
      <c r="AC794" s="332"/>
      <c r="AD794" s="332"/>
      <c r="AE794" s="332"/>
      <c r="AF794" s="332"/>
      <c r="AG794" s="332"/>
      <c r="AH794" s="332"/>
      <c r="AI794" s="332"/>
      <c r="AJ794" s="332"/>
      <c r="AK794" s="332"/>
      <c r="AL794" s="332"/>
      <c r="AM794" s="332"/>
      <c r="AN794" s="332"/>
      <c r="AP794" s="332"/>
      <c r="AT794" s="332"/>
    </row>
    <row r="795" spans="1:46" ht="9.75" customHeight="1">
      <c r="A795" s="332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  <c r="AA795" s="332"/>
      <c r="AB795" s="332"/>
      <c r="AC795" s="332"/>
      <c r="AD795" s="332"/>
      <c r="AE795" s="332"/>
      <c r="AF795" s="332"/>
      <c r="AG795" s="332"/>
      <c r="AH795" s="332"/>
      <c r="AI795" s="332"/>
      <c r="AJ795" s="332"/>
      <c r="AK795" s="332"/>
      <c r="AL795" s="332"/>
      <c r="AM795" s="332"/>
      <c r="AN795" s="332"/>
      <c r="AP795" s="332"/>
      <c r="AT795" s="332"/>
    </row>
    <row r="796" spans="1:46" ht="9.75" customHeight="1">
      <c r="A796" s="332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  <c r="AA796" s="332"/>
      <c r="AB796" s="332"/>
      <c r="AC796" s="332"/>
      <c r="AD796" s="332"/>
      <c r="AE796" s="332"/>
      <c r="AF796" s="332"/>
      <c r="AG796" s="332"/>
      <c r="AH796" s="332"/>
      <c r="AI796" s="332"/>
      <c r="AJ796" s="332"/>
      <c r="AK796" s="332"/>
      <c r="AL796" s="332"/>
      <c r="AM796" s="332"/>
      <c r="AN796" s="332"/>
      <c r="AP796" s="332"/>
      <c r="AT796" s="332"/>
    </row>
    <row r="797" spans="1:46" ht="9.75" customHeight="1">
      <c r="A797" s="332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  <c r="AA797" s="332"/>
      <c r="AB797" s="332"/>
      <c r="AC797" s="332"/>
      <c r="AD797" s="332"/>
      <c r="AE797" s="332"/>
      <c r="AF797" s="332"/>
      <c r="AG797" s="332"/>
      <c r="AH797" s="332"/>
      <c r="AI797" s="332"/>
      <c r="AJ797" s="332"/>
      <c r="AK797" s="332"/>
      <c r="AL797" s="332"/>
      <c r="AM797" s="332"/>
      <c r="AN797" s="332"/>
      <c r="AP797" s="332"/>
      <c r="AT797" s="332"/>
    </row>
    <row r="798" spans="1:46" ht="9.75" customHeight="1">
      <c r="A798" s="332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  <c r="AA798" s="332"/>
      <c r="AB798" s="332"/>
      <c r="AC798" s="332"/>
      <c r="AD798" s="332"/>
      <c r="AE798" s="332"/>
      <c r="AF798" s="332"/>
      <c r="AG798" s="332"/>
      <c r="AH798" s="332"/>
      <c r="AI798" s="332"/>
      <c r="AJ798" s="332"/>
      <c r="AK798" s="332"/>
      <c r="AL798" s="332"/>
      <c r="AM798" s="332"/>
      <c r="AN798" s="332"/>
      <c r="AP798" s="332"/>
      <c r="AT798" s="332"/>
    </row>
    <row r="799" spans="1:46" ht="9.75" customHeight="1">
      <c r="A799" s="332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  <c r="AA799" s="332"/>
      <c r="AB799" s="332"/>
      <c r="AC799" s="332"/>
      <c r="AD799" s="332"/>
      <c r="AE799" s="332"/>
      <c r="AF799" s="332"/>
      <c r="AG799" s="332"/>
      <c r="AH799" s="332"/>
      <c r="AI799" s="332"/>
      <c r="AJ799" s="332"/>
      <c r="AK799" s="332"/>
      <c r="AL799" s="332"/>
      <c r="AM799" s="332"/>
      <c r="AN799" s="332"/>
      <c r="AP799" s="332"/>
      <c r="AT799" s="332"/>
    </row>
    <row r="800" spans="1:46" ht="9.75" customHeight="1">
      <c r="A800" s="332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  <c r="AA800" s="332"/>
      <c r="AB800" s="332"/>
      <c r="AC800" s="332"/>
      <c r="AD800" s="332"/>
      <c r="AE800" s="332"/>
      <c r="AF800" s="332"/>
      <c r="AG800" s="332"/>
      <c r="AH800" s="332"/>
      <c r="AI800" s="332"/>
      <c r="AJ800" s="332"/>
      <c r="AK800" s="332"/>
      <c r="AL800" s="332"/>
      <c r="AM800" s="332"/>
      <c r="AN800" s="332"/>
      <c r="AP800" s="332"/>
      <c r="AT800" s="332"/>
    </row>
    <row r="801" spans="1:46" ht="9.75" customHeight="1">
      <c r="A801" s="332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  <c r="AA801" s="332"/>
      <c r="AB801" s="332"/>
      <c r="AC801" s="332"/>
      <c r="AD801" s="332"/>
      <c r="AE801" s="332"/>
      <c r="AF801" s="332"/>
      <c r="AG801" s="332"/>
      <c r="AH801" s="332"/>
      <c r="AI801" s="332"/>
      <c r="AJ801" s="332"/>
      <c r="AK801" s="332"/>
      <c r="AL801" s="332"/>
      <c r="AM801" s="332"/>
      <c r="AN801" s="332"/>
      <c r="AP801" s="332"/>
      <c r="AT801" s="332"/>
    </row>
    <row r="802" spans="1:46" ht="9.75" customHeight="1">
      <c r="A802" s="332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  <c r="AA802" s="332"/>
      <c r="AB802" s="332"/>
      <c r="AC802" s="332"/>
      <c r="AD802" s="332"/>
      <c r="AE802" s="332"/>
      <c r="AF802" s="332"/>
      <c r="AG802" s="332"/>
      <c r="AH802" s="332"/>
      <c r="AI802" s="332"/>
      <c r="AJ802" s="332"/>
      <c r="AK802" s="332"/>
      <c r="AL802" s="332"/>
      <c r="AM802" s="332"/>
      <c r="AN802" s="332"/>
      <c r="AP802" s="332"/>
      <c r="AT802" s="332"/>
    </row>
    <row r="803" spans="1:46" ht="9.75" customHeight="1">
      <c r="A803" s="332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  <c r="AA803" s="332"/>
      <c r="AB803" s="332"/>
      <c r="AC803" s="332"/>
      <c r="AD803" s="332"/>
      <c r="AE803" s="332"/>
      <c r="AF803" s="332"/>
      <c r="AG803" s="332"/>
      <c r="AH803" s="332"/>
      <c r="AI803" s="332"/>
      <c r="AJ803" s="332"/>
      <c r="AK803" s="332"/>
      <c r="AL803" s="332"/>
      <c r="AM803" s="332"/>
      <c r="AN803" s="332"/>
      <c r="AP803" s="332"/>
      <c r="AT803" s="332"/>
    </row>
    <row r="804" spans="1:46" ht="9.75" customHeight="1">
      <c r="A804" s="332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  <c r="AA804" s="332"/>
      <c r="AB804" s="332"/>
      <c r="AC804" s="332"/>
      <c r="AD804" s="332"/>
      <c r="AE804" s="332"/>
      <c r="AF804" s="332"/>
      <c r="AG804" s="332"/>
      <c r="AH804" s="332"/>
      <c r="AI804" s="332"/>
      <c r="AJ804" s="332"/>
      <c r="AK804" s="332"/>
      <c r="AL804" s="332"/>
      <c r="AM804" s="332"/>
      <c r="AN804" s="332"/>
      <c r="AP804" s="332"/>
      <c r="AT804" s="332"/>
    </row>
    <row r="805" spans="1:46" ht="9.75" customHeight="1">
      <c r="A805" s="332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  <c r="AA805" s="332"/>
      <c r="AB805" s="332"/>
      <c r="AC805" s="332"/>
      <c r="AD805" s="332"/>
      <c r="AE805" s="332"/>
      <c r="AF805" s="332"/>
      <c r="AG805" s="332"/>
      <c r="AH805" s="332"/>
      <c r="AI805" s="332"/>
      <c r="AJ805" s="332"/>
      <c r="AK805" s="332"/>
      <c r="AL805" s="332"/>
      <c r="AM805" s="332"/>
      <c r="AN805" s="332"/>
      <c r="AP805" s="332"/>
      <c r="AT805" s="332"/>
    </row>
    <row r="806" spans="1:46" ht="9.75" customHeight="1">
      <c r="A806" s="332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  <c r="AA806" s="332"/>
      <c r="AB806" s="332"/>
      <c r="AC806" s="332"/>
      <c r="AD806" s="332"/>
      <c r="AE806" s="332"/>
      <c r="AF806" s="332"/>
      <c r="AG806" s="332"/>
      <c r="AH806" s="332"/>
      <c r="AI806" s="332"/>
      <c r="AJ806" s="332"/>
      <c r="AK806" s="332"/>
      <c r="AL806" s="332"/>
      <c r="AM806" s="332"/>
      <c r="AN806" s="332"/>
      <c r="AP806" s="332"/>
      <c r="AT806" s="332"/>
    </row>
    <row r="807" spans="1:46" ht="9.75" customHeight="1">
      <c r="A807" s="332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  <c r="AA807" s="332"/>
      <c r="AB807" s="332"/>
      <c r="AC807" s="332"/>
      <c r="AD807" s="332"/>
      <c r="AE807" s="332"/>
      <c r="AF807" s="332"/>
      <c r="AG807" s="332"/>
      <c r="AH807" s="332"/>
      <c r="AI807" s="332"/>
      <c r="AJ807" s="332"/>
      <c r="AK807" s="332"/>
      <c r="AL807" s="332"/>
      <c r="AM807" s="332"/>
      <c r="AN807" s="332"/>
      <c r="AP807" s="332"/>
      <c r="AT807" s="332"/>
    </row>
    <row r="808" spans="1:46" ht="9.75" customHeight="1">
      <c r="A808" s="332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  <c r="AA808" s="332"/>
      <c r="AB808" s="332"/>
      <c r="AC808" s="332"/>
      <c r="AD808" s="332"/>
      <c r="AE808" s="332"/>
      <c r="AF808" s="332"/>
      <c r="AG808" s="332"/>
      <c r="AH808" s="332"/>
      <c r="AI808" s="332"/>
      <c r="AJ808" s="332"/>
      <c r="AK808" s="332"/>
      <c r="AL808" s="332"/>
      <c r="AM808" s="332"/>
      <c r="AN808" s="332"/>
      <c r="AP808" s="332"/>
      <c r="AT808" s="332"/>
    </row>
    <row r="809" spans="1:46" ht="9.75" customHeight="1">
      <c r="A809" s="332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  <c r="AA809" s="332"/>
      <c r="AB809" s="332"/>
      <c r="AC809" s="332"/>
      <c r="AD809" s="332"/>
      <c r="AE809" s="332"/>
      <c r="AF809" s="332"/>
      <c r="AG809" s="332"/>
      <c r="AH809" s="332"/>
      <c r="AI809" s="332"/>
      <c r="AJ809" s="332"/>
      <c r="AK809" s="332"/>
      <c r="AL809" s="332"/>
      <c r="AM809" s="332"/>
      <c r="AN809" s="332"/>
      <c r="AP809" s="332"/>
      <c r="AT809" s="332"/>
    </row>
    <row r="810" spans="1:46" ht="9.75" customHeight="1">
      <c r="A810" s="332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  <c r="AA810" s="332"/>
      <c r="AB810" s="332"/>
      <c r="AC810" s="332"/>
      <c r="AD810" s="332"/>
      <c r="AE810" s="332"/>
      <c r="AF810" s="332"/>
      <c r="AG810" s="332"/>
      <c r="AH810" s="332"/>
      <c r="AI810" s="332"/>
      <c r="AJ810" s="332"/>
      <c r="AK810" s="332"/>
      <c r="AL810" s="332"/>
      <c r="AM810" s="332"/>
      <c r="AN810" s="332"/>
      <c r="AP810" s="332"/>
      <c r="AT810" s="332"/>
    </row>
    <row r="811" spans="1:46" ht="9.75" customHeight="1">
      <c r="A811" s="332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  <c r="AA811" s="332"/>
      <c r="AB811" s="332"/>
      <c r="AC811" s="332"/>
      <c r="AD811" s="332"/>
      <c r="AE811" s="332"/>
      <c r="AF811" s="332"/>
      <c r="AG811" s="332"/>
      <c r="AH811" s="332"/>
      <c r="AI811" s="332"/>
      <c r="AJ811" s="332"/>
      <c r="AK811" s="332"/>
      <c r="AL811" s="332"/>
      <c r="AM811" s="332"/>
      <c r="AN811" s="332"/>
      <c r="AP811" s="332"/>
      <c r="AT811" s="332"/>
    </row>
    <row r="812" spans="1:46" ht="9.75" customHeight="1">
      <c r="A812" s="332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  <c r="AA812" s="332"/>
      <c r="AB812" s="332"/>
      <c r="AC812" s="332"/>
      <c r="AD812" s="332"/>
      <c r="AE812" s="332"/>
      <c r="AF812" s="332"/>
      <c r="AG812" s="332"/>
      <c r="AH812" s="332"/>
      <c r="AI812" s="332"/>
      <c r="AJ812" s="332"/>
      <c r="AK812" s="332"/>
      <c r="AL812" s="332"/>
      <c r="AM812" s="332"/>
      <c r="AN812" s="332"/>
      <c r="AP812" s="332"/>
      <c r="AT812" s="332"/>
    </row>
    <row r="813" spans="1:46" ht="9.75" customHeight="1">
      <c r="A813" s="332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  <c r="AA813" s="332"/>
      <c r="AB813" s="332"/>
      <c r="AC813" s="332"/>
      <c r="AD813" s="332"/>
      <c r="AE813" s="332"/>
      <c r="AF813" s="332"/>
      <c r="AG813" s="332"/>
      <c r="AH813" s="332"/>
      <c r="AI813" s="332"/>
      <c r="AJ813" s="332"/>
      <c r="AK813" s="332"/>
      <c r="AL813" s="332"/>
      <c r="AM813" s="332"/>
      <c r="AN813" s="332"/>
      <c r="AP813" s="332"/>
      <c r="AT813" s="332"/>
    </row>
    <row r="814" spans="1:46" ht="9.75" customHeight="1">
      <c r="A814" s="332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  <c r="AA814" s="332"/>
      <c r="AB814" s="332"/>
      <c r="AC814" s="332"/>
      <c r="AD814" s="332"/>
      <c r="AE814" s="332"/>
      <c r="AF814" s="332"/>
      <c r="AG814" s="332"/>
      <c r="AH814" s="332"/>
      <c r="AI814" s="332"/>
      <c r="AJ814" s="332"/>
      <c r="AK814" s="332"/>
      <c r="AL814" s="332"/>
      <c r="AM814" s="332"/>
      <c r="AN814" s="332"/>
      <c r="AP814" s="332"/>
      <c r="AT814" s="332"/>
    </row>
    <row r="815" spans="1:46" ht="9.75" customHeight="1">
      <c r="A815" s="332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  <c r="AA815" s="332"/>
      <c r="AB815" s="332"/>
      <c r="AC815" s="332"/>
      <c r="AD815" s="332"/>
      <c r="AE815" s="332"/>
      <c r="AF815" s="332"/>
      <c r="AG815" s="332"/>
      <c r="AH815" s="332"/>
      <c r="AI815" s="332"/>
      <c r="AJ815" s="332"/>
      <c r="AK815" s="332"/>
      <c r="AL815" s="332"/>
      <c r="AM815" s="332"/>
      <c r="AN815" s="332"/>
      <c r="AP815" s="332"/>
      <c r="AT815" s="332"/>
    </row>
    <row r="816" spans="1:46" ht="9.75" customHeight="1">
      <c r="A816" s="332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  <c r="AA816" s="332"/>
      <c r="AB816" s="332"/>
      <c r="AC816" s="332"/>
      <c r="AD816" s="332"/>
      <c r="AE816" s="332"/>
      <c r="AF816" s="332"/>
      <c r="AG816" s="332"/>
      <c r="AH816" s="332"/>
      <c r="AI816" s="332"/>
      <c r="AJ816" s="332"/>
      <c r="AK816" s="332"/>
      <c r="AL816" s="332"/>
      <c r="AM816" s="332"/>
      <c r="AN816" s="332"/>
      <c r="AP816" s="332"/>
      <c r="AT816" s="332"/>
    </row>
    <row r="817" spans="1:46" ht="9.75" customHeight="1">
      <c r="A817" s="332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  <c r="AA817" s="332"/>
      <c r="AB817" s="332"/>
      <c r="AC817" s="332"/>
      <c r="AD817" s="332"/>
      <c r="AE817" s="332"/>
      <c r="AF817" s="332"/>
      <c r="AG817" s="332"/>
      <c r="AH817" s="332"/>
      <c r="AI817" s="332"/>
      <c r="AJ817" s="332"/>
      <c r="AK817" s="332"/>
      <c r="AL817" s="332"/>
      <c r="AM817" s="332"/>
      <c r="AN817" s="332"/>
      <c r="AP817" s="332"/>
      <c r="AT817" s="332"/>
    </row>
    <row r="818" spans="1:46" ht="9.75" customHeight="1">
      <c r="A818" s="332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  <c r="AA818" s="332"/>
      <c r="AB818" s="332"/>
      <c r="AC818" s="332"/>
      <c r="AD818" s="332"/>
      <c r="AE818" s="332"/>
      <c r="AF818" s="332"/>
      <c r="AG818" s="332"/>
      <c r="AH818" s="332"/>
      <c r="AI818" s="332"/>
      <c r="AJ818" s="332"/>
      <c r="AK818" s="332"/>
      <c r="AL818" s="332"/>
      <c r="AM818" s="332"/>
      <c r="AN818" s="332"/>
      <c r="AP818" s="332"/>
      <c r="AT818" s="332"/>
    </row>
    <row r="819" spans="1:46" ht="9.75" customHeight="1">
      <c r="A819" s="332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  <c r="AA819" s="332"/>
      <c r="AB819" s="332"/>
      <c r="AC819" s="332"/>
      <c r="AD819" s="332"/>
      <c r="AE819" s="332"/>
      <c r="AF819" s="332"/>
      <c r="AG819" s="332"/>
      <c r="AH819" s="332"/>
      <c r="AI819" s="332"/>
      <c r="AJ819" s="332"/>
      <c r="AK819" s="332"/>
      <c r="AL819" s="332"/>
      <c r="AM819" s="332"/>
      <c r="AN819" s="332"/>
      <c r="AP819" s="332"/>
      <c r="AT819" s="332"/>
    </row>
    <row r="820" spans="1:46" ht="9.75" customHeight="1">
      <c r="A820" s="332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  <c r="AA820" s="332"/>
      <c r="AB820" s="332"/>
      <c r="AC820" s="332"/>
      <c r="AD820" s="332"/>
      <c r="AE820" s="332"/>
      <c r="AF820" s="332"/>
      <c r="AG820" s="332"/>
      <c r="AH820" s="332"/>
      <c r="AI820" s="332"/>
      <c r="AJ820" s="332"/>
      <c r="AK820" s="332"/>
      <c r="AL820" s="332"/>
      <c r="AM820" s="332"/>
      <c r="AN820" s="332"/>
      <c r="AP820" s="332"/>
      <c r="AT820" s="332"/>
    </row>
    <row r="821" spans="1:46" ht="9.75" customHeight="1">
      <c r="A821" s="332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  <c r="AA821" s="332"/>
      <c r="AB821" s="332"/>
      <c r="AC821" s="332"/>
      <c r="AD821" s="332"/>
      <c r="AE821" s="332"/>
      <c r="AF821" s="332"/>
      <c r="AG821" s="332"/>
      <c r="AH821" s="332"/>
      <c r="AI821" s="332"/>
      <c r="AJ821" s="332"/>
      <c r="AK821" s="332"/>
      <c r="AL821" s="332"/>
      <c r="AM821" s="332"/>
      <c r="AN821" s="332"/>
      <c r="AP821" s="332"/>
      <c r="AT821" s="332"/>
    </row>
    <row r="822" spans="1:46" ht="9.75" customHeight="1">
      <c r="A822" s="332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  <c r="AA822" s="332"/>
      <c r="AB822" s="332"/>
      <c r="AC822" s="332"/>
      <c r="AD822" s="332"/>
      <c r="AE822" s="332"/>
      <c r="AF822" s="332"/>
      <c r="AG822" s="332"/>
      <c r="AH822" s="332"/>
      <c r="AI822" s="332"/>
      <c r="AJ822" s="332"/>
      <c r="AK822" s="332"/>
      <c r="AL822" s="332"/>
      <c r="AM822" s="332"/>
      <c r="AN822" s="332"/>
      <c r="AP822" s="332"/>
      <c r="AT822" s="332"/>
    </row>
    <row r="823" spans="1:46" ht="9.75" customHeight="1">
      <c r="A823" s="332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  <c r="AA823" s="332"/>
      <c r="AB823" s="332"/>
      <c r="AC823" s="332"/>
      <c r="AD823" s="332"/>
      <c r="AE823" s="332"/>
      <c r="AF823" s="332"/>
      <c r="AG823" s="332"/>
      <c r="AH823" s="332"/>
      <c r="AI823" s="332"/>
      <c r="AJ823" s="332"/>
      <c r="AK823" s="332"/>
      <c r="AL823" s="332"/>
      <c r="AM823" s="332"/>
      <c r="AN823" s="332"/>
      <c r="AP823" s="332"/>
      <c r="AT823" s="332"/>
    </row>
    <row r="824" spans="1:46" ht="9.75" customHeight="1">
      <c r="A824" s="332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  <c r="AA824" s="332"/>
      <c r="AB824" s="332"/>
      <c r="AC824" s="332"/>
      <c r="AD824" s="332"/>
      <c r="AE824" s="332"/>
      <c r="AF824" s="332"/>
      <c r="AG824" s="332"/>
      <c r="AH824" s="332"/>
      <c r="AI824" s="332"/>
      <c r="AJ824" s="332"/>
      <c r="AK824" s="332"/>
      <c r="AL824" s="332"/>
      <c r="AM824" s="332"/>
      <c r="AN824" s="332"/>
      <c r="AP824" s="332"/>
      <c r="AT824" s="332"/>
    </row>
    <row r="825" spans="1:46" ht="9.75" customHeight="1">
      <c r="A825" s="332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  <c r="AA825" s="332"/>
      <c r="AB825" s="332"/>
      <c r="AC825" s="332"/>
      <c r="AD825" s="332"/>
      <c r="AE825" s="332"/>
      <c r="AF825" s="332"/>
      <c r="AG825" s="332"/>
      <c r="AH825" s="332"/>
      <c r="AI825" s="332"/>
      <c r="AJ825" s="332"/>
      <c r="AK825" s="332"/>
      <c r="AL825" s="332"/>
      <c r="AM825" s="332"/>
      <c r="AN825" s="332"/>
      <c r="AP825" s="332"/>
      <c r="AT825" s="332"/>
    </row>
    <row r="826" spans="1:46" ht="9.75" customHeight="1">
      <c r="A826" s="332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  <c r="AA826" s="332"/>
      <c r="AB826" s="332"/>
      <c r="AC826" s="332"/>
      <c r="AD826" s="332"/>
      <c r="AE826" s="332"/>
      <c r="AF826" s="332"/>
      <c r="AG826" s="332"/>
      <c r="AH826" s="332"/>
      <c r="AI826" s="332"/>
      <c r="AJ826" s="332"/>
      <c r="AK826" s="332"/>
      <c r="AL826" s="332"/>
      <c r="AM826" s="332"/>
      <c r="AN826" s="332"/>
      <c r="AP826" s="332"/>
      <c r="AT826" s="332"/>
    </row>
    <row r="827" spans="1:46" ht="9.75" customHeight="1">
      <c r="A827" s="332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  <c r="AA827" s="332"/>
      <c r="AB827" s="332"/>
      <c r="AC827" s="332"/>
      <c r="AD827" s="332"/>
      <c r="AE827" s="332"/>
      <c r="AF827" s="332"/>
      <c r="AG827" s="332"/>
      <c r="AH827" s="332"/>
      <c r="AI827" s="332"/>
      <c r="AJ827" s="332"/>
      <c r="AK827" s="332"/>
      <c r="AL827" s="332"/>
      <c r="AM827" s="332"/>
      <c r="AN827" s="332"/>
      <c r="AP827" s="332"/>
      <c r="AT827" s="332"/>
    </row>
    <row r="828" spans="1:46" ht="9.75" customHeight="1">
      <c r="A828" s="332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  <c r="AA828" s="332"/>
      <c r="AB828" s="332"/>
      <c r="AC828" s="332"/>
      <c r="AD828" s="332"/>
      <c r="AE828" s="332"/>
      <c r="AF828" s="332"/>
      <c r="AG828" s="332"/>
      <c r="AH828" s="332"/>
      <c r="AI828" s="332"/>
      <c r="AJ828" s="332"/>
      <c r="AK828" s="332"/>
      <c r="AL828" s="332"/>
      <c r="AM828" s="332"/>
      <c r="AN828" s="332"/>
      <c r="AP828" s="332"/>
      <c r="AT828" s="332"/>
    </row>
    <row r="829" spans="1:46" ht="9.75" customHeight="1">
      <c r="A829" s="332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  <c r="AA829" s="332"/>
      <c r="AB829" s="332"/>
      <c r="AC829" s="332"/>
      <c r="AD829" s="332"/>
      <c r="AE829" s="332"/>
      <c r="AF829" s="332"/>
      <c r="AG829" s="332"/>
      <c r="AH829" s="332"/>
      <c r="AI829" s="332"/>
      <c r="AJ829" s="332"/>
      <c r="AK829" s="332"/>
      <c r="AL829" s="332"/>
      <c r="AM829" s="332"/>
      <c r="AN829" s="332"/>
      <c r="AP829" s="332"/>
      <c r="AT829" s="332"/>
    </row>
    <row r="830" spans="1:46" ht="9.75" customHeight="1">
      <c r="A830" s="332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  <c r="AA830" s="332"/>
      <c r="AB830" s="332"/>
      <c r="AC830" s="332"/>
      <c r="AD830" s="332"/>
      <c r="AE830" s="332"/>
      <c r="AF830" s="332"/>
      <c r="AG830" s="332"/>
      <c r="AH830" s="332"/>
      <c r="AI830" s="332"/>
      <c r="AJ830" s="332"/>
      <c r="AK830" s="332"/>
      <c r="AL830" s="332"/>
      <c r="AM830" s="332"/>
      <c r="AN830" s="332"/>
      <c r="AP830" s="332"/>
      <c r="AT830" s="332"/>
    </row>
    <row r="831" spans="1:46" ht="9.75" customHeight="1">
      <c r="A831" s="332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  <c r="AA831" s="332"/>
      <c r="AB831" s="332"/>
      <c r="AC831" s="332"/>
      <c r="AD831" s="332"/>
      <c r="AE831" s="332"/>
      <c r="AF831" s="332"/>
      <c r="AG831" s="332"/>
      <c r="AH831" s="332"/>
      <c r="AI831" s="332"/>
      <c r="AJ831" s="332"/>
      <c r="AK831" s="332"/>
      <c r="AL831" s="332"/>
      <c r="AM831" s="332"/>
      <c r="AN831" s="332"/>
      <c r="AP831" s="332"/>
      <c r="AT831" s="332"/>
    </row>
    <row r="832" spans="1:46" ht="9.75" customHeight="1">
      <c r="A832" s="332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  <c r="AA832" s="332"/>
      <c r="AB832" s="332"/>
      <c r="AC832" s="332"/>
      <c r="AD832" s="332"/>
      <c r="AE832" s="332"/>
      <c r="AF832" s="332"/>
      <c r="AG832" s="332"/>
      <c r="AH832" s="332"/>
      <c r="AI832" s="332"/>
      <c r="AJ832" s="332"/>
      <c r="AK832" s="332"/>
      <c r="AL832" s="332"/>
      <c r="AM832" s="332"/>
      <c r="AN832" s="332"/>
      <c r="AP832" s="332"/>
      <c r="AT832" s="332"/>
    </row>
    <row r="833" spans="1:46" ht="9.75" customHeight="1">
      <c r="A833" s="332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  <c r="AA833" s="332"/>
      <c r="AB833" s="332"/>
      <c r="AC833" s="332"/>
      <c r="AD833" s="332"/>
      <c r="AE833" s="332"/>
      <c r="AF833" s="332"/>
      <c r="AG833" s="332"/>
      <c r="AH833" s="332"/>
      <c r="AI833" s="332"/>
      <c r="AJ833" s="332"/>
      <c r="AK833" s="332"/>
      <c r="AL833" s="332"/>
      <c r="AM833" s="332"/>
      <c r="AN833" s="332"/>
      <c r="AP833" s="332"/>
      <c r="AT833" s="332"/>
    </row>
    <row r="834" spans="1:46" ht="9.75" customHeight="1">
      <c r="A834" s="332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  <c r="AA834" s="332"/>
      <c r="AB834" s="332"/>
      <c r="AC834" s="332"/>
      <c r="AD834" s="332"/>
      <c r="AE834" s="332"/>
      <c r="AF834" s="332"/>
      <c r="AG834" s="332"/>
      <c r="AH834" s="332"/>
      <c r="AI834" s="332"/>
      <c r="AJ834" s="332"/>
      <c r="AK834" s="332"/>
      <c r="AL834" s="332"/>
      <c r="AM834" s="332"/>
      <c r="AN834" s="332"/>
      <c r="AP834" s="332"/>
      <c r="AT834" s="332"/>
    </row>
    <row r="835" spans="1:46" ht="9.75" customHeight="1">
      <c r="A835" s="332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  <c r="AA835" s="332"/>
      <c r="AB835" s="332"/>
      <c r="AC835" s="332"/>
      <c r="AD835" s="332"/>
      <c r="AE835" s="332"/>
      <c r="AF835" s="332"/>
      <c r="AG835" s="332"/>
      <c r="AH835" s="332"/>
      <c r="AI835" s="332"/>
      <c r="AJ835" s="332"/>
      <c r="AK835" s="332"/>
      <c r="AL835" s="332"/>
      <c r="AM835" s="332"/>
      <c r="AN835" s="332"/>
      <c r="AP835" s="332"/>
      <c r="AT835" s="332"/>
    </row>
    <row r="836" spans="1:46" ht="9.75" customHeight="1">
      <c r="A836" s="332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  <c r="AA836" s="332"/>
      <c r="AB836" s="332"/>
      <c r="AC836" s="332"/>
      <c r="AD836" s="332"/>
      <c r="AE836" s="332"/>
      <c r="AF836" s="332"/>
      <c r="AG836" s="332"/>
      <c r="AH836" s="332"/>
      <c r="AI836" s="332"/>
      <c r="AJ836" s="332"/>
      <c r="AK836" s="332"/>
      <c r="AL836" s="332"/>
      <c r="AM836" s="332"/>
      <c r="AN836" s="332"/>
      <c r="AP836" s="332"/>
      <c r="AT836" s="332"/>
    </row>
    <row r="837" spans="1:46" ht="9.75" customHeight="1">
      <c r="A837" s="332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  <c r="AA837" s="332"/>
      <c r="AB837" s="332"/>
      <c r="AC837" s="332"/>
      <c r="AD837" s="332"/>
      <c r="AE837" s="332"/>
      <c r="AF837" s="332"/>
      <c r="AG837" s="332"/>
      <c r="AH837" s="332"/>
      <c r="AI837" s="332"/>
      <c r="AJ837" s="332"/>
      <c r="AK837" s="332"/>
      <c r="AL837" s="332"/>
      <c r="AM837" s="332"/>
      <c r="AN837" s="332"/>
      <c r="AP837" s="332"/>
      <c r="AT837" s="332"/>
    </row>
    <row r="838" spans="1:46" ht="9.75" customHeight="1">
      <c r="A838" s="332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  <c r="AA838" s="332"/>
      <c r="AB838" s="332"/>
      <c r="AC838" s="332"/>
      <c r="AD838" s="332"/>
      <c r="AE838" s="332"/>
      <c r="AF838" s="332"/>
      <c r="AG838" s="332"/>
      <c r="AH838" s="332"/>
      <c r="AI838" s="332"/>
      <c r="AJ838" s="332"/>
      <c r="AK838" s="332"/>
      <c r="AL838" s="332"/>
      <c r="AM838" s="332"/>
      <c r="AN838" s="332"/>
      <c r="AP838" s="332"/>
      <c r="AT838" s="332"/>
    </row>
    <row r="839" spans="1:46" ht="9.75" customHeight="1">
      <c r="A839" s="332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  <c r="AA839" s="332"/>
      <c r="AB839" s="332"/>
      <c r="AC839" s="332"/>
      <c r="AD839" s="332"/>
      <c r="AE839" s="332"/>
      <c r="AF839" s="332"/>
      <c r="AG839" s="332"/>
      <c r="AH839" s="332"/>
      <c r="AI839" s="332"/>
      <c r="AJ839" s="332"/>
      <c r="AK839" s="332"/>
      <c r="AL839" s="332"/>
      <c r="AM839" s="332"/>
      <c r="AN839" s="332"/>
      <c r="AP839" s="332"/>
      <c r="AT839" s="332"/>
    </row>
    <row r="840" spans="1:46" ht="9.75" customHeight="1">
      <c r="A840" s="332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  <c r="AA840" s="332"/>
      <c r="AB840" s="332"/>
      <c r="AC840" s="332"/>
      <c r="AD840" s="332"/>
      <c r="AE840" s="332"/>
      <c r="AF840" s="332"/>
      <c r="AG840" s="332"/>
      <c r="AH840" s="332"/>
      <c r="AI840" s="332"/>
      <c r="AJ840" s="332"/>
      <c r="AK840" s="332"/>
      <c r="AL840" s="332"/>
      <c r="AM840" s="332"/>
      <c r="AN840" s="332"/>
      <c r="AP840" s="332"/>
      <c r="AT840" s="332"/>
    </row>
    <row r="841" spans="1:46" ht="9.75" customHeight="1">
      <c r="A841" s="332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  <c r="AA841" s="332"/>
      <c r="AB841" s="332"/>
      <c r="AC841" s="332"/>
      <c r="AD841" s="332"/>
      <c r="AE841" s="332"/>
      <c r="AF841" s="332"/>
      <c r="AG841" s="332"/>
      <c r="AH841" s="332"/>
      <c r="AI841" s="332"/>
      <c r="AJ841" s="332"/>
      <c r="AK841" s="332"/>
      <c r="AL841" s="332"/>
      <c r="AM841" s="332"/>
      <c r="AN841" s="332"/>
      <c r="AP841" s="332"/>
      <c r="AT841" s="332"/>
    </row>
    <row r="842" spans="1:46" ht="9.75" customHeight="1">
      <c r="A842" s="332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  <c r="AA842" s="332"/>
      <c r="AB842" s="332"/>
      <c r="AC842" s="332"/>
      <c r="AD842" s="332"/>
      <c r="AE842" s="332"/>
      <c r="AF842" s="332"/>
      <c r="AG842" s="332"/>
      <c r="AH842" s="332"/>
      <c r="AI842" s="332"/>
      <c r="AJ842" s="332"/>
      <c r="AK842" s="332"/>
      <c r="AL842" s="332"/>
      <c r="AM842" s="332"/>
      <c r="AN842" s="332"/>
      <c r="AP842" s="332"/>
      <c r="AT842" s="332"/>
    </row>
    <row r="843" spans="1:46" ht="9.75" customHeight="1">
      <c r="A843" s="332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  <c r="AA843" s="332"/>
      <c r="AB843" s="332"/>
      <c r="AC843" s="332"/>
      <c r="AD843" s="332"/>
      <c r="AE843" s="332"/>
      <c r="AF843" s="332"/>
      <c r="AG843" s="332"/>
      <c r="AH843" s="332"/>
      <c r="AI843" s="332"/>
      <c r="AJ843" s="332"/>
      <c r="AK843" s="332"/>
      <c r="AL843" s="332"/>
      <c r="AM843" s="332"/>
      <c r="AN843" s="332"/>
      <c r="AP843" s="332"/>
      <c r="AT843" s="332"/>
    </row>
    <row r="844" spans="1:46" ht="9.75" customHeight="1">
      <c r="A844" s="332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  <c r="AA844" s="332"/>
      <c r="AB844" s="332"/>
      <c r="AC844" s="332"/>
      <c r="AD844" s="332"/>
      <c r="AE844" s="332"/>
      <c r="AF844" s="332"/>
      <c r="AG844" s="332"/>
      <c r="AH844" s="332"/>
      <c r="AI844" s="332"/>
      <c r="AJ844" s="332"/>
      <c r="AK844" s="332"/>
      <c r="AL844" s="332"/>
      <c r="AM844" s="332"/>
      <c r="AN844" s="332"/>
      <c r="AP844" s="332"/>
      <c r="AT844" s="332"/>
    </row>
    <row r="845" spans="1:46" ht="9.75" customHeight="1">
      <c r="A845" s="332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  <c r="AA845" s="332"/>
      <c r="AB845" s="332"/>
      <c r="AC845" s="332"/>
      <c r="AD845" s="332"/>
      <c r="AE845" s="332"/>
      <c r="AF845" s="332"/>
      <c r="AG845" s="332"/>
      <c r="AH845" s="332"/>
      <c r="AI845" s="332"/>
      <c r="AJ845" s="332"/>
      <c r="AK845" s="332"/>
      <c r="AL845" s="332"/>
      <c r="AM845" s="332"/>
      <c r="AN845" s="332"/>
      <c r="AP845" s="332"/>
      <c r="AT845" s="332"/>
    </row>
    <row r="846" spans="1:46" ht="9.75" customHeight="1">
      <c r="A846" s="332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  <c r="AA846" s="332"/>
      <c r="AB846" s="332"/>
      <c r="AC846" s="332"/>
      <c r="AD846" s="332"/>
      <c r="AE846" s="332"/>
      <c r="AF846" s="332"/>
      <c r="AG846" s="332"/>
      <c r="AH846" s="332"/>
      <c r="AI846" s="332"/>
      <c r="AJ846" s="332"/>
      <c r="AK846" s="332"/>
      <c r="AL846" s="332"/>
      <c r="AM846" s="332"/>
      <c r="AN846" s="332"/>
      <c r="AP846" s="332"/>
      <c r="AT846" s="332"/>
    </row>
    <row r="847" spans="1:46" ht="9.75" customHeight="1">
      <c r="A847" s="332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  <c r="AA847" s="332"/>
      <c r="AB847" s="332"/>
      <c r="AC847" s="332"/>
      <c r="AD847" s="332"/>
      <c r="AE847" s="332"/>
      <c r="AF847" s="332"/>
      <c r="AG847" s="332"/>
      <c r="AH847" s="332"/>
      <c r="AI847" s="332"/>
      <c r="AJ847" s="332"/>
      <c r="AK847" s="332"/>
      <c r="AL847" s="332"/>
      <c r="AM847" s="332"/>
      <c r="AN847" s="332"/>
      <c r="AP847" s="332"/>
      <c r="AT847" s="332"/>
    </row>
    <row r="848" spans="1:46" ht="9.75" customHeight="1">
      <c r="A848" s="332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  <c r="AA848" s="332"/>
      <c r="AB848" s="332"/>
      <c r="AC848" s="332"/>
      <c r="AD848" s="332"/>
      <c r="AE848" s="332"/>
      <c r="AF848" s="332"/>
      <c r="AG848" s="332"/>
      <c r="AH848" s="332"/>
      <c r="AI848" s="332"/>
      <c r="AJ848" s="332"/>
      <c r="AK848" s="332"/>
      <c r="AL848" s="332"/>
      <c r="AM848" s="332"/>
      <c r="AN848" s="332"/>
      <c r="AP848" s="332"/>
      <c r="AT848" s="332"/>
    </row>
    <row r="849" spans="1:46" ht="9.75" customHeight="1">
      <c r="A849" s="332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  <c r="AA849" s="332"/>
      <c r="AB849" s="332"/>
      <c r="AC849" s="332"/>
      <c r="AD849" s="332"/>
      <c r="AE849" s="332"/>
      <c r="AF849" s="332"/>
      <c r="AG849" s="332"/>
      <c r="AH849" s="332"/>
      <c r="AI849" s="332"/>
      <c r="AJ849" s="332"/>
      <c r="AK849" s="332"/>
      <c r="AL849" s="332"/>
      <c r="AM849" s="332"/>
      <c r="AN849" s="332"/>
      <c r="AP849" s="332"/>
      <c r="AT849" s="332"/>
    </row>
    <row r="850" spans="1:46" ht="9.75" customHeight="1">
      <c r="A850" s="332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  <c r="AA850" s="332"/>
      <c r="AB850" s="332"/>
      <c r="AC850" s="332"/>
      <c r="AD850" s="332"/>
      <c r="AE850" s="332"/>
      <c r="AF850" s="332"/>
      <c r="AG850" s="332"/>
      <c r="AH850" s="332"/>
      <c r="AI850" s="332"/>
      <c r="AJ850" s="332"/>
      <c r="AK850" s="332"/>
      <c r="AL850" s="332"/>
      <c r="AM850" s="332"/>
      <c r="AN850" s="332"/>
      <c r="AP850" s="332"/>
      <c r="AT850" s="332"/>
    </row>
    <row r="851" spans="1:46" ht="9.75" customHeight="1">
      <c r="A851" s="332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  <c r="AA851" s="332"/>
      <c r="AB851" s="332"/>
      <c r="AC851" s="332"/>
      <c r="AD851" s="332"/>
      <c r="AE851" s="332"/>
      <c r="AF851" s="332"/>
      <c r="AG851" s="332"/>
      <c r="AH851" s="332"/>
      <c r="AI851" s="332"/>
      <c r="AJ851" s="332"/>
      <c r="AK851" s="332"/>
      <c r="AL851" s="332"/>
      <c r="AM851" s="332"/>
      <c r="AN851" s="332"/>
      <c r="AP851" s="332"/>
      <c r="AT851" s="332"/>
    </row>
    <row r="852" spans="1:46" ht="9.75" customHeight="1">
      <c r="A852" s="332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  <c r="AA852" s="332"/>
      <c r="AB852" s="332"/>
      <c r="AC852" s="332"/>
      <c r="AD852" s="332"/>
      <c r="AE852" s="332"/>
      <c r="AF852" s="332"/>
      <c r="AG852" s="332"/>
      <c r="AH852" s="332"/>
      <c r="AI852" s="332"/>
      <c r="AJ852" s="332"/>
      <c r="AK852" s="332"/>
      <c r="AL852" s="332"/>
      <c r="AM852" s="332"/>
      <c r="AN852" s="332"/>
      <c r="AP852" s="332"/>
      <c r="AT852" s="332"/>
    </row>
    <row r="853" spans="1:46" ht="9.75" customHeight="1">
      <c r="A853" s="332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  <c r="AA853" s="332"/>
      <c r="AB853" s="332"/>
      <c r="AC853" s="332"/>
      <c r="AD853" s="332"/>
      <c r="AE853" s="332"/>
      <c r="AF853" s="332"/>
      <c r="AG853" s="332"/>
      <c r="AH853" s="332"/>
      <c r="AI853" s="332"/>
      <c r="AJ853" s="332"/>
      <c r="AK853" s="332"/>
      <c r="AL853" s="332"/>
      <c r="AM853" s="332"/>
      <c r="AN853" s="332"/>
      <c r="AP853" s="332"/>
      <c r="AT853" s="332"/>
    </row>
    <row r="854" spans="1:46" ht="9.75" customHeight="1">
      <c r="A854" s="332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  <c r="AA854" s="332"/>
      <c r="AB854" s="332"/>
      <c r="AC854" s="332"/>
      <c r="AD854" s="332"/>
      <c r="AE854" s="332"/>
      <c r="AF854" s="332"/>
      <c r="AG854" s="332"/>
      <c r="AH854" s="332"/>
      <c r="AI854" s="332"/>
      <c r="AJ854" s="332"/>
      <c r="AK854" s="332"/>
      <c r="AL854" s="332"/>
      <c r="AM854" s="332"/>
      <c r="AN854" s="332"/>
      <c r="AP854" s="332"/>
      <c r="AT854" s="332"/>
    </row>
    <row r="855" spans="1:46" ht="9.75" customHeight="1">
      <c r="A855" s="332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  <c r="AA855" s="332"/>
      <c r="AB855" s="332"/>
      <c r="AC855" s="332"/>
      <c r="AD855" s="332"/>
      <c r="AE855" s="332"/>
      <c r="AF855" s="332"/>
      <c r="AG855" s="332"/>
      <c r="AH855" s="332"/>
      <c r="AI855" s="332"/>
      <c r="AJ855" s="332"/>
      <c r="AK855" s="332"/>
      <c r="AL855" s="332"/>
      <c r="AM855" s="332"/>
      <c r="AN855" s="332"/>
      <c r="AP855" s="332"/>
      <c r="AT855" s="332"/>
    </row>
    <row r="856" spans="1:46" ht="9.75" customHeight="1">
      <c r="A856" s="332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  <c r="AA856" s="332"/>
      <c r="AB856" s="332"/>
      <c r="AC856" s="332"/>
      <c r="AD856" s="332"/>
      <c r="AE856" s="332"/>
      <c r="AF856" s="332"/>
      <c r="AG856" s="332"/>
      <c r="AH856" s="332"/>
      <c r="AI856" s="332"/>
      <c r="AJ856" s="332"/>
      <c r="AK856" s="332"/>
      <c r="AL856" s="332"/>
      <c r="AM856" s="332"/>
      <c r="AN856" s="332"/>
      <c r="AP856" s="332"/>
      <c r="AT856" s="332"/>
    </row>
    <row r="857" spans="1:46" ht="9.75" customHeight="1">
      <c r="A857" s="332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  <c r="AA857" s="332"/>
      <c r="AB857" s="332"/>
      <c r="AC857" s="332"/>
      <c r="AD857" s="332"/>
      <c r="AE857" s="332"/>
      <c r="AF857" s="332"/>
      <c r="AG857" s="332"/>
      <c r="AH857" s="332"/>
      <c r="AI857" s="332"/>
      <c r="AJ857" s="332"/>
      <c r="AK857" s="332"/>
      <c r="AL857" s="332"/>
      <c r="AM857" s="332"/>
      <c r="AN857" s="332"/>
      <c r="AP857" s="332"/>
      <c r="AT857" s="332"/>
    </row>
    <row r="858" spans="1:46" ht="9.75" customHeight="1">
      <c r="A858" s="332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  <c r="AA858" s="332"/>
      <c r="AB858" s="332"/>
      <c r="AC858" s="332"/>
      <c r="AD858" s="332"/>
      <c r="AE858" s="332"/>
      <c r="AF858" s="332"/>
      <c r="AG858" s="332"/>
      <c r="AH858" s="332"/>
      <c r="AI858" s="332"/>
      <c r="AJ858" s="332"/>
      <c r="AK858" s="332"/>
      <c r="AL858" s="332"/>
      <c r="AM858" s="332"/>
      <c r="AN858" s="332"/>
      <c r="AP858" s="332"/>
      <c r="AT858" s="332"/>
    </row>
    <row r="859" spans="1:46" ht="9.75" customHeight="1">
      <c r="A859" s="332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  <c r="AA859" s="332"/>
      <c r="AB859" s="332"/>
      <c r="AC859" s="332"/>
      <c r="AD859" s="332"/>
      <c r="AE859" s="332"/>
      <c r="AF859" s="332"/>
      <c r="AG859" s="332"/>
      <c r="AH859" s="332"/>
      <c r="AI859" s="332"/>
      <c r="AJ859" s="332"/>
      <c r="AK859" s="332"/>
      <c r="AL859" s="332"/>
      <c r="AM859" s="332"/>
      <c r="AN859" s="332"/>
      <c r="AP859" s="332"/>
      <c r="AT859" s="332"/>
    </row>
    <row r="860" spans="1:46" ht="9.75" customHeight="1">
      <c r="A860" s="332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  <c r="AA860" s="332"/>
      <c r="AB860" s="332"/>
      <c r="AC860" s="332"/>
      <c r="AD860" s="332"/>
      <c r="AE860" s="332"/>
      <c r="AF860" s="332"/>
      <c r="AG860" s="332"/>
      <c r="AH860" s="332"/>
      <c r="AI860" s="332"/>
      <c r="AJ860" s="332"/>
      <c r="AK860" s="332"/>
      <c r="AL860" s="332"/>
      <c r="AM860" s="332"/>
      <c r="AN860" s="332"/>
      <c r="AP860" s="332"/>
      <c r="AT860" s="332"/>
    </row>
    <row r="861" spans="1:46" ht="9.75" customHeight="1">
      <c r="A861" s="332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  <c r="AA861" s="332"/>
      <c r="AB861" s="332"/>
      <c r="AC861" s="332"/>
      <c r="AD861" s="332"/>
      <c r="AE861" s="332"/>
      <c r="AF861" s="332"/>
      <c r="AG861" s="332"/>
      <c r="AH861" s="332"/>
      <c r="AI861" s="332"/>
      <c r="AJ861" s="332"/>
      <c r="AK861" s="332"/>
      <c r="AL861" s="332"/>
      <c r="AM861" s="332"/>
      <c r="AN861" s="332"/>
      <c r="AP861" s="332"/>
      <c r="AT861" s="332"/>
    </row>
    <row r="862" spans="1:46" ht="9.75" customHeight="1">
      <c r="A862" s="332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  <c r="AA862" s="332"/>
      <c r="AB862" s="332"/>
      <c r="AC862" s="332"/>
      <c r="AD862" s="332"/>
      <c r="AE862" s="332"/>
      <c r="AF862" s="332"/>
      <c r="AG862" s="332"/>
      <c r="AH862" s="332"/>
      <c r="AI862" s="332"/>
      <c r="AJ862" s="332"/>
      <c r="AK862" s="332"/>
      <c r="AL862" s="332"/>
      <c r="AM862" s="332"/>
      <c r="AN862" s="332"/>
      <c r="AP862" s="332"/>
      <c r="AT862" s="332"/>
    </row>
    <row r="863" spans="1:46" ht="9.75" customHeight="1">
      <c r="A863" s="332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  <c r="AA863" s="332"/>
      <c r="AB863" s="332"/>
      <c r="AC863" s="332"/>
      <c r="AD863" s="332"/>
      <c r="AE863" s="332"/>
      <c r="AF863" s="332"/>
      <c r="AG863" s="332"/>
      <c r="AH863" s="332"/>
      <c r="AI863" s="332"/>
      <c r="AJ863" s="332"/>
      <c r="AK863" s="332"/>
      <c r="AL863" s="332"/>
      <c r="AM863" s="332"/>
      <c r="AN863" s="332"/>
      <c r="AP863" s="332"/>
      <c r="AT863" s="332"/>
    </row>
    <row r="864" spans="1:46" ht="9.75" customHeight="1">
      <c r="A864" s="332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  <c r="AA864" s="332"/>
      <c r="AB864" s="332"/>
      <c r="AC864" s="332"/>
      <c r="AD864" s="332"/>
      <c r="AE864" s="332"/>
      <c r="AF864" s="332"/>
      <c r="AG864" s="332"/>
      <c r="AH864" s="332"/>
      <c r="AI864" s="332"/>
      <c r="AJ864" s="332"/>
      <c r="AK864" s="332"/>
      <c r="AL864" s="332"/>
      <c r="AM864" s="332"/>
      <c r="AN864" s="332"/>
      <c r="AP864" s="332"/>
      <c r="AT864" s="332"/>
    </row>
    <row r="865" spans="1:46" ht="9.75" customHeight="1">
      <c r="A865" s="332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  <c r="AA865" s="332"/>
      <c r="AB865" s="332"/>
      <c r="AC865" s="332"/>
      <c r="AD865" s="332"/>
      <c r="AE865" s="332"/>
      <c r="AF865" s="332"/>
      <c r="AG865" s="332"/>
      <c r="AH865" s="332"/>
      <c r="AI865" s="332"/>
      <c r="AJ865" s="332"/>
      <c r="AK865" s="332"/>
      <c r="AL865" s="332"/>
      <c r="AM865" s="332"/>
      <c r="AN865" s="332"/>
      <c r="AP865" s="332"/>
      <c r="AT865" s="332"/>
    </row>
    <row r="866" spans="1:46" ht="9.75" customHeight="1">
      <c r="A866" s="332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  <c r="AA866" s="332"/>
      <c r="AB866" s="332"/>
      <c r="AC866" s="332"/>
      <c r="AD866" s="332"/>
      <c r="AE866" s="332"/>
      <c r="AF866" s="332"/>
      <c r="AG866" s="332"/>
      <c r="AH866" s="332"/>
      <c r="AI866" s="332"/>
      <c r="AJ866" s="332"/>
      <c r="AK866" s="332"/>
      <c r="AL866" s="332"/>
      <c r="AM866" s="332"/>
      <c r="AN866" s="332"/>
      <c r="AP866" s="332"/>
      <c r="AT866" s="332"/>
    </row>
    <row r="867" spans="1:46" ht="9.75" customHeight="1">
      <c r="A867" s="332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  <c r="AA867" s="332"/>
      <c r="AB867" s="332"/>
      <c r="AC867" s="332"/>
      <c r="AD867" s="332"/>
      <c r="AE867" s="332"/>
      <c r="AF867" s="332"/>
      <c r="AG867" s="332"/>
      <c r="AH867" s="332"/>
      <c r="AI867" s="332"/>
      <c r="AJ867" s="332"/>
      <c r="AK867" s="332"/>
      <c r="AL867" s="332"/>
      <c r="AM867" s="332"/>
      <c r="AN867" s="332"/>
      <c r="AP867" s="332"/>
      <c r="AT867" s="332"/>
    </row>
    <row r="868" spans="1:46" ht="9.75" customHeight="1">
      <c r="A868" s="332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  <c r="AA868" s="332"/>
      <c r="AB868" s="332"/>
      <c r="AC868" s="332"/>
      <c r="AD868" s="332"/>
      <c r="AE868" s="332"/>
      <c r="AF868" s="332"/>
      <c r="AG868" s="332"/>
      <c r="AH868" s="332"/>
      <c r="AI868" s="332"/>
      <c r="AJ868" s="332"/>
      <c r="AK868" s="332"/>
      <c r="AL868" s="332"/>
      <c r="AM868" s="332"/>
      <c r="AN868" s="332"/>
      <c r="AP868" s="332"/>
      <c r="AT868" s="332"/>
    </row>
    <row r="869" spans="1:46" ht="9.75" customHeight="1">
      <c r="A869" s="332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  <c r="AA869" s="332"/>
      <c r="AB869" s="332"/>
      <c r="AC869" s="332"/>
      <c r="AD869" s="332"/>
      <c r="AE869" s="332"/>
      <c r="AF869" s="332"/>
      <c r="AG869" s="332"/>
      <c r="AH869" s="332"/>
      <c r="AI869" s="332"/>
      <c r="AJ869" s="332"/>
      <c r="AK869" s="332"/>
      <c r="AL869" s="332"/>
      <c r="AM869" s="332"/>
      <c r="AN869" s="332"/>
      <c r="AP869" s="332"/>
      <c r="AT869" s="332"/>
    </row>
    <row r="870" spans="1:46" ht="9.75" customHeight="1">
      <c r="A870" s="332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  <c r="AA870" s="332"/>
      <c r="AB870" s="332"/>
      <c r="AC870" s="332"/>
      <c r="AD870" s="332"/>
      <c r="AE870" s="332"/>
      <c r="AF870" s="332"/>
      <c r="AG870" s="332"/>
      <c r="AH870" s="332"/>
      <c r="AI870" s="332"/>
      <c r="AJ870" s="332"/>
      <c r="AK870" s="332"/>
      <c r="AL870" s="332"/>
      <c r="AM870" s="332"/>
      <c r="AN870" s="332"/>
      <c r="AP870" s="332"/>
      <c r="AT870" s="332"/>
    </row>
    <row r="871" spans="1:46" ht="9.75" customHeight="1">
      <c r="A871" s="332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  <c r="AA871" s="332"/>
      <c r="AB871" s="332"/>
      <c r="AC871" s="332"/>
      <c r="AD871" s="332"/>
      <c r="AE871" s="332"/>
      <c r="AF871" s="332"/>
      <c r="AG871" s="332"/>
      <c r="AH871" s="332"/>
      <c r="AI871" s="332"/>
      <c r="AJ871" s="332"/>
      <c r="AK871" s="332"/>
      <c r="AL871" s="332"/>
      <c r="AM871" s="332"/>
      <c r="AN871" s="332"/>
      <c r="AP871" s="332"/>
      <c r="AT871" s="332"/>
    </row>
    <row r="872" spans="1:46" ht="9.75" customHeight="1">
      <c r="A872" s="332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  <c r="AA872" s="332"/>
      <c r="AB872" s="332"/>
      <c r="AC872" s="332"/>
      <c r="AD872" s="332"/>
      <c r="AE872" s="332"/>
      <c r="AF872" s="332"/>
      <c r="AG872" s="332"/>
      <c r="AH872" s="332"/>
      <c r="AI872" s="332"/>
      <c r="AJ872" s="332"/>
      <c r="AK872" s="332"/>
      <c r="AL872" s="332"/>
      <c r="AM872" s="332"/>
      <c r="AN872" s="332"/>
      <c r="AP872" s="332"/>
      <c r="AT872" s="332"/>
    </row>
    <row r="873" spans="1:46" ht="9.75" customHeight="1">
      <c r="A873" s="332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  <c r="AA873" s="332"/>
      <c r="AB873" s="332"/>
      <c r="AC873" s="332"/>
      <c r="AD873" s="332"/>
      <c r="AE873" s="332"/>
      <c r="AF873" s="332"/>
      <c r="AG873" s="332"/>
      <c r="AH873" s="332"/>
      <c r="AI873" s="332"/>
      <c r="AJ873" s="332"/>
      <c r="AK873" s="332"/>
      <c r="AL873" s="332"/>
      <c r="AM873" s="332"/>
      <c r="AN873" s="332"/>
      <c r="AP873" s="332"/>
      <c r="AT873" s="332"/>
    </row>
    <row r="874" spans="1:46" ht="9.75" customHeight="1">
      <c r="A874" s="332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  <c r="AA874" s="332"/>
      <c r="AB874" s="332"/>
      <c r="AC874" s="332"/>
      <c r="AD874" s="332"/>
      <c r="AE874" s="332"/>
      <c r="AF874" s="332"/>
      <c r="AG874" s="332"/>
      <c r="AH874" s="332"/>
      <c r="AI874" s="332"/>
      <c r="AJ874" s="332"/>
      <c r="AK874" s="332"/>
      <c r="AL874" s="332"/>
      <c r="AM874" s="332"/>
      <c r="AN874" s="332"/>
      <c r="AP874" s="332"/>
      <c r="AT874" s="332"/>
    </row>
    <row r="875" spans="1:46" ht="9.75" customHeight="1">
      <c r="A875" s="332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  <c r="AA875" s="332"/>
      <c r="AB875" s="332"/>
      <c r="AC875" s="332"/>
      <c r="AD875" s="332"/>
      <c r="AE875" s="332"/>
      <c r="AF875" s="332"/>
      <c r="AG875" s="332"/>
      <c r="AH875" s="332"/>
      <c r="AI875" s="332"/>
      <c r="AJ875" s="332"/>
      <c r="AK875" s="332"/>
      <c r="AL875" s="332"/>
      <c r="AM875" s="332"/>
      <c r="AN875" s="332"/>
      <c r="AP875" s="332"/>
      <c r="AT875" s="332"/>
    </row>
    <row r="876" spans="1:46" ht="9.75" customHeight="1">
      <c r="A876" s="332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  <c r="AA876" s="332"/>
      <c r="AB876" s="332"/>
      <c r="AC876" s="332"/>
      <c r="AD876" s="332"/>
      <c r="AE876" s="332"/>
      <c r="AF876" s="332"/>
      <c r="AG876" s="332"/>
      <c r="AH876" s="332"/>
      <c r="AI876" s="332"/>
      <c r="AJ876" s="332"/>
      <c r="AK876" s="332"/>
      <c r="AL876" s="332"/>
      <c r="AM876" s="332"/>
      <c r="AN876" s="332"/>
      <c r="AP876" s="332"/>
      <c r="AT876" s="332"/>
    </row>
    <row r="877" spans="1:46" ht="9.75" customHeight="1">
      <c r="A877" s="332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  <c r="Z877" s="332"/>
      <c r="AA877" s="332"/>
      <c r="AB877" s="332"/>
      <c r="AC877" s="332"/>
      <c r="AD877" s="332"/>
      <c r="AE877" s="332"/>
      <c r="AF877" s="332"/>
      <c r="AG877" s="332"/>
      <c r="AH877" s="332"/>
      <c r="AI877" s="332"/>
      <c r="AJ877" s="332"/>
      <c r="AK877" s="332"/>
      <c r="AL877" s="332"/>
      <c r="AM877" s="332"/>
      <c r="AN877" s="332"/>
      <c r="AP877" s="332"/>
      <c r="AT877" s="332"/>
    </row>
    <row r="878" spans="1:46" ht="9.75" customHeight="1">
      <c r="A878" s="332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  <c r="Z878" s="332"/>
      <c r="AA878" s="332"/>
      <c r="AB878" s="332"/>
      <c r="AC878" s="332"/>
      <c r="AD878" s="332"/>
      <c r="AE878" s="332"/>
      <c r="AF878" s="332"/>
      <c r="AG878" s="332"/>
      <c r="AH878" s="332"/>
      <c r="AI878" s="332"/>
      <c r="AJ878" s="332"/>
      <c r="AK878" s="332"/>
      <c r="AL878" s="332"/>
      <c r="AM878" s="332"/>
      <c r="AN878" s="332"/>
      <c r="AP878" s="332"/>
      <c r="AT878" s="332"/>
    </row>
    <row r="879" spans="1:46" ht="9.75" customHeight="1">
      <c r="A879" s="332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  <c r="Z879" s="332"/>
      <c r="AA879" s="332"/>
      <c r="AB879" s="332"/>
      <c r="AC879" s="332"/>
      <c r="AD879" s="332"/>
      <c r="AE879" s="332"/>
      <c r="AF879" s="332"/>
      <c r="AG879" s="332"/>
      <c r="AH879" s="332"/>
      <c r="AI879" s="332"/>
      <c r="AJ879" s="332"/>
      <c r="AK879" s="332"/>
      <c r="AL879" s="332"/>
      <c r="AM879" s="332"/>
      <c r="AN879" s="332"/>
      <c r="AP879" s="332"/>
      <c r="AT879" s="332"/>
    </row>
    <row r="880" spans="1:46" ht="9.75" customHeight="1">
      <c r="A880" s="332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  <c r="Z880" s="332"/>
      <c r="AA880" s="332"/>
      <c r="AB880" s="332"/>
      <c r="AC880" s="332"/>
      <c r="AD880" s="332"/>
      <c r="AE880" s="332"/>
      <c r="AF880" s="332"/>
      <c r="AG880" s="332"/>
      <c r="AH880" s="332"/>
      <c r="AI880" s="332"/>
      <c r="AJ880" s="332"/>
      <c r="AK880" s="332"/>
      <c r="AL880" s="332"/>
      <c r="AM880" s="332"/>
      <c r="AN880" s="332"/>
      <c r="AP880" s="332"/>
      <c r="AT880" s="332"/>
    </row>
    <row r="881" spans="1:46" ht="9.75" customHeight="1">
      <c r="A881" s="332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  <c r="Z881" s="332"/>
      <c r="AA881" s="332"/>
      <c r="AB881" s="332"/>
      <c r="AC881" s="332"/>
      <c r="AD881" s="332"/>
      <c r="AE881" s="332"/>
      <c r="AF881" s="332"/>
      <c r="AG881" s="332"/>
      <c r="AH881" s="332"/>
      <c r="AI881" s="332"/>
      <c r="AJ881" s="332"/>
      <c r="AK881" s="332"/>
      <c r="AL881" s="332"/>
      <c r="AM881" s="332"/>
      <c r="AN881" s="332"/>
      <c r="AP881" s="332"/>
      <c r="AT881" s="332"/>
    </row>
    <row r="882" spans="1:46" ht="9.75" customHeight="1">
      <c r="A882" s="332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  <c r="Z882" s="332"/>
      <c r="AA882" s="332"/>
      <c r="AB882" s="332"/>
      <c r="AC882" s="332"/>
      <c r="AD882" s="332"/>
      <c r="AE882" s="332"/>
      <c r="AF882" s="332"/>
      <c r="AG882" s="332"/>
      <c r="AH882" s="332"/>
      <c r="AI882" s="332"/>
      <c r="AJ882" s="332"/>
      <c r="AK882" s="332"/>
      <c r="AL882" s="332"/>
      <c r="AM882" s="332"/>
      <c r="AN882" s="332"/>
      <c r="AP882" s="332"/>
      <c r="AT882" s="332"/>
    </row>
    <row r="883" spans="1:46" ht="9.75" customHeight="1">
      <c r="A883" s="332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  <c r="Z883" s="332"/>
      <c r="AA883" s="332"/>
      <c r="AB883" s="332"/>
      <c r="AC883" s="332"/>
      <c r="AD883" s="332"/>
      <c r="AE883" s="332"/>
      <c r="AF883" s="332"/>
      <c r="AG883" s="332"/>
      <c r="AH883" s="332"/>
      <c r="AI883" s="332"/>
      <c r="AJ883" s="332"/>
      <c r="AK883" s="332"/>
      <c r="AL883" s="332"/>
      <c r="AM883" s="332"/>
      <c r="AN883" s="332"/>
      <c r="AP883" s="332"/>
      <c r="AT883" s="332"/>
    </row>
    <row r="884" spans="1:46" ht="9.75" customHeight="1">
      <c r="A884" s="332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  <c r="Z884" s="332"/>
      <c r="AA884" s="332"/>
      <c r="AB884" s="332"/>
      <c r="AC884" s="332"/>
      <c r="AD884" s="332"/>
      <c r="AE884" s="332"/>
      <c r="AF884" s="332"/>
      <c r="AG884" s="332"/>
      <c r="AH884" s="332"/>
      <c r="AI884" s="332"/>
      <c r="AJ884" s="332"/>
      <c r="AK884" s="332"/>
      <c r="AL884" s="332"/>
      <c r="AM884" s="332"/>
      <c r="AN884" s="332"/>
      <c r="AP884" s="332"/>
      <c r="AT884" s="332"/>
    </row>
    <row r="885" spans="1:46" ht="9.75" customHeight="1">
      <c r="A885" s="332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  <c r="Z885" s="332"/>
      <c r="AA885" s="332"/>
      <c r="AB885" s="332"/>
      <c r="AC885" s="332"/>
      <c r="AD885" s="332"/>
      <c r="AE885" s="332"/>
      <c r="AF885" s="332"/>
      <c r="AG885" s="332"/>
      <c r="AH885" s="332"/>
      <c r="AI885" s="332"/>
      <c r="AJ885" s="332"/>
      <c r="AK885" s="332"/>
      <c r="AL885" s="332"/>
      <c r="AM885" s="332"/>
      <c r="AN885" s="332"/>
      <c r="AP885" s="332"/>
      <c r="AT885" s="332"/>
    </row>
    <row r="886" spans="1:46" ht="9.75" customHeight="1">
      <c r="A886" s="332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  <c r="Z886" s="332"/>
      <c r="AA886" s="332"/>
      <c r="AB886" s="332"/>
      <c r="AC886" s="332"/>
      <c r="AD886" s="332"/>
      <c r="AE886" s="332"/>
      <c r="AF886" s="332"/>
      <c r="AG886" s="332"/>
      <c r="AH886" s="332"/>
      <c r="AI886" s="332"/>
      <c r="AJ886" s="332"/>
      <c r="AK886" s="332"/>
      <c r="AL886" s="332"/>
      <c r="AM886" s="332"/>
      <c r="AN886" s="332"/>
      <c r="AP886" s="332"/>
      <c r="AT886" s="332"/>
    </row>
    <row r="887" spans="1:46" ht="9.75" customHeight="1">
      <c r="A887" s="332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  <c r="Z887" s="332"/>
      <c r="AA887" s="332"/>
      <c r="AB887" s="332"/>
      <c r="AC887" s="332"/>
      <c r="AD887" s="332"/>
      <c r="AE887" s="332"/>
      <c r="AF887" s="332"/>
      <c r="AG887" s="332"/>
      <c r="AH887" s="332"/>
      <c r="AI887" s="332"/>
      <c r="AJ887" s="332"/>
      <c r="AK887" s="332"/>
      <c r="AL887" s="332"/>
      <c r="AM887" s="332"/>
      <c r="AN887" s="332"/>
      <c r="AP887" s="332"/>
      <c r="AT887" s="332"/>
    </row>
    <row r="888" spans="1:46" ht="9.75" customHeight="1">
      <c r="A888" s="332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  <c r="Z888" s="332"/>
      <c r="AA888" s="332"/>
      <c r="AB888" s="332"/>
      <c r="AC888" s="332"/>
      <c r="AD888" s="332"/>
      <c r="AE888" s="332"/>
      <c r="AF888" s="332"/>
      <c r="AG888" s="332"/>
      <c r="AH888" s="332"/>
      <c r="AI888" s="332"/>
      <c r="AJ888" s="332"/>
      <c r="AK888" s="332"/>
      <c r="AL888" s="332"/>
      <c r="AM888" s="332"/>
      <c r="AN888" s="332"/>
      <c r="AP888" s="332"/>
      <c r="AT888" s="332"/>
    </row>
    <row r="889" spans="1:46" ht="9.75" customHeight="1">
      <c r="A889" s="332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  <c r="Z889" s="332"/>
      <c r="AA889" s="332"/>
      <c r="AB889" s="332"/>
      <c r="AC889" s="332"/>
      <c r="AD889" s="332"/>
      <c r="AE889" s="332"/>
      <c r="AF889" s="332"/>
      <c r="AG889" s="332"/>
      <c r="AH889" s="332"/>
      <c r="AI889" s="332"/>
      <c r="AJ889" s="332"/>
      <c r="AK889" s="332"/>
      <c r="AL889" s="332"/>
      <c r="AM889" s="332"/>
      <c r="AN889" s="332"/>
      <c r="AP889" s="332"/>
      <c r="AT889" s="332"/>
    </row>
    <row r="890" spans="1:46" ht="9.75" customHeight="1">
      <c r="A890" s="332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  <c r="Z890" s="332"/>
      <c r="AA890" s="332"/>
      <c r="AB890" s="332"/>
      <c r="AC890" s="332"/>
      <c r="AD890" s="332"/>
      <c r="AE890" s="332"/>
      <c r="AF890" s="332"/>
      <c r="AG890" s="332"/>
      <c r="AH890" s="332"/>
      <c r="AI890" s="332"/>
      <c r="AJ890" s="332"/>
      <c r="AK890" s="332"/>
      <c r="AL890" s="332"/>
      <c r="AM890" s="332"/>
      <c r="AN890" s="332"/>
      <c r="AP890" s="332"/>
      <c r="AT890" s="332"/>
    </row>
    <row r="891" spans="1:46" ht="9.75" customHeight="1">
      <c r="A891" s="332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  <c r="Z891" s="332"/>
      <c r="AA891" s="332"/>
      <c r="AB891" s="332"/>
      <c r="AC891" s="332"/>
      <c r="AD891" s="332"/>
      <c r="AE891" s="332"/>
      <c r="AF891" s="332"/>
      <c r="AG891" s="332"/>
      <c r="AH891" s="332"/>
      <c r="AI891" s="332"/>
      <c r="AJ891" s="332"/>
      <c r="AK891" s="332"/>
      <c r="AL891" s="332"/>
      <c r="AM891" s="332"/>
      <c r="AN891" s="332"/>
      <c r="AP891" s="332"/>
      <c r="AT891" s="332"/>
    </row>
    <row r="892" spans="1:46" ht="9.75" customHeight="1">
      <c r="A892" s="332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  <c r="Z892" s="332"/>
      <c r="AA892" s="332"/>
      <c r="AB892" s="332"/>
      <c r="AC892" s="332"/>
      <c r="AD892" s="332"/>
      <c r="AE892" s="332"/>
      <c r="AF892" s="332"/>
      <c r="AG892" s="332"/>
      <c r="AH892" s="332"/>
      <c r="AI892" s="332"/>
      <c r="AJ892" s="332"/>
      <c r="AK892" s="332"/>
      <c r="AL892" s="332"/>
      <c r="AM892" s="332"/>
      <c r="AN892" s="332"/>
      <c r="AP892" s="332"/>
      <c r="AT892" s="332"/>
    </row>
    <row r="893" spans="1:46" ht="9.75" customHeight="1">
      <c r="A893" s="332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  <c r="Z893" s="332"/>
      <c r="AA893" s="332"/>
      <c r="AB893" s="332"/>
      <c r="AC893" s="332"/>
      <c r="AD893" s="332"/>
      <c r="AE893" s="332"/>
      <c r="AF893" s="332"/>
      <c r="AG893" s="332"/>
      <c r="AH893" s="332"/>
      <c r="AI893" s="332"/>
      <c r="AJ893" s="332"/>
      <c r="AK893" s="332"/>
      <c r="AL893" s="332"/>
      <c r="AM893" s="332"/>
      <c r="AN893" s="332"/>
      <c r="AP893" s="332"/>
      <c r="AT893" s="332"/>
    </row>
    <row r="894" spans="1:46" ht="9.75" customHeight="1">
      <c r="A894" s="332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  <c r="Z894" s="332"/>
      <c r="AA894" s="332"/>
      <c r="AB894" s="332"/>
      <c r="AC894" s="332"/>
      <c r="AD894" s="332"/>
      <c r="AE894" s="332"/>
      <c r="AF894" s="332"/>
      <c r="AG894" s="332"/>
      <c r="AH894" s="332"/>
      <c r="AI894" s="332"/>
      <c r="AJ894" s="332"/>
      <c r="AK894" s="332"/>
      <c r="AL894" s="332"/>
      <c r="AM894" s="332"/>
      <c r="AN894" s="332"/>
      <c r="AP894" s="332"/>
      <c r="AT894" s="332"/>
    </row>
    <row r="895" spans="1:46" ht="9.75" customHeight="1">
      <c r="A895" s="332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  <c r="Z895" s="332"/>
      <c r="AA895" s="332"/>
      <c r="AB895" s="332"/>
      <c r="AC895" s="332"/>
      <c r="AD895" s="332"/>
      <c r="AE895" s="332"/>
      <c r="AF895" s="332"/>
      <c r="AG895" s="332"/>
      <c r="AH895" s="332"/>
      <c r="AI895" s="332"/>
      <c r="AJ895" s="332"/>
      <c r="AK895" s="332"/>
      <c r="AL895" s="332"/>
      <c r="AM895" s="332"/>
      <c r="AN895" s="332"/>
      <c r="AP895" s="332"/>
      <c r="AT895" s="332"/>
    </row>
    <row r="896" spans="1:46" ht="9.75" customHeight="1">
      <c r="A896" s="332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  <c r="Z896" s="332"/>
      <c r="AA896" s="332"/>
      <c r="AB896" s="332"/>
      <c r="AC896" s="332"/>
      <c r="AD896" s="332"/>
      <c r="AE896" s="332"/>
      <c r="AF896" s="332"/>
      <c r="AG896" s="332"/>
      <c r="AH896" s="332"/>
      <c r="AI896" s="332"/>
      <c r="AJ896" s="332"/>
      <c r="AK896" s="332"/>
      <c r="AL896" s="332"/>
      <c r="AM896" s="332"/>
      <c r="AN896" s="332"/>
      <c r="AP896" s="332"/>
      <c r="AT896" s="332"/>
    </row>
    <row r="897" spans="1:46" ht="9.75" customHeight="1">
      <c r="A897" s="332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  <c r="Z897" s="332"/>
      <c r="AA897" s="332"/>
      <c r="AB897" s="332"/>
      <c r="AC897" s="332"/>
      <c r="AD897" s="332"/>
      <c r="AE897" s="332"/>
      <c r="AF897" s="332"/>
      <c r="AG897" s="332"/>
      <c r="AH897" s="332"/>
      <c r="AI897" s="332"/>
      <c r="AJ897" s="332"/>
      <c r="AK897" s="332"/>
      <c r="AL897" s="332"/>
      <c r="AM897" s="332"/>
      <c r="AN897" s="332"/>
      <c r="AP897" s="332"/>
      <c r="AT897" s="332"/>
    </row>
    <row r="898" spans="1:46" ht="9.75" customHeight="1">
      <c r="A898" s="332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  <c r="Z898" s="332"/>
      <c r="AA898" s="332"/>
      <c r="AB898" s="332"/>
      <c r="AC898" s="332"/>
      <c r="AD898" s="332"/>
      <c r="AE898" s="332"/>
      <c r="AF898" s="332"/>
      <c r="AG898" s="332"/>
      <c r="AH898" s="332"/>
      <c r="AI898" s="332"/>
      <c r="AJ898" s="332"/>
      <c r="AK898" s="332"/>
      <c r="AL898" s="332"/>
      <c r="AM898" s="332"/>
      <c r="AN898" s="332"/>
      <c r="AP898" s="332"/>
      <c r="AT898" s="332"/>
    </row>
    <row r="899" spans="1:46" ht="9.75" customHeight="1">
      <c r="A899" s="332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  <c r="Z899" s="332"/>
      <c r="AA899" s="332"/>
      <c r="AB899" s="332"/>
      <c r="AC899" s="332"/>
      <c r="AD899" s="332"/>
      <c r="AE899" s="332"/>
      <c r="AF899" s="332"/>
      <c r="AG899" s="332"/>
      <c r="AH899" s="332"/>
      <c r="AI899" s="332"/>
      <c r="AJ899" s="332"/>
      <c r="AK899" s="332"/>
      <c r="AL899" s="332"/>
      <c r="AM899" s="332"/>
      <c r="AN899" s="332"/>
      <c r="AP899" s="332"/>
      <c r="AT899" s="332"/>
    </row>
    <row r="900" spans="1:46" ht="9.75" customHeight="1">
      <c r="A900" s="332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  <c r="Z900" s="332"/>
      <c r="AA900" s="332"/>
      <c r="AB900" s="332"/>
      <c r="AC900" s="332"/>
      <c r="AD900" s="332"/>
      <c r="AE900" s="332"/>
      <c r="AF900" s="332"/>
      <c r="AG900" s="332"/>
      <c r="AH900" s="332"/>
      <c r="AI900" s="332"/>
      <c r="AJ900" s="332"/>
      <c r="AK900" s="332"/>
      <c r="AL900" s="332"/>
      <c r="AM900" s="332"/>
      <c r="AN900" s="332"/>
      <c r="AP900" s="332"/>
      <c r="AT900" s="332"/>
    </row>
    <row r="901" spans="1:46" ht="9.75" customHeight="1">
      <c r="A901" s="332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  <c r="Z901" s="332"/>
      <c r="AA901" s="332"/>
      <c r="AB901" s="332"/>
      <c r="AC901" s="332"/>
      <c r="AD901" s="332"/>
      <c r="AE901" s="332"/>
      <c r="AF901" s="332"/>
      <c r="AG901" s="332"/>
      <c r="AH901" s="332"/>
      <c r="AI901" s="332"/>
      <c r="AJ901" s="332"/>
      <c r="AK901" s="332"/>
      <c r="AL901" s="332"/>
      <c r="AM901" s="332"/>
      <c r="AN901" s="332"/>
      <c r="AP901" s="332"/>
      <c r="AT901" s="332"/>
    </row>
    <row r="902" spans="1:46" ht="9.75" customHeight="1">
      <c r="A902" s="332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  <c r="Z902" s="332"/>
      <c r="AA902" s="332"/>
      <c r="AB902" s="332"/>
      <c r="AC902" s="332"/>
      <c r="AD902" s="332"/>
      <c r="AE902" s="332"/>
      <c r="AF902" s="332"/>
      <c r="AG902" s="332"/>
      <c r="AH902" s="332"/>
      <c r="AI902" s="332"/>
      <c r="AJ902" s="332"/>
      <c r="AK902" s="332"/>
      <c r="AL902" s="332"/>
      <c r="AM902" s="332"/>
      <c r="AN902" s="332"/>
      <c r="AP902" s="332"/>
      <c r="AT902" s="332"/>
    </row>
    <row r="903" spans="1:46" ht="9.75" customHeight="1">
      <c r="A903" s="332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  <c r="Z903" s="332"/>
      <c r="AA903" s="332"/>
      <c r="AB903" s="332"/>
      <c r="AC903" s="332"/>
      <c r="AD903" s="332"/>
      <c r="AE903" s="332"/>
      <c r="AF903" s="332"/>
      <c r="AG903" s="332"/>
      <c r="AH903" s="332"/>
      <c r="AI903" s="332"/>
      <c r="AJ903" s="332"/>
      <c r="AK903" s="332"/>
      <c r="AL903" s="332"/>
      <c r="AM903" s="332"/>
      <c r="AN903" s="332"/>
      <c r="AP903" s="332"/>
      <c r="AT903" s="332"/>
    </row>
    <row r="904" spans="1:46" ht="9.75" customHeight="1">
      <c r="A904" s="332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  <c r="Z904" s="332"/>
      <c r="AA904" s="332"/>
      <c r="AB904" s="332"/>
      <c r="AC904" s="332"/>
      <c r="AD904" s="332"/>
      <c r="AE904" s="332"/>
      <c r="AF904" s="332"/>
      <c r="AG904" s="332"/>
      <c r="AH904" s="332"/>
      <c r="AI904" s="332"/>
      <c r="AJ904" s="332"/>
      <c r="AK904" s="332"/>
      <c r="AL904" s="332"/>
      <c r="AM904" s="332"/>
      <c r="AN904" s="332"/>
      <c r="AP904" s="332"/>
      <c r="AT904" s="332"/>
    </row>
    <row r="905" spans="1:46" ht="9.75" customHeight="1">
      <c r="A905" s="332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  <c r="Z905" s="332"/>
      <c r="AA905" s="332"/>
      <c r="AB905" s="332"/>
      <c r="AC905" s="332"/>
      <c r="AD905" s="332"/>
      <c r="AE905" s="332"/>
      <c r="AF905" s="332"/>
      <c r="AG905" s="332"/>
      <c r="AH905" s="332"/>
      <c r="AI905" s="332"/>
      <c r="AJ905" s="332"/>
      <c r="AK905" s="332"/>
      <c r="AL905" s="332"/>
      <c r="AM905" s="332"/>
      <c r="AN905" s="332"/>
      <c r="AP905" s="332"/>
      <c r="AT905" s="332"/>
    </row>
    <row r="906" spans="1:46" ht="9.75" customHeight="1">
      <c r="A906" s="332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  <c r="Z906" s="332"/>
      <c r="AA906" s="332"/>
      <c r="AB906" s="332"/>
      <c r="AC906" s="332"/>
      <c r="AD906" s="332"/>
      <c r="AE906" s="332"/>
      <c r="AF906" s="332"/>
      <c r="AG906" s="332"/>
      <c r="AH906" s="332"/>
      <c r="AI906" s="332"/>
      <c r="AJ906" s="332"/>
      <c r="AK906" s="332"/>
      <c r="AL906" s="332"/>
      <c r="AM906" s="332"/>
      <c r="AN906" s="332"/>
      <c r="AP906" s="332"/>
      <c r="AT906" s="332"/>
    </row>
    <row r="907" spans="1:46" ht="9.75" customHeight="1">
      <c r="A907" s="332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  <c r="Z907" s="332"/>
      <c r="AA907" s="332"/>
      <c r="AB907" s="332"/>
      <c r="AC907" s="332"/>
      <c r="AD907" s="332"/>
      <c r="AE907" s="332"/>
      <c r="AF907" s="332"/>
      <c r="AG907" s="332"/>
      <c r="AH907" s="332"/>
      <c r="AI907" s="332"/>
      <c r="AJ907" s="332"/>
      <c r="AK907" s="332"/>
      <c r="AL907" s="332"/>
      <c r="AM907" s="332"/>
      <c r="AN907" s="332"/>
      <c r="AP907" s="332"/>
      <c r="AT907" s="332"/>
    </row>
    <row r="908" spans="1:46" ht="9.75" customHeight="1">
      <c r="A908" s="332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  <c r="Z908" s="332"/>
      <c r="AA908" s="332"/>
      <c r="AB908" s="332"/>
      <c r="AC908" s="332"/>
      <c r="AD908" s="332"/>
      <c r="AE908" s="332"/>
      <c r="AF908" s="332"/>
      <c r="AG908" s="332"/>
      <c r="AH908" s="332"/>
      <c r="AI908" s="332"/>
      <c r="AJ908" s="332"/>
      <c r="AK908" s="332"/>
      <c r="AL908" s="332"/>
      <c r="AM908" s="332"/>
      <c r="AN908" s="332"/>
      <c r="AP908" s="332"/>
      <c r="AT908" s="332"/>
    </row>
    <row r="909" spans="1:46" ht="9.75" customHeight="1">
      <c r="A909" s="332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  <c r="Z909" s="332"/>
      <c r="AA909" s="332"/>
      <c r="AB909" s="332"/>
      <c r="AC909" s="332"/>
      <c r="AD909" s="332"/>
      <c r="AE909" s="332"/>
      <c r="AF909" s="332"/>
      <c r="AG909" s="332"/>
      <c r="AH909" s="332"/>
      <c r="AI909" s="332"/>
      <c r="AJ909" s="332"/>
      <c r="AK909" s="332"/>
      <c r="AL909" s="332"/>
      <c r="AM909" s="332"/>
      <c r="AN909" s="332"/>
      <c r="AP909" s="332"/>
      <c r="AT909" s="332"/>
    </row>
    <row r="910" spans="1:46" ht="9.75" customHeight="1">
      <c r="A910" s="332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  <c r="Z910" s="332"/>
      <c r="AA910" s="332"/>
      <c r="AB910" s="332"/>
      <c r="AC910" s="332"/>
      <c r="AD910" s="332"/>
      <c r="AE910" s="332"/>
      <c r="AF910" s="332"/>
      <c r="AG910" s="332"/>
      <c r="AH910" s="332"/>
      <c r="AI910" s="332"/>
      <c r="AJ910" s="332"/>
      <c r="AK910" s="332"/>
      <c r="AL910" s="332"/>
      <c r="AM910" s="332"/>
      <c r="AN910" s="332"/>
      <c r="AP910" s="332"/>
      <c r="AT910" s="332"/>
    </row>
    <row r="911" spans="1:46" ht="9.75" customHeight="1">
      <c r="A911" s="332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  <c r="Z911" s="332"/>
      <c r="AA911" s="332"/>
      <c r="AB911" s="332"/>
      <c r="AC911" s="332"/>
      <c r="AD911" s="332"/>
      <c r="AE911" s="332"/>
      <c r="AF911" s="332"/>
      <c r="AG911" s="332"/>
      <c r="AH911" s="332"/>
      <c r="AI911" s="332"/>
      <c r="AJ911" s="332"/>
      <c r="AK911" s="332"/>
      <c r="AL911" s="332"/>
      <c r="AM911" s="332"/>
      <c r="AN911" s="332"/>
      <c r="AP911" s="332"/>
      <c r="AT911" s="332"/>
    </row>
    <row r="912" spans="1:46" ht="9.75" customHeight="1">
      <c r="A912" s="332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  <c r="Z912" s="332"/>
      <c r="AA912" s="332"/>
      <c r="AB912" s="332"/>
      <c r="AC912" s="332"/>
      <c r="AD912" s="332"/>
      <c r="AE912" s="332"/>
      <c r="AF912" s="332"/>
      <c r="AG912" s="332"/>
      <c r="AH912" s="332"/>
      <c r="AI912" s="332"/>
      <c r="AJ912" s="332"/>
      <c r="AK912" s="332"/>
      <c r="AL912" s="332"/>
      <c r="AM912" s="332"/>
      <c r="AN912" s="332"/>
      <c r="AP912" s="332"/>
      <c r="AT912" s="332"/>
    </row>
    <row r="913" spans="1:46" ht="9.75" customHeight="1">
      <c r="A913" s="332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  <c r="Z913" s="332"/>
      <c r="AA913" s="332"/>
      <c r="AB913" s="332"/>
      <c r="AC913" s="332"/>
      <c r="AD913" s="332"/>
      <c r="AE913" s="332"/>
      <c r="AF913" s="332"/>
      <c r="AG913" s="332"/>
      <c r="AH913" s="332"/>
      <c r="AI913" s="332"/>
      <c r="AJ913" s="332"/>
      <c r="AK913" s="332"/>
      <c r="AL913" s="332"/>
      <c r="AM913" s="332"/>
      <c r="AN913" s="332"/>
      <c r="AP913" s="332"/>
      <c r="AT913" s="332"/>
    </row>
    <row r="914" spans="1:46" ht="9.75" customHeight="1">
      <c r="A914" s="332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  <c r="Z914" s="332"/>
      <c r="AA914" s="332"/>
      <c r="AB914" s="332"/>
      <c r="AC914" s="332"/>
      <c r="AD914" s="332"/>
      <c r="AE914" s="332"/>
      <c r="AF914" s="332"/>
      <c r="AG914" s="332"/>
      <c r="AH914" s="332"/>
      <c r="AI914" s="332"/>
      <c r="AJ914" s="332"/>
      <c r="AK914" s="332"/>
      <c r="AL914" s="332"/>
      <c r="AM914" s="332"/>
      <c r="AN914" s="332"/>
      <c r="AP914" s="332"/>
      <c r="AT914" s="332"/>
    </row>
    <row r="915" spans="1:46" ht="9.75" customHeight="1">
      <c r="A915" s="332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  <c r="Z915" s="332"/>
      <c r="AA915" s="332"/>
      <c r="AB915" s="332"/>
      <c r="AC915" s="332"/>
      <c r="AD915" s="332"/>
      <c r="AE915" s="332"/>
      <c r="AF915" s="332"/>
      <c r="AG915" s="332"/>
      <c r="AH915" s="332"/>
      <c r="AI915" s="332"/>
      <c r="AJ915" s="332"/>
      <c r="AK915" s="332"/>
      <c r="AL915" s="332"/>
      <c r="AM915" s="332"/>
      <c r="AN915" s="332"/>
      <c r="AP915" s="332"/>
      <c r="AT915" s="332"/>
    </row>
    <row r="916" spans="1:46" ht="9.75" customHeight="1">
      <c r="A916" s="332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  <c r="Z916" s="332"/>
      <c r="AA916" s="332"/>
      <c r="AB916" s="332"/>
      <c r="AC916" s="332"/>
      <c r="AD916" s="332"/>
      <c r="AE916" s="332"/>
      <c r="AF916" s="332"/>
      <c r="AG916" s="332"/>
      <c r="AH916" s="332"/>
      <c r="AI916" s="332"/>
      <c r="AJ916" s="332"/>
      <c r="AK916" s="332"/>
      <c r="AL916" s="332"/>
      <c r="AM916" s="332"/>
      <c r="AN916" s="332"/>
      <c r="AP916" s="332"/>
      <c r="AT916" s="332"/>
    </row>
    <row r="917" spans="1:46" ht="9.75" customHeight="1">
      <c r="A917" s="332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  <c r="Z917" s="332"/>
      <c r="AA917" s="332"/>
      <c r="AB917" s="332"/>
      <c r="AC917" s="332"/>
      <c r="AD917" s="332"/>
      <c r="AE917" s="332"/>
      <c r="AF917" s="332"/>
      <c r="AG917" s="332"/>
      <c r="AH917" s="332"/>
      <c r="AI917" s="332"/>
      <c r="AJ917" s="332"/>
      <c r="AK917" s="332"/>
      <c r="AL917" s="332"/>
      <c r="AM917" s="332"/>
      <c r="AN917" s="332"/>
      <c r="AP917" s="332"/>
      <c r="AT917" s="332"/>
    </row>
    <row r="918" spans="1:46" ht="9.75" customHeight="1">
      <c r="A918" s="332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  <c r="Z918" s="332"/>
      <c r="AA918" s="332"/>
      <c r="AB918" s="332"/>
      <c r="AC918" s="332"/>
      <c r="AD918" s="332"/>
      <c r="AE918" s="332"/>
      <c r="AF918" s="332"/>
      <c r="AG918" s="332"/>
      <c r="AH918" s="332"/>
      <c r="AI918" s="332"/>
      <c r="AJ918" s="332"/>
      <c r="AK918" s="332"/>
      <c r="AL918" s="332"/>
      <c r="AM918" s="332"/>
      <c r="AN918" s="332"/>
      <c r="AP918" s="332"/>
      <c r="AT918" s="332"/>
    </row>
    <row r="919" spans="1:46" ht="9.75" customHeight="1">
      <c r="A919" s="332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  <c r="Z919" s="332"/>
      <c r="AA919" s="332"/>
      <c r="AB919" s="332"/>
      <c r="AC919" s="332"/>
      <c r="AD919" s="332"/>
      <c r="AE919" s="332"/>
      <c r="AF919" s="332"/>
      <c r="AG919" s="332"/>
      <c r="AH919" s="332"/>
      <c r="AI919" s="332"/>
      <c r="AJ919" s="332"/>
      <c r="AK919" s="332"/>
      <c r="AL919" s="332"/>
      <c r="AM919" s="332"/>
      <c r="AN919" s="332"/>
      <c r="AP919" s="332"/>
      <c r="AT919" s="332"/>
    </row>
    <row r="920" spans="1:46" ht="9.75" customHeight="1">
      <c r="A920" s="332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  <c r="Z920" s="332"/>
      <c r="AA920" s="332"/>
      <c r="AB920" s="332"/>
      <c r="AC920" s="332"/>
      <c r="AD920" s="332"/>
      <c r="AE920" s="332"/>
      <c r="AF920" s="332"/>
      <c r="AG920" s="332"/>
      <c r="AH920" s="332"/>
      <c r="AI920" s="332"/>
      <c r="AJ920" s="332"/>
      <c r="AK920" s="332"/>
      <c r="AL920" s="332"/>
      <c r="AM920" s="332"/>
      <c r="AN920" s="332"/>
      <c r="AP920" s="332"/>
      <c r="AT920" s="332"/>
    </row>
    <row r="921" spans="1:46" ht="9.75" customHeight="1">
      <c r="A921" s="332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  <c r="Z921" s="332"/>
      <c r="AA921" s="332"/>
      <c r="AB921" s="332"/>
      <c r="AC921" s="332"/>
      <c r="AD921" s="332"/>
      <c r="AE921" s="332"/>
      <c r="AF921" s="332"/>
      <c r="AG921" s="332"/>
      <c r="AH921" s="332"/>
      <c r="AI921" s="332"/>
      <c r="AJ921" s="332"/>
      <c r="AK921" s="332"/>
      <c r="AL921" s="332"/>
      <c r="AM921" s="332"/>
      <c r="AN921" s="332"/>
      <c r="AP921" s="332"/>
      <c r="AT921" s="332"/>
    </row>
    <row r="922" spans="1:46" ht="9.75" customHeight="1">
      <c r="A922" s="332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  <c r="Z922" s="332"/>
      <c r="AA922" s="332"/>
      <c r="AB922" s="332"/>
      <c r="AC922" s="332"/>
      <c r="AD922" s="332"/>
      <c r="AE922" s="332"/>
      <c r="AF922" s="332"/>
      <c r="AG922" s="332"/>
      <c r="AH922" s="332"/>
      <c r="AI922" s="332"/>
      <c r="AJ922" s="332"/>
      <c r="AK922" s="332"/>
      <c r="AL922" s="332"/>
      <c r="AM922" s="332"/>
      <c r="AN922" s="332"/>
      <c r="AP922" s="332"/>
      <c r="AT922" s="332"/>
    </row>
    <row r="923" spans="1:46" ht="9.75" customHeight="1">
      <c r="A923" s="332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  <c r="Z923" s="332"/>
      <c r="AA923" s="332"/>
      <c r="AB923" s="332"/>
      <c r="AC923" s="332"/>
      <c r="AD923" s="332"/>
      <c r="AE923" s="332"/>
      <c r="AF923" s="332"/>
      <c r="AG923" s="332"/>
      <c r="AH923" s="332"/>
      <c r="AI923" s="332"/>
      <c r="AJ923" s="332"/>
      <c r="AK923" s="332"/>
      <c r="AL923" s="332"/>
      <c r="AM923" s="332"/>
      <c r="AN923" s="332"/>
      <c r="AP923" s="332"/>
      <c r="AT923" s="332"/>
    </row>
    <row r="924" spans="1:46" ht="9.75" customHeight="1">
      <c r="A924" s="332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  <c r="Z924" s="332"/>
      <c r="AA924" s="332"/>
      <c r="AB924" s="332"/>
      <c r="AC924" s="332"/>
      <c r="AD924" s="332"/>
      <c r="AE924" s="332"/>
      <c r="AF924" s="332"/>
      <c r="AG924" s="332"/>
      <c r="AH924" s="332"/>
      <c r="AI924" s="332"/>
      <c r="AJ924" s="332"/>
      <c r="AK924" s="332"/>
      <c r="AL924" s="332"/>
      <c r="AM924" s="332"/>
      <c r="AN924" s="332"/>
      <c r="AP924" s="332"/>
      <c r="AT924" s="332"/>
    </row>
    <row r="925" spans="1:46" ht="9.75" customHeight="1">
      <c r="A925" s="332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  <c r="Z925" s="332"/>
      <c r="AA925" s="332"/>
      <c r="AB925" s="332"/>
      <c r="AC925" s="332"/>
      <c r="AD925" s="332"/>
      <c r="AE925" s="332"/>
      <c r="AF925" s="332"/>
      <c r="AG925" s="332"/>
      <c r="AH925" s="332"/>
      <c r="AI925" s="332"/>
      <c r="AJ925" s="332"/>
      <c r="AK925" s="332"/>
      <c r="AL925" s="332"/>
      <c r="AM925" s="332"/>
      <c r="AN925" s="332"/>
      <c r="AP925" s="332"/>
      <c r="AT925" s="332"/>
    </row>
    <row r="926" spans="1:46" ht="9.75" customHeight="1">
      <c r="A926" s="332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  <c r="Z926" s="332"/>
      <c r="AA926" s="332"/>
      <c r="AB926" s="332"/>
      <c r="AC926" s="332"/>
      <c r="AD926" s="332"/>
      <c r="AE926" s="332"/>
      <c r="AF926" s="332"/>
      <c r="AG926" s="332"/>
      <c r="AH926" s="332"/>
      <c r="AI926" s="332"/>
      <c r="AJ926" s="332"/>
      <c r="AK926" s="332"/>
      <c r="AL926" s="332"/>
      <c r="AM926" s="332"/>
      <c r="AN926" s="332"/>
      <c r="AP926" s="332"/>
      <c r="AT926" s="332"/>
    </row>
    <row r="927" spans="1:46" ht="9.75" customHeight="1">
      <c r="A927" s="332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  <c r="Z927" s="332"/>
      <c r="AA927" s="332"/>
      <c r="AB927" s="332"/>
      <c r="AC927" s="332"/>
      <c r="AD927" s="332"/>
      <c r="AE927" s="332"/>
      <c r="AF927" s="332"/>
      <c r="AG927" s="332"/>
      <c r="AH927" s="332"/>
      <c r="AI927" s="332"/>
      <c r="AJ927" s="332"/>
      <c r="AK927" s="332"/>
      <c r="AL927" s="332"/>
      <c r="AM927" s="332"/>
      <c r="AN927" s="332"/>
      <c r="AP927" s="332"/>
      <c r="AT927" s="332"/>
    </row>
    <row r="928" spans="1:46" ht="9.75" customHeight="1">
      <c r="A928" s="332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  <c r="Z928" s="332"/>
      <c r="AA928" s="332"/>
      <c r="AB928" s="332"/>
      <c r="AC928" s="332"/>
      <c r="AD928" s="332"/>
      <c r="AE928" s="332"/>
      <c r="AF928" s="332"/>
      <c r="AG928" s="332"/>
      <c r="AH928" s="332"/>
      <c r="AI928" s="332"/>
      <c r="AJ928" s="332"/>
      <c r="AK928" s="332"/>
      <c r="AL928" s="332"/>
      <c r="AM928" s="332"/>
      <c r="AN928" s="332"/>
      <c r="AP928" s="332"/>
      <c r="AT928" s="332"/>
    </row>
    <row r="929" spans="1:46" ht="9.75" customHeight="1">
      <c r="A929" s="332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  <c r="Z929" s="332"/>
      <c r="AA929" s="332"/>
      <c r="AB929" s="332"/>
      <c r="AC929" s="332"/>
      <c r="AD929" s="332"/>
      <c r="AE929" s="332"/>
      <c r="AF929" s="332"/>
      <c r="AG929" s="332"/>
      <c r="AH929" s="332"/>
      <c r="AI929" s="332"/>
      <c r="AJ929" s="332"/>
      <c r="AK929" s="332"/>
      <c r="AL929" s="332"/>
      <c r="AM929" s="332"/>
      <c r="AN929" s="332"/>
      <c r="AP929" s="332"/>
      <c r="AT929" s="332"/>
    </row>
    <row r="930" spans="1:46" ht="9.75" customHeight="1">
      <c r="A930" s="332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  <c r="Z930" s="332"/>
      <c r="AA930" s="332"/>
      <c r="AB930" s="332"/>
      <c r="AC930" s="332"/>
      <c r="AD930" s="332"/>
      <c r="AE930" s="332"/>
      <c r="AF930" s="332"/>
      <c r="AG930" s="332"/>
      <c r="AH930" s="332"/>
      <c r="AI930" s="332"/>
      <c r="AJ930" s="332"/>
      <c r="AK930" s="332"/>
      <c r="AL930" s="332"/>
      <c r="AM930" s="332"/>
      <c r="AN930" s="332"/>
      <c r="AP930" s="332"/>
      <c r="AT930" s="332"/>
    </row>
    <row r="931" spans="1:46" ht="9.75" customHeight="1">
      <c r="A931" s="332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  <c r="Z931" s="332"/>
      <c r="AA931" s="332"/>
      <c r="AB931" s="332"/>
      <c r="AC931" s="332"/>
      <c r="AD931" s="332"/>
      <c r="AE931" s="332"/>
      <c r="AF931" s="332"/>
      <c r="AG931" s="332"/>
      <c r="AH931" s="332"/>
      <c r="AI931" s="332"/>
      <c r="AJ931" s="332"/>
      <c r="AK931" s="332"/>
      <c r="AL931" s="332"/>
      <c r="AM931" s="332"/>
      <c r="AN931" s="332"/>
      <c r="AP931" s="332"/>
      <c r="AT931" s="332"/>
    </row>
    <row r="932" spans="1:46" ht="9.75" customHeight="1">
      <c r="A932" s="332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  <c r="Z932" s="332"/>
      <c r="AA932" s="332"/>
      <c r="AB932" s="332"/>
      <c r="AC932" s="332"/>
      <c r="AD932" s="332"/>
      <c r="AE932" s="332"/>
      <c r="AF932" s="332"/>
      <c r="AG932" s="332"/>
      <c r="AH932" s="332"/>
      <c r="AI932" s="332"/>
      <c r="AJ932" s="332"/>
      <c r="AK932" s="332"/>
      <c r="AL932" s="332"/>
      <c r="AM932" s="332"/>
      <c r="AN932" s="332"/>
      <c r="AP932" s="332"/>
      <c r="AT932" s="332"/>
    </row>
    <row r="933" spans="1:46" ht="9.75" customHeight="1">
      <c r="A933" s="332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  <c r="Z933" s="332"/>
      <c r="AA933" s="332"/>
      <c r="AB933" s="332"/>
      <c r="AC933" s="332"/>
      <c r="AD933" s="332"/>
      <c r="AE933" s="332"/>
      <c r="AF933" s="332"/>
      <c r="AG933" s="332"/>
      <c r="AH933" s="332"/>
      <c r="AI933" s="332"/>
      <c r="AJ933" s="332"/>
      <c r="AK933" s="332"/>
      <c r="AL933" s="332"/>
      <c r="AM933" s="332"/>
      <c r="AN933" s="332"/>
      <c r="AP933" s="332"/>
      <c r="AT933" s="332"/>
    </row>
    <row r="934" spans="1:46" ht="9.75" customHeight="1">
      <c r="A934" s="332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  <c r="Z934" s="332"/>
      <c r="AA934" s="332"/>
      <c r="AB934" s="332"/>
      <c r="AC934" s="332"/>
      <c r="AD934" s="332"/>
      <c r="AE934" s="332"/>
      <c r="AF934" s="332"/>
      <c r="AG934" s="332"/>
      <c r="AH934" s="332"/>
      <c r="AI934" s="332"/>
      <c r="AJ934" s="332"/>
      <c r="AK934" s="332"/>
      <c r="AL934" s="332"/>
      <c r="AM934" s="332"/>
      <c r="AN934" s="332"/>
      <c r="AP934" s="332"/>
      <c r="AT934" s="332"/>
    </row>
    <row r="935" spans="1:46" ht="9.75" customHeight="1">
      <c r="A935" s="332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  <c r="Z935" s="332"/>
      <c r="AA935" s="332"/>
      <c r="AB935" s="332"/>
      <c r="AC935" s="332"/>
      <c r="AD935" s="332"/>
      <c r="AE935" s="332"/>
      <c r="AF935" s="332"/>
      <c r="AG935" s="332"/>
      <c r="AH935" s="332"/>
      <c r="AI935" s="332"/>
      <c r="AJ935" s="332"/>
      <c r="AK935" s="332"/>
      <c r="AL935" s="332"/>
      <c r="AM935" s="332"/>
      <c r="AN935" s="332"/>
      <c r="AP935" s="332"/>
      <c r="AT935" s="332"/>
    </row>
    <row r="936" spans="1:46" ht="9.75" customHeight="1">
      <c r="A936" s="332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  <c r="Z936" s="332"/>
      <c r="AA936" s="332"/>
      <c r="AB936" s="332"/>
      <c r="AC936" s="332"/>
      <c r="AD936" s="332"/>
      <c r="AE936" s="332"/>
      <c r="AF936" s="332"/>
      <c r="AG936" s="332"/>
      <c r="AH936" s="332"/>
      <c r="AI936" s="332"/>
      <c r="AJ936" s="332"/>
      <c r="AK936" s="332"/>
      <c r="AL936" s="332"/>
      <c r="AM936" s="332"/>
      <c r="AN936" s="332"/>
      <c r="AP936" s="332"/>
      <c r="AT936" s="332"/>
    </row>
    <row r="937" spans="1:46" ht="9.75" customHeight="1">
      <c r="A937" s="332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  <c r="Z937" s="332"/>
      <c r="AA937" s="332"/>
      <c r="AB937" s="332"/>
      <c r="AC937" s="332"/>
      <c r="AD937" s="332"/>
      <c r="AE937" s="332"/>
      <c r="AF937" s="332"/>
      <c r="AG937" s="332"/>
      <c r="AH937" s="332"/>
      <c r="AI937" s="332"/>
      <c r="AJ937" s="332"/>
      <c r="AK937" s="332"/>
      <c r="AL937" s="332"/>
      <c r="AM937" s="332"/>
      <c r="AN937" s="332"/>
      <c r="AP937" s="332"/>
      <c r="AT937" s="332"/>
    </row>
    <row r="938" spans="1:46" ht="9.75" customHeight="1">
      <c r="A938" s="332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  <c r="Z938" s="332"/>
      <c r="AA938" s="332"/>
      <c r="AB938" s="332"/>
      <c r="AC938" s="332"/>
      <c r="AD938" s="332"/>
      <c r="AE938" s="332"/>
      <c r="AF938" s="332"/>
      <c r="AG938" s="332"/>
      <c r="AH938" s="332"/>
      <c r="AI938" s="332"/>
      <c r="AJ938" s="332"/>
      <c r="AK938" s="332"/>
      <c r="AL938" s="332"/>
      <c r="AM938" s="332"/>
      <c r="AN938" s="332"/>
      <c r="AP938" s="332"/>
      <c r="AT938" s="332"/>
    </row>
    <row r="939" spans="1:46" ht="9.75" customHeight="1">
      <c r="A939" s="332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  <c r="Z939" s="332"/>
      <c r="AA939" s="332"/>
      <c r="AB939" s="332"/>
      <c r="AC939" s="332"/>
      <c r="AD939" s="332"/>
      <c r="AE939" s="332"/>
      <c r="AF939" s="332"/>
      <c r="AG939" s="332"/>
      <c r="AH939" s="332"/>
      <c r="AI939" s="332"/>
      <c r="AJ939" s="332"/>
      <c r="AK939" s="332"/>
      <c r="AL939" s="332"/>
      <c r="AM939" s="332"/>
      <c r="AN939" s="332"/>
      <c r="AP939" s="332"/>
      <c r="AT939" s="332"/>
    </row>
    <row r="940" spans="1:46" ht="9.75" customHeight="1">
      <c r="A940" s="332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  <c r="Z940" s="332"/>
      <c r="AA940" s="332"/>
      <c r="AB940" s="332"/>
      <c r="AC940" s="332"/>
      <c r="AD940" s="332"/>
      <c r="AE940" s="332"/>
      <c r="AF940" s="332"/>
      <c r="AG940" s="332"/>
      <c r="AH940" s="332"/>
      <c r="AI940" s="332"/>
      <c r="AJ940" s="332"/>
      <c r="AK940" s="332"/>
      <c r="AL940" s="332"/>
      <c r="AM940" s="332"/>
      <c r="AN940" s="332"/>
      <c r="AP940" s="332"/>
      <c r="AT940" s="332"/>
    </row>
    <row r="941" spans="1:46" ht="9.75" customHeight="1">
      <c r="A941" s="332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  <c r="Z941" s="332"/>
      <c r="AA941" s="332"/>
      <c r="AB941" s="332"/>
      <c r="AC941" s="332"/>
      <c r="AD941" s="332"/>
      <c r="AE941" s="332"/>
      <c r="AF941" s="332"/>
      <c r="AG941" s="332"/>
      <c r="AH941" s="332"/>
      <c r="AI941" s="332"/>
      <c r="AJ941" s="332"/>
      <c r="AK941" s="332"/>
      <c r="AL941" s="332"/>
      <c r="AM941" s="332"/>
      <c r="AN941" s="332"/>
      <c r="AP941" s="332"/>
      <c r="AT941" s="332"/>
    </row>
    <row r="942" spans="1:46" ht="9.75" customHeight="1">
      <c r="A942" s="332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  <c r="Z942" s="332"/>
      <c r="AA942" s="332"/>
      <c r="AB942" s="332"/>
      <c r="AC942" s="332"/>
      <c r="AD942" s="332"/>
      <c r="AE942" s="332"/>
      <c r="AF942" s="332"/>
      <c r="AG942" s="332"/>
      <c r="AH942" s="332"/>
      <c r="AI942" s="332"/>
      <c r="AJ942" s="332"/>
      <c r="AK942" s="332"/>
      <c r="AL942" s="332"/>
      <c r="AM942" s="332"/>
      <c r="AN942" s="332"/>
      <c r="AP942" s="332"/>
      <c r="AT942" s="332"/>
    </row>
    <row r="943" spans="1:46" ht="9.75" customHeight="1">
      <c r="A943" s="332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  <c r="Z943" s="332"/>
      <c r="AA943" s="332"/>
      <c r="AB943" s="332"/>
      <c r="AC943" s="332"/>
      <c r="AD943" s="332"/>
      <c r="AE943" s="332"/>
      <c r="AF943" s="332"/>
      <c r="AG943" s="332"/>
      <c r="AH943" s="332"/>
      <c r="AI943" s="332"/>
      <c r="AJ943" s="332"/>
      <c r="AK943" s="332"/>
      <c r="AL943" s="332"/>
      <c r="AM943" s="332"/>
      <c r="AN943" s="332"/>
      <c r="AP943" s="332"/>
      <c r="AT943" s="332"/>
    </row>
    <row r="944" spans="1:46" ht="9.75" customHeight="1">
      <c r="A944" s="332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  <c r="Z944" s="332"/>
      <c r="AA944" s="332"/>
      <c r="AB944" s="332"/>
      <c r="AC944" s="332"/>
      <c r="AD944" s="332"/>
      <c r="AE944" s="332"/>
      <c r="AF944" s="332"/>
      <c r="AG944" s="332"/>
      <c r="AH944" s="332"/>
      <c r="AI944" s="332"/>
      <c r="AJ944" s="332"/>
      <c r="AK944" s="332"/>
      <c r="AL944" s="332"/>
      <c r="AM944" s="332"/>
      <c r="AN944" s="332"/>
      <c r="AP944" s="332"/>
      <c r="AT944" s="332"/>
    </row>
    <row r="945" spans="1:46" ht="9.75" customHeight="1">
      <c r="A945" s="332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  <c r="Z945" s="332"/>
      <c r="AA945" s="332"/>
      <c r="AB945" s="332"/>
      <c r="AC945" s="332"/>
      <c r="AD945" s="332"/>
      <c r="AE945" s="332"/>
      <c r="AF945" s="332"/>
      <c r="AG945" s="332"/>
      <c r="AH945" s="332"/>
      <c r="AI945" s="332"/>
      <c r="AJ945" s="332"/>
      <c r="AK945" s="332"/>
      <c r="AL945" s="332"/>
      <c r="AM945" s="332"/>
      <c r="AN945" s="332"/>
      <c r="AP945" s="332"/>
      <c r="AT945" s="332"/>
    </row>
    <row r="946" spans="1:46" ht="9.75" customHeight="1">
      <c r="A946" s="332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  <c r="Z946" s="332"/>
      <c r="AA946" s="332"/>
      <c r="AB946" s="332"/>
      <c r="AC946" s="332"/>
      <c r="AD946" s="332"/>
      <c r="AE946" s="332"/>
      <c r="AF946" s="332"/>
      <c r="AG946" s="332"/>
      <c r="AH946" s="332"/>
      <c r="AI946" s="332"/>
      <c r="AJ946" s="332"/>
      <c r="AK946" s="332"/>
      <c r="AL946" s="332"/>
      <c r="AM946" s="332"/>
      <c r="AN946" s="332"/>
      <c r="AP946" s="332"/>
      <c r="AT946" s="332"/>
    </row>
    <row r="947" spans="1:46" ht="9.75" customHeight="1">
      <c r="A947" s="332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  <c r="Z947" s="332"/>
      <c r="AA947" s="332"/>
      <c r="AB947" s="332"/>
      <c r="AC947" s="332"/>
      <c r="AD947" s="332"/>
      <c r="AE947" s="332"/>
      <c r="AF947" s="332"/>
      <c r="AG947" s="332"/>
      <c r="AH947" s="332"/>
      <c r="AI947" s="332"/>
      <c r="AJ947" s="332"/>
      <c r="AK947" s="332"/>
      <c r="AL947" s="332"/>
      <c r="AM947" s="332"/>
      <c r="AN947" s="332"/>
      <c r="AP947" s="332"/>
      <c r="AT947" s="332"/>
    </row>
    <row r="948" spans="1:46" ht="9.75" customHeight="1">
      <c r="A948" s="332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  <c r="Z948" s="332"/>
      <c r="AA948" s="332"/>
      <c r="AB948" s="332"/>
      <c r="AC948" s="332"/>
      <c r="AD948" s="332"/>
      <c r="AE948" s="332"/>
      <c r="AF948" s="332"/>
      <c r="AG948" s="332"/>
      <c r="AH948" s="332"/>
      <c r="AI948" s="332"/>
      <c r="AJ948" s="332"/>
      <c r="AK948" s="332"/>
      <c r="AL948" s="332"/>
      <c r="AM948" s="332"/>
      <c r="AN948" s="332"/>
      <c r="AP948" s="332"/>
      <c r="AT948" s="332"/>
    </row>
    <row r="949" spans="1:46" ht="9.75" customHeight="1">
      <c r="A949" s="332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  <c r="Z949" s="332"/>
      <c r="AA949" s="332"/>
      <c r="AB949" s="332"/>
      <c r="AC949" s="332"/>
      <c r="AD949" s="332"/>
      <c r="AE949" s="332"/>
      <c r="AF949" s="332"/>
      <c r="AG949" s="332"/>
      <c r="AH949" s="332"/>
      <c r="AI949" s="332"/>
      <c r="AJ949" s="332"/>
      <c r="AK949" s="332"/>
      <c r="AL949" s="332"/>
      <c r="AM949" s="332"/>
      <c r="AN949" s="332"/>
      <c r="AP949" s="332"/>
      <c r="AT949" s="332"/>
    </row>
    <row r="950" spans="1:46" ht="9.75" customHeight="1">
      <c r="A950" s="332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  <c r="Z950" s="332"/>
      <c r="AA950" s="332"/>
      <c r="AB950" s="332"/>
      <c r="AC950" s="332"/>
      <c r="AD950" s="332"/>
      <c r="AE950" s="332"/>
      <c r="AF950" s="332"/>
      <c r="AG950" s="332"/>
      <c r="AH950" s="332"/>
      <c r="AI950" s="332"/>
      <c r="AJ950" s="332"/>
      <c r="AK950" s="332"/>
      <c r="AL950" s="332"/>
      <c r="AM950" s="332"/>
      <c r="AN950" s="332"/>
      <c r="AP950" s="332"/>
      <c r="AT950" s="332"/>
    </row>
    <row r="951" spans="1:46" ht="9.75" customHeight="1">
      <c r="A951" s="332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  <c r="AA951" s="332"/>
      <c r="AB951" s="332"/>
      <c r="AC951" s="332"/>
      <c r="AD951" s="332"/>
      <c r="AE951" s="332"/>
      <c r="AF951" s="332"/>
      <c r="AG951" s="332"/>
      <c r="AH951" s="332"/>
      <c r="AI951" s="332"/>
      <c r="AJ951" s="332"/>
      <c r="AK951" s="332"/>
      <c r="AL951" s="332"/>
      <c r="AM951" s="332"/>
      <c r="AN951" s="332"/>
      <c r="AP951" s="332"/>
      <c r="AT951" s="332"/>
    </row>
    <row r="952" spans="1:46" ht="9.75" customHeight="1">
      <c r="A952" s="332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  <c r="AA952" s="332"/>
      <c r="AB952" s="332"/>
      <c r="AC952" s="332"/>
      <c r="AD952" s="332"/>
      <c r="AE952" s="332"/>
      <c r="AF952" s="332"/>
      <c r="AG952" s="332"/>
      <c r="AH952" s="332"/>
      <c r="AI952" s="332"/>
      <c r="AJ952" s="332"/>
      <c r="AK952" s="332"/>
      <c r="AL952" s="332"/>
      <c r="AM952" s="332"/>
      <c r="AN952" s="332"/>
      <c r="AP952" s="332"/>
      <c r="AT952" s="332"/>
    </row>
    <row r="953" spans="1:46" ht="9.75" customHeight="1">
      <c r="A953" s="332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  <c r="AA953" s="332"/>
      <c r="AB953" s="332"/>
      <c r="AC953" s="332"/>
      <c r="AD953" s="332"/>
      <c r="AE953" s="332"/>
      <c r="AF953" s="332"/>
      <c r="AG953" s="332"/>
      <c r="AH953" s="332"/>
      <c r="AI953" s="332"/>
      <c r="AJ953" s="332"/>
      <c r="AK953" s="332"/>
      <c r="AL953" s="332"/>
      <c r="AM953" s="332"/>
      <c r="AN953" s="332"/>
      <c r="AP953" s="332"/>
      <c r="AT953" s="332"/>
    </row>
    <row r="954" spans="1:46" ht="9.75" customHeight="1">
      <c r="A954" s="332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  <c r="AA954" s="332"/>
      <c r="AB954" s="332"/>
      <c r="AC954" s="332"/>
      <c r="AD954" s="332"/>
      <c r="AE954" s="332"/>
      <c r="AF954" s="332"/>
      <c r="AG954" s="332"/>
      <c r="AH954" s="332"/>
      <c r="AI954" s="332"/>
      <c r="AJ954" s="332"/>
      <c r="AK954" s="332"/>
      <c r="AL954" s="332"/>
      <c r="AM954" s="332"/>
      <c r="AN954" s="332"/>
      <c r="AP954" s="332"/>
      <c r="AT954" s="332"/>
    </row>
    <row r="955" spans="1:46" ht="9.75" customHeight="1">
      <c r="A955" s="332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  <c r="AA955" s="332"/>
      <c r="AB955" s="332"/>
      <c r="AC955" s="332"/>
      <c r="AD955" s="332"/>
      <c r="AE955" s="332"/>
      <c r="AF955" s="332"/>
      <c r="AG955" s="332"/>
      <c r="AH955" s="332"/>
      <c r="AI955" s="332"/>
      <c r="AJ955" s="332"/>
      <c r="AK955" s="332"/>
      <c r="AL955" s="332"/>
      <c r="AM955" s="332"/>
      <c r="AN955" s="332"/>
      <c r="AP955" s="332"/>
      <c r="AT955" s="332"/>
    </row>
    <row r="956" spans="1:46" ht="9.75" customHeight="1">
      <c r="A956" s="332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  <c r="AA956" s="332"/>
      <c r="AB956" s="332"/>
      <c r="AC956" s="332"/>
      <c r="AD956" s="332"/>
      <c r="AE956" s="332"/>
      <c r="AF956" s="332"/>
      <c r="AG956" s="332"/>
      <c r="AH956" s="332"/>
      <c r="AI956" s="332"/>
      <c r="AJ956" s="332"/>
      <c r="AK956" s="332"/>
      <c r="AL956" s="332"/>
      <c r="AM956" s="332"/>
      <c r="AN956" s="332"/>
      <c r="AP956" s="332"/>
      <c r="AT956" s="332"/>
    </row>
    <row r="957" spans="1:46" ht="9.75" customHeight="1">
      <c r="A957" s="332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  <c r="AA957" s="332"/>
      <c r="AB957" s="332"/>
      <c r="AC957" s="332"/>
      <c r="AD957" s="332"/>
      <c r="AE957" s="332"/>
      <c r="AF957" s="332"/>
      <c r="AG957" s="332"/>
      <c r="AH957" s="332"/>
      <c r="AI957" s="332"/>
      <c r="AJ957" s="332"/>
      <c r="AK957" s="332"/>
      <c r="AL957" s="332"/>
      <c r="AM957" s="332"/>
      <c r="AN957" s="332"/>
      <c r="AP957" s="332"/>
      <c r="AT957" s="332"/>
    </row>
    <row r="958" spans="1:46" ht="9.75" customHeight="1">
      <c r="A958" s="332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  <c r="AA958" s="332"/>
      <c r="AB958" s="332"/>
      <c r="AC958" s="332"/>
      <c r="AD958" s="332"/>
      <c r="AE958" s="332"/>
      <c r="AF958" s="332"/>
      <c r="AG958" s="332"/>
      <c r="AH958" s="332"/>
      <c r="AI958" s="332"/>
      <c r="AJ958" s="332"/>
      <c r="AK958" s="332"/>
      <c r="AL958" s="332"/>
      <c r="AM958" s="332"/>
      <c r="AN958" s="332"/>
      <c r="AP958" s="332"/>
      <c r="AT958" s="332"/>
    </row>
    <row r="959" spans="1:46" ht="9.75" customHeight="1">
      <c r="A959" s="332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  <c r="Z959" s="332"/>
      <c r="AA959" s="332"/>
      <c r="AB959" s="332"/>
      <c r="AC959" s="332"/>
      <c r="AD959" s="332"/>
      <c r="AE959" s="332"/>
      <c r="AF959" s="332"/>
      <c r="AG959" s="332"/>
      <c r="AH959" s="332"/>
      <c r="AI959" s="332"/>
      <c r="AJ959" s="332"/>
      <c r="AK959" s="332"/>
      <c r="AL959" s="332"/>
      <c r="AM959" s="332"/>
      <c r="AN959" s="332"/>
      <c r="AP959" s="332"/>
      <c r="AT959" s="332"/>
    </row>
    <row r="960" spans="1:46" ht="9.75" customHeight="1">
      <c r="A960" s="332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  <c r="Z960" s="332"/>
      <c r="AA960" s="332"/>
      <c r="AB960" s="332"/>
      <c r="AC960" s="332"/>
      <c r="AD960" s="332"/>
      <c r="AE960" s="332"/>
      <c r="AF960" s="332"/>
      <c r="AG960" s="332"/>
      <c r="AH960" s="332"/>
      <c r="AI960" s="332"/>
      <c r="AJ960" s="332"/>
      <c r="AK960" s="332"/>
      <c r="AL960" s="332"/>
      <c r="AM960" s="332"/>
      <c r="AN960" s="332"/>
      <c r="AP960" s="332"/>
      <c r="AT960" s="332"/>
    </row>
    <row r="961" spans="1:46" ht="9.75" customHeight="1">
      <c r="A961" s="332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  <c r="Z961" s="332"/>
      <c r="AA961" s="332"/>
      <c r="AB961" s="332"/>
      <c r="AC961" s="332"/>
      <c r="AD961" s="332"/>
      <c r="AE961" s="332"/>
      <c r="AF961" s="332"/>
      <c r="AG961" s="332"/>
      <c r="AH961" s="332"/>
      <c r="AI961" s="332"/>
      <c r="AJ961" s="332"/>
      <c r="AK961" s="332"/>
      <c r="AL961" s="332"/>
      <c r="AM961" s="332"/>
      <c r="AN961" s="332"/>
      <c r="AP961" s="332"/>
      <c r="AT961" s="332"/>
    </row>
    <row r="962" spans="1:46" ht="9.75" customHeight="1">
      <c r="A962" s="332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  <c r="Z962" s="332"/>
      <c r="AA962" s="332"/>
      <c r="AB962" s="332"/>
      <c r="AC962" s="332"/>
      <c r="AD962" s="332"/>
      <c r="AE962" s="332"/>
      <c r="AF962" s="332"/>
      <c r="AG962" s="332"/>
      <c r="AH962" s="332"/>
      <c r="AI962" s="332"/>
      <c r="AJ962" s="332"/>
      <c r="AK962" s="332"/>
      <c r="AL962" s="332"/>
      <c r="AM962" s="332"/>
      <c r="AN962" s="332"/>
      <c r="AP962" s="332"/>
      <c r="AT962" s="332"/>
    </row>
    <row r="963" spans="1:46" ht="9.75" customHeight="1">
      <c r="A963" s="332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  <c r="Z963" s="332"/>
      <c r="AA963" s="332"/>
      <c r="AB963" s="332"/>
      <c r="AC963" s="332"/>
      <c r="AD963" s="332"/>
      <c r="AE963" s="332"/>
      <c r="AF963" s="332"/>
      <c r="AG963" s="332"/>
      <c r="AH963" s="332"/>
      <c r="AI963" s="332"/>
      <c r="AJ963" s="332"/>
      <c r="AK963" s="332"/>
      <c r="AL963" s="332"/>
      <c r="AM963" s="332"/>
      <c r="AN963" s="332"/>
      <c r="AP963" s="332"/>
      <c r="AT963" s="332"/>
    </row>
    <row r="964" spans="1:46" ht="9.75" customHeight="1">
      <c r="A964" s="332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  <c r="Z964" s="332"/>
      <c r="AA964" s="332"/>
      <c r="AB964" s="332"/>
      <c r="AC964" s="332"/>
      <c r="AD964" s="332"/>
      <c r="AE964" s="332"/>
      <c r="AF964" s="332"/>
      <c r="AG964" s="332"/>
      <c r="AH964" s="332"/>
      <c r="AI964" s="332"/>
      <c r="AJ964" s="332"/>
      <c r="AK964" s="332"/>
      <c r="AL964" s="332"/>
      <c r="AM964" s="332"/>
      <c r="AN964" s="332"/>
      <c r="AP964" s="332"/>
      <c r="AT964" s="332"/>
    </row>
    <row r="965" spans="1:46" ht="9.75" customHeight="1">
      <c r="A965" s="332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  <c r="Z965" s="332"/>
      <c r="AA965" s="332"/>
      <c r="AB965" s="332"/>
      <c r="AC965" s="332"/>
      <c r="AD965" s="332"/>
      <c r="AE965" s="332"/>
      <c r="AF965" s="332"/>
      <c r="AG965" s="332"/>
      <c r="AH965" s="332"/>
      <c r="AI965" s="332"/>
      <c r="AJ965" s="332"/>
      <c r="AK965" s="332"/>
      <c r="AL965" s="332"/>
      <c r="AM965" s="332"/>
      <c r="AN965" s="332"/>
      <c r="AP965" s="332"/>
      <c r="AT965" s="332"/>
    </row>
    <row r="966" spans="1:46" ht="9.75" customHeight="1">
      <c r="A966" s="332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  <c r="Z966" s="332"/>
      <c r="AA966" s="332"/>
      <c r="AB966" s="332"/>
      <c r="AC966" s="332"/>
      <c r="AD966" s="332"/>
      <c r="AE966" s="332"/>
      <c r="AF966" s="332"/>
      <c r="AG966" s="332"/>
      <c r="AH966" s="332"/>
      <c r="AI966" s="332"/>
      <c r="AJ966" s="332"/>
      <c r="AK966" s="332"/>
      <c r="AL966" s="332"/>
      <c r="AM966" s="332"/>
      <c r="AN966" s="332"/>
      <c r="AP966" s="332"/>
      <c r="AT966" s="332"/>
    </row>
    <row r="967" spans="1:46" ht="9.75" customHeight="1">
      <c r="A967" s="332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  <c r="Z967" s="332"/>
      <c r="AA967" s="332"/>
      <c r="AB967" s="332"/>
      <c r="AC967" s="332"/>
      <c r="AD967" s="332"/>
      <c r="AE967" s="332"/>
      <c r="AF967" s="332"/>
      <c r="AG967" s="332"/>
      <c r="AH967" s="332"/>
      <c r="AI967" s="332"/>
      <c r="AJ967" s="332"/>
      <c r="AK967" s="332"/>
      <c r="AL967" s="332"/>
      <c r="AM967" s="332"/>
      <c r="AN967" s="332"/>
      <c r="AP967" s="332"/>
      <c r="AT967" s="332"/>
    </row>
    <row r="968" spans="1:46" ht="9.75" customHeight="1">
      <c r="A968" s="332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  <c r="Z968" s="332"/>
      <c r="AA968" s="332"/>
      <c r="AB968" s="332"/>
      <c r="AC968" s="332"/>
      <c r="AD968" s="332"/>
      <c r="AE968" s="332"/>
      <c r="AF968" s="332"/>
      <c r="AG968" s="332"/>
      <c r="AH968" s="332"/>
      <c r="AI968" s="332"/>
      <c r="AJ968" s="332"/>
      <c r="AK968" s="332"/>
      <c r="AL968" s="332"/>
      <c r="AM968" s="332"/>
      <c r="AN968" s="332"/>
      <c r="AP968" s="332"/>
      <c r="AT968" s="332"/>
    </row>
    <row r="969" spans="1:46" ht="9.75" customHeight="1">
      <c r="A969" s="332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  <c r="Z969" s="332"/>
      <c r="AA969" s="332"/>
      <c r="AB969" s="332"/>
      <c r="AC969" s="332"/>
      <c r="AD969" s="332"/>
      <c r="AE969" s="332"/>
      <c r="AF969" s="332"/>
      <c r="AG969" s="332"/>
      <c r="AH969" s="332"/>
      <c r="AI969" s="332"/>
      <c r="AJ969" s="332"/>
      <c r="AK969" s="332"/>
      <c r="AL969" s="332"/>
      <c r="AM969" s="332"/>
      <c r="AN969" s="332"/>
      <c r="AP969" s="332"/>
      <c r="AT969" s="332"/>
    </row>
    <row r="970" spans="1:46" ht="9.75" customHeight="1">
      <c r="A970" s="332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  <c r="Z970" s="332"/>
      <c r="AA970" s="332"/>
      <c r="AB970" s="332"/>
      <c r="AC970" s="332"/>
      <c r="AD970" s="332"/>
      <c r="AE970" s="332"/>
      <c r="AF970" s="332"/>
      <c r="AG970" s="332"/>
      <c r="AH970" s="332"/>
      <c r="AI970" s="332"/>
      <c r="AJ970" s="332"/>
      <c r="AK970" s="332"/>
      <c r="AL970" s="332"/>
      <c r="AM970" s="332"/>
      <c r="AN970" s="332"/>
      <c r="AP970" s="332"/>
      <c r="AT970" s="332"/>
    </row>
    <row r="971" spans="1:46" ht="9.75" customHeight="1">
      <c r="A971" s="332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  <c r="Z971" s="332"/>
      <c r="AA971" s="332"/>
      <c r="AB971" s="332"/>
      <c r="AC971" s="332"/>
      <c r="AD971" s="332"/>
      <c r="AE971" s="332"/>
      <c r="AF971" s="332"/>
      <c r="AG971" s="332"/>
      <c r="AH971" s="332"/>
      <c r="AI971" s="332"/>
      <c r="AJ971" s="332"/>
      <c r="AK971" s="332"/>
      <c r="AL971" s="332"/>
      <c r="AM971" s="332"/>
      <c r="AN971" s="332"/>
      <c r="AP971" s="332"/>
      <c r="AT971" s="332"/>
    </row>
    <row r="972" spans="1:46" ht="9.75" customHeight="1">
      <c r="A972" s="332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  <c r="Z972" s="332"/>
      <c r="AA972" s="332"/>
      <c r="AB972" s="332"/>
      <c r="AC972" s="332"/>
      <c r="AD972" s="332"/>
      <c r="AE972" s="332"/>
      <c r="AF972" s="332"/>
      <c r="AG972" s="332"/>
      <c r="AH972" s="332"/>
      <c r="AI972" s="332"/>
      <c r="AJ972" s="332"/>
      <c r="AK972" s="332"/>
      <c r="AL972" s="332"/>
      <c r="AM972" s="332"/>
      <c r="AN972" s="332"/>
      <c r="AP972" s="332"/>
      <c r="AT972" s="332"/>
    </row>
    <row r="973" spans="1:46" ht="9.75" customHeight="1">
      <c r="A973" s="332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  <c r="Z973" s="332"/>
      <c r="AA973" s="332"/>
      <c r="AB973" s="332"/>
      <c r="AC973" s="332"/>
      <c r="AD973" s="332"/>
      <c r="AE973" s="332"/>
      <c r="AF973" s="332"/>
      <c r="AG973" s="332"/>
      <c r="AH973" s="332"/>
      <c r="AI973" s="332"/>
      <c r="AJ973" s="332"/>
      <c r="AK973" s="332"/>
      <c r="AL973" s="332"/>
      <c r="AM973" s="332"/>
      <c r="AN973" s="332"/>
      <c r="AP973" s="332"/>
      <c r="AT973" s="332"/>
    </row>
    <row r="974" spans="1:46" ht="9.75" customHeight="1">
      <c r="A974" s="332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  <c r="Z974" s="332"/>
      <c r="AA974" s="332"/>
      <c r="AB974" s="332"/>
      <c r="AC974" s="332"/>
      <c r="AD974" s="332"/>
      <c r="AE974" s="332"/>
      <c r="AF974" s="332"/>
      <c r="AG974" s="332"/>
      <c r="AH974" s="332"/>
      <c r="AI974" s="332"/>
      <c r="AJ974" s="332"/>
      <c r="AK974" s="332"/>
      <c r="AL974" s="332"/>
      <c r="AM974" s="332"/>
      <c r="AN974" s="332"/>
      <c r="AP974" s="332"/>
      <c r="AT974" s="332"/>
    </row>
    <row r="975" spans="1:46" ht="9.75" customHeight="1">
      <c r="A975" s="332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  <c r="Z975" s="332"/>
      <c r="AA975" s="332"/>
      <c r="AB975" s="332"/>
      <c r="AC975" s="332"/>
      <c r="AD975" s="332"/>
      <c r="AE975" s="332"/>
      <c r="AF975" s="332"/>
      <c r="AG975" s="332"/>
      <c r="AH975" s="332"/>
      <c r="AI975" s="332"/>
      <c r="AJ975" s="332"/>
      <c r="AK975" s="332"/>
      <c r="AL975" s="332"/>
      <c r="AM975" s="332"/>
      <c r="AN975" s="332"/>
      <c r="AP975" s="332"/>
      <c r="AT975" s="332"/>
    </row>
    <row r="976" spans="1:46" ht="9.75" customHeight="1">
      <c r="A976" s="332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  <c r="Z976" s="332"/>
      <c r="AA976" s="332"/>
      <c r="AB976" s="332"/>
      <c r="AC976" s="332"/>
      <c r="AD976" s="332"/>
      <c r="AE976" s="332"/>
      <c r="AF976" s="332"/>
      <c r="AG976" s="332"/>
      <c r="AH976" s="332"/>
      <c r="AI976" s="332"/>
      <c r="AJ976" s="332"/>
      <c r="AK976" s="332"/>
      <c r="AL976" s="332"/>
      <c r="AM976" s="332"/>
      <c r="AN976" s="332"/>
      <c r="AP976" s="332"/>
      <c r="AT976" s="332"/>
    </row>
    <row r="977" spans="1:46" ht="9.75" customHeight="1">
      <c r="A977" s="332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  <c r="Z977" s="332"/>
      <c r="AA977" s="332"/>
      <c r="AB977" s="332"/>
      <c r="AC977" s="332"/>
      <c r="AD977" s="332"/>
      <c r="AE977" s="332"/>
      <c r="AF977" s="332"/>
      <c r="AG977" s="332"/>
      <c r="AH977" s="332"/>
      <c r="AI977" s="332"/>
      <c r="AJ977" s="332"/>
      <c r="AK977" s="332"/>
      <c r="AL977" s="332"/>
      <c r="AM977" s="332"/>
      <c r="AN977" s="332"/>
      <c r="AP977" s="332"/>
      <c r="AT977" s="332"/>
    </row>
    <row r="978" spans="1:46" ht="9.75" customHeight="1">
      <c r="A978" s="332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  <c r="Z978" s="332"/>
      <c r="AA978" s="332"/>
      <c r="AB978" s="332"/>
      <c r="AC978" s="332"/>
      <c r="AD978" s="332"/>
      <c r="AE978" s="332"/>
      <c r="AF978" s="332"/>
      <c r="AG978" s="332"/>
      <c r="AH978" s="332"/>
      <c r="AI978" s="332"/>
      <c r="AJ978" s="332"/>
      <c r="AK978" s="332"/>
      <c r="AL978" s="332"/>
      <c r="AM978" s="332"/>
      <c r="AN978" s="332"/>
      <c r="AP978" s="332"/>
      <c r="AT978" s="332"/>
    </row>
    <row r="979" spans="1:46" ht="9.75" customHeight="1">
      <c r="A979" s="332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  <c r="Z979" s="332"/>
      <c r="AA979" s="332"/>
      <c r="AB979" s="332"/>
      <c r="AC979" s="332"/>
      <c r="AD979" s="332"/>
      <c r="AE979" s="332"/>
      <c r="AF979" s="332"/>
      <c r="AG979" s="332"/>
      <c r="AH979" s="332"/>
      <c r="AI979" s="332"/>
      <c r="AJ979" s="332"/>
      <c r="AK979" s="332"/>
      <c r="AL979" s="332"/>
      <c r="AM979" s="332"/>
      <c r="AN979" s="332"/>
      <c r="AP979" s="332"/>
      <c r="AT979" s="332"/>
    </row>
    <row r="980" spans="1:46" ht="9.75" customHeight="1">
      <c r="A980" s="332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  <c r="Z980" s="332"/>
      <c r="AA980" s="332"/>
      <c r="AB980" s="332"/>
      <c r="AC980" s="332"/>
      <c r="AD980" s="332"/>
      <c r="AE980" s="332"/>
      <c r="AF980" s="332"/>
      <c r="AG980" s="332"/>
      <c r="AH980" s="332"/>
      <c r="AI980" s="332"/>
      <c r="AJ980" s="332"/>
      <c r="AK980" s="332"/>
      <c r="AL980" s="332"/>
      <c r="AM980" s="332"/>
      <c r="AN980" s="332"/>
      <c r="AP980" s="332"/>
      <c r="AT980" s="332"/>
    </row>
    <row r="981" spans="1:46" ht="9.75" customHeight="1">
      <c r="A981" s="332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  <c r="Z981" s="332"/>
      <c r="AA981" s="332"/>
      <c r="AB981" s="332"/>
      <c r="AC981" s="332"/>
      <c r="AD981" s="332"/>
      <c r="AE981" s="332"/>
      <c r="AF981" s="332"/>
      <c r="AG981" s="332"/>
      <c r="AH981" s="332"/>
      <c r="AI981" s="332"/>
      <c r="AJ981" s="332"/>
      <c r="AK981" s="332"/>
      <c r="AL981" s="332"/>
      <c r="AM981" s="332"/>
      <c r="AN981" s="332"/>
      <c r="AP981" s="332"/>
      <c r="AT981" s="332"/>
    </row>
    <row r="982" spans="1:46" ht="9.75" customHeight="1">
      <c r="A982" s="332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  <c r="Z982" s="332"/>
      <c r="AA982" s="332"/>
      <c r="AB982" s="332"/>
      <c r="AC982" s="332"/>
      <c r="AD982" s="332"/>
      <c r="AE982" s="332"/>
      <c r="AF982" s="332"/>
      <c r="AG982" s="332"/>
      <c r="AH982" s="332"/>
      <c r="AI982" s="332"/>
      <c r="AJ982" s="332"/>
      <c r="AK982" s="332"/>
      <c r="AL982" s="332"/>
      <c r="AM982" s="332"/>
      <c r="AN982" s="332"/>
      <c r="AP982" s="332"/>
      <c r="AT982" s="332"/>
    </row>
    <row r="983" spans="1:46" ht="9.75" customHeight="1">
      <c r="A983" s="332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  <c r="Z983" s="332"/>
      <c r="AA983" s="332"/>
      <c r="AB983" s="332"/>
      <c r="AC983" s="332"/>
      <c r="AD983" s="332"/>
      <c r="AE983" s="332"/>
      <c r="AF983" s="332"/>
      <c r="AG983" s="332"/>
      <c r="AH983" s="332"/>
      <c r="AI983" s="332"/>
      <c r="AJ983" s="332"/>
      <c r="AK983" s="332"/>
      <c r="AL983" s="332"/>
      <c r="AM983" s="332"/>
      <c r="AN983" s="332"/>
      <c r="AP983" s="332"/>
      <c r="AT983" s="332"/>
    </row>
    <row r="984" spans="1:46" ht="9.75" customHeight="1">
      <c r="A984" s="332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  <c r="Z984" s="332"/>
      <c r="AA984" s="332"/>
      <c r="AB984" s="332"/>
      <c r="AC984" s="332"/>
      <c r="AD984" s="332"/>
      <c r="AE984" s="332"/>
      <c r="AF984" s="332"/>
      <c r="AG984" s="332"/>
      <c r="AH984" s="332"/>
      <c r="AI984" s="332"/>
      <c r="AJ984" s="332"/>
      <c r="AK984" s="332"/>
      <c r="AL984" s="332"/>
      <c r="AM984" s="332"/>
      <c r="AN984" s="332"/>
      <c r="AP984" s="332"/>
      <c r="AT984" s="332"/>
    </row>
    <row r="985" spans="1:46" ht="9.75" customHeight="1">
      <c r="A985" s="332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  <c r="Z985" s="332"/>
      <c r="AA985" s="332"/>
      <c r="AB985" s="332"/>
      <c r="AC985" s="332"/>
      <c r="AD985" s="332"/>
      <c r="AE985" s="332"/>
      <c r="AF985" s="332"/>
      <c r="AG985" s="332"/>
      <c r="AH985" s="332"/>
      <c r="AI985" s="332"/>
      <c r="AJ985" s="332"/>
      <c r="AK985" s="332"/>
      <c r="AL985" s="332"/>
      <c r="AM985" s="332"/>
      <c r="AN985" s="332"/>
      <c r="AP985" s="332"/>
      <c r="AT985" s="332"/>
    </row>
    <row r="986" spans="1:46" ht="9.75" customHeight="1">
      <c r="A986" s="332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  <c r="Z986" s="332"/>
      <c r="AA986" s="332"/>
      <c r="AB986" s="332"/>
      <c r="AC986" s="332"/>
      <c r="AD986" s="332"/>
      <c r="AE986" s="332"/>
      <c r="AF986" s="332"/>
      <c r="AG986" s="332"/>
      <c r="AH986" s="332"/>
      <c r="AI986" s="332"/>
      <c r="AJ986" s="332"/>
      <c r="AK986" s="332"/>
      <c r="AL986" s="332"/>
      <c r="AM986" s="332"/>
      <c r="AN986" s="332"/>
      <c r="AP986" s="332"/>
      <c r="AT986" s="332"/>
    </row>
    <row r="987" spans="1:46" ht="9.75" customHeight="1">
      <c r="A987" s="332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  <c r="Z987" s="332"/>
      <c r="AA987" s="332"/>
      <c r="AB987" s="332"/>
      <c r="AC987" s="332"/>
      <c r="AD987" s="332"/>
      <c r="AE987" s="332"/>
      <c r="AF987" s="332"/>
      <c r="AG987" s="332"/>
      <c r="AH987" s="332"/>
      <c r="AI987" s="332"/>
      <c r="AJ987" s="332"/>
      <c r="AK987" s="332"/>
      <c r="AL987" s="332"/>
      <c r="AM987" s="332"/>
      <c r="AN987" s="332"/>
      <c r="AP987" s="332"/>
      <c r="AT987" s="332"/>
    </row>
    <row r="988" spans="1:46" ht="9.75" customHeight="1">
      <c r="A988" s="332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  <c r="Z988" s="332"/>
      <c r="AA988" s="332"/>
      <c r="AB988" s="332"/>
      <c r="AC988" s="332"/>
      <c r="AD988" s="332"/>
      <c r="AE988" s="332"/>
      <c r="AF988" s="332"/>
      <c r="AG988" s="332"/>
      <c r="AH988" s="332"/>
      <c r="AI988" s="332"/>
      <c r="AJ988" s="332"/>
      <c r="AK988" s="332"/>
      <c r="AL988" s="332"/>
      <c r="AM988" s="332"/>
      <c r="AN988" s="332"/>
      <c r="AP988" s="332"/>
      <c r="AT988" s="332"/>
    </row>
    <row r="989" spans="1:46" ht="9.75" customHeight="1">
      <c r="A989" s="332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  <c r="Z989" s="332"/>
      <c r="AA989" s="332"/>
      <c r="AB989" s="332"/>
      <c r="AC989" s="332"/>
      <c r="AD989" s="332"/>
      <c r="AE989" s="332"/>
      <c r="AF989" s="332"/>
      <c r="AG989" s="332"/>
      <c r="AH989" s="332"/>
      <c r="AI989" s="332"/>
      <c r="AJ989" s="332"/>
      <c r="AK989" s="332"/>
      <c r="AL989" s="332"/>
      <c r="AM989" s="332"/>
      <c r="AN989" s="332"/>
      <c r="AP989" s="332"/>
      <c r="AT989" s="332"/>
    </row>
    <row r="990" spans="1:46" ht="9.75" customHeight="1">
      <c r="A990" s="332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  <c r="Z990" s="332"/>
      <c r="AA990" s="332"/>
      <c r="AB990" s="332"/>
      <c r="AC990" s="332"/>
      <c r="AD990" s="332"/>
      <c r="AE990" s="332"/>
      <c r="AF990" s="332"/>
      <c r="AG990" s="332"/>
      <c r="AH990" s="332"/>
      <c r="AI990" s="332"/>
      <c r="AJ990" s="332"/>
      <c r="AK990" s="332"/>
      <c r="AL990" s="332"/>
      <c r="AM990" s="332"/>
      <c r="AN990" s="332"/>
      <c r="AP990" s="332"/>
      <c r="AT990" s="332"/>
    </row>
    <row r="991" spans="1:46" ht="9.75" customHeight="1">
      <c r="A991" s="332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  <c r="Z991" s="332"/>
      <c r="AA991" s="332"/>
      <c r="AB991" s="332"/>
      <c r="AC991" s="332"/>
      <c r="AD991" s="332"/>
      <c r="AE991" s="332"/>
      <c r="AF991" s="332"/>
      <c r="AG991" s="332"/>
      <c r="AH991" s="332"/>
      <c r="AI991" s="332"/>
      <c r="AJ991" s="332"/>
      <c r="AK991" s="332"/>
      <c r="AL991" s="332"/>
      <c r="AM991" s="332"/>
      <c r="AN991" s="332"/>
      <c r="AP991" s="332"/>
      <c r="AT991" s="332"/>
    </row>
    <row r="992" spans="1:46" ht="9.75" customHeight="1">
      <c r="A992" s="332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  <c r="Z992" s="332"/>
      <c r="AA992" s="332"/>
      <c r="AB992" s="332"/>
      <c r="AC992" s="332"/>
      <c r="AD992" s="332"/>
      <c r="AE992" s="332"/>
      <c r="AF992" s="332"/>
      <c r="AG992" s="332"/>
      <c r="AH992" s="332"/>
      <c r="AI992" s="332"/>
      <c r="AJ992" s="332"/>
      <c r="AK992" s="332"/>
      <c r="AL992" s="332"/>
      <c r="AM992" s="332"/>
      <c r="AN992" s="332"/>
      <c r="AP992" s="332"/>
      <c r="AT992" s="332"/>
    </row>
    <row r="993" spans="1:46" ht="9.75" customHeight="1">
      <c r="A993" s="332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  <c r="Z993" s="332"/>
      <c r="AA993" s="332"/>
      <c r="AB993" s="332"/>
      <c r="AC993" s="332"/>
      <c r="AD993" s="332"/>
      <c r="AE993" s="332"/>
      <c r="AF993" s="332"/>
      <c r="AG993" s="332"/>
      <c r="AH993" s="332"/>
      <c r="AI993" s="332"/>
      <c r="AJ993" s="332"/>
      <c r="AK993" s="332"/>
      <c r="AL993" s="332"/>
      <c r="AM993" s="332"/>
      <c r="AN993" s="332"/>
      <c r="AP993" s="332"/>
      <c r="AT993" s="332"/>
    </row>
    <row r="994" spans="1:46" ht="9.75" customHeight="1">
      <c r="A994" s="332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  <c r="Z994" s="332"/>
      <c r="AA994" s="332"/>
      <c r="AB994" s="332"/>
      <c r="AC994" s="332"/>
      <c r="AD994" s="332"/>
      <c r="AE994" s="332"/>
      <c r="AF994" s="332"/>
      <c r="AG994" s="332"/>
      <c r="AH994" s="332"/>
      <c r="AI994" s="332"/>
      <c r="AJ994" s="332"/>
      <c r="AK994" s="332"/>
      <c r="AL994" s="332"/>
      <c r="AM994" s="332"/>
      <c r="AN994" s="332"/>
      <c r="AP994" s="332"/>
      <c r="AT994" s="332"/>
    </row>
    <row r="995" spans="1:46" ht="9.75" customHeight="1">
      <c r="A995" s="332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  <c r="Z995" s="332"/>
      <c r="AA995" s="332"/>
      <c r="AB995" s="332"/>
      <c r="AC995" s="332"/>
      <c r="AD995" s="332"/>
      <c r="AE995" s="332"/>
      <c r="AF995" s="332"/>
      <c r="AG995" s="332"/>
      <c r="AH995" s="332"/>
      <c r="AI995" s="332"/>
      <c r="AJ995" s="332"/>
      <c r="AK995" s="332"/>
      <c r="AL995" s="332"/>
      <c r="AM995" s="332"/>
      <c r="AN995" s="332"/>
      <c r="AP995" s="332"/>
      <c r="AT995" s="332"/>
    </row>
    <row r="996" spans="1:46" ht="9.75" customHeight="1">
      <c r="A996" s="332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  <c r="Z996" s="332"/>
      <c r="AA996" s="332"/>
      <c r="AB996" s="332"/>
      <c r="AC996" s="332"/>
      <c r="AD996" s="332"/>
      <c r="AE996" s="332"/>
      <c r="AF996" s="332"/>
      <c r="AG996" s="332"/>
      <c r="AH996" s="332"/>
      <c r="AI996" s="332"/>
      <c r="AJ996" s="332"/>
      <c r="AK996" s="332"/>
      <c r="AL996" s="332"/>
      <c r="AM996" s="332"/>
      <c r="AN996" s="332"/>
      <c r="AP996" s="332"/>
      <c r="AT996" s="332"/>
    </row>
    <row r="997" spans="1:46" ht="9.75" customHeight="1">
      <c r="A997" s="332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  <c r="Z997" s="332"/>
      <c r="AA997" s="332"/>
      <c r="AB997" s="332"/>
      <c r="AC997" s="332"/>
      <c r="AD997" s="332"/>
      <c r="AE997" s="332"/>
      <c r="AF997" s="332"/>
      <c r="AG997" s="332"/>
      <c r="AH997" s="332"/>
      <c r="AI997" s="332"/>
      <c r="AJ997" s="332"/>
      <c r="AK997" s="332"/>
      <c r="AL997" s="332"/>
      <c r="AM997" s="332"/>
      <c r="AN997" s="332"/>
      <c r="AP997" s="332"/>
      <c r="AT997" s="332"/>
    </row>
    <row r="998" spans="1:46" ht="9.75" customHeight="1">
      <c r="A998" s="332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  <c r="Z998" s="332"/>
      <c r="AA998" s="332"/>
      <c r="AB998" s="332"/>
      <c r="AC998" s="332"/>
      <c r="AD998" s="332"/>
      <c r="AE998" s="332"/>
      <c r="AF998" s="332"/>
      <c r="AG998" s="332"/>
      <c r="AH998" s="332"/>
      <c r="AI998" s="332"/>
      <c r="AJ998" s="332"/>
      <c r="AK998" s="332"/>
      <c r="AL998" s="332"/>
      <c r="AM998" s="332"/>
      <c r="AN998" s="332"/>
      <c r="AP998" s="332"/>
      <c r="AT998" s="332"/>
    </row>
    <row r="999" spans="1:46" ht="9.75" customHeight="1">
      <c r="A999" s="332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  <c r="Z999" s="332"/>
      <c r="AA999" s="332"/>
      <c r="AB999" s="332"/>
      <c r="AC999" s="332"/>
      <c r="AD999" s="332"/>
      <c r="AE999" s="332"/>
      <c r="AF999" s="332"/>
      <c r="AG999" s="332"/>
      <c r="AH999" s="332"/>
      <c r="AI999" s="332"/>
      <c r="AJ999" s="332"/>
      <c r="AK999" s="332"/>
      <c r="AL999" s="332"/>
      <c r="AM999" s="332"/>
      <c r="AN999" s="332"/>
      <c r="AP999" s="332"/>
      <c r="AT999" s="332"/>
    </row>
    <row r="1000" spans="1:46" ht="9.75" customHeight="1">
      <c r="A1000" s="332"/>
      <c r="B1000" s="332"/>
      <c r="C1000" s="332"/>
      <c r="D1000" s="332"/>
      <c r="E1000" s="332"/>
      <c r="F1000" s="332"/>
      <c r="G1000" s="332"/>
      <c r="H1000" s="332"/>
      <c r="I1000" s="332"/>
      <c r="J1000" s="332"/>
      <c r="K1000" s="332"/>
      <c r="L1000" s="332"/>
      <c r="M1000" s="332"/>
      <c r="N1000" s="332"/>
      <c r="O1000" s="332"/>
      <c r="P1000" s="332"/>
      <c r="Q1000" s="332"/>
      <c r="R1000" s="332"/>
      <c r="S1000" s="332"/>
      <c r="T1000" s="332"/>
      <c r="U1000" s="332"/>
      <c r="V1000" s="332"/>
      <c r="W1000" s="332"/>
      <c r="X1000" s="332"/>
      <c r="Y1000" s="332"/>
      <c r="Z1000" s="332"/>
      <c r="AA1000" s="332"/>
      <c r="AB1000" s="332"/>
      <c r="AC1000" s="332"/>
      <c r="AD1000" s="332"/>
      <c r="AE1000" s="332"/>
      <c r="AF1000" s="332"/>
      <c r="AG1000" s="332"/>
      <c r="AH1000" s="332"/>
      <c r="AI1000" s="332"/>
      <c r="AJ1000" s="332"/>
      <c r="AK1000" s="332"/>
      <c r="AL1000" s="332"/>
      <c r="AM1000" s="332"/>
      <c r="AN1000" s="332"/>
      <c r="AP1000" s="332"/>
      <c r="AT1000" s="332"/>
    </row>
    <row r="1001" spans="1:46" ht="9.75" customHeight="1">
      <c r="A1001" s="332"/>
      <c r="B1001" s="332"/>
      <c r="C1001" s="332"/>
      <c r="D1001" s="332"/>
      <c r="E1001" s="332"/>
      <c r="F1001" s="332"/>
      <c r="G1001" s="332"/>
      <c r="H1001" s="332"/>
      <c r="I1001" s="332"/>
      <c r="J1001" s="332"/>
      <c r="K1001" s="332"/>
      <c r="L1001" s="332"/>
      <c r="M1001" s="332"/>
      <c r="N1001" s="332"/>
      <c r="O1001" s="332"/>
      <c r="P1001" s="332"/>
      <c r="Q1001" s="332"/>
      <c r="R1001" s="332"/>
      <c r="S1001" s="332"/>
      <c r="T1001" s="332"/>
      <c r="U1001" s="332"/>
      <c r="V1001" s="332"/>
      <c r="W1001" s="332"/>
      <c r="X1001" s="332"/>
      <c r="Y1001" s="332"/>
      <c r="Z1001" s="332"/>
      <c r="AA1001" s="332"/>
      <c r="AB1001" s="332"/>
      <c r="AC1001" s="332"/>
      <c r="AD1001" s="332"/>
      <c r="AE1001" s="332"/>
      <c r="AF1001" s="332"/>
      <c r="AG1001" s="332"/>
      <c r="AH1001" s="332"/>
      <c r="AI1001" s="332"/>
      <c r="AJ1001" s="332"/>
      <c r="AK1001" s="332"/>
      <c r="AL1001" s="332"/>
      <c r="AM1001" s="332"/>
      <c r="AN1001" s="332"/>
      <c r="AP1001" s="332"/>
      <c r="AT1001" s="332"/>
    </row>
    <row r="1002" spans="1:46" ht="9.75" customHeight="1">
      <c r="A1002" s="332"/>
      <c r="B1002" s="332"/>
      <c r="C1002" s="332"/>
      <c r="D1002" s="332"/>
      <c r="E1002" s="332"/>
      <c r="F1002" s="332"/>
      <c r="G1002" s="332"/>
      <c r="H1002" s="332"/>
      <c r="I1002" s="332"/>
      <c r="J1002" s="332"/>
      <c r="K1002" s="332"/>
      <c r="L1002" s="332"/>
      <c r="M1002" s="332"/>
      <c r="N1002" s="332"/>
      <c r="O1002" s="332"/>
      <c r="P1002" s="332"/>
      <c r="Q1002" s="332"/>
      <c r="R1002" s="332"/>
      <c r="S1002" s="332"/>
      <c r="T1002" s="332"/>
      <c r="U1002" s="332"/>
      <c r="V1002" s="332"/>
      <c r="W1002" s="332"/>
      <c r="X1002" s="332"/>
      <c r="Y1002" s="332"/>
      <c r="Z1002" s="332"/>
      <c r="AA1002" s="332"/>
      <c r="AB1002" s="332"/>
      <c r="AC1002" s="332"/>
      <c r="AD1002" s="332"/>
      <c r="AE1002" s="332"/>
      <c r="AF1002" s="332"/>
      <c r="AG1002" s="332"/>
      <c r="AH1002" s="332"/>
      <c r="AI1002" s="332"/>
      <c r="AJ1002" s="332"/>
      <c r="AK1002" s="332"/>
      <c r="AL1002" s="332"/>
      <c r="AM1002" s="332"/>
      <c r="AN1002" s="332"/>
      <c r="AP1002" s="332"/>
      <c r="AT1002" s="332"/>
    </row>
    <row r="1003" spans="1:46" ht="9.75" customHeight="1">
      <c r="A1003" s="332"/>
      <c r="B1003" s="332"/>
      <c r="C1003" s="332"/>
      <c r="D1003" s="332"/>
      <c r="E1003" s="332"/>
      <c r="F1003" s="332"/>
      <c r="G1003" s="332"/>
      <c r="H1003" s="332"/>
      <c r="I1003" s="332"/>
      <c r="J1003" s="332"/>
      <c r="K1003" s="332"/>
      <c r="L1003" s="332"/>
      <c r="M1003" s="332"/>
      <c r="N1003" s="332"/>
      <c r="O1003" s="332"/>
      <c r="P1003" s="332"/>
      <c r="Q1003" s="332"/>
      <c r="R1003" s="332"/>
      <c r="S1003" s="332"/>
      <c r="T1003" s="332"/>
      <c r="U1003" s="332"/>
      <c r="V1003" s="332"/>
      <c r="W1003" s="332"/>
      <c r="X1003" s="332"/>
      <c r="Y1003" s="332"/>
      <c r="Z1003" s="332"/>
      <c r="AA1003" s="332"/>
      <c r="AB1003" s="332"/>
      <c r="AC1003" s="332"/>
      <c r="AD1003" s="332"/>
      <c r="AE1003" s="332"/>
      <c r="AF1003" s="332"/>
      <c r="AG1003" s="332"/>
      <c r="AH1003" s="332"/>
      <c r="AI1003" s="332"/>
      <c r="AJ1003" s="332"/>
      <c r="AK1003" s="332"/>
      <c r="AL1003" s="332"/>
      <c r="AM1003" s="332"/>
      <c r="AN1003" s="332"/>
      <c r="AP1003" s="332"/>
      <c r="AT1003" s="332"/>
    </row>
    <row r="1004" spans="1:46" ht="9.75" customHeight="1">
      <c r="A1004" s="332"/>
      <c r="B1004" s="332"/>
      <c r="C1004" s="332"/>
      <c r="D1004" s="332"/>
      <c r="E1004" s="332"/>
      <c r="F1004" s="332"/>
      <c r="G1004" s="332"/>
      <c r="H1004" s="332"/>
      <c r="I1004" s="332"/>
      <c r="J1004" s="332"/>
      <c r="K1004" s="332"/>
      <c r="L1004" s="332"/>
      <c r="M1004" s="332"/>
      <c r="N1004" s="332"/>
      <c r="O1004" s="332"/>
      <c r="P1004" s="332"/>
      <c r="Q1004" s="332"/>
      <c r="R1004" s="332"/>
      <c r="S1004" s="332"/>
      <c r="T1004" s="332"/>
      <c r="U1004" s="332"/>
      <c r="V1004" s="332"/>
      <c r="W1004" s="332"/>
      <c r="X1004" s="332"/>
      <c r="Y1004" s="332"/>
      <c r="Z1004" s="332"/>
      <c r="AA1004" s="332"/>
      <c r="AB1004" s="332"/>
      <c r="AC1004" s="332"/>
      <c r="AD1004" s="332"/>
      <c r="AE1004" s="332"/>
      <c r="AF1004" s="332"/>
      <c r="AG1004" s="332"/>
      <c r="AH1004" s="332"/>
      <c r="AI1004" s="332"/>
      <c r="AJ1004" s="332"/>
      <c r="AK1004" s="332"/>
      <c r="AL1004" s="332"/>
      <c r="AM1004" s="332"/>
      <c r="AN1004" s="332"/>
      <c r="AP1004" s="332"/>
      <c r="AT1004" s="332"/>
    </row>
    <row r="1005" spans="1:46" ht="9.75" customHeight="1">
      <c r="A1005" s="332"/>
      <c r="B1005" s="332"/>
      <c r="C1005" s="332"/>
      <c r="D1005" s="332"/>
      <c r="E1005" s="332"/>
      <c r="F1005" s="332"/>
      <c r="G1005" s="332"/>
      <c r="H1005" s="332"/>
      <c r="I1005" s="332"/>
      <c r="J1005" s="332"/>
      <c r="K1005" s="332"/>
      <c r="L1005" s="332"/>
      <c r="M1005" s="332"/>
      <c r="N1005" s="332"/>
      <c r="O1005" s="332"/>
      <c r="P1005" s="332"/>
      <c r="Q1005" s="332"/>
      <c r="R1005" s="332"/>
      <c r="S1005" s="332"/>
      <c r="T1005" s="332"/>
      <c r="U1005" s="332"/>
      <c r="V1005" s="332"/>
      <c r="W1005" s="332"/>
      <c r="X1005" s="332"/>
      <c r="Y1005" s="332"/>
      <c r="Z1005" s="332"/>
      <c r="AA1005" s="332"/>
      <c r="AB1005" s="332"/>
      <c r="AC1005" s="332"/>
      <c r="AD1005" s="332"/>
      <c r="AE1005" s="332"/>
      <c r="AF1005" s="332"/>
      <c r="AG1005" s="332"/>
      <c r="AH1005" s="332"/>
      <c r="AI1005" s="332"/>
      <c r="AJ1005" s="332"/>
      <c r="AK1005" s="332"/>
      <c r="AL1005" s="332"/>
      <c r="AM1005" s="332"/>
      <c r="AN1005" s="332"/>
      <c r="AP1005" s="332"/>
      <c r="AT1005" s="332"/>
    </row>
    <row r="1006" spans="1:46" ht="9.75" customHeight="1">
      <c r="A1006" s="332"/>
      <c r="B1006" s="332"/>
      <c r="C1006" s="332"/>
      <c r="D1006" s="332"/>
      <c r="E1006" s="332"/>
      <c r="F1006" s="332"/>
      <c r="G1006" s="332"/>
      <c r="H1006" s="332"/>
      <c r="I1006" s="332"/>
      <c r="J1006" s="332"/>
      <c r="K1006" s="332"/>
      <c r="L1006" s="332"/>
      <c r="M1006" s="332"/>
      <c r="N1006" s="332"/>
      <c r="O1006" s="332"/>
      <c r="P1006" s="332"/>
      <c r="Q1006" s="332"/>
      <c r="R1006" s="332"/>
      <c r="S1006" s="332"/>
      <c r="T1006" s="332"/>
      <c r="U1006" s="332"/>
      <c r="V1006" s="332"/>
      <c r="W1006" s="332"/>
      <c r="X1006" s="332"/>
      <c r="Y1006" s="332"/>
      <c r="Z1006" s="332"/>
      <c r="AA1006" s="332"/>
      <c r="AB1006" s="332"/>
      <c r="AC1006" s="332"/>
      <c r="AD1006" s="332"/>
      <c r="AE1006" s="332"/>
      <c r="AF1006" s="332"/>
      <c r="AG1006" s="332"/>
      <c r="AH1006" s="332"/>
      <c r="AI1006" s="332"/>
      <c r="AJ1006" s="332"/>
      <c r="AK1006" s="332"/>
      <c r="AL1006" s="332"/>
      <c r="AM1006" s="332"/>
      <c r="AN1006" s="332"/>
      <c r="AP1006" s="332"/>
      <c r="AT1006" s="332"/>
    </row>
    <row r="1007" spans="1:46" ht="9.75" customHeight="1">
      <c r="A1007" s="332"/>
      <c r="B1007" s="332"/>
      <c r="C1007" s="332"/>
      <c r="D1007" s="332"/>
      <c r="E1007" s="332"/>
      <c r="F1007" s="332"/>
      <c r="G1007" s="332"/>
      <c r="H1007" s="332"/>
      <c r="I1007" s="332"/>
      <c r="J1007" s="332"/>
      <c r="K1007" s="332"/>
      <c r="L1007" s="332"/>
      <c r="M1007" s="332"/>
      <c r="N1007" s="332"/>
      <c r="O1007" s="332"/>
      <c r="P1007" s="332"/>
      <c r="Q1007" s="332"/>
      <c r="R1007" s="332"/>
      <c r="S1007" s="332"/>
      <c r="T1007" s="332"/>
      <c r="U1007" s="332"/>
      <c r="V1007" s="332"/>
      <c r="W1007" s="332"/>
      <c r="X1007" s="332"/>
      <c r="Y1007" s="332"/>
      <c r="Z1007" s="332"/>
      <c r="AA1007" s="332"/>
      <c r="AB1007" s="332"/>
      <c r="AC1007" s="332"/>
      <c r="AD1007" s="332"/>
      <c r="AE1007" s="332"/>
      <c r="AF1007" s="332"/>
      <c r="AG1007" s="332"/>
      <c r="AH1007" s="332"/>
      <c r="AI1007" s="332"/>
      <c r="AJ1007" s="332"/>
      <c r="AK1007" s="332"/>
      <c r="AL1007" s="332"/>
      <c r="AM1007" s="332"/>
      <c r="AN1007" s="332"/>
      <c r="AP1007" s="332"/>
      <c r="AT1007" s="332"/>
    </row>
    <row r="1008" spans="1:46" ht="9.75" customHeight="1">
      <c r="A1008" s="332"/>
      <c r="B1008" s="332"/>
      <c r="C1008" s="332"/>
      <c r="D1008" s="332"/>
      <c r="E1008" s="332"/>
      <c r="F1008" s="332"/>
      <c r="G1008" s="332"/>
      <c r="H1008" s="332"/>
      <c r="I1008" s="332"/>
      <c r="J1008" s="332"/>
      <c r="K1008" s="332"/>
      <c r="L1008" s="332"/>
      <c r="M1008" s="332"/>
      <c r="N1008" s="332"/>
      <c r="O1008" s="332"/>
      <c r="P1008" s="332"/>
      <c r="Q1008" s="332"/>
      <c r="R1008" s="332"/>
      <c r="S1008" s="332"/>
      <c r="T1008" s="332"/>
      <c r="U1008" s="332"/>
      <c r="V1008" s="332"/>
      <c r="W1008" s="332"/>
      <c r="X1008" s="332"/>
      <c r="Y1008" s="332"/>
      <c r="Z1008" s="332"/>
      <c r="AA1008" s="332"/>
      <c r="AB1008" s="332"/>
      <c r="AC1008" s="332"/>
      <c r="AD1008" s="332"/>
      <c r="AE1008" s="332"/>
      <c r="AF1008" s="332"/>
      <c r="AG1008" s="332"/>
      <c r="AH1008" s="332"/>
      <c r="AI1008" s="332"/>
      <c r="AJ1008" s="332"/>
      <c r="AK1008" s="332"/>
      <c r="AL1008" s="332"/>
      <c r="AM1008" s="332"/>
      <c r="AN1008" s="332"/>
      <c r="AP1008" s="332"/>
      <c r="AT1008" s="332"/>
    </row>
    <row r="1009" spans="1:46" ht="9.75" customHeight="1">
      <c r="A1009" s="332"/>
      <c r="B1009" s="332"/>
      <c r="C1009" s="332"/>
      <c r="D1009" s="332"/>
      <c r="E1009" s="332"/>
      <c r="F1009" s="332"/>
      <c r="G1009" s="332"/>
      <c r="H1009" s="332"/>
      <c r="I1009" s="332"/>
      <c r="J1009" s="332"/>
      <c r="K1009" s="332"/>
      <c r="L1009" s="332"/>
      <c r="M1009" s="332"/>
      <c r="N1009" s="332"/>
      <c r="O1009" s="332"/>
      <c r="P1009" s="332"/>
      <c r="Q1009" s="332"/>
      <c r="R1009" s="332"/>
      <c r="S1009" s="332"/>
      <c r="T1009" s="332"/>
      <c r="U1009" s="332"/>
      <c r="V1009" s="332"/>
      <c r="W1009" s="332"/>
      <c r="X1009" s="332"/>
      <c r="Y1009" s="332"/>
      <c r="Z1009" s="332"/>
      <c r="AA1009" s="332"/>
      <c r="AB1009" s="332"/>
      <c r="AC1009" s="332"/>
      <c r="AD1009" s="332"/>
      <c r="AE1009" s="332"/>
      <c r="AF1009" s="332"/>
      <c r="AG1009" s="332"/>
      <c r="AH1009" s="332"/>
      <c r="AI1009" s="332"/>
      <c r="AJ1009" s="332"/>
      <c r="AK1009" s="332"/>
      <c r="AL1009" s="332"/>
      <c r="AM1009" s="332"/>
      <c r="AN1009" s="332"/>
      <c r="AP1009" s="332"/>
      <c r="AT1009" s="332"/>
    </row>
    <row r="1010" spans="1:46" ht="9.75" customHeight="1">
      <c r="A1010" s="332"/>
      <c r="B1010" s="332"/>
      <c r="C1010" s="332"/>
      <c r="D1010" s="332"/>
      <c r="E1010" s="332"/>
      <c r="F1010" s="332"/>
      <c r="G1010" s="332"/>
      <c r="H1010" s="332"/>
      <c r="I1010" s="332"/>
      <c r="J1010" s="332"/>
      <c r="K1010" s="332"/>
      <c r="L1010" s="332"/>
      <c r="M1010" s="332"/>
      <c r="N1010" s="332"/>
      <c r="O1010" s="332"/>
      <c r="P1010" s="332"/>
      <c r="Q1010" s="332"/>
      <c r="R1010" s="332"/>
      <c r="S1010" s="332"/>
      <c r="T1010" s="332"/>
      <c r="U1010" s="332"/>
      <c r="V1010" s="332"/>
      <c r="W1010" s="332"/>
      <c r="X1010" s="332"/>
      <c r="Y1010" s="332"/>
      <c r="Z1010" s="332"/>
      <c r="AA1010" s="332"/>
      <c r="AB1010" s="332"/>
      <c r="AC1010" s="332"/>
      <c r="AD1010" s="332"/>
      <c r="AE1010" s="332"/>
      <c r="AF1010" s="332"/>
      <c r="AG1010" s="332"/>
      <c r="AH1010" s="332"/>
      <c r="AI1010" s="332"/>
      <c r="AJ1010" s="332"/>
      <c r="AK1010" s="332"/>
      <c r="AL1010" s="332"/>
      <c r="AM1010" s="332"/>
      <c r="AN1010" s="332"/>
      <c r="AP1010" s="332"/>
      <c r="AT1010" s="332"/>
    </row>
    <row r="1011" spans="1:46" ht="9.75" customHeight="1">
      <c r="A1011" s="332"/>
      <c r="B1011" s="332"/>
      <c r="C1011" s="332"/>
      <c r="D1011" s="332"/>
      <c r="E1011" s="332"/>
      <c r="F1011" s="332"/>
      <c r="G1011" s="332"/>
      <c r="H1011" s="332"/>
      <c r="I1011" s="332"/>
      <c r="J1011" s="332"/>
      <c r="K1011" s="332"/>
      <c r="L1011" s="332"/>
      <c r="M1011" s="332"/>
      <c r="N1011" s="332"/>
      <c r="O1011" s="332"/>
      <c r="P1011" s="332"/>
      <c r="Q1011" s="332"/>
      <c r="R1011" s="332"/>
      <c r="S1011" s="332"/>
      <c r="T1011" s="332"/>
      <c r="U1011" s="332"/>
      <c r="V1011" s="332"/>
      <c r="W1011" s="332"/>
      <c r="X1011" s="332"/>
      <c r="Y1011" s="332"/>
      <c r="Z1011" s="332"/>
      <c r="AA1011" s="332"/>
      <c r="AB1011" s="332"/>
      <c r="AC1011" s="332"/>
      <c r="AD1011" s="332"/>
      <c r="AE1011" s="332"/>
      <c r="AF1011" s="332"/>
      <c r="AG1011" s="332"/>
      <c r="AH1011" s="332"/>
      <c r="AI1011" s="332"/>
      <c r="AJ1011" s="332"/>
      <c r="AK1011" s="332"/>
      <c r="AL1011" s="332"/>
      <c r="AM1011" s="332"/>
      <c r="AN1011" s="332"/>
      <c r="AP1011" s="332"/>
      <c r="AT1011" s="332"/>
    </row>
    <row r="1012" spans="1:46" ht="9.75" customHeight="1">
      <c r="A1012" s="332"/>
      <c r="B1012" s="332"/>
      <c r="C1012" s="332"/>
      <c r="D1012" s="332"/>
      <c r="E1012" s="332"/>
      <c r="F1012" s="332"/>
      <c r="G1012" s="332"/>
      <c r="H1012" s="332"/>
      <c r="I1012" s="332"/>
      <c r="J1012" s="332"/>
      <c r="K1012" s="332"/>
      <c r="L1012" s="332"/>
      <c r="M1012" s="332"/>
      <c r="N1012" s="332"/>
      <c r="O1012" s="332"/>
      <c r="P1012" s="332"/>
      <c r="Q1012" s="332"/>
      <c r="R1012" s="332"/>
      <c r="S1012" s="332"/>
      <c r="T1012" s="332"/>
      <c r="U1012" s="332"/>
      <c r="V1012" s="332"/>
      <c r="W1012" s="332"/>
      <c r="X1012" s="332"/>
      <c r="Y1012" s="332"/>
      <c r="Z1012" s="332"/>
      <c r="AA1012" s="332"/>
      <c r="AB1012" s="332"/>
      <c r="AC1012" s="332"/>
      <c r="AD1012" s="332"/>
      <c r="AE1012" s="332"/>
      <c r="AF1012" s="332"/>
      <c r="AG1012" s="332"/>
      <c r="AH1012" s="332"/>
      <c r="AI1012" s="332"/>
      <c r="AJ1012" s="332"/>
      <c r="AK1012" s="332"/>
      <c r="AL1012" s="332"/>
      <c r="AM1012" s="332"/>
      <c r="AN1012" s="332"/>
      <c r="AP1012" s="332"/>
      <c r="AT1012" s="332"/>
    </row>
    <row r="1013" spans="1:46" ht="9.75" customHeight="1">
      <c r="A1013" s="332"/>
      <c r="B1013" s="332"/>
      <c r="C1013" s="332"/>
      <c r="D1013" s="332"/>
      <c r="E1013" s="332"/>
      <c r="F1013" s="332"/>
      <c r="G1013" s="332"/>
      <c r="H1013" s="332"/>
      <c r="I1013" s="332"/>
      <c r="J1013" s="332"/>
      <c r="K1013" s="332"/>
      <c r="L1013" s="332"/>
      <c r="M1013" s="332"/>
      <c r="N1013" s="332"/>
      <c r="O1013" s="332"/>
      <c r="P1013" s="332"/>
      <c r="Q1013" s="332"/>
      <c r="R1013" s="332"/>
      <c r="S1013" s="332"/>
      <c r="T1013" s="332"/>
      <c r="U1013" s="332"/>
      <c r="V1013" s="332"/>
      <c r="W1013" s="332"/>
      <c r="X1013" s="332"/>
      <c r="Y1013" s="332"/>
      <c r="Z1013" s="332"/>
      <c r="AA1013" s="332"/>
      <c r="AB1013" s="332"/>
      <c r="AC1013" s="332"/>
      <c r="AD1013" s="332"/>
      <c r="AE1013" s="332"/>
      <c r="AF1013" s="332"/>
      <c r="AG1013" s="332"/>
      <c r="AH1013" s="332"/>
      <c r="AI1013" s="332"/>
      <c r="AJ1013" s="332"/>
      <c r="AK1013" s="332"/>
      <c r="AL1013" s="332"/>
      <c r="AM1013" s="332"/>
      <c r="AN1013" s="332"/>
      <c r="AP1013" s="332"/>
      <c r="AT1013" s="332"/>
    </row>
    <row r="1014" spans="1:46" ht="9.75" customHeight="1">
      <c r="A1014" s="332"/>
      <c r="B1014" s="332"/>
      <c r="C1014" s="332"/>
      <c r="D1014" s="332"/>
      <c r="E1014" s="332"/>
      <c r="F1014" s="332"/>
      <c r="G1014" s="332"/>
      <c r="H1014" s="332"/>
      <c r="I1014" s="332"/>
      <c r="J1014" s="332"/>
      <c r="K1014" s="332"/>
      <c r="L1014" s="332"/>
      <c r="M1014" s="332"/>
      <c r="N1014" s="332"/>
      <c r="O1014" s="332"/>
      <c r="P1014" s="332"/>
      <c r="Q1014" s="332"/>
      <c r="R1014" s="332"/>
      <c r="S1014" s="332"/>
      <c r="T1014" s="332"/>
      <c r="U1014" s="332"/>
      <c r="V1014" s="332"/>
      <c r="W1014" s="332"/>
      <c r="X1014" s="332"/>
      <c r="Y1014" s="332"/>
      <c r="Z1014" s="332"/>
      <c r="AA1014" s="332"/>
      <c r="AB1014" s="332"/>
      <c r="AC1014" s="332"/>
      <c r="AD1014" s="332"/>
      <c r="AE1014" s="332"/>
      <c r="AF1014" s="332"/>
      <c r="AG1014" s="332"/>
      <c r="AH1014" s="332"/>
      <c r="AI1014" s="332"/>
      <c r="AJ1014" s="332"/>
      <c r="AK1014" s="332"/>
      <c r="AL1014" s="332"/>
      <c r="AM1014" s="332"/>
      <c r="AN1014" s="332"/>
      <c r="AP1014" s="332"/>
      <c r="AT1014" s="332"/>
    </row>
    <row r="1015" spans="1:46" ht="9.75" customHeight="1">
      <c r="A1015" s="332"/>
      <c r="B1015" s="332"/>
      <c r="C1015" s="332"/>
      <c r="D1015" s="332"/>
      <c r="E1015" s="332"/>
      <c r="F1015" s="332"/>
      <c r="G1015" s="332"/>
      <c r="H1015" s="332"/>
      <c r="I1015" s="332"/>
      <c r="J1015" s="332"/>
      <c r="K1015" s="332"/>
      <c r="L1015" s="332"/>
      <c r="M1015" s="332"/>
      <c r="N1015" s="332"/>
      <c r="O1015" s="332"/>
      <c r="P1015" s="332"/>
      <c r="Q1015" s="332"/>
      <c r="R1015" s="332"/>
      <c r="S1015" s="332"/>
      <c r="T1015" s="332"/>
      <c r="U1015" s="332"/>
      <c r="V1015" s="332"/>
      <c r="W1015" s="332"/>
      <c r="X1015" s="332"/>
      <c r="Y1015" s="332"/>
      <c r="Z1015" s="332"/>
      <c r="AA1015" s="332"/>
      <c r="AB1015" s="332"/>
      <c r="AC1015" s="332"/>
      <c r="AD1015" s="332"/>
      <c r="AE1015" s="332"/>
      <c r="AF1015" s="332"/>
      <c r="AG1015" s="332"/>
      <c r="AH1015" s="332"/>
      <c r="AI1015" s="332"/>
      <c r="AJ1015" s="332"/>
      <c r="AK1015" s="332"/>
      <c r="AL1015" s="332"/>
      <c r="AM1015" s="332"/>
      <c r="AN1015" s="332"/>
      <c r="AP1015" s="332"/>
      <c r="AT1015" s="332"/>
    </row>
    <row r="1016" spans="1:46" ht="9.75" customHeight="1">
      <c r="A1016" s="332"/>
      <c r="B1016" s="332"/>
      <c r="C1016" s="332"/>
      <c r="D1016" s="332"/>
      <c r="E1016" s="332"/>
      <c r="F1016" s="332"/>
      <c r="G1016" s="332"/>
      <c r="H1016" s="332"/>
      <c r="I1016" s="332"/>
      <c r="J1016" s="332"/>
      <c r="K1016" s="332"/>
      <c r="L1016" s="332"/>
      <c r="M1016" s="332"/>
      <c r="N1016" s="332"/>
      <c r="O1016" s="332"/>
      <c r="P1016" s="332"/>
      <c r="Q1016" s="332"/>
      <c r="R1016" s="332"/>
      <c r="S1016" s="332"/>
      <c r="T1016" s="332"/>
      <c r="U1016" s="332"/>
      <c r="V1016" s="332"/>
      <c r="W1016" s="332"/>
      <c r="X1016" s="332"/>
      <c r="Y1016" s="332"/>
      <c r="Z1016" s="332"/>
      <c r="AA1016" s="332"/>
      <c r="AB1016" s="332"/>
      <c r="AC1016" s="332"/>
      <c r="AD1016" s="332"/>
      <c r="AE1016" s="332"/>
      <c r="AF1016" s="332"/>
      <c r="AG1016" s="332"/>
      <c r="AH1016" s="332"/>
      <c r="AI1016" s="332"/>
      <c r="AJ1016" s="332"/>
      <c r="AK1016" s="332"/>
      <c r="AL1016" s="332"/>
      <c r="AM1016" s="332"/>
      <c r="AN1016" s="332"/>
      <c r="AP1016" s="332"/>
      <c r="AT1016" s="332"/>
    </row>
    <row r="1017" spans="1:46" ht="9.75" customHeight="1">
      <c r="A1017" s="332"/>
      <c r="B1017" s="332"/>
      <c r="C1017" s="332"/>
      <c r="D1017" s="332"/>
      <c r="E1017" s="332"/>
      <c r="F1017" s="332"/>
      <c r="G1017" s="332"/>
      <c r="H1017" s="332"/>
      <c r="I1017" s="332"/>
      <c r="J1017" s="332"/>
      <c r="K1017" s="332"/>
      <c r="L1017" s="332"/>
      <c r="M1017" s="332"/>
      <c r="N1017" s="332"/>
      <c r="O1017" s="332"/>
      <c r="P1017" s="332"/>
      <c r="Q1017" s="332"/>
      <c r="R1017" s="332"/>
      <c r="S1017" s="332"/>
      <c r="T1017" s="332"/>
      <c r="U1017" s="332"/>
      <c r="V1017" s="332"/>
      <c r="W1017" s="332"/>
      <c r="X1017" s="332"/>
      <c r="Y1017" s="332"/>
      <c r="Z1017" s="332"/>
      <c r="AA1017" s="332"/>
      <c r="AB1017" s="332"/>
      <c r="AC1017" s="332"/>
      <c r="AD1017" s="332"/>
      <c r="AE1017" s="332"/>
      <c r="AF1017" s="332"/>
      <c r="AG1017" s="332"/>
      <c r="AH1017" s="332"/>
      <c r="AI1017" s="332"/>
      <c r="AJ1017" s="332"/>
      <c r="AK1017" s="332"/>
      <c r="AL1017" s="332"/>
      <c r="AM1017" s="332"/>
      <c r="AN1017" s="332"/>
      <c r="AP1017" s="332"/>
      <c r="AT1017" s="332"/>
    </row>
    <row r="1018" spans="1:46" ht="9.75" customHeight="1">
      <c r="A1018" s="332"/>
      <c r="B1018" s="332"/>
      <c r="C1018" s="332"/>
      <c r="D1018" s="332"/>
      <c r="E1018" s="332"/>
      <c r="F1018" s="332"/>
      <c r="G1018" s="332"/>
      <c r="H1018" s="332"/>
      <c r="I1018" s="332"/>
      <c r="J1018" s="332"/>
      <c r="K1018" s="332"/>
      <c r="L1018" s="332"/>
      <c r="M1018" s="332"/>
      <c r="N1018" s="332"/>
      <c r="O1018" s="332"/>
      <c r="P1018" s="332"/>
      <c r="Q1018" s="332"/>
      <c r="R1018" s="332"/>
      <c r="S1018" s="332"/>
      <c r="T1018" s="332"/>
      <c r="U1018" s="332"/>
      <c r="V1018" s="332"/>
      <c r="W1018" s="332"/>
      <c r="X1018" s="332"/>
      <c r="Y1018" s="332"/>
      <c r="Z1018" s="332"/>
      <c r="AA1018" s="332"/>
      <c r="AB1018" s="332"/>
      <c r="AC1018" s="332"/>
      <c r="AD1018" s="332"/>
      <c r="AE1018" s="332"/>
      <c r="AF1018" s="332"/>
      <c r="AG1018" s="332"/>
      <c r="AH1018" s="332"/>
      <c r="AI1018" s="332"/>
      <c r="AJ1018" s="332"/>
      <c r="AK1018" s="332"/>
      <c r="AL1018" s="332"/>
      <c r="AM1018" s="332"/>
      <c r="AN1018" s="332"/>
      <c r="AP1018" s="332"/>
      <c r="AT1018" s="332"/>
    </row>
    <row r="1019" spans="1:46" ht="9.75" customHeight="1">
      <c r="A1019" s="332"/>
      <c r="B1019" s="332"/>
      <c r="C1019" s="332"/>
      <c r="D1019" s="332"/>
      <c r="E1019" s="332"/>
      <c r="F1019" s="332"/>
      <c r="G1019" s="332"/>
      <c r="H1019" s="332"/>
      <c r="I1019" s="332"/>
      <c r="J1019" s="332"/>
      <c r="K1019" s="332"/>
      <c r="L1019" s="332"/>
      <c r="M1019" s="332"/>
      <c r="N1019" s="332"/>
      <c r="O1019" s="332"/>
      <c r="P1019" s="332"/>
      <c r="Q1019" s="332"/>
      <c r="R1019" s="332"/>
      <c r="S1019" s="332"/>
      <c r="T1019" s="332"/>
      <c r="U1019" s="332"/>
      <c r="V1019" s="332"/>
      <c r="W1019" s="332"/>
      <c r="X1019" s="332"/>
      <c r="Y1019" s="332"/>
      <c r="Z1019" s="332"/>
      <c r="AA1019" s="332"/>
      <c r="AB1019" s="332"/>
      <c r="AC1019" s="332"/>
      <c r="AD1019" s="332"/>
      <c r="AE1019" s="332"/>
      <c r="AF1019" s="332"/>
      <c r="AG1019" s="332"/>
      <c r="AH1019" s="332"/>
      <c r="AI1019" s="332"/>
      <c r="AJ1019" s="332"/>
      <c r="AK1019" s="332"/>
      <c r="AL1019" s="332"/>
      <c r="AM1019" s="332"/>
      <c r="AN1019" s="332"/>
      <c r="AP1019" s="332"/>
      <c r="AT1019" s="332"/>
    </row>
    <row r="1020" spans="1:46" ht="9.75" customHeight="1">
      <c r="A1020" s="332"/>
      <c r="B1020" s="332"/>
      <c r="C1020" s="332"/>
      <c r="D1020" s="332"/>
      <c r="E1020" s="332"/>
      <c r="F1020" s="332"/>
      <c r="G1020" s="332"/>
      <c r="H1020" s="332"/>
      <c r="I1020" s="332"/>
      <c r="J1020" s="332"/>
      <c r="K1020" s="332"/>
      <c r="L1020" s="332"/>
      <c r="M1020" s="332"/>
      <c r="N1020" s="332"/>
      <c r="O1020" s="332"/>
      <c r="P1020" s="332"/>
      <c r="Q1020" s="332"/>
      <c r="R1020" s="332"/>
      <c r="S1020" s="332"/>
      <c r="T1020" s="332"/>
      <c r="U1020" s="332"/>
      <c r="V1020" s="332"/>
      <c r="W1020" s="332"/>
      <c r="X1020" s="332"/>
      <c r="Y1020" s="332"/>
      <c r="Z1020" s="332"/>
      <c r="AA1020" s="332"/>
      <c r="AB1020" s="332"/>
      <c r="AC1020" s="332"/>
      <c r="AD1020" s="332"/>
      <c r="AE1020" s="332"/>
      <c r="AF1020" s="332"/>
      <c r="AG1020" s="332"/>
      <c r="AH1020" s="332"/>
      <c r="AI1020" s="332"/>
      <c r="AJ1020" s="332"/>
      <c r="AK1020" s="332"/>
      <c r="AL1020" s="332"/>
      <c r="AM1020" s="332"/>
      <c r="AN1020" s="332"/>
      <c r="AP1020" s="332"/>
      <c r="AT1020" s="332"/>
    </row>
    <row r="1021" spans="1:46" ht="9.75" customHeight="1">
      <c r="A1021" s="332"/>
      <c r="B1021" s="332"/>
      <c r="C1021" s="332"/>
      <c r="D1021" s="332"/>
      <c r="E1021" s="332"/>
      <c r="F1021" s="332"/>
      <c r="G1021" s="332"/>
      <c r="H1021" s="332"/>
      <c r="I1021" s="332"/>
      <c r="J1021" s="332"/>
      <c r="K1021" s="332"/>
      <c r="L1021" s="332"/>
      <c r="M1021" s="332"/>
      <c r="N1021" s="332"/>
      <c r="O1021" s="332"/>
      <c r="P1021" s="332"/>
      <c r="Q1021" s="332"/>
      <c r="R1021" s="332"/>
      <c r="S1021" s="332"/>
      <c r="T1021" s="332"/>
      <c r="U1021" s="332"/>
      <c r="V1021" s="332"/>
      <c r="W1021" s="332"/>
      <c r="X1021" s="332"/>
      <c r="Y1021" s="332"/>
      <c r="Z1021" s="332"/>
      <c r="AA1021" s="332"/>
      <c r="AB1021" s="332"/>
      <c r="AC1021" s="332"/>
      <c r="AD1021" s="332"/>
      <c r="AE1021" s="332"/>
      <c r="AF1021" s="332"/>
      <c r="AG1021" s="332"/>
      <c r="AH1021" s="332"/>
      <c r="AI1021" s="332"/>
      <c r="AJ1021" s="332"/>
      <c r="AK1021" s="332"/>
      <c r="AL1021" s="332"/>
      <c r="AM1021" s="332"/>
      <c r="AN1021" s="332"/>
      <c r="AT1021" s="332"/>
    </row>
  </sheetData>
  <mergeCells count="296">
    <mergeCell ref="A241:J241"/>
    <mergeCell ref="B237:B240"/>
    <mergeCell ref="C237:C240"/>
    <mergeCell ref="D237:D240"/>
    <mergeCell ref="E237:E240"/>
    <mergeCell ref="F237:F240"/>
    <mergeCell ref="G237:G240"/>
    <mergeCell ref="D226:D227"/>
    <mergeCell ref="E226:E227"/>
    <mergeCell ref="G226:G227"/>
    <mergeCell ref="B228:B235"/>
    <mergeCell ref="C228:C235"/>
    <mergeCell ref="D228:D235"/>
    <mergeCell ref="E228:E235"/>
    <mergeCell ref="F228:F235"/>
    <mergeCell ref="G228:G235"/>
    <mergeCell ref="B220:B225"/>
    <mergeCell ref="C220:C225"/>
    <mergeCell ref="D220:D225"/>
    <mergeCell ref="E220:E225"/>
    <mergeCell ref="F220:F225"/>
    <mergeCell ref="G220:G225"/>
    <mergeCell ref="B214:B219"/>
    <mergeCell ref="C214:C219"/>
    <mergeCell ref="D214:D219"/>
    <mergeCell ref="E214:E219"/>
    <mergeCell ref="F214:F219"/>
    <mergeCell ref="G214:G219"/>
    <mergeCell ref="B211:B213"/>
    <mergeCell ref="C211:C213"/>
    <mergeCell ref="D211:D213"/>
    <mergeCell ref="E211:E213"/>
    <mergeCell ref="F211:F213"/>
    <mergeCell ref="G211:G213"/>
    <mergeCell ref="B208:B210"/>
    <mergeCell ref="C208:C210"/>
    <mergeCell ref="D208:D210"/>
    <mergeCell ref="E208:E210"/>
    <mergeCell ref="F208:F210"/>
    <mergeCell ref="G208:G210"/>
    <mergeCell ref="B204:B207"/>
    <mergeCell ref="C204:C207"/>
    <mergeCell ref="D204:D207"/>
    <mergeCell ref="E204:E207"/>
    <mergeCell ref="F204:F207"/>
    <mergeCell ref="G204:G207"/>
    <mergeCell ref="D199:D200"/>
    <mergeCell ref="E199:E200"/>
    <mergeCell ref="F199:F200"/>
    <mergeCell ref="G199:G200"/>
    <mergeCell ref="B202:B203"/>
    <mergeCell ref="C202:C203"/>
    <mergeCell ref="B195:B198"/>
    <mergeCell ref="C195:C198"/>
    <mergeCell ref="D195:D198"/>
    <mergeCell ref="E195:E198"/>
    <mergeCell ref="F195:F198"/>
    <mergeCell ref="G195:G198"/>
    <mergeCell ref="B191:B194"/>
    <mergeCell ref="C191:C194"/>
    <mergeCell ref="D191:D194"/>
    <mergeCell ref="E191:E194"/>
    <mergeCell ref="F191:F194"/>
    <mergeCell ref="G191:G194"/>
    <mergeCell ref="B188:B189"/>
    <mergeCell ref="C188:C189"/>
    <mergeCell ref="D188:D189"/>
    <mergeCell ref="E188:E189"/>
    <mergeCell ref="F188:F189"/>
    <mergeCell ref="G188:G189"/>
    <mergeCell ref="B182:B187"/>
    <mergeCell ref="C182:C187"/>
    <mergeCell ref="D182:D187"/>
    <mergeCell ref="E182:E187"/>
    <mergeCell ref="F182:F187"/>
    <mergeCell ref="G182:G187"/>
    <mergeCell ref="B176:B180"/>
    <mergeCell ref="C176:C180"/>
    <mergeCell ref="D176:D180"/>
    <mergeCell ref="E176:E180"/>
    <mergeCell ref="F176:F180"/>
    <mergeCell ref="G176:G180"/>
    <mergeCell ref="B171:B175"/>
    <mergeCell ref="C171:C175"/>
    <mergeCell ref="D171:D175"/>
    <mergeCell ref="E171:E175"/>
    <mergeCell ref="F171:F175"/>
    <mergeCell ref="G171:G175"/>
    <mergeCell ref="F165:F170"/>
    <mergeCell ref="G165:G170"/>
    <mergeCell ref="G156:G160"/>
    <mergeCell ref="V159:AC159"/>
    <mergeCell ref="B161:B164"/>
    <mergeCell ref="C161:C164"/>
    <mergeCell ref="D161:D164"/>
    <mergeCell ref="E161:E164"/>
    <mergeCell ref="F161:F164"/>
    <mergeCell ref="G161:G164"/>
    <mergeCell ref="A144:J144"/>
    <mergeCell ref="A150:D150"/>
    <mergeCell ref="W150:Z150"/>
    <mergeCell ref="A152:A240"/>
    <mergeCell ref="V152:V158"/>
    <mergeCell ref="W152:W155"/>
    <mergeCell ref="X152:X155"/>
    <mergeCell ref="Y152:Y155"/>
    <mergeCell ref="Z152:Z155"/>
    <mergeCell ref="B153:B155"/>
    <mergeCell ref="C153:C155"/>
    <mergeCell ref="D153:D155"/>
    <mergeCell ref="E153:E155"/>
    <mergeCell ref="F153:F155"/>
    <mergeCell ref="G153:G155"/>
    <mergeCell ref="B156:B160"/>
    <mergeCell ref="C156:C160"/>
    <mergeCell ref="D156:D160"/>
    <mergeCell ref="E156:E160"/>
    <mergeCell ref="F156:F160"/>
    <mergeCell ref="B165:B170"/>
    <mergeCell ref="C165:C170"/>
    <mergeCell ref="D165:D170"/>
    <mergeCell ref="E165:E170"/>
    <mergeCell ref="B142:B143"/>
    <mergeCell ref="C142:C143"/>
    <mergeCell ref="D142:D143"/>
    <mergeCell ref="E142:E143"/>
    <mergeCell ref="F142:F143"/>
    <mergeCell ref="G142:G143"/>
    <mergeCell ref="B139:B141"/>
    <mergeCell ref="C139:C141"/>
    <mergeCell ref="D139:D141"/>
    <mergeCell ref="E139:E141"/>
    <mergeCell ref="F139:F141"/>
    <mergeCell ref="G139:G141"/>
    <mergeCell ref="B134:B137"/>
    <mergeCell ref="C134:C137"/>
    <mergeCell ref="D134:D137"/>
    <mergeCell ref="E134:E137"/>
    <mergeCell ref="F134:F137"/>
    <mergeCell ref="G134:G137"/>
    <mergeCell ref="B127:B132"/>
    <mergeCell ref="C127:C132"/>
    <mergeCell ref="D127:D132"/>
    <mergeCell ref="E127:E132"/>
    <mergeCell ref="F127:F132"/>
    <mergeCell ref="G127:G132"/>
    <mergeCell ref="B122:B126"/>
    <mergeCell ref="C122:C126"/>
    <mergeCell ref="D122:D126"/>
    <mergeCell ref="E122:E126"/>
    <mergeCell ref="F122:F126"/>
    <mergeCell ref="G122:G126"/>
    <mergeCell ref="D115:D118"/>
    <mergeCell ref="E115:E118"/>
    <mergeCell ref="F115:F118"/>
    <mergeCell ref="G115:G118"/>
    <mergeCell ref="B119:B121"/>
    <mergeCell ref="C119:C121"/>
    <mergeCell ref="F119:F121"/>
    <mergeCell ref="G119:G121"/>
    <mergeCell ref="B111:B114"/>
    <mergeCell ref="C111:C114"/>
    <mergeCell ref="D111:D114"/>
    <mergeCell ref="E111:E114"/>
    <mergeCell ref="F111:F114"/>
    <mergeCell ref="G111:G114"/>
    <mergeCell ref="D105:D107"/>
    <mergeCell ref="E105:E107"/>
    <mergeCell ref="F105:F107"/>
    <mergeCell ref="B108:B110"/>
    <mergeCell ref="C108:C110"/>
    <mergeCell ref="F108:F110"/>
    <mergeCell ref="B101:B104"/>
    <mergeCell ref="C101:C104"/>
    <mergeCell ref="D101:D104"/>
    <mergeCell ref="E101:E104"/>
    <mergeCell ref="F101:F104"/>
    <mergeCell ref="G101:G104"/>
    <mergeCell ref="B95:B100"/>
    <mergeCell ref="C95:C100"/>
    <mergeCell ref="D95:D100"/>
    <mergeCell ref="E95:E100"/>
    <mergeCell ref="F95:F100"/>
    <mergeCell ref="G95:G100"/>
    <mergeCell ref="B90:B94"/>
    <mergeCell ref="C90:C94"/>
    <mergeCell ref="D90:D94"/>
    <mergeCell ref="E90:E94"/>
    <mergeCell ref="F90:F94"/>
    <mergeCell ref="G90:G94"/>
    <mergeCell ref="U82:U83"/>
    <mergeCell ref="B85:B89"/>
    <mergeCell ref="C85:C89"/>
    <mergeCell ref="D85:D89"/>
    <mergeCell ref="E85:E89"/>
    <mergeCell ref="F85:F89"/>
    <mergeCell ref="G85:G89"/>
    <mergeCell ref="B82:B83"/>
    <mergeCell ref="C82:C83"/>
    <mergeCell ref="D82:D83"/>
    <mergeCell ref="E82:E83"/>
    <mergeCell ref="F82:F83"/>
    <mergeCell ref="G82:G83"/>
    <mergeCell ref="B79:B81"/>
    <mergeCell ref="C79:C81"/>
    <mergeCell ref="D79:D81"/>
    <mergeCell ref="E79:E81"/>
    <mergeCell ref="F79:F81"/>
    <mergeCell ref="G79:G81"/>
    <mergeCell ref="B72:B74"/>
    <mergeCell ref="C72:C74"/>
    <mergeCell ref="E72:E74"/>
    <mergeCell ref="F72:F74"/>
    <mergeCell ref="G72:G74"/>
    <mergeCell ref="D76:D78"/>
    <mergeCell ref="E76:E78"/>
    <mergeCell ref="F76:F78"/>
    <mergeCell ref="G76:G78"/>
    <mergeCell ref="W50:Z50"/>
    <mergeCell ref="A52:A143"/>
    <mergeCell ref="W52:W54"/>
    <mergeCell ref="X52:X53"/>
    <mergeCell ref="Y52:Y53"/>
    <mergeCell ref="Z52:Z53"/>
    <mergeCell ref="W56:AD56"/>
    <mergeCell ref="B61:B66"/>
    <mergeCell ref="C61:C66"/>
    <mergeCell ref="D61:D66"/>
    <mergeCell ref="E61:E66"/>
    <mergeCell ref="F61:F66"/>
    <mergeCell ref="G61:G66"/>
    <mergeCell ref="D67:D71"/>
    <mergeCell ref="E67:E71"/>
    <mergeCell ref="F67:F71"/>
    <mergeCell ref="G67:G71"/>
    <mergeCell ref="AA52:AA53"/>
    <mergeCell ref="B54:B55"/>
    <mergeCell ref="C54:C55"/>
    <mergeCell ref="D54:D55"/>
    <mergeCell ref="E54:E55"/>
    <mergeCell ref="F54:F55"/>
    <mergeCell ref="G54:G55"/>
    <mergeCell ref="B41:B43"/>
    <mergeCell ref="C41:C43"/>
    <mergeCell ref="D41:D43"/>
    <mergeCell ref="E41:E43"/>
    <mergeCell ref="A46:H46"/>
    <mergeCell ref="A50:D50"/>
    <mergeCell ref="B35:B38"/>
    <mergeCell ref="C35:C38"/>
    <mergeCell ref="D35:D38"/>
    <mergeCell ref="E35:E38"/>
    <mergeCell ref="B39:B40"/>
    <mergeCell ref="C39:C40"/>
    <mergeCell ref="D39:D40"/>
    <mergeCell ref="E39:E40"/>
    <mergeCell ref="B31:B32"/>
    <mergeCell ref="C31:C32"/>
    <mergeCell ref="D31:D32"/>
    <mergeCell ref="E31:E32"/>
    <mergeCell ref="B33:B34"/>
    <mergeCell ref="C33:C34"/>
    <mergeCell ref="D33:D34"/>
    <mergeCell ref="E33:E34"/>
    <mergeCell ref="B27:B28"/>
    <mergeCell ref="C27:C28"/>
    <mergeCell ref="D27:D28"/>
    <mergeCell ref="E27:E28"/>
    <mergeCell ref="B29:B30"/>
    <mergeCell ref="C29:C30"/>
    <mergeCell ref="D29:D30"/>
    <mergeCell ref="E29:E30"/>
    <mergeCell ref="A1:D1"/>
    <mergeCell ref="R1:V1"/>
    <mergeCell ref="A3:A45"/>
    <mergeCell ref="B4:B7"/>
    <mergeCell ref="C4:C7"/>
    <mergeCell ref="D4:D7"/>
    <mergeCell ref="E4:E7"/>
    <mergeCell ref="R4:X4"/>
    <mergeCell ref="B8:B11"/>
    <mergeCell ref="C8:C11"/>
    <mergeCell ref="B17:B20"/>
    <mergeCell ref="C17:C20"/>
    <mergeCell ref="D17:D20"/>
    <mergeCell ref="E17:E20"/>
    <mergeCell ref="B21:B24"/>
    <mergeCell ref="C21:C24"/>
    <mergeCell ref="D21:D24"/>
    <mergeCell ref="E21:E24"/>
    <mergeCell ref="D8:D11"/>
    <mergeCell ref="E8:E11"/>
    <mergeCell ref="B12:B16"/>
    <mergeCell ref="C12:C16"/>
    <mergeCell ref="D12:D16"/>
    <mergeCell ref="E12:E16"/>
  </mergeCells>
  <pageMargins left="0.25" right="0.25" top="0.75" bottom="0.75" header="0" footer="0"/>
  <pageSetup paperSize="8" scale="4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arrangement</vt:lpstr>
      <vt:lpstr>B.Departure Grouping_amended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Dang</dc:creator>
  <cp:lastModifiedBy>Adam Yan - Journey Beyond Asia</cp:lastModifiedBy>
  <dcterms:created xsi:type="dcterms:W3CDTF">2025-09-20T04:07:42Z</dcterms:created>
  <dcterms:modified xsi:type="dcterms:W3CDTF">2025-09-21T23:15:33Z</dcterms:modified>
</cp:coreProperties>
</file>