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an110/Desktop/"/>
    </mc:Choice>
  </mc:AlternateContent>
  <xr:revisionPtr revIDLastSave="0" documentId="13_ncr:1_{60808811-6914-7A44-902C-FDCECFA6A828}" xr6:coauthVersionLast="47" xr6:coauthVersionMax="47" xr10:uidLastSave="{00000000-0000-0000-0000-000000000000}"/>
  <bookViews>
    <workbookView xWindow="0" yWindow="620" windowWidth="28800" windowHeight="16460" tabRatio="897" activeTab="1" xr2:uid="{00000000-000D-0000-FFFF-FFFF00000000}"/>
  </bookViews>
  <sheets>
    <sheet name="Master booking sum" sheetId="26" r:id="rId1"/>
    <sheet name="Rooming list" sheetId="34" r:id="rId2"/>
  </sheets>
  <externalReferences>
    <externalReference r:id="rId3"/>
  </externalReferences>
  <definedNames>
    <definedName name="_xlnm._FilterDatabase" localSheetId="1" hidden="1">'Rooming list'!$C$8:$AP$278</definedName>
    <definedName name="Header">'[1]List Tracking'!$C$9:$BS$9</definedName>
    <definedName name="_xlnm.Print_Area" localSheetId="0">'Master booking sum'!$A$1:$R$53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3" i="34" l="1"/>
  <c r="T124" i="34" l="1"/>
  <c r="T123" i="34"/>
  <c r="C122" i="34"/>
  <c r="F32" i="26" l="1"/>
  <c r="H32" i="26"/>
  <c r="G32" i="26"/>
  <c r="F36" i="26" l="1"/>
  <c r="T259" i="34"/>
  <c r="T258" i="34"/>
  <c r="T257" i="34"/>
  <c r="T243" i="34"/>
  <c r="T233" i="34"/>
  <c r="T219" i="34"/>
  <c r="T218" i="34"/>
  <c r="T209" i="34"/>
  <c r="T208" i="34"/>
  <c r="T269" i="34"/>
  <c r="T268" i="34"/>
  <c r="T267" i="34"/>
  <c r="T266" i="34"/>
  <c r="T265" i="34"/>
  <c r="T264" i="34"/>
  <c r="T263" i="34"/>
  <c r="T262" i="34"/>
  <c r="T206" i="34"/>
  <c r="T200" i="34"/>
  <c r="T198" i="34"/>
  <c r="T196" i="34"/>
  <c r="T195" i="34"/>
  <c r="T256" i="34"/>
  <c r="T255" i="34"/>
  <c r="T254" i="34"/>
  <c r="T253" i="34"/>
  <c r="T252" i="34"/>
  <c r="T251" i="34"/>
  <c r="T250" i="34"/>
  <c r="T249" i="34"/>
  <c r="T248" i="34"/>
  <c r="T247" i="34"/>
  <c r="T246" i="34"/>
  <c r="T245" i="34"/>
  <c r="T244" i="34"/>
  <c r="T278" i="34"/>
  <c r="T242" i="34"/>
  <c r="T241" i="34"/>
  <c r="T240" i="34"/>
  <c r="T239" i="34"/>
  <c r="T238" i="34"/>
  <c r="T237" i="34"/>
  <c r="T236" i="34"/>
  <c r="T235" i="34"/>
  <c r="T234" i="34"/>
  <c r="T273" i="34"/>
  <c r="T232" i="34"/>
  <c r="T231" i="34"/>
  <c r="T230" i="34"/>
  <c r="T229" i="34"/>
  <c r="T228" i="34"/>
  <c r="T227" i="34"/>
  <c r="T226" i="34"/>
  <c r="T225" i="34"/>
  <c r="T224" i="34"/>
  <c r="T223" i="34"/>
  <c r="T222" i="34"/>
  <c r="T221" i="34"/>
  <c r="T220" i="34"/>
  <c r="T277" i="34"/>
  <c r="T276" i="34"/>
  <c r="T217" i="34"/>
  <c r="T216" i="34"/>
  <c r="T215" i="34"/>
  <c r="T214" i="34"/>
  <c r="T212" i="34"/>
  <c r="T211" i="34"/>
  <c r="T210" i="34"/>
  <c r="T160" i="34"/>
  <c r="T150" i="34"/>
  <c r="T207" i="34"/>
  <c r="T270" i="34"/>
  <c r="T205" i="34"/>
  <c r="T204" i="34"/>
  <c r="T203" i="34"/>
  <c r="T202" i="34"/>
  <c r="T201" i="34"/>
  <c r="T135" i="34"/>
  <c r="T199" i="34"/>
  <c r="T133" i="34"/>
  <c r="T197" i="34"/>
  <c r="T45" i="34"/>
  <c r="T44" i="34"/>
  <c r="T194" i="34"/>
  <c r="T193" i="34"/>
  <c r="T192" i="34"/>
  <c r="T191" i="34"/>
  <c r="T190" i="34"/>
  <c r="T189" i="34"/>
  <c r="T188" i="34"/>
  <c r="T187" i="34"/>
  <c r="T186" i="34"/>
  <c r="T185" i="34"/>
  <c r="T184" i="34"/>
  <c r="T183" i="34"/>
  <c r="T182" i="34"/>
  <c r="T181" i="34"/>
  <c r="T180" i="34"/>
  <c r="T179" i="34"/>
  <c r="T178" i="34"/>
  <c r="T177" i="34"/>
  <c r="T176" i="34"/>
  <c r="T175" i="34"/>
  <c r="T174" i="34"/>
  <c r="T173" i="34"/>
  <c r="T172" i="34"/>
  <c r="T171" i="34"/>
  <c r="T170" i="34"/>
  <c r="T169" i="34"/>
  <c r="T168" i="34"/>
  <c r="T167" i="34"/>
  <c r="T166" i="34"/>
  <c r="T165" i="34"/>
  <c r="T164" i="34"/>
  <c r="T163" i="34"/>
  <c r="T162" i="34"/>
  <c r="T161" i="34"/>
  <c r="T261" i="34"/>
  <c r="T159" i="34"/>
  <c r="T158" i="34"/>
  <c r="T157" i="34"/>
  <c r="T156" i="34"/>
  <c r="T155" i="34"/>
  <c r="T154" i="34"/>
  <c r="T153" i="34"/>
  <c r="T152" i="34"/>
  <c r="T151" i="34"/>
  <c r="T15" i="34"/>
  <c r="T149" i="34"/>
  <c r="T148" i="34"/>
  <c r="T147" i="34"/>
  <c r="T146" i="34"/>
  <c r="T145" i="34"/>
  <c r="T144" i="34"/>
  <c r="T143" i="34"/>
  <c r="T142" i="34"/>
  <c r="T141" i="34"/>
  <c r="T140" i="34"/>
  <c r="T139" i="34"/>
  <c r="T138" i="34"/>
  <c r="T137" i="34"/>
  <c r="T136" i="34"/>
  <c r="T275" i="34"/>
  <c r="T134" i="34"/>
  <c r="T274" i="34"/>
  <c r="T132" i="34"/>
  <c r="T131" i="34"/>
  <c r="T130" i="34"/>
  <c r="T129" i="34"/>
  <c r="T128" i="34"/>
  <c r="T127" i="34"/>
  <c r="T126" i="34"/>
  <c r="T125" i="34"/>
  <c r="T122" i="34"/>
  <c r="T121" i="34"/>
  <c r="T120" i="34"/>
  <c r="T119" i="34"/>
  <c r="T118" i="34"/>
  <c r="T117" i="34"/>
  <c r="T116" i="34"/>
  <c r="T115" i="34"/>
  <c r="T114" i="34"/>
  <c r="T113" i="34"/>
  <c r="T112" i="34"/>
  <c r="T111" i="34"/>
  <c r="T110" i="34"/>
  <c r="T109" i="34"/>
  <c r="T108" i="34"/>
  <c r="T107" i="34"/>
  <c r="T106" i="34"/>
  <c r="T105" i="34"/>
  <c r="T104" i="34"/>
  <c r="T103" i="34"/>
  <c r="T102" i="34"/>
  <c r="T101" i="34"/>
  <c r="T100" i="34"/>
  <c r="T99" i="34"/>
  <c r="T98" i="34"/>
  <c r="T97" i="34"/>
  <c r="T96" i="34"/>
  <c r="T95" i="34"/>
  <c r="T94" i="34"/>
  <c r="T93" i="34"/>
  <c r="T92" i="34"/>
  <c r="T91" i="34"/>
  <c r="T90" i="34"/>
  <c r="T89" i="34"/>
  <c r="T88" i="34"/>
  <c r="T87" i="34"/>
  <c r="T86" i="34"/>
  <c r="T85" i="34"/>
  <c r="T84" i="34"/>
  <c r="T83" i="34"/>
  <c r="T82" i="34"/>
  <c r="T81" i="34"/>
  <c r="T80" i="34"/>
  <c r="T79" i="34"/>
  <c r="T78" i="34"/>
  <c r="T77" i="34"/>
  <c r="T76" i="34"/>
  <c r="T75" i="34"/>
  <c r="T74" i="34"/>
  <c r="T73" i="34"/>
  <c r="T72" i="34"/>
  <c r="T71" i="34"/>
  <c r="T70" i="34"/>
  <c r="T69" i="34"/>
  <c r="T68" i="34"/>
  <c r="T67" i="34"/>
  <c r="T66" i="34"/>
  <c r="T65" i="34"/>
  <c r="T64" i="34"/>
  <c r="T63" i="34"/>
  <c r="T62" i="34"/>
  <c r="T61" i="34"/>
  <c r="T60" i="34"/>
  <c r="T59" i="34"/>
  <c r="T58" i="34"/>
  <c r="T57" i="34"/>
  <c r="T56" i="34"/>
  <c r="T55" i="34"/>
  <c r="T54" i="34"/>
  <c r="T53" i="34"/>
  <c r="T52" i="34"/>
  <c r="T51" i="34"/>
  <c r="T50" i="34"/>
  <c r="T49" i="34"/>
  <c r="T48" i="34"/>
  <c r="T47" i="34"/>
  <c r="T46" i="34"/>
  <c r="T272" i="34"/>
  <c r="T271" i="34"/>
  <c r="T43" i="34"/>
  <c r="T42" i="34"/>
  <c r="T41" i="34"/>
  <c r="T40" i="34"/>
  <c r="T39" i="34"/>
  <c r="T38" i="34"/>
  <c r="T37" i="34"/>
  <c r="T36" i="34"/>
  <c r="T35" i="34"/>
  <c r="T34" i="34"/>
  <c r="T33" i="34"/>
  <c r="T32" i="34"/>
  <c r="T31" i="34"/>
  <c r="T30" i="34"/>
  <c r="T29" i="34"/>
  <c r="T28" i="34"/>
  <c r="T27" i="34"/>
  <c r="T26" i="34"/>
  <c r="T25" i="34"/>
  <c r="T24" i="34"/>
  <c r="T23" i="34"/>
  <c r="T22" i="34"/>
  <c r="T21" i="34"/>
  <c r="T20" i="34"/>
  <c r="T19" i="34"/>
  <c r="T18" i="34"/>
  <c r="T17" i="34"/>
  <c r="T16" i="34"/>
  <c r="T260" i="34"/>
  <c r="T14" i="34"/>
  <c r="T13" i="34"/>
  <c r="T12" i="34"/>
  <c r="T11" i="34"/>
  <c r="T10" i="34"/>
  <c r="M30" i="26"/>
  <c r="M28" i="26"/>
  <c r="M26" i="26"/>
  <c r="J5" i="34" l="1"/>
  <c r="C14" i="34" l="1"/>
  <c r="C16" i="34"/>
  <c r="C19" i="34"/>
  <c r="C22" i="34"/>
  <c r="C24" i="34"/>
  <c r="C25" i="34"/>
  <c r="C27" i="34"/>
  <c r="C29" i="34"/>
  <c r="C31" i="34"/>
  <c r="C33" i="34"/>
  <c r="C35" i="34"/>
  <c r="C37" i="34"/>
  <c r="C39" i="34"/>
  <c r="C41" i="34"/>
  <c r="C43" i="34"/>
  <c r="C272" i="34"/>
  <c r="C47" i="34"/>
  <c r="C49" i="34"/>
  <c r="C51" i="34"/>
  <c r="C54" i="34"/>
  <c r="C56" i="34"/>
  <c r="C58" i="34"/>
  <c r="C60" i="34"/>
  <c r="C62" i="34"/>
  <c r="C64" i="34"/>
  <c r="C66" i="34"/>
  <c r="C69" i="34"/>
  <c r="C71" i="34"/>
  <c r="C73" i="34"/>
  <c r="C75" i="34"/>
  <c r="C77" i="34"/>
  <c r="C80" i="34"/>
  <c r="C82" i="34"/>
  <c r="C83" i="34"/>
  <c r="C85" i="34"/>
  <c r="C87" i="34"/>
  <c r="C89" i="34"/>
  <c r="C91" i="34"/>
  <c r="C92" i="34"/>
  <c r="C93" i="34"/>
  <c r="C95" i="34"/>
  <c r="C97" i="34"/>
  <c r="C98" i="34"/>
  <c r="C100" i="34"/>
  <c r="C102" i="34"/>
  <c r="C104" i="34"/>
  <c r="C106" i="34"/>
  <c r="C108" i="34"/>
  <c r="C110" i="34"/>
  <c r="C112" i="34"/>
  <c r="C114" i="34"/>
  <c r="C116" i="34"/>
  <c r="C118" i="34"/>
  <c r="C120" i="34"/>
  <c r="C126" i="34"/>
  <c r="C128" i="34"/>
  <c r="C129" i="34"/>
  <c r="C131" i="34"/>
  <c r="C274" i="34"/>
  <c r="C275" i="34"/>
  <c r="C137" i="34"/>
  <c r="C139" i="34"/>
  <c r="C141" i="34"/>
  <c r="C143" i="34"/>
  <c r="C145" i="34"/>
  <c r="C147" i="34"/>
  <c r="C149" i="34"/>
  <c r="C153" i="34"/>
  <c r="C155" i="34"/>
  <c r="C157" i="34"/>
  <c r="C159" i="34"/>
  <c r="C161" i="34"/>
  <c r="C163" i="34"/>
  <c r="C165" i="34"/>
  <c r="C168" i="34"/>
  <c r="C170" i="34"/>
  <c r="C171" i="34"/>
  <c r="C173" i="34"/>
  <c r="C176" i="34"/>
  <c r="C178" i="34"/>
  <c r="C180" i="34"/>
  <c r="C182" i="34"/>
  <c r="C184" i="34"/>
  <c r="C186" i="34"/>
  <c r="C188" i="34"/>
  <c r="C190" i="34"/>
  <c r="C192" i="34"/>
  <c r="C194" i="34"/>
  <c r="C45" i="34"/>
  <c r="C133" i="34"/>
  <c r="C135" i="34"/>
  <c r="C201" i="34"/>
  <c r="C203" i="34"/>
  <c r="C204" i="34"/>
  <c r="C207" i="34"/>
  <c r="C160" i="34"/>
  <c r="C211" i="34"/>
  <c r="C213" i="34"/>
  <c r="C215" i="34"/>
  <c r="C217" i="34"/>
  <c r="C277" i="34"/>
  <c r="C221" i="34"/>
  <c r="C223" i="34"/>
  <c r="C225" i="34"/>
  <c r="C227" i="34"/>
  <c r="C229" i="34"/>
  <c r="C231" i="34"/>
  <c r="C273" i="34"/>
  <c r="C235" i="34"/>
  <c r="C237" i="34"/>
  <c r="C239" i="34"/>
  <c r="C241" i="34"/>
  <c r="C245" i="34"/>
  <c r="C247" i="34"/>
  <c r="C250" i="34"/>
  <c r="C252" i="34"/>
  <c r="C254" i="34"/>
  <c r="C256" i="34"/>
  <c r="C198" i="34"/>
  <c r="C206" i="34"/>
  <c r="C263" i="34"/>
  <c r="C265" i="34"/>
  <c r="C267" i="34"/>
  <c r="C269" i="34"/>
  <c r="C209" i="34"/>
  <c r="C219" i="34"/>
  <c r="C243" i="34"/>
  <c r="C258" i="34"/>
  <c r="C13" i="34"/>
  <c r="Q5" i="34"/>
  <c r="J25" i="26" s="1"/>
  <c r="J33" i="26" s="1"/>
  <c r="P5" i="34"/>
  <c r="L5" i="34"/>
  <c r="K5" i="34"/>
  <c r="I5" i="34" l="1"/>
  <c r="G25" i="26" l="1"/>
  <c r="I25" i="26"/>
  <c r="O5" i="34" l="1"/>
  <c r="H25" i="26"/>
  <c r="F25" i="26"/>
  <c r="F34" i="26" l="1"/>
  <c r="M25" i="26" l="1"/>
  <c r="F35" i="26" l="1"/>
  <c r="F37" i="26" s="1"/>
  <c r="C15" i="34"/>
  <c r="C17" i="34" s="1"/>
  <c r="C20" i="34" l="1"/>
  <c r="C18" i="34"/>
  <c r="C21" i="34" l="1"/>
  <c r="C23" i="34" l="1"/>
  <c r="C26" i="34" l="1"/>
  <c r="C28" i="34"/>
  <c r="C30" i="34" l="1"/>
  <c r="C32" i="34" l="1"/>
  <c r="C34" i="34" l="1"/>
  <c r="C36" i="34" l="1"/>
  <c r="C38" i="34" s="1"/>
  <c r="C40" i="34" s="1"/>
  <c r="C42" i="34" s="1"/>
  <c r="C44" i="34" s="1"/>
  <c r="C46" i="34" s="1"/>
  <c r="C48" i="34" s="1"/>
  <c r="C50" i="34" s="1"/>
  <c r="C52" i="34" s="1"/>
  <c r="C53" i="34" s="1"/>
  <c r="C55" i="34" s="1"/>
  <c r="C57" i="34" s="1"/>
  <c r="C59" i="34" s="1"/>
  <c r="C61" i="34" s="1"/>
  <c r="C63" i="34" s="1"/>
  <c r="C65" i="34" s="1"/>
  <c r="C67" i="34" s="1"/>
  <c r="C68" i="34" s="1"/>
  <c r="C70" i="34" s="1"/>
  <c r="C72" i="34" s="1"/>
  <c r="C74" i="34" s="1"/>
  <c r="C76" i="34" s="1"/>
  <c r="C78" i="34" s="1"/>
  <c r="C79" i="34" s="1"/>
  <c r="C81" i="34" s="1"/>
  <c r="C84" i="34" s="1"/>
  <c r="C86" i="34" s="1"/>
  <c r="C88" i="34" s="1"/>
  <c r="C90" i="34" s="1"/>
  <c r="C94" i="34" s="1"/>
  <c r="C96" i="34" s="1"/>
  <c r="C99" i="34" s="1"/>
  <c r="C101" i="34" s="1"/>
  <c r="C103" i="34" s="1"/>
  <c r="C105" i="34" s="1"/>
  <c r="C107" i="34" s="1"/>
  <c r="C109" i="34" s="1"/>
  <c r="C111" i="34" s="1"/>
  <c r="C113" i="34" s="1"/>
  <c r="C115" i="34" s="1"/>
  <c r="C117" i="34" s="1"/>
  <c r="C119" i="34" s="1"/>
  <c r="C121" i="34" s="1"/>
  <c r="C123" i="34" s="1"/>
  <c r="C125" i="34" s="1"/>
  <c r="C127" i="34" s="1"/>
  <c r="C130" i="34" s="1"/>
  <c r="C132" i="34" s="1"/>
  <c r="C134" i="34" s="1"/>
  <c r="C136" i="34" s="1"/>
  <c r="C138" i="34" s="1"/>
  <c r="C140" i="34" s="1"/>
  <c r="C142" i="34" s="1"/>
  <c r="C144" i="34" s="1"/>
  <c r="C146" i="34" s="1"/>
  <c r="C148" i="34" s="1"/>
  <c r="C150" i="34" s="1"/>
  <c r="C151" i="34" s="1"/>
  <c r="C152" i="34" s="1"/>
  <c r="C154" i="34" s="1"/>
  <c r="C156" i="34" s="1"/>
  <c r="C158" i="34" s="1"/>
  <c r="C162" i="34" s="1"/>
  <c r="C164" i="34" s="1"/>
  <c r="C166" i="34" s="1"/>
  <c r="C167" i="34" s="1"/>
  <c r="C169" i="34" s="1"/>
  <c r="C172" i="34" s="1"/>
  <c r="C174" i="34" s="1"/>
  <c r="C175" i="34" s="1"/>
  <c r="C177" i="34" s="1"/>
  <c r="C179" i="34" s="1"/>
  <c r="C181" i="34" s="1"/>
  <c r="C183" i="34" s="1"/>
  <c r="C185" i="34" s="1"/>
  <c r="C187" i="34" s="1"/>
  <c r="C189" i="34" s="1"/>
  <c r="C191" i="34" s="1"/>
  <c r="C193" i="34" s="1"/>
  <c r="C195" i="34" s="1"/>
  <c r="C196" i="34" s="1"/>
  <c r="C197" i="34" s="1"/>
  <c r="C199" i="34" s="1"/>
  <c r="C200" i="34" s="1"/>
  <c r="C202" i="34" s="1"/>
  <c r="C205" i="34" s="1"/>
  <c r="C208" i="34" s="1"/>
  <c r="C210" i="34" s="1"/>
  <c r="C212" i="34" s="1"/>
  <c r="C214" i="34" s="1"/>
  <c r="C216" i="34" s="1"/>
  <c r="C218" i="34" s="1"/>
  <c r="C220" i="34" s="1"/>
  <c r="C222" i="34" s="1"/>
  <c r="C224" i="34" s="1"/>
  <c r="C226" i="34" s="1"/>
  <c r="C228" i="34" s="1"/>
  <c r="C230" i="34" s="1"/>
  <c r="C232" i="34" s="1"/>
  <c r="C233" i="34" s="1"/>
  <c r="C234" i="34" s="1"/>
  <c r="C236" i="34" s="1"/>
  <c r="C238" i="34" s="1"/>
  <c r="C240" i="34" s="1"/>
  <c r="C242" i="34" s="1"/>
  <c r="C244" i="34" s="1"/>
  <c r="C246" i="34" s="1"/>
  <c r="C248" i="34" s="1"/>
  <c r="C249" i="34" s="1"/>
  <c r="C251" i="34" s="1"/>
  <c r="C253" i="34" s="1"/>
  <c r="C255" i="34" s="1"/>
  <c r="C257" i="34" s="1"/>
  <c r="C259" i="34" s="1"/>
  <c r="C260" i="34" s="1"/>
  <c r="C261" i="34" s="1"/>
  <c r="C262" i="34" s="1"/>
  <c r="C264" i="34" s="1"/>
  <c r="C266" i="34" s="1"/>
  <c r="C268" i="34" s="1"/>
  <c r="C270" i="34" s="1"/>
  <c r="C271" i="34" s="1"/>
  <c r="C276" i="34" s="1"/>
  <c r="C278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00000000-0006-0000-0100-000001000000}">
      <text>
        <r>
          <rPr>
            <b/>
            <sz val="10"/>
            <color rgb="FF000000"/>
            <rFont val="Arial"/>
            <family val="2"/>
          </rPr>
          <t>Unique Number for each attendees</t>
        </r>
      </text>
    </comment>
  </commentList>
</comments>
</file>

<file path=xl/sharedStrings.xml><?xml version="1.0" encoding="utf-8"?>
<sst xmlns="http://schemas.openxmlformats.org/spreadsheetml/2006/main" count="4771" uniqueCount="1243">
  <si>
    <t>Journey Beyond Asia (JBA)</t>
  </si>
  <si>
    <t>MASTER BOOKING SUMMARY</t>
  </si>
  <si>
    <t>Hotel:</t>
  </si>
  <si>
    <t>LOTTE SEOUL HOTEL</t>
  </si>
  <si>
    <t>Attention:</t>
  </si>
  <si>
    <t>Submitted Date:</t>
  </si>
  <si>
    <t>Dear Sir/Madam,</t>
  </si>
  <si>
    <t>Greetings from Journey Beyond Asia (JBA)</t>
  </si>
  <si>
    <t>We are pleased to send you the total number of confirmed room for main group, including pre- &amp; post-night bookings, as details in the rooming list on the next sheet.</t>
  </si>
  <si>
    <t>NO.</t>
  </si>
  <si>
    <t>ROOM TYPE</t>
  </si>
  <si>
    <t>NUMBER OF ROOM</t>
  </si>
  <si>
    <t>EXTRA SERVICES</t>
  </si>
  <si>
    <t>PERIOD OF STAY</t>
  </si>
  <si>
    <t>NOTES</t>
  </si>
  <si>
    <t>Single</t>
  </si>
  <si>
    <t>Double 
room</t>
  </si>
  <si>
    <t>Twin 
room</t>
  </si>
  <si>
    <t>Extra bed</t>
  </si>
  <si>
    <t>CHILD
(4 - under 12 ys)</t>
  </si>
  <si>
    <t>CHECK-IN</t>
  </si>
  <si>
    <t>CHECK-OUT</t>
  </si>
  <si>
    <t>No of NIGHT</t>
  </si>
  <si>
    <t>CONTRACT
 RATE</t>
  </si>
  <si>
    <t>NEW RATE</t>
  </si>
  <si>
    <t>ROH</t>
  </si>
  <si>
    <t>1 PRE-NIGHT</t>
  </si>
  <si>
    <t>2 PRE-NIGHT</t>
  </si>
  <si>
    <t>3 PRE-NIGHT</t>
  </si>
  <si>
    <t>CHILD BREAKFAST SURCHARGE</t>
  </si>
  <si>
    <t>TOTAL (ROOM):</t>
  </si>
  <si>
    <t>ROOMS</t>
  </si>
  <si>
    <t>MAIN GROUP TOTAL ROOM NIGHTS:</t>
  </si>
  <si>
    <t>Room nights</t>
  </si>
  <si>
    <t>TOTAL PRE&amp;POST NIGHTS:</t>
  </si>
  <si>
    <t>GRAND TOTAL:</t>
  </si>
  <si>
    <t>1.  Inclusions</t>
  </si>
  <si>
    <r>
      <rPr>
        <b/>
        <sz val="10"/>
        <rFont val="Verdana"/>
        <family val="2"/>
      </rPr>
      <t xml:space="preserve">- Room rate </t>
    </r>
    <r>
      <rPr>
        <sz val="10"/>
        <rFont val="Verdana"/>
        <family val="2"/>
      </rPr>
      <t xml:space="preserve">includes of buffet breakfast, service charge, all taxes, in-room wifi and will be settled by </t>
    </r>
    <r>
      <rPr>
        <b/>
        <sz val="10"/>
        <rFont val="Verdana"/>
        <family val="2"/>
      </rPr>
      <t xml:space="preserve">JBA </t>
    </r>
    <r>
      <rPr>
        <sz val="10"/>
        <rFont val="Verdana"/>
        <family val="2"/>
      </rPr>
      <t>(Master Bill)</t>
    </r>
  </si>
  <si>
    <r>
      <t>-</t>
    </r>
    <r>
      <rPr>
        <b/>
        <sz val="10"/>
        <rFont val="Verdana"/>
        <family val="2"/>
      </rPr>
      <t>No incidental charges</t>
    </r>
    <r>
      <rPr>
        <sz val="11"/>
        <color rgb="FF000000"/>
        <rFont val="Calibri"/>
        <family val="2"/>
        <scheme val="minor"/>
      </rPr>
      <t> may be posted to the room. Any such charges (if incurred) will be paid directly by the guest.</t>
    </r>
  </si>
  <si>
    <t>2.  VAT invoice information: PLEASE INCLUDE BELOW INFORMATION IN THE FINAL INVOICE</t>
  </si>
  <si>
    <t>- Name :</t>
  </si>
  <si>
    <t>JBA COMPANY LIMITED</t>
  </si>
  <si>
    <t>- Address :</t>
  </si>
  <si>
    <t>5th Floor, CJ Building, 6 Le Thanh Ton St., Sai Gon Ward, HCM City., Vietnam.</t>
  </si>
  <si>
    <t xml:space="preserve">-  VAT code : </t>
  </si>
  <si>
    <t>0314965640</t>
  </si>
  <si>
    <t xml:space="preserve">-  Email : </t>
  </si>
  <si>
    <t>info@jba-dmc.com</t>
  </si>
  <si>
    <t>SEOUL LOTTE</t>
  </si>
  <si>
    <t>ROOM 
TOTAL</t>
  </si>
  <si>
    <t>SINGLE</t>
  </si>
  <si>
    <t>DOUBLE</t>
  </si>
  <si>
    <t>TWIN</t>
  </si>
  <si>
    <t>EXTRA BED</t>
  </si>
  <si>
    <t>PRE &amp; POST NIGHTS</t>
  </si>
  <si>
    <t xml:space="preserve">PAX TOTAL </t>
  </si>
  <si>
    <t xml:space="preserve">ADULT </t>
  </si>
  <si>
    <t>CHD 
(4 TO UNDER 12 Y/O)</t>
  </si>
  <si>
    <t>LOTTE</t>
  </si>
  <si>
    <t>Provided by Hotel</t>
  </si>
  <si>
    <t>Pax Count</t>
  </si>
  <si>
    <t>Room Count</t>
  </si>
  <si>
    <t>International Filght</t>
  </si>
  <si>
    <t>ROOM #</t>
  </si>
  <si>
    <t>GRP ID</t>
  </si>
  <si>
    <t>ROOM MATE CFM #</t>
  </si>
  <si>
    <t>PRIMARY CFM #</t>
  </si>
  <si>
    <t>FIRST NAME</t>
  </si>
  <si>
    <t>LAST NAME</t>
  </si>
  <si>
    <t>GENDER</t>
  </si>
  <si>
    <t>NATIONALITY</t>
  </si>
  <si>
    <t>DOB</t>
  </si>
  <si>
    <t>AGE</t>
  </si>
  <si>
    <t>PASSPORT</t>
  </si>
  <si>
    <t>PRE &amp; POST</t>
  </si>
  <si>
    <t>IN</t>
  </si>
  <si>
    <t>OUT</t>
  </si>
  <si>
    <t>RN</t>
  </si>
  <si>
    <t>TOTAL PAX</t>
  </si>
  <si>
    <t>ADULT</t>
  </si>
  <si>
    <t>CHILD</t>
  </si>
  <si>
    <t>TOTAL ROOM</t>
  </si>
  <si>
    <t>SGL</t>
  </si>
  <si>
    <t>DBL</t>
  </si>
  <si>
    <t>ARRIVAL</t>
  </si>
  <si>
    <t>DEPARTURE</t>
  </si>
  <si>
    <t>CEO</t>
  </si>
  <si>
    <t>VIP</t>
  </si>
  <si>
    <t>SPECIAL REQUEST</t>
  </si>
  <si>
    <t>HOTEL</t>
  </si>
  <si>
    <t>MODIFICATION NOTES</t>
  </si>
  <si>
    <t>Number</t>
  </si>
  <si>
    <t>Expiry Date</t>
  </si>
  <si>
    <t>ARR DATE</t>
  </si>
  <si>
    <t>ETA</t>
  </si>
  <si>
    <t>FLIGHT #</t>
  </si>
  <si>
    <t>DEPT DATE</t>
  </si>
  <si>
    <t>ETD</t>
  </si>
  <si>
    <t>Male</t>
  </si>
  <si>
    <t>USA</t>
  </si>
  <si>
    <t>Female</t>
  </si>
  <si>
    <t>Philippines</t>
  </si>
  <si>
    <t>Garcia</t>
  </si>
  <si>
    <t>Canada</t>
  </si>
  <si>
    <t/>
  </si>
  <si>
    <t>Tan</t>
  </si>
  <si>
    <t>Le</t>
  </si>
  <si>
    <t>WS 86</t>
  </si>
  <si>
    <t>WS 87</t>
  </si>
  <si>
    <t>CEO VIP</t>
  </si>
  <si>
    <t>Upgrade - Junior Suite</t>
  </si>
  <si>
    <t>DL 189</t>
  </si>
  <si>
    <t>DL 188</t>
  </si>
  <si>
    <t>DL 171</t>
  </si>
  <si>
    <t>AC 64</t>
  </si>
  <si>
    <t>AC 61</t>
  </si>
  <si>
    <t>Paul</t>
  </si>
  <si>
    <t>AC 62</t>
  </si>
  <si>
    <t>AC 63</t>
  </si>
  <si>
    <t>UA 893</t>
  </si>
  <si>
    <t>KE 24</t>
  </si>
  <si>
    <t>KE 23</t>
  </si>
  <si>
    <t>AA 281</t>
  </si>
  <si>
    <t>AA 280</t>
  </si>
  <si>
    <t>Kang</t>
  </si>
  <si>
    <t>Kim</t>
  </si>
  <si>
    <t>NO NEED</t>
  </si>
  <si>
    <t>Rowena</t>
  </si>
  <si>
    <t>5J 185</t>
  </si>
  <si>
    <t>BR 170</t>
  </si>
  <si>
    <t>PR 468</t>
  </si>
  <si>
    <t>PR 469</t>
  </si>
  <si>
    <t>Z2 884</t>
  </si>
  <si>
    <t>OZ 112</t>
  </si>
  <si>
    <t>YP 102</t>
  </si>
  <si>
    <t>7C 2103</t>
  </si>
  <si>
    <t>KE 621</t>
  </si>
  <si>
    <t>Martinez</t>
  </si>
  <si>
    <t>KE 724</t>
  </si>
  <si>
    <t>OZ 201</t>
  </si>
  <si>
    <t>OZ 701</t>
  </si>
  <si>
    <t>UA 892</t>
  </si>
  <si>
    <t>YP 101</t>
  </si>
  <si>
    <t>Yang</t>
  </si>
  <si>
    <t>CX 410</t>
  </si>
  <si>
    <t>CX 419</t>
  </si>
  <si>
    <t>OZ 204</t>
  </si>
  <si>
    <t>UA 805</t>
  </si>
  <si>
    <t>Republic of Korea</t>
  </si>
  <si>
    <t>KE 36</t>
  </si>
  <si>
    <t>Lee</t>
  </si>
  <si>
    <t>OZ 221</t>
  </si>
  <si>
    <t>OZ 224</t>
  </si>
  <si>
    <t>KE 37</t>
  </si>
  <si>
    <t>KE 11</t>
  </si>
  <si>
    <t>CX 434</t>
  </si>
  <si>
    <t>CX 439</t>
  </si>
  <si>
    <t>5J 186</t>
  </si>
  <si>
    <t>KE 12</t>
  </si>
  <si>
    <t>KE 651</t>
  </si>
  <si>
    <t>Wong</t>
  </si>
  <si>
    <t>King</t>
  </si>
  <si>
    <t>OZ 223</t>
  </si>
  <si>
    <t>HOTEL CONFIRM #</t>
  </si>
  <si>
    <t>LO-B01</t>
  </si>
  <si>
    <t>8WNBRPHWK2Q</t>
  </si>
  <si>
    <t>Sonie</t>
  </si>
  <si>
    <t>Derius</t>
  </si>
  <si>
    <t>A19847898</t>
  </si>
  <si>
    <t>KE 720</t>
  </si>
  <si>
    <t>Alec Chan</t>
  </si>
  <si>
    <t>YQNJDWRVP3C</t>
  </si>
  <si>
    <t>Josue</t>
  </si>
  <si>
    <t>Mezier</t>
  </si>
  <si>
    <t>588677965</t>
  </si>
  <si>
    <t>VPNJZ36VNFD</t>
  </si>
  <si>
    <t>Laureen Josie</t>
  </si>
  <si>
    <t>A32906203</t>
  </si>
  <si>
    <t>Q6NRTQ4FF5L</t>
  </si>
  <si>
    <t>Corazon Bathan</t>
  </si>
  <si>
    <t>Tuiza</t>
  </si>
  <si>
    <t>AD922864</t>
  </si>
  <si>
    <t>52N8CDH3QMY</t>
  </si>
  <si>
    <t>Ricardo Rivera</t>
  </si>
  <si>
    <t>AR016929</t>
  </si>
  <si>
    <t>C4NLZBY43S5</t>
  </si>
  <si>
    <t>Arsenio</t>
  </si>
  <si>
    <t>Mariano</t>
  </si>
  <si>
    <t>AT604360</t>
  </si>
  <si>
    <t>5GNQFH4QLK8</t>
  </si>
  <si>
    <t>Riza</t>
  </si>
  <si>
    <t>AT604361</t>
  </si>
  <si>
    <t>LKNTWN3G59Y</t>
  </si>
  <si>
    <t>Andrew Leigh</t>
  </si>
  <si>
    <t>Karas</t>
  </si>
  <si>
    <t>549325122</t>
  </si>
  <si>
    <t>LO-B02</t>
  </si>
  <si>
    <t>D4NCQCBVVZL</t>
  </si>
  <si>
    <t>Danfeng</t>
  </si>
  <si>
    <t>Chen</t>
  </si>
  <si>
    <t>561139482</t>
  </si>
  <si>
    <t>Annie Chen</t>
  </si>
  <si>
    <t>C8NDW74RXVT</t>
  </si>
  <si>
    <t>Fei</t>
  </si>
  <si>
    <t>Li</t>
  </si>
  <si>
    <t>565537441</t>
  </si>
  <si>
    <t>V5NGQKB2WFF</t>
  </si>
  <si>
    <t>Qiaohua</t>
  </si>
  <si>
    <t>Zou</t>
  </si>
  <si>
    <t>651671934</t>
  </si>
  <si>
    <t>KE 128</t>
  </si>
  <si>
    <t>KE 127</t>
  </si>
  <si>
    <t>LO-B12</t>
  </si>
  <si>
    <t>3MN8G6BW3XJ</t>
  </si>
  <si>
    <t>Chito Mendoza</t>
  </si>
  <si>
    <t>Roxas</t>
  </si>
  <si>
    <t>550072142</t>
  </si>
  <si>
    <t>PR 466</t>
  </si>
  <si>
    <t>Chito Roxas</t>
  </si>
  <si>
    <t>YTNSLFFGMC5</t>
  </si>
  <si>
    <t>Sheila Salunga</t>
  </si>
  <si>
    <t>550072143</t>
  </si>
  <si>
    <t>LO-B03</t>
  </si>
  <si>
    <t>SXN8W63YJDW</t>
  </si>
  <si>
    <t>Chloe</t>
  </si>
  <si>
    <t>Xu</t>
  </si>
  <si>
    <t>566463012</t>
  </si>
  <si>
    <t>RF 315</t>
  </si>
  <si>
    <t>YP 131</t>
  </si>
  <si>
    <t>Chloe Xu</t>
  </si>
  <si>
    <t>CLN3ZSSV4Z5</t>
  </si>
  <si>
    <t>Weiyou</t>
  </si>
  <si>
    <t>China</t>
  </si>
  <si>
    <t>EJ2675473</t>
  </si>
  <si>
    <t>GDN2BZRCB7K</t>
  </si>
  <si>
    <t>Felix Kai</t>
  </si>
  <si>
    <t>A05570520</t>
  </si>
  <si>
    <t>VLNXVYL2DKH</t>
  </si>
  <si>
    <t>Julia</t>
  </si>
  <si>
    <t>Huang</t>
  </si>
  <si>
    <t>A33566887</t>
  </si>
  <si>
    <t>RS 705</t>
  </si>
  <si>
    <t>PSNJ9PDGZMJ</t>
  </si>
  <si>
    <t>Matthew</t>
  </si>
  <si>
    <t>Williams</t>
  </si>
  <si>
    <t>A68772515</t>
  </si>
  <si>
    <t>RXNSXKSFMFM</t>
  </si>
  <si>
    <t>Mei Juan</t>
  </si>
  <si>
    <t>Lin</t>
  </si>
  <si>
    <t>A04383968</t>
  </si>
  <si>
    <t>NVNDGFQL98G</t>
  </si>
  <si>
    <t>Li Jiao</t>
  </si>
  <si>
    <t>Ni</t>
  </si>
  <si>
    <t>533938897</t>
  </si>
  <si>
    <t>ZBNWDQ7DB74</t>
  </si>
  <si>
    <t>Shirley</t>
  </si>
  <si>
    <t>Zheng</t>
  </si>
  <si>
    <t>563059598</t>
  </si>
  <si>
    <t>L8N9LNXTQRQ</t>
  </si>
  <si>
    <t>Jordan</t>
  </si>
  <si>
    <t>Watkins</t>
  </si>
  <si>
    <t>A45570408</t>
  </si>
  <si>
    <t>42NSVD7LF5L</t>
  </si>
  <si>
    <t>Wenhui</t>
  </si>
  <si>
    <t>Liu</t>
  </si>
  <si>
    <t>GWNTV942MT9</t>
  </si>
  <si>
    <t>Tina</t>
  </si>
  <si>
    <t>PBNYX2J99PN</t>
  </si>
  <si>
    <t>Xiaorong</t>
  </si>
  <si>
    <t>Zhou</t>
  </si>
  <si>
    <t>KE 865</t>
  </si>
  <si>
    <t>ZPNF8CSXJLF</t>
  </si>
  <si>
    <t>Phoebe</t>
  </si>
  <si>
    <t>26N3QGV4RLH</t>
  </si>
  <si>
    <t>Ming Jian</t>
  </si>
  <si>
    <t>Zhang</t>
  </si>
  <si>
    <t>A43934207</t>
  </si>
  <si>
    <t>KE 38</t>
  </si>
  <si>
    <t>JWNHZSWJZ7C</t>
  </si>
  <si>
    <t>Jing</t>
  </si>
  <si>
    <t>671350229</t>
  </si>
  <si>
    <t>QCNCJWCTVB5</t>
  </si>
  <si>
    <t>Viola</t>
  </si>
  <si>
    <t>673329615</t>
  </si>
  <si>
    <t>HYNXBD2YXND</t>
  </si>
  <si>
    <t>Hongping</t>
  </si>
  <si>
    <t>EJ4279245</t>
  </si>
  <si>
    <t>2SN77VLXC56</t>
  </si>
  <si>
    <t>Miaoyan</t>
  </si>
  <si>
    <t>A04719220</t>
  </si>
  <si>
    <t>KE 178</t>
  </si>
  <si>
    <t>KE 177</t>
  </si>
  <si>
    <t>KNNV8JXGMLT</t>
  </si>
  <si>
    <t>Wai Sun</t>
  </si>
  <si>
    <t>Mow</t>
  </si>
  <si>
    <t>660682382</t>
  </si>
  <si>
    <t>KE 672</t>
  </si>
  <si>
    <t>KE 671</t>
  </si>
  <si>
    <t>DNNN22S3MCL</t>
  </si>
  <si>
    <t>Molly Tingjiun</t>
  </si>
  <si>
    <t>662835915</t>
  </si>
  <si>
    <t>CI 160</t>
  </si>
  <si>
    <t>CI 161</t>
  </si>
  <si>
    <t>93NNLPWKZF6</t>
  </si>
  <si>
    <t>Feng Jiao</t>
  </si>
  <si>
    <t>562758501</t>
  </si>
  <si>
    <t>LO-B13</t>
  </si>
  <si>
    <t>THN4JHTZL56</t>
  </si>
  <si>
    <t>Christopher John Miranda</t>
  </si>
  <si>
    <t>Pacifico</t>
  </si>
  <si>
    <t>561530773</t>
  </si>
  <si>
    <t>Chris Pacifico</t>
  </si>
  <si>
    <t>TVNZV4F372W</t>
  </si>
  <si>
    <t>Lori Faye Tanwangco</t>
  </si>
  <si>
    <t>566153433</t>
  </si>
  <si>
    <t>K2NNGNQF7GW</t>
  </si>
  <si>
    <t>Sandra Liang</t>
  </si>
  <si>
    <t>Anderson</t>
  </si>
  <si>
    <t>552678398</t>
  </si>
  <si>
    <t>DL 197</t>
  </si>
  <si>
    <t>7C 6101</t>
  </si>
  <si>
    <t>G6NSK78M767</t>
  </si>
  <si>
    <t>Scott Roland</t>
  </si>
  <si>
    <t>641000446</t>
  </si>
  <si>
    <t>NXNXPT62HPQ</t>
  </si>
  <si>
    <t>Araceli Adasa Hamoy</t>
  </si>
  <si>
    <t>Hermosa</t>
  </si>
  <si>
    <t>671546129</t>
  </si>
  <si>
    <t>OZ 131</t>
  </si>
  <si>
    <t>OZ 102</t>
  </si>
  <si>
    <t>KNNQVZ77PQ3</t>
  </si>
  <si>
    <t>Richard John</t>
  </si>
  <si>
    <t>A57321047</t>
  </si>
  <si>
    <t>P6NVLRRR7MH</t>
  </si>
  <si>
    <t>Ricardo Martin</t>
  </si>
  <si>
    <t>Villaescusa Rosas</t>
  </si>
  <si>
    <t>574738063</t>
  </si>
  <si>
    <t>24N6833DHJL</t>
  </si>
  <si>
    <t>Alma Patricia</t>
  </si>
  <si>
    <t>Pineda Landeros</t>
  </si>
  <si>
    <t>560953316</t>
  </si>
  <si>
    <t>Z5NVG9GXMQK</t>
  </si>
  <si>
    <t>Sabina</t>
  </si>
  <si>
    <t>Villaescusa Pineda</t>
  </si>
  <si>
    <t>560953313</t>
  </si>
  <si>
    <t>STN6LZZ67WV</t>
  </si>
  <si>
    <t>Floramor</t>
  </si>
  <si>
    <t>Lacerna</t>
  </si>
  <si>
    <t>547637584</t>
  </si>
  <si>
    <t>FNNFJJP93KM</t>
  </si>
  <si>
    <t>Richard</t>
  </si>
  <si>
    <t>Burila</t>
  </si>
  <si>
    <t>547637585</t>
  </si>
  <si>
    <t>LO-B04</t>
  </si>
  <si>
    <t>QMNXF4PXNZP</t>
  </si>
  <si>
    <t>Mario Ernesto</t>
  </si>
  <si>
    <t>Moreira</t>
  </si>
  <si>
    <t>528194961</t>
  </si>
  <si>
    <t>OZ 178</t>
  </si>
  <si>
    <t>Grace Zhu</t>
  </si>
  <si>
    <t>37NY38KGTW9</t>
  </si>
  <si>
    <t>Mylene Yvette</t>
  </si>
  <si>
    <t>A13550736</t>
  </si>
  <si>
    <t>Q9NYZ5F8NX5</t>
  </si>
  <si>
    <t>Aldir U</t>
  </si>
  <si>
    <t>A16373527</t>
  </si>
  <si>
    <t>WDNTL6NHP74</t>
  </si>
  <si>
    <t>Jair Ramses</t>
  </si>
  <si>
    <t>593159826</t>
  </si>
  <si>
    <t>TKN9FZ28PYC</t>
  </si>
  <si>
    <t>Elvira</t>
  </si>
  <si>
    <t>Cano</t>
  </si>
  <si>
    <t>A48408136</t>
  </si>
  <si>
    <t>NVNFJCHWYTC</t>
  </si>
  <si>
    <t>Aylene Linnette</t>
  </si>
  <si>
    <t>593159827</t>
  </si>
  <si>
    <t>LO-B05</t>
  </si>
  <si>
    <t>C7NNF5P48N4</t>
  </si>
  <si>
    <t>Jian</t>
  </si>
  <si>
    <t>A00515777</t>
  </si>
  <si>
    <t>James Zhang</t>
  </si>
  <si>
    <t>4BNL4RTWK2Z</t>
  </si>
  <si>
    <t>Jun Cheng</t>
  </si>
  <si>
    <t>Zhao</t>
  </si>
  <si>
    <t>565185089</t>
  </si>
  <si>
    <t>UO 630</t>
  </si>
  <si>
    <t>UO 627</t>
  </si>
  <si>
    <t>VRNBFFZG7D9</t>
  </si>
  <si>
    <t>Xiuna</t>
  </si>
  <si>
    <t>A42027609</t>
  </si>
  <si>
    <t>YP 132</t>
  </si>
  <si>
    <t>87NZ5SBSDWG</t>
  </si>
  <si>
    <t>Fang</t>
  </si>
  <si>
    <t>A00515776</t>
  </si>
  <si>
    <t>LO-B06</t>
  </si>
  <si>
    <t>LBNZ5CWRFVY</t>
  </si>
  <si>
    <t>Chengchen</t>
  </si>
  <si>
    <t>A26636294</t>
  </si>
  <si>
    <t>OZ 114</t>
  </si>
  <si>
    <t>Jeff Tsao</t>
  </si>
  <si>
    <t>ZMNXQQNDZBB</t>
  </si>
  <si>
    <t>Laihua</t>
  </si>
  <si>
    <t>666425608</t>
  </si>
  <si>
    <t>XLN73T22GDL</t>
  </si>
  <si>
    <t>Myunghee</t>
  </si>
  <si>
    <t>Byun</t>
  </si>
  <si>
    <t>M18021149</t>
  </si>
  <si>
    <t>R4NVTKZ89TB</t>
  </si>
  <si>
    <t>Julia Lin</t>
  </si>
  <si>
    <t>Ma</t>
  </si>
  <si>
    <t>A62490838</t>
  </si>
  <si>
    <t>7C 6001</t>
  </si>
  <si>
    <t>SJNJ4T7RKJJ</t>
  </si>
  <si>
    <t>Yingchun</t>
  </si>
  <si>
    <t>EP3785662</t>
  </si>
  <si>
    <t>XPNWZ99PKTX</t>
  </si>
  <si>
    <t>Jun</t>
  </si>
  <si>
    <t>Wang</t>
  </si>
  <si>
    <t>E34179843</t>
  </si>
  <si>
    <t>W3NX6PKTLK3</t>
  </si>
  <si>
    <t>Xiulian</t>
  </si>
  <si>
    <t>A36669529</t>
  </si>
  <si>
    <t>3QNZM92MGJB</t>
  </si>
  <si>
    <t>Yuan</t>
  </si>
  <si>
    <t>564223873</t>
  </si>
  <si>
    <t>CZ 337</t>
  </si>
  <si>
    <t>7C 1373</t>
  </si>
  <si>
    <t>M7NSTFX6N4H</t>
  </si>
  <si>
    <t>Jiahui</t>
  </si>
  <si>
    <t>Hong</t>
  </si>
  <si>
    <t>EJ5347430</t>
  </si>
  <si>
    <t>RZN4YYS39S9</t>
  </si>
  <si>
    <t>Jennifer Marilyn</t>
  </si>
  <si>
    <t>Yi</t>
  </si>
  <si>
    <t>655405310</t>
  </si>
  <si>
    <t>QLN8TKYKN7F</t>
  </si>
  <si>
    <t>Esther Marie</t>
  </si>
  <si>
    <t>656396832</t>
  </si>
  <si>
    <t>29N45Q2DFG4</t>
  </si>
  <si>
    <t>Lu</t>
  </si>
  <si>
    <t>576176670</t>
  </si>
  <si>
    <t>BX 171</t>
  </si>
  <si>
    <t>W8NNTXCX49T</t>
  </si>
  <si>
    <t>Masayuki</t>
  </si>
  <si>
    <t>Nakayama</t>
  </si>
  <si>
    <t>Japan</t>
  </si>
  <si>
    <t>TZ1347018</t>
  </si>
  <si>
    <t>BWNNFMNHP6H</t>
  </si>
  <si>
    <t>Chang</t>
  </si>
  <si>
    <t>670830324</t>
  </si>
  <si>
    <t>CZ 3062</t>
  </si>
  <si>
    <t>7KN9BJDQ9WS</t>
  </si>
  <si>
    <t>Min</t>
  </si>
  <si>
    <t>EJ5275519</t>
  </si>
  <si>
    <t>KE 832</t>
  </si>
  <si>
    <t>P6NLTHNYDNK</t>
  </si>
  <si>
    <t>Yian</t>
  </si>
  <si>
    <t>642259487</t>
  </si>
  <si>
    <t>72NXZBKPF7B</t>
  </si>
  <si>
    <t>Qindan</t>
  </si>
  <si>
    <t>EA3441569</t>
  </si>
  <si>
    <t>MF 878</t>
  </si>
  <si>
    <t>V8NDXMXVMQF</t>
  </si>
  <si>
    <t>Gaojin</t>
  </si>
  <si>
    <t>Hu</t>
  </si>
  <si>
    <t>A46631822</t>
  </si>
  <si>
    <t>9WNZW2H9VQQ</t>
  </si>
  <si>
    <t>Darren Z</t>
  </si>
  <si>
    <t>A29361657</t>
  </si>
  <si>
    <t>K8NHMQYBY7G</t>
  </si>
  <si>
    <t>Weile</t>
  </si>
  <si>
    <t>EN6644950</t>
  </si>
  <si>
    <t>7PNV9K44TJ6</t>
  </si>
  <si>
    <t>Meixiu</t>
  </si>
  <si>
    <t>EM0894100</t>
  </si>
  <si>
    <t>CCNGC5N8BCH</t>
  </si>
  <si>
    <t>Tinghong</t>
  </si>
  <si>
    <t>E93580667</t>
  </si>
  <si>
    <t>Y5N3M582D4M</t>
  </si>
  <si>
    <t>Kelly Kaihong</t>
  </si>
  <si>
    <t>Jiang</t>
  </si>
  <si>
    <t>567153935</t>
  </si>
  <si>
    <t>KE 894</t>
  </si>
  <si>
    <t>ZMN42N63PNQ</t>
  </si>
  <si>
    <t>Xiaoping</t>
  </si>
  <si>
    <t>Tu</t>
  </si>
  <si>
    <t>EH7922497</t>
  </si>
  <si>
    <t>CZ 3061</t>
  </si>
  <si>
    <t>KE 2117</t>
  </si>
  <si>
    <t>BGNP9MMWT96</t>
  </si>
  <si>
    <t>Jack Nanjie</t>
  </si>
  <si>
    <t>Wen</t>
  </si>
  <si>
    <t>672939325</t>
  </si>
  <si>
    <t>LO-B14</t>
  </si>
  <si>
    <t>75NKHN3BRZW</t>
  </si>
  <si>
    <t>Baljinder</t>
  </si>
  <si>
    <t>Singh</t>
  </si>
  <si>
    <t>591735986</t>
  </si>
  <si>
    <t>Kevin Lee</t>
  </si>
  <si>
    <t>9QNMBZV84JM</t>
  </si>
  <si>
    <t>Navreet</t>
  </si>
  <si>
    <t>Kaur</t>
  </si>
  <si>
    <t>A04331242</t>
  </si>
  <si>
    <t>S2NCDPPBXP8</t>
  </si>
  <si>
    <t>Japnaam Singh</t>
  </si>
  <si>
    <t>Kular</t>
  </si>
  <si>
    <t>A80255311</t>
  </si>
  <si>
    <t>YYN6RBNPMSB</t>
  </si>
  <si>
    <t>Anahat</t>
  </si>
  <si>
    <t>A61662837</t>
  </si>
  <si>
    <t>ZYN24D5SPC9</t>
  </si>
  <si>
    <t>Daljit Kaur</t>
  </si>
  <si>
    <t>557079483</t>
  </si>
  <si>
    <t>BWNC2JGXSF5</t>
  </si>
  <si>
    <t>Harsahib</t>
  </si>
  <si>
    <t>Deol</t>
  </si>
  <si>
    <t>A52242871</t>
  </si>
  <si>
    <t>ZJNMFR3T5CZ</t>
  </si>
  <si>
    <t>Rajinder</t>
  </si>
  <si>
    <t>Mohaar</t>
  </si>
  <si>
    <t>576735304</t>
  </si>
  <si>
    <t>HYN2Q2RRXS4</t>
  </si>
  <si>
    <t>Hergunn S</t>
  </si>
  <si>
    <t>671673593</t>
  </si>
  <si>
    <t>58NZXYB97PH</t>
  </si>
  <si>
    <t>Randeep Singh</t>
  </si>
  <si>
    <t>671673594</t>
  </si>
  <si>
    <t>Dietary: allergic to wheat , all tree nuts and egg</t>
  </si>
  <si>
    <t>T6N8M7D63LY</t>
  </si>
  <si>
    <t>Kulwinder</t>
  </si>
  <si>
    <t>Kaloty</t>
  </si>
  <si>
    <t>A68728168</t>
  </si>
  <si>
    <t>VJN498YF3DB</t>
  </si>
  <si>
    <t>Gurneet Kaur</t>
  </si>
  <si>
    <t>671673592</t>
  </si>
  <si>
    <t>VTNP3LTCQN2</t>
  </si>
  <si>
    <t>Karamjeet</t>
  </si>
  <si>
    <t>646009704</t>
  </si>
  <si>
    <t>WJNZ6XNYPB9</t>
  </si>
  <si>
    <t>Tarlochan</t>
  </si>
  <si>
    <t>6460043757</t>
  </si>
  <si>
    <t>2BNKB9BJJJF</t>
  </si>
  <si>
    <t>Taranjot</t>
  </si>
  <si>
    <t>Bhari</t>
  </si>
  <si>
    <t>679562651</t>
  </si>
  <si>
    <t>3DNQF54SVQH</t>
  </si>
  <si>
    <t>Prabhjot Gurkaram</t>
  </si>
  <si>
    <t>576434405</t>
  </si>
  <si>
    <t>R2NKMM9C6YD</t>
  </si>
  <si>
    <t>MSN7BQQBVJ3</t>
  </si>
  <si>
    <t>Sidhdeep Singh</t>
  </si>
  <si>
    <t>675442860</t>
  </si>
  <si>
    <t>95NLDDHZ36J</t>
  </si>
  <si>
    <t>Anthony</t>
  </si>
  <si>
    <t>Roberts</t>
  </si>
  <si>
    <t>669568564</t>
  </si>
  <si>
    <t>K3NVYQBGT3M</t>
  </si>
  <si>
    <t>Markeesha</t>
  </si>
  <si>
    <t>Rasheed</t>
  </si>
  <si>
    <t>576613497</t>
  </si>
  <si>
    <t>5FN8MPVQYG7</t>
  </si>
  <si>
    <t>Leslie Lena</t>
  </si>
  <si>
    <t>A43366004</t>
  </si>
  <si>
    <t>G5NWRFGRSQV</t>
  </si>
  <si>
    <t>Vansh</t>
  </si>
  <si>
    <t>Rajput</t>
  </si>
  <si>
    <t>A72608481</t>
  </si>
  <si>
    <t>OZ 742</t>
  </si>
  <si>
    <t>OZ 212</t>
  </si>
  <si>
    <t>XYN7CLG5MD8</t>
  </si>
  <si>
    <t>Maria Elena</t>
  </si>
  <si>
    <t>Torres Cabrera</t>
  </si>
  <si>
    <t>Mexico</t>
  </si>
  <si>
    <t>N11258712</t>
  </si>
  <si>
    <t>5MNBNV9RKRD</t>
  </si>
  <si>
    <t>Jayden</t>
  </si>
  <si>
    <t>Torres</t>
  </si>
  <si>
    <t>678570735</t>
  </si>
  <si>
    <t>3BNMHNBP725</t>
  </si>
  <si>
    <t>Maria Guadalupe</t>
  </si>
  <si>
    <t>Perez</t>
  </si>
  <si>
    <t>A60657320</t>
  </si>
  <si>
    <t>7BNHC59PHCD</t>
  </si>
  <si>
    <t>Lexi</t>
  </si>
  <si>
    <t>Garcia Torres</t>
  </si>
  <si>
    <t>678570736</t>
  </si>
  <si>
    <t>P9NJPB8G8QX</t>
  </si>
  <si>
    <t>Chau Giang</t>
  </si>
  <si>
    <t>545594919</t>
  </si>
  <si>
    <t>MM 809</t>
  </si>
  <si>
    <t>WFNCXT5MWZ4</t>
  </si>
  <si>
    <t>Tu Van</t>
  </si>
  <si>
    <t>545594918</t>
  </si>
  <si>
    <t>HRNGLQP67CL</t>
  </si>
  <si>
    <t>Firmen Ligaspo</t>
  </si>
  <si>
    <t>Zarco</t>
  </si>
  <si>
    <t>6VN5G7CH8ZX</t>
  </si>
  <si>
    <t>Mohinder</t>
  </si>
  <si>
    <t>Kumar</t>
  </si>
  <si>
    <t>565903595</t>
  </si>
  <si>
    <t>4GN7GX4MZH4</t>
  </si>
  <si>
    <t>Kevin Kuan Chang</t>
  </si>
  <si>
    <t>A57414138</t>
  </si>
  <si>
    <t>RDNR7VCM789</t>
  </si>
  <si>
    <t>Nancy Tai-Yu</t>
  </si>
  <si>
    <t>Wu</t>
  </si>
  <si>
    <t>A61726890</t>
  </si>
  <si>
    <t>D6N86CXPCGL</t>
  </si>
  <si>
    <t>Ramesh</t>
  </si>
  <si>
    <t>Srinivasan</t>
  </si>
  <si>
    <t>A68667645</t>
  </si>
  <si>
    <t>CI 163</t>
  </si>
  <si>
    <t>WRNX3RQ22VG</t>
  </si>
  <si>
    <t>Srividya</t>
  </si>
  <si>
    <t>544269888</t>
  </si>
  <si>
    <t>Vincent Abram</t>
  </si>
  <si>
    <t>Jones</t>
  </si>
  <si>
    <t>A17507183</t>
  </si>
  <si>
    <t>9XNM7MTWG7V</t>
  </si>
  <si>
    <t>Dalbir</t>
  </si>
  <si>
    <t>655004738</t>
  </si>
  <si>
    <t>K4NFNH2M8P7</t>
  </si>
  <si>
    <t>Ranjit Kaur</t>
  </si>
  <si>
    <t>Pannu</t>
  </si>
  <si>
    <t>A03124962</t>
  </si>
  <si>
    <t>ZFNTM5BLR2S</t>
  </si>
  <si>
    <t>Lovepreet</t>
  </si>
  <si>
    <t>A35448230</t>
  </si>
  <si>
    <t>MCNJWSRXYP6</t>
  </si>
  <si>
    <t>Tarandeep</t>
  </si>
  <si>
    <t>665607731</t>
  </si>
  <si>
    <t>MMNVDTZR2L8</t>
  </si>
  <si>
    <t>Fateh Singh</t>
  </si>
  <si>
    <t>668285779</t>
  </si>
  <si>
    <t>BVNYYJKZ37Z</t>
  </si>
  <si>
    <t>Surendra Prakash</t>
  </si>
  <si>
    <t>Malla</t>
  </si>
  <si>
    <t>A48682439</t>
  </si>
  <si>
    <t>DL 196</t>
  </si>
  <si>
    <t>JNN38Q82YPZ</t>
  </si>
  <si>
    <t>Lata</t>
  </si>
  <si>
    <t>Marsani Malla</t>
  </si>
  <si>
    <t>Nepal</t>
  </si>
  <si>
    <t>PA4020456</t>
  </si>
  <si>
    <t>FRNLN6G6F9W</t>
  </si>
  <si>
    <t>Austin Walker</t>
  </si>
  <si>
    <t>656381451</t>
  </si>
  <si>
    <t>D2NHKN57YL5</t>
  </si>
  <si>
    <t>Jacky Yen Chuan</t>
  </si>
  <si>
    <t>543633921</t>
  </si>
  <si>
    <t>TR 896</t>
  </si>
  <si>
    <t>6LNCZ3WQ38X</t>
  </si>
  <si>
    <t>Jennifer</t>
  </si>
  <si>
    <t>641671104</t>
  </si>
  <si>
    <t>L8NZBL95ZGY</t>
  </si>
  <si>
    <t>Yung-Huei Liu</t>
  </si>
  <si>
    <t>A14840061</t>
  </si>
  <si>
    <t>WNNWRXTFLGC</t>
  </si>
  <si>
    <t>India</t>
  </si>
  <si>
    <t>C20065591</t>
  </si>
  <si>
    <t>F4NQBQ5Y6TF</t>
  </si>
  <si>
    <t>Satinderjit</t>
  </si>
  <si>
    <t>C17143171</t>
  </si>
  <si>
    <t>35NK3HLNPPZ</t>
  </si>
  <si>
    <t>Prabhjot</t>
  </si>
  <si>
    <t>Sidhu</t>
  </si>
  <si>
    <t>C20336505</t>
  </si>
  <si>
    <t>DCN9HHBFVQY</t>
  </si>
  <si>
    <t>Mandeep</t>
  </si>
  <si>
    <t>Chahal</t>
  </si>
  <si>
    <t>671938409</t>
  </si>
  <si>
    <t>4YNK2XRM3GH</t>
  </si>
  <si>
    <t>Anantha Lakshmi</t>
  </si>
  <si>
    <t>Tayyebi</t>
  </si>
  <si>
    <t>582341275</t>
  </si>
  <si>
    <t>OZ 107</t>
  </si>
  <si>
    <t>XMN9W975NQY</t>
  </si>
  <si>
    <t>Lina Nikolova</t>
  </si>
  <si>
    <t>Baharova</t>
  </si>
  <si>
    <t>A19880408</t>
  </si>
  <si>
    <t>KL 856</t>
  </si>
  <si>
    <t>LO-B07</t>
  </si>
  <si>
    <t>T3NV6FMJZPQ</t>
  </si>
  <si>
    <t>Koren</t>
  </si>
  <si>
    <t>Mcbean</t>
  </si>
  <si>
    <t>A41957619</t>
  </si>
  <si>
    <t>OZ 222</t>
  </si>
  <si>
    <t>Nan Satt</t>
  </si>
  <si>
    <t>4RNWXCF2ZYQ</t>
  </si>
  <si>
    <t>Brandon</t>
  </si>
  <si>
    <t>674539340</t>
  </si>
  <si>
    <t>Q3NRRG3RHNW</t>
  </si>
  <si>
    <t>Aung Myo</t>
  </si>
  <si>
    <t>Myat</t>
  </si>
  <si>
    <t>Myanmar</t>
  </si>
  <si>
    <t>MF238072</t>
  </si>
  <si>
    <t>TW 102</t>
  </si>
  <si>
    <t>NQNTQZTYT8G</t>
  </si>
  <si>
    <t>Zun Hlaing</t>
  </si>
  <si>
    <t>Phu</t>
  </si>
  <si>
    <t>589507036</t>
  </si>
  <si>
    <t>6FN9PRYGK9Z</t>
  </si>
  <si>
    <t>Khin Aye</t>
  </si>
  <si>
    <t>Win</t>
  </si>
  <si>
    <t>A09838266</t>
  </si>
  <si>
    <t>Z4N5QSZJ8W6</t>
  </si>
  <si>
    <t>Li Kwan</t>
  </si>
  <si>
    <t>Saw</t>
  </si>
  <si>
    <t>587765192</t>
  </si>
  <si>
    <t>HQNQW4PC3VJ</t>
  </si>
  <si>
    <t>Khin Nan</t>
  </si>
  <si>
    <t>Satt</t>
  </si>
  <si>
    <t>A08386325</t>
  </si>
  <si>
    <t>QTNXY255C8G</t>
  </si>
  <si>
    <t>Sai Pan</t>
  </si>
  <si>
    <t>Hseng</t>
  </si>
  <si>
    <t>599933003</t>
  </si>
  <si>
    <t>X5NV882ZWSS</t>
  </si>
  <si>
    <t>Michelle</t>
  </si>
  <si>
    <t>640008393</t>
  </si>
  <si>
    <t>KE 82</t>
  </si>
  <si>
    <t>KE 85</t>
  </si>
  <si>
    <t>LO-B15</t>
  </si>
  <si>
    <t>YMNRXJD9DVG</t>
  </si>
  <si>
    <t>Jaslin</t>
  </si>
  <si>
    <t>644087631</t>
  </si>
  <si>
    <t>Nita Dalal</t>
  </si>
  <si>
    <t>GQNMWV63PX7</t>
  </si>
  <si>
    <t>Sarevjit</t>
  </si>
  <si>
    <t>A11808891</t>
  </si>
  <si>
    <t>XYNXHZCHQR4</t>
  </si>
  <si>
    <t>Rosalin</t>
  </si>
  <si>
    <t>A37192056</t>
  </si>
  <si>
    <t>F8NV9GZV67S</t>
  </si>
  <si>
    <t>Daliborka</t>
  </si>
  <si>
    <t>Josipovic</t>
  </si>
  <si>
    <t>648110448</t>
  </si>
  <si>
    <t>28NDJT27HG9</t>
  </si>
  <si>
    <t>Zlatko</t>
  </si>
  <si>
    <t>648110447</t>
  </si>
  <si>
    <t>G7N9545MT8F</t>
  </si>
  <si>
    <t>Manker</t>
  </si>
  <si>
    <t>Biah</t>
  </si>
  <si>
    <t>537183423</t>
  </si>
  <si>
    <t>OZ 115</t>
  </si>
  <si>
    <t>XCNKG599VSG</t>
  </si>
  <si>
    <t>YP 732</t>
  </si>
  <si>
    <t>FWN2JV28FV4</t>
  </si>
  <si>
    <t>Emmanuel Musongo</t>
  </si>
  <si>
    <t>Nanje</t>
  </si>
  <si>
    <t>A14023376</t>
  </si>
  <si>
    <t>MTNSGQGWPHC</t>
  </si>
  <si>
    <t>Kristy Njaba</t>
  </si>
  <si>
    <t>584014112</t>
  </si>
  <si>
    <t>F4N6PVWB5ZN</t>
  </si>
  <si>
    <t>Gaetan</t>
  </si>
  <si>
    <t>Semanou</t>
  </si>
  <si>
    <t>644432300</t>
  </si>
  <si>
    <t>R8NSVDN63F4</t>
  </si>
  <si>
    <t>Aimee</t>
  </si>
  <si>
    <t>A19059469</t>
  </si>
  <si>
    <t>C8N9ZGRCTJN</t>
  </si>
  <si>
    <t>Deepa</t>
  </si>
  <si>
    <t>Madadi</t>
  </si>
  <si>
    <t>A51431227</t>
  </si>
  <si>
    <t>DL 26</t>
  </si>
  <si>
    <t>9HN694QTPWV</t>
  </si>
  <si>
    <t>Bharath</t>
  </si>
  <si>
    <t>A37177461</t>
  </si>
  <si>
    <t>B2NSKV26JCQ</t>
  </si>
  <si>
    <t>Amritpal</t>
  </si>
  <si>
    <t>540993557</t>
  </si>
  <si>
    <t>85NV3FYYPHH</t>
  </si>
  <si>
    <t>Sarvjit</t>
  </si>
  <si>
    <t>C5594444</t>
  </si>
  <si>
    <t>PBNYSW9CCTN</t>
  </si>
  <si>
    <t>Kevatkumar Ramanbhai</t>
  </si>
  <si>
    <t>Patel</t>
  </si>
  <si>
    <t>660099763</t>
  </si>
  <si>
    <t>HKNK3M6KFGT</t>
  </si>
  <si>
    <t>Kishore Rasiklal</t>
  </si>
  <si>
    <t>Shah</t>
  </si>
  <si>
    <t>565812179</t>
  </si>
  <si>
    <t>2TNCTZ67VLZ</t>
  </si>
  <si>
    <t>Nandini Kishore</t>
  </si>
  <si>
    <t>565826286</t>
  </si>
  <si>
    <t>TBN5FK9H6LG</t>
  </si>
  <si>
    <t>Kunal Anilkumar</t>
  </si>
  <si>
    <t>653332300</t>
  </si>
  <si>
    <t>KE 706</t>
  </si>
  <si>
    <t>2TN2S2Y7HMS</t>
  </si>
  <si>
    <t>Himali Kunal</t>
  </si>
  <si>
    <t>A57935614</t>
  </si>
  <si>
    <t>2WNSCKK2MQ6</t>
  </si>
  <si>
    <t>Shivansh Kunal</t>
  </si>
  <si>
    <t>669780504</t>
  </si>
  <si>
    <t>GYNT4P98RMY</t>
  </si>
  <si>
    <t>Mohit</t>
  </si>
  <si>
    <t>A47176406</t>
  </si>
  <si>
    <t>KE 497</t>
  </si>
  <si>
    <t>4XNMPZDX2J6</t>
  </si>
  <si>
    <t>Preeti</t>
  </si>
  <si>
    <t>Verma</t>
  </si>
  <si>
    <t>V0492755</t>
  </si>
  <si>
    <t>3HN6B2DT4VR</t>
  </si>
  <si>
    <t>Sanmati Ronak</t>
  </si>
  <si>
    <t>A04374318</t>
  </si>
  <si>
    <t>DYNL3SPJ9CN</t>
  </si>
  <si>
    <t>Lakshmi Narayana</t>
  </si>
  <si>
    <t>Charugundla</t>
  </si>
  <si>
    <t>566830097</t>
  </si>
  <si>
    <t>5NN4ZVNKY8N</t>
  </si>
  <si>
    <t>Guru Lakshmi</t>
  </si>
  <si>
    <t>Pattem</t>
  </si>
  <si>
    <t>9PNGDMZHQCM</t>
  </si>
  <si>
    <t>Ronith</t>
  </si>
  <si>
    <t>3WNTF2GG9HW</t>
  </si>
  <si>
    <t>Vineeth</t>
  </si>
  <si>
    <t>A43350196</t>
  </si>
  <si>
    <t>4XN5N69VN45</t>
  </si>
  <si>
    <t>Aman</t>
  </si>
  <si>
    <t>Yadav</t>
  </si>
  <si>
    <t>578341804</t>
  </si>
  <si>
    <t>NQ 121</t>
  </si>
  <si>
    <t>H5NV7TNJGQ6</t>
  </si>
  <si>
    <t>Nishi</t>
  </si>
  <si>
    <t>671498661</t>
  </si>
  <si>
    <t>HYNCM38MHQ2</t>
  </si>
  <si>
    <t>Nita Rajendra</t>
  </si>
  <si>
    <t>Dalal</t>
  </si>
  <si>
    <t>57440246</t>
  </si>
  <si>
    <t>VPN3B3LMVF7</t>
  </si>
  <si>
    <t>Rajendra Manharlal</t>
  </si>
  <si>
    <t>A09936995</t>
  </si>
  <si>
    <t>Q6N2T8YVB96</t>
  </si>
  <si>
    <t>Rohan Rajendra</t>
  </si>
  <si>
    <t>537644654</t>
  </si>
  <si>
    <t>RTN47GXLN9R</t>
  </si>
  <si>
    <t>Teena Bianca</t>
  </si>
  <si>
    <t>666432419</t>
  </si>
  <si>
    <t>7PNXRWNWLBM</t>
  </si>
  <si>
    <t>Vinay Rajendra</t>
  </si>
  <si>
    <t>543677322</t>
  </si>
  <si>
    <t>DKN9YFZRZ4L</t>
  </si>
  <si>
    <t>Yash</t>
  </si>
  <si>
    <t>575731600</t>
  </si>
  <si>
    <t>LO-B08</t>
  </si>
  <si>
    <t>HBN54QTBCJT</t>
  </si>
  <si>
    <t>Carl</t>
  </si>
  <si>
    <t>Logan</t>
  </si>
  <si>
    <t>550097831</t>
  </si>
  <si>
    <t>Si Hoang</t>
  </si>
  <si>
    <t>39NMNKL2NCP</t>
  </si>
  <si>
    <t>Yen-Linh Thi</t>
  </si>
  <si>
    <t>Huynh</t>
  </si>
  <si>
    <t>553371086</t>
  </si>
  <si>
    <t>45NJMVXF52B</t>
  </si>
  <si>
    <t>Baladad</t>
  </si>
  <si>
    <t>595754149</t>
  </si>
  <si>
    <t>BR 159</t>
  </si>
  <si>
    <t>GSN88F7DPM7</t>
  </si>
  <si>
    <t>Jasmine Moriah</t>
  </si>
  <si>
    <t>Baladad-Nalder</t>
  </si>
  <si>
    <t>595754150</t>
  </si>
  <si>
    <t>H4N5RHX4JSW</t>
  </si>
  <si>
    <t>Lauro Amorin</t>
  </si>
  <si>
    <t>Baladad Jr</t>
  </si>
  <si>
    <t>541528262</t>
  </si>
  <si>
    <t>C7NB38PL96B</t>
  </si>
  <si>
    <t>Maria Espiritu</t>
  </si>
  <si>
    <t>P3538233B</t>
  </si>
  <si>
    <t>LO-B09</t>
  </si>
  <si>
    <t>QSN5SH5Y9SS</t>
  </si>
  <si>
    <t>Yuanyuan</t>
  </si>
  <si>
    <t>EH7920537</t>
  </si>
  <si>
    <t>KE 174</t>
  </si>
  <si>
    <t>Tiffany Ke</t>
  </si>
  <si>
    <t>25N2P9VJXCW</t>
  </si>
  <si>
    <t>Meijuan</t>
  </si>
  <si>
    <t>EH2907756</t>
  </si>
  <si>
    <t>9NNW9588CQW</t>
  </si>
  <si>
    <t>Ying C</t>
  </si>
  <si>
    <t>Lay</t>
  </si>
  <si>
    <t>548156715</t>
  </si>
  <si>
    <t>DL 7842</t>
  </si>
  <si>
    <t>DL 7843</t>
  </si>
  <si>
    <t>XKNCVL7SSL4</t>
  </si>
  <si>
    <t>Qiang</t>
  </si>
  <si>
    <t>EJ3355253</t>
  </si>
  <si>
    <t>LJN7KBNGRCB</t>
  </si>
  <si>
    <t>Jing Jing</t>
  </si>
  <si>
    <t>674277414</t>
  </si>
  <si>
    <t>LPNZT2Q4ZP6</t>
  </si>
  <si>
    <t>Cifang</t>
  </si>
  <si>
    <t>545433492</t>
  </si>
  <si>
    <t>53NVFWTSVK3</t>
  </si>
  <si>
    <t>Mei Fang</t>
  </si>
  <si>
    <t>595903076</t>
  </si>
  <si>
    <t>XGN8QZ697X3</t>
  </si>
  <si>
    <t>A38554822</t>
  </si>
  <si>
    <t>FXNK6MY7HQR</t>
  </si>
  <si>
    <t>Jayan</t>
  </si>
  <si>
    <t>Liang</t>
  </si>
  <si>
    <t>A05754635</t>
  </si>
  <si>
    <t>KE 92</t>
  </si>
  <si>
    <t>Q8NHP4J848S</t>
  </si>
  <si>
    <t>576725277</t>
  </si>
  <si>
    <t>Q2N3HLCN8Z4</t>
  </si>
  <si>
    <t>Ping</t>
  </si>
  <si>
    <t>PPN8RJKJ6PT</t>
  </si>
  <si>
    <t>Elena</t>
  </si>
  <si>
    <t>A05754636</t>
  </si>
  <si>
    <t>N8NXDS8HFYL</t>
  </si>
  <si>
    <t>Kyle Matthew</t>
  </si>
  <si>
    <t>Chontos</t>
  </si>
  <si>
    <t>A62403625</t>
  </si>
  <si>
    <t>DL 7840</t>
  </si>
  <si>
    <t>DL 7839</t>
  </si>
  <si>
    <t>GWNSM4GR2ZG</t>
  </si>
  <si>
    <t>En Lin</t>
  </si>
  <si>
    <t>Chan</t>
  </si>
  <si>
    <t>546086496</t>
  </si>
  <si>
    <t>CX 418</t>
  </si>
  <si>
    <t>S7NF2LKM5K3</t>
  </si>
  <si>
    <t>Bingyun</t>
  </si>
  <si>
    <t>A37891572</t>
  </si>
  <si>
    <t>7KN84LWFQ9X</t>
  </si>
  <si>
    <t>Yunqin</t>
  </si>
  <si>
    <t>Ke</t>
  </si>
  <si>
    <t>A34911435</t>
  </si>
  <si>
    <t>R3NS25C4M3G</t>
  </si>
  <si>
    <t>Qingming</t>
  </si>
  <si>
    <t>566454496</t>
  </si>
  <si>
    <t>LO-B16</t>
  </si>
  <si>
    <t>FRND6GK8SRJ</t>
  </si>
  <si>
    <t>Wanyin</t>
  </si>
  <si>
    <t>545457951</t>
  </si>
  <si>
    <t>7C 2622</t>
  </si>
  <si>
    <t>Ting Chiu</t>
  </si>
  <si>
    <t>6JNQ9TPQ4J5</t>
  </si>
  <si>
    <t>Sarah</t>
  </si>
  <si>
    <t>A28329598</t>
  </si>
  <si>
    <t>L7NRM4THWQP</t>
  </si>
  <si>
    <t>Wayne Patrick</t>
  </si>
  <si>
    <t>550452232</t>
  </si>
  <si>
    <t>92N749GSNHD</t>
  </si>
  <si>
    <t>Susan Bolick</t>
  </si>
  <si>
    <t>548134782</t>
  </si>
  <si>
    <t>ZLNKGWFZ8HQ</t>
  </si>
  <si>
    <t>Allison Roxanne</t>
  </si>
  <si>
    <t>Smith</t>
  </si>
  <si>
    <t>A43494068</t>
  </si>
  <si>
    <t>CI 260</t>
  </si>
  <si>
    <t>BX 164</t>
  </si>
  <si>
    <t>XPNWV4YMSWK</t>
  </si>
  <si>
    <t>Russell Thomas</t>
  </si>
  <si>
    <t>A69443353</t>
  </si>
  <si>
    <t>T4NXRS5D6GF</t>
  </si>
  <si>
    <t>Gary</t>
  </si>
  <si>
    <t>Yip</t>
  </si>
  <si>
    <t>A29737050</t>
  </si>
  <si>
    <t>7C 6102</t>
  </si>
  <si>
    <t>RCN2PM9GD6F</t>
  </si>
  <si>
    <t>Hsiao Hui</t>
  </si>
  <si>
    <t>649715508</t>
  </si>
  <si>
    <t>X3NKWRQTD2T</t>
  </si>
  <si>
    <t>Julia Pham</t>
  </si>
  <si>
    <t>Nguyen</t>
  </si>
  <si>
    <t>680359787</t>
  </si>
  <si>
    <t>IT 603</t>
  </si>
  <si>
    <t>9ZNG8CY7RKG</t>
  </si>
  <si>
    <t>Quoi Trong</t>
  </si>
  <si>
    <t>680359786</t>
  </si>
  <si>
    <t>GRNTV74RBXZ</t>
  </si>
  <si>
    <t>Gloria</t>
  </si>
  <si>
    <t>Flores</t>
  </si>
  <si>
    <t>658713605</t>
  </si>
  <si>
    <t>KE 615</t>
  </si>
  <si>
    <t>TPNPGL56HLS</t>
  </si>
  <si>
    <t>Jaime</t>
  </si>
  <si>
    <t>A59648666</t>
  </si>
  <si>
    <t>GZNQ78G3F2B</t>
  </si>
  <si>
    <t>Lissa Marie</t>
  </si>
  <si>
    <t>Jeanty-Claude</t>
  </si>
  <si>
    <t>576038028</t>
  </si>
  <si>
    <t>Z9NT3VWYTDF</t>
  </si>
  <si>
    <t>Gerald Durkeim</t>
  </si>
  <si>
    <t>Claude</t>
  </si>
  <si>
    <t>A36516851</t>
  </si>
  <si>
    <t>GPNHCB94L7Q</t>
  </si>
  <si>
    <t>Nadia</t>
  </si>
  <si>
    <t>Deslhommes</t>
  </si>
  <si>
    <t>663399046</t>
  </si>
  <si>
    <t>HLNN9QFB77S</t>
  </si>
  <si>
    <t>Fitzgerald Samuel</t>
  </si>
  <si>
    <t>677534601</t>
  </si>
  <si>
    <t>QPN6WM3PPC4</t>
  </si>
  <si>
    <t>Jinghong</t>
  </si>
  <si>
    <t>561959651</t>
  </si>
  <si>
    <t>EY 822</t>
  </si>
  <si>
    <t>Airbus A330</t>
  </si>
  <si>
    <t>8SNSLVCJVYF</t>
  </si>
  <si>
    <t>Mayumi Marlene</t>
  </si>
  <si>
    <t>Cole</t>
  </si>
  <si>
    <t>552845771</t>
  </si>
  <si>
    <t>KE 756</t>
  </si>
  <si>
    <t>XBNYKRF7N7Z</t>
  </si>
  <si>
    <t>Ana Felicia</t>
  </si>
  <si>
    <t>Sequera-Heyn</t>
  </si>
  <si>
    <t>641062958</t>
  </si>
  <si>
    <t>KE 32</t>
  </si>
  <si>
    <t>KE 31</t>
  </si>
  <si>
    <t>QGNQRVWJJPT</t>
  </si>
  <si>
    <t>Omar Alfredo</t>
  </si>
  <si>
    <t>Sequera Oliveros</t>
  </si>
  <si>
    <t>A46645922</t>
  </si>
  <si>
    <t>X5NN4SCLS8Q</t>
  </si>
  <si>
    <t>Sarah Dang</t>
  </si>
  <si>
    <t>Quan</t>
  </si>
  <si>
    <t>598680284</t>
  </si>
  <si>
    <t>XKN8NCG4F8N</t>
  </si>
  <si>
    <t>Samantha</t>
  </si>
  <si>
    <t>677972963</t>
  </si>
  <si>
    <t>K8N8Y3R7R5S</t>
  </si>
  <si>
    <t>Yan Wah</t>
  </si>
  <si>
    <t>Chong</t>
  </si>
  <si>
    <t>680621664</t>
  </si>
  <si>
    <t>DL 7868</t>
  </si>
  <si>
    <t>75NNNMB3LPW</t>
  </si>
  <si>
    <t>Ricardo</t>
  </si>
  <si>
    <t>Villareal</t>
  </si>
  <si>
    <t>A29121614</t>
  </si>
  <si>
    <t>8ZNBMZTBM3J</t>
  </si>
  <si>
    <t>Lavern</t>
  </si>
  <si>
    <t>Young</t>
  </si>
  <si>
    <t>A63573063</t>
  </si>
  <si>
    <t>MFN7SBQ7PKN</t>
  </si>
  <si>
    <t>Georgia</t>
  </si>
  <si>
    <t>641780823</t>
  </si>
  <si>
    <t>P4NDKCXYN2Y</t>
  </si>
  <si>
    <t>Yvonne</t>
  </si>
  <si>
    <t>Julien</t>
  </si>
  <si>
    <t>A63026804</t>
  </si>
  <si>
    <t>BWNKZ59M5N9</t>
  </si>
  <si>
    <t>Stephen Selwyn</t>
  </si>
  <si>
    <t>A63026805</t>
  </si>
  <si>
    <t>LZNQ9SX3FJM</t>
  </si>
  <si>
    <t>Marithes</t>
  </si>
  <si>
    <t>Peters</t>
  </si>
  <si>
    <t>665770511</t>
  </si>
  <si>
    <t>58NGVCLBZ4Y</t>
  </si>
  <si>
    <t>Susan Talili</t>
  </si>
  <si>
    <t>Stringer</t>
  </si>
  <si>
    <t>651253153</t>
  </si>
  <si>
    <t>DL 159</t>
  </si>
  <si>
    <t>53NGRQPZL2L</t>
  </si>
  <si>
    <t>Purita Magpatoc</t>
  </si>
  <si>
    <t>Lakes</t>
  </si>
  <si>
    <t>670616868</t>
  </si>
  <si>
    <t>99NVMJ644V2</t>
  </si>
  <si>
    <t>Marilou Concillo</t>
  </si>
  <si>
    <t>Rice</t>
  </si>
  <si>
    <t>A59665711</t>
  </si>
  <si>
    <t>GRNJH75ML4M</t>
  </si>
  <si>
    <t>Frederick John</t>
  </si>
  <si>
    <t>582669032</t>
  </si>
  <si>
    <t>LPN7GFZ4J95</t>
  </si>
  <si>
    <t>Kay Chiung Hwei</t>
  </si>
  <si>
    <t>Matsui</t>
  </si>
  <si>
    <t>530921892</t>
  </si>
  <si>
    <t>JL 95</t>
  </si>
  <si>
    <t>JL 92</t>
  </si>
  <si>
    <t>SHNCXW4FTJD</t>
  </si>
  <si>
    <t>Ting-Lan</t>
  </si>
  <si>
    <t>Chiu</t>
  </si>
  <si>
    <t>А14545391</t>
  </si>
  <si>
    <t>DL 7850</t>
  </si>
  <si>
    <t>KE 185</t>
  </si>
  <si>
    <t>BGNR6TT77FD</t>
  </si>
  <si>
    <t>Cheng-Feng</t>
  </si>
  <si>
    <t>Chiang</t>
  </si>
  <si>
    <t>565622926</t>
  </si>
  <si>
    <t>WWN5NJV4KH9</t>
  </si>
  <si>
    <t>Christina Panda</t>
  </si>
  <si>
    <t>Vongpradith</t>
  </si>
  <si>
    <t>568150515</t>
  </si>
  <si>
    <t>PZNNT55BBFH</t>
  </si>
  <si>
    <t>Chanthasone</t>
  </si>
  <si>
    <t>642679853</t>
  </si>
  <si>
    <t>CCN3RBHZQNK</t>
  </si>
  <si>
    <t>Vikki</t>
  </si>
  <si>
    <t>Taysavang</t>
  </si>
  <si>
    <t>671482010</t>
  </si>
  <si>
    <t>KE 5040</t>
  </si>
  <si>
    <t>LO-B10</t>
  </si>
  <si>
    <t>63NGJWC97BK</t>
  </si>
  <si>
    <t>Edna Balido</t>
  </si>
  <si>
    <t>Reyes</t>
  </si>
  <si>
    <t>A45398825</t>
  </si>
  <si>
    <t>Tuan Le</t>
  </si>
  <si>
    <t>B8NVWJKM6LY</t>
  </si>
  <si>
    <t>Renato Singson</t>
  </si>
  <si>
    <t>680849753</t>
  </si>
  <si>
    <t>Y7NMWK9FRSM</t>
  </si>
  <si>
    <t>Leathrese Montanano</t>
  </si>
  <si>
    <t>Chappell</t>
  </si>
  <si>
    <t>670544987</t>
  </si>
  <si>
    <t>AC 61 on 17 Sep</t>
  </si>
  <si>
    <t>M6NLWFFNTZM</t>
  </si>
  <si>
    <t>Gary William</t>
  </si>
  <si>
    <t>583340012</t>
  </si>
  <si>
    <t>9FNGZJ239XJ</t>
  </si>
  <si>
    <t>Lysander Rivera</t>
  </si>
  <si>
    <t>588407220</t>
  </si>
  <si>
    <t>GMNJS3ZTP6P</t>
  </si>
  <si>
    <t>Teresita Garcia</t>
  </si>
  <si>
    <t>Collo</t>
  </si>
  <si>
    <t>555346414</t>
  </si>
  <si>
    <t>LO-B11</t>
  </si>
  <si>
    <t>FCN534PG3C6</t>
  </si>
  <si>
    <t>Tav Harleen Kaur</t>
  </si>
  <si>
    <t>Dhillon</t>
  </si>
  <si>
    <t>AH572177</t>
  </si>
  <si>
    <t>Xuan Nguyen (NY)</t>
  </si>
  <si>
    <t>SFNZ8YWF4WH</t>
  </si>
  <si>
    <t>Tajinder Kaur</t>
  </si>
  <si>
    <t>Athwal</t>
  </si>
  <si>
    <t>PE059226</t>
  </si>
  <si>
    <t>GQNSGTBL5N6</t>
  </si>
  <si>
    <t>Deja Nya</t>
  </si>
  <si>
    <t>Wahid</t>
  </si>
  <si>
    <t>654336466</t>
  </si>
  <si>
    <t>V2NGVXX9LSL</t>
  </si>
  <si>
    <t>Davy</t>
  </si>
  <si>
    <t>647234165</t>
  </si>
  <si>
    <t>D7NC5SQ6SZZ</t>
  </si>
  <si>
    <t>Diana</t>
  </si>
  <si>
    <t>Mcnear</t>
  </si>
  <si>
    <t>650743552</t>
  </si>
  <si>
    <t>WMNP88CNTHQ</t>
  </si>
  <si>
    <t>Shirlina</t>
  </si>
  <si>
    <t>Knapp</t>
  </si>
  <si>
    <t>A45411424</t>
  </si>
  <si>
    <t>28NBG8842JC</t>
  </si>
  <si>
    <t>Erik</t>
  </si>
  <si>
    <t>598594619</t>
  </si>
  <si>
    <t>JGN6LSJSC9K</t>
  </si>
  <si>
    <t>Nancy Norzin Dorjee</t>
  </si>
  <si>
    <t>Klein</t>
  </si>
  <si>
    <t>A29027476</t>
  </si>
  <si>
    <t>JFNPNWQDKSX</t>
  </si>
  <si>
    <t>William Michael</t>
  </si>
  <si>
    <t>644194964</t>
  </si>
  <si>
    <t>RRNQ5ZVTVS3</t>
  </si>
  <si>
    <t>Ngawang Tsering</t>
  </si>
  <si>
    <t>Yawagyentsang</t>
  </si>
  <si>
    <t>C21737490</t>
  </si>
  <si>
    <t>X8N4CTC8BYP</t>
  </si>
  <si>
    <t>Tensing D</t>
  </si>
  <si>
    <t>C21685915</t>
  </si>
  <si>
    <t>GLNBKQVW97B</t>
  </si>
  <si>
    <t>Isaac Dorjee</t>
  </si>
  <si>
    <t>599537186</t>
  </si>
  <si>
    <t>QMNLWL8G838</t>
  </si>
  <si>
    <t>Tenzin Norgay</t>
  </si>
  <si>
    <t>Bajracharya</t>
  </si>
  <si>
    <t>721006141</t>
  </si>
  <si>
    <t>M6NK7P537S6</t>
  </si>
  <si>
    <t>Balan Kumari</t>
  </si>
  <si>
    <t>Rai</t>
  </si>
  <si>
    <t>PA2194853</t>
  </si>
  <si>
    <t>5WN7CH7BS4J</t>
  </si>
  <si>
    <t>Nima</t>
  </si>
  <si>
    <t>Sherpini</t>
  </si>
  <si>
    <t>09496326</t>
  </si>
  <si>
    <t>V8NS9TTLNHJ</t>
  </si>
  <si>
    <t>Sang</t>
  </si>
  <si>
    <t>Mota</t>
  </si>
  <si>
    <t>581575992</t>
  </si>
  <si>
    <t>KE 187</t>
  </si>
  <si>
    <t>K7N53PZT6NF</t>
  </si>
  <si>
    <t>Jaida Lhamo</t>
  </si>
  <si>
    <t>Kyi</t>
  </si>
  <si>
    <t>A12070077</t>
  </si>
  <si>
    <t>BFNT4Y8B278</t>
  </si>
  <si>
    <t>Xue Wei</t>
  </si>
  <si>
    <t>Gao</t>
  </si>
  <si>
    <t>EJ5352105</t>
  </si>
  <si>
    <t>KE 897</t>
  </si>
  <si>
    <t>HFNBPY5TN3V</t>
  </si>
  <si>
    <t>Minying</t>
  </si>
  <si>
    <t>EG1343913</t>
  </si>
  <si>
    <t>Rooming: Require a disabled room</t>
  </si>
  <si>
    <t>SLNWFJ3W3MX</t>
  </si>
  <si>
    <t>You Li</t>
  </si>
  <si>
    <t>571747328</t>
  </si>
  <si>
    <t>8ZNZ8MJZQ9V</t>
  </si>
  <si>
    <t>You Ming</t>
  </si>
  <si>
    <t>553865350</t>
  </si>
  <si>
    <t>6ZN7M74TZH9</t>
  </si>
  <si>
    <t>Tenzin</t>
  </si>
  <si>
    <t>Nangsa</t>
  </si>
  <si>
    <t>674194436</t>
  </si>
  <si>
    <t>L7NWXD3FL9M</t>
  </si>
  <si>
    <t>Namdol</t>
  </si>
  <si>
    <t>674194434</t>
  </si>
  <si>
    <t>J3NTYP7X7MC</t>
  </si>
  <si>
    <t>Sonam</t>
  </si>
  <si>
    <t>Phuntsok</t>
  </si>
  <si>
    <t>677131781</t>
  </si>
  <si>
    <t>ROOM LIST FOR LOTTE SEOUL_GROUP B</t>
  </si>
  <si>
    <t>1 POST-NIGHT</t>
  </si>
  <si>
    <t>2 POST-NIGHT</t>
  </si>
  <si>
    <t>3 POST-NIGHT</t>
  </si>
  <si>
    <t>David Koo</t>
  </si>
  <si>
    <t xml:space="preserve">PRE </t>
  </si>
  <si>
    <t>Upgrade - Junior Suite
2/ aka: Michelle Li</t>
  </si>
  <si>
    <t>Upgrade - Junior Suite
2/ Rooming: Require a disabled room for  Xue Wei Gao + Min Ying Xu</t>
  </si>
  <si>
    <t>SUBTOTAL - PRE &amp; POST</t>
  </si>
  <si>
    <t>GROUP B</t>
  </si>
  <si>
    <t>JNNP4Z7JPR3</t>
  </si>
  <si>
    <t>Amandeep Kaur</t>
  </si>
  <si>
    <t>JWNKCGCY23Y</t>
  </si>
  <si>
    <t xml:space="preserve">GROUP </t>
  </si>
  <si>
    <t>B</t>
  </si>
  <si>
    <t>A24226857</t>
  </si>
  <si>
    <t>Ẹ6005397</t>
  </si>
  <si>
    <t>CATEGORY</t>
  </si>
  <si>
    <t>JD</t>
  </si>
  <si>
    <t>Connecting with Lauro</t>
  </si>
  <si>
    <t>Connecting with Rowena</t>
  </si>
  <si>
    <t>GT</t>
  </si>
  <si>
    <t>GD</t>
  </si>
  <si>
    <t>DD</t>
  </si>
  <si>
    <t>DT</t>
  </si>
  <si>
    <t>B - Room Service</t>
  </si>
  <si>
    <t xml:space="preserve">ROOM SERVICE </t>
  </si>
  <si>
    <t>Nadine Arthurene</t>
  </si>
  <si>
    <t>Ellis</t>
  </si>
  <si>
    <t>Changed name from Sebasiten to Nadine</t>
  </si>
  <si>
    <t xml:space="preserve">Nicole Danielle </t>
  </si>
  <si>
    <t>Bigelow</t>
  </si>
  <si>
    <t>Changed name from Harjot Kaur to Nicole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</si>
</sst>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mmm\-dd\-yyyy"/>
    <numFmt numFmtId="165" formatCode="#,##0;[Red]#,##0"/>
    <numFmt numFmtId="166" formatCode="[$-409]mmmm\ d\,\ yyyy;@"/>
    <numFmt numFmtId="167" formatCode="h:mm;@"/>
    <numFmt numFmtId="168" formatCode="[$-409]d\-mmm;@"/>
    <numFmt numFmtId="169" formatCode="_(* #,##0_);_(* \(#,##0\);_(* &quot;-&quot;??_);_(@_)"/>
    <numFmt numFmtId="170" formatCode="[$-409]d\-mmm\-yy;@"/>
  </numFmts>
  <fonts count="70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8"/>
      <color theme="4"/>
      <name val="Verdana"/>
      <family val="2"/>
    </font>
    <font>
      <sz val="9"/>
      <color rgb="FF0F243E"/>
      <name val="Verdana"/>
      <family val="2"/>
    </font>
    <font>
      <sz val="9"/>
      <color theme="3" tint="-0.499984740745262"/>
      <name val="Verdana"/>
      <family val="2"/>
    </font>
    <font>
      <b/>
      <sz val="15"/>
      <color theme="3" tint="-0.499984740745262"/>
      <name val="Verdana"/>
      <family val="2"/>
    </font>
    <font>
      <b/>
      <sz val="18"/>
      <color theme="4"/>
      <name val="Verdana"/>
      <family val="2"/>
    </font>
    <font>
      <b/>
      <sz val="20"/>
      <color rgb="FF0070C0"/>
      <name val="Verdana"/>
      <family val="2"/>
    </font>
    <font>
      <b/>
      <sz val="9"/>
      <color theme="3" tint="-0.499984740745262"/>
      <name val="Verdana"/>
      <family val="2"/>
    </font>
    <font>
      <sz val="10"/>
      <name val="Verdana"/>
      <family val="2"/>
    </font>
    <font>
      <b/>
      <sz val="12"/>
      <name val="Verdana"/>
      <family val="2"/>
    </font>
    <font>
      <sz val="10"/>
      <color theme="1"/>
      <name val="Verdana"/>
      <family val="2"/>
    </font>
    <font>
      <sz val="10"/>
      <color theme="3" tint="-0.499984740745262"/>
      <name val="Verdana"/>
      <family val="2"/>
    </font>
    <font>
      <b/>
      <sz val="10"/>
      <name val="Verdana"/>
      <family val="2"/>
    </font>
    <font>
      <sz val="11"/>
      <color theme="3" tint="-0.499984740745262"/>
      <name val="Verdana"/>
      <family val="2"/>
    </font>
    <font>
      <b/>
      <sz val="12"/>
      <color indexed="9"/>
      <name val="Verdana"/>
      <family val="2"/>
    </font>
    <font>
      <b/>
      <sz val="10"/>
      <color indexed="9"/>
      <name val="Verdana"/>
      <family val="2"/>
    </font>
    <font>
      <b/>
      <sz val="13"/>
      <color theme="1"/>
      <name val="Verdana"/>
      <family val="2"/>
    </font>
    <font>
      <b/>
      <sz val="10"/>
      <color theme="3" tint="-0.499984740745262"/>
      <name val="Verdana"/>
      <family val="2"/>
    </font>
    <font>
      <b/>
      <sz val="10"/>
      <color rgb="FFC00000"/>
      <name val="Verdana"/>
      <family val="2"/>
    </font>
    <font>
      <sz val="11"/>
      <name val="Verdana"/>
      <family val="2"/>
    </font>
    <font>
      <b/>
      <sz val="11"/>
      <color theme="3" tint="-0.499984740745262"/>
      <name val="Verdana"/>
      <family val="2"/>
    </font>
    <font>
      <u/>
      <sz val="9"/>
      <color theme="3" tint="-0.499984740745262"/>
      <name val="Verdana"/>
      <family val="2"/>
    </font>
    <font>
      <u/>
      <sz val="9"/>
      <color theme="2" tint="-0.89999084444715716"/>
      <name val="Verdana"/>
      <family val="2"/>
    </font>
    <font>
      <sz val="9"/>
      <color theme="2" tint="-0.89999084444715716"/>
      <name val="Verdana"/>
      <family val="2"/>
    </font>
    <font>
      <sz val="9"/>
      <color rgb="FF0070C0"/>
      <name val="Verdana"/>
      <family val="2"/>
    </font>
    <font>
      <sz val="13"/>
      <color theme="1"/>
      <name val="Verdana"/>
      <family val="2"/>
    </font>
    <font>
      <sz val="12"/>
      <color theme="3" tint="-0.499984740745262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4"/>
      <color rgb="FF0432FF"/>
      <name val="Verdana"/>
      <family val="2"/>
    </font>
    <font>
      <b/>
      <sz val="12"/>
      <color theme="4"/>
      <name val="Verdana"/>
      <family val="2"/>
    </font>
    <font>
      <b/>
      <sz val="18"/>
      <color theme="1"/>
      <name val="Verdana"/>
      <family val="2"/>
    </font>
    <font>
      <b/>
      <sz val="10"/>
      <color theme="1"/>
      <name val="Verdana"/>
      <family val="2"/>
    </font>
    <font>
      <sz val="14"/>
      <color rgb="FF000000"/>
      <name val="-webkit-standard"/>
    </font>
    <font>
      <b/>
      <sz val="25"/>
      <color rgb="FF0000FF"/>
      <name val="Verdana"/>
      <family val="2"/>
    </font>
    <font>
      <b/>
      <sz val="15"/>
      <color rgb="FF0000FF"/>
      <name val="Verdan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12"/>
      <color theme="3" tint="-0.499984740745262"/>
      <name val="Verdana"/>
      <family val="2"/>
    </font>
    <font>
      <sz val="11"/>
      <color theme="0"/>
      <name val="Cambria "/>
    </font>
    <font>
      <b/>
      <sz val="11"/>
      <color theme="1"/>
      <name val="Cambria "/>
    </font>
    <font>
      <sz val="11"/>
      <name val="Cambria "/>
    </font>
    <font>
      <b/>
      <sz val="16"/>
      <color rgb="FFC00000"/>
      <name val="Cambria "/>
    </font>
    <font>
      <b/>
      <sz val="11"/>
      <color theme="3" tint="-0.499984740745262"/>
      <name val="Cambria "/>
    </font>
    <font>
      <sz val="11"/>
      <color rgb="FFFF0000"/>
      <name val="Cambria "/>
    </font>
    <font>
      <b/>
      <sz val="11"/>
      <color rgb="FFFF0000"/>
      <name val="Cambria "/>
    </font>
    <font>
      <b/>
      <sz val="11"/>
      <color theme="4" tint="-0.249977111117893"/>
      <name val="Cambria "/>
    </font>
    <font>
      <sz val="11"/>
      <color indexed="9"/>
      <name val="Cambria "/>
    </font>
    <font>
      <b/>
      <sz val="11"/>
      <color rgb="FF0000FF"/>
      <name val="Cambria "/>
    </font>
    <font>
      <b/>
      <sz val="11"/>
      <name val="Cambria "/>
    </font>
    <font>
      <b/>
      <sz val="11"/>
      <color theme="0"/>
      <name val="Cambria "/>
    </font>
    <font>
      <sz val="11"/>
      <color theme="1"/>
      <name val="Cambria "/>
    </font>
    <font>
      <b/>
      <sz val="12"/>
      <color rgb="FF0000FF"/>
      <name val="Verdana"/>
      <family val="2"/>
    </font>
    <font>
      <sz val="10"/>
      <name val="Cambria"/>
      <family val="2"/>
      <scheme val="major"/>
    </font>
    <font>
      <sz val="11"/>
      <name val="Cambria"/>
      <family val="1"/>
      <scheme val="major"/>
    </font>
    <font>
      <sz val="12"/>
      <color theme="1"/>
      <name val="TimesNewRomanPSMT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/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thin">
        <color theme="0" tint="-0.24994659260841701"/>
      </top>
      <bottom/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>
      <alignment vertical="center"/>
    </xf>
    <xf numFmtId="168" fontId="6" fillId="0" borderId="0">
      <alignment vertical="center"/>
    </xf>
    <xf numFmtId="168" fontId="2" fillId="0" borderId="0"/>
    <xf numFmtId="168" fontId="6" fillId="0" borderId="0"/>
    <xf numFmtId="43" fontId="2" fillId="0" borderId="0" applyFont="0" applyFill="0" applyBorder="0" applyAlignment="0" applyProtection="0"/>
    <xf numFmtId="168" fontId="5" fillId="0" borderId="0">
      <alignment vertical="center"/>
    </xf>
    <xf numFmtId="43" fontId="6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9" fillId="0" borderId="0"/>
  </cellStyleXfs>
  <cellXfs count="225">
    <xf numFmtId="0" fontId="0" fillId="0" borderId="0" xfId="0"/>
    <xf numFmtId="0" fontId="11" fillId="8" borderId="0" xfId="0" applyFont="1" applyFill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7" fillId="0" borderId="0" xfId="0" applyFont="1"/>
    <xf numFmtId="0" fontId="15" fillId="0" borderId="0" xfId="0" applyFont="1"/>
    <xf numFmtId="0" fontId="18" fillId="0" borderId="0" xfId="0" applyFont="1" applyAlignment="1">
      <alignment horizontal="left" indent="15"/>
    </xf>
    <xf numFmtId="0" fontId="14" fillId="0" borderId="0" xfId="0" applyFont="1" applyAlignment="1">
      <alignment vertical="top" wrapText="1"/>
    </xf>
    <xf numFmtId="0" fontId="21" fillId="8" borderId="0" xfId="0" applyFont="1" applyFill="1"/>
    <xf numFmtId="0" fontId="22" fillId="0" borderId="0" xfId="0" applyFont="1"/>
    <xf numFmtId="0" fontId="22" fillId="0" borderId="0" xfId="0" applyFont="1" applyAlignment="1">
      <alignment vertical="center"/>
    </xf>
    <xf numFmtId="0" fontId="19" fillId="0" borderId="0" xfId="0" applyFont="1"/>
    <xf numFmtId="0" fontId="22" fillId="8" borderId="0" xfId="0" applyFont="1" applyFill="1"/>
    <xf numFmtId="0" fontId="22" fillId="0" borderId="0" xfId="0" applyFont="1" applyAlignment="1">
      <alignment vertical="top" wrapText="1"/>
    </xf>
    <xf numFmtId="0" fontId="19" fillId="0" borderId="0" xfId="0" applyFont="1" applyAlignment="1">
      <alignment horizontal="left"/>
    </xf>
    <xf numFmtId="0" fontId="24" fillId="8" borderId="0" xfId="0" applyFont="1" applyFill="1"/>
    <xf numFmtId="0" fontId="24" fillId="0" borderId="0" xfId="0" applyFont="1"/>
    <xf numFmtId="0" fontId="24" fillId="8" borderId="0" xfId="0" applyFont="1" applyFill="1" applyAlignment="1">
      <alignment vertical="center"/>
    </xf>
    <xf numFmtId="165" fontId="24" fillId="0" borderId="0" xfId="0" applyNumberFormat="1" applyFont="1"/>
    <xf numFmtId="0" fontId="18" fillId="2" borderId="0" xfId="0" applyFont="1" applyFill="1" applyAlignment="1">
      <alignment vertical="top"/>
    </xf>
    <xf numFmtId="0" fontId="2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" fontId="18" fillId="2" borderId="0" xfId="0" applyNumberFormat="1" applyFont="1" applyFill="1" applyAlignment="1">
      <alignment vertical="center" wrapText="1"/>
    </xf>
    <xf numFmtId="16" fontId="18" fillId="2" borderId="0" xfId="0" quotePrefix="1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2" xfId="0" applyFont="1" applyFill="1" applyBorder="1" applyAlignment="1">
      <alignment vertical="top"/>
    </xf>
    <xf numFmtId="0" fontId="2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6" fontId="18" fillId="2" borderId="2" xfId="0" applyNumberFormat="1" applyFont="1" applyFill="1" applyBorder="1" applyAlignment="1">
      <alignment vertical="center" wrapText="1"/>
    </xf>
    <xf numFmtId="16" fontId="18" fillId="2" borderId="2" xfId="0" quotePrefix="1" applyNumberFormat="1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23" fillId="0" borderId="0" xfId="0" applyFont="1" applyAlignment="1">
      <alignment horizontal="left"/>
    </xf>
    <xf numFmtId="0" fontId="19" fillId="0" borderId="0" xfId="0" quotePrefix="1" applyFont="1"/>
    <xf numFmtId="0" fontId="19" fillId="0" borderId="0" xfId="0" quotePrefix="1" applyFont="1" applyAlignment="1">
      <alignment horizontal="left"/>
    </xf>
    <xf numFmtId="0" fontId="29" fillId="0" borderId="0" xfId="0" applyFont="1"/>
    <xf numFmtId="0" fontId="30" fillId="0" borderId="0" xfId="0" applyFont="1" applyAlignment="1">
      <alignment horizontal="left"/>
    </xf>
    <xf numFmtId="0" fontId="30" fillId="0" borderId="0" xfId="0" quotePrefix="1" applyFont="1"/>
    <xf numFmtId="0" fontId="14" fillId="0" borderId="0" xfId="0" quotePrefix="1" applyFont="1" applyAlignment="1">
      <alignment horizontal="left"/>
    </xf>
    <xf numFmtId="0" fontId="14" fillId="0" borderId="0" xfId="0" quotePrefix="1" applyFont="1"/>
    <xf numFmtId="0" fontId="31" fillId="2" borderId="0" xfId="0" applyFont="1" applyFill="1" applyAlignment="1">
      <alignment horizontal="center" vertical="center" wrapText="1"/>
    </xf>
    <xf numFmtId="1" fontId="31" fillId="2" borderId="0" xfId="0" applyNumberFormat="1" applyFont="1" applyFill="1" applyAlignment="1">
      <alignment horizontal="center"/>
    </xf>
    <xf numFmtId="0" fontId="32" fillId="0" borderId="0" xfId="4" applyFont="1" applyAlignment="1" applyProtection="1"/>
    <xf numFmtId="0" fontId="11" fillId="0" borderId="0" xfId="0" applyFont="1"/>
    <xf numFmtId="0" fontId="33" fillId="0" borderId="0" xfId="4" applyFont="1" applyAlignment="1" applyProtection="1"/>
    <xf numFmtId="0" fontId="34" fillId="0" borderId="0" xfId="0" applyFont="1"/>
    <xf numFmtId="0" fontId="35" fillId="0" borderId="0" xfId="0" applyFont="1"/>
    <xf numFmtId="0" fontId="25" fillId="10" borderId="7" xfId="0" applyFont="1" applyFill="1" applyBorder="1" applyAlignment="1">
      <alignment vertical="center"/>
    </xf>
    <xf numFmtId="0" fontId="25" fillId="10" borderId="7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 vertical="center" wrapText="1"/>
    </xf>
    <xf numFmtId="0" fontId="37" fillId="8" borderId="0" xfId="0" applyFont="1" applyFill="1"/>
    <xf numFmtId="0" fontId="37" fillId="0" borderId="0" xfId="0" applyFont="1"/>
    <xf numFmtId="0" fontId="39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7" xfId="0" applyFont="1" applyBorder="1"/>
    <xf numFmtId="165" fontId="37" fillId="0" borderId="0" xfId="0" applyNumberFormat="1" applyFont="1" applyAlignment="1">
      <alignment horizontal="left"/>
    </xf>
    <xf numFmtId="0" fontId="40" fillId="8" borderId="0" xfId="0" applyFont="1" applyFill="1"/>
    <xf numFmtId="0" fontId="39" fillId="0" borderId="4" xfId="0" applyFont="1" applyBorder="1" applyAlignment="1">
      <alignment horizontal="center" vertical="center"/>
    </xf>
    <xf numFmtId="0" fontId="37" fillId="0" borderId="7" xfId="0" applyFont="1" applyBorder="1" applyAlignment="1">
      <alignment wrapText="1"/>
    </xf>
    <xf numFmtId="0" fontId="37" fillId="0" borderId="7" xfId="0" applyFont="1" applyBorder="1" applyAlignment="1">
      <alignment horizontal="center" wrapText="1"/>
    </xf>
    <xf numFmtId="0" fontId="14" fillId="0" borderId="12" xfId="0" applyFont="1" applyBorder="1"/>
    <xf numFmtId="0" fontId="20" fillId="11" borderId="6" xfId="0" applyFont="1" applyFill="1" applyBorder="1" applyAlignment="1">
      <alignment horizontal="left" vertical="center"/>
    </xf>
    <xf numFmtId="0" fontId="39" fillId="0" borderId="1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68" fontId="37" fillId="0" borderId="15" xfId="0" applyNumberFormat="1" applyFont="1" applyBorder="1" applyAlignment="1">
      <alignment vertical="center" wrapText="1"/>
    </xf>
    <xf numFmtId="0" fontId="37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wrapText="1"/>
    </xf>
    <xf numFmtId="0" fontId="38" fillId="0" borderId="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0" fontId="20" fillId="0" borderId="7" xfId="0" applyFont="1" applyBorder="1" applyAlignment="1">
      <alignment horizontal="right" vertical="center"/>
    </xf>
    <xf numFmtId="0" fontId="20" fillId="0" borderId="15" xfId="0" applyFont="1" applyBorder="1" applyAlignment="1">
      <alignment horizontal="right" vertical="center"/>
    </xf>
    <xf numFmtId="168" fontId="41" fillId="0" borderId="7" xfId="0" applyNumberFormat="1" applyFont="1" applyBorder="1" applyAlignment="1">
      <alignment vertical="center" wrapText="1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wrapText="1"/>
    </xf>
    <xf numFmtId="0" fontId="42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39" fillId="0" borderId="0" xfId="0" applyFont="1" applyAlignment="1">
      <alignment vertical="top"/>
    </xf>
    <xf numFmtId="0" fontId="21" fillId="0" borderId="0" xfId="0" applyFont="1"/>
    <xf numFmtId="0" fontId="40" fillId="0" borderId="0" xfId="0" applyFont="1" applyAlignment="1">
      <alignment vertical="center"/>
    </xf>
    <xf numFmtId="170" fontId="39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/>
    </xf>
    <xf numFmtId="166" fontId="44" fillId="0" borderId="0" xfId="0" applyNumberFormat="1" applyFont="1" applyAlignment="1">
      <alignment horizontal="left" vertical="center" wrapText="1"/>
    </xf>
    <xf numFmtId="0" fontId="45" fillId="0" borderId="0" xfId="0" applyFont="1"/>
    <xf numFmtId="0" fontId="3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9" fillId="0" borderId="0" xfId="0" applyFont="1"/>
    <xf numFmtId="0" fontId="50" fillId="11" borderId="9" xfId="0" applyFont="1" applyFill="1" applyBorder="1" applyAlignment="1">
      <alignment vertical="center"/>
    </xf>
    <xf numFmtId="0" fontId="51" fillId="11" borderId="10" xfId="0" applyFont="1" applyFill="1" applyBorder="1" applyAlignment="1">
      <alignment vertical="center"/>
    </xf>
    <xf numFmtId="0" fontId="50" fillId="11" borderId="10" xfId="0" applyFont="1" applyFill="1" applyBorder="1" applyAlignment="1">
      <alignment vertical="center"/>
    </xf>
    <xf numFmtId="0" fontId="50" fillId="11" borderId="11" xfId="0" applyFont="1" applyFill="1" applyBorder="1" applyAlignment="1">
      <alignment vertical="center"/>
    </xf>
    <xf numFmtId="168" fontId="51" fillId="0" borderId="7" xfId="0" applyNumberFormat="1" applyFont="1" applyBorder="1" applyAlignment="1">
      <alignment vertical="center" wrapText="1"/>
    </xf>
    <xf numFmtId="0" fontId="25" fillId="10" borderId="7" xfId="0" applyFont="1" applyFill="1" applyBorder="1" applyAlignment="1">
      <alignment horizontal="center" vertical="center" wrapText="1"/>
    </xf>
    <xf numFmtId="168" fontId="52" fillId="0" borderId="7" xfId="0" applyNumberFormat="1" applyFont="1" applyBorder="1" applyAlignment="1">
      <alignment vertical="center" wrapText="1"/>
    </xf>
    <xf numFmtId="0" fontId="52" fillId="0" borderId="7" xfId="0" applyFont="1" applyBorder="1" applyAlignment="1">
      <alignment horizontal="center" vertical="center"/>
    </xf>
    <xf numFmtId="0" fontId="53" fillId="2" borderId="0" xfId="0" applyFont="1" applyFill="1"/>
    <xf numFmtId="0" fontId="54" fillId="2" borderId="0" xfId="0" applyFont="1" applyFill="1"/>
    <xf numFmtId="0" fontId="53" fillId="2" borderId="0" xfId="0" applyFont="1" applyFill="1" applyAlignment="1">
      <alignment horizont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43" fontId="55" fillId="2" borderId="0" xfId="3" applyFont="1" applyFill="1" applyAlignment="1">
      <alignment horizontal="center"/>
    </xf>
    <xf numFmtId="0" fontId="57" fillId="2" borderId="0" xfId="0" applyFont="1" applyFill="1" applyAlignment="1">
      <alignment horizontal="center"/>
    </xf>
    <xf numFmtId="164" fontId="58" fillId="2" borderId="0" xfId="0" applyNumberFormat="1" applyFont="1" applyFill="1" applyAlignment="1">
      <alignment horizontal="left"/>
    </xf>
    <xf numFmtId="0" fontId="58" fillId="2" borderId="0" xfId="0" applyFont="1" applyFill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8" fillId="2" borderId="0" xfId="0" applyFont="1" applyFill="1"/>
    <xf numFmtId="0" fontId="53" fillId="2" borderId="0" xfId="0" applyFont="1" applyFill="1" applyAlignment="1">
      <alignment vertical="center" wrapText="1"/>
    </xf>
    <xf numFmtId="164" fontId="58" fillId="2" borderId="0" xfId="0" applyNumberFormat="1" applyFont="1" applyFill="1" applyAlignment="1">
      <alignment horizontal="left" vertical="center"/>
    </xf>
    <xf numFmtId="0" fontId="54" fillId="9" borderId="1" xfId="13" applyNumberFormat="1" applyFont="1" applyFill="1" applyBorder="1" applyAlignment="1">
      <alignment horizontal="center" vertical="center" wrapText="1"/>
    </xf>
    <xf numFmtId="41" fontId="54" fillId="3" borderId="1" xfId="13" applyFont="1" applyFill="1" applyBorder="1" applyAlignment="1">
      <alignment horizontal="center" vertical="center" wrapText="1"/>
    </xf>
    <xf numFmtId="41" fontId="60" fillId="2" borderId="3" xfId="13" applyFont="1" applyFill="1" applyBorder="1" applyAlignment="1">
      <alignment horizontal="center" vertical="center" wrapText="1"/>
    </xf>
    <xf numFmtId="14" fontId="61" fillId="2" borderId="0" xfId="0" applyNumberFormat="1" applyFont="1" applyFill="1" applyAlignment="1">
      <alignment horizontal="center" vertical="center"/>
    </xf>
    <xf numFmtId="41" fontId="60" fillId="2" borderId="0" xfId="13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 wrapText="1"/>
    </xf>
    <xf numFmtId="0" fontId="57" fillId="2" borderId="0" xfId="0" applyFont="1" applyFill="1" applyAlignment="1">
      <alignment horizontal="center" wrapText="1"/>
    </xf>
    <xf numFmtId="43" fontId="55" fillId="2" borderId="0" xfId="3" applyFont="1" applyFill="1" applyAlignment="1">
      <alignment horizontal="center" wrapText="1"/>
    </xf>
    <xf numFmtId="169" fontId="61" fillId="2" borderId="0" xfId="3" applyNumberFormat="1" applyFont="1" applyFill="1" applyBorder="1" applyAlignment="1">
      <alignment horizontal="center" vertical="center"/>
    </xf>
    <xf numFmtId="0" fontId="55" fillId="2" borderId="0" xfId="0" applyFont="1" applyFill="1" applyAlignment="1">
      <alignment vertical="center" wrapText="1"/>
    </xf>
    <xf numFmtId="0" fontId="59" fillId="2" borderId="0" xfId="0" applyFont="1" applyFill="1" applyAlignment="1">
      <alignment vertical="top"/>
    </xf>
    <xf numFmtId="1" fontId="57" fillId="2" borderId="1" xfId="0" applyNumberFormat="1" applyFont="1" applyFill="1" applyBorder="1" applyAlignment="1">
      <alignment horizontal="center"/>
    </xf>
    <xf numFmtId="1" fontId="62" fillId="2" borderId="1" xfId="0" applyNumberFormat="1" applyFont="1" applyFill="1" applyBorder="1" applyAlignment="1">
      <alignment horizontal="center"/>
    </xf>
    <xf numFmtId="1" fontId="57" fillId="2" borderId="0" xfId="0" applyNumberFormat="1" applyFont="1" applyFill="1" applyAlignment="1">
      <alignment horizontal="center"/>
    </xf>
    <xf numFmtId="0" fontId="55" fillId="2" borderId="0" xfId="0" applyFont="1" applyFill="1" applyAlignment="1">
      <alignment vertical="center"/>
    </xf>
    <xf numFmtId="0" fontId="55" fillId="2" borderId="0" xfId="0" applyFont="1" applyFill="1" applyAlignment="1">
      <alignment horizontal="center" vertical="center"/>
    </xf>
    <xf numFmtId="1" fontId="62" fillId="2" borderId="0" xfId="0" applyNumberFormat="1" applyFont="1" applyFill="1" applyAlignment="1">
      <alignment horizontal="center"/>
    </xf>
    <xf numFmtId="0" fontId="55" fillId="2" borderId="1" xfId="0" applyFont="1" applyFill="1" applyBorder="1"/>
    <xf numFmtId="0" fontId="63" fillId="2" borderId="0" xfId="0" applyFont="1" applyFill="1" applyAlignment="1">
      <alignment vertical="center"/>
    </xf>
    <xf numFmtId="1" fontId="63" fillId="4" borderId="22" xfId="0" applyNumberFormat="1" applyFont="1" applyFill="1" applyBorder="1" applyAlignment="1" applyProtection="1">
      <alignment horizontal="center" vertical="center" wrapText="1"/>
      <protection hidden="1"/>
    </xf>
    <xf numFmtId="1" fontId="63" fillId="4" borderId="22" xfId="3" applyNumberFormat="1" applyFont="1" applyFill="1" applyBorder="1" applyAlignment="1" applyProtection="1">
      <alignment vertical="center" wrapText="1"/>
      <protection hidden="1"/>
    </xf>
    <xf numFmtId="1" fontId="63" fillId="4" borderId="22" xfId="0" applyNumberFormat="1" applyFont="1" applyFill="1" applyBorder="1" applyAlignment="1" applyProtection="1">
      <alignment vertical="center" wrapText="1"/>
      <protection hidden="1"/>
    </xf>
    <xf numFmtId="1" fontId="63" fillId="7" borderId="22" xfId="0" applyNumberFormat="1" applyFont="1" applyFill="1" applyBorder="1" applyAlignment="1">
      <alignment horizontal="center" vertical="center" wrapText="1"/>
    </xf>
    <xf numFmtId="1" fontId="63" fillId="7" borderId="22" xfId="3" applyNumberFormat="1" applyFont="1" applyFill="1" applyBorder="1" applyAlignment="1">
      <alignment vertical="center"/>
    </xf>
    <xf numFmtId="1" fontId="63" fillId="7" borderId="22" xfId="0" applyNumberFormat="1" applyFont="1" applyFill="1" applyBorder="1" applyAlignment="1">
      <alignment vertical="center" wrapText="1"/>
    </xf>
    <xf numFmtId="1" fontId="63" fillId="7" borderId="22" xfId="3" applyNumberFormat="1" applyFont="1" applyFill="1" applyBorder="1" applyAlignment="1">
      <alignment horizontal="center" vertical="center" wrapText="1"/>
    </xf>
    <xf numFmtId="1" fontId="63" fillId="3" borderId="25" xfId="0" applyNumberFormat="1" applyFont="1" applyFill="1" applyBorder="1" applyAlignment="1">
      <alignment horizontal="center" vertical="center" wrapText="1"/>
    </xf>
    <xf numFmtId="0" fontId="63" fillId="3" borderId="25" xfId="0" applyFont="1" applyFill="1" applyBorder="1" applyAlignment="1">
      <alignment vertical="center" wrapText="1"/>
    </xf>
    <xf numFmtId="1" fontId="64" fillId="5" borderId="25" xfId="0" quotePrefix="1" applyNumberFormat="1" applyFont="1" applyFill="1" applyBorder="1" applyAlignment="1">
      <alignment horizontal="center" vertical="top" wrapText="1"/>
    </xf>
    <xf numFmtId="1" fontId="64" fillId="5" borderId="25" xfId="3" quotePrefix="1" applyNumberFormat="1" applyFont="1" applyFill="1" applyBorder="1" applyAlignment="1">
      <alignment horizontal="center" vertical="top" wrapText="1"/>
    </xf>
    <xf numFmtId="1" fontId="53" fillId="5" borderId="25" xfId="0" quotePrefix="1" applyNumberFormat="1" applyFont="1" applyFill="1" applyBorder="1" applyAlignment="1">
      <alignment horizontal="center" vertical="top" wrapText="1"/>
    </xf>
    <xf numFmtId="167" fontId="63" fillId="3" borderId="25" xfId="0" applyNumberFormat="1" applyFont="1" applyFill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center" wrapText="1"/>
    </xf>
    <xf numFmtId="0" fontId="65" fillId="0" borderId="25" xfId="0" applyFont="1" applyBorder="1" applyAlignment="1">
      <alignment horizontal="center" vertical="center" wrapText="1"/>
    </xf>
    <xf numFmtId="0" fontId="65" fillId="0" borderId="25" xfId="0" applyFont="1" applyBorder="1" applyAlignment="1">
      <alignment horizontal="center" vertical="center"/>
    </xf>
    <xf numFmtId="170" fontId="65" fillId="0" borderId="25" xfId="0" applyNumberFormat="1" applyFont="1" applyBorder="1" applyAlignment="1">
      <alignment horizontal="center" vertical="center" wrapText="1"/>
    </xf>
    <xf numFmtId="167" fontId="65" fillId="0" borderId="25" xfId="0" applyNumberFormat="1" applyFont="1" applyBorder="1" applyAlignment="1">
      <alignment horizontal="center" vertical="center" wrapText="1"/>
    </xf>
    <xf numFmtId="0" fontId="55" fillId="2" borderId="26" xfId="0" applyFont="1" applyFill="1" applyBorder="1"/>
    <xf numFmtId="0" fontId="55" fillId="0" borderId="24" xfId="0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 wrapText="1"/>
    </xf>
    <xf numFmtId="0" fontId="65" fillId="0" borderId="28" xfId="0" applyFont="1" applyBorder="1" applyAlignment="1">
      <alignment horizontal="center" vertical="center"/>
    </xf>
    <xf numFmtId="170" fontId="65" fillId="0" borderId="28" xfId="0" applyNumberFormat="1" applyFont="1" applyBorder="1" applyAlignment="1">
      <alignment horizontal="center" vertical="center" wrapText="1"/>
    </xf>
    <xf numFmtId="167" fontId="65" fillId="0" borderId="28" xfId="0" applyNumberFormat="1" applyFont="1" applyBorder="1" applyAlignment="1">
      <alignment horizontal="center" vertical="center" wrapText="1"/>
    </xf>
    <xf numFmtId="0" fontId="55" fillId="2" borderId="29" xfId="0" applyFont="1" applyFill="1" applyBorder="1"/>
    <xf numFmtId="0" fontId="65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wrapText="1"/>
    </xf>
    <xf numFmtId="0" fontId="66" fillId="0" borderId="7" xfId="0" applyFont="1" applyBorder="1" applyAlignment="1">
      <alignment horizontal="right" vertical="center"/>
    </xf>
    <xf numFmtId="0" fontId="66" fillId="0" borderId="14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168" fontId="66" fillId="0" borderId="7" xfId="0" applyNumberFormat="1" applyFont="1" applyBorder="1" applyAlignment="1">
      <alignment vertical="center" wrapText="1"/>
    </xf>
    <xf numFmtId="0" fontId="66" fillId="0" borderId="7" xfId="0" applyFont="1" applyBorder="1" applyAlignment="1">
      <alignment horizontal="center" vertical="center"/>
    </xf>
    <xf numFmtId="168" fontId="67" fillId="12" borderId="25" xfId="0" applyNumberFormat="1" applyFont="1" applyFill="1" applyBorder="1" applyAlignment="1">
      <alignment horizontal="center" vertical="top"/>
    </xf>
    <xf numFmtId="16" fontId="68" fillId="12" borderId="25" xfId="0" applyNumberFormat="1" applyFont="1" applyFill="1" applyBorder="1" applyAlignment="1">
      <alignment horizontal="center"/>
    </xf>
    <xf numFmtId="0" fontId="68" fillId="12" borderId="25" xfId="0" applyFont="1" applyFill="1" applyBorder="1" applyAlignment="1">
      <alignment horizontal="center"/>
    </xf>
    <xf numFmtId="168" fontId="67" fillId="6" borderId="25" xfId="0" applyNumberFormat="1" applyFont="1" applyFill="1" applyBorder="1" applyAlignment="1">
      <alignment horizontal="center" vertical="top"/>
    </xf>
    <xf numFmtId="16" fontId="68" fillId="6" borderId="25" xfId="0" applyNumberFormat="1" applyFont="1" applyFill="1" applyBorder="1" applyAlignment="1">
      <alignment horizontal="center"/>
    </xf>
    <xf numFmtId="0" fontId="68" fillId="6" borderId="25" xfId="0" applyFont="1" applyFill="1" applyBorder="1" applyAlignment="1">
      <alignment horizontal="center"/>
    </xf>
    <xf numFmtId="0" fontId="65" fillId="13" borderId="25" xfId="0" applyFont="1" applyFill="1" applyBorder="1" applyAlignment="1">
      <alignment horizontal="center" vertical="center" wrapText="1"/>
    </xf>
    <xf numFmtId="0" fontId="66" fillId="0" borderId="32" xfId="0" applyFont="1" applyBorder="1" applyAlignment="1">
      <alignment horizontal="center" vertical="center"/>
    </xf>
    <xf numFmtId="168" fontId="66" fillId="0" borderId="30" xfId="0" applyNumberFormat="1" applyFont="1" applyBorder="1" applyAlignment="1">
      <alignment vertical="center" wrapText="1"/>
    </xf>
    <xf numFmtId="0" fontId="66" fillId="0" borderId="30" xfId="0" applyFont="1" applyBorder="1" applyAlignment="1">
      <alignment horizontal="center" vertical="center"/>
    </xf>
    <xf numFmtId="0" fontId="39" fillId="0" borderId="30" xfId="0" applyFont="1" applyBorder="1" applyAlignment="1">
      <alignment horizontal="right" vertical="center"/>
    </xf>
    <xf numFmtId="0" fontId="39" fillId="0" borderId="31" xfId="0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1" fontId="39" fillId="0" borderId="5" xfId="0" applyNumberFormat="1" applyFont="1" applyBorder="1" applyAlignment="1">
      <alignment horizontal="center" vertical="center"/>
    </xf>
    <xf numFmtId="0" fontId="69" fillId="2" borderId="25" xfId="0" applyFont="1" applyFill="1" applyBorder="1" applyAlignment="1">
      <alignment horizontal="center" vertical="center"/>
    </xf>
    <xf numFmtId="0" fontId="65" fillId="0" borderId="33" xfId="0" applyFont="1" applyBorder="1" applyAlignment="1">
      <alignment horizontal="center" vertical="center" wrapText="1"/>
    </xf>
    <xf numFmtId="0" fontId="58" fillId="13" borderId="25" xfId="0" applyFont="1" applyFill="1" applyBorder="1" applyAlignment="1">
      <alignment horizontal="center" vertical="center" wrapText="1"/>
    </xf>
    <xf numFmtId="0" fontId="65" fillId="0" borderId="36" xfId="0" applyFont="1" applyBorder="1" applyAlignment="1">
      <alignment horizontal="center" vertical="center" wrapText="1"/>
    </xf>
    <xf numFmtId="0" fontId="65" fillId="14" borderId="25" xfId="0" applyFont="1" applyFill="1" applyBorder="1" applyAlignment="1">
      <alignment horizontal="center" vertical="center" wrapText="1"/>
    </xf>
    <xf numFmtId="170" fontId="65" fillId="14" borderId="25" xfId="0" applyNumberFormat="1" applyFont="1" applyFill="1" applyBorder="1" applyAlignment="1">
      <alignment horizontal="center" vertical="center" wrapText="1"/>
    </xf>
    <xf numFmtId="0" fontId="55" fillId="14" borderId="26" xfId="0" applyFont="1" applyFill="1" applyBorder="1"/>
    <xf numFmtId="0" fontId="65" fillId="14" borderId="25" xfId="0" applyFont="1" applyFill="1" applyBorder="1" applyAlignment="1">
      <alignment horizontal="center" vertical="center"/>
    </xf>
    <xf numFmtId="0" fontId="26" fillId="10" borderId="16" xfId="0" applyFont="1" applyFill="1" applyBorder="1" applyAlignment="1">
      <alignment horizontal="center" vertical="center"/>
    </xf>
    <xf numFmtId="0" fontId="26" fillId="10" borderId="18" xfId="0" applyFont="1" applyFill="1" applyBorder="1" applyAlignment="1">
      <alignment horizontal="center" vertical="center"/>
    </xf>
    <xf numFmtId="0" fontId="26" fillId="10" borderId="17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19" fillId="0" borderId="0" xfId="0" quotePrefix="1" applyFont="1" applyAlignment="1">
      <alignment horizontal="left"/>
    </xf>
    <xf numFmtId="0" fontId="25" fillId="10" borderId="7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9" fillId="0" borderId="0" xfId="0" applyFont="1" applyAlignment="1">
      <alignment horizontal="left"/>
    </xf>
    <xf numFmtId="0" fontId="56" fillId="2" borderId="0" xfId="0" applyFont="1" applyFill="1" applyAlignment="1">
      <alignment horizontal="center"/>
    </xf>
    <xf numFmtId="0" fontId="63" fillId="6" borderId="23" xfId="0" applyFont="1" applyFill="1" applyBorder="1" applyAlignment="1">
      <alignment horizontal="center" vertical="center" wrapText="1"/>
    </xf>
    <xf numFmtId="0" fontId="63" fillId="6" borderId="26" xfId="0" applyFont="1" applyFill="1" applyBorder="1" applyAlignment="1">
      <alignment horizontal="center" vertical="center" wrapText="1"/>
    </xf>
    <xf numFmtId="1" fontId="63" fillId="3" borderId="21" xfId="0" applyNumberFormat="1" applyFont="1" applyFill="1" applyBorder="1" applyAlignment="1">
      <alignment horizontal="center" vertical="center" wrapText="1"/>
    </xf>
    <xf numFmtId="1" fontId="63" fillId="3" borderId="24" xfId="0" applyNumberFormat="1" applyFont="1" applyFill="1" applyBorder="1" applyAlignment="1">
      <alignment horizontal="center" vertical="center" wrapText="1"/>
    </xf>
    <xf numFmtId="1" fontId="63" fillId="3" borderId="22" xfId="0" applyNumberFormat="1" applyFont="1" applyFill="1" applyBorder="1" applyAlignment="1">
      <alignment horizontal="center" vertical="center" wrapText="1"/>
    </xf>
    <xf numFmtId="1" fontId="63" fillId="3" borderId="25" xfId="0" applyNumberFormat="1" applyFont="1" applyFill="1" applyBorder="1" applyAlignment="1">
      <alignment horizontal="center" vertical="center" wrapText="1"/>
    </xf>
    <xf numFmtId="1" fontId="62" fillId="3" borderId="22" xfId="0" applyNumberFormat="1" applyFont="1" applyFill="1" applyBorder="1" applyAlignment="1">
      <alignment horizontal="center" vertical="center" wrapText="1"/>
    </xf>
    <xf numFmtId="1" fontId="62" fillId="3" borderId="25" xfId="0" applyNumberFormat="1" applyFont="1" applyFill="1" applyBorder="1" applyAlignment="1">
      <alignment horizontal="center" vertical="center" wrapText="1"/>
    </xf>
    <xf numFmtId="167" fontId="63" fillId="6" borderId="22" xfId="0" applyNumberFormat="1" applyFont="1" applyFill="1" applyBorder="1" applyAlignment="1">
      <alignment horizontal="center" vertical="center" wrapText="1"/>
    </xf>
    <xf numFmtId="167" fontId="63" fillId="6" borderId="25" xfId="0" applyNumberFormat="1" applyFont="1" applyFill="1" applyBorder="1" applyAlignment="1">
      <alignment horizontal="center" vertical="center" wrapText="1"/>
    </xf>
    <xf numFmtId="43" fontId="57" fillId="6" borderId="34" xfId="3" applyFont="1" applyFill="1" applyBorder="1" applyAlignment="1">
      <alignment horizontal="center" vertical="center" wrapText="1"/>
    </xf>
    <xf numFmtId="43" fontId="57" fillId="6" borderId="35" xfId="3" applyFont="1" applyFill="1" applyBorder="1" applyAlignment="1">
      <alignment horizontal="center" vertical="center" wrapText="1"/>
    </xf>
    <xf numFmtId="0" fontId="63" fillId="3" borderId="22" xfId="0" applyFont="1" applyFill="1" applyBorder="1" applyAlignment="1">
      <alignment horizontal="center" vertical="center" wrapText="1"/>
    </xf>
    <xf numFmtId="0" fontId="63" fillId="3" borderId="25" xfId="0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/>
    </xf>
    <xf numFmtId="43" fontId="57" fillId="3" borderId="22" xfId="3" applyFont="1" applyFill="1" applyBorder="1" applyAlignment="1">
      <alignment horizontal="center" vertical="center" wrapText="1"/>
    </xf>
    <xf numFmtId="43" fontId="57" fillId="3" borderId="25" xfId="3" applyFont="1" applyFill="1" applyBorder="1" applyAlignment="1">
      <alignment horizontal="center" vertical="center" wrapText="1"/>
    </xf>
    <xf numFmtId="0" fontId="63" fillId="3" borderId="22" xfId="0" applyFont="1" applyFill="1" applyBorder="1" applyAlignment="1">
      <alignment horizontal="center" vertical="center"/>
    </xf>
    <xf numFmtId="43" fontId="57" fillId="3" borderId="34" xfId="3" applyFont="1" applyFill="1" applyBorder="1" applyAlignment="1">
      <alignment horizontal="center" vertical="center" wrapText="1"/>
    </xf>
    <xf numFmtId="43" fontId="57" fillId="3" borderId="35" xfId="3" applyFont="1" applyFill="1" applyBorder="1" applyAlignment="1">
      <alignment horizontal="center" vertical="center" wrapText="1"/>
    </xf>
  </cellXfs>
  <cellStyles count="15">
    <cellStyle name="Comma" xfId="3" builtinId="3"/>
    <cellStyle name="Comma [0]" xfId="13" builtinId="6"/>
    <cellStyle name="Hyperlink" xfId="4" builtinId="8"/>
    <cellStyle name="Normal" xfId="0" builtinId="0"/>
    <cellStyle name="Normal 2" xfId="1" xr:uid="{00000000-0005-0000-0000-000005000000}"/>
    <cellStyle name="Normal 2 8" xfId="2" xr:uid="{00000000-0005-0000-0000-000006000000}"/>
    <cellStyle name="Normal 2 85" xfId="6" xr:uid="{00000000-0005-0000-0000-000007000000}"/>
    <cellStyle name="Normal 2 85 2" xfId="11" xr:uid="{00000000-0005-0000-0000-000008000000}"/>
    <cellStyle name="Normal 4" xfId="14" xr:uid="{C9C82730-467B-F348-B595-8F7DE7EACAFB}"/>
    <cellStyle name="Normal 7" xfId="5" xr:uid="{00000000-0005-0000-0000-000009000000}"/>
    <cellStyle name="桁区切り [0.00] 2" xfId="10" xr:uid="{00000000-0005-0000-0000-00000A000000}"/>
    <cellStyle name="桁区切り [0.00] 2 2" xfId="12" xr:uid="{00000000-0005-0000-0000-00000B000000}"/>
    <cellStyle name="標準 2" xfId="8" xr:uid="{00000000-0005-0000-0000-00000C000000}"/>
    <cellStyle name="標準 2 2" xfId="9" xr:uid="{00000000-0005-0000-0000-00000D000000}"/>
    <cellStyle name="標準 3" xfId="7" xr:uid="{00000000-0005-0000-0000-00000E000000}"/>
  </cellStyles>
  <dxfs count="3"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  <dxf>
      <font>
        <b/>
        <i val="0"/>
      </font>
      <border>
        <top style="thin">
          <color rgb="FF0000FF"/>
        </top>
        <vertical/>
        <horizontal/>
      </border>
    </dxf>
  </dxfs>
  <tableStyles count="0" defaultTableStyle="TableStyleMedium9" defaultPivotStyle="PivotStyleLight16"/>
  <colors>
    <mruColors>
      <color rgb="FF0000FF"/>
      <color rgb="FF010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mmyle/Documents/WSB%202023%20-%20Thailand/Hotel/WSB%20ROOMING%20LIST/ALL%20HOTELS%20FOR%20ROOMING%20LIST%20GROUP%20B_APRIL%2017%20BY%20CHI%20JASM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HKT B (FOUR POINT)"/>
      <sheetName val="HKT B (LE MERIDIEN)"/>
      <sheetName val="HKT B (PULLMAN)"/>
      <sheetName val="BKK B (MARRIOT)"/>
      <sheetName val="BKK B (CENTARA)"/>
      <sheetName val="Assignmen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63"/>
  <sheetViews>
    <sheetView showGridLines="0" topLeftCell="A24" zoomScale="95" zoomScaleNormal="95" workbookViewId="0">
      <selection activeCell="H13" sqref="H13"/>
    </sheetView>
  </sheetViews>
  <sheetFormatPr baseColWidth="10" defaultColWidth="9.1640625" defaultRowHeight="14"/>
  <cols>
    <col min="1" max="1" width="2" style="2" customWidth="1"/>
    <col min="2" max="2" width="1.83203125" style="46" customWidth="1"/>
    <col min="3" max="3" width="1.5" style="2" customWidth="1"/>
    <col min="4" max="4" width="5" style="2" customWidth="1"/>
    <col min="5" max="5" width="37.33203125" style="2" customWidth="1"/>
    <col min="6" max="6" width="13.83203125" style="2" customWidth="1"/>
    <col min="7" max="7" width="12.6640625" style="2" customWidth="1"/>
    <col min="8" max="8" width="9.83203125" style="2" bestFit="1" customWidth="1"/>
    <col min="9" max="9" width="12.33203125" style="2" customWidth="1"/>
    <col min="10" max="10" width="18.6640625" style="2" customWidth="1"/>
    <col min="11" max="11" width="13.83203125" style="2" customWidth="1"/>
    <col min="12" max="12" width="14.5" style="2" customWidth="1"/>
    <col min="13" max="13" width="12.83203125" style="2" bestFit="1" customWidth="1"/>
    <col min="14" max="14" width="13.1640625" style="2" customWidth="1"/>
    <col min="15" max="15" width="14.83203125" style="2" bestFit="1" customWidth="1"/>
    <col min="16" max="16" width="9.6640625" style="2" customWidth="1"/>
    <col min="17" max="17" width="2" style="2" customWidth="1"/>
    <col min="18" max="18" width="1" style="2" customWidth="1"/>
    <col min="19" max="21" width="9.1640625" style="2"/>
    <col min="22" max="23" width="9.33203125" style="2" bestFit="1" customWidth="1"/>
    <col min="24" max="16384" width="9.1640625" style="2"/>
  </cols>
  <sheetData>
    <row r="1" spans="2:18" ht="9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23">
      <c r="B2" s="1"/>
      <c r="D2" s="84" t="s">
        <v>0</v>
      </c>
      <c r="R2" s="1"/>
    </row>
    <row r="3" spans="2:18">
      <c r="B3" s="1"/>
      <c r="R3" s="1"/>
    </row>
    <row r="4" spans="2:18">
      <c r="B4" s="1"/>
      <c r="P4" s="4"/>
      <c r="R4" s="1"/>
    </row>
    <row r="5" spans="2:18">
      <c r="B5" s="1"/>
      <c r="R5" s="1"/>
    </row>
    <row r="6" spans="2:18">
      <c r="B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R6" s="1"/>
    </row>
    <row r="7" spans="2:18" ht="31">
      <c r="B7" s="1"/>
      <c r="D7" s="6"/>
      <c r="F7" s="94" t="s">
        <v>1</v>
      </c>
      <c r="G7" s="3"/>
      <c r="H7" s="3"/>
      <c r="I7" s="3"/>
      <c r="J7" s="3"/>
      <c r="K7" s="3"/>
      <c r="L7" s="3"/>
      <c r="M7" s="3"/>
      <c r="N7" s="3"/>
      <c r="O7" s="8"/>
      <c r="P7" s="8"/>
      <c r="Q7" s="8"/>
      <c r="R7" s="1"/>
    </row>
    <row r="8" spans="2:18" ht="23">
      <c r="B8" s="1"/>
      <c r="D8" s="9"/>
      <c r="F8" s="95" t="s">
        <v>1219</v>
      </c>
      <c r="G8" s="7"/>
      <c r="H8" s="7"/>
      <c r="L8" s="9"/>
      <c r="M8" s="9"/>
      <c r="N8" s="9"/>
      <c r="O8" s="9"/>
      <c r="R8" s="1"/>
    </row>
    <row r="9" spans="2:18" ht="12" customHeight="1">
      <c r="B9" s="1"/>
      <c r="D9" s="10"/>
      <c r="E9" s="5"/>
      <c r="F9" s="82"/>
      <c r="G9" s="7"/>
      <c r="H9" s="7"/>
      <c r="I9" s="5"/>
      <c r="J9" s="5"/>
      <c r="K9" s="5"/>
      <c r="L9" s="5"/>
      <c r="M9" s="5"/>
      <c r="N9" s="5"/>
      <c r="O9" s="5"/>
      <c r="R9" s="1"/>
    </row>
    <row r="10" spans="2:18" s="5" customFormat="1" ht="17.25" customHeight="1">
      <c r="B10" s="1"/>
      <c r="D10" s="11"/>
      <c r="E10" s="83" t="s">
        <v>2</v>
      </c>
      <c r="F10" s="83" t="s">
        <v>3</v>
      </c>
      <c r="G10" s="84"/>
      <c r="H10" s="84"/>
      <c r="I10" s="85"/>
      <c r="J10" s="85"/>
      <c r="K10" s="2"/>
      <c r="L10" s="2"/>
      <c r="M10" s="2"/>
      <c r="R10" s="1"/>
    </row>
    <row r="11" spans="2:18" s="13" customFormat="1" ht="23">
      <c r="B11" s="12"/>
      <c r="D11" s="14"/>
      <c r="E11" s="83" t="s">
        <v>4</v>
      </c>
      <c r="F11" s="83" t="s">
        <v>1214</v>
      </c>
      <c r="G11" s="84"/>
      <c r="H11" s="84"/>
      <c r="I11" s="86"/>
      <c r="J11" s="86"/>
      <c r="K11" s="86"/>
      <c r="L11" s="86"/>
      <c r="M11" s="86"/>
      <c r="R11" s="12"/>
    </row>
    <row r="12" spans="2:18" s="13" customFormat="1" ht="7" customHeight="1">
      <c r="B12" s="16"/>
      <c r="D12" s="14"/>
      <c r="E12" s="87"/>
      <c r="F12" s="83"/>
      <c r="G12" s="84"/>
      <c r="H12" s="84"/>
      <c r="I12" s="86"/>
      <c r="J12" s="86"/>
      <c r="K12" s="86"/>
      <c r="L12" s="86"/>
      <c r="M12" s="86"/>
      <c r="R12" s="12"/>
    </row>
    <row r="13" spans="2:18" s="13" customFormat="1" ht="23">
      <c r="B13" s="16"/>
      <c r="D13" s="17"/>
      <c r="E13" s="83" t="s">
        <v>5</v>
      </c>
      <c r="F13" s="88">
        <v>45905</v>
      </c>
      <c r="G13" s="84"/>
      <c r="H13" s="84"/>
      <c r="I13" s="86"/>
      <c r="J13" s="86"/>
      <c r="K13" s="86"/>
      <c r="L13" s="86"/>
      <c r="M13" s="86"/>
      <c r="R13" s="12"/>
    </row>
    <row r="14" spans="2:18" s="13" customFormat="1" ht="13">
      <c r="B14" s="16"/>
      <c r="D14" s="17"/>
      <c r="E14" s="89"/>
      <c r="F14" s="90"/>
      <c r="G14" s="90"/>
      <c r="H14" s="90"/>
      <c r="I14" s="86"/>
      <c r="J14" s="86"/>
      <c r="K14" s="86"/>
      <c r="L14" s="86"/>
      <c r="M14" s="86"/>
      <c r="R14" s="12"/>
    </row>
    <row r="15" spans="2:18" s="5" customFormat="1" ht="18">
      <c r="B15" s="19"/>
      <c r="E15" s="86"/>
      <c r="F15" s="91"/>
      <c r="G15" s="2"/>
      <c r="H15" s="2"/>
      <c r="I15" s="2"/>
      <c r="J15" s="2"/>
      <c r="K15" s="2"/>
      <c r="L15" s="2"/>
      <c r="M15" s="2"/>
      <c r="R15" s="1"/>
    </row>
    <row r="16" spans="2:18" s="13" customFormat="1" ht="17">
      <c r="B16" s="16"/>
      <c r="E16" s="92" t="s">
        <v>6</v>
      </c>
      <c r="F16" s="86"/>
      <c r="G16" s="86"/>
      <c r="H16" s="86"/>
      <c r="I16" s="86"/>
      <c r="J16" s="86"/>
      <c r="K16" s="86"/>
      <c r="L16" s="86"/>
      <c r="M16" s="86"/>
      <c r="R16" s="12"/>
    </row>
    <row r="17" spans="2:29" s="13" customFormat="1" ht="11.25" customHeight="1">
      <c r="B17" s="16"/>
      <c r="E17" s="93"/>
      <c r="F17" s="86"/>
      <c r="G17" s="86"/>
      <c r="H17" s="86"/>
      <c r="I17" s="86"/>
      <c r="J17" s="86"/>
      <c r="K17" s="86"/>
      <c r="L17" s="86"/>
      <c r="M17" s="86"/>
      <c r="R17" s="12"/>
    </row>
    <row r="18" spans="2:29" s="13" customFormat="1" ht="17">
      <c r="B18" s="16"/>
      <c r="E18" s="92" t="s">
        <v>7</v>
      </c>
      <c r="F18" s="86"/>
      <c r="G18" s="86"/>
      <c r="H18" s="86"/>
      <c r="I18" s="86"/>
      <c r="J18" s="86"/>
      <c r="K18" s="86"/>
      <c r="L18" s="86"/>
      <c r="M18" s="86"/>
      <c r="R18" s="12"/>
    </row>
    <row r="19" spans="2:29" s="13" customFormat="1" ht="17">
      <c r="B19" s="16"/>
      <c r="E19" s="93"/>
      <c r="F19" s="86"/>
      <c r="G19" s="86"/>
      <c r="H19" s="86"/>
      <c r="I19" s="86"/>
      <c r="J19" s="86"/>
      <c r="K19" s="86"/>
      <c r="L19" s="86"/>
      <c r="M19" s="86"/>
      <c r="R19" s="12"/>
    </row>
    <row r="20" spans="2:29" s="13" customFormat="1" ht="17">
      <c r="B20" s="16"/>
      <c r="E20" s="92" t="s">
        <v>8</v>
      </c>
      <c r="F20" s="86"/>
      <c r="G20" s="86"/>
      <c r="H20" s="86"/>
      <c r="I20" s="86"/>
      <c r="J20" s="86"/>
      <c r="K20" s="86"/>
      <c r="L20" s="86"/>
      <c r="M20" s="86"/>
      <c r="R20" s="12"/>
    </row>
    <row r="21" spans="2:29" s="5" customFormat="1" ht="12" customHeight="1">
      <c r="B21" s="19"/>
      <c r="E21" s="2"/>
      <c r="F21" s="2"/>
      <c r="G21" s="2"/>
      <c r="H21" s="2"/>
      <c r="I21" s="2"/>
      <c r="J21" s="2"/>
      <c r="K21" s="2"/>
      <c r="L21" s="2"/>
      <c r="M21" s="2"/>
      <c r="R21" s="1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2:29" s="5" customFormat="1" ht="15.75" customHeight="1">
      <c r="B22" s="19"/>
      <c r="D22" s="64"/>
      <c r="E22" s="64"/>
      <c r="R22" s="1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2:29" s="5" customFormat="1" ht="18" customHeight="1">
      <c r="B23" s="19"/>
      <c r="D23" s="195" t="s">
        <v>9</v>
      </c>
      <c r="E23" s="197" t="s">
        <v>10</v>
      </c>
      <c r="F23" s="201" t="s">
        <v>11</v>
      </c>
      <c r="G23" s="201"/>
      <c r="H23" s="202"/>
      <c r="I23" s="50" t="s">
        <v>12</v>
      </c>
      <c r="J23" s="50"/>
      <c r="K23" s="200" t="s">
        <v>13</v>
      </c>
      <c r="L23" s="200"/>
      <c r="M23" s="200"/>
      <c r="N23" s="200" t="s">
        <v>14</v>
      </c>
      <c r="O23" s="200"/>
      <c r="P23" s="200"/>
      <c r="R23" s="1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2:29" s="5" customFormat="1" ht="33" customHeight="1">
      <c r="B24" s="19"/>
      <c r="D24" s="196"/>
      <c r="E24" s="198"/>
      <c r="F24" s="73" t="s">
        <v>15</v>
      </c>
      <c r="G24" s="53" t="s">
        <v>16</v>
      </c>
      <c r="H24" s="53" t="s">
        <v>17</v>
      </c>
      <c r="I24" s="52" t="s">
        <v>18</v>
      </c>
      <c r="J24" s="53" t="s">
        <v>19</v>
      </c>
      <c r="K24" s="51" t="s">
        <v>20</v>
      </c>
      <c r="L24" s="51" t="s">
        <v>21</v>
      </c>
      <c r="M24" s="51" t="s">
        <v>22</v>
      </c>
      <c r="N24" s="102" t="s">
        <v>23</v>
      </c>
      <c r="O24" s="51" t="s">
        <v>24</v>
      </c>
      <c r="P24" s="51" t="s">
        <v>14</v>
      </c>
      <c r="R24" s="1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2:29" s="55" customFormat="1" ht="22" customHeight="1">
      <c r="B25" s="54"/>
      <c r="D25" s="71">
        <v>1</v>
      </c>
      <c r="E25" s="77" t="s">
        <v>25</v>
      </c>
      <c r="F25" s="74">
        <f>'Rooming list'!J5</f>
        <v>15</v>
      </c>
      <c r="G25" s="56">
        <f>'Rooming list'!K5</f>
        <v>74</v>
      </c>
      <c r="H25" s="56">
        <f>'Rooming list'!L5</f>
        <v>48</v>
      </c>
      <c r="I25" s="56">
        <f>'Rooming list'!M5</f>
        <v>0</v>
      </c>
      <c r="J25" s="185">
        <f>'Rooming list'!Q5</f>
        <v>10</v>
      </c>
      <c r="K25" s="103">
        <v>45918</v>
      </c>
      <c r="L25" s="103">
        <v>45923</v>
      </c>
      <c r="M25" s="104">
        <f>L25-K25</f>
        <v>5</v>
      </c>
      <c r="N25" s="57"/>
      <c r="O25" s="57"/>
      <c r="P25" s="58"/>
      <c r="Q25" s="59"/>
      <c r="R25" s="60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2:29" s="55" customFormat="1" ht="27" customHeight="1">
      <c r="B26" s="54"/>
      <c r="D26" s="71">
        <v>2</v>
      </c>
      <c r="E26" s="77" t="s">
        <v>26</v>
      </c>
      <c r="F26" s="66"/>
      <c r="G26" s="61">
        <v>1</v>
      </c>
      <c r="H26" s="61"/>
      <c r="I26" s="61"/>
      <c r="J26" s="61"/>
      <c r="K26" s="103">
        <v>45917</v>
      </c>
      <c r="L26" s="103">
        <v>45918</v>
      </c>
      <c r="M26" s="104">
        <f t="shared" ref="M26:M28" si="0">L26-K26</f>
        <v>1</v>
      </c>
      <c r="N26" s="57"/>
      <c r="O26" s="57"/>
      <c r="P26" s="62"/>
      <c r="Q26" s="59"/>
      <c r="R26" s="60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2:29" s="55" customFormat="1" ht="19" customHeight="1">
      <c r="B27" s="54"/>
      <c r="D27" s="71">
        <v>3</v>
      </c>
      <c r="E27" s="168" t="s">
        <v>1211</v>
      </c>
      <c r="F27" s="169"/>
      <c r="G27" s="170"/>
      <c r="H27" s="170"/>
      <c r="I27" s="170"/>
      <c r="J27" s="170"/>
      <c r="K27" s="171">
        <v>45923</v>
      </c>
      <c r="L27" s="171">
        <v>45924</v>
      </c>
      <c r="M27" s="172">
        <v>1</v>
      </c>
      <c r="N27" s="57"/>
      <c r="O27" s="57"/>
      <c r="P27" s="63"/>
      <c r="Q27" s="59"/>
      <c r="R27" s="60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2:29" s="55" customFormat="1" ht="18" customHeight="1">
      <c r="B28" s="54"/>
      <c r="D28" s="71">
        <v>4</v>
      </c>
      <c r="E28" s="77" t="s">
        <v>27</v>
      </c>
      <c r="F28" s="66"/>
      <c r="G28" s="61"/>
      <c r="H28" s="61"/>
      <c r="I28" s="61"/>
      <c r="J28" s="61"/>
      <c r="K28" s="103">
        <v>45916</v>
      </c>
      <c r="L28" s="103">
        <v>45918</v>
      </c>
      <c r="M28" s="104">
        <f t="shared" si="0"/>
        <v>2</v>
      </c>
      <c r="N28" s="57"/>
      <c r="O28" s="57"/>
      <c r="P28" s="63"/>
      <c r="Q28" s="59"/>
      <c r="R28" s="60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2:29" s="55" customFormat="1" ht="18" customHeight="1">
      <c r="B29" s="54"/>
      <c r="D29" s="165"/>
      <c r="E29" s="168" t="s">
        <v>1212</v>
      </c>
      <c r="F29" s="169"/>
      <c r="G29" s="170"/>
      <c r="H29" s="170"/>
      <c r="I29" s="170"/>
      <c r="J29" s="170"/>
      <c r="K29" s="171">
        <v>45923</v>
      </c>
      <c r="L29" s="171">
        <v>45925</v>
      </c>
      <c r="M29" s="172">
        <v>2</v>
      </c>
      <c r="N29" s="166"/>
      <c r="O29" s="166"/>
      <c r="P29" s="167"/>
      <c r="Q29" s="59"/>
      <c r="R29" s="60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2:29" s="55" customFormat="1" ht="18" customHeight="1">
      <c r="B30" s="54"/>
      <c r="D30" s="165"/>
      <c r="E30" s="77" t="s">
        <v>28</v>
      </c>
      <c r="F30" s="66"/>
      <c r="G30" s="61"/>
      <c r="H30" s="61"/>
      <c r="I30" s="61"/>
      <c r="J30" s="61"/>
      <c r="K30" s="103">
        <v>45915</v>
      </c>
      <c r="L30" s="103">
        <v>45918</v>
      </c>
      <c r="M30" s="104">
        <f t="shared" ref="M30" si="1">L30-K30</f>
        <v>3</v>
      </c>
      <c r="N30" s="166"/>
      <c r="O30" s="166"/>
      <c r="P30" s="167"/>
      <c r="Q30" s="59"/>
      <c r="R30" s="60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2:29" s="55" customFormat="1" ht="18" customHeight="1">
      <c r="B31" s="54"/>
      <c r="D31" s="165"/>
      <c r="E31" s="168" t="s">
        <v>1213</v>
      </c>
      <c r="F31" s="169"/>
      <c r="G31" s="170"/>
      <c r="H31" s="170"/>
      <c r="I31" s="170"/>
      <c r="J31" s="170"/>
      <c r="K31" s="171">
        <v>45923</v>
      </c>
      <c r="L31" s="171">
        <v>45926</v>
      </c>
      <c r="M31" s="172">
        <v>3</v>
      </c>
      <c r="N31" s="166"/>
      <c r="O31" s="166"/>
      <c r="P31" s="167"/>
      <c r="Q31" s="59"/>
      <c r="R31" s="60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2:29" s="55" customFormat="1" ht="18" customHeight="1">
      <c r="B32" s="54"/>
      <c r="D32" s="165">
        <v>8</v>
      </c>
      <c r="E32" s="183" t="s">
        <v>1218</v>
      </c>
      <c r="F32" s="184">
        <f>SUM(F26:F31)</f>
        <v>0</v>
      </c>
      <c r="G32" s="184">
        <f>SUM(G26:G31)</f>
        <v>1</v>
      </c>
      <c r="H32" s="184">
        <f>SUM(H26:H31)</f>
        <v>0</v>
      </c>
      <c r="I32" s="180"/>
      <c r="J32" s="180"/>
      <c r="K32" s="181"/>
      <c r="L32" s="181"/>
      <c r="M32" s="182"/>
      <c r="N32" s="166"/>
      <c r="O32" s="166"/>
      <c r="P32" s="167"/>
      <c r="Q32" s="59"/>
      <c r="R32" s="60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2:29" s="55" customFormat="1" ht="29" customHeight="1">
      <c r="B33" s="54"/>
      <c r="D33" s="72">
        <v>5</v>
      </c>
      <c r="E33" s="78" t="s">
        <v>29</v>
      </c>
      <c r="F33" s="75"/>
      <c r="G33" s="67"/>
      <c r="H33" s="67"/>
      <c r="I33" s="67"/>
      <c r="J33" s="186">
        <f>J25</f>
        <v>10</v>
      </c>
      <c r="K33" s="68"/>
      <c r="L33" s="68"/>
      <c r="M33" s="69"/>
      <c r="N33" s="69"/>
      <c r="O33" s="69"/>
      <c r="P33" s="70"/>
      <c r="Q33" s="59"/>
      <c r="R33" s="60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2:29" s="20" customFormat="1" ht="27.75" customHeight="1">
      <c r="B34" s="21"/>
      <c r="D34" s="65" t="s">
        <v>30</v>
      </c>
      <c r="E34" s="76"/>
      <c r="F34" s="97">
        <f>F25+G25+H25</f>
        <v>137</v>
      </c>
      <c r="G34" s="98" t="s">
        <v>31</v>
      </c>
      <c r="H34" s="98"/>
      <c r="I34" s="99"/>
      <c r="J34" s="100"/>
      <c r="K34" s="101"/>
      <c r="L34" s="79"/>
      <c r="M34" s="80"/>
      <c r="N34" s="80"/>
      <c r="O34" s="80"/>
      <c r="P34" s="81"/>
      <c r="Q34" s="22"/>
      <c r="R34" s="1"/>
    </row>
    <row r="35" spans="2:29" s="20" customFormat="1" ht="27.75" customHeight="1">
      <c r="B35" s="21"/>
      <c r="D35" s="65" t="s">
        <v>32</v>
      </c>
      <c r="E35" s="76"/>
      <c r="F35" s="97">
        <f>F34*M25</f>
        <v>685</v>
      </c>
      <c r="G35" s="98" t="s">
        <v>33</v>
      </c>
      <c r="H35" s="98"/>
      <c r="I35" s="99"/>
      <c r="J35" s="100"/>
      <c r="K35" s="101"/>
      <c r="L35" s="79"/>
      <c r="M35" s="80"/>
      <c r="N35" s="80"/>
      <c r="O35" s="80"/>
      <c r="P35" s="81"/>
      <c r="Q35" s="22"/>
      <c r="R35" s="1"/>
    </row>
    <row r="36" spans="2:29" s="20" customFormat="1" ht="27.75" customHeight="1">
      <c r="B36" s="21"/>
      <c r="D36" s="65" t="s">
        <v>34</v>
      </c>
      <c r="E36" s="76"/>
      <c r="F36" s="97">
        <f>F32+G32+H32</f>
        <v>1</v>
      </c>
      <c r="G36" s="98" t="s">
        <v>33</v>
      </c>
      <c r="H36" s="98"/>
      <c r="I36" s="99"/>
      <c r="J36" s="100"/>
      <c r="K36" s="101"/>
      <c r="L36" s="79"/>
      <c r="M36" s="80"/>
      <c r="N36" s="80"/>
      <c r="O36" s="80"/>
      <c r="P36" s="81"/>
      <c r="Q36" s="22"/>
      <c r="R36" s="1"/>
    </row>
    <row r="37" spans="2:29" s="20" customFormat="1" ht="27.75" customHeight="1">
      <c r="B37" s="21"/>
      <c r="D37" s="65" t="s">
        <v>35</v>
      </c>
      <c r="E37" s="76"/>
      <c r="F37" s="97">
        <f>SUM(F35:G36)</f>
        <v>686</v>
      </c>
      <c r="G37" s="98" t="s">
        <v>33</v>
      </c>
      <c r="H37" s="98"/>
      <c r="I37" s="99"/>
      <c r="J37" s="100"/>
      <c r="K37" s="101"/>
      <c r="L37" s="79"/>
      <c r="M37" s="80"/>
      <c r="N37" s="80"/>
      <c r="O37" s="80"/>
      <c r="P37" s="81"/>
      <c r="Q37" s="22"/>
      <c r="R37" s="1"/>
    </row>
    <row r="38" spans="2:29" s="20" customFormat="1" ht="27.75" customHeight="1">
      <c r="B38" s="21"/>
      <c r="D38" s="23"/>
      <c r="E38" s="23"/>
      <c r="F38" s="24"/>
      <c r="G38" s="24"/>
      <c r="H38" s="25"/>
      <c r="I38" s="25"/>
      <c r="J38" s="25"/>
      <c r="K38" s="26"/>
      <c r="L38" s="27"/>
      <c r="M38" s="28"/>
      <c r="N38" s="28"/>
      <c r="O38" s="28"/>
      <c r="P38" s="28"/>
      <c r="Q38" s="22"/>
      <c r="R38" s="1"/>
    </row>
    <row r="39" spans="2:29" s="20" customFormat="1" ht="27.75" customHeight="1">
      <c r="B39" s="21"/>
      <c r="D39" s="29"/>
      <c r="E39" s="29"/>
      <c r="F39" s="30"/>
      <c r="G39" s="30"/>
      <c r="H39" s="31"/>
      <c r="I39" s="31"/>
      <c r="J39" s="31"/>
      <c r="K39" s="32"/>
      <c r="L39" s="33"/>
      <c r="M39" s="34"/>
      <c r="N39" s="34"/>
      <c r="O39" s="34"/>
      <c r="P39" s="34"/>
      <c r="Q39" s="22"/>
      <c r="R39" s="1"/>
    </row>
    <row r="40" spans="2:29" s="20" customFormat="1" ht="11" customHeight="1">
      <c r="B40" s="21"/>
      <c r="D40" s="23"/>
      <c r="E40" s="23"/>
      <c r="F40" s="24"/>
      <c r="G40" s="24"/>
      <c r="H40" s="25"/>
      <c r="I40" s="25"/>
      <c r="J40" s="25"/>
      <c r="K40" s="26"/>
      <c r="L40" s="27"/>
      <c r="M40" s="28"/>
      <c r="N40" s="28"/>
      <c r="O40" s="28"/>
      <c r="P40" s="28"/>
      <c r="Q40" s="22"/>
      <c r="R40" s="1"/>
    </row>
    <row r="41" spans="2:29" s="13" customFormat="1" ht="17.25" customHeight="1">
      <c r="B41" s="16"/>
      <c r="D41" s="203" t="s">
        <v>36</v>
      </c>
      <c r="E41" s="203"/>
      <c r="F41" s="203"/>
      <c r="G41" s="203"/>
      <c r="H41" s="203"/>
      <c r="I41" s="203"/>
      <c r="J41" s="35"/>
      <c r="R41" s="12"/>
    </row>
    <row r="42" spans="2:29" s="13" customFormat="1" ht="15.75" customHeight="1">
      <c r="B42" s="16"/>
      <c r="D42" s="36" t="s">
        <v>37</v>
      </c>
      <c r="E42" s="15"/>
      <c r="F42" s="15"/>
      <c r="G42" s="15"/>
      <c r="H42" s="15"/>
      <c r="I42" s="15"/>
      <c r="J42" s="15"/>
      <c r="K42" s="96"/>
      <c r="R42" s="12"/>
    </row>
    <row r="43" spans="2:29" s="13" customFormat="1" ht="15" customHeight="1">
      <c r="B43" s="16"/>
      <c r="D43" s="36" t="s">
        <v>38</v>
      </c>
      <c r="E43" s="36"/>
      <c r="F43" s="36"/>
      <c r="G43" s="36"/>
      <c r="H43" s="36"/>
      <c r="I43" s="36"/>
      <c r="J43" s="37"/>
      <c r="K43"/>
      <c r="R43" s="12"/>
    </row>
    <row r="44" spans="2:29" s="13" customFormat="1" ht="15" customHeight="1">
      <c r="B44" s="16"/>
      <c r="D44" s="37"/>
      <c r="E44" s="37"/>
      <c r="F44" s="37"/>
      <c r="G44" s="37"/>
      <c r="H44" s="37"/>
      <c r="I44" s="37"/>
      <c r="J44" s="37"/>
      <c r="K44" s="96"/>
      <c r="R44" s="12"/>
    </row>
    <row r="45" spans="2:29" s="13" customFormat="1" ht="16.5" customHeight="1">
      <c r="B45" s="16"/>
      <c r="D45" s="38" t="s">
        <v>39</v>
      </c>
      <c r="E45" s="15"/>
      <c r="F45" s="15"/>
      <c r="G45" s="15"/>
      <c r="H45" s="15"/>
      <c r="I45" s="15"/>
      <c r="J45" s="15"/>
      <c r="R45" s="12"/>
    </row>
    <row r="46" spans="2:29" s="13" customFormat="1" ht="16.5" customHeight="1">
      <c r="B46" s="16"/>
      <c r="D46" s="15"/>
      <c r="E46" s="15"/>
      <c r="F46" s="15"/>
      <c r="G46" s="15"/>
      <c r="H46" s="15"/>
      <c r="I46" s="15"/>
      <c r="J46" s="15"/>
      <c r="R46" s="12"/>
    </row>
    <row r="47" spans="2:29" s="13" customFormat="1" ht="13">
      <c r="B47" s="16"/>
      <c r="D47" s="37" t="s">
        <v>40</v>
      </c>
      <c r="E47" s="18"/>
      <c r="F47" s="35" t="s">
        <v>41</v>
      </c>
      <c r="G47" s="15"/>
      <c r="H47" s="15"/>
      <c r="I47" s="15"/>
      <c r="J47" s="15"/>
      <c r="R47" s="12"/>
    </row>
    <row r="48" spans="2:29" s="13" customFormat="1">
      <c r="B48" s="16"/>
      <c r="D48" s="199" t="s">
        <v>42</v>
      </c>
      <c r="E48" s="199"/>
      <c r="F48" s="39" t="s">
        <v>43</v>
      </c>
      <c r="G48" s="15"/>
      <c r="H48" s="15"/>
      <c r="I48" s="15"/>
      <c r="J48" s="15"/>
      <c r="R48" s="12"/>
    </row>
    <row r="49" spans="2:18" s="13" customFormat="1">
      <c r="B49" s="16"/>
      <c r="D49" s="199" t="s">
        <v>44</v>
      </c>
      <c r="E49" s="199"/>
      <c r="F49" s="40" t="s">
        <v>45</v>
      </c>
      <c r="G49" s="15"/>
      <c r="H49" s="15"/>
      <c r="I49" s="15"/>
      <c r="J49" s="15"/>
      <c r="R49" s="12"/>
    </row>
    <row r="50" spans="2:18" s="13" customFormat="1">
      <c r="B50" s="16"/>
      <c r="D50" s="199" t="s">
        <v>46</v>
      </c>
      <c r="E50" s="199"/>
      <c r="F50" s="40" t="s">
        <v>47</v>
      </c>
      <c r="G50" s="15"/>
      <c r="H50" s="15"/>
      <c r="I50" s="15"/>
      <c r="J50" s="15"/>
      <c r="R50" s="12"/>
    </row>
    <row r="51" spans="2:18" s="5" customFormat="1">
      <c r="B51" s="19"/>
      <c r="D51" s="41"/>
      <c r="E51" s="41"/>
      <c r="F51" s="42"/>
      <c r="R51" s="1"/>
    </row>
    <row r="52" spans="2:18" s="5" customFormat="1">
      <c r="B52" s="19"/>
      <c r="R52" s="1"/>
    </row>
    <row r="53" spans="2:18" s="5" customFormat="1" ht="9" customHeight="1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"/>
    </row>
    <row r="54" spans="2:18" s="5" customFormat="1" ht="12"/>
    <row r="55" spans="2:18" s="5" customFormat="1" ht="12"/>
    <row r="56" spans="2:18" s="5" customFormat="1">
      <c r="N56" s="43"/>
      <c r="O56" s="43"/>
    </row>
    <row r="57" spans="2:18" s="5" customFormat="1" ht="31" customHeight="1">
      <c r="B57" s="20"/>
      <c r="N57" s="44"/>
      <c r="O57" s="44"/>
    </row>
    <row r="58" spans="2:18" s="5" customFormat="1">
      <c r="B58" s="20"/>
    </row>
    <row r="59" spans="2:18" s="5" customFormat="1">
      <c r="B59" s="20"/>
    </row>
    <row r="60" spans="2:18" s="5" customFormat="1">
      <c r="B60" s="20"/>
      <c r="D60" s="45"/>
    </row>
    <row r="61" spans="2:18">
      <c r="D61" s="47"/>
      <c r="E61" s="48"/>
      <c r="F61" s="48"/>
      <c r="G61" s="48"/>
      <c r="H61" s="48"/>
      <c r="I61" s="48"/>
      <c r="J61" s="48"/>
    </row>
    <row r="62" spans="2:18">
      <c r="D62" s="49"/>
    </row>
    <row r="63" spans="2:18">
      <c r="D63" s="49"/>
    </row>
  </sheetData>
  <mergeCells count="9">
    <mergeCell ref="D23:D24"/>
    <mergeCell ref="E23:E24"/>
    <mergeCell ref="D50:E50"/>
    <mergeCell ref="K23:M23"/>
    <mergeCell ref="N23:P23"/>
    <mergeCell ref="F23:H23"/>
    <mergeCell ref="D41:I41"/>
    <mergeCell ref="D49:E49"/>
    <mergeCell ref="D48:E48"/>
  </mergeCells>
  <pageMargins left="0.25" right="0.25" top="0.75" bottom="0.75" header="0.3" footer="0.3"/>
  <pageSetup scale="5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P278"/>
  <sheetViews>
    <sheetView showGridLines="0" tabSelected="1" zoomScale="75" zoomScaleNormal="130" workbookViewId="0">
      <pane xSplit="9" ySplit="9" topLeftCell="AB15" activePane="bottomRight" state="frozen"/>
      <selection pane="topRight" activeCell="J1" sqref="J1"/>
      <selection pane="bottomLeft" activeCell="A10" sqref="A10"/>
      <selection pane="bottomRight" activeCell="AL28" sqref="AL28"/>
    </sheetView>
  </sheetViews>
  <sheetFormatPr baseColWidth="10" defaultColWidth="9.1640625" defaultRowHeight="14.25" customHeight="1"/>
  <cols>
    <col min="1" max="1" width="1.5" style="105" customWidth="1"/>
    <col min="2" max="2" width="1.6640625" style="105" customWidth="1"/>
    <col min="3" max="3" width="6" style="106" customWidth="1"/>
    <col min="4" max="4" width="10.33203125" style="163" customWidth="1"/>
    <col min="5" max="5" width="8.1640625" style="163" customWidth="1"/>
    <col min="6" max="6" width="16.33203125" style="164" customWidth="1"/>
    <col min="7" max="7" width="16.1640625" style="105" customWidth="1"/>
    <col min="8" max="8" width="15.1640625" style="108" bestFit="1" customWidth="1"/>
    <col min="9" max="9" width="11.83203125" style="108" customWidth="1"/>
    <col min="10" max="10" width="8.6640625" style="108" customWidth="1"/>
    <col min="11" max="11" width="14.1640625" style="108" customWidth="1"/>
    <col min="12" max="12" width="11.5" style="108" customWidth="1"/>
    <col min="13" max="13" width="8.6640625" style="108" customWidth="1"/>
    <col min="14" max="14" width="13.5" style="108" customWidth="1"/>
    <col min="15" max="15" width="13.6640625" style="108" customWidth="1"/>
    <col min="16" max="16" width="11.83203125" style="109" customWidth="1"/>
    <col min="17" max="17" width="17.83203125" style="109" customWidth="1"/>
    <col min="18" max="18" width="8.5" style="109" customWidth="1"/>
    <col min="19" max="19" width="8.33203125" style="109" customWidth="1"/>
    <col min="20" max="20" width="8" style="109" customWidth="1"/>
    <col min="21" max="24" width="7.83203125" style="108" customWidth="1"/>
    <col min="25" max="25" width="4.33203125" style="108" bestFit="1" customWidth="1"/>
    <col min="26" max="26" width="4.6640625" style="108" bestFit="1" customWidth="1"/>
    <col min="27" max="27" width="6" style="109" bestFit="1" customWidth="1"/>
    <col min="28" max="28" width="7.83203125" style="109" customWidth="1"/>
    <col min="29" max="29" width="9.6640625" style="109" bestFit="1" customWidth="1"/>
    <col min="30" max="30" width="9.1640625" style="108" customWidth="1"/>
    <col min="31" max="31" width="11.1640625" style="108" customWidth="1"/>
    <col min="32" max="32" width="9.5" style="109" customWidth="1"/>
    <col min="33" max="33" width="9.6640625" style="109" customWidth="1"/>
    <col min="34" max="34" width="8.83203125" style="110" customWidth="1"/>
    <col min="35" max="36" width="16" style="108" customWidth="1"/>
    <col min="37" max="37" width="21.83203125" style="108" bestFit="1" customWidth="1"/>
    <col min="38" max="38" width="10.33203125" style="109" customWidth="1"/>
    <col min="39" max="39" width="8.6640625" style="109" customWidth="1"/>
    <col min="40" max="40" width="14.1640625" style="109" customWidth="1"/>
    <col min="41" max="41" width="10.83203125" style="109" customWidth="1"/>
    <col min="42" max="42" width="24.6640625" style="108" customWidth="1"/>
    <col min="43" max="16384" width="9.1640625" style="108"/>
  </cols>
  <sheetData>
    <row r="1" spans="1:42" ht="14">
      <c r="D1" s="107"/>
      <c r="E1" s="107"/>
      <c r="F1" s="105"/>
      <c r="AJ1" s="109"/>
      <c r="AK1" s="109"/>
    </row>
    <row r="2" spans="1:42" ht="21">
      <c r="D2" s="204" t="s">
        <v>1210</v>
      </c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111"/>
      <c r="AC2" s="111"/>
      <c r="AD2" s="111"/>
      <c r="AE2" s="111"/>
      <c r="AF2" s="111"/>
      <c r="AG2" s="111"/>
      <c r="AI2" s="111"/>
      <c r="AJ2" s="109"/>
      <c r="AK2" s="109"/>
    </row>
    <row r="3" spans="1:42" ht="14">
      <c r="C3" s="112"/>
      <c r="D3" s="113"/>
      <c r="E3" s="113"/>
      <c r="F3" s="114"/>
      <c r="G3" s="115"/>
      <c r="AD3" s="111"/>
      <c r="AE3" s="111"/>
      <c r="AF3" s="111"/>
      <c r="AG3" s="111"/>
      <c r="AI3" s="111"/>
      <c r="AJ3" s="109"/>
      <c r="AK3" s="109"/>
    </row>
    <row r="4" spans="1:42" s="127" customFormat="1" ht="37" customHeight="1">
      <c r="A4" s="116"/>
      <c r="B4" s="116"/>
      <c r="C4" s="117"/>
      <c r="D4" s="113"/>
      <c r="E4" s="113"/>
      <c r="F4" s="114"/>
      <c r="G4" s="115"/>
      <c r="H4" s="118" t="s">
        <v>48</v>
      </c>
      <c r="I4" s="118" t="s">
        <v>49</v>
      </c>
      <c r="J4" s="118" t="s">
        <v>50</v>
      </c>
      <c r="K4" s="118" t="s">
        <v>51</v>
      </c>
      <c r="L4" s="118" t="s">
        <v>52</v>
      </c>
      <c r="M4" s="118" t="s">
        <v>53</v>
      </c>
      <c r="N4" s="118" t="s">
        <v>54</v>
      </c>
      <c r="O4" s="119" t="s">
        <v>55</v>
      </c>
      <c r="P4" s="119" t="s">
        <v>56</v>
      </c>
      <c r="Q4" s="119" t="s">
        <v>57</v>
      </c>
      <c r="R4" s="120"/>
      <c r="S4" s="120"/>
      <c r="T4" s="120"/>
      <c r="U4" s="120"/>
      <c r="V4" s="121"/>
      <c r="W4" s="121"/>
      <c r="X4" s="121"/>
      <c r="Y4" s="121"/>
      <c r="Z4" s="121"/>
      <c r="AA4" s="121"/>
      <c r="AB4" s="121"/>
      <c r="AC4" s="122"/>
      <c r="AD4" s="123"/>
      <c r="AE4" s="123"/>
      <c r="AF4" s="124"/>
      <c r="AG4" s="124"/>
      <c r="AH4" s="125"/>
      <c r="AI4" s="126"/>
      <c r="AJ4" s="121"/>
      <c r="AK4" s="122"/>
      <c r="AL4" s="122"/>
      <c r="AM4" s="122"/>
      <c r="AN4" s="122"/>
      <c r="AO4" s="122"/>
    </row>
    <row r="5" spans="1:42" ht="14">
      <c r="C5" s="128"/>
      <c r="D5" s="113"/>
      <c r="E5" s="113"/>
      <c r="F5" s="114"/>
      <c r="G5" s="115"/>
      <c r="H5" s="129" t="s">
        <v>58</v>
      </c>
      <c r="I5" s="130">
        <f>SUM(J5:L5)</f>
        <v>137</v>
      </c>
      <c r="J5" s="130">
        <f>SUM(Y10:Y289)</f>
        <v>15</v>
      </c>
      <c r="K5" s="130">
        <f>SUM(Z10:Z289)</f>
        <v>74</v>
      </c>
      <c r="L5" s="130">
        <f>SUM(AA10:AA289)</f>
        <v>48</v>
      </c>
      <c r="M5" s="130">
        <v>0</v>
      </c>
      <c r="N5" s="130">
        <v>1</v>
      </c>
      <c r="O5" s="129">
        <f>SUM(P5:Q5)</f>
        <v>269</v>
      </c>
      <c r="P5" s="130">
        <f>SUM(V10:V289)</f>
        <v>259</v>
      </c>
      <c r="Q5" s="130">
        <f>COUNTIFS(M10:M289,"&gt;3",M10:M289,"&lt;12")</f>
        <v>10</v>
      </c>
      <c r="R5" s="131"/>
      <c r="S5" s="131"/>
      <c r="T5" s="131"/>
      <c r="U5" s="132"/>
      <c r="V5" s="132"/>
      <c r="W5" s="132"/>
      <c r="X5" s="132"/>
      <c r="Y5" s="132"/>
      <c r="Z5" s="132"/>
      <c r="AA5" s="133"/>
      <c r="AB5" s="133"/>
      <c r="AC5" s="131"/>
      <c r="AD5" s="111"/>
      <c r="AE5" s="111"/>
      <c r="AF5" s="111"/>
      <c r="AG5" s="111"/>
      <c r="AI5" s="132"/>
      <c r="AJ5" s="133"/>
      <c r="AK5" s="134"/>
      <c r="AL5" s="134"/>
      <c r="AM5" s="134"/>
      <c r="AN5" s="134"/>
      <c r="AO5" s="134"/>
    </row>
    <row r="6" spans="1:42" ht="15" customHeight="1">
      <c r="C6" s="128"/>
      <c r="D6" s="113" t="s">
        <v>59</v>
      </c>
      <c r="E6" s="113"/>
      <c r="F6" s="114"/>
      <c r="G6" s="115"/>
      <c r="H6" s="130"/>
      <c r="I6" s="129"/>
      <c r="J6" s="135"/>
      <c r="K6" s="130"/>
      <c r="L6" s="130"/>
      <c r="M6" s="129"/>
      <c r="N6" s="129"/>
      <c r="O6" s="129"/>
      <c r="P6" s="129"/>
      <c r="Q6" s="129"/>
      <c r="R6" s="131"/>
      <c r="S6" s="131"/>
      <c r="T6" s="131"/>
      <c r="U6" s="136" t="s">
        <v>60</v>
      </c>
      <c r="V6" s="132"/>
      <c r="W6" s="132"/>
      <c r="X6" s="136" t="s">
        <v>61</v>
      </c>
      <c r="Y6" s="132"/>
      <c r="Z6" s="132"/>
      <c r="AA6" s="133"/>
      <c r="AB6" s="133"/>
      <c r="AC6" s="219" t="s">
        <v>62</v>
      </c>
      <c r="AD6" s="219"/>
      <c r="AE6" s="219"/>
      <c r="AF6" s="219" t="s">
        <v>62</v>
      </c>
      <c r="AG6" s="219"/>
      <c r="AH6" s="219"/>
      <c r="AI6" s="132"/>
      <c r="AJ6" s="133"/>
      <c r="AK6" s="131"/>
      <c r="AL6" s="131"/>
      <c r="AM6" s="131"/>
      <c r="AN6" s="131"/>
      <c r="AO6" s="131"/>
    </row>
    <row r="7" spans="1:42" ht="14">
      <c r="C7" s="128"/>
      <c r="D7" s="113"/>
      <c r="E7" s="113"/>
      <c r="F7" s="114"/>
      <c r="G7" s="115"/>
      <c r="W7" s="132"/>
      <c r="X7" s="132"/>
      <c r="Y7" s="132"/>
      <c r="Z7" s="132"/>
      <c r="AA7" s="133"/>
      <c r="AB7" s="133"/>
      <c r="AD7" s="111"/>
      <c r="AE7" s="111"/>
      <c r="AF7" s="111"/>
      <c r="AG7" s="111"/>
      <c r="AI7" s="132"/>
      <c r="AJ7" s="133"/>
      <c r="AK7" s="109"/>
    </row>
    <row r="8" spans="1:42" ht="28.5" customHeight="1">
      <c r="C8" s="207" t="s">
        <v>63</v>
      </c>
      <c r="D8" s="211" t="s">
        <v>163</v>
      </c>
      <c r="E8" s="209" t="s">
        <v>64</v>
      </c>
      <c r="F8" s="209" t="s">
        <v>65</v>
      </c>
      <c r="G8" s="209" t="s">
        <v>66</v>
      </c>
      <c r="H8" s="209" t="s">
        <v>67</v>
      </c>
      <c r="I8" s="209" t="s">
        <v>68</v>
      </c>
      <c r="J8" s="209" t="s">
        <v>69</v>
      </c>
      <c r="K8" s="217" t="s">
        <v>70</v>
      </c>
      <c r="L8" s="217" t="s">
        <v>71</v>
      </c>
      <c r="M8" s="217" t="s">
        <v>72</v>
      </c>
      <c r="N8" s="222" t="s">
        <v>73</v>
      </c>
      <c r="O8" s="222"/>
      <c r="P8" s="217" t="s">
        <v>10</v>
      </c>
      <c r="Q8" s="220" t="s">
        <v>74</v>
      </c>
      <c r="R8" s="213" t="s">
        <v>75</v>
      </c>
      <c r="S8" s="213" t="s">
        <v>76</v>
      </c>
      <c r="T8" s="213" t="s">
        <v>77</v>
      </c>
      <c r="U8" s="137" t="s">
        <v>78</v>
      </c>
      <c r="V8" s="138" t="s">
        <v>79</v>
      </c>
      <c r="W8" s="139" t="s">
        <v>80</v>
      </c>
      <c r="X8" s="140" t="s">
        <v>81</v>
      </c>
      <c r="Y8" s="141" t="s">
        <v>82</v>
      </c>
      <c r="Z8" s="142" t="s">
        <v>83</v>
      </c>
      <c r="AA8" s="140" t="s">
        <v>52</v>
      </c>
      <c r="AB8" s="143" t="s">
        <v>53</v>
      </c>
      <c r="AC8" s="217" t="s">
        <v>84</v>
      </c>
      <c r="AD8" s="217"/>
      <c r="AE8" s="217"/>
      <c r="AF8" s="217" t="s">
        <v>85</v>
      </c>
      <c r="AG8" s="217"/>
      <c r="AH8" s="217"/>
      <c r="AI8" s="209" t="s">
        <v>86</v>
      </c>
      <c r="AJ8" s="217" t="s">
        <v>87</v>
      </c>
      <c r="AK8" s="220" t="s">
        <v>88</v>
      </c>
      <c r="AL8" s="220" t="s">
        <v>89</v>
      </c>
      <c r="AM8" s="223" t="s">
        <v>1223</v>
      </c>
      <c r="AN8" s="215" t="s">
        <v>1227</v>
      </c>
      <c r="AO8" s="215" t="s">
        <v>1236</v>
      </c>
      <c r="AP8" s="205" t="s">
        <v>90</v>
      </c>
    </row>
    <row r="9" spans="1:42" ht="29" customHeight="1">
      <c r="C9" s="208"/>
      <c r="D9" s="212"/>
      <c r="E9" s="210"/>
      <c r="F9" s="210"/>
      <c r="G9" s="210"/>
      <c r="H9" s="210"/>
      <c r="I9" s="210"/>
      <c r="J9" s="210"/>
      <c r="K9" s="218"/>
      <c r="L9" s="218"/>
      <c r="M9" s="218"/>
      <c r="N9" s="144" t="s">
        <v>91</v>
      </c>
      <c r="O9" s="145" t="s">
        <v>92</v>
      </c>
      <c r="P9" s="218"/>
      <c r="Q9" s="221"/>
      <c r="R9" s="214"/>
      <c r="S9" s="214"/>
      <c r="T9" s="214"/>
      <c r="U9" s="146"/>
      <c r="V9" s="147"/>
      <c r="W9" s="146"/>
      <c r="X9" s="148"/>
      <c r="Y9" s="146"/>
      <c r="Z9" s="148"/>
      <c r="AA9" s="148"/>
      <c r="AB9" s="146"/>
      <c r="AC9" s="149" t="s">
        <v>93</v>
      </c>
      <c r="AD9" s="149" t="s">
        <v>94</v>
      </c>
      <c r="AE9" s="149" t="s">
        <v>95</v>
      </c>
      <c r="AF9" s="149" t="s">
        <v>96</v>
      </c>
      <c r="AG9" s="149" t="s">
        <v>97</v>
      </c>
      <c r="AH9" s="149" t="s">
        <v>95</v>
      </c>
      <c r="AI9" s="210"/>
      <c r="AJ9" s="218"/>
      <c r="AK9" s="221"/>
      <c r="AL9" s="221"/>
      <c r="AM9" s="224"/>
      <c r="AN9" s="216"/>
      <c r="AO9" s="216"/>
      <c r="AP9" s="206"/>
    </row>
    <row r="10" spans="1:42" ht="14.25" customHeight="1">
      <c r="C10" s="150">
        <v>1</v>
      </c>
      <c r="D10" s="151">
        <v>15262602</v>
      </c>
      <c r="E10" s="151" t="s">
        <v>164</v>
      </c>
      <c r="F10" s="152" t="s">
        <v>165</v>
      </c>
      <c r="G10" s="151" t="s">
        <v>165</v>
      </c>
      <c r="H10" s="151" t="s">
        <v>166</v>
      </c>
      <c r="I10" s="151" t="s">
        <v>167</v>
      </c>
      <c r="J10" s="151" t="s">
        <v>100</v>
      </c>
      <c r="K10" s="151" t="s">
        <v>99</v>
      </c>
      <c r="L10" s="153">
        <v>29910</v>
      </c>
      <c r="M10" s="151">
        <v>43</v>
      </c>
      <c r="N10" s="151" t="s">
        <v>168</v>
      </c>
      <c r="O10" s="153">
        <v>48687</v>
      </c>
      <c r="P10" s="151" t="s">
        <v>51</v>
      </c>
      <c r="Q10" s="151"/>
      <c r="R10" s="173">
        <v>45918</v>
      </c>
      <c r="S10" s="174">
        <v>45923</v>
      </c>
      <c r="T10" s="175">
        <f t="shared" ref="T10" si="0">S10-R10</f>
        <v>5</v>
      </c>
      <c r="U10" s="151">
        <v>1</v>
      </c>
      <c r="V10" s="151">
        <v>1</v>
      </c>
      <c r="W10" s="151">
        <v>0</v>
      </c>
      <c r="X10" s="151">
        <v>1</v>
      </c>
      <c r="Y10" s="151">
        <v>0</v>
      </c>
      <c r="Z10" s="151">
        <v>1</v>
      </c>
      <c r="AA10" s="151">
        <v>0</v>
      </c>
      <c r="AB10" s="151"/>
      <c r="AC10" s="153">
        <v>45918</v>
      </c>
      <c r="AD10" s="154">
        <v>0.19097222221898846</v>
      </c>
      <c r="AE10" s="151" t="s">
        <v>169</v>
      </c>
      <c r="AF10" s="153">
        <v>45923</v>
      </c>
      <c r="AG10" s="154">
        <v>0.79513888889050577</v>
      </c>
      <c r="AH10" s="151" t="s">
        <v>117</v>
      </c>
      <c r="AI10" s="151" t="s">
        <v>170</v>
      </c>
      <c r="AJ10" s="151" t="s">
        <v>104</v>
      </c>
      <c r="AK10" s="151" t="s">
        <v>104</v>
      </c>
      <c r="AL10" s="151" t="s">
        <v>58</v>
      </c>
      <c r="AM10" s="188" t="s">
        <v>1224</v>
      </c>
      <c r="AN10" s="188" t="s">
        <v>1233</v>
      </c>
      <c r="AO10" s="188"/>
      <c r="AP10" s="155"/>
    </row>
    <row r="11" spans="1:42" ht="14.25" customHeight="1">
      <c r="C11" s="150" t="s">
        <v>104</v>
      </c>
      <c r="D11" s="151"/>
      <c r="E11" s="151" t="s">
        <v>164</v>
      </c>
      <c r="F11" s="152" t="s">
        <v>171</v>
      </c>
      <c r="G11" s="151" t="s">
        <v>165</v>
      </c>
      <c r="H11" s="151" t="s">
        <v>172</v>
      </c>
      <c r="I11" s="151" t="s">
        <v>173</v>
      </c>
      <c r="J11" s="151" t="s">
        <v>98</v>
      </c>
      <c r="K11" s="151" t="s">
        <v>99</v>
      </c>
      <c r="L11" s="153">
        <v>29631</v>
      </c>
      <c r="M11" s="151">
        <v>44</v>
      </c>
      <c r="N11" s="151" t="s">
        <v>174</v>
      </c>
      <c r="O11" s="153">
        <v>46949</v>
      </c>
      <c r="P11" s="151" t="s">
        <v>51</v>
      </c>
      <c r="Q11" s="151"/>
      <c r="R11" s="173">
        <v>45918</v>
      </c>
      <c r="S11" s="174">
        <v>45923</v>
      </c>
      <c r="T11" s="175">
        <f t="shared" ref="T11:T74" si="1">S11-R11</f>
        <v>5</v>
      </c>
      <c r="U11" s="151">
        <v>1</v>
      </c>
      <c r="V11" s="151">
        <v>1</v>
      </c>
      <c r="W11" s="151">
        <v>0</v>
      </c>
      <c r="X11" s="151">
        <v>0</v>
      </c>
      <c r="Y11" s="151">
        <v>0</v>
      </c>
      <c r="Z11" s="151">
        <v>0</v>
      </c>
      <c r="AA11" s="151">
        <v>0</v>
      </c>
      <c r="AB11" s="151"/>
      <c r="AC11" s="153">
        <v>45918</v>
      </c>
      <c r="AD11" s="154">
        <v>0.19097222221898846</v>
      </c>
      <c r="AE11" s="151" t="s">
        <v>169</v>
      </c>
      <c r="AF11" s="153">
        <v>45923</v>
      </c>
      <c r="AG11" s="154">
        <v>0.79513888889050577</v>
      </c>
      <c r="AH11" s="151" t="s">
        <v>117</v>
      </c>
      <c r="AI11" s="151" t="s">
        <v>170</v>
      </c>
      <c r="AJ11" s="151" t="s">
        <v>104</v>
      </c>
      <c r="AK11" s="151" t="s">
        <v>104</v>
      </c>
      <c r="AL11" s="151" t="s">
        <v>58</v>
      </c>
      <c r="AM11" s="188" t="s">
        <v>1224</v>
      </c>
      <c r="AN11" s="188" t="s">
        <v>1233</v>
      </c>
      <c r="AO11" s="188"/>
      <c r="AP11" s="155"/>
    </row>
    <row r="12" spans="1:42" ht="14.25" customHeight="1">
      <c r="C12" s="150" t="s">
        <v>104</v>
      </c>
      <c r="D12" s="151"/>
      <c r="E12" s="151" t="s">
        <v>164</v>
      </c>
      <c r="F12" s="152" t="s">
        <v>175</v>
      </c>
      <c r="G12" s="151" t="s">
        <v>165</v>
      </c>
      <c r="H12" s="151" t="s">
        <v>176</v>
      </c>
      <c r="I12" s="151" t="s">
        <v>173</v>
      </c>
      <c r="J12" s="151" t="s">
        <v>100</v>
      </c>
      <c r="K12" s="151" t="s">
        <v>99</v>
      </c>
      <c r="L12" s="153">
        <v>41626</v>
      </c>
      <c r="M12" s="151">
        <v>11</v>
      </c>
      <c r="N12" s="151" t="s">
        <v>177</v>
      </c>
      <c r="O12" s="153">
        <v>47205</v>
      </c>
      <c r="P12" s="151" t="s">
        <v>51</v>
      </c>
      <c r="Q12" s="151"/>
      <c r="R12" s="173">
        <v>45918</v>
      </c>
      <c r="S12" s="174">
        <v>45923</v>
      </c>
      <c r="T12" s="175">
        <f t="shared" si="1"/>
        <v>5</v>
      </c>
      <c r="U12" s="151">
        <v>1</v>
      </c>
      <c r="V12" s="151">
        <v>0</v>
      </c>
      <c r="W12" s="151">
        <v>1</v>
      </c>
      <c r="X12" s="151">
        <v>0</v>
      </c>
      <c r="Y12" s="151">
        <v>0</v>
      </c>
      <c r="Z12" s="151">
        <v>0</v>
      </c>
      <c r="AA12" s="151">
        <v>0</v>
      </c>
      <c r="AB12" s="151"/>
      <c r="AC12" s="153">
        <v>45918</v>
      </c>
      <c r="AD12" s="154">
        <v>0.19097222221898846</v>
      </c>
      <c r="AE12" s="151" t="s">
        <v>169</v>
      </c>
      <c r="AF12" s="153">
        <v>45923</v>
      </c>
      <c r="AG12" s="154">
        <v>0.79513888889050577</v>
      </c>
      <c r="AH12" s="151" t="s">
        <v>117</v>
      </c>
      <c r="AI12" s="151" t="s">
        <v>170</v>
      </c>
      <c r="AJ12" s="151" t="s">
        <v>104</v>
      </c>
      <c r="AK12" s="151" t="s">
        <v>104</v>
      </c>
      <c r="AL12" s="151" t="s">
        <v>58</v>
      </c>
      <c r="AM12" s="188" t="s">
        <v>1224</v>
      </c>
      <c r="AN12" s="188" t="s">
        <v>1233</v>
      </c>
      <c r="AO12" s="188"/>
      <c r="AP12" s="155"/>
    </row>
    <row r="13" spans="1:42" ht="14.25" customHeight="1">
      <c r="C13" s="156">
        <f>IF($X13=1,COUNTIF($C$10:C12,"&gt;0")+1,"")</f>
        <v>2</v>
      </c>
      <c r="D13" s="151">
        <v>15262603</v>
      </c>
      <c r="E13" s="151" t="s">
        <v>164</v>
      </c>
      <c r="F13" s="152" t="s">
        <v>178</v>
      </c>
      <c r="G13" s="151" t="s">
        <v>178</v>
      </c>
      <c r="H13" s="151" t="s">
        <v>179</v>
      </c>
      <c r="I13" s="151" t="s">
        <v>180</v>
      </c>
      <c r="J13" s="151" t="s">
        <v>100</v>
      </c>
      <c r="K13" s="151" t="s">
        <v>103</v>
      </c>
      <c r="L13" s="153">
        <v>20461</v>
      </c>
      <c r="M13" s="151">
        <v>69</v>
      </c>
      <c r="N13" s="151" t="s">
        <v>181</v>
      </c>
      <c r="O13" s="153">
        <v>46732</v>
      </c>
      <c r="P13" s="151" t="s">
        <v>51</v>
      </c>
      <c r="Q13" s="151"/>
      <c r="R13" s="173">
        <v>45918</v>
      </c>
      <c r="S13" s="174">
        <v>45923</v>
      </c>
      <c r="T13" s="175">
        <f t="shared" si="1"/>
        <v>5</v>
      </c>
      <c r="U13" s="151">
        <v>1</v>
      </c>
      <c r="V13" s="151">
        <v>1</v>
      </c>
      <c r="W13" s="151">
        <v>0</v>
      </c>
      <c r="X13" s="151">
        <v>1</v>
      </c>
      <c r="Y13" s="151">
        <v>0</v>
      </c>
      <c r="Z13" s="151">
        <v>1</v>
      </c>
      <c r="AA13" s="151">
        <v>0</v>
      </c>
      <c r="AB13" s="151"/>
      <c r="AC13" s="153">
        <v>45918</v>
      </c>
      <c r="AD13" s="154">
        <v>0.50694444444525288</v>
      </c>
      <c r="AE13" s="151" t="s">
        <v>132</v>
      </c>
      <c r="AF13" s="153" t="s">
        <v>104</v>
      </c>
      <c r="AG13" s="154" t="s">
        <v>104</v>
      </c>
      <c r="AH13" s="151" t="s">
        <v>126</v>
      </c>
      <c r="AI13" s="151" t="s">
        <v>170</v>
      </c>
      <c r="AJ13" s="151" t="s">
        <v>104</v>
      </c>
      <c r="AK13" s="151" t="s">
        <v>104</v>
      </c>
      <c r="AL13" s="151" t="s">
        <v>58</v>
      </c>
      <c r="AM13" s="188" t="s">
        <v>1224</v>
      </c>
      <c r="AN13" s="188" t="s">
        <v>1233</v>
      </c>
      <c r="AO13" s="188"/>
      <c r="AP13" s="155"/>
    </row>
    <row r="14" spans="1:42" ht="14.25" customHeight="1">
      <c r="C14" s="156" t="str">
        <f>IF($X14=1,COUNTIF($C$10:C13,"&gt;0")+1,"")</f>
        <v/>
      </c>
      <c r="D14" s="151"/>
      <c r="E14" s="151" t="s">
        <v>164</v>
      </c>
      <c r="F14" s="152" t="s">
        <v>182</v>
      </c>
      <c r="G14" s="151" t="s">
        <v>178</v>
      </c>
      <c r="H14" s="151" t="s">
        <v>183</v>
      </c>
      <c r="I14" s="151" t="s">
        <v>180</v>
      </c>
      <c r="J14" s="151" t="s">
        <v>98</v>
      </c>
      <c r="K14" s="151" t="s">
        <v>103</v>
      </c>
      <c r="L14" s="153">
        <v>19979</v>
      </c>
      <c r="M14" s="151">
        <v>71</v>
      </c>
      <c r="N14" s="151" t="s">
        <v>184</v>
      </c>
      <c r="O14" s="153">
        <v>47875</v>
      </c>
      <c r="P14" s="151" t="s">
        <v>51</v>
      </c>
      <c r="Q14" s="151"/>
      <c r="R14" s="173">
        <v>45918</v>
      </c>
      <c r="S14" s="174">
        <v>45923</v>
      </c>
      <c r="T14" s="175">
        <f t="shared" si="1"/>
        <v>5</v>
      </c>
      <c r="U14" s="151">
        <v>1</v>
      </c>
      <c r="V14" s="151">
        <v>1</v>
      </c>
      <c r="W14" s="151">
        <v>0</v>
      </c>
      <c r="X14" s="151">
        <v>0</v>
      </c>
      <c r="Y14" s="151">
        <v>0</v>
      </c>
      <c r="Z14" s="151">
        <v>0</v>
      </c>
      <c r="AA14" s="151">
        <v>0</v>
      </c>
      <c r="AB14" s="151"/>
      <c r="AC14" s="153">
        <v>45918</v>
      </c>
      <c r="AD14" s="154">
        <v>0.50694444444525288</v>
      </c>
      <c r="AE14" s="151" t="s">
        <v>132</v>
      </c>
      <c r="AF14" s="153" t="s">
        <v>104</v>
      </c>
      <c r="AG14" s="154" t="s">
        <v>104</v>
      </c>
      <c r="AH14" s="151" t="s">
        <v>126</v>
      </c>
      <c r="AI14" s="151" t="s">
        <v>170</v>
      </c>
      <c r="AJ14" s="151" t="s">
        <v>104</v>
      </c>
      <c r="AK14" s="151" t="s">
        <v>104</v>
      </c>
      <c r="AL14" s="151" t="s">
        <v>58</v>
      </c>
      <c r="AM14" s="188" t="s">
        <v>1224</v>
      </c>
      <c r="AN14" s="188" t="s">
        <v>1233</v>
      </c>
      <c r="AO14" s="188"/>
      <c r="AP14" s="155"/>
    </row>
    <row r="15" spans="1:42" ht="14.25" customHeight="1">
      <c r="C15" s="156">
        <f>IF($X15=1,COUNTIF($C$10:C14,"&gt;0")+1,"")</f>
        <v>3</v>
      </c>
      <c r="D15" s="151">
        <v>15262682</v>
      </c>
      <c r="E15" s="151" t="s">
        <v>681</v>
      </c>
      <c r="F15" s="152" t="s">
        <v>717</v>
      </c>
      <c r="G15" s="151" t="s">
        <v>717</v>
      </c>
      <c r="H15" s="151" t="s">
        <v>718</v>
      </c>
      <c r="I15" s="151" t="s">
        <v>244</v>
      </c>
      <c r="J15" s="151" t="s">
        <v>100</v>
      </c>
      <c r="K15" s="151" t="s">
        <v>99</v>
      </c>
      <c r="L15" s="153">
        <v>27388</v>
      </c>
      <c r="M15" s="151">
        <v>50</v>
      </c>
      <c r="N15" s="151" t="s">
        <v>719</v>
      </c>
      <c r="O15" s="153">
        <v>47321</v>
      </c>
      <c r="P15" s="151" t="s">
        <v>50</v>
      </c>
      <c r="Q15" s="151"/>
      <c r="R15" s="173">
        <v>45918</v>
      </c>
      <c r="S15" s="174">
        <v>45923</v>
      </c>
      <c r="T15" s="175">
        <f>S15-R15</f>
        <v>5</v>
      </c>
      <c r="U15" s="151">
        <v>1</v>
      </c>
      <c r="V15" s="151">
        <v>1</v>
      </c>
      <c r="W15" s="151">
        <v>0</v>
      </c>
      <c r="X15" s="151">
        <v>1</v>
      </c>
      <c r="Y15" s="151">
        <v>1</v>
      </c>
      <c r="Z15" s="151">
        <v>0</v>
      </c>
      <c r="AA15" s="151">
        <v>0</v>
      </c>
      <c r="AB15" s="151"/>
      <c r="AC15" s="153">
        <v>45918</v>
      </c>
      <c r="AD15" s="154">
        <v>0.74305555555474712</v>
      </c>
      <c r="AE15" s="151" t="s">
        <v>720</v>
      </c>
      <c r="AF15" s="153">
        <v>45923</v>
      </c>
      <c r="AG15" s="154">
        <v>0.8125</v>
      </c>
      <c r="AH15" s="151" t="s">
        <v>721</v>
      </c>
      <c r="AI15" s="151" t="s">
        <v>687</v>
      </c>
      <c r="AJ15" s="151" t="s">
        <v>104</v>
      </c>
      <c r="AK15" s="151" t="s">
        <v>104</v>
      </c>
      <c r="AL15" s="151" t="s">
        <v>58</v>
      </c>
      <c r="AM15" s="188" t="s">
        <v>1224</v>
      </c>
      <c r="AN15" s="188" t="s">
        <v>1233</v>
      </c>
      <c r="AO15" s="188"/>
      <c r="AP15" s="155"/>
    </row>
    <row r="16" spans="1:42" ht="14.25" customHeight="1">
      <c r="C16" s="156" t="str">
        <f>IF($X16=1,COUNTIF($C$10:C15,"&gt;0")+1,"")</f>
        <v/>
      </c>
      <c r="D16" s="151"/>
      <c r="E16" s="151" t="s">
        <v>164</v>
      </c>
      <c r="F16" s="152" t="s">
        <v>189</v>
      </c>
      <c r="G16" s="151" t="s">
        <v>185</v>
      </c>
      <c r="H16" s="151" t="s">
        <v>190</v>
      </c>
      <c r="I16" s="151" t="s">
        <v>187</v>
      </c>
      <c r="J16" s="151" t="s">
        <v>100</v>
      </c>
      <c r="K16" s="151" t="s">
        <v>103</v>
      </c>
      <c r="L16" s="153">
        <v>28099</v>
      </c>
      <c r="M16" s="151">
        <v>48</v>
      </c>
      <c r="N16" s="151" t="s">
        <v>191</v>
      </c>
      <c r="O16" s="153">
        <v>48494</v>
      </c>
      <c r="P16" s="151" t="s">
        <v>51</v>
      </c>
      <c r="Q16" s="151"/>
      <c r="R16" s="173">
        <v>45918</v>
      </c>
      <c r="S16" s="174">
        <v>45923</v>
      </c>
      <c r="T16" s="175">
        <f>S16-R16</f>
        <v>5</v>
      </c>
      <c r="U16" s="151">
        <v>1</v>
      </c>
      <c r="V16" s="151">
        <v>1</v>
      </c>
      <c r="W16" s="151">
        <v>0</v>
      </c>
      <c r="X16" s="151">
        <v>0</v>
      </c>
      <c r="Y16" s="151">
        <v>0</v>
      </c>
      <c r="Z16" s="151">
        <v>0</v>
      </c>
      <c r="AA16" s="151">
        <v>0</v>
      </c>
      <c r="AB16" s="151"/>
      <c r="AC16" s="153" t="s">
        <v>104</v>
      </c>
      <c r="AD16" s="154" t="s">
        <v>104</v>
      </c>
      <c r="AE16" s="151" t="s">
        <v>104</v>
      </c>
      <c r="AF16" s="153" t="s">
        <v>104</v>
      </c>
      <c r="AG16" s="154" t="s">
        <v>104</v>
      </c>
      <c r="AH16" s="151" t="s">
        <v>104</v>
      </c>
      <c r="AI16" s="151" t="s">
        <v>170</v>
      </c>
      <c r="AJ16" s="151" t="s">
        <v>104</v>
      </c>
      <c r="AK16" s="151" t="s">
        <v>104</v>
      </c>
      <c r="AL16" s="151" t="s">
        <v>58</v>
      </c>
      <c r="AM16" s="188" t="s">
        <v>1224</v>
      </c>
      <c r="AN16" s="188" t="s">
        <v>1233</v>
      </c>
      <c r="AO16" s="188"/>
      <c r="AP16" s="155"/>
    </row>
    <row r="17" spans="3:42" ht="14.25" customHeight="1">
      <c r="C17" s="156">
        <f>IF($X17=1,COUNTIF($C$10:C16,"&gt;0")+1,"")</f>
        <v>4</v>
      </c>
      <c r="D17" s="151">
        <v>15262605</v>
      </c>
      <c r="E17" s="151" t="s">
        <v>164</v>
      </c>
      <c r="F17" s="152" t="s">
        <v>192</v>
      </c>
      <c r="G17" s="151" t="s">
        <v>192</v>
      </c>
      <c r="H17" s="151" t="s">
        <v>193</v>
      </c>
      <c r="I17" s="151" t="s">
        <v>194</v>
      </c>
      <c r="J17" s="151" t="s">
        <v>98</v>
      </c>
      <c r="K17" s="151" t="s">
        <v>99</v>
      </c>
      <c r="L17" s="153">
        <v>27038</v>
      </c>
      <c r="M17" s="151">
        <v>51</v>
      </c>
      <c r="N17" s="151" t="s">
        <v>195</v>
      </c>
      <c r="O17" s="153">
        <v>46280</v>
      </c>
      <c r="P17" s="151" t="s">
        <v>50</v>
      </c>
      <c r="Q17" s="151"/>
      <c r="R17" s="173">
        <v>45918</v>
      </c>
      <c r="S17" s="174">
        <v>45923</v>
      </c>
      <c r="T17" s="175">
        <f>S17-R17</f>
        <v>5</v>
      </c>
      <c r="U17" s="151">
        <v>1</v>
      </c>
      <c r="V17" s="151">
        <v>1</v>
      </c>
      <c r="W17" s="151">
        <v>0</v>
      </c>
      <c r="X17" s="151">
        <v>1</v>
      </c>
      <c r="Y17" s="151">
        <v>1</v>
      </c>
      <c r="Z17" s="151">
        <v>0</v>
      </c>
      <c r="AA17" s="151">
        <v>0</v>
      </c>
      <c r="AB17" s="151"/>
      <c r="AC17" s="153">
        <v>45913</v>
      </c>
      <c r="AD17" s="154">
        <v>0.64583333333575865</v>
      </c>
      <c r="AE17" s="151" t="s">
        <v>122</v>
      </c>
      <c r="AF17" s="153">
        <v>45924</v>
      </c>
      <c r="AG17" s="154">
        <v>0.72569444444525288</v>
      </c>
      <c r="AH17" s="151" t="s">
        <v>123</v>
      </c>
      <c r="AI17" s="151" t="s">
        <v>170</v>
      </c>
      <c r="AJ17" s="151" t="s">
        <v>104</v>
      </c>
      <c r="AK17" s="151"/>
      <c r="AL17" s="151" t="s">
        <v>58</v>
      </c>
      <c r="AM17" s="188" t="s">
        <v>1224</v>
      </c>
      <c r="AN17" s="188" t="s">
        <v>1233</v>
      </c>
      <c r="AO17" s="188"/>
      <c r="AP17" s="155"/>
    </row>
    <row r="18" spans="3:42" ht="14.25" customHeight="1">
      <c r="C18" s="156">
        <f>IF($X18=1,COUNTIF($C$10:C17,"&gt;0")+1,"")</f>
        <v>5</v>
      </c>
      <c r="D18" s="151">
        <v>15262606</v>
      </c>
      <c r="E18" s="151" t="s">
        <v>196</v>
      </c>
      <c r="F18" s="152" t="s">
        <v>197</v>
      </c>
      <c r="G18" s="151" t="s">
        <v>197</v>
      </c>
      <c r="H18" s="151" t="s">
        <v>198</v>
      </c>
      <c r="I18" s="151" t="s">
        <v>199</v>
      </c>
      <c r="J18" s="151" t="s">
        <v>100</v>
      </c>
      <c r="K18" s="151" t="s">
        <v>99</v>
      </c>
      <c r="L18" s="153">
        <v>30611</v>
      </c>
      <c r="M18" s="151">
        <v>41</v>
      </c>
      <c r="N18" s="151" t="s">
        <v>200</v>
      </c>
      <c r="O18" s="153">
        <v>46439</v>
      </c>
      <c r="P18" s="151" t="s">
        <v>51</v>
      </c>
      <c r="Q18" s="151"/>
      <c r="R18" s="173">
        <v>45918</v>
      </c>
      <c r="S18" s="174">
        <v>45923</v>
      </c>
      <c r="T18" s="175">
        <f>S18-R18</f>
        <v>5</v>
      </c>
      <c r="U18" s="151">
        <v>1</v>
      </c>
      <c r="V18" s="151">
        <v>1</v>
      </c>
      <c r="W18" s="151">
        <v>0</v>
      </c>
      <c r="X18" s="151">
        <v>1</v>
      </c>
      <c r="Y18" s="151">
        <v>0</v>
      </c>
      <c r="Z18" s="151">
        <v>1</v>
      </c>
      <c r="AA18" s="151">
        <v>0</v>
      </c>
      <c r="AB18" s="151"/>
      <c r="AC18" s="153">
        <v>45918</v>
      </c>
      <c r="AD18" s="154">
        <v>0.72916666666424135</v>
      </c>
      <c r="AE18" s="151" t="s">
        <v>115</v>
      </c>
      <c r="AF18" s="153">
        <v>45923</v>
      </c>
      <c r="AG18" s="154">
        <v>0.79513888889050577</v>
      </c>
      <c r="AH18" s="151" t="s">
        <v>117</v>
      </c>
      <c r="AI18" s="151" t="s">
        <v>201</v>
      </c>
      <c r="AJ18" s="151" t="s">
        <v>109</v>
      </c>
      <c r="AK18" s="151" t="s">
        <v>104</v>
      </c>
      <c r="AL18" s="151" t="s">
        <v>58</v>
      </c>
      <c r="AM18" s="188" t="s">
        <v>1224</v>
      </c>
      <c r="AN18" s="188" t="s">
        <v>1233</v>
      </c>
      <c r="AO18" s="188"/>
      <c r="AP18" s="155"/>
    </row>
    <row r="19" spans="3:42" ht="14.25" customHeight="1">
      <c r="C19" s="156" t="str">
        <f>IF($X19=1,COUNTIF($C$10:C18,"&gt;0")+1,"")</f>
        <v/>
      </c>
      <c r="D19" s="151"/>
      <c r="E19" s="151" t="s">
        <v>196</v>
      </c>
      <c r="F19" s="152" t="s">
        <v>202</v>
      </c>
      <c r="G19" s="151" t="s">
        <v>197</v>
      </c>
      <c r="H19" s="151" t="s">
        <v>203</v>
      </c>
      <c r="I19" s="151" t="s">
        <v>204</v>
      </c>
      <c r="J19" s="151" t="s">
        <v>98</v>
      </c>
      <c r="K19" s="151" t="s">
        <v>99</v>
      </c>
      <c r="L19" s="153">
        <v>29124</v>
      </c>
      <c r="M19" s="151">
        <v>45</v>
      </c>
      <c r="N19" s="151" t="s">
        <v>205</v>
      </c>
      <c r="O19" s="153">
        <v>46542</v>
      </c>
      <c r="P19" s="151" t="s">
        <v>51</v>
      </c>
      <c r="Q19" s="151"/>
      <c r="R19" s="173">
        <v>45918</v>
      </c>
      <c r="S19" s="174">
        <v>45923</v>
      </c>
      <c r="T19" s="175">
        <f>S19-R19</f>
        <v>5</v>
      </c>
      <c r="U19" s="151">
        <v>1</v>
      </c>
      <c r="V19" s="151">
        <v>1</v>
      </c>
      <c r="W19" s="151">
        <v>0</v>
      </c>
      <c r="X19" s="151">
        <v>0</v>
      </c>
      <c r="Y19" s="151">
        <v>0</v>
      </c>
      <c r="Z19" s="151">
        <v>0</v>
      </c>
      <c r="AA19" s="151">
        <v>0</v>
      </c>
      <c r="AB19" s="151"/>
      <c r="AC19" s="153">
        <v>45918</v>
      </c>
      <c r="AD19" s="154">
        <v>0.72916666666424135</v>
      </c>
      <c r="AE19" s="151" t="s">
        <v>115</v>
      </c>
      <c r="AF19" s="153">
        <v>45923</v>
      </c>
      <c r="AG19" s="154">
        <v>0.79513888889050577</v>
      </c>
      <c r="AH19" s="151" t="s">
        <v>117</v>
      </c>
      <c r="AI19" s="151" t="s">
        <v>201</v>
      </c>
      <c r="AJ19" s="151" t="s">
        <v>104</v>
      </c>
      <c r="AK19" s="151" t="s">
        <v>104</v>
      </c>
      <c r="AL19" s="151" t="s">
        <v>58</v>
      </c>
      <c r="AM19" s="188" t="s">
        <v>1224</v>
      </c>
      <c r="AN19" s="188" t="s">
        <v>1233</v>
      </c>
      <c r="AO19" s="188"/>
      <c r="AP19" s="155"/>
    </row>
    <row r="20" spans="3:42" ht="14.25" customHeight="1">
      <c r="C20" s="156">
        <f>IF($X20=1,COUNTIF($C$10:C19,"&gt;0")+1,"")</f>
        <v>6</v>
      </c>
      <c r="D20" s="151">
        <v>15262607</v>
      </c>
      <c r="E20" s="151" t="s">
        <v>196</v>
      </c>
      <c r="F20" s="152" t="s">
        <v>206</v>
      </c>
      <c r="G20" s="151" t="s">
        <v>206</v>
      </c>
      <c r="H20" s="151" t="s">
        <v>207</v>
      </c>
      <c r="I20" s="151" t="s">
        <v>208</v>
      </c>
      <c r="J20" s="151" t="s">
        <v>100</v>
      </c>
      <c r="K20" s="151" t="s">
        <v>99</v>
      </c>
      <c r="L20" s="153">
        <v>33545</v>
      </c>
      <c r="M20" s="151">
        <v>33</v>
      </c>
      <c r="N20" s="151" t="s">
        <v>209</v>
      </c>
      <c r="O20" s="153">
        <v>47539</v>
      </c>
      <c r="P20" s="151" t="s">
        <v>50</v>
      </c>
      <c r="Q20" s="151"/>
      <c r="R20" s="173">
        <v>45918</v>
      </c>
      <c r="S20" s="174">
        <v>45923</v>
      </c>
      <c r="T20" s="175">
        <f>S20-R20</f>
        <v>5</v>
      </c>
      <c r="U20" s="151">
        <v>1</v>
      </c>
      <c r="V20" s="151">
        <v>1</v>
      </c>
      <c r="W20" s="151">
        <v>0</v>
      </c>
      <c r="X20" s="151">
        <v>1</v>
      </c>
      <c r="Y20" s="151">
        <v>1</v>
      </c>
      <c r="Z20" s="151">
        <v>0</v>
      </c>
      <c r="AA20" s="151">
        <v>0</v>
      </c>
      <c r="AB20" s="151"/>
      <c r="AC20" s="153">
        <v>45918</v>
      </c>
      <c r="AD20" s="154">
        <v>0.65277777778101154</v>
      </c>
      <c r="AE20" s="151" t="s">
        <v>210</v>
      </c>
      <c r="AF20" s="153">
        <v>45923</v>
      </c>
      <c r="AG20" s="154">
        <v>0.34722222221898846</v>
      </c>
      <c r="AH20" s="151" t="s">
        <v>211</v>
      </c>
      <c r="AI20" s="151" t="s">
        <v>201</v>
      </c>
      <c r="AJ20" s="151" t="s">
        <v>104</v>
      </c>
      <c r="AK20" s="151" t="s">
        <v>104</v>
      </c>
      <c r="AL20" s="151" t="s">
        <v>58</v>
      </c>
      <c r="AM20" s="188" t="s">
        <v>1224</v>
      </c>
      <c r="AN20" s="188" t="s">
        <v>1233</v>
      </c>
      <c r="AO20" s="188"/>
      <c r="AP20" s="155"/>
    </row>
    <row r="21" spans="3:42" ht="14.25" customHeight="1">
      <c r="C21" s="156">
        <f>IF($X21=1,COUNTIF($C$10:C20,"&gt;0")+1,"")</f>
        <v>7</v>
      </c>
      <c r="D21" s="151">
        <v>15262608</v>
      </c>
      <c r="E21" s="151" t="s">
        <v>212</v>
      </c>
      <c r="F21" s="152" t="s">
        <v>213</v>
      </c>
      <c r="G21" s="151" t="s">
        <v>213</v>
      </c>
      <c r="H21" s="151" t="s">
        <v>214</v>
      </c>
      <c r="I21" s="151" t="s">
        <v>215</v>
      </c>
      <c r="J21" s="151" t="s">
        <v>98</v>
      </c>
      <c r="K21" s="151" t="s">
        <v>99</v>
      </c>
      <c r="L21" s="153">
        <v>23087</v>
      </c>
      <c r="M21" s="151">
        <v>62</v>
      </c>
      <c r="N21" s="151" t="s">
        <v>216</v>
      </c>
      <c r="O21" s="153">
        <v>46398</v>
      </c>
      <c r="P21" s="151" t="s">
        <v>51</v>
      </c>
      <c r="Q21" s="151"/>
      <c r="R21" s="173">
        <v>45918</v>
      </c>
      <c r="S21" s="174">
        <v>45923</v>
      </c>
      <c r="T21" s="175">
        <f>S21-R21</f>
        <v>5</v>
      </c>
      <c r="U21" s="151">
        <v>1</v>
      </c>
      <c r="V21" s="151">
        <v>1</v>
      </c>
      <c r="W21" s="151">
        <v>0</v>
      </c>
      <c r="X21" s="151">
        <v>1</v>
      </c>
      <c r="Y21" s="151">
        <v>0</v>
      </c>
      <c r="Z21" s="151">
        <v>1</v>
      </c>
      <c r="AA21" s="151">
        <v>0</v>
      </c>
      <c r="AB21" s="151"/>
      <c r="AC21" s="153">
        <v>45918</v>
      </c>
      <c r="AD21" s="154">
        <v>0.25</v>
      </c>
      <c r="AE21" s="151" t="s">
        <v>217</v>
      </c>
      <c r="AF21" s="153">
        <v>45923</v>
      </c>
      <c r="AG21" s="154">
        <v>0.85416666666424135</v>
      </c>
      <c r="AH21" s="151" t="s">
        <v>131</v>
      </c>
      <c r="AI21" s="151" t="s">
        <v>218</v>
      </c>
      <c r="AJ21" s="151" t="s">
        <v>109</v>
      </c>
      <c r="AK21" s="151" t="s">
        <v>104</v>
      </c>
      <c r="AL21" s="151" t="s">
        <v>58</v>
      </c>
      <c r="AM21" s="188" t="s">
        <v>1224</v>
      </c>
      <c r="AN21" s="188" t="s">
        <v>1233</v>
      </c>
      <c r="AO21" s="188"/>
      <c r="AP21" s="155"/>
    </row>
    <row r="22" spans="3:42" ht="14.25" customHeight="1">
      <c r="C22" s="156" t="str">
        <f>IF($X22=1,COUNTIF($C$10:C21,"&gt;0")+1,"")</f>
        <v/>
      </c>
      <c r="D22" s="151"/>
      <c r="E22" s="151" t="s">
        <v>212</v>
      </c>
      <c r="F22" s="152" t="s">
        <v>219</v>
      </c>
      <c r="G22" s="151" t="s">
        <v>213</v>
      </c>
      <c r="H22" s="151" t="s">
        <v>220</v>
      </c>
      <c r="I22" s="151" t="s">
        <v>215</v>
      </c>
      <c r="J22" s="151" t="s">
        <v>100</v>
      </c>
      <c r="K22" s="151" t="s">
        <v>99</v>
      </c>
      <c r="L22" s="153">
        <v>27667</v>
      </c>
      <c r="M22" s="151">
        <v>49</v>
      </c>
      <c r="N22" s="151" t="s">
        <v>221</v>
      </c>
      <c r="O22" s="153">
        <v>46398</v>
      </c>
      <c r="P22" s="151" t="s">
        <v>51</v>
      </c>
      <c r="Q22" s="151"/>
      <c r="R22" s="173">
        <v>45918</v>
      </c>
      <c r="S22" s="174">
        <v>45923</v>
      </c>
      <c r="T22" s="175">
        <f>S22-R22</f>
        <v>5</v>
      </c>
      <c r="U22" s="151">
        <v>1</v>
      </c>
      <c r="V22" s="151">
        <v>1</v>
      </c>
      <c r="W22" s="151">
        <v>0</v>
      </c>
      <c r="X22" s="151">
        <v>0</v>
      </c>
      <c r="Y22" s="151">
        <v>0</v>
      </c>
      <c r="Z22" s="151">
        <v>0</v>
      </c>
      <c r="AA22" s="151">
        <v>0</v>
      </c>
      <c r="AB22" s="151"/>
      <c r="AC22" s="153">
        <v>45918</v>
      </c>
      <c r="AD22" s="154">
        <v>0.25</v>
      </c>
      <c r="AE22" s="151" t="s">
        <v>217</v>
      </c>
      <c r="AF22" s="153">
        <v>45923</v>
      </c>
      <c r="AG22" s="154">
        <v>0.85416666666424135</v>
      </c>
      <c r="AH22" s="151" t="s">
        <v>131</v>
      </c>
      <c r="AI22" s="151" t="s">
        <v>218</v>
      </c>
      <c r="AJ22" s="151" t="s">
        <v>104</v>
      </c>
      <c r="AK22" s="151" t="s">
        <v>104</v>
      </c>
      <c r="AL22" s="151" t="s">
        <v>58</v>
      </c>
      <c r="AM22" s="188" t="s">
        <v>1224</v>
      </c>
      <c r="AN22" s="188" t="s">
        <v>1233</v>
      </c>
      <c r="AO22" s="188"/>
      <c r="AP22" s="155"/>
    </row>
    <row r="23" spans="3:42" ht="14.25" customHeight="1">
      <c r="C23" s="156">
        <f>IF($X23=1,COUNTIF($C$10:C22,"&gt;0")+1,"")</f>
        <v>8</v>
      </c>
      <c r="D23" s="151">
        <v>15262609</v>
      </c>
      <c r="E23" s="151" t="s">
        <v>222</v>
      </c>
      <c r="F23" s="152" t="s">
        <v>223</v>
      </c>
      <c r="G23" s="151" t="s">
        <v>223</v>
      </c>
      <c r="H23" s="151" t="s">
        <v>224</v>
      </c>
      <c r="I23" s="151" t="s">
        <v>225</v>
      </c>
      <c r="J23" s="151" t="s">
        <v>100</v>
      </c>
      <c r="K23" s="151" t="s">
        <v>99</v>
      </c>
      <c r="L23" s="153">
        <v>30394</v>
      </c>
      <c r="M23" s="151">
        <v>42</v>
      </c>
      <c r="N23" s="151" t="s">
        <v>226</v>
      </c>
      <c r="O23" s="153">
        <v>47188</v>
      </c>
      <c r="P23" s="151" t="s">
        <v>52</v>
      </c>
      <c r="Q23" s="151"/>
      <c r="R23" s="173">
        <v>45918</v>
      </c>
      <c r="S23" s="174">
        <v>45923</v>
      </c>
      <c r="T23" s="175">
        <f>S23-R23</f>
        <v>5</v>
      </c>
      <c r="U23" s="151">
        <v>1</v>
      </c>
      <c r="V23" s="151">
        <v>1</v>
      </c>
      <c r="W23" s="151">
        <v>0</v>
      </c>
      <c r="X23" s="151">
        <v>1</v>
      </c>
      <c r="Y23" s="151">
        <v>0</v>
      </c>
      <c r="Z23" s="151">
        <v>0</v>
      </c>
      <c r="AA23" s="151">
        <v>1</v>
      </c>
      <c r="AB23" s="151"/>
      <c r="AC23" s="153">
        <v>45918</v>
      </c>
      <c r="AD23" s="154">
        <v>0.47569444444525288</v>
      </c>
      <c r="AE23" s="151" t="s">
        <v>227</v>
      </c>
      <c r="AF23" s="153">
        <v>45923</v>
      </c>
      <c r="AG23" s="154">
        <v>0.89583333333575865</v>
      </c>
      <c r="AH23" s="151" t="s">
        <v>228</v>
      </c>
      <c r="AI23" s="151" t="s">
        <v>229</v>
      </c>
      <c r="AJ23" s="151" t="s">
        <v>109</v>
      </c>
      <c r="AK23" s="151" t="s">
        <v>104</v>
      </c>
      <c r="AL23" s="151" t="s">
        <v>58</v>
      </c>
      <c r="AM23" s="188" t="s">
        <v>1224</v>
      </c>
      <c r="AN23" s="188" t="s">
        <v>1231</v>
      </c>
      <c r="AO23" s="188"/>
      <c r="AP23" s="155"/>
    </row>
    <row r="24" spans="3:42" ht="14.25" customHeight="1">
      <c r="C24" s="156" t="str">
        <f>IF($X24=1,COUNTIF($C$10:C23,"&gt;0")+1,"")</f>
        <v/>
      </c>
      <c r="D24" s="151"/>
      <c r="E24" s="151" t="s">
        <v>222</v>
      </c>
      <c r="F24" s="152" t="s">
        <v>230</v>
      </c>
      <c r="G24" s="151" t="s">
        <v>223</v>
      </c>
      <c r="H24" s="151" t="s">
        <v>231</v>
      </c>
      <c r="I24" s="151" t="s">
        <v>199</v>
      </c>
      <c r="J24" s="151" t="s">
        <v>98</v>
      </c>
      <c r="K24" s="151" t="s">
        <v>232</v>
      </c>
      <c r="L24" s="153">
        <v>30270</v>
      </c>
      <c r="M24" s="151">
        <v>42</v>
      </c>
      <c r="N24" s="151" t="s">
        <v>233</v>
      </c>
      <c r="O24" s="153">
        <v>47854</v>
      </c>
      <c r="P24" s="151" t="s">
        <v>52</v>
      </c>
      <c r="Q24" s="151"/>
      <c r="R24" s="173">
        <v>45918</v>
      </c>
      <c r="S24" s="174">
        <v>45923</v>
      </c>
      <c r="T24" s="175">
        <f>S24-R24</f>
        <v>5</v>
      </c>
      <c r="U24" s="151">
        <v>1</v>
      </c>
      <c r="V24" s="151">
        <v>1</v>
      </c>
      <c r="W24" s="151">
        <v>0</v>
      </c>
      <c r="X24" s="151">
        <v>0</v>
      </c>
      <c r="Y24" s="151">
        <v>0</v>
      </c>
      <c r="Z24" s="151">
        <v>0</v>
      </c>
      <c r="AA24" s="151">
        <v>0</v>
      </c>
      <c r="AB24" s="151"/>
      <c r="AC24" s="153">
        <v>45918</v>
      </c>
      <c r="AD24" s="154">
        <v>0.47569444444525288</v>
      </c>
      <c r="AE24" s="151" t="s">
        <v>227</v>
      </c>
      <c r="AF24" s="153">
        <v>45923</v>
      </c>
      <c r="AG24" s="154">
        <v>0.89583333333575865</v>
      </c>
      <c r="AH24" s="151" t="s">
        <v>228</v>
      </c>
      <c r="AI24" s="151" t="s">
        <v>229</v>
      </c>
      <c r="AJ24" s="151" t="s">
        <v>104</v>
      </c>
      <c r="AK24" s="151" t="s">
        <v>104</v>
      </c>
      <c r="AL24" s="151" t="s">
        <v>58</v>
      </c>
      <c r="AM24" s="188" t="s">
        <v>1224</v>
      </c>
      <c r="AN24" s="188" t="s">
        <v>1231</v>
      </c>
      <c r="AO24" s="188"/>
      <c r="AP24" s="155"/>
    </row>
    <row r="25" spans="3:42" ht="14.25" customHeight="1">
      <c r="C25" s="156" t="str">
        <f>IF($X25=1,COUNTIF($C$10:C24,"&gt;0")+1,"")</f>
        <v/>
      </c>
      <c r="D25" s="151"/>
      <c r="E25" s="151" t="s">
        <v>222</v>
      </c>
      <c r="F25" s="152" t="s">
        <v>234</v>
      </c>
      <c r="G25" s="151" t="s">
        <v>223</v>
      </c>
      <c r="H25" s="151" t="s">
        <v>235</v>
      </c>
      <c r="I25" s="151" t="s">
        <v>199</v>
      </c>
      <c r="J25" s="151" t="s">
        <v>98</v>
      </c>
      <c r="K25" s="151" t="s">
        <v>99</v>
      </c>
      <c r="L25" s="153">
        <v>42734</v>
      </c>
      <c r="M25" s="151">
        <v>8</v>
      </c>
      <c r="N25" s="151" t="s">
        <v>236</v>
      </c>
      <c r="O25" s="153">
        <v>46748</v>
      </c>
      <c r="P25" s="151" t="s">
        <v>52</v>
      </c>
      <c r="Q25" s="151"/>
      <c r="R25" s="173">
        <v>45918</v>
      </c>
      <c r="S25" s="174">
        <v>45923</v>
      </c>
      <c r="T25" s="175">
        <f>S25-R25</f>
        <v>5</v>
      </c>
      <c r="U25" s="151">
        <v>1</v>
      </c>
      <c r="V25" s="151">
        <v>0</v>
      </c>
      <c r="W25" s="151">
        <v>1</v>
      </c>
      <c r="X25" s="151">
        <v>0</v>
      </c>
      <c r="Y25" s="151">
        <v>0</v>
      </c>
      <c r="Z25" s="151">
        <v>0</v>
      </c>
      <c r="AA25" s="151">
        <v>0</v>
      </c>
      <c r="AB25" s="151"/>
      <c r="AC25" s="153">
        <v>45918</v>
      </c>
      <c r="AD25" s="154">
        <v>0.47569444444525288</v>
      </c>
      <c r="AE25" s="151" t="s">
        <v>227</v>
      </c>
      <c r="AF25" s="153">
        <v>45923</v>
      </c>
      <c r="AG25" s="154">
        <v>0.89583333333575865</v>
      </c>
      <c r="AH25" s="151" t="s">
        <v>228</v>
      </c>
      <c r="AI25" s="151" t="s">
        <v>229</v>
      </c>
      <c r="AJ25" s="151" t="s">
        <v>104</v>
      </c>
      <c r="AK25" s="151" t="s">
        <v>104</v>
      </c>
      <c r="AL25" s="151" t="s">
        <v>58</v>
      </c>
      <c r="AM25" s="188" t="s">
        <v>1224</v>
      </c>
      <c r="AN25" s="188" t="s">
        <v>1231</v>
      </c>
      <c r="AO25" s="188"/>
      <c r="AP25" s="155"/>
    </row>
    <row r="26" spans="3:42" ht="14.25" customHeight="1">
      <c r="C26" s="156">
        <f>IF($X26=1,COUNTIF($C$10:C25,"&gt;0")+1,"")</f>
        <v>9</v>
      </c>
      <c r="D26" s="151">
        <v>15262610</v>
      </c>
      <c r="E26" s="151" t="s">
        <v>222</v>
      </c>
      <c r="F26" s="152" t="s">
        <v>237</v>
      </c>
      <c r="G26" s="151" t="s">
        <v>237</v>
      </c>
      <c r="H26" s="151" t="s">
        <v>238</v>
      </c>
      <c r="I26" s="151" t="s">
        <v>239</v>
      </c>
      <c r="J26" s="151" t="s">
        <v>100</v>
      </c>
      <c r="K26" s="151" t="s">
        <v>99</v>
      </c>
      <c r="L26" s="153">
        <v>36315</v>
      </c>
      <c r="M26" s="151">
        <v>26</v>
      </c>
      <c r="N26" s="151" t="s">
        <v>240</v>
      </c>
      <c r="O26" s="153">
        <v>48909</v>
      </c>
      <c r="P26" s="151" t="s">
        <v>51</v>
      </c>
      <c r="Q26" s="151"/>
      <c r="R26" s="173">
        <v>45918</v>
      </c>
      <c r="S26" s="174">
        <v>45923</v>
      </c>
      <c r="T26" s="175">
        <f>S26-R26</f>
        <v>5</v>
      </c>
      <c r="U26" s="151">
        <v>1</v>
      </c>
      <c r="V26" s="151">
        <v>1</v>
      </c>
      <c r="W26" s="151">
        <v>0</v>
      </c>
      <c r="X26" s="151">
        <v>1</v>
      </c>
      <c r="Y26" s="151">
        <v>0</v>
      </c>
      <c r="Z26" s="151">
        <v>1</v>
      </c>
      <c r="AA26" s="151">
        <v>0</v>
      </c>
      <c r="AB26" s="151"/>
      <c r="AC26" s="153">
        <v>45918</v>
      </c>
      <c r="AD26" s="154">
        <v>0.72222222221898846</v>
      </c>
      <c r="AE26" s="151" t="s">
        <v>113</v>
      </c>
      <c r="AF26" s="153">
        <v>45923</v>
      </c>
      <c r="AG26" s="154">
        <v>0.34027777778101154</v>
      </c>
      <c r="AH26" s="151" t="s">
        <v>241</v>
      </c>
      <c r="AI26" s="151" t="s">
        <v>229</v>
      </c>
      <c r="AJ26" s="151" t="s">
        <v>104</v>
      </c>
      <c r="AK26" s="151" t="s">
        <v>104</v>
      </c>
      <c r="AL26" s="151" t="s">
        <v>58</v>
      </c>
      <c r="AM26" s="188" t="s">
        <v>1224</v>
      </c>
      <c r="AN26" s="188" t="s">
        <v>1232</v>
      </c>
      <c r="AO26" s="188"/>
      <c r="AP26" s="155"/>
    </row>
    <row r="27" spans="3:42" ht="14.25" customHeight="1">
      <c r="C27" s="156" t="str">
        <f>IF($X27=1,COUNTIF($C$10:C26,"&gt;0")+1,"")</f>
        <v/>
      </c>
      <c r="D27" s="151"/>
      <c r="E27" s="151" t="s">
        <v>222</v>
      </c>
      <c r="F27" s="152" t="s">
        <v>242</v>
      </c>
      <c r="G27" s="151" t="s">
        <v>237</v>
      </c>
      <c r="H27" s="151" t="s">
        <v>243</v>
      </c>
      <c r="I27" s="151" t="s">
        <v>244</v>
      </c>
      <c r="J27" s="151" t="s">
        <v>98</v>
      </c>
      <c r="K27" s="151" t="s">
        <v>99</v>
      </c>
      <c r="L27" s="153">
        <v>37210</v>
      </c>
      <c r="M27" s="151">
        <v>23</v>
      </c>
      <c r="N27" s="151" t="s">
        <v>245</v>
      </c>
      <c r="O27" s="153">
        <v>49461</v>
      </c>
      <c r="P27" s="151" t="s">
        <v>51</v>
      </c>
      <c r="Q27" s="151"/>
      <c r="R27" s="173">
        <v>45918</v>
      </c>
      <c r="S27" s="174">
        <v>45923</v>
      </c>
      <c r="T27" s="175">
        <f>S27-R27</f>
        <v>5</v>
      </c>
      <c r="U27" s="151">
        <v>1</v>
      </c>
      <c r="V27" s="151">
        <v>1</v>
      </c>
      <c r="W27" s="151">
        <v>0</v>
      </c>
      <c r="X27" s="151">
        <v>0</v>
      </c>
      <c r="Y27" s="151">
        <v>0</v>
      </c>
      <c r="Z27" s="151">
        <v>0</v>
      </c>
      <c r="AA27" s="151">
        <v>0</v>
      </c>
      <c r="AB27" s="151"/>
      <c r="AC27" s="153">
        <v>45918</v>
      </c>
      <c r="AD27" s="154">
        <v>0.72222222221898846</v>
      </c>
      <c r="AE27" s="151" t="s">
        <v>113</v>
      </c>
      <c r="AF27" s="153">
        <v>45923</v>
      </c>
      <c r="AG27" s="154">
        <v>0.34027777778101154</v>
      </c>
      <c r="AH27" s="151" t="s">
        <v>241</v>
      </c>
      <c r="AI27" s="151" t="s">
        <v>229</v>
      </c>
      <c r="AJ27" s="151" t="s">
        <v>104</v>
      </c>
      <c r="AK27" s="151" t="s">
        <v>104</v>
      </c>
      <c r="AL27" s="151" t="s">
        <v>58</v>
      </c>
      <c r="AM27" s="188" t="s">
        <v>1224</v>
      </c>
      <c r="AN27" s="188" t="s">
        <v>1232</v>
      </c>
      <c r="AO27" s="188"/>
      <c r="AP27" s="155"/>
    </row>
    <row r="28" spans="3:42" ht="14.25" customHeight="1">
      <c r="C28" s="156">
        <f>IF($X28=1,COUNTIF($C$10:C27,"&gt;0")+1,"")</f>
        <v>10</v>
      </c>
      <c r="D28" s="151">
        <v>15262611</v>
      </c>
      <c r="E28" s="151" t="s">
        <v>222</v>
      </c>
      <c r="F28" s="152" t="s">
        <v>246</v>
      </c>
      <c r="G28" s="151" t="s">
        <v>237</v>
      </c>
      <c r="H28" s="151" t="s">
        <v>247</v>
      </c>
      <c r="I28" s="151" t="s">
        <v>248</v>
      </c>
      <c r="J28" s="151" t="s">
        <v>100</v>
      </c>
      <c r="K28" s="151" t="s">
        <v>99</v>
      </c>
      <c r="L28" s="153">
        <v>26600</v>
      </c>
      <c r="M28" s="151">
        <v>52</v>
      </c>
      <c r="N28" s="151" t="s">
        <v>249</v>
      </c>
      <c r="O28" s="153">
        <v>48654</v>
      </c>
      <c r="P28" s="151" t="s">
        <v>52</v>
      </c>
      <c r="Q28" s="151"/>
      <c r="R28" s="173">
        <v>45918</v>
      </c>
      <c r="S28" s="174">
        <v>45923</v>
      </c>
      <c r="T28" s="175">
        <f>S28-R28</f>
        <v>5</v>
      </c>
      <c r="U28" s="151">
        <v>1</v>
      </c>
      <c r="V28" s="151">
        <v>1</v>
      </c>
      <c r="W28" s="151">
        <v>0</v>
      </c>
      <c r="X28" s="151">
        <v>1</v>
      </c>
      <c r="Y28" s="151">
        <v>0</v>
      </c>
      <c r="Z28" s="151">
        <v>0</v>
      </c>
      <c r="AA28" s="151">
        <v>1</v>
      </c>
      <c r="AB28" s="151"/>
      <c r="AC28" s="153">
        <v>45918</v>
      </c>
      <c r="AD28" s="154">
        <v>0.52777777778101154</v>
      </c>
      <c r="AE28" s="151" t="s">
        <v>155</v>
      </c>
      <c r="AF28" s="153">
        <v>45923</v>
      </c>
      <c r="AG28" s="154">
        <v>0.34722222221898846</v>
      </c>
      <c r="AH28" s="151" t="s">
        <v>211</v>
      </c>
      <c r="AI28" s="151" t="s">
        <v>229</v>
      </c>
      <c r="AJ28" s="151" t="s">
        <v>104</v>
      </c>
      <c r="AK28" s="151" t="s">
        <v>104</v>
      </c>
      <c r="AL28" s="151" t="s">
        <v>58</v>
      </c>
      <c r="AM28" s="188" t="s">
        <v>1224</v>
      </c>
      <c r="AN28" s="188" t="s">
        <v>1231</v>
      </c>
      <c r="AO28" s="188"/>
      <c r="AP28" s="155"/>
    </row>
    <row r="29" spans="3:42" ht="14.25" customHeight="1">
      <c r="C29" s="156" t="str">
        <f>IF($X29=1,COUNTIF($C$10:C28,"&gt;0")+1,"")</f>
        <v/>
      </c>
      <c r="D29" s="151"/>
      <c r="E29" s="151" t="s">
        <v>222</v>
      </c>
      <c r="F29" s="152" t="s">
        <v>250</v>
      </c>
      <c r="G29" s="151" t="s">
        <v>237</v>
      </c>
      <c r="H29" s="151" t="s">
        <v>251</v>
      </c>
      <c r="I29" s="151" t="s">
        <v>252</v>
      </c>
      <c r="J29" s="151" t="s">
        <v>100</v>
      </c>
      <c r="K29" s="151" t="s">
        <v>99</v>
      </c>
      <c r="L29" s="153">
        <v>27237</v>
      </c>
      <c r="M29" s="151">
        <v>51</v>
      </c>
      <c r="N29" s="151" t="s">
        <v>253</v>
      </c>
      <c r="O29" s="153">
        <v>45922</v>
      </c>
      <c r="P29" s="151" t="s">
        <v>52</v>
      </c>
      <c r="Q29" s="151"/>
      <c r="R29" s="173">
        <v>45918</v>
      </c>
      <c r="S29" s="174">
        <v>45923</v>
      </c>
      <c r="T29" s="175">
        <f>S29-R29</f>
        <v>5</v>
      </c>
      <c r="U29" s="151">
        <v>1</v>
      </c>
      <c r="V29" s="151">
        <v>1</v>
      </c>
      <c r="W29" s="151">
        <v>0</v>
      </c>
      <c r="X29" s="151">
        <v>0</v>
      </c>
      <c r="Y29" s="151">
        <v>0</v>
      </c>
      <c r="Z29" s="151">
        <v>0</v>
      </c>
      <c r="AA29" s="151">
        <v>0</v>
      </c>
      <c r="AB29" s="151"/>
      <c r="AC29" s="153">
        <v>45918</v>
      </c>
      <c r="AD29" s="154">
        <v>0.52777777778101154</v>
      </c>
      <c r="AE29" s="151" t="s">
        <v>155</v>
      </c>
      <c r="AF29" s="153">
        <v>45923</v>
      </c>
      <c r="AG29" s="154">
        <v>0.83680555555474712</v>
      </c>
      <c r="AH29" s="151" t="s">
        <v>145</v>
      </c>
      <c r="AI29" s="151" t="s">
        <v>229</v>
      </c>
      <c r="AJ29" s="151" t="s">
        <v>104</v>
      </c>
      <c r="AK29" s="151" t="s">
        <v>104</v>
      </c>
      <c r="AL29" s="151" t="s">
        <v>58</v>
      </c>
      <c r="AM29" s="188" t="s">
        <v>1224</v>
      </c>
      <c r="AN29" s="188" t="s">
        <v>1231</v>
      </c>
      <c r="AO29" s="188"/>
      <c r="AP29" s="155"/>
    </row>
    <row r="30" spans="3:42" ht="14.25" customHeight="1">
      <c r="C30" s="156">
        <f>IF($X30=1,COUNTIF($C$10:C29,"&gt;0")+1,"")</f>
        <v>11</v>
      </c>
      <c r="D30" s="151">
        <v>15262612</v>
      </c>
      <c r="E30" s="151" t="s">
        <v>222</v>
      </c>
      <c r="F30" s="152" t="s">
        <v>254</v>
      </c>
      <c r="G30" s="151" t="s">
        <v>254</v>
      </c>
      <c r="H30" s="151" t="s">
        <v>255</v>
      </c>
      <c r="I30" s="151" t="s">
        <v>256</v>
      </c>
      <c r="J30" s="151" t="s">
        <v>100</v>
      </c>
      <c r="K30" s="151" t="s">
        <v>99</v>
      </c>
      <c r="L30" s="153">
        <v>35858</v>
      </c>
      <c r="M30" s="151">
        <v>27</v>
      </c>
      <c r="N30" s="151" t="s">
        <v>257</v>
      </c>
      <c r="O30" s="153">
        <v>46601</v>
      </c>
      <c r="P30" s="151" t="s">
        <v>51</v>
      </c>
      <c r="Q30" s="151"/>
      <c r="R30" s="173">
        <v>45918</v>
      </c>
      <c r="S30" s="174">
        <v>45923</v>
      </c>
      <c r="T30" s="175">
        <f>S30-R30</f>
        <v>5</v>
      </c>
      <c r="U30" s="151">
        <v>1</v>
      </c>
      <c r="V30" s="151">
        <v>1</v>
      </c>
      <c r="W30" s="151">
        <v>0</v>
      </c>
      <c r="X30" s="151">
        <v>1</v>
      </c>
      <c r="Y30" s="151">
        <v>0</v>
      </c>
      <c r="Z30" s="151">
        <v>1</v>
      </c>
      <c r="AA30" s="151">
        <v>0</v>
      </c>
      <c r="AB30" s="151"/>
      <c r="AC30" s="153">
        <v>45918</v>
      </c>
      <c r="AD30" s="154">
        <v>0.70138888889050577</v>
      </c>
      <c r="AE30" s="151" t="s">
        <v>151</v>
      </c>
      <c r="AF30" s="153">
        <v>45923</v>
      </c>
      <c r="AG30" s="154">
        <v>0.87847222221898846</v>
      </c>
      <c r="AH30" s="151" t="s">
        <v>152</v>
      </c>
      <c r="AI30" s="151" t="s">
        <v>229</v>
      </c>
      <c r="AJ30" s="151" t="s">
        <v>104</v>
      </c>
      <c r="AK30" s="151" t="s">
        <v>104</v>
      </c>
      <c r="AL30" s="151" t="s">
        <v>58</v>
      </c>
      <c r="AM30" s="188" t="s">
        <v>1224</v>
      </c>
      <c r="AN30" s="188" t="s">
        <v>1232</v>
      </c>
      <c r="AO30" s="188"/>
      <c r="AP30" s="155"/>
    </row>
    <row r="31" spans="3:42" ht="14.25" customHeight="1">
      <c r="C31" s="156" t="str">
        <f>IF($X31=1,COUNTIF($C$10:C30,"&gt;0")+1,"")</f>
        <v/>
      </c>
      <c r="D31" s="151"/>
      <c r="E31" s="151" t="s">
        <v>222</v>
      </c>
      <c r="F31" s="152" t="s">
        <v>258</v>
      </c>
      <c r="G31" s="151" t="s">
        <v>254</v>
      </c>
      <c r="H31" s="151" t="s">
        <v>259</v>
      </c>
      <c r="I31" s="151" t="s">
        <v>260</v>
      </c>
      <c r="J31" s="151" t="s">
        <v>98</v>
      </c>
      <c r="K31" s="151" t="s">
        <v>99</v>
      </c>
      <c r="L31" s="153">
        <v>35944</v>
      </c>
      <c r="M31" s="151">
        <v>27</v>
      </c>
      <c r="N31" s="151" t="s">
        <v>261</v>
      </c>
      <c r="O31" s="153">
        <v>49084</v>
      </c>
      <c r="P31" s="151" t="s">
        <v>51</v>
      </c>
      <c r="Q31" s="151"/>
      <c r="R31" s="173">
        <v>45918</v>
      </c>
      <c r="S31" s="174">
        <v>45923</v>
      </c>
      <c r="T31" s="175">
        <f>S31-R31</f>
        <v>5</v>
      </c>
      <c r="U31" s="151">
        <v>1</v>
      </c>
      <c r="V31" s="151">
        <v>1</v>
      </c>
      <c r="W31" s="151">
        <v>0</v>
      </c>
      <c r="X31" s="151">
        <v>0</v>
      </c>
      <c r="Y31" s="151">
        <v>0</v>
      </c>
      <c r="Z31" s="151">
        <v>0</v>
      </c>
      <c r="AA31" s="151">
        <v>0</v>
      </c>
      <c r="AB31" s="151"/>
      <c r="AC31" s="153">
        <v>45918</v>
      </c>
      <c r="AD31" s="154">
        <v>0.70138888889050577</v>
      </c>
      <c r="AE31" s="151" t="s">
        <v>151</v>
      </c>
      <c r="AF31" s="153">
        <v>45923</v>
      </c>
      <c r="AG31" s="154">
        <v>0.87847222221898846</v>
      </c>
      <c r="AH31" s="151" t="s">
        <v>152</v>
      </c>
      <c r="AI31" s="151" t="s">
        <v>229</v>
      </c>
      <c r="AJ31" s="151" t="s">
        <v>104</v>
      </c>
      <c r="AK31" s="151" t="s">
        <v>104</v>
      </c>
      <c r="AL31" s="151" t="s">
        <v>58</v>
      </c>
      <c r="AM31" s="188" t="s">
        <v>1224</v>
      </c>
      <c r="AN31" s="188" t="s">
        <v>1232</v>
      </c>
      <c r="AO31" s="188"/>
      <c r="AP31" s="155"/>
    </row>
    <row r="32" spans="3:42" ht="14.25" customHeight="1">
      <c r="C32" s="156">
        <f>IF($X32=1,COUNTIF($C$10:C31,"&gt;0")+1,"")</f>
        <v>12</v>
      </c>
      <c r="D32" s="151">
        <v>15262613</v>
      </c>
      <c r="E32" s="151" t="s">
        <v>222</v>
      </c>
      <c r="F32" s="152" t="s">
        <v>262</v>
      </c>
      <c r="G32" s="151" t="s">
        <v>262</v>
      </c>
      <c r="H32" s="151" t="s">
        <v>263</v>
      </c>
      <c r="I32" s="151" t="s">
        <v>264</v>
      </c>
      <c r="J32" s="151" t="s">
        <v>100</v>
      </c>
      <c r="K32" s="151" t="s">
        <v>99</v>
      </c>
      <c r="L32" s="153">
        <v>31742</v>
      </c>
      <c r="M32" s="151">
        <v>38</v>
      </c>
      <c r="N32" s="151" t="s">
        <v>1225</v>
      </c>
      <c r="O32" s="153">
        <v>48888</v>
      </c>
      <c r="P32" s="151" t="s">
        <v>52</v>
      </c>
      <c r="Q32" s="151"/>
      <c r="R32" s="173">
        <v>45918</v>
      </c>
      <c r="S32" s="174">
        <v>45923</v>
      </c>
      <c r="T32" s="175">
        <f>S32-R32</f>
        <v>5</v>
      </c>
      <c r="U32" s="151">
        <v>1</v>
      </c>
      <c r="V32" s="151">
        <v>1</v>
      </c>
      <c r="W32" s="151">
        <v>0</v>
      </c>
      <c r="X32" s="151">
        <v>1</v>
      </c>
      <c r="Y32" s="151">
        <v>0</v>
      </c>
      <c r="Z32" s="151">
        <v>0</v>
      </c>
      <c r="AA32" s="151">
        <v>1</v>
      </c>
      <c r="AB32" s="151"/>
      <c r="AC32" s="153">
        <v>45918</v>
      </c>
      <c r="AD32" s="154">
        <v>0.52777777778101154</v>
      </c>
      <c r="AE32" s="151" t="s">
        <v>155</v>
      </c>
      <c r="AF32" s="153">
        <v>45923</v>
      </c>
      <c r="AG32" s="154">
        <v>0.34722222221898846</v>
      </c>
      <c r="AH32" s="151" t="s">
        <v>211</v>
      </c>
      <c r="AI32" s="151" t="s">
        <v>229</v>
      </c>
      <c r="AJ32" s="151" t="s">
        <v>104</v>
      </c>
      <c r="AK32" s="151" t="s">
        <v>104</v>
      </c>
      <c r="AL32" s="151" t="s">
        <v>58</v>
      </c>
      <c r="AM32" s="188" t="s">
        <v>1224</v>
      </c>
      <c r="AN32" s="188" t="s">
        <v>1231</v>
      </c>
      <c r="AO32" s="188"/>
      <c r="AP32" s="155"/>
    </row>
    <row r="33" spans="3:42" ht="14.25" customHeight="1">
      <c r="C33" s="156" t="str">
        <f>IF($X33=1,COUNTIF($C$10:C32,"&gt;0")+1,"")</f>
        <v/>
      </c>
      <c r="D33" s="151"/>
      <c r="E33" s="151" t="s">
        <v>222</v>
      </c>
      <c r="F33" s="152" t="s">
        <v>265</v>
      </c>
      <c r="G33" s="151" t="s">
        <v>262</v>
      </c>
      <c r="H33" s="151" t="s">
        <v>266</v>
      </c>
      <c r="I33" s="151" t="s">
        <v>239</v>
      </c>
      <c r="J33" s="151" t="s">
        <v>100</v>
      </c>
      <c r="K33" s="151" t="s">
        <v>104</v>
      </c>
      <c r="L33" s="153" t="s">
        <v>104</v>
      </c>
      <c r="M33" s="151" t="s">
        <v>104</v>
      </c>
      <c r="N33" s="151" t="s">
        <v>104</v>
      </c>
      <c r="O33" s="153" t="s">
        <v>104</v>
      </c>
      <c r="P33" s="151" t="s">
        <v>52</v>
      </c>
      <c r="Q33" s="151"/>
      <c r="R33" s="173">
        <v>45918</v>
      </c>
      <c r="S33" s="174">
        <v>45923</v>
      </c>
      <c r="T33" s="175">
        <f>S33-R33</f>
        <v>5</v>
      </c>
      <c r="U33" s="151">
        <v>1</v>
      </c>
      <c r="V33" s="151">
        <v>1</v>
      </c>
      <c r="W33" s="151">
        <v>0</v>
      </c>
      <c r="X33" s="151">
        <v>0</v>
      </c>
      <c r="Y33" s="151">
        <v>0</v>
      </c>
      <c r="Z33" s="151">
        <v>0</v>
      </c>
      <c r="AA33" s="151">
        <v>0</v>
      </c>
      <c r="AB33" s="151"/>
      <c r="AC33" s="153">
        <v>45918</v>
      </c>
      <c r="AD33" s="154">
        <v>0.52777777778101154</v>
      </c>
      <c r="AE33" s="151" t="s">
        <v>155</v>
      </c>
      <c r="AF33" s="153">
        <v>45923</v>
      </c>
      <c r="AG33" s="154">
        <v>0.34722222221898846</v>
      </c>
      <c r="AH33" s="151" t="s">
        <v>211</v>
      </c>
      <c r="AI33" s="151" t="s">
        <v>229</v>
      </c>
      <c r="AJ33" s="151" t="s">
        <v>104</v>
      </c>
      <c r="AK33" s="151" t="s">
        <v>104</v>
      </c>
      <c r="AL33" s="151" t="s">
        <v>58</v>
      </c>
      <c r="AM33" s="188" t="s">
        <v>1224</v>
      </c>
      <c r="AN33" s="188" t="s">
        <v>1231</v>
      </c>
      <c r="AO33" s="188"/>
      <c r="AP33" s="155"/>
    </row>
    <row r="34" spans="3:42" ht="14.25" customHeight="1">
      <c r="C34" s="156">
        <f>IF($X34=1,COUNTIF($C$10:C33,"&gt;0")+1,"")</f>
        <v>13</v>
      </c>
      <c r="D34" s="151">
        <v>15262614</v>
      </c>
      <c r="E34" s="151" t="s">
        <v>222</v>
      </c>
      <c r="F34" s="152" t="s">
        <v>267</v>
      </c>
      <c r="G34" s="151" t="s">
        <v>267</v>
      </c>
      <c r="H34" s="151" t="s">
        <v>268</v>
      </c>
      <c r="I34" s="151" t="s">
        <v>269</v>
      </c>
      <c r="J34" s="151" t="s">
        <v>100</v>
      </c>
      <c r="K34" s="151" t="s">
        <v>232</v>
      </c>
      <c r="L34" s="153">
        <v>33586</v>
      </c>
      <c r="M34" s="151">
        <v>33</v>
      </c>
      <c r="N34" s="151" t="s">
        <v>1226</v>
      </c>
      <c r="O34" s="153">
        <v>48546</v>
      </c>
      <c r="P34" s="151" t="s">
        <v>52</v>
      </c>
      <c r="Q34" s="151"/>
      <c r="R34" s="173">
        <v>45918</v>
      </c>
      <c r="S34" s="174">
        <v>45923</v>
      </c>
      <c r="T34" s="175">
        <f>S34-R34</f>
        <v>5</v>
      </c>
      <c r="U34" s="151">
        <v>1</v>
      </c>
      <c r="V34" s="151">
        <v>1</v>
      </c>
      <c r="W34" s="151">
        <v>0</v>
      </c>
      <c r="X34" s="151">
        <v>1</v>
      </c>
      <c r="Y34" s="151">
        <v>0</v>
      </c>
      <c r="Z34" s="151">
        <v>0</v>
      </c>
      <c r="AA34" s="151">
        <v>1</v>
      </c>
      <c r="AB34" s="151"/>
      <c r="AC34" s="153">
        <v>45918</v>
      </c>
      <c r="AD34" s="154">
        <v>0.25694444444525288</v>
      </c>
      <c r="AE34" s="151" t="s">
        <v>162</v>
      </c>
      <c r="AF34" s="153">
        <v>45923</v>
      </c>
      <c r="AG34" s="154">
        <v>0.36805555555474712</v>
      </c>
      <c r="AH34" s="151" t="s">
        <v>270</v>
      </c>
      <c r="AI34" s="151" t="s">
        <v>229</v>
      </c>
      <c r="AJ34" s="151" t="s">
        <v>104</v>
      </c>
      <c r="AK34" s="151" t="s">
        <v>104</v>
      </c>
      <c r="AL34" s="151" t="s">
        <v>58</v>
      </c>
      <c r="AM34" s="188" t="s">
        <v>1224</v>
      </c>
      <c r="AN34" s="188" t="s">
        <v>1231</v>
      </c>
      <c r="AO34" s="188"/>
      <c r="AP34" s="155"/>
    </row>
    <row r="35" spans="3:42" ht="14.25" customHeight="1">
      <c r="C35" s="156" t="str">
        <f>IF($X35=1,COUNTIF($C$10:C34,"&gt;0")+1,"")</f>
        <v/>
      </c>
      <c r="D35" s="151"/>
      <c r="E35" s="151" t="s">
        <v>222</v>
      </c>
      <c r="F35" s="152" t="s">
        <v>271</v>
      </c>
      <c r="G35" s="151" t="s">
        <v>267</v>
      </c>
      <c r="H35" s="151" t="s">
        <v>272</v>
      </c>
      <c r="I35" s="151" t="s">
        <v>199</v>
      </c>
      <c r="J35" s="151" t="s">
        <v>100</v>
      </c>
      <c r="K35" s="151" t="s">
        <v>99</v>
      </c>
      <c r="L35" s="153">
        <v>41026</v>
      </c>
      <c r="M35" s="151">
        <v>13</v>
      </c>
      <c r="N35" s="151" t="s">
        <v>104</v>
      </c>
      <c r="O35" s="153" t="s">
        <v>104</v>
      </c>
      <c r="P35" s="151" t="s">
        <v>52</v>
      </c>
      <c r="Q35" s="151"/>
      <c r="R35" s="173">
        <v>45918</v>
      </c>
      <c r="S35" s="174">
        <v>45923</v>
      </c>
      <c r="T35" s="175">
        <f>S35-R35</f>
        <v>5</v>
      </c>
      <c r="U35" s="151">
        <v>1</v>
      </c>
      <c r="V35" s="151">
        <v>1</v>
      </c>
      <c r="W35" s="151">
        <v>0</v>
      </c>
      <c r="X35" s="151">
        <v>0</v>
      </c>
      <c r="Y35" s="151">
        <v>0</v>
      </c>
      <c r="Z35" s="151">
        <v>0</v>
      </c>
      <c r="AA35" s="151">
        <v>0</v>
      </c>
      <c r="AB35" s="151"/>
      <c r="AC35" s="153">
        <v>45918</v>
      </c>
      <c r="AD35" s="154">
        <v>0.25694444444525288</v>
      </c>
      <c r="AE35" s="151" t="s">
        <v>162</v>
      </c>
      <c r="AF35" s="153">
        <v>45923</v>
      </c>
      <c r="AG35" s="154">
        <v>0.36805555555474712</v>
      </c>
      <c r="AH35" s="151" t="s">
        <v>270</v>
      </c>
      <c r="AI35" s="151" t="s">
        <v>229</v>
      </c>
      <c r="AJ35" s="151" t="s">
        <v>104</v>
      </c>
      <c r="AK35" s="151" t="s">
        <v>104</v>
      </c>
      <c r="AL35" s="151" t="s">
        <v>58</v>
      </c>
      <c r="AM35" s="188" t="s">
        <v>1224</v>
      </c>
      <c r="AN35" s="188" t="s">
        <v>1231</v>
      </c>
      <c r="AO35" s="188"/>
      <c r="AP35" s="155"/>
    </row>
    <row r="36" spans="3:42" ht="14.25" customHeight="1">
      <c r="C36" s="156">
        <f>IF($X36=1,COUNTIF($C$10:C35,"&gt;0")+1,"")</f>
        <v>14</v>
      </c>
      <c r="D36" s="151">
        <v>15262615</v>
      </c>
      <c r="E36" s="151" t="s">
        <v>222</v>
      </c>
      <c r="F36" s="152" t="s">
        <v>273</v>
      </c>
      <c r="G36" s="151" t="s">
        <v>273</v>
      </c>
      <c r="H36" s="151" t="s">
        <v>274</v>
      </c>
      <c r="I36" s="151" t="s">
        <v>275</v>
      </c>
      <c r="J36" s="151" t="s">
        <v>98</v>
      </c>
      <c r="K36" s="151" t="s">
        <v>99</v>
      </c>
      <c r="L36" s="153">
        <v>27072</v>
      </c>
      <c r="M36" s="151">
        <v>51</v>
      </c>
      <c r="N36" s="151" t="s">
        <v>276</v>
      </c>
      <c r="O36" s="153">
        <v>49202</v>
      </c>
      <c r="P36" s="151" t="s">
        <v>52</v>
      </c>
      <c r="Q36" s="151"/>
      <c r="R36" s="173">
        <v>45918</v>
      </c>
      <c r="S36" s="174">
        <v>45923</v>
      </c>
      <c r="T36" s="175">
        <f>S36-R36</f>
        <v>5</v>
      </c>
      <c r="U36" s="151">
        <v>1</v>
      </c>
      <c r="V36" s="151">
        <v>1</v>
      </c>
      <c r="W36" s="151">
        <v>0</v>
      </c>
      <c r="X36" s="151">
        <v>1</v>
      </c>
      <c r="Y36" s="151">
        <v>0</v>
      </c>
      <c r="Z36" s="151">
        <v>0</v>
      </c>
      <c r="AA36" s="151">
        <v>1</v>
      </c>
      <c r="AB36" s="151"/>
      <c r="AC36" s="153">
        <v>45918</v>
      </c>
      <c r="AD36" s="154">
        <v>0.70138888889050577</v>
      </c>
      <c r="AE36" s="151" t="s">
        <v>277</v>
      </c>
      <c r="AF36" s="153">
        <v>45923</v>
      </c>
      <c r="AG36" s="154">
        <v>0.44444444444525288</v>
      </c>
      <c r="AH36" s="151" t="s">
        <v>153</v>
      </c>
      <c r="AI36" s="151" t="s">
        <v>229</v>
      </c>
      <c r="AJ36" s="151" t="s">
        <v>104</v>
      </c>
      <c r="AK36" s="151" t="s">
        <v>104</v>
      </c>
      <c r="AL36" s="151" t="s">
        <v>58</v>
      </c>
      <c r="AM36" s="188" t="s">
        <v>1224</v>
      </c>
      <c r="AN36" s="188" t="s">
        <v>1231</v>
      </c>
      <c r="AO36" s="188"/>
      <c r="AP36" s="155"/>
    </row>
    <row r="37" spans="3:42" ht="14.25" customHeight="1">
      <c r="C37" s="156" t="str">
        <f>IF($X37=1,COUNTIF($C$10:C36,"&gt;0")+1,"")</f>
        <v/>
      </c>
      <c r="D37" s="151"/>
      <c r="E37" s="151" t="s">
        <v>222</v>
      </c>
      <c r="F37" s="152" t="s">
        <v>278</v>
      </c>
      <c r="G37" s="151" t="s">
        <v>273</v>
      </c>
      <c r="H37" s="151" t="s">
        <v>279</v>
      </c>
      <c r="I37" s="151" t="s">
        <v>204</v>
      </c>
      <c r="J37" s="151" t="s">
        <v>100</v>
      </c>
      <c r="K37" s="151" t="s">
        <v>99</v>
      </c>
      <c r="L37" s="153">
        <v>30427</v>
      </c>
      <c r="M37" s="151">
        <v>42</v>
      </c>
      <c r="N37" s="151" t="s">
        <v>280</v>
      </c>
      <c r="O37" s="153">
        <v>48181</v>
      </c>
      <c r="P37" s="151" t="s">
        <v>52</v>
      </c>
      <c r="Q37" s="151"/>
      <c r="R37" s="173">
        <v>45918</v>
      </c>
      <c r="S37" s="174">
        <v>45923</v>
      </c>
      <c r="T37" s="175">
        <f>S37-R37</f>
        <v>5</v>
      </c>
      <c r="U37" s="151">
        <v>1</v>
      </c>
      <c r="V37" s="151">
        <v>1</v>
      </c>
      <c r="W37" s="151">
        <v>0</v>
      </c>
      <c r="X37" s="151">
        <v>0</v>
      </c>
      <c r="Y37" s="151">
        <v>0</v>
      </c>
      <c r="Z37" s="151">
        <v>0</v>
      </c>
      <c r="AA37" s="151">
        <v>0</v>
      </c>
      <c r="AB37" s="151"/>
      <c r="AC37" s="153">
        <v>45918</v>
      </c>
      <c r="AD37" s="154">
        <v>0.70138888889050577</v>
      </c>
      <c r="AE37" s="151" t="s">
        <v>277</v>
      </c>
      <c r="AF37" s="153">
        <v>45923</v>
      </c>
      <c r="AG37" s="154">
        <v>0.44444444444525288</v>
      </c>
      <c r="AH37" s="151" t="s">
        <v>153</v>
      </c>
      <c r="AI37" s="151" t="s">
        <v>229</v>
      </c>
      <c r="AJ37" s="151" t="s">
        <v>104</v>
      </c>
      <c r="AK37" s="151" t="s">
        <v>104</v>
      </c>
      <c r="AL37" s="151" t="s">
        <v>58</v>
      </c>
      <c r="AM37" s="188" t="s">
        <v>1224</v>
      </c>
      <c r="AN37" s="188" t="s">
        <v>1231</v>
      </c>
      <c r="AO37" s="188"/>
      <c r="AP37" s="155"/>
    </row>
    <row r="38" spans="3:42" ht="14.25" customHeight="1">
      <c r="C38" s="156">
        <f>IF($X38=1,COUNTIF($C$10:C37,"&gt;0")+1,"")</f>
        <v>15</v>
      </c>
      <c r="D38" s="151">
        <v>15262616</v>
      </c>
      <c r="E38" s="151" t="s">
        <v>222</v>
      </c>
      <c r="F38" s="152" t="s">
        <v>281</v>
      </c>
      <c r="G38" s="151" t="s">
        <v>273</v>
      </c>
      <c r="H38" s="151" t="s">
        <v>282</v>
      </c>
      <c r="I38" s="151" t="s">
        <v>275</v>
      </c>
      <c r="J38" s="151" t="s">
        <v>100</v>
      </c>
      <c r="K38" s="151" t="s">
        <v>99</v>
      </c>
      <c r="L38" s="153">
        <v>40872</v>
      </c>
      <c r="M38" s="151">
        <v>13</v>
      </c>
      <c r="N38" s="151" t="s">
        <v>283</v>
      </c>
      <c r="O38" s="153">
        <v>46354</v>
      </c>
      <c r="P38" s="151" t="s">
        <v>52</v>
      </c>
      <c r="Q38" s="151"/>
      <c r="R38" s="173">
        <v>45918</v>
      </c>
      <c r="S38" s="174">
        <v>45923</v>
      </c>
      <c r="T38" s="175">
        <f>S38-R38</f>
        <v>5</v>
      </c>
      <c r="U38" s="151">
        <v>1</v>
      </c>
      <c r="V38" s="151">
        <v>1</v>
      </c>
      <c r="W38" s="151">
        <v>0</v>
      </c>
      <c r="X38" s="151">
        <v>1</v>
      </c>
      <c r="Y38" s="151">
        <v>0</v>
      </c>
      <c r="Z38" s="151">
        <v>0</v>
      </c>
      <c r="AA38" s="151">
        <v>1</v>
      </c>
      <c r="AB38" s="151"/>
      <c r="AC38" s="153">
        <v>45918</v>
      </c>
      <c r="AD38" s="154">
        <v>0.70138888889050577</v>
      </c>
      <c r="AE38" s="151" t="s">
        <v>277</v>
      </c>
      <c r="AF38" s="153">
        <v>45923</v>
      </c>
      <c r="AG38" s="154">
        <v>0.44444444444525288</v>
      </c>
      <c r="AH38" s="151" t="s">
        <v>153</v>
      </c>
      <c r="AI38" s="151" t="s">
        <v>229</v>
      </c>
      <c r="AJ38" s="151" t="s">
        <v>104</v>
      </c>
      <c r="AK38" s="151" t="s">
        <v>104</v>
      </c>
      <c r="AL38" s="151" t="s">
        <v>58</v>
      </c>
      <c r="AM38" s="188" t="s">
        <v>1224</v>
      </c>
      <c r="AN38" s="188" t="s">
        <v>1231</v>
      </c>
      <c r="AO38" s="188"/>
      <c r="AP38" s="155"/>
    </row>
    <row r="39" spans="3:42" ht="14.25" customHeight="1">
      <c r="C39" s="156" t="str">
        <f>IF($X39=1,COUNTIF($C$10:C38,"&gt;0")+1,"")</f>
        <v/>
      </c>
      <c r="D39" s="151"/>
      <c r="E39" s="151" t="s">
        <v>222</v>
      </c>
      <c r="F39" s="152" t="s">
        <v>284</v>
      </c>
      <c r="G39" s="151" t="s">
        <v>273</v>
      </c>
      <c r="H39" s="151" t="s">
        <v>285</v>
      </c>
      <c r="I39" s="151" t="s">
        <v>269</v>
      </c>
      <c r="J39" s="151" t="s">
        <v>100</v>
      </c>
      <c r="K39" s="151" t="s">
        <v>232</v>
      </c>
      <c r="L39" s="153">
        <v>23388</v>
      </c>
      <c r="M39" s="151">
        <v>61</v>
      </c>
      <c r="N39" s="151" t="s">
        <v>286</v>
      </c>
      <c r="O39" s="153">
        <v>48407</v>
      </c>
      <c r="P39" s="151" t="s">
        <v>52</v>
      </c>
      <c r="Q39" s="151"/>
      <c r="R39" s="173">
        <v>45918</v>
      </c>
      <c r="S39" s="174">
        <v>45923</v>
      </c>
      <c r="T39" s="175">
        <f>S39-R39</f>
        <v>5</v>
      </c>
      <c r="U39" s="151">
        <v>1</v>
      </c>
      <c r="V39" s="151">
        <v>1</v>
      </c>
      <c r="W39" s="151">
        <v>0</v>
      </c>
      <c r="X39" s="151">
        <v>0</v>
      </c>
      <c r="Y39" s="151">
        <v>0</v>
      </c>
      <c r="Z39" s="151">
        <v>0</v>
      </c>
      <c r="AA39" s="151">
        <v>0</v>
      </c>
      <c r="AB39" s="151"/>
      <c r="AC39" s="153">
        <v>45918</v>
      </c>
      <c r="AD39" s="154">
        <v>0.70138888889050577</v>
      </c>
      <c r="AE39" s="151" t="s">
        <v>277</v>
      </c>
      <c r="AF39" s="153">
        <v>45923</v>
      </c>
      <c r="AG39" s="154">
        <v>0.44444444444525288</v>
      </c>
      <c r="AH39" s="151" t="s">
        <v>153</v>
      </c>
      <c r="AI39" s="151" t="s">
        <v>229</v>
      </c>
      <c r="AJ39" s="151" t="s">
        <v>104</v>
      </c>
      <c r="AK39" s="151" t="s">
        <v>104</v>
      </c>
      <c r="AL39" s="151" t="s">
        <v>58</v>
      </c>
      <c r="AM39" s="188" t="s">
        <v>1224</v>
      </c>
      <c r="AN39" s="188" t="s">
        <v>1231</v>
      </c>
      <c r="AO39" s="188"/>
      <c r="AP39" s="155"/>
    </row>
    <row r="40" spans="3:42" ht="14.25" customHeight="1">
      <c r="C40" s="156">
        <f>IF($X40=1,COUNTIF($C$10:C39,"&gt;0")+1,"")</f>
        <v>16</v>
      </c>
      <c r="D40" s="151">
        <v>15262617</v>
      </c>
      <c r="E40" s="151" t="s">
        <v>222</v>
      </c>
      <c r="F40" s="152" t="s">
        <v>287</v>
      </c>
      <c r="G40" s="151" t="s">
        <v>287</v>
      </c>
      <c r="H40" s="151" t="s">
        <v>288</v>
      </c>
      <c r="I40" s="151" t="s">
        <v>143</v>
      </c>
      <c r="J40" s="151" t="s">
        <v>100</v>
      </c>
      <c r="K40" s="151" t="s">
        <v>99</v>
      </c>
      <c r="L40" s="153">
        <v>31213</v>
      </c>
      <c r="M40" s="151">
        <v>40</v>
      </c>
      <c r="N40" s="151" t="s">
        <v>289</v>
      </c>
      <c r="O40" s="153">
        <v>48524</v>
      </c>
      <c r="P40" s="151" t="s">
        <v>52</v>
      </c>
      <c r="Q40" s="151"/>
      <c r="R40" s="173">
        <v>45918</v>
      </c>
      <c r="S40" s="174">
        <v>45923</v>
      </c>
      <c r="T40" s="175">
        <f>S40-R40</f>
        <v>5</v>
      </c>
      <c r="U40" s="151">
        <v>1</v>
      </c>
      <c r="V40" s="151">
        <v>1</v>
      </c>
      <c r="W40" s="151">
        <v>0</v>
      </c>
      <c r="X40" s="151">
        <v>1</v>
      </c>
      <c r="Y40" s="151">
        <v>0</v>
      </c>
      <c r="Z40" s="151">
        <v>0</v>
      </c>
      <c r="AA40" s="151">
        <v>1</v>
      </c>
      <c r="AB40" s="151"/>
      <c r="AC40" s="153">
        <v>45918</v>
      </c>
      <c r="AD40" s="154">
        <v>0.22569444444525288</v>
      </c>
      <c r="AE40" s="151" t="s">
        <v>290</v>
      </c>
      <c r="AF40" s="153">
        <v>45923</v>
      </c>
      <c r="AG40" s="154">
        <v>0.82291666666424135</v>
      </c>
      <c r="AH40" s="151" t="s">
        <v>291</v>
      </c>
      <c r="AI40" s="151" t="s">
        <v>229</v>
      </c>
      <c r="AJ40" s="151" t="s">
        <v>104</v>
      </c>
      <c r="AK40" s="151" t="s">
        <v>104</v>
      </c>
      <c r="AL40" s="151" t="s">
        <v>58</v>
      </c>
      <c r="AM40" s="188" t="s">
        <v>1224</v>
      </c>
      <c r="AN40" s="188" t="s">
        <v>1231</v>
      </c>
      <c r="AO40" s="188"/>
      <c r="AP40" s="155"/>
    </row>
    <row r="41" spans="3:42" ht="14.25" customHeight="1">
      <c r="C41" s="156" t="str">
        <f>IF($X41=1,COUNTIF($C$10:C40,"&gt;0")+1,"")</f>
        <v/>
      </c>
      <c r="D41" s="151"/>
      <c r="E41" s="151" t="s">
        <v>222</v>
      </c>
      <c r="F41" s="152" t="s">
        <v>292</v>
      </c>
      <c r="G41" s="151" t="s">
        <v>287</v>
      </c>
      <c r="H41" s="151" t="s">
        <v>293</v>
      </c>
      <c r="I41" s="151" t="s">
        <v>294</v>
      </c>
      <c r="J41" s="151" t="s">
        <v>100</v>
      </c>
      <c r="K41" s="151" t="s">
        <v>99</v>
      </c>
      <c r="L41" s="153">
        <v>25848</v>
      </c>
      <c r="M41" s="151">
        <v>54</v>
      </c>
      <c r="N41" s="151" t="s">
        <v>295</v>
      </c>
      <c r="O41" s="153">
        <v>47887</v>
      </c>
      <c r="P41" s="151" t="s">
        <v>52</v>
      </c>
      <c r="Q41" s="151"/>
      <c r="R41" s="173">
        <v>45918</v>
      </c>
      <c r="S41" s="174">
        <v>45923</v>
      </c>
      <c r="T41" s="175">
        <f>S41-R41</f>
        <v>5</v>
      </c>
      <c r="U41" s="151">
        <v>1</v>
      </c>
      <c r="V41" s="151">
        <v>1</v>
      </c>
      <c r="W41" s="151">
        <v>0</v>
      </c>
      <c r="X41" s="151">
        <v>0</v>
      </c>
      <c r="Y41" s="151">
        <v>0</v>
      </c>
      <c r="Z41" s="151">
        <v>0</v>
      </c>
      <c r="AA41" s="151">
        <v>0</v>
      </c>
      <c r="AB41" s="151"/>
      <c r="AC41" s="153">
        <v>45918</v>
      </c>
      <c r="AD41" s="154">
        <v>0.28472222221898846</v>
      </c>
      <c r="AE41" s="151" t="s">
        <v>296</v>
      </c>
      <c r="AF41" s="153">
        <v>45923</v>
      </c>
      <c r="AG41" s="154">
        <v>0.68055555555474712</v>
      </c>
      <c r="AH41" s="151" t="s">
        <v>297</v>
      </c>
      <c r="AI41" s="151" t="s">
        <v>229</v>
      </c>
      <c r="AJ41" s="151" t="s">
        <v>104</v>
      </c>
      <c r="AK41" s="151" t="s">
        <v>104</v>
      </c>
      <c r="AL41" s="151" t="s">
        <v>58</v>
      </c>
      <c r="AM41" s="188" t="s">
        <v>1224</v>
      </c>
      <c r="AN41" s="188" t="s">
        <v>1231</v>
      </c>
      <c r="AO41" s="188"/>
      <c r="AP41" s="155"/>
    </row>
    <row r="42" spans="3:42" ht="14.25" customHeight="1">
      <c r="C42" s="156">
        <f>IF($X42=1,COUNTIF($C$10:C41,"&gt;0")+1,"")</f>
        <v>17</v>
      </c>
      <c r="D42" s="151">
        <v>15262618</v>
      </c>
      <c r="E42" s="151" t="s">
        <v>222</v>
      </c>
      <c r="F42" s="152" t="s">
        <v>298</v>
      </c>
      <c r="G42" s="151" t="s">
        <v>298</v>
      </c>
      <c r="H42" s="151" t="s">
        <v>299</v>
      </c>
      <c r="I42" s="151" t="s">
        <v>248</v>
      </c>
      <c r="J42" s="151" t="s">
        <v>100</v>
      </c>
      <c r="K42" s="151" t="s">
        <v>99</v>
      </c>
      <c r="L42" s="153">
        <v>27438</v>
      </c>
      <c r="M42" s="151">
        <v>50</v>
      </c>
      <c r="N42" s="151" t="s">
        <v>300</v>
      </c>
      <c r="O42" s="153">
        <v>47900</v>
      </c>
      <c r="P42" s="151" t="s">
        <v>52</v>
      </c>
      <c r="Q42" s="151"/>
      <c r="R42" s="173">
        <v>45918</v>
      </c>
      <c r="S42" s="174">
        <v>45923</v>
      </c>
      <c r="T42" s="175">
        <f>S42-R42</f>
        <v>5</v>
      </c>
      <c r="U42" s="151">
        <v>1</v>
      </c>
      <c r="V42" s="151">
        <v>1</v>
      </c>
      <c r="W42" s="151">
        <v>0</v>
      </c>
      <c r="X42" s="151">
        <v>1</v>
      </c>
      <c r="Y42" s="151">
        <v>0</v>
      </c>
      <c r="Z42" s="151">
        <v>0</v>
      </c>
      <c r="AA42" s="151">
        <v>1</v>
      </c>
      <c r="AB42" s="151"/>
      <c r="AC42" s="153">
        <v>45918</v>
      </c>
      <c r="AD42" s="154">
        <v>0.46875</v>
      </c>
      <c r="AE42" s="151" t="s">
        <v>301</v>
      </c>
      <c r="AF42" s="153">
        <v>45923</v>
      </c>
      <c r="AG42" s="154">
        <v>0.52430555555474712</v>
      </c>
      <c r="AH42" s="151" t="s">
        <v>302</v>
      </c>
      <c r="AI42" s="151" t="s">
        <v>229</v>
      </c>
      <c r="AJ42" s="151" t="s">
        <v>104</v>
      </c>
      <c r="AK42" s="151" t="s">
        <v>104</v>
      </c>
      <c r="AL42" s="151" t="s">
        <v>58</v>
      </c>
      <c r="AM42" s="188" t="s">
        <v>1224</v>
      </c>
      <c r="AN42" s="188" t="s">
        <v>1231</v>
      </c>
      <c r="AO42" s="188"/>
      <c r="AP42" s="155"/>
    </row>
    <row r="43" spans="3:42" ht="14.25" customHeight="1">
      <c r="C43" s="156" t="str">
        <f>IF($X43=1,COUNTIF($C$10:C42,"&gt;0")+1,"")</f>
        <v/>
      </c>
      <c r="D43" s="151"/>
      <c r="E43" s="151" t="s">
        <v>222</v>
      </c>
      <c r="F43" s="152" t="s">
        <v>303</v>
      </c>
      <c r="G43" s="151" t="s">
        <v>298</v>
      </c>
      <c r="H43" s="151" t="s">
        <v>304</v>
      </c>
      <c r="I43" s="151" t="s">
        <v>248</v>
      </c>
      <c r="J43" s="151" t="s">
        <v>100</v>
      </c>
      <c r="K43" s="151" t="s">
        <v>99</v>
      </c>
      <c r="L43" s="153">
        <v>27531</v>
      </c>
      <c r="M43" s="151">
        <v>50</v>
      </c>
      <c r="N43" s="151" t="s">
        <v>305</v>
      </c>
      <c r="O43" s="153">
        <v>46531</v>
      </c>
      <c r="P43" s="151" t="s">
        <v>52</v>
      </c>
      <c r="Q43" s="151"/>
      <c r="R43" s="173">
        <v>45918</v>
      </c>
      <c r="S43" s="174">
        <v>45923</v>
      </c>
      <c r="T43" s="175">
        <f>S43-R43</f>
        <v>5</v>
      </c>
      <c r="U43" s="151">
        <v>1</v>
      </c>
      <c r="V43" s="151">
        <v>1</v>
      </c>
      <c r="W43" s="151">
        <v>0</v>
      </c>
      <c r="X43" s="151">
        <v>0</v>
      </c>
      <c r="Y43" s="151">
        <v>0</v>
      </c>
      <c r="Z43" s="151">
        <v>0</v>
      </c>
      <c r="AA43" s="151">
        <v>0</v>
      </c>
      <c r="AB43" s="151"/>
      <c r="AC43" s="153">
        <v>45918</v>
      </c>
      <c r="AD43" s="154">
        <v>0.52777777778101154</v>
      </c>
      <c r="AE43" s="151" t="s">
        <v>155</v>
      </c>
      <c r="AF43" s="153">
        <v>45923</v>
      </c>
      <c r="AG43" s="154">
        <v>0.83680555555474712</v>
      </c>
      <c r="AH43" s="151" t="s">
        <v>145</v>
      </c>
      <c r="AI43" s="151" t="s">
        <v>229</v>
      </c>
      <c r="AJ43" s="151" t="s">
        <v>104</v>
      </c>
      <c r="AK43" s="151" t="s">
        <v>104</v>
      </c>
      <c r="AL43" s="151" t="s">
        <v>58</v>
      </c>
      <c r="AM43" s="188" t="s">
        <v>1224</v>
      </c>
      <c r="AN43" s="188" t="s">
        <v>1231</v>
      </c>
      <c r="AO43" s="188"/>
      <c r="AP43" s="155"/>
    </row>
    <row r="44" spans="3:42" ht="14.25" customHeight="1">
      <c r="C44" s="156">
        <f>IF($X44=1,COUNTIF($C$10:C43,"&gt;0")+1,"")</f>
        <v>18</v>
      </c>
      <c r="D44" s="151">
        <v>15262718</v>
      </c>
      <c r="E44" s="151" t="s">
        <v>871</v>
      </c>
      <c r="F44" s="152" t="s">
        <v>880</v>
      </c>
      <c r="G44" s="151" t="s">
        <v>880</v>
      </c>
      <c r="H44" s="151" t="s">
        <v>881</v>
      </c>
      <c r="I44" s="151" t="s">
        <v>882</v>
      </c>
      <c r="J44" s="151" t="s">
        <v>100</v>
      </c>
      <c r="K44" s="151" t="s">
        <v>99</v>
      </c>
      <c r="L44" s="153">
        <v>27748</v>
      </c>
      <c r="M44" s="151">
        <v>49</v>
      </c>
      <c r="N44" s="151" t="s">
        <v>883</v>
      </c>
      <c r="O44" s="153">
        <v>46241</v>
      </c>
      <c r="P44" s="151" t="s">
        <v>51</v>
      </c>
      <c r="Q44" s="151"/>
      <c r="R44" s="173">
        <v>45918</v>
      </c>
      <c r="S44" s="174">
        <v>45923</v>
      </c>
      <c r="T44" s="175">
        <f>S44-R44</f>
        <v>5</v>
      </c>
      <c r="U44" s="151">
        <v>1</v>
      </c>
      <c r="V44" s="151">
        <v>1</v>
      </c>
      <c r="W44" s="151">
        <v>0</v>
      </c>
      <c r="X44" s="151">
        <v>1</v>
      </c>
      <c r="Y44" s="151">
        <v>0</v>
      </c>
      <c r="Z44" s="151">
        <v>1</v>
      </c>
      <c r="AA44" s="151">
        <v>0</v>
      </c>
      <c r="AB44" s="151"/>
      <c r="AC44" s="153">
        <v>45918</v>
      </c>
      <c r="AD44" s="154">
        <v>0.74305555555474712</v>
      </c>
      <c r="AE44" s="151" t="s">
        <v>884</v>
      </c>
      <c r="AF44" s="153">
        <v>45923</v>
      </c>
      <c r="AG44" s="154">
        <v>0.8125</v>
      </c>
      <c r="AH44" s="151" t="s">
        <v>885</v>
      </c>
      <c r="AI44" s="151" t="s">
        <v>876</v>
      </c>
      <c r="AJ44" s="151" t="s">
        <v>104</v>
      </c>
      <c r="AK44" s="151" t="s">
        <v>104</v>
      </c>
      <c r="AL44" s="151" t="s">
        <v>58</v>
      </c>
      <c r="AM44" s="188" t="s">
        <v>1224</v>
      </c>
      <c r="AN44" s="188" t="s">
        <v>1232</v>
      </c>
      <c r="AO44" s="188"/>
      <c r="AP44" s="155"/>
    </row>
    <row r="45" spans="3:42" ht="14.25" customHeight="1">
      <c r="C45" s="156" t="str">
        <f>IF($X45=1,COUNTIF($C$10:C44,"&gt;0")+1,"")</f>
        <v/>
      </c>
      <c r="D45" s="151"/>
      <c r="E45" s="151" t="s">
        <v>871</v>
      </c>
      <c r="F45" s="152" t="s">
        <v>886</v>
      </c>
      <c r="G45" s="151" t="s">
        <v>880</v>
      </c>
      <c r="H45" s="151" t="s">
        <v>887</v>
      </c>
      <c r="I45" s="151" t="s">
        <v>199</v>
      </c>
      <c r="J45" s="151" t="s">
        <v>98</v>
      </c>
      <c r="K45" s="151" t="s">
        <v>232</v>
      </c>
      <c r="L45" s="153">
        <v>27763</v>
      </c>
      <c r="M45" s="151">
        <v>49</v>
      </c>
      <c r="N45" s="151" t="s">
        <v>888</v>
      </c>
      <c r="O45" s="153">
        <v>47819</v>
      </c>
      <c r="P45" s="151" t="s">
        <v>51</v>
      </c>
      <c r="Q45" s="151"/>
      <c r="R45" s="173">
        <v>45918</v>
      </c>
      <c r="S45" s="174">
        <v>45923</v>
      </c>
      <c r="T45" s="175">
        <f>S45-R45</f>
        <v>5</v>
      </c>
      <c r="U45" s="151">
        <v>1</v>
      </c>
      <c r="V45" s="151">
        <v>1</v>
      </c>
      <c r="W45" s="151">
        <v>0</v>
      </c>
      <c r="X45" s="151">
        <v>0</v>
      </c>
      <c r="Y45" s="151">
        <v>0</v>
      </c>
      <c r="Z45" s="151">
        <v>0</v>
      </c>
      <c r="AA45" s="151">
        <v>0</v>
      </c>
      <c r="AB45" s="151"/>
      <c r="AC45" s="153">
        <v>45918</v>
      </c>
      <c r="AD45" s="154">
        <v>0.74305555555474712</v>
      </c>
      <c r="AE45" s="151" t="s">
        <v>884</v>
      </c>
      <c r="AF45" s="153">
        <v>45923</v>
      </c>
      <c r="AG45" s="154">
        <v>0.8125</v>
      </c>
      <c r="AH45" s="151" t="s">
        <v>885</v>
      </c>
      <c r="AI45" s="151" t="s">
        <v>876</v>
      </c>
      <c r="AJ45" s="151" t="s">
        <v>104</v>
      </c>
      <c r="AK45" s="151" t="s">
        <v>104</v>
      </c>
      <c r="AL45" s="151" t="s">
        <v>58</v>
      </c>
      <c r="AM45" s="188" t="s">
        <v>1224</v>
      </c>
      <c r="AN45" s="188" t="s">
        <v>1232</v>
      </c>
      <c r="AO45" s="188"/>
      <c r="AP45" s="155"/>
    </row>
    <row r="46" spans="3:42" ht="14.25" customHeight="1">
      <c r="C46" s="156">
        <f>IF($X46=1,COUNTIF($C$10:C45,"&gt;0")+1,"")</f>
        <v>19</v>
      </c>
      <c r="D46" s="151">
        <v>15262620</v>
      </c>
      <c r="E46" s="151" t="s">
        <v>306</v>
      </c>
      <c r="F46" s="152" t="s">
        <v>315</v>
      </c>
      <c r="G46" s="151" t="s">
        <v>315</v>
      </c>
      <c r="H46" s="151" t="s">
        <v>316</v>
      </c>
      <c r="I46" s="151" t="s">
        <v>317</v>
      </c>
      <c r="J46" s="151" t="s">
        <v>100</v>
      </c>
      <c r="K46" s="151" t="s">
        <v>99</v>
      </c>
      <c r="L46" s="153">
        <v>23163</v>
      </c>
      <c r="M46" s="151">
        <v>62</v>
      </c>
      <c r="N46" s="151" t="s">
        <v>318</v>
      </c>
      <c r="O46" s="153">
        <v>46216</v>
      </c>
      <c r="P46" s="151" t="s">
        <v>51</v>
      </c>
      <c r="Q46" s="151"/>
      <c r="R46" s="173">
        <v>45918</v>
      </c>
      <c r="S46" s="174">
        <v>45923</v>
      </c>
      <c r="T46" s="175">
        <f>S46-R46</f>
        <v>5</v>
      </c>
      <c r="U46" s="151">
        <v>1</v>
      </c>
      <c r="V46" s="151">
        <v>1</v>
      </c>
      <c r="W46" s="151">
        <v>0</v>
      </c>
      <c r="X46" s="151">
        <v>1</v>
      </c>
      <c r="Y46" s="151">
        <v>0</v>
      </c>
      <c r="Z46" s="151">
        <v>1</v>
      </c>
      <c r="AA46" s="151">
        <v>0</v>
      </c>
      <c r="AB46" s="151"/>
      <c r="AC46" s="153">
        <v>45918</v>
      </c>
      <c r="AD46" s="154">
        <v>0.6875</v>
      </c>
      <c r="AE46" s="151" t="s">
        <v>319</v>
      </c>
      <c r="AF46" s="153">
        <v>45923</v>
      </c>
      <c r="AG46" s="154">
        <v>0.37847222221898846</v>
      </c>
      <c r="AH46" s="151" t="s">
        <v>320</v>
      </c>
      <c r="AI46" s="151" t="s">
        <v>311</v>
      </c>
      <c r="AJ46" s="151" t="s">
        <v>104</v>
      </c>
      <c r="AK46" s="151" t="s">
        <v>104</v>
      </c>
      <c r="AL46" s="151" t="s">
        <v>58</v>
      </c>
      <c r="AM46" s="188" t="s">
        <v>1224</v>
      </c>
      <c r="AN46" s="188" t="s">
        <v>1233</v>
      </c>
      <c r="AO46" s="188"/>
      <c r="AP46" s="155"/>
    </row>
    <row r="47" spans="3:42" ht="14.25" customHeight="1">
      <c r="C47" s="156" t="str">
        <f>IF($X47=1,COUNTIF($C$10:C46,"&gt;0")+1,"")</f>
        <v/>
      </c>
      <c r="D47" s="151"/>
      <c r="E47" s="151" t="s">
        <v>306</v>
      </c>
      <c r="F47" s="152" t="s">
        <v>321</v>
      </c>
      <c r="G47" s="151" t="s">
        <v>315</v>
      </c>
      <c r="H47" s="151" t="s">
        <v>322</v>
      </c>
      <c r="I47" s="151" t="s">
        <v>317</v>
      </c>
      <c r="J47" s="151" t="s">
        <v>98</v>
      </c>
      <c r="K47" s="151" t="s">
        <v>99</v>
      </c>
      <c r="L47" s="153">
        <v>20088</v>
      </c>
      <c r="M47" s="151">
        <v>70</v>
      </c>
      <c r="N47" s="151" t="s">
        <v>323</v>
      </c>
      <c r="O47" s="153">
        <v>47338</v>
      </c>
      <c r="P47" s="151" t="s">
        <v>51</v>
      </c>
      <c r="Q47" s="151"/>
      <c r="R47" s="173">
        <v>45918</v>
      </c>
      <c r="S47" s="174">
        <v>45923</v>
      </c>
      <c r="T47" s="175">
        <f>S47-R47</f>
        <v>5</v>
      </c>
      <c r="U47" s="151">
        <v>1</v>
      </c>
      <c r="V47" s="151">
        <v>1</v>
      </c>
      <c r="W47" s="151">
        <v>0</v>
      </c>
      <c r="X47" s="151">
        <v>0</v>
      </c>
      <c r="Y47" s="151">
        <v>0</v>
      </c>
      <c r="Z47" s="151">
        <v>0</v>
      </c>
      <c r="AA47" s="151">
        <v>0</v>
      </c>
      <c r="AB47" s="151"/>
      <c r="AC47" s="153">
        <v>45918</v>
      </c>
      <c r="AD47" s="154">
        <v>0.6875</v>
      </c>
      <c r="AE47" s="151" t="s">
        <v>319</v>
      </c>
      <c r="AF47" s="153">
        <v>45923</v>
      </c>
      <c r="AG47" s="154">
        <v>0.37847222221898846</v>
      </c>
      <c r="AH47" s="151" t="s">
        <v>320</v>
      </c>
      <c r="AI47" s="151" t="s">
        <v>311</v>
      </c>
      <c r="AJ47" s="151" t="s">
        <v>104</v>
      </c>
      <c r="AK47" s="151" t="s">
        <v>104</v>
      </c>
      <c r="AL47" s="151" t="s">
        <v>58</v>
      </c>
      <c r="AM47" s="188" t="s">
        <v>1224</v>
      </c>
      <c r="AN47" s="188" t="s">
        <v>1233</v>
      </c>
      <c r="AO47" s="188"/>
      <c r="AP47" s="155"/>
    </row>
    <row r="48" spans="3:42" ht="14.25" customHeight="1">
      <c r="C48" s="156">
        <f>IF($X48=1,COUNTIF($C$10:C47,"&gt;0")+1,"")</f>
        <v>20</v>
      </c>
      <c r="D48" s="151">
        <v>15262621</v>
      </c>
      <c r="E48" s="151" t="s">
        <v>306</v>
      </c>
      <c r="F48" s="152" t="s">
        <v>324</v>
      </c>
      <c r="G48" s="151" t="s">
        <v>324</v>
      </c>
      <c r="H48" s="151" t="s">
        <v>325</v>
      </c>
      <c r="I48" s="151" t="s">
        <v>326</v>
      </c>
      <c r="J48" s="151" t="s">
        <v>100</v>
      </c>
      <c r="K48" s="151" t="s">
        <v>99</v>
      </c>
      <c r="L48" s="153">
        <v>24321</v>
      </c>
      <c r="M48" s="151">
        <v>59</v>
      </c>
      <c r="N48" s="151" t="s">
        <v>327</v>
      </c>
      <c r="O48" s="153">
        <v>48184</v>
      </c>
      <c r="P48" s="151" t="s">
        <v>51</v>
      </c>
      <c r="Q48" s="151"/>
      <c r="R48" s="173">
        <v>45918</v>
      </c>
      <c r="S48" s="174">
        <v>45923</v>
      </c>
      <c r="T48" s="175">
        <f>S48-R48</f>
        <v>5</v>
      </c>
      <c r="U48" s="151">
        <v>1</v>
      </c>
      <c r="V48" s="151">
        <v>1</v>
      </c>
      <c r="W48" s="151">
        <v>0</v>
      </c>
      <c r="X48" s="151">
        <v>1</v>
      </c>
      <c r="Y48" s="151">
        <v>0</v>
      </c>
      <c r="Z48" s="151">
        <v>1</v>
      </c>
      <c r="AA48" s="151">
        <v>0</v>
      </c>
      <c r="AB48" s="151"/>
      <c r="AC48" s="153">
        <v>45918</v>
      </c>
      <c r="AD48" s="154">
        <v>0.54166666666424135</v>
      </c>
      <c r="AE48" s="151" t="s">
        <v>328</v>
      </c>
      <c r="AF48" s="153">
        <v>45923</v>
      </c>
      <c r="AG48" s="154">
        <v>0.375</v>
      </c>
      <c r="AH48" s="151" t="s">
        <v>329</v>
      </c>
      <c r="AI48" s="151" t="s">
        <v>311</v>
      </c>
      <c r="AJ48" s="151" t="s">
        <v>104</v>
      </c>
      <c r="AK48" s="151" t="s">
        <v>104</v>
      </c>
      <c r="AL48" s="151" t="s">
        <v>58</v>
      </c>
      <c r="AM48" s="188" t="s">
        <v>1224</v>
      </c>
      <c r="AN48" s="188" t="s">
        <v>1233</v>
      </c>
      <c r="AO48" s="188"/>
      <c r="AP48" s="155"/>
    </row>
    <row r="49" spans="3:42" ht="14.25" customHeight="1">
      <c r="C49" s="156" t="str">
        <f>IF($X49=1,COUNTIF($C$10:C48,"&gt;0")+1,"")</f>
        <v/>
      </c>
      <c r="D49" s="151"/>
      <c r="E49" s="151" t="s">
        <v>306</v>
      </c>
      <c r="F49" s="152" t="s">
        <v>330</v>
      </c>
      <c r="G49" s="151" t="s">
        <v>324</v>
      </c>
      <c r="H49" s="151" t="s">
        <v>331</v>
      </c>
      <c r="I49" s="151" t="s">
        <v>326</v>
      </c>
      <c r="J49" s="151" t="s">
        <v>98</v>
      </c>
      <c r="K49" s="151" t="s">
        <v>99</v>
      </c>
      <c r="L49" s="153">
        <v>25737</v>
      </c>
      <c r="M49" s="151">
        <v>55</v>
      </c>
      <c r="N49" s="151" t="s">
        <v>332</v>
      </c>
      <c r="O49" s="153">
        <v>49407</v>
      </c>
      <c r="P49" s="151" t="s">
        <v>51</v>
      </c>
      <c r="Q49" s="151"/>
      <c r="R49" s="173">
        <v>45918</v>
      </c>
      <c r="S49" s="174">
        <v>45923</v>
      </c>
      <c r="T49" s="175">
        <f>S49-R49</f>
        <v>5</v>
      </c>
      <c r="U49" s="151">
        <v>1</v>
      </c>
      <c r="V49" s="151">
        <v>1</v>
      </c>
      <c r="W49" s="151">
        <v>0</v>
      </c>
      <c r="X49" s="151">
        <v>0</v>
      </c>
      <c r="Y49" s="151">
        <v>0</v>
      </c>
      <c r="Z49" s="151">
        <v>0</v>
      </c>
      <c r="AA49" s="151">
        <v>0</v>
      </c>
      <c r="AB49" s="151"/>
      <c r="AC49" s="153">
        <v>45918</v>
      </c>
      <c r="AD49" s="154">
        <v>0.54166666666424135</v>
      </c>
      <c r="AE49" s="151" t="s">
        <v>328</v>
      </c>
      <c r="AF49" s="153">
        <v>45923</v>
      </c>
      <c r="AG49" s="154">
        <v>0.375</v>
      </c>
      <c r="AH49" s="151" t="s">
        <v>329</v>
      </c>
      <c r="AI49" s="151" t="s">
        <v>311</v>
      </c>
      <c r="AJ49" s="151" t="s">
        <v>104</v>
      </c>
      <c r="AK49" s="151" t="s">
        <v>104</v>
      </c>
      <c r="AL49" s="151" t="s">
        <v>58</v>
      </c>
      <c r="AM49" s="188" t="s">
        <v>1224</v>
      </c>
      <c r="AN49" s="188" t="s">
        <v>1233</v>
      </c>
      <c r="AO49" s="188"/>
      <c r="AP49" s="155"/>
    </row>
    <row r="50" spans="3:42" ht="14.25" customHeight="1">
      <c r="C50" s="156">
        <f>IF($X50=1,COUNTIF($C$10:C49,"&gt;0")+1,"")</f>
        <v>21</v>
      </c>
      <c r="D50" s="151">
        <v>15262622</v>
      </c>
      <c r="E50" s="151" t="s">
        <v>306</v>
      </c>
      <c r="F50" s="152" t="s">
        <v>333</v>
      </c>
      <c r="G50" s="151" t="s">
        <v>333</v>
      </c>
      <c r="H50" s="151" t="s">
        <v>334</v>
      </c>
      <c r="I50" s="151" t="s">
        <v>335</v>
      </c>
      <c r="J50" s="151" t="s">
        <v>98</v>
      </c>
      <c r="K50" s="151" t="s">
        <v>99</v>
      </c>
      <c r="L50" s="153">
        <v>23551</v>
      </c>
      <c r="M50" s="151">
        <v>61</v>
      </c>
      <c r="N50" s="151" t="s">
        <v>336</v>
      </c>
      <c r="O50" s="153">
        <v>46514</v>
      </c>
      <c r="P50" s="151" t="s">
        <v>51</v>
      </c>
      <c r="Q50" s="151"/>
      <c r="R50" s="173">
        <v>45918</v>
      </c>
      <c r="S50" s="174">
        <v>45923</v>
      </c>
      <c r="T50" s="175">
        <f>S50-R50</f>
        <v>5</v>
      </c>
      <c r="U50" s="151">
        <v>1</v>
      </c>
      <c r="V50" s="151">
        <v>1</v>
      </c>
      <c r="W50" s="151">
        <v>0</v>
      </c>
      <c r="X50" s="151">
        <v>1</v>
      </c>
      <c r="Y50" s="151">
        <v>0</v>
      </c>
      <c r="Z50" s="151">
        <v>1</v>
      </c>
      <c r="AA50" s="151">
        <v>0</v>
      </c>
      <c r="AB50" s="151"/>
      <c r="AC50" s="153">
        <v>45918</v>
      </c>
      <c r="AD50" s="154">
        <v>0.20833333333575865</v>
      </c>
      <c r="AE50" s="151" t="s">
        <v>158</v>
      </c>
      <c r="AF50" s="153">
        <v>45923</v>
      </c>
      <c r="AG50" s="154">
        <v>0.85069444444525288</v>
      </c>
      <c r="AH50" s="151" t="s">
        <v>154</v>
      </c>
      <c r="AI50" s="151" t="s">
        <v>311</v>
      </c>
      <c r="AJ50" s="151" t="s">
        <v>104</v>
      </c>
      <c r="AK50" s="151" t="s">
        <v>104</v>
      </c>
      <c r="AL50" s="151" t="s">
        <v>58</v>
      </c>
      <c r="AM50" s="188" t="s">
        <v>1224</v>
      </c>
      <c r="AN50" s="188" t="s">
        <v>1233</v>
      </c>
      <c r="AO50" s="188"/>
      <c r="AP50" s="155"/>
    </row>
    <row r="51" spans="3:42" ht="14.25" customHeight="1">
      <c r="C51" s="156" t="str">
        <f>IF($X51=1,COUNTIF($C$10:C50,"&gt;0")+1,"")</f>
        <v/>
      </c>
      <c r="D51" s="151"/>
      <c r="E51" s="151" t="s">
        <v>306</v>
      </c>
      <c r="F51" s="152" t="s">
        <v>337</v>
      </c>
      <c r="G51" s="151" t="s">
        <v>333</v>
      </c>
      <c r="H51" s="151" t="s">
        <v>338</v>
      </c>
      <c r="I51" s="151" t="s">
        <v>339</v>
      </c>
      <c r="J51" s="151" t="s">
        <v>100</v>
      </c>
      <c r="K51" s="151" t="s">
        <v>99</v>
      </c>
      <c r="L51" s="153">
        <v>23817</v>
      </c>
      <c r="M51" s="151">
        <v>60</v>
      </c>
      <c r="N51" s="151" t="s">
        <v>340</v>
      </c>
      <c r="O51" s="153">
        <v>46385</v>
      </c>
      <c r="P51" s="151" t="s">
        <v>51</v>
      </c>
      <c r="Q51" s="151"/>
      <c r="R51" s="173">
        <v>45918</v>
      </c>
      <c r="S51" s="174">
        <v>45923</v>
      </c>
      <c r="T51" s="175">
        <f>S51-R51</f>
        <v>5</v>
      </c>
      <c r="U51" s="151">
        <v>1</v>
      </c>
      <c r="V51" s="151">
        <v>1</v>
      </c>
      <c r="W51" s="151">
        <v>0</v>
      </c>
      <c r="X51" s="151">
        <v>0</v>
      </c>
      <c r="Y51" s="151">
        <v>0</v>
      </c>
      <c r="Z51" s="151">
        <v>0</v>
      </c>
      <c r="AA51" s="151">
        <v>0</v>
      </c>
      <c r="AB51" s="151"/>
      <c r="AC51" s="153">
        <v>45918</v>
      </c>
      <c r="AD51" s="154">
        <v>0.20833333333575865</v>
      </c>
      <c r="AE51" s="151" t="s">
        <v>158</v>
      </c>
      <c r="AF51" s="153">
        <v>45923</v>
      </c>
      <c r="AG51" s="154">
        <v>0.85069444444525288</v>
      </c>
      <c r="AH51" s="151" t="s">
        <v>154</v>
      </c>
      <c r="AI51" s="151" t="s">
        <v>311</v>
      </c>
      <c r="AJ51" s="151" t="s">
        <v>104</v>
      </c>
      <c r="AK51" s="151" t="s">
        <v>104</v>
      </c>
      <c r="AL51" s="151" t="s">
        <v>58</v>
      </c>
      <c r="AM51" s="188" t="s">
        <v>1224</v>
      </c>
      <c r="AN51" s="188" t="s">
        <v>1233</v>
      </c>
      <c r="AO51" s="188"/>
      <c r="AP51" s="155"/>
    </row>
    <row r="52" spans="3:42" ht="14.25" customHeight="1">
      <c r="C52" s="156">
        <f>IF($X52=1,COUNTIF($C$10:C51,"&gt;0")+1,"")</f>
        <v>22</v>
      </c>
      <c r="D52" s="151">
        <v>15262623</v>
      </c>
      <c r="E52" s="151" t="s">
        <v>306</v>
      </c>
      <c r="F52" s="152" t="s">
        <v>341</v>
      </c>
      <c r="G52" s="151" t="s">
        <v>333</v>
      </c>
      <c r="H52" s="151" t="s">
        <v>342</v>
      </c>
      <c r="I52" s="151" t="s">
        <v>343</v>
      </c>
      <c r="J52" s="151" t="s">
        <v>100</v>
      </c>
      <c r="K52" s="151" t="s">
        <v>99</v>
      </c>
      <c r="L52" s="153">
        <v>33798</v>
      </c>
      <c r="M52" s="151">
        <v>33</v>
      </c>
      <c r="N52" s="151" t="s">
        <v>344</v>
      </c>
      <c r="O52" s="153">
        <v>46385</v>
      </c>
      <c r="P52" s="151" t="s">
        <v>50</v>
      </c>
      <c r="Q52" s="151"/>
      <c r="R52" s="173">
        <v>45918</v>
      </c>
      <c r="S52" s="174">
        <v>45923</v>
      </c>
      <c r="T52" s="175">
        <f>S52-R52</f>
        <v>5</v>
      </c>
      <c r="U52" s="151">
        <v>1</v>
      </c>
      <c r="V52" s="151">
        <v>1</v>
      </c>
      <c r="W52" s="151">
        <v>0</v>
      </c>
      <c r="X52" s="151">
        <v>1</v>
      </c>
      <c r="Y52" s="151">
        <v>1</v>
      </c>
      <c r="Z52" s="151">
        <v>0</v>
      </c>
      <c r="AA52" s="151">
        <v>0</v>
      </c>
      <c r="AB52" s="151"/>
      <c r="AC52" s="153">
        <v>45918</v>
      </c>
      <c r="AD52" s="154">
        <v>0.20833333333575865</v>
      </c>
      <c r="AE52" s="151" t="s">
        <v>158</v>
      </c>
      <c r="AF52" s="153">
        <v>45923</v>
      </c>
      <c r="AG52" s="154">
        <v>0.85069444444525288</v>
      </c>
      <c r="AH52" s="151" t="s">
        <v>154</v>
      </c>
      <c r="AI52" s="151" t="s">
        <v>311</v>
      </c>
      <c r="AJ52" s="151" t="s">
        <v>104</v>
      </c>
      <c r="AK52" s="151" t="s">
        <v>104</v>
      </c>
      <c r="AL52" s="151" t="s">
        <v>58</v>
      </c>
      <c r="AM52" s="188" t="s">
        <v>1224</v>
      </c>
      <c r="AN52" s="188" t="s">
        <v>1233</v>
      </c>
      <c r="AO52" s="188"/>
      <c r="AP52" s="155"/>
    </row>
    <row r="53" spans="3:42" ht="14.25" customHeight="1">
      <c r="C53" s="156">
        <f>IF($X53=1,COUNTIF($C$10:C52,"&gt;0")+1,"")</f>
        <v>23</v>
      </c>
      <c r="D53" s="151">
        <v>15262624</v>
      </c>
      <c r="E53" s="151" t="s">
        <v>306</v>
      </c>
      <c r="F53" s="152" t="s">
        <v>345</v>
      </c>
      <c r="G53" s="151" t="s">
        <v>345</v>
      </c>
      <c r="H53" s="151" t="s">
        <v>346</v>
      </c>
      <c r="I53" s="151" t="s">
        <v>347</v>
      </c>
      <c r="J53" s="151" t="s">
        <v>100</v>
      </c>
      <c r="K53" s="151" t="s">
        <v>99</v>
      </c>
      <c r="L53" s="153">
        <v>21959</v>
      </c>
      <c r="M53" s="151">
        <v>65</v>
      </c>
      <c r="N53" s="151" t="s">
        <v>348</v>
      </c>
      <c r="O53" s="153">
        <v>46255</v>
      </c>
      <c r="P53" s="151" t="s">
        <v>51</v>
      </c>
      <c r="Q53" s="151"/>
      <c r="R53" s="173">
        <v>45918</v>
      </c>
      <c r="S53" s="174">
        <v>45923</v>
      </c>
      <c r="T53" s="175">
        <f>S53-R53</f>
        <v>5</v>
      </c>
      <c r="U53" s="151">
        <v>1</v>
      </c>
      <c r="V53" s="151">
        <v>1</v>
      </c>
      <c r="W53" s="151">
        <v>0</v>
      </c>
      <c r="X53" s="151">
        <v>1</v>
      </c>
      <c r="Y53" s="151">
        <v>0</v>
      </c>
      <c r="Z53" s="151">
        <v>1</v>
      </c>
      <c r="AA53" s="151">
        <v>0</v>
      </c>
      <c r="AB53" s="151"/>
      <c r="AC53" s="153">
        <v>45918</v>
      </c>
      <c r="AD53" s="154">
        <v>0.54166666666424135</v>
      </c>
      <c r="AE53" s="151" t="s">
        <v>328</v>
      </c>
      <c r="AF53" s="153">
        <v>45923</v>
      </c>
      <c r="AG53" s="154">
        <v>0.375</v>
      </c>
      <c r="AH53" s="151" t="s">
        <v>329</v>
      </c>
      <c r="AI53" s="151" t="s">
        <v>311</v>
      </c>
      <c r="AJ53" s="151" t="s">
        <v>104</v>
      </c>
      <c r="AK53" s="151" t="s">
        <v>104</v>
      </c>
      <c r="AL53" s="151" t="s">
        <v>58</v>
      </c>
      <c r="AM53" s="188" t="s">
        <v>1224</v>
      </c>
      <c r="AN53" s="188" t="s">
        <v>1233</v>
      </c>
      <c r="AO53" s="188"/>
      <c r="AP53" s="155"/>
    </row>
    <row r="54" spans="3:42" ht="14.25" customHeight="1">
      <c r="C54" s="156" t="str">
        <f>IF($X54=1,COUNTIF($C$10:C53,"&gt;0")+1,"")</f>
        <v/>
      </c>
      <c r="D54" s="151"/>
      <c r="E54" s="151" t="s">
        <v>306</v>
      </c>
      <c r="F54" s="152" t="s">
        <v>349</v>
      </c>
      <c r="G54" s="151" t="s">
        <v>345</v>
      </c>
      <c r="H54" s="151" t="s">
        <v>350</v>
      </c>
      <c r="I54" s="151" t="s">
        <v>351</v>
      </c>
      <c r="J54" s="151" t="s">
        <v>98</v>
      </c>
      <c r="K54" s="151" t="s">
        <v>99</v>
      </c>
      <c r="L54" s="153">
        <v>19788</v>
      </c>
      <c r="M54" s="151">
        <v>71</v>
      </c>
      <c r="N54" s="151" t="s">
        <v>352</v>
      </c>
      <c r="O54" s="153">
        <v>46255</v>
      </c>
      <c r="P54" s="151" t="s">
        <v>51</v>
      </c>
      <c r="Q54" s="151"/>
      <c r="R54" s="173">
        <v>45918</v>
      </c>
      <c r="S54" s="174">
        <v>45923</v>
      </c>
      <c r="T54" s="175">
        <f>S54-R54</f>
        <v>5</v>
      </c>
      <c r="U54" s="151">
        <v>1</v>
      </c>
      <c r="V54" s="151">
        <v>1</v>
      </c>
      <c r="W54" s="151">
        <v>0</v>
      </c>
      <c r="X54" s="151">
        <v>0</v>
      </c>
      <c r="Y54" s="151">
        <v>0</v>
      </c>
      <c r="Z54" s="151">
        <v>0</v>
      </c>
      <c r="AA54" s="151">
        <v>0</v>
      </c>
      <c r="AB54" s="151"/>
      <c r="AC54" s="153">
        <v>45918</v>
      </c>
      <c r="AD54" s="154">
        <v>0.54166666666424135</v>
      </c>
      <c r="AE54" s="151" t="s">
        <v>328</v>
      </c>
      <c r="AF54" s="153">
        <v>45923</v>
      </c>
      <c r="AG54" s="154">
        <v>0.375</v>
      </c>
      <c r="AH54" s="151" t="s">
        <v>329</v>
      </c>
      <c r="AI54" s="151" t="s">
        <v>311</v>
      </c>
      <c r="AJ54" s="151" t="s">
        <v>104</v>
      </c>
      <c r="AK54" s="151" t="s">
        <v>104</v>
      </c>
      <c r="AL54" s="151" t="s">
        <v>58</v>
      </c>
      <c r="AM54" s="188" t="s">
        <v>1224</v>
      </c>
      <c r="AN54" s="188" t="s">
        <v>1233</v>
      </c>
      <c r="AO54" s="188"/>
      <c r="AP54" s="155"/>
    </row>
    <row r="55" spans="3:42" ht="14.25" customHeight="1">
      <c r="C55" s="156">
        <f>IF($X55=1,COUNTIF($C$10:C54,"&gt;0")+1,"")</f>
        <v>24</v>
      </c>
      <c r="D55" s="151">
        <v>15262625</v>
      </c>
      <c r="E55" s="151" t="s">
        <v>353</v>
      </c>
      <c r="F55" s="152" t="s">
        <v>354</v>
      </c>
      <c r="G55" s="151" t="s">
        <v>354</v>
      </c>
      <c r="H55" s="151" t="s">
        <v>355</v>
      </c>
      <c r="I55" s="151" t="s">
        <v>356</v>
      </c>
      <c r="J55" s="151" t="s">
        <v>98</v>
      </c>
      <c r="K55" s="151" t="s">
        <v>99</v>
      </c>
      <c r="L55" s="153">
        <v>21940</v>
      </c>
      <c r="M55" s="151">
        <v>65</v>
      </c>
      <c r="N55" s="151" t="s">
        <v>357</v>
      </c>
      <c r="O55" s="153">
        <v>45803</v>
      </c>
      <c r="P55" s="151" t="s">
        <v>52</v>
      </c>
      <c r="Q55" s="151"/>
      <c r="R55" s="173">
        <v>45918</v>
      </c>
      <c r="S55" s="174">
        <v>45923</v>
      </c>
      <c r="T55" s="175">
        <f>S55-R55</f>
        <v>5</v>
      </c>
      <c r="U55" s="151">
        <v>1</v>
      </c>
      <c r="V55" s="151">
        <v>1</v>
      </c>
      <c r="W55" s="151">
        <v>0</v>
      </c>
      <c r="X55" s="151">
        <v>1</v>
      </c>
      <c r="Y55" s="151">
        <v>0</v>
      </c>
      <c r="Z55" s="151">
        <v>0</v>
      </c>
      <c r="AA55" s="151">
        <v>1</v>
      </c>
      <c r="AB55" s="151"/>
      <c r="AC55" s="153">
        <v>45918</v>
      </c>
      <c r="AD55" s="154">
        <v>0.62152777778101154</v>
      </c>
      <c r="AE55" s="151" t="s">
        <v>139</v>
      </c>
      <c r="AF55" s="153">
        <v>45923</v>
      </c>
      <c r="AG55" s="154">
        <v>0.88194444444525288</v>
      </c>
      <c r="AH55" s="151" t="s">
        <v>358</v>
      </c>
      <c r="AI55" s="151" t="s">
        <v>359</v>
      </c>
      <c r="AJ55" s="151" t="s">
        <v>104</v>
      </c>
      <c r="AK55" s="151" t="s">
        <v>104</v>
      </c>
      <c r="AL55" s="151" t="s">
        <v>58</v>
      </c>
      <c r="AM55" s="188" t="s">
        <v>1224</v>
      </c>
      <c r="AN55" s="188" t="s">
        <v>1234</v>
      </c>
      <c r="AO55" s="188"/>
      <c r="AP55" s="155"/>
    </row>
    <row r="56" spans="3:42" ht="14.25" customHeight="1">
      <c r="C56" s="156" t="str">
        <f>IF($X56=1,COUNTIF($C$10:C55,"&gt;0")+1,"")</f>
        <v/>
      </c>
      <c r="D56" s="151"/>
      <c r="E56" s="151" t="s">
        <v>353</v>
      </c>
      <c r="F56" s="152" t="s">
        <v>360</v>
      </c>
      <c r="G56" s="151" t="s">
        <v>354</v>
      </c>
      <c r="H56" s="151" t="s">
        <v>361</v>
      </c>
      <c r="I56" s="151" t="s">
        <v>356</v>
      </c>
      <c r="J56" s="151" t="s">
        <v>100</v>
      </c>
      <c r="K56" s="151" t="s">
        <v>99</v>
      </c>
      <c r="L56" s="153">
        <v>35581</v>
      </c>
      <c r="M56" s="151">
        <v>28</v>
      </c>
      <c r="N56" s="151" t="s">
        <v>362</v>
      </c>
      <c r="O56" s="153">
        <v>48667</v>
      </c>
      <c r="P56" s="151" t="s">
        <v>52</v>
      </c>
      <c r="Q56" s="151"/>
      <c r="R56" s="173">
        <v>45918</v>
      </c>
      <c r="S56" s="174">
        <v>45923</v>
      </c>
      <c r="T56" s="175">
        <f>S56-R56</f>
        <v>5</v>
      </c>
      <c r="U56" s="151">
        <v>1</v>
      </c>
      <c r="V56" s="151">
        <v>1</v>
      </c>
      <c r="W56" s="151">
        <v>0</v>
      </c>
      <c r="X56" s="151">
        <v>0</v>
      </c>
      <c r="Y56" s="151">
        <v>0</v>
      </c>
      <c r="Z56" s="151">
        <v>0</v>
      </c>
      <c r="AA56" s="151">
        <v>0</v>
      </c>
      <c r="AB56" s="151"/>
      <c r="AC56" s="153">
        <v>45918</v>
      </c>
      <c r="AD56" s="154">
        <v>0.62152777778101154</v>
      </c>
      <c r="AE56" s="151" t="s">
        <v>139</v>
      </c>
      <c r="AF56" s="153">
        <v>45923</v>
      </c>
      <c r="AG56" s="154">
        <v>0.88194444444525288</v>
      </c>
      <c r="AH56" s="151" t="s">
        <v>358</v>
      </c>
      <c r="AI56" s="151" t="s">
        <v>359</v>
      </c>
      <c r="AJ56" s="151" t="s">
        <v>104</v>
      </c>
      <c r="AK56" s="151" t="s">
        <v>104</v>
      </c>
      <c r="AL56" s="151" t="s">
        <v>58</v>
      </c>
      <c r="AM56" s="188" t="s">
        <v>1224</v>
      </c>
      <c r="AN56" s="188" t="s">
        <v>1234</v>
      </c>
      <c r="AO56" s="188"/>
      <c r="AP56" s="155"/>
    </row>
    <row r="57" spans="3:42" ht="14.25" customHeight="1">
      <c r="C57" s="156">
        <f>IF($X57=1,COUNTIF($C$10:C56,"&gt;0")+1,"")</f>
        <v>25</v>
      </c>
      <c r="D57" s="151">
        <v>15262626</v>
      </c>
      <c r="E57" s="151" t="s">
        <v>353</v>
      </c>
      <c r="F57" s="152" t="s">
        <v>363</v>
      </c>
      <c r="G57" s="151" t="s">
        <v>354</v>
      </c>
      <c r="H57" s="151" t="s">
        <v>364</v>
      </c>
      <c r="I57" s="151" t="s">
        <v>356</v>
      </c>
      <c r="J57" s="151" t="s">
        <v>98</v>
      </c>
      <c r="K57" s="151" t="s">
        <v>99</v>
      </c>
      <c r="L57" s="153">
        <v>38528</v>
      </c>
      <c r="M57" s="151">
        <v>20</v>
      </c>
      <c r="N57" s="151" t="s">
        <v>365</v>
      </c>
      <c r="O57" s="153">
        <v>48678</v>
      </c>
      <c r="P57" s="151" t="s">
        <v>52</v>
      </c>
      <c r="Q57" s="151"/>
      <c r="R57" s="173">
        <v>45918</v>
      </c>
      <c r="S57" s="174">
        <v>45923</v>
      </c>
      <c r="T57" s="175">
        <f>S57-R57</f>
        <v>5</v>
      </c>
      <c r="U57" s="151">
        <v>1</v>
      </c>
      <c r="V57" s="151">
        <v>1</v>
      </c>
      <c r="W57" s="151">
        <v>0</v>
      </c>
      <c r="X57" s="151">
        <v>1</v>
      </c>
      <c r="Y57" s="151">
        <v>0</v>
      </c>
      <c r="Z57" s="151">
        <v>0</v>
      </c>
      <c r="AA57" s="151">
        <v>1</v>
      </c>
      <c r="AB57" s="151"/>
      <c r="AC57" s="153">
        <v>45918</v>
      </c>
      <c r="AD57" s="154">
        <v>0.62152777778101154</v>
      </c>
      <c r="AE57" s="151" t="s">
        <v>139</v>
      </c>
      <c r="AF57" s="153">
        <v>45923</v>
      </c>
      <c r="AG57" s="154">
        <v>0.88194444444525288</v>
      </c>
      <c r="AH57" s="151" t="s">
        <v>358</v>
      </c>
      <c r="AI57" s="151" t="s">
        <v>359</v>
      </c>
      <c r="AJ57" s="151" t="s">
        <v>104</v>
      </c>
      <c r="AK57" s="151" t="s">
        <v>104</v>
      </c>
      <c r="AL57" s="151" t="s">
        <v>58</v>
      </c>
      <c r="AM57" s="188" t="s">
        <v>1224</v>
      </c>
      <c r="AN57" s="188" t="s">
        <v>1234</v>
      </c>
      <c r="AO57" s="188"/>
      <c r="AP57" s="155"/>
    </row>
    <row r="58" spans="3:42" ht="14.25" customHeight="1">
      <c r="C58" s="156" t="str">
        <f>IF($X58=1,COUNTIF($C$10:C57,"&gt;0")+1,"")</f>
        <v/>
      </c>
      <c r="D58" s="151"/>
      <c r="E58" s="151" t="s">
        <v>353</v>
      </c>
      <c r="F58" s="152" t="s">
        <v>366</v>
      </c>
      <c r="G58" s="151" t="s">
        <v>354</v>
      </c>
      <c r="H58" s="151" t="s">
        <v>367</v>
      </c>
      <c r="I58" s="151" t="s">
        <v>356</v>
      </c>
      <c r="J58" s="151" t="s">
        <v>98</v>
      </c>
      <c r="K58" s="151" t="s">
        <v>99</v>
      </c>
      <c r="L58" s="153">
        <v>37194</v>
      </c>
      <c r="M58" s="151">
        <v>23</v>
      </c>
      <c r="N58" s="151" t="s">
        <v>368</v>
      </c>
      <c r="O58" s="153">
        <v>46938</v>
      </c>
      <c r="P58" s="151" t="s">
        <v>52</v>
      </c>
      <c r="Q58" s="151"/>
      <c r="R58" s="173">
        <v>45918</v>
      </c>
      <c r="S58" s="174">
        <v>45923</v>
      </c>
      <c r="T58" s="175">
        <f>S58-R58</f>
        <v>5</v>
      </c>
      <c r="U58" s="151">
        <v>1</v>
      </c>
      <c r="V58" s="151">
        <v>1</v>
      </c>
      <c r="W58" s="151">
        <v>0</v>
      </c>
      <c r="X58" s="151">
        <v>0</v>
      </c>
      <c r="Y58" s="151">
        <v>0</v>
      </c>
      <c r="Z58" s="151">
        <v>0</v>
      </c>
      <c r="AA58" s="151">
        <v>0</v>
      </c>
      <c r="AB58" s="151"/>
      <c r="AC58" s="153">
        <v>45918</v>
      </c>
      <c r="AD58" s="154">
        <v>0.62152777778101154</v>
      </c>
      <c r="AE58" s="151" t="s">
        <v>139</v>
      </c>
      <c r="AF58" s="153">
        <v>45923</v>
      </c>
      <c r="AG58" s="154">
        <v>0.88194444444525288</v>
      </c>
      <c r="AH58" s="151" t="s">
        <v>358</v>
      </c>
      <c r="AI58" s="151" t="s">
        <v>359</v>
      </c>
      <c r="AJ58" s="151" t="s">
        <v>104</v>
      </c>
      <c r="AK58" s="151" t="s">
        <v>104</v>
      </c>
      <c r="AL58" s="151" t="s">
        <v>58</v>
      </c>
      <c r="AM58" s="188" t="s">
        <v>1224</v>
      </c>
      <c r="AN58" s="188" t="s">
        <v>1234</v>
      </c>
      <c r="AO58" s="188"/>
      <c r="AP58" s="155"/>
    </row>
    <row r="59" spans="3:42" ht="14.25" customHeight="1">
      <c r="C59" s="156">
        <f>IF($X59=1,COUNTIF($C$10:C58,"&gt;0")+1,"")</f>
        <v>26</v>
      </c>
      <c r="D59" s="151">
        <v>15262627</v>
      </c>
      <c r="E59" s="151" t="s">
        <v>353</v>
      </c>
      <c r="F59" s="152" t="s">
        <v>369</v>
      </c>
      <c r="G59" s="151" t="s">
        <v>354</v>
      </c>
      <c r="H59" s="151" t="s">
        <v>370</v>
      </c>
      <c r="I59" s="151" t="s">
        <v>371</v>
      </c>
      <c r="J59" s="151" t="s">
        <v>100</v>
      </c>
      <c r="K59" s="151" t="s">
        <v>99</v>
      </c>
      <c r="L59" s="153">
        <v>24523</v>
      </c>
      <c r="M59" s="151">
        <v>58</v>
      </c>
      <c r="N59" s="151" t="s">
        <v>372</v>
      </c>
      <c r="O59" s="153">
        <v>49126</v>
      </c>
      <c r="P59" s="151" t="s">
        <v>52</v>
      </c>
      <c r="Q59" s="151"/>
      <c r="R59" s="173">
        <v>45918</v>
      </c>
      <c r="S59" s="174">
        <v>45923</v>
      </c>
      <c r="T59" s="175">
        <f>S59-R59</f>
        <v>5</v>
      </c>
      <c r="U59" s="151">
        <v>1</v>
      </c>
      <c r="V59" s="151">
        <v>1</v>
      </c>
      <c r="W59" s="151">
        <v>0</v>
      </c>
      <c r="X59" s="151">
        <v>1</v>
      </c>
      <c r="Y59" s="151">
        <v>0</v>
      </c>
      <c r="Z59" s="151">
        <v>0</v>
      </c>
      <c r="AA59" s="151">
        <v>1</v>
      </c>
      <c r="AB59" s="151"/>
      <c r="AC59" s="153">
        <v>45918</v>
      </c>
      <c r="AD59" s="154">
        <v>0.62152777778101154</v>
      </c>
      <c r="AE59" s="151" t="s">
        <v>139</v>
      </c>
      <c r="AF59" s="153">
        <v>45923</v>
      </c>
      <c r="AG59" s="154">
        <v>0.88194444444525288</v>
      </c>
      <c r="AH59" s="151" t="s">
        <v>358</v>
      </c>
      <c r="AI59" s="151" t="s">
        <v>359</v>
      </c>
      <c r="AJ59" s="151" t="s">
        <v>104</v>
      </c>
      <c r="AK59" s="151" t="s">
        <v>104</v>
      </c>
      <c r="AL59" s="151" t="s">
        <v>58</v>
      </c>
      <c r="AM59" s="188" t="s">
        <v>1224</v>
      </c>
      <c r="AN59" s="188" t="s">
        <v>1234</v>
      </c>
      <c r="AO59" s="188"/>
      <c r="AP59" s="155"/>
    </row>
    <row r="60" spans="3:42" ht="14.25" customHeight="1">
      <c r="C60" s="156" t="str">
        <f>IF($X60=1,COUNTIF($C$10:C59,"&gt;0")+1,"")</f>
        <v/>
      </c>
      <c r="D60" s="151"/>
      <c r="E60" s="151" t="s">
        <v>353</v>
      </c>
      <c r="F60" s="152" t="s">
        <v>373</v>
      </c>
      <c r="G60" s="151" t="s">
        <v>354</v>
      </c>
      <c r="H60" s="151" t="s">
        <v>374</v>
      </c>
      <c r="I60" s="151" t="s">
        <v>356</v>
      </c>
      <c r="J60" s="151" t="s">
        <v>100</v>
      </c>
      <c r="K60" s="151" t="s">
        <v>99</v>
      </c>
      <c r="L60" s="153">
        <v>35986</v>
      </c>
      <c r="M60" s="151">
        <v>27</v>
      </c>
      <c r="N60" s="151" t="s">
        <v>375</v>
      </c>
      <c r="O60" s="153">
        <v>46938</v>
      </c>
      <c r="P60" s="151" t="s">
        <v>52</v>
      </c>
      <c r="Q60" s="151"/>
      <c r="R60" s="173">
        <v>45918</v>
      </c>
      <c r="S60" s="174">
        <v>45923</v>
      </c>
      <c r="T60" s="175">
        <f>S60-R60</f>
        <v>5</v>
      </c>
      <c r="U60" s="151">
        <v>1</v>
      </c>
      <c r="V60" s="151">
        <v>1</v>
      </c>
      <c r="W60" s="151">
        <v>0</v>
      </c>
      <c r="X60" s="151">
        <v>0</v>
      </c>
      <c r="Y60" s="151">
        <v>0</v>
      </c>
      <c r="Z60" s="151">
        <v>0</v>
      </c>
      <c r="AA60" s="151">
        <v>0</v>
      </c>
      <c r="AB60" s="151"/>
      <c r="AC60" s="153">
        <v>45918</v>
      </c>
      <c r="AD60" s="154">
        <v>0.62152777778101154</v>
      </c>
      <c r="AE60" s="151" t="s">
        <v>139</v>
      </c>
      <c r="AF60" s="153">
        <v>45923</v>
      </c>
      <c r="AG60" s="154">
        <v>0.88194444444525288</v>
      </c>
      <c r="AH60" s="151" t="s">
        <v>358</v>
      </c>
      <c r="AI60" s="151" t="s">
        <v>359</v>
      </c>
      <c r="AJ60" s="151" t="s">
        <v>104</v>
      </c>
      <c r="AK60" s="151" t="s">
        <v>104</v>
      </c>
      <c r="AL60" s="151" t="s">
        <v>58</v>
      </c>
      <c r="AM60" s="188" t="s">
        <v>1224</v>
      </c>
      <c r="AN60" s="188" t="s">
        <v>1234</v>
      </c>
      <c r="AO60" s="188"/>
      <c r="AP60" s="155"/>
    </row>
    <row r="61" spans="3:42" ht="14.25" customHeight="1">
      <c r="C61" s="156">
        <f>IF($X61=1,COUNTIF($C$10:C60,"&gt;0")+1,"")</f>
        <v>27</v>
      </c>
      <c r="D61" s="151">
        <v>15262628</v>
      </c>
      <c r="E61" s="151" t="s">
        <v>376</v>
      </c>
      <c r="F61" s="152" t="s">
        <v>377</v>
      </c>
      <c r="G61" s="151" t="s">
        <v>377</v>
      </c>
      <c r="H61" s="151" t="s">
        <v>378</v>
      </c>
      <c r="I61" s="151" t="s">
        <v>275</v>
      </c>
      <c r="J61" s="151" t="s">
        <v>98</v>
      </c>
      <c r="K61" s="151" t="s">
        <v>99</v>
      </c>
      <c r="L61" s="153">
        <v>27923</v>
      </c>
      <c r="M61" s="151">
        <v>49</v>
      </c>
      <c r="N61" s="151" t="s">
        <v>379</v>
      </c>
      <c r="O61" s="153">
        <v>48110</v>
      </c>
      <c r="P61" s="151" t="s">
        <v>52</v>
      </c>
      <c r="Q61" s="151"/>
      <c r="R61" s="173">
        <v>45918</v>
      </c>
      <c r="S61" s="174">
        <v>45923</v>
      </c>
      <c r="T61" s="175">
        <f>S61-R61</f>
        <v>5</v>
      </c>
      <c r="U61" s="151">
        <v>1</v>
      </c>
      <c r="V61" s="151">
        <v>1</v>
      </c>
      <c r="W61" s="151">
        <v>0</v>
      </c>
      <c r="X61" s="151">
        <v>1</v>
      </c>
      <c r="Y61" s="151">
        <v>0</v>
      </c>
      <c r="Z61" s="151">
        <v>0</v>
      </c>
      <c r="AA61" s="151">
        <v>1</v>
      </c>
      <c r="AB61" s="151"/>
      <c r="AC61" s="153">
        <v>45918</v>
      </c>
      <c r="AD61" s="154">
        <v>0.52777777778101154</v>
      </c>
      <c r="AE61" s="151" t="s">
        <v>155</v>
      </c>
      <c r="AF61" s="153">
        <v>45923</v>
      </c>
      <c r="AG61" s="154">
        <v>0.34722222221898846</v>
      </c>
      <c r="AH61" s="151" t="s">
        <v>211</v>
      </c>
      <c r="AI61" s="151" t="s">
        <v>380</v>
      </c>
      <c r="AJ61" s="151" t="s">
        <v>109</v>
      </c>
      <c r="AK61" s="151" t="s">
        <v>104</v>
      </c>
      <c r="AL61" s="151" t="s">
        <v>58</v>
      </c>
      <c r="AM61" s="188" t="s">
        <v>1224</v>
      </c>
      <c r="AN61" s="188" t="s">
        <v>1234</v>
      </c>
      <c r="AO61" s="188"/>
      <c r="AP61" s="155"/>
    </row>
    <row r="62" spans="3:42" ht="14.25" customHeight="1">
      <c r="C62" s="156" t="str">
        <f>IF($X62=1,COUNTIF($C$10:C61,"&gt;0")+1,"")</f>
        <v/>
      </c>
      <c r="D62" s="151"/>
      <c r="E62" s="151" t="s">
        <v>376</v>
      </c>
      <c r="F62" s="152" t="s">
        <v>381</v>
      </c>
      <c r="G62" s="151" t="s">
        <v>377</v>
      </c>
      <c r="H62" s="151" t="s">
        <v>382</v>
      </c>
      <c r="I62" s="151" t="s">
        <v>383</v>
      </c>
      <c r="J62" s="151" t="s">
        <v>98</v>
      </c>
      <c r="K62" s="151" t="s">
        <v>99</v>
      </c>
      <c r="L62" s="153">
        <v>32760</v>
      </c>
      <c r="M62" s="151">
        <v>36</v>
      </c>
      <c r="N62" s="151" t="s">
        <v>384</v>
      </c>
      <c r="O62" s="153">
        <v>46427</v>
      </c>
      <c r="P62" s="151" t="s">
        <v>52</v>
      </c>
      <c r="Q62" s="151"/>
      <c r="R62" s="173">
        <v>45918</v>
      </c>
      <c r="S62" s="174">
        <v>45923</v>
      </c>
      <c r="T62" s="175">
        <f>S62-R62</f>
        <v>5</v>
      </c>
      <c r="U62" s="151">
        <v>1</v>
      </c>
      <c r="V62" s="151">
        <v>1</v>
      </c>
      <c r="W62" s="151">
        <v>0</v>
      </c>
      <c r="X62" s="151">
        <v>0</v>
      </c>
      <c r="Y62" s="151">
        <v>0</v>
      </c>
      <c r="Z62" s="151">
        <v>0</v>
      </c>
      <c r="AA62" s="151">
        <v>0</v>
      </c>
      <c r="AB62" s="151"/>
      <c r="AC62" s="153">
        <v>45918</v>
      </c>
      <c r="AD62" s="154">
        <v>0.63541666666424135</v>
      </c>
      <c r="AE62" s="151" t="s">
        <v>385</v>
      </c>
      <c r="AF62" s="153">
        <v>45923</v>
      </c>
      <c r="AG62" s="154">
        <v>0.9375</v>
      </c>
      <c r="AH62" s="151" t="s">
        <v>386</v>
      </c>
      <c r="AI62" s="151" t="s">
        <v>380</v>
      </c>
      <c r="AJ62" s="151" t="s">
        <v>104</v>
      </c>
      <c r="AK62" s="151" t="s">
        <v>104</v>
      </c>
      <c r="AL62" s="151" t="s">
        <v>58</v>
      </c>
      <c r="AM62" s="188" t="s">
        <v>1224</v>
      </c>
      <c r="AN62" s="188" t="s">
        <v>1234</v>
      </c>
      <c r="AO62" s="188"/>
      <c r="AP62" s="155"/>
    </row>
    <row r="63" spans="3:42" ht="14.25" customHeight="1">
      <c r="C63" s="156">
        <f>IF($X63=1,COUNTIF($C$10:C62,"&gt;0")+1,"")</f>
        <v>28</v>
      </c>
      <c r="D63" s="151">
        <v>15262629</v>
      </c>
      <c r="E63" s="151" t="s">
        <v>376</v>
      </c>
      <c r="F63" s="152" t="s">
        <v>387</v>
      </c>
      <c r="G63" s="151" t="s">
        <v>387</v>
      </c>
      <c r="H63" s="151" t="s">
        <v>388</v>
      </c>
      <c r="I63" s="151" t="s">
        <v>199</v>
      </c>
      <c r="J63" s="151" t="s">
        <v>100</v>
      </c>
      <c r="K63" s="151" t="s">
        <v>99</v>
      </c>
      <c r="L63" s="153">
        <v>28671</v>
      </c>
      <c r="M63" s="151">
        <v>47</v>
      </c>
      <c r="N63" s="151" t="s">
        <v>389</v>
      </c>
      <c r="O63" s="153">
        <v>49017</v>
      </c>
      <c r="P63" s="151" t="s">
        <v>52</v>
      </c>
      <c r="Q63" s="151"/>
      <c r="R63" s="173">
        <v>45918</v>
      </c>
      <c r="S63" s="174">
        <v>45923</v>
      </c>
      <c r="T63" s="175">
        <f>S63-R63</f>
        <v>5</v>
      </c>
      <c r="U63" s="151">
        <v>1</v>
      </c>
      <c r="V63" s="151">
        <v>1</v>
      </c>
      <c r="W63" s="151">
        <v>0</v>
      </c>
      <c r="X63" s="151">
        <v>1</v>
      </c>
      <c r="Y63" s="151">
        <v>0</v>
      </c>
      <c r="Z63" s="151">
        <v>0</v>
      </c>
      <c r="AA63" s="151">
        <v>1</v>
      </c>
      <c r="AB63" s="151"/>
      <c r="AC63" s="153">
        <v>45918</v>
      </c>
      <c r="AD63" s="154">
        <v>0.20486111110949423</v>
      </c>
      <c r="AE63" s="151" t="s">
        <v>390</v>
      </c>
      <c r="AF63" s="153">
        <v>45923</v>
      </c>
      <c r="AG63" s="154">
        <v>0.34722222221898846</v>
      </c>
      <c r="AH63" s="151" t="s">
        <v>211</v>
      </c>
      <c r="AI63" s="151" t="s">
        <v>380</v>
      </c>
      <c r="AJ63" s="151" t="s">
        <v>104</v>
      </c>
      <c r="AK63" s="151" t="s">
        <v>104</v>
      </c>
      <c r="AL63" s="151" t="s">
        <v>58</v>
      </c>
      <c r="AM63" s="188" t="s">
        <v>1224</v>
      </c>
      <c r="AN63" s="188" t="s">
        <v>1234</v>
      </c>
      <c r="AO63" s="188"/>
      <c r="AP63" s="155"/>
    </row>
    <row r="64" spans="3:42" ht="14.25" customHeight="1">
      <c r="C64" s="156" t="str">
        <f>IF($X64=1,COUNTIF($C$10:C63,"&gt;0")+1,"")</f>
        <v/>
      </c>
      <c r="D64" s="151"/>
      <c r="E64" s="151" t="s">
        <v>376</v>
      </c>
      <c r="F64" s="152" t="s">
        <v>391</v>
      </c>
      <c r="G64" s="151" t="s">
        <v>387</v>
      </c>
      <c r="H64" s="151" t="s">
        <v>392</v>
      </c>
      <c r="I64" s="151" t="s">
        <v>204</v>
      </c>
      <c r="J64" s="151" t="s">
        <v>100</v>
      </c>
      <c r="K64" s="151" t="s">
        <v>99</v>
      </c>
      <c r="L64" s="153">
        <v>28263</v>
      </c>
      <c r="M64" s="151">
        <v>48</v>
      </c>
      <c r="N64" s="151" t="s">
        <v>393</v>
      </c>
      <c r="O64" s="153">
        <v>48110</v>
      </c>
      <c r="P64" s="151" t="s">
        <v>52</v>
      </c>
      <c r="Q64" s="151"/>
      <c r="R64" s="173">
        <v>45918</v>
      </c>
      <c r="S64" s="174">
        <v>45923</v>
      </c>
      <c r="T64" s="175">
        <f>S64-R64</f>
        <v>5</v>
      </c>
      <c r="U64" s="151">
        <v>1</v>
      </c>
      <c r="V64" s="151">
        <v>1</v>
      </c>
      <c r="W64" s="151">
        <v>0</v>
      </c>
      <c r="X64" s="151">
        <v>0</v>
      </c>
      <c r="Y64" s="151">
        <v>0</v>
      </c>
      <c r="Z64" s="151">
        <v>0</v>
      </c>
      <c r="AA64" s="151">
        <v>0</v>
      </c>
      <c r="AB64" s="151"/>
      <c r="AC64" s="153">
        <v>45918</v>
      </c>
      <c r="AD64" s="154">
        <v>0.52777777778101154</v>
      </c>
      <c r="AE64" s="151" t="s">
        <v>155</v>
      </c>
      <c r="AF64" s="153">
        <v>45923</v>
      </c>
      <c r="AG64" s="154">
        <v>0.34722222221898846</v>
      </c>
      <c r="AH64" s="151" t="s">
        <v>211</v>
      </c>
      <c r="AI64" s="151" t="s">
        <v>380</v>
      </c>
      <c r="AJ64" s="151" t="s">
        <v>104</v>
      </c>
      <c r="AK64" s="151" t="s">
        <v>104</v>
      </c>
      <c r="AL64" s="151" t="s">
        <v>58</v>
      </c>
      <c r="AM64" s="188" t="s">
        <v>1224</v>
      </c>
      <c r="AN64" s="188" t="s">
        <v>1234</v>
      </c>
      <c r="AO64" s="188"/>
      <c r="AP64" s="155"/>
    </row>
    <row r="65" spans="3:42" ht="14.25" customHeight="1">
      <c r="C65" s="156">
        <f>IF($X65=1,COUNTIF($C$10:C64,"&gt;0")+1,"")</f>
        <v>29</v>
      </c>
      <c r="D65" s="151">
        <v>15262631</v>
      </c>
      <c r="E65" s="151" t="s">
        <v>394</v>
      </c>
      <c r="F65" s="152" t="s">
        <v>395</v>
      </c>
      <c r="G65" s="151" t="s">
        <v>395</v>
      </c>
      <c r="H65" s="151" t="s">
        <v>396</v>
      </c>
      <c r="I65" s="151" t="s">
        <v>204</v>
      </c>
      <c r="J65" s="151" t="s">
        <v>100</v>
      </c>
      <c r="K65" s="151" t="s">
        <v>99</v>
      </c>
      <c r="L65" s="153">
        <v>27733</v>
      </c>
      <c r="M65" s="151">
        <v>49</v>
      </c>
      <c r="N65" s="151" t="s">
        <v>397</v>
      </c>
      <c r="O65" s="153">
        <v>48846</v>
      </c>
      <c r="P65" s="151" t="s">
        <v>51</v>
      </c>
      <c r="Q65" s="151"/>
      <c r="R65" s="173">
        <v>45918</v>
      </c>
      <c r="S65" s="174">
        <v>45923</v>
      </c>
      <c r="T65" s="175">
        <f>S65-R65</f>
        <v>5</v>
      </c>
      <c r="U65" s="151">
        <v>1</v>
      </c>
      <c r="V65" s="151">
        <v>1</v>
      </c>
      <c r="W65" s="151">
        <v>0</v>
      </c>
      <c r="X65" s="151">
        <v>1</v>
      </c>
      <c r="Y65" s="151">
        <v>0</v>
      </c>
      <c r="Z65" s="151">
        <v>1</v>
      </c>
      <c r="AA65" s="151">
        <v>0</v>
      </c>
      <c r="AB65" s="151"/>
      <c r="AC65" s="153">
        <v>45918</v>
      </c>
      <c r="AD65" s="154">
        <v>0.65277777778101154</v>
      </c>
      <c r="AE65" s="151" t="s">
        <v>210</v>
      </c>
      <c r="AF65" s="153">
        <v>45923</v>
      </c>
      <c r="AG65" s="154">
        <v>0.58680555555474712</v>
      </c>
      <c r="AH65" s="151" t="s">
        <v>398</v>
      </c>
      <c r="AI65" s="151" t="s">
        <v>399</v>
      </c>
      <c r="AJ65" s="151" t="s">
        <v>104</v>
      </c>
      <c r="AK65" s="151" t="s">
        <v>1216</v>
      </c>
      <c r="AL65" s="151" t="s">
        <v>58</v>
      </c>
      <c r="AM65" s="188" t="s">
        <v>1224</v>
      </c>
      <c r="AN65" s="188" t="s">
        <v>1228</v>
      </c>
      <c r="AO65" s="188"/>
      <c r="AP65" s="155"/>
    </row>
    <row r="66" spans="3:42" ht="14.25" customHeight="1">
      <c r="C66" s="156" t="str">
        <f>IF($X66=1,COUNTIF($C$10:C65,"&gt;0")+1,"")</f>
        <v/>
      </c>
      <c r="D66" s="151"/>
      <c r="E66" s="151" t="s">
        <v>394</v>
      </c>
      <c r="F66" s="152" t="s">
        <v>400</v>
      </c>
      <c r="G66" s="151" t="s">
        <v>395</v>
      </c>
      <c r="H66" s="151" t="s">
        <v>401</v>
      </c>
      <c r="I66" s="151" t="s">
        <v>248</v>
      </c>
      <c r="J66" s="151" t="s">
        <v>98</v>
      </c>
      <c r="K66" s="151" t="s">
        <v>99</v>
      </c>
      <c r="L66" s="153">
        <v>27647</v>
      </c>
      <c r="M66" s="151">
        <v>50</v>
      </c>
      <c r="N66" s="151" t="s">
        <v>402</v>
      </c>
      <c r="O66" s="153">
        <v>48064</v>
      </c>
      <c r="P66" s="151" t="s">
        <v>51</v>
      </c>
      <c r="Q66" s="151"/>
      <c r="R66" s="173">
        <v>45918</v>
      </c>
      <c r="S66" s="174">
        <v>45923</v>
      </c>
      <c r="T66" s="175">
        <f>S66-R66</f>
        <v>5</v>
      </c>
      <c r="U66" s="151">
        <v>1</v>
      </c>
      <c r="V66" s="151">
        <v>1</v>
      </c>
      <c r="W66" s="151">
        <v>0</v>
      </c>
      <c r="X66" s="151">
        <v>0</v>
      </c>
      <c r="Y66" s="151">
        <v>0</v>
      </c>
      <c r="Z66" s="151">
        <v>0</v>
      </c>
      <c r="AA66" s="151">
        <v>0</v>
      </c>
      <c r="AB66" s="151"/>
      <c r="AC66" s="153">
        <v>45918</v>
      </c>
      <c r="AD66" s="154">
        <v>0.65277777778101154</v>
      </c>
      <c r="AE66" s="151" t="s">
        <v>210</v>
      </c>
      <c r="AF66" s="153">
        <v>45923</v>
      </c>
      <c r="AG66" s="154">
        <v>0.58680555555474712</v>
      </c>
      <c r="AH66" s="151" t="s">
        <v>398</v>
      </c>
      <c r="AI66" s="151" t="s">
        <v>399</v>
      </c>
      <c r="AJ66" s="151" t="s">
        <v>104</v>
      </c>
      <c r="AK66" s="151" t="s">
        <v>104</v>
      </c>
      <c r="AL66" s="151" t="s">
        <v>58</v>
      </c>
      <c r="AM66" s="188" t="s">
        <v>1224</v>
      </c>
      <c r="AN66" s="188" t="s">
        <v>1228</v>
      </c>
      <c r="AO66" s="188"/>
      <c r="AP66" s="155"/>
    </row>
    <row r="67" spans="3:42" ht="14.25" customHeight="1">
      <c r="C67" s="156">
        <f>IF($X67=1,COUNTIF($C$10:C66,"&gt;0")+1,"")</f>
        <v>30</v>
      </c>
      <c r="D67" s="151">
        <v>15262632</v>
      </c>
      <c r="E67" s="151" t="s">
        <v>394</v>
      </c>
      <c r="F67" s="152" t="s">
        <v>403</v>
      </c>
      <c r="G67" s="151" t="s">
        <v>403</v>
      </c>
      <c r="H67" s="151" t="s">
        <v>404</v>
      </c>
      <c r="I67" s="151" t="s">
        <v>405</v>
      </c>
      <c r="J67" s="151" t="s">
        <v>100</v>
      </c>
      <c r="K67" s="151" t="s">
        <v>148</v>
      </c>
      <c r="L67" s="153">
        <v>29360</v>
      </c>
      <c r="M67" s="151">
        <v>45</v>
      </c>
      <c r="N67" s="151" t="s">
        <v>406</v>
      </c>
      <c r="O67" s="153">
        <v>46986</v>
      </c>
      <c r="P67" s="151" t="s">
        <v>50</v>
      </c>
      <c r="Q67" s="151"/>
      <c r="R67" s="173">
        <v>45918</v>
      </c>
      <c r="S67" s="174">
        <v>45923</v>
      </c>
      <c r="T67" s="175">
        <f>S67-R67</f>
        <v>5</v>
      </c>
      <c r="U67" s="151">
        <v>1</v>
      </c>
      <c r="V67" s="151">
        <v>1</v>
      </c>
      <c r="W67" s="151">
        <v>0</v>
      </c>
      <c r="X67" s="151">
        <v>1</v>
      </c>
      <c r="Y67" s="151">
        <v>1</v>
      </c>
      <c r="Z67" s="151">
        <v>0</v>
      </c>
      <c r="AA67" s="151">
        <v>0</v>
      </c>
      <c r="AB67" s="151"/>
      <c r="AC67" s="153">
        <v>45914</v>
      </c>
      <c r="AD67" s="154">
        <v>0.20833333333575865</v>
      </c>
      <c r="AE67" s="151" t="s">
        <v>158</v>
      </c>
      <c r="AF67" s="153">
        <v>45926</v>
      </c>
      <c r="AG67" s="154">
        <v>0.85069444444525288</v>
      </c>
      <c r="AH67" s="151" t="s">
        <v>154</v>
      </c>
      <c r="AI67" s="151" t="s">
        <v>399</v>
      </c>
      <c r="AJ67" s="151" t="s">
        <v>104</v>
      </c>
      <c r="AK67" s="151" t="s">
        <v>104</v>
      </c>
      <c r="AL67" s="151" t="s">
        <v>58</v>
      </c>
      <c r="AM67" s="188" t="s">
        <v>1224</v>
      </c>
      <c r="AN67" s="188" t="s">
        <v>1233</v>
      </c>
      <c r="AO67" s="188"/>
      <c r="AP67" s="155"/>
    </row>
    <row r="68" spans="3:42" ht="14.25" customHeight="1">
      <c r="C68" s="156">
        <f>IF($X68=1,COUNTIF($C$10:C67,"&gt;0")+1,"")</f>
        <v>31</v>
      </c>
      <c r="D68" s="151">
        <v>15262634</v>
      </c>
      <c r="E68" s="151" t="s">
        <v>394</v>
      </c>
      <c r="F68" s="152" t="s">
        <v>407</v>
      </c>
      <c r="G68" s="151" t="s">
        <v>407</v>
      </c>
      <c r="H68" s="151" t="s">
        <v>408</v>
      </c>
      <c r="I68" s="151" t="s">
        <v>409</v>
      </c>
      <c r="J68" s="151" t="s">
        <v>100</v>
      </c>
      <c r="K68" s="151" t="s">
        <v>99</v>
      </c>
      <c r="L68" s="153">
        <v>24192</v>
      </c>
      <c r="M68" s="151">
        <v>59</v>
      </c>
      <c r="N68" s="151" t="s">
        <v>410</v>
      </c>
      <c r="O68" s="153">
        <v>49391</v>
      </c>
      <c r="P68" s="151" t="s">
        <v>51</v>
      </c>
      <c r="Q68" s="151"/>
      <c r="R68" s="173">
        <v>45918</v>
      </c>
      <c r="S68" s="174">
        <v>45923</v>
      </c>
      <c r="T68" s="175">
        <f>S68-R68</f>
        <v>5</v>
      </c>
      <c r="U68" s="151">
        <v>1</v>
      </c>
      <c r="V68" s="151">
        <v>1</v>
      </c>
      <c r="W68" s="151">
        <v>0</v>
      </c>
      <c r="X68" s="151">
        <v>1</v>
      </c>
      <c r="Y68" s="151">
        <v>0</v>
      </c>
      <c r="Z68" s="151">
        <v>1</v>
      </c>
      <c r="AA68" s="151">
        <v>0</v>
      </c>
      <c r="AB68" s="151"/>
      <c r="AC68" s="153">
        <v>45918</v>
      </c>
      <c r="AD68" s="154">
        <v>0.46875</v>
      </c>
      <c r="AE68" s="151" t="s">
        <v>301</v>
      </c>
      <c r="AF68" s="153">
        <v>45923</v>
      </c>
      <c r="AG68" s="154">
        <v>0.45833333333575865</v>
      </c>
      <c r="AH68" s="151" t="s">
        <v>411</v>
      </c>
      <c r="AI68" s="151" t="s">
        <v>399</v>
      </c>
      <c r="AJ68" s="151" t="s">
        <v>104</v>
      </c>
      <c r="AK68" s="151" t="s">
        <v>104</v>
      </c>
      <c r="AL68" s="151" t="s">
        <v>58</v>
      </c>
      <c r="AM68" s="188" t="s">
        <v>1224</v>
      </c>
      <c r="AN68" s="188" t="s">
        <v>1233</v>
      </c>
      <c r="AO68" s="188"/>
      <c r="AP68" s="155"/>
    </row>
    <row r="69" spans="3:42" ht="14.25" customHeight="1">
      <c r="C69" s="156" t="str">
        <f>IF($X69=1,COUNTIF($C$10:C68,"&gt;0")+1,"")</f>
        <v/>
      </c>
      <c r="D69" s="151"/>
      <c r="E69" s="151" t="s">
        <v>394</v>
      </c>
      <c r="F69" s="152" t="s">
        <v>412</v>
      </c>
      <c r="G69" s="151" t="s">
        <v>407</v>
      </c>
      <c r="H69" s="151" t="s">
        <v>413</v>
      </c>
      <c r="I69" s="151" t="s">
        <v>409</v>
      </c>
      <c r="J69" s="151" t="s">
        <v>98</v>
      </c>
      <c r="K69" s="151" t="s">
        <v>232</v>
      </c>
      <c r="L69" s="153">
        <v>24835</v>
      </c>
      <c r="M69" s="151">
        <v>57</v>
      </c>
      <c r="N69" s="151" t="s">
        <v>414</v>
      </c>
      <c r="O69" s="153">
        <v>49416</v>
      </c>
      <c r="P69" s="151" t="s">
        <v>51</v>
      </c>
      <c r="Q69" s="151"/>
      <c r="R69" s="173">
        <v>45918</v>
      </c>
      <c r="S69" s="174">
        <v>45923</v>
      </c>
      <c r="T69" s="175">
        <f>S69-R69</f>
        <v>5</v>
      </c>
      <c r="U69" s="151">
        <v>1</v>
      </c>
      <c r="V69" s="151">
        <v>1</v>
      </c>
      <c r="W69" s="151">
        <v>0</v>
      </c>
      <c r="X69" s="151">
        <v>0</v>
      </c>
      <c r="Y69" s="151">
        <v>0</v>
      </c>
      <c r="Z69" s="151">
        <v>0</v>
      </c>
      <c r="AA69" s="151">
        <v>0</v>
      </c>
      <c r="AB69" s="151"/>
      <c r="AC69" s="153">
        <v>45918</v>
      </c>
      <c r="AD69" s="154">
        <v>0.46875</v>
      </c>
      <c r="AE69" s="151" t="s">
        <v>301</v>
      </c>
      <c r="AF69" s="153">
        <v>45923</v>
      </c>
      <c r="AG69" s="154">
        <v>0.45833333333575865</v>
      </c>
      <c r="AH69" s="151" t="s">
        <v>411</v>
      </c>
      <c r="AI69" s="151" t="s">
        <v>399</v>
      </c>
      <c r="AJ69" s="151" t="s">
        <v>104</v>
      </c>
      <c r="AK69" s="151" t="s">
        <v>104</v>
      </c>
      <c r="AL69" s="151" t="s">
        <v>58</v>
      </c>
      <c r="AM69" s="188" t="s">
        <v>1224</v>
      </c>
      <c r="AN69" s="188" t="s">
        <v>1233</v>
      </c>
      <c r="AO69" s="188"/>
      <c r="AP69" s="155"/>
    </row>
    <row r="70" spans="3:42" ht="14.25" customHeight="1">
      <c r="C70" s="156">
        <f>IF($X70=1,COUNTIF($C$10:C69,"&gt;0")+1,"")</f>
        <v>32</v>
      </c>
      <c r="D70" s="151">
        <v>15262635</v>
      </c>
      <c r="E70" s="151" t="s">
        <v>394</v>
      </c>
      <c r="F70" s="152" t="s">
        <v>415</v>
      </c>
      <c r="G70" s="151" t="s">
        <v>415</v>
      </c>
      <c r="H70" s="151" t="s">
        <v>416</v>
      </c>
      <c r="I70" s="151" t="s">
        <v>417</v>
      </c>
      <c r="J70" s="151" t="s">
        <v>100</v>
      </c>
      <c r="K70" s="151" t="s">
        <v>232</v>
      </c>
      <c r="L70" s="153">
        <v>29151</v>
      </c>
      <c r="M70" s="151">
        <v>45</v>
      </c>
      <c r="N70" s="151" t="s">
        <v>418</v>
      </c>
      <c r="O70" s="153">
        <v>45289</v>
      </c>
      <c r="P70" s="151" t="s">
        <v>52</v>
      </c>
      <c r="Q70" s="151"/>
      <c r="R70" s="173">
        <v>45918</v>
      </c>
      <c r="S70" s="174">
        <v>45923</v>
      </c>
      <c r="T70" s="175">
        <f>S70-R70</f>
        <v>5</v>
      </c>
      <c r="U70" s="151">
        <v>1</v>
      </c>
      <c r="V70" s="151">
        <v>1</v>
      </c>
      <c r="W70" s="151">
        <v>0</v>
      </c>
      <c r="X70" s="151">
        <v>1</v>
      </c>
      <c r="Y70" s="151">
        <v>0</v>
      </c>
      <c r="Z70" s="151">
        <v>0</v>
      </c>
      <c r="AA70" s="151">
        <v>1</v>
      </c>
      <c r="AB70" s="151"/>
      <c r="AC70" s="153">
        <v>45918</v>
      </c>
      <c r="AD70" s="154">
        <v>0.65625</v>
      </c>
      <c r="AE70" s="151" t="s">
        <v>134</v>
      </c>
      <c r="AF70" s="153">
        <v>45923</v>
      </c>
      <c r="AG70" s="154">
        <v>0.53125</v>
      </c>
      <c r="AH70" s="151" t="s">
        <v>142</v>
      </c>
      <c r="AI70" s="151" t="s">
        <v>399</v>
      </c>
      <c r="AJ70" s="151" t="s">
        <v>104</v>
      </c>
      <c r="AK70" s="151" t="s">
        <v>104</v>
      </c>
      <c r="AL70" s="151" t="s">
        <v>58</v>
      </c>
      <c r="AM70" s="188" t="s">
        <v>1224</v>
      </c>
      <c r="AN70" s="188" t="s">
        <v>1234</v>
      </c>
      <c r="AO70" s="188"/>
      <c r="AP70" s="155"/>
    </row>
    <row r="71" spans="3:42" ht="14.25" customHeight="1">
      <c r="C71" s="156" t="str">
        <f>IF($X71=1,COUNTIF($C$10:C70,"&gt;0")+1,"")</f>
        <v/>
      </c>
      <c r="D71" s="151"/>
      <c r="E71" s="151" t="s">
        <v>394</v>
      </c>
      <c r="F71" s="152" t="s">
        <v>419</v>
      </c>
      <c r="G71" s="151" t="s">
        <v>415</v>
      </c>
      <c r="H71" s="151" t="s">
        <v>420</v>
      </c>
      <c r="I71" s="151" t="s">
        <v>143</v>
      </c>
      <c r="J71" s="151" t="s">
        <v>100</v>
      </c>
      <c r="K71" s="151" t="s">
        <v>232</v>
      </c>
      <c r="L71" s="153">
        <v>31471</v>
      </c>
      <c r="M71" s="151">
        <v>39</v>
      </c>
      <c r="N71" s="151" t="s">
        <v>421</v>
      </c>
      <c r="O71" s="153">
        <v>49097</v>
      </c>
      <c r="P71" s="151" t="s">
        <v>52</v>
      </c>
      <c r="Q71" s="151"/>
      <c r="R71" s="173">
        <v>45918</v>
      </c>
      <c r="S71" s="174">
        <v>45923</v>
      </c>
      <c r="T71" s="175">
        <f>S71-R71</f>
        <v>5</v>
      </c>
      <c r="U71" s="151">
        <v>1</v>
      </c>
      <c r="V71" s="151">
        <v>1</v>
      </c>
      <c r="W71" s="151">
        <v>0</v>
      </c>
      <c r="X71" s="151">
        <v>0</v>
      </c>
      <c r="Y71" s="151">
        <v>0</v>
      </c>
      <c r="Z71" s="151">
        <v>0</v>
      </c>
      <c r="AA71" s="151">
        <v>0</v>
      </c>
      <c r="AB71" s="151"/>
      <c r="AC71" s="153" t="s">
        <v>104</v>
      </c>
      <c r="AD71" s="154" t="s">
        <v>104</v>
      </c>
      <c r="AE71" s="151" t="s">
        <v>104</v>
      </c>
      <c r="AF71" s="153" t="s">
        <v>104</v>
      </c>
      <c r="AG71" s="154" t="s">
        <v>104</v>
      </c>
      <c r="AH71" s="151" t="s">
        <v>104</v>
      </c>
      <c r="AI71" s="151" t="s">
        <v>399</v>
      </c>
      <c r="AJ71" s="151" t="s">
        <v>104</v>
      </c>
      <c r="AK71" s="151" t="s">
        <v>104</v>
      </c>
      <c r="AL71" s="151" t="s">
        <v>58</v>
      </c>
      <c r="AM71" s="188" t="s">
        <v>1224</v>
      </c>
      <c r="AN71" s="188" t="s">
        <v>1234</v>
      </c>
      <c r="AO71" s="188"/>
      <c r="AP71" s="155"/>
    </row>
    <row r="72" spans="3:42" ht="14.25" customHeight="1">
      <c r="C72" s="156">
        <f>IF($X72=1,COUNTIF($C$10:C71,"&gt;0")+1,"")</f>
        <v>33</v>
      </c>
      <c r="D72" s="151">
        <v>15262636</v>
      </c>
      <c r="E72" s="151" t="s">
        <v>394</v>
      </c>
      <c r="F72" s="152" t="s">
        <v>422</v>
      </c>
      <c r="G72" s="151" t="s">
        <v>422</v>
      </c>
      <c r="H72" s="151" t="s">
        <v>416</v>
      </c>
      <c r="I72" s="151" t="s">
        <v>423</v>
      </c>
      <c r="J72" s="151" t="s">
        <v>98</v>
      </c>
      <c r="K72" s="151" t="s">
        <v>99</v>
      </c>
      <c r="L72" s="153">
        <v>33274</v>
      </c>
      <c r="M72" s="151">
        <v>34</v>
      </c>
      <c r="N72" s="151" t="s">
        <v>424</v>
      </c>
      <c r="O72" s="153">
        <v>46445</v>
      </c>
      <c r="P72" s="151" t="s">
        <v>51</v>
      </c>
      <c r="Q72" s="151"/>
      <c r="R72" s="173">
        <v>45918</v>
      </c>
      <c r="S72" s="174">
        <v>45923</v>
      </c>
      <c r="T72" s="175">
        <f>S72-R72</f>
        <v>5</v>
      </c>
      <c r="U72" s="151">
        <v>1</v>
      </c>
      <c r="V72" s="151">
        <v>1</v>
      </c>
      <c r="W72" s="151">
        <v>0</v>
      </c>
      <c r="X72" s="151">
        <v>1</v>
      </c>
      <c r="Y72" s="151">
        <v>0</v>
      </c>
      <c r="Z72" s="151">
        <v>1</v>
      </c>
      <c r="AA72" s="151">
        <v>0</v>
      </c>
      <c r="AB72" s="151"/>
      <c r="AC72" s="153">
        <v>45918</v>
      </c>
      <c r="AD72" s="154">
        <v>0.57986111110949423</v>
      </c>
      <c r="AE72" s="151" t="s">
        <v>425</v>
      </c>
      <c r="AF72" s="153">
        <v>45923</v>
      </c>
      <c r="AG72" s="154">
        <v>0.44444444444525288</v>
      </c>
      <c r="AH72" s="151" t="s">
        <v>426</v>
      </c>
      <c r="AI72" s="151" t="s">
        <v>399</v>
      </c>
      <c r="AJ72" s="151" t="s">
        <v>104</v>
      </c>
      <c r="AK72" s="151" t="s">
        <v>104</v>
      </c>
      <c r="AL72" s="151" t="s">
        <v>58</v>
      </c>
      <c r="AM72" s="188" t="s">
        <v>1224</v>
      </c>
      <c r="AN72" s="188" t="s">
        <v>1233</v>
      </c>
      <c r="AO72" s="188"/>
      <c r="AP72" s="155"/>
    </row>
    <row r="73" spans="3:42" ht="14.25" customHeight="1">
      <c r="C73" s="156" t="str">
        <f>IF($X73=1,COUNTIF($C$10:C72,"&gt;0")+1,"")</f>
        <v/>
      </c>
      <c r="D73" s="151"/>
      <c r="E73" s="151" t="s">
        <v>394</v>
      </c>
      <c r="F73" s="152" t="s">
        <v>427</v>
      </c>
      <c r="G73" s="151" t="s">
        <v>422</v>
      </c>
      <c r="H73" s="151" t="s">
        <v>428</v>
      </c>
      <c r="I73" s="151" t="s">
        <v>429</v>
      </c>
      <c r="J73" s="151" t="s">
        <v>100</v>
      </c>
      <c r="K73" s="151" t="s">
        <v>232</v>
      </c>
      <c r="L73" s="153">
        <v>33630</v>
      </c>
      <c r="M73" s="151">
        <v>33</v>
      </c>
      <c r="N73" s="151" t="s">
        <v>430</v>
      </c>
      <c r="O73" s="153">
        <v>48180</v>
      </c>
      <c r="P73" s="151" t="s">
        <v>51</v>
      </c>
      <c r="Q73" s="151"/>
      <c r="R73" s="173">
        <v>45918</v>
      </c>
      <c r="S73" s="174">
        <v>45923</v>
      </c>
      <c r="T73" s="175">
        <f>S73-R73</f>
        <v>5</v>
      </c>
      <c r="U73" s="151">
        <v>1</v>
      </c>
      <c r="V73" s="151">
        <v>1</v>
      </c>
      <c r="W73" s="151">
        <v>0</v>
      </c>
      <c r="X73" s="151">
        <v>0</v>
      </c>
      <c r="Y73" s="151">
        <v>0</v>
      </c>
      <c r="Z73" s="151">
        <v>0</v>
      </c>
      <c r="AA73" s="151">
        <v>0</v>
      </c>
      <c r="AB73" s="151"/>
      <c r="AC73" s="153">
        <v>45918</v>
      </c>
      <c r="AD73" s="154">
        <v>0.57986111110949423</v>
      </c>
      <c r="AE73" s="151" t="s">
        <v>425</v>
      </c>
      <c r="AF73" s="153">
        <v>45923</v>
      </c>
      <c r="AG73" s="154">
        <v>0.44444444444525288</v>
      </c>
      <c r="AH73" s="151" t="s">
        <v>426</v>
      </c>
      <c r="AI73" s="151" t="s">
        <v>399</v>
      </c>
      <c r="AJ73" s="151" t="s">
        <v>104</v>
      </c>
      <c r="AK73" s="151" t="s">
        <v>104</v>
      </c>
      <c r="AL73" s="151" t="s">
        <v>58</v>
      </c>
      <c r="AM73" s="188" t="s">
        <v>1224</v>
      </c>
      <c r="AN73" s="188" t="s">
        <v>1233</v>
      </c>
      <c r="AO73" s="188"/>
      <c r="AP73" s="155"/>
    </row>
    <row r="74" spans="3:42" ht="14.25" customHeight="1">
      <c r="C74" s="156">
        <f>IF($X74=1,COUNTIF($C$10:C73,"&gt;0")+1,"")</f>
        <v>34</v>
      </c>
      <c r="D74" s="151">
        <v>15262637</v>
      </c>
      <c r="E74" s="151" t="s">
        <v>394</v>
      </c>
      <c r="F74" s="152" t="s">
        <v>431</v>
      </c>
      <c r="G74" s="151" t="s">
        <v>431</v>
      </c>
      <c r="H74" s="151" t="s">
        <v>432</v>
      </c>
      <c r="I74" s="151" t="s">
        <v>433</v>
      </c>
      <c r="J74" s="151" t="s">
        <v>100</v>
      </c>
      <c r="K74" s="151" t="s">
        <v>99</v>
      </c>
      <c r="L74" s="153">
        <v>30295</v>
      </c>
      <c r="M74" s="151">
        <v>42</v>
      </c>
      <c r="N74" s="151" t="s">
        <v>434</v>
      </c>
      <c r="O74" s="153">
        <v>48036</v>
      </c>
      <c r="P74" s="151" t="s">
        <v>52</v>
      </c>
      <c r="Q74" s="151"/>
      <c r="R74" s="173">
        <v>45918</v>
      </c>
      <c r="S74" s="174">
        <v>45923</v>
      </c>
      <c r="T74" s="175">
        <f>S74-R74</f>
        <v>5</v>
      </c>
      <c r="U74" s="151">
        <v>1</v>
      </c>
      <c r="V74" s="151">
        <v>1</v>
      </c>
      <c r="W74" s="151">
        <v>0</v>
      </c>
      <c r="X74" s="151">
        <v>1</v>
      </c>
      <c r="Y74" s="151">
        <v>0</v>
      </c>
      <c r="Z74" s="151">
        <v>0</v>
      </c>
      <c r="AA74" s="151">
        <v>1</v>
      </c>
      <c r="AB74" s="151"/>
      <c r="AC74" s="153">
        <v>45918</v>
      </c>
      <c r="AD74" s="154">
        <v>0.65625</v>
      </c>
      <c r="AE74" s="151" t="s">
        <v>134</v>
      </c>
      <c r="AF74" s="153">
        <v>45929</v>
      </c>
      <c r="AG74" s="154">
        <v>0.53125</v>
      </c>
      <c r="AH74" s="151" t="s">
        <v>142</v>
      </c>
      <c r="AI74" s="151" t="s">
        <v>399</v>
      </c>
      <c r="AJ74" s="151" t="s">
        <v>104</v>
      </c>
      <c r="AK74" s="151" t="s">
        <v>104</v>
      </c>
      <c r="AL74" s="151" t="s">
        <v>58</v>
      </c>
      <c r="AM74" s="188" t="s">
        <v>1224</v>
      </c>
      <c r="AN74" s="188" t="s">
        <v>1234</v>
      </c>
      <c r="AO74" s="188"/>
      <c r="AP74" s="155"/>
    </row>
    <row r="75" spans="3:42" ht="14.25" customHeight="1">
      <c r="C75" s="156" t="str">
        <f>IF($X75=1,COUNTIF($C$10:C74,"&gt;0")+1,"")</f>
        <v/>
      </c>
      <c r="D75" s="151"/>
      <c r="E75" s="151" t="s">
        <v>394</v>
      </c>
      <c r="F75" s="152" t="s">
        <v>435</v>
      </c>
      <c r="G75" s="151" t="s">
        <v>431</v>
      </c>
      <c r="H75" s="151" t="s">
        <v>436</v>
      </c>
      <c r="I75" s="151" t="s">
        <v>125</v>
      </c>
      <c r="J75" s="151" t="s">
        <v>100</v>
      </c>
      <c r="K75" s="151" t="s">
        <v>99</v>
      </c>
      <c r="L75" s="153">
        <v>29887</v>
      </c>
      <c r="M75" s="151">
        <v>43</v>
      </c>
      <c r="N75" s="151" t="s">
        <v>437</v>
      </c>
      <c r="O75" s="153">
        <v>47505</v>
      </c>
      <c r="P75" s="151" t="s">
        <v>52</v>
      </c>
      <c r="Q75" s="151"/>
      <c r="R75" s="173">
        <v>45918</v>
      </c>
      <c r="S75" s="174">
        <v>45923</v>
      </c>
      <c r="T75" s="175">
        <f>S75-R75</f>
        <v>5</v>
      </c>
      <c r="U75" s="151">
        <v>1</v>
      </c>
      <c r="V75" s="151">
        <v>1</v>
      </c>
      <c r="W75" s="151">
        <v>0</v>
      </c>
      <c r="X75" s="151">
        <v>0</v>
      </c>
      <c r="Y75" s="151">
        <v>0</v>
      </c>
      <c r="Z75" s="151">
        <v>0</v>
      </c>
      <c r="AA75" s="151">
        <v>0</v>
      </c>
      <c r="AB75" s="151"/>
      <c r="AC75" s="153">
        <v>45918</v>
      </c>
      <c r="AD75" s="154">
        <v>0.65625</v>
      </c>
      <c r="AE75" s="151" t="s">
        <v>134</v>
      </c>
      <c r="AF75" s="153">
        <v>45929</v>
      </c>
      <c r="AG75" s="154">
        <v>0.53125</v>
      </c>
      <c r="AH75" s="151" t="s">
        <v>142</v>
      </c>
      <c r="AI75" s="151" t="s">
        <v>399</v>
      </c>
      <c r="AJ75" s="151" t="s">
        <v>104</v>
      </c>
      <c r="AK75" s="151" t="s">
        <v>104</v>
      </c>
      <c r="AL75" s="151" t="s">
        <v>58</v>
      </c>
      <c r="AM75" s="188" t="s">
        <v>1224</v>
      </c>
      <c r="AN75" s="188" t="s">
        <v>1234</v>
      </c>
      <c r="AO75" s="188"/>
      <c r="AP75" s="155"/>
    </row>
    <row r="76" spans="3:42" ht="14.25" customHeight="1">
      <c r="C76" s="156">
        <f>IF($X76=1,COUNTIF($C$10:C75,"&gt;0")+1,"")</f>
        <v>35</v>
      </c>
      <c r="D76" s="151">
        <v>15262638</v>
      </c>
      <c r="E76" s="151" t="s">
        <v>394</v>
      </c>
      <c r="F76" s="152" t="s">
        <v>438</v>
      </c>
      <c r="G76" s="151" t="s">
        <v>438</v>
      </c>
      <c r="H76" s="151" t="s">
        <v>439</v>
      </c>
      <c r="I76" s="151" t="s">
        <v>439</v>
      </c>
      <c r="J76" s="151" t="s">
        <v>100</v>
      </c>
      <c r="K76" s="151" t="s">
        <v>99</v>
      </c>
      <c r="L76" s="153">
        <v>31959</v>
      </c>
      <c r="M76" s="151">
        <v>38</v>
      </c>
      <c r="N76" s="151" t="s">
        <v>440</v>
      </c>
      <c r="O76" s="153">
        <v>46775</v>
      </c>
      <c r="P76" s="151" t="s">
        <v>51</v>
      </c>
      <c r="Q76" s="151"/>
      <c r="R76" s="173">
        <v>45918</v>
      </c>
      <c r="S76" s="174">
        <v>45923</v>
      </c>
      <c r="T76" s="175">
        <f>S76-R76</f>
        <v>5</v>
      </c>
      <c r="U76" s="151">
        <v>1</v>
      </c>
      <c r="V76" s="151">
        <v>1</v>
      </c>
      <c r="W76" s="151">
        <v>0</v>
      </c>
      <c r="X76" s="151">
        <v>1</v>
      </c>
      <c r="Y76" s="151">
        <v>0</v>
      </c>
      <c r="Z76" s="151">
        <v>1</v>
      </c>
      <c r="AA76" s="151">
        <v>0</v>
      </c>
      <c r="AB76" s="151"/>
      <c r="AC76" s="153">
        <v>45918</v>
      </c>
      <c r="AD76" s="154">
        <v>0.60763888889050577</v>
      </c>
      <c r="AE76" s="151" t="s">
        <v>441</v>
      </c>
      <c r="AF76" s="153">
        <v>45923</v>
      </c>
      <c r="AG76" s="154">
        <v>0.86111111110949423</v>
      </c>
      <c r="AH76" s="151" t="s">
        <v>146</v>
      </c>
      <c r="AI76" s="151" t="s">
        <v>399</v>
      </c>
      <c r="AJ76" s="151" t="s">
        <v>104</v>
      </c>
      <c r="AK76" s="151" t="s">
        <v>104</v>
      </c>
      <c r="AL76" s="151" t="s">
        <v>58</v>
      </c>
      <c r="AM76" s="188" t="s">
        <v>1224</v>
      </c>
      <c r="AN76" s="188" t="s">
        <v>1233</v>
      </c>
      <c r="AO76" s="188"/>
      <c r="AP76" s="155"/>
    </row>
    <row r="77" spans="3:42" ht="14.25" customHeight="1">
      <c r="C77" s="156" t="str">
        <f>IF($X77=1,COUNTIF($C$10:C76,"&gt;0")+1,"")</f>
        <v/>
      </c>
      <c r="D77" s="151"/>
      <c r="E77" s="151" t="s">
        <v>394</v>
      </c>
      <c r="F77" s="152" t="s">
        <v>442</v>
      </c>
      <c r="G77" s="151" t="s">
        <v>438</v>
      </c>
      <c r="H77" s="151" t="s">
        <v>443</v>
      </c>
      <c r="I77" s="151" t="s">
        <v>444</v>
      </c>
      <c r="J77" s="151" t="s">
        <v>98</v>
      </c>
      <c r="K77" s="151" t="s">
        <v>445</v>
      </c>
      <c r="L77" s="153">
        <v>31812</v>
      </c>
      <c r="M77" s="151">
        <v>38</v>
      </c>
      <c r="N77" s="151" t="s">
        <v>446</v>
      </c>
      <c r="O77" s="153">
        <v>47192</v>
      </c>
      <c r="P77" s="151" t="s">
        <v>51</v>
      </c>
      <c r="Q77" s="151"/>
      <c r="R77" s="173">
        <v>45918</v>
      </c>
      <c r="S77" s="174">
        <v>45923</v>
      </c>
      <c r="T77" s="175">
        <f>S77-R77</f>
        <v>5</v>
      </c>
      <c r="U77" s="151">
        <v>1</v>
      </c>
      <c r="V77" s="151">
        <v>1</v>
      </c>
      <c r="W77" s="151">
        <v>0</v>
      </c>
      <c r="X77" s="151">
        <v>0</v>
      </c>
      <c r="Y77" s="151">
        <v>0</v>
      </c>
      <c r="Z77" s="151">
        <v>0</v>
      </c>
      <c r="AA77" s="151">
        <v>0</v>
      </c>
      <c r="AB77" s="151"/>
      <c r="AC77" s="153">
        <v>45918</v>
      </c>
      <c r="AD77" s="154">
        <v>0.60763888889050577</v>
      </c>
      <c r="AE77" s="151" t="s">
        <v>441</v>
      </c>
      <c r="AF77" s="153">
        <v>45923</v>
      </c>
      <c r="AG77" s="154">
        <v>0.86111111110949423</v>
      </c>
      <c r="AH77" s="151" t="s">
        <v>146</v>
      </c>
      <c r="AI77" s="151" t="s">
        <v>399</v>
      </c>
      <c r="AJ77" s="151" t="s">
        <v>104</v>
      </c>
      <c r="AK77" s="151" t="s">
        <v>104</v>
      </c>
      <c r="AL77" s="151" t="s">
        <v>58</v>
      </c>
      <c r="AM77" s="188" t="s">
        <v>1224</v>
      </c>
      <c r="AN77" s="188" t="s">
        <v>1233</v>
      </c>
      <c r="AO77" s="188"/>
      <c r="AP77" s="155"/>
    </row>
    <row r="78" spans="3:42" ht="14.25" customHeight="1">
      <c r="C78" s="156">
        <f>IF($X78=1,COUNTIF($C$10:C77,"&gt;0")+1,"")</f>
        <v>36</v>
      </c>
      <c r="D78" s="151">
        <v>15262639</v>
      </c>
      <c r="E78" s="151" t="s">
        <v>394</v>
      </c>
      <c r="F78" s="152" t="s">
        <v>447</v>
      </c>
      <c r="G78" s="151" t="s">
        <v>438</v>
      </c>
      <c r="H78" s="151" t="s">
        <v>429</v>
      </c>
      <c r="I78" s="151" t="s">
        <v>448</v>
      </c>
      <c r="J78" s="151" t="s">
        <v>100</v>
      </c>
      <c r="K78" s="151" t="s">
        <v>99</v>
      </c>
      <c r="L78" s="153">
        <v>21930</v>
      </c>
      <c r="M78" s="151">
        <v>65</v>
      </c>
      <c r="N78" s="151" t="s">
        <v>449</v>
      </c>
      <c r="O78" s="153">
        <v>48150</v>
      </c>
      <c r="P78" s="151" t="s">
        <v>50</v>
      </c>
      <c r="Q78" s="151"/>
      <c r="R78" s="173">
        <v>45918</v>
      </c>
      <c r="S78" s="174">
        <v>45923</v>
      </c>
      <c r="T78" s="175">
        <f>S78-R78</f>
        <v>5</v>
      </c>
      <c r="U78" s="151">
        <v>1</v>
      </c>
      <c r="V78" s="151">
        <v>1</v>
      </c>
      <c r="W78" s="151">
        <v>0</v>
      </c>
      <c r="X78" s="151">
        <v>1</v>
      </c>
      <c r="Y78" s="151">
        <v>1</v>
      </c>
      <c r="Z78" s="151">
        <v>0</v>
      </c>
      <c r="AA78" s="151">
        <v>0</v>
      </c>
      <c r="AB78" s="151"/>
      <c r="AC78" s="153">
        <v>45918</v>
      </c>
      <c r="AD78" s="154">
        <v>0.60763888889050577</v>
      </c>
      <c r="AE78" s="151" t="s">
        <v>441</v>
      </c>
      <c r="AF78" s="153">
        <v>45923</v>
      </c>
      <c r="AG78" s="154">
        <v>0.69791666666424135</v>
      </c>
      <c r="AH78" s="151" t="s">
        <v>450</v>
      </c>
      <c r="AI78" s="151" t="s">
        <v>399</v>
      </c>
      <c r="AJ78" s="151" t="s">
        <v>104</v>
      </c>
      <c r="AK78" s="151" t="s">
        <v>104</v>
      </c>
      <c r="AL78" s="151" t="s">
        <v>58</v>
      </c>
      <c r="AM78" s="188" t="s">
        <v>1224</v>
      </c>
      <c r="AN78" s="188" t="s">
        <v>1233</v>
      </c>
      <c r="AO78" s="188"/>
      <c r="AP78" s="155"/>
    </row>
    <row r="79" spans="3:42" ht="14.25" customHeight="1">
      <c r="C79" s="156">
        <f>IF($X79=1,COUNTIF($C$10:C78,"&gt;0")+1,"")</f>
        <v>37</v>
      </c>
      <c r="D79" s="151">
        <v>15262640</v>
      </c>
      <c r="E79" s="151" t="s">
        <v>394</v>
      </c>
      <c r="F79" s="152" t="s">
        <v>451</v>
      </c>
      <c r="G79" s="151" t="s">
        <v>451</v>
      </c>
      <c r="H79" s="151" t="s">
        <v>452</v>
      </c>
      <c r="I79" s="151" t="s">
        <v>199</v>
      </c>
      <c r="J79" s="151" t="s">
        <v>100</v>
      </c>
      <c r="K79" s="151" t="s">
        <v>232</v>
      </c>
      <c r="L79" s="153">
        <v>33290</v>
      </c>
      <c r="M79" s="151">
        <v>34</v>
      </c>
      <c r="N79" s="151" t="s">
        <v>453</v>
      </c>
      <c r="O79" s="153">
        <v>48159</v>
      </c>
      <c r="P79" s="151" t="s">
        <v>52</v>
      </c>
      <c r="Q79" s="151"/>
      <c r="R79" s="173">
        <v>45918</v>
      </c>
      <c r="S79" s="174">
        <v>45923</v>
      </c>
      <c r="T79" s="175">
        <f>S79-R79</f>
        <v>5</v>
      </c>
      <c r="U79" s="151">
        <v>1</v>
      </c>
      <c r="V79" s="151">
        <v>1</v>
      </c>
      <c r="W79" s="151">
        <v>0</v>
      </c>
      <c r="X79" s="151">
        <v>1</v>
      </c>
      <c r="Y79" s="151">
        <v>0</v>
      </c>
      <c r="Z79" s="151">
        <v>0</v>
      </c>
      <c r="AA79" s="151">
        <v>1</v>
      </c>
      <c r="AB79" s="151"/>
      <c r="AC79" s="153">
        <v>45918</v>
      </c>
      <c r="AD79" s="154">
        <v>0.55208333333575865</v>
      </c>
      <c r="AE79" s="151" t="s">
        <v>454</v>
      </c>
      <c r="AF79" s="153">
        <v>45923</v>
      </c>
      <c r="AG79" s="154">
        <v>0.32986111110949423</v>
      </c>
      <c r="AH79" s="151" t="s">
        <v>133</v>
      </c>
      <c r="AI79" s="151" t="s">
        <v>399</v>
      </c>
      <c r="AJ79" s="151" t="s">
        <v>104</v>
      </c>
      <c r="AK79" s="151" t="s">
        <v>104</v>
      </c>
      <c r="AL79" s="151" t="s">
        <v>58</v>
      </c>
      <c r="AM79" s="188" t="s">
        <v>1224</v>
      </c>
      <c r="AN79" s="188" t="s">
        <v>1234</v>
      </c>
      <c r="AO79" s="188"/>
      <c r="AP79" s="155"/>
    </row>
    <row r="80" spans="3:42" ht="14.25" customHeight="1">
      <c r="C80" s="156" t="str">
        <f>IF($X80=1,COUNTIF($C$10:C79,"&gt;0")+1,"")</f>
        <v/>
      </c>
      <c r="D80" s="151"/>
      <c r="E80" s="151" t="s">
        <v>394</v>
      </c>
      <c r="F80" s="152" t="s">
        <v>455</v>
      </c>
      <c r="G80" s="151" t="s">
        <v>451</v>
      </c>
      <c r="H80" s="151" t="s">
        <v>456</v>
      </c>
      <c r="I80" s="151" t="s">
        <v>225</v>
      </c>
      <c r="J80" s="151" t="s">
        <v>100</v>
      </c>
      <c r="K80" s="151" t="s">
        <v>99</v>
      </c>
      <c r="L80" s="153">
        <v>32689</v>
      </c>
      <c r="M80" s="151">
        <v>36</v>
      </c>
      <c r="N80" s="151" t="s">
        <v>457</v>
      </c>
      <c r="O80" s="153">
        <v>47364</v>
      </c>
      <c r="P80" s="151" t="s">
        <v>52</v>
      </c>
      <c r="Q80" s="151"/>
      <c r="R80" s="173">
        <v>45918</v>
      </c>
      <c r="S80" s="174">
        <v>45923</v>
      </c>
      <c r="T80" s="175">
        <f>S80-R80</f>
        <v>5</v>
      </c>
      <c r="U80" s="151">
        <v>1</v>
      </c>
      <c r="V80" s="151">
        <v>1</v>
      </c>
      <c r="W80" s="151">
        <v>0</v>
      </c>
      <c r="X80" s="151">
        <v>0</v>
      </c>
      <c r="Y80" s="151">
        <v>0</v>
      </c>
      <c r="Z80" s="151">
        <v>0</v>
      </c>
      <c r="AA80" s="151">
        <v>0</v>
      </c>
      <c r="AB80" s="151"/>
      <c r="AC80" s="153">
        <v>45918</v>
      </c>
      <c r="AD80" s="154">
        <v>0.55208333333575865</v>
      </c>
      <c r="AE80" s="151" t="s">
        <v>454</v>
      </c>
      <c r="AF80" s="153">
        <v>45923</v>
      </c>
      <c r="AG80" s="154">
        <v>0.32986111110949423</v>
      </c>
      <c r="AH80" s="151" t="s">
        <v>133</v>
      </c>
      <c r="AI80" s="151" t="s">
        <v>399</v>
      </c>
      <c r="AJ80" s="151" t="s">
        <v>104</v>
      </c>
      <c r="AK80" s="151" t="s">
        <v>104</v>
      </c>
      <c r="AL80" s="151" t="s">
        <v>58</v>
      </c>
      <c r="AM80" s="188" t="s">
        <v>1224</v>
      </c>
      <c r="AN80" s="188" t="s">
        <v>1234</v>
      </c>
      <c r="AO80" s="188"/>
      <c r="AP80" s="155"/>
    </row>
    <row r="81" spans="3:42" ht="14.25" customHeight="1">
      <c r="C81" s="156">
        <f>IF($X81=1,COUNTIF($C$10:C80,"&gt;0")+1,"")</f>
        <v>38</v>
      </c>
      <c r="D81" s="151">
        <v>15262641</v>
      </c>
      <c r="E81" s="151" t="s">
        <v>394</v>
      </c>
      <c r="F81" s="152" t="s">
        <v>458</v>
      </c>
      <c r="G81" s="151" t="s">
        <v>458</v>
      </c>
      <c r="H81" s="151" t="s">
        <v>459</v>
      </c>
      <c r="I81" s="151" t="s">
        <v>256</v>
      </c>
      <c r="J81" s="151" t="s">
        <v>100</v>
      </c>
      <c r="K81" s="151" t="s">
        <v>232</v>
      </c>
      <c r="L81" s="153">
        <v>29975</v>
      </c>
      <c r="M81" s="151">
        <v>43</v>
      </c>
      <c r="N81" s="151" t="s">
        <v>460</v>
      </c>
      <c r="O81" s="153">
        <v>46606</v>
      </c>
      <c r="P81" s="151" t="s">
        <v>51</v>
      </c>
      <c r="Q81" s="151"/>
      <c r="R81" s="173">
        <v>45918</v>
      </c>
      <c r="S81" s="174">
        <v>45923</v>
      </c>
      <c r="T81" s="175">
        <f>S81-R81</f>
        <v>5</v>
      </c>
      <c r="U81" s="151">
        <v>1</v>
      </c>
      <c r="V81" s="151">
        <v>1</v>
      </c>
      <c r="W81" s="151">
        <v>0</v>
      </c>
      <c r="X81" s="151">
        <v>1</v>
      </c>
      <c r="Y81" s="151">
        <v>0</v>
      </c>
      <c r="Z81" s="151">
        <v>1</v>
      </c>
      <c r="AA81" s="151">
        <v>0</v>
      </c>
      <c r="AB81" s="151"/>
      <c r="AC81" s="153">
        <v>45918</v>
      </c>
      <c r="AD81" s="154">
        <v>0.65277777778101154</v>
      </c>
      <c r="AE81" s="151" t="s">
        <v>210</v>
      </c>
      <c r="AF81" s="153">
        <v>45923</v>
      </c>
      <c r="AG81" s="154">
        <v>0.85763888889050577</v>
      </c>
      <c r="AH81" s="151" t="s">
        <v>461</v>
      </c>
      <c r="AI81" s="151" t="s">
        <v>399</v>
      </c>
      <c r="AJ81" s="151" t="s">
        <v>104</v>
      </c>
      <c r="AK81" s="151" t="s">
        <v>104</v>
      </c>
      <c r="AL81" s="151" t="s">
        <v>58</v>
      </c>
      <c r="AM81" s="188" t="s">
        <v>1224</v>
      </c>
      <c r="AN81" s="188" t="s">
        <v>1233</v>
      </c>
      <c r="AO81" s="188"/>
      <c r="AP81" s="155"/>
    </row>
    <row r="82" spans="3:42" ht="14.25" customHeight="1">
      <c r="C82" s="156" t="str">
        <f>IF($X82=1,COUNTIF($C$10:C81,"&gt;0")+1,"")</f>
        <v/>
      </c>
      <c r="D82" s="151"/>
      <c r="E82" s="151" t="s">
        <v>394</v>
      </c>
      <c r="F82" s="152" t="s">
        <v>462</v>
      </c>
      <c r="G82" s="151" t="s">
        <v>458</v>
      </c>
      <c r="H82" s="151" t="s">
        <v>463</v>
      </c>
      <c r="I82" s="151" t="s">
        <v>464</v>
      </c>
      <c r="J82" s="151" t="s">
        <v>98</v>
      </c>
      <c r="K82" s="151" t="s">
        <v>99</v>
      </c>
      <c r="L82" s="153">
        <v>28842</v>
      </c>
      <c r="M82" s="151">
        <v>46</v>
      </c>
      <c r="N82" s="151" t="s">
        <v>465</v>
      </c>
      <c r="O82" s="153">
        <v>49177</v>
      </c>
      <c r="P82" s="151" t="s">
        <v>51</v>
      </c>
      <c r="Q82" s="151"/>
      <c r="R82" s="173">
        <v>45918</v>
      </c>
      <c r="S82" s="174">
        <v>45923</v>
      </c>
      <c r="T82" s="175">
        <f>S82-R82</f>
        <v>5</v>
      </c>
      <c r="U82" s="151">
        <v>1</v>
      </c>
      <c r="V82" s="151">
        <v>1</v>
      </c>
      <c r="W82" s="151">
        <v>0</v>
      </c>
      <c r="X82" s="151">
        <v>0</v>
      </c>
      <c r="Y82" s="151">
        <v>0</v>
      </c>
      <c r="Z82" s="151">
        <v>0</v>
      </c>
      <c r="AA82" s="151">
        <v>0</v>
      </c>
      <c r="AB82" s="151"/>
      <c r="AC82" s="153">
        <v>45918</v>
      </c>
      <c r="AD82" s="154">
        <v>0.65277777778101154</v>
      </c>
      <c r="AE82" s="151" t="s">
        <v>210</v>
      </c>
      <c r="AF82" s="153">
        <v>45923</v>
      </c>
      <c r="AG82" s="154">
        <v>0.85763888889050577</v>
      </c>
      <c r="AH82" s="151" t="s">
        <v>461</v>
      </c>
      <c r="AI82" s="151" t="s">
        <v>399</v>
      </c>
      <c r="AJ82" s="151" t="s">
        <v>104</v>
      </c>
      <c r="AK82" s="151" t="s">
        <v>104</v>
      </c>
      <c r="AL82" s="151" t="s">
        <v>58</v>
      </c>
      <c r="AM82" s="188" t="s">
        <v>1224</v>
      </c>
      <c r="AN82" s="188" t="s">
        <v>1233</v>
      </c>
      <c r="AO82" s="188"/>
      <c r="AP82" s="155"/>
    </row>
    <row r="83" spans="3:42" ht="14.25" customHeight="1">
      <c r="C83" s="156" t="str">
        <f>IF($X83=1,COUNTIF($C$10:C82,"&gt;0")+1,"")</f>
        <v/>
      </c>
      <c r="D83" s="151"/>
      <c r="E83" s="151" t="s">
        <v>394</v>
      </c>
      <c r="F83" s="152" t="s">
        <v>466</v>
      </c>
      <c r="G83" s="151" t="s">
        <v>458</v>
      </c>
      <c r="H83" s="151" t="s">
        <v>467</v>
      </c>
      <c r="I83" s="151" t="s">
        <v>464</v>
      </c>
      <c r="J83" s="151" t="s">
        <v>98</v>
      </c>
      <c r="K83" s="151" t="s">
        <v>99</v>
      </c>
      <c r="L83" s="153">
        <v>42834</v>
      </c>
      <c r="M83" s="151">
        <v>8</v>
      </c>
      <c r="N83" s="151" t="s">
        <v>468</v>
      </c>
      <c r="O83" s="153">
        <v>47014</v>
      </c>
      <c r="P83" s="151" t="s">
        <v>51</v>
      </c>
      <c r="Q83" s="151"/>
      <c r="R83" s="173">
        <v>45918</v>
      </c>
      <c r="S83" s="174">
        <v>45923</v>
      </c>
      <c r="T83" s="175">
        <f>S83-R83</f>
        <v>5</v>
      </c>
      <c r="U83" s="151">
        <v>1</v>
      </c>
      <c r="V83" s="151">
        <v>0</v>
      </c>
      <c r="W83" s="151">
        <v>1</v>
      </c>
      <c r="X83" s="151">
        <v>0</v>
      </c>
      <c r="Y83" s="151">
        <v>0</v>
      </c>
      <c r="Z83" s="151">
        <v>0</v>
      </c>
      <c r="AA83" s="151">
        <v>0</v>
      </c>
      <c r="AB83" s="151"/>
      <c r="AC83" s="153">
        <v>45918</v>
      </c>
      <c r="AD83" s="154">
        <v>0.65277777778101154</v>
      </c>
      <c r="AE83" s="151" t="s">
        <v>210</v>
      </c>
      <c r="AF83" s="153">
        <v>45923</v>
      </c>
      <c r="AG83" s="154">
        <v>0.85763888889050577</v>
      </c>
      <c r="AH83" s="151" t="s">
        <v>461</v>
      </c>
      <c r="AI83" s="151" t="s">
        <v>399</v>
      </c>
      <c r="AJ83" s="151" t="s">
        <v>104</v>
      </c>
      <c r="AK83" s="151" t="s">
        <v>104</v>
      </c>
      <c r="AL83" s="151" t="s">
        <v>58</v>
      </c>
      <c r="AM83" s="188" t="s">
        <v>1224</v>
      </c>
      <c r="AN83" s="188" t="s">
        <v>1233</v>
      </c>
      <c r="AO83" s="188"/>
      <c r="AP83" s="155"/>
    </row>
    <row r="84" spans="3:42" ht="14.25" customHeight="1">
      <c r="C84" s="156">
        <f>IF($X84=1,COUNTIF($C$10:C83,"&gt;0")+1,"")</f>
        <v>39</v>
      </c>
      <c r="D84" s="151">
        <v>15262642</v>
      </c>
      <c r="E84" s="151" t="s">
        <v>394</v>
      </c>
      <c r="F84" s="152" t="s">
        <v>469</v>
      </c>
      <c r="G84" s="151" t="s">
        <v>458</v>
      </c>
      <c r="H84" s="151" t="s">
        <v>470</v>
      </c>
      <c r="I84" s="151" t="s">
        <v>256</v>
      </c>
      <c r="J84" s="151" t="s">
        <v>98</v>
      </c>
      <c r="K84" s="151" t="s">
        <v>232</v>
      </c>
      <c r="L84" s="153">
        <v>19764</v>
      </c>
      <c r="M84" s="151">
        <v>71</v>
      </c>
      <c r="N84" s="151" t="s">
        <v>471</v>
      </c>
      <c r="O84" s="153">
        <v>49245</v>
      </c>
      <c r="P84" s="151" t="s">
        <v>52</v>
      </c>
      <c r="Q84" s="151"/>
      <c r="R84" s="173">
        <v>45918</v>
      </c>
      <c r="S84" s="174">
        <v>45923</v>
      </c>
      <c r="T84" s="175">
        <f>S84-R84</f>
        <v>5</v>
      </c>
      <c r="U84" s="151">
        <v>1</v>
      </c>
      <c r="V84" s="151">
        <v>1</v>
      </c>
      <c r="W84" s="151">
        <v>0</v>
      </c>
      <c r="X84" s="151">
        <v>1</v>
      </c>
      <c r="Y84" s="151">
        <v>0</v>
      </c>
      <c r="Z84" s="151">
        <v>0</v>
      </c>
      <c r="AA84" s="151">
        <v>1</v>
      </c>
      <c r="AB84" s="151"/>
      <c r="AC84" s="153">
        <v>45918</v>
      </c>
      <c r="AD84" s="154">
        <v>0.65277777778101154</v>
      </c>
      <c r="AE84" s="151" t="s">
        <v>210</v>
      </c>
      <c r="AF84" s="153">
        <v>45923</v>
      </c>
      <c r="AG84" s="154">
        <v>0.85763888889050577</v>
      </c>
      <c r="AH84" s="151" t="s">
        <v>461</v>
      </c>
      <c r="AI84" s="151" t="s">
        <v>399</v>
      </c>
      <c r="AJ84" s="151" t="s">
        <v>104</v>
      </c>
      <c r="AK84" s="151" t="s">
        <v>104</v>
      </c>
      <c r="AL84" s="151" t="s">
        <v>58</v>
      </c>
      <c r="AM84" s="188" t="s">
        <v>1224</v>
      </c>
      <c r="AN84" s="188" t="s">
        <v>1234</v>
      </c>
      <c r="AO84" s="188"/>
      <c r="AP84" s="155"/>
    </row>
    <row r="85" spans="3:42" ht="14.25" customHeight="1">
      <c r="C85" s="156" t="str">
        <f>IF($X85=1,COUNTIF($C$10:C84,"&gt;0")+1,"")</f>
        <v/>
      </c>
      <c r="D85" s="151"/>
      <c r="E85" s="151" t="s">
        <v>394</v>
      </c>
      <c r="F85" s="152" t="s">
        <v>472</v>
      </c>
      <c r="G85" s="151" t="s">
        <v>458</v>
      </c>
      <c r="H85" s="151" t="s">
        <v>473</v>
      </c>
      <c r="I85" s="151" t="s">
        <v>199</v>
      </c>
      <c r="J85" s="151" t="s">
        <v>100</v>
      </c>
      <c r="K85" s="151" t="s">
        <v>232</v>
      </c>
      <c r="L85" s="153">
        <v>20777</v>
      </c>
      <c r="M85" s="151">
        <v>68</v>
      </c>
      <c r="N85" s="151" t="s">
        <v>474</v>
      </c>
      <c r="O85" s="153">
        <v>49010</v>
      </c>
      <c r="P85" s="151" t="s">
        <v>52</v>
      </c>
      <c r="Q85" s="151"/>
      <c r="R85" s="173">
        <v>45918</v>
      </c>
      <c r="S85" s="174">
        <v>45923</v>
      </c>
      <c r="T85" s="175">
        <f>S85-R85</f>
        <v>5</v>
      </c>
      <c r="U85" s="151">
        <v>1</v>
      </c>
      <c r="V85" s="151">
        <v>1</v>
      </c>
      <c r="W85" s="151">
        <v>0</v>
      </c>
      <c r="X85" s="151">
        <v>0</v>
      </c>
      <c r="Y85" s="151">
        <v>0</v>
      </c>
      <c r="Z85" s="151">
        <v>0</v>
      </c>
      <c r="AA85" s="151">
        <v>0</v>
      </c>
      <c r="AB85" s="151"/>
      <c r="AC85" s="153">
        <v>45918</v>
      </c>
      <c r="AD85" s="154">
        <v>0.65277777778101154</v>
      </c>
      <c r="AE85" s="151" t="s">
        <v>210</v>
      </c>
      <c r="AF85" s="153">
        <v>45923</v>
      </c>
      <c r="AG85" s="154">
        <v>0.85763888889050577</v>
      </c>
      <c r="AH85" s="151" t="s">
        <v>461</v>
      </c>
      <c r="AI85" s="151" t="s">
        <v>399</v>
      </c>
      <c r="AJ85" s="151" t="s">
        <v>104</v>
      </c>
      <c r="AK85" s="151" t="s">
        <v>104</v>
      </c>
      <c r="AL85" s="151" t="s">
        <v>58</v>
      </c>
      <c r="AM85" s="188" t="s">
        <v>1224</v>
      </c>
      <c r="AN85" s="188" t="s">
        <v>1234</v>
      </c>
      <c r="AO85" s="188"/>
      <c r="AP85" s="155"/>
    </row>
    <row r="86" spans="3:42" ht="14.25" customHeight="1">
      <c r="C86" s="156">
        <f>IF($X86=1,COUNTIF($C$10:C85,"&gt;0")+1,"")</f>
        <v>40</v>
      </c>
      <c r="D86" s="151">
        <v>15262643</v>
      </c>
      <c r="E86" s="151" t="s">
        <v>394</v>
      </c>
      <c r="F86" s="152" t="s">
        <v>475</v>
      </c>
      <c r="G86" s="151" t="s">
        <v>475</v>
      </c>
      <c r="H86" s="151" t="s">
        <v>476</v>
      </c>
      <c r="I86" s="151" t="s">
        <v>199</v>
      </c>
      <c r="J86" s="151" t="s">
        <v>100</v>
      </c>
      <c r="K86" s="151" t="s">
        <v>232</v>
      </c>
      <c r="L86" s="153">
        <v>33178</v>
      </c>
      <c r="M86" s="151">
        <v>34</v>
      </c>
      <c r="N86" s="151" t="s">
        <v>477</v>
      </c>
      <c r="O86" s="153">
        <v>46432</v>
      </c>
      <c r="P86" s="151" t="s">
        <v>52</v>
      </c>
      <c r="Q86" s="151"/>
      <c r="R86" s="173">
        <v>45918</v>
      </c>
      <c r="S86" s="174">
        <v>45923</v>
      </c>
      <c r="T86" s="175">
        <f>S86-R86</f>
        <v>5</v>
      </c>
      <c r="U86" s="151">
        <v>1</v>
      </c>
      <c r="V86" s="151">
        <v>1</v>
      </c>
      <c r="W86" s="151">
        <v>0</v>
      </c>
      <c r="X86" s="151">
        <v>1</v>
      </c>
      <c r="Y86" s="151">
        <v>0</v>
      </c>
      <c r="Z86" s="151">
        <v>0</v>
      </c>
      <c r="AA86" s="151">
        <v>1</v>
      </c>
      <c r="AB86" s="151"/>
      <c r="AC86" s="153">
        <v>45918</v>
      </c>
      <c r="AD86" s="154">
        <v>0.55208333333575865</v>
      </c>
      <c r="AE86" s="151" t="s">
        <v>454</v>
      </c>
      <c r="AF86" s="153">
        <v>45923</v>
      </c>
      <c r="AG86" s="154">
        <v>0.32986111110949423</v>
      </c>
      <c r="AH86" s="151" t="s">
        <v>133</v>
      </c>
      <c r="AI86" s="151" t="s">
        <v>399</v>
      </c>
      <c r="AJ86" s="151" t="s">
        <v>104</v>
      </c>
      <c r="AK86" s="151" t="s">
        <v>104</v>
      </c>
      <c r="AL86" s="151" t="s">
        <v>58</v>
      </c>
      <c r="AM86" s="188" t="s">
        <v>1224</v>
      </c>
      <c r="AN86" s="188" t="s">
        <v>1234</v>
      </c>
      <c r="AO86" s="188"/>
      <c r="AP86" s="155"/>
    </row>
    <row r="87" spans="3:42" ht="14.25" customHeight="1">
      <c r="C87" s="156" t="str">
        <f>IF($X87=1,COUNTIF($C$10:C86,"&gt;0")+1,"")</f>
        <v/>
      </c>
      <c r="D87" s="151"/>
      <c r="E87" s="151" t="s">
        <v>394</v>
      </c>
      <c r="F87" s="152" t="s">
        <v>478</v>
      </c>
      <c r="G87" s="151" t="s">
        <v>475</v>
      </c>
      <c r="H87" s="151" t="s">
        <v>479</v>
      </c>
      <c r="I87" s="151" t="s">
        <v>480</v>
      </c>
      <c r="J87" s="151" t="s">
        <v>100</v>
      </c>
      <c r="K87" s="151" t="s">
        <v>99</v>
      </c>
      <c r="L87" s="153">
        <v>24186</v>
      </c>
      <c r="M87" s="151">
        <v>59</v>
      </c>
      <c r="N87" s="151" t="s">
        <v>481</v>
      </c>
      <c r="O87" s="153">
        <v>47455</v>
      </c>
      <c r="P87" s="151" t="s">
        <v>52</v>
      </c>
      <c r="Q87" s="151"/>
      <c r="R87" s="173">
        <v>45918</v>
      </c>
      <c r="S87" s="174">
        <v>45923</v>
      </c>
      <c r="T87" s="175">
        <f>S87-R87</f>
        <v>5</v>
      </c>
      <c r="U87" s="151">
        <v>1</v>
      </c>
      <c r="V87" s="151">
        <v>1</v>
      </c>
      <c r="W87" s="151">
        <v>0</v>
      </c>
      <c r="X87" s="151">
        <v>0</v>
      </c>
      <c r="Y87" s="151">
        <v>0</v>
      </c>
      <c r="Z87" s="151">
        <v>0</v>
      </c>
      <c r="AA87" s="151">
        <v>0</v>
      </c>
      <c r="AB87" s="151"/>
      <c r="AC87" s="153">
        <v>45918</v>
      </c>
      <c r="AD87" s="154">
        <v>0.59722222221898846</v>
      </c>
      <c r="AE87" s="151" t="s">
        <v>482</v>
      </c>
      <c r="AF87" s="153">
        <v>45923</v>
      </c>
      <c r="AG87" s="154">
        <v>0.32986111110949423</v>
      </c>
      <c r="AH87" s="151" t="s">
        <v>133</v>
      </c>
      <c r="AI87" s="151" t="s">
        <v>399</v>
      </c>
      <c r="AJ87" s="151" t="s">
        <v>104</v>
      </c>
      <c r="AK87" s="151" t="s">
        <v>104</v>
      </c>
      <c r="AL87" s="151" t="s">
        <v>58</v>
      </c>
      <c r="AM87" s="188" t="s">
        <v>1224</v>
      </c>
      <c r="AN87" s="188" t="s">
        <v>1234</v>
      </c>
      <c r="AO87" s="188"/>
      <c r="AP87" s="155"/>
    </row>
    <row r="88" spans="3:42" ht="14.25" customHeight="1">
      <c r="C88" s="156">
        <f>IF($X88=1,COUNTIF($C$10:C87,"&gt;0")+1,"")</f>
        <v>41</v>
      </c>
      <c r="D88" s="151">
        <v>15262644</v>
      </c>
      <c r="E88" s="151" t="s">
        <v>394</v>
      </c>
      <c r="F88" s="152" t="s">
        <v>483</v>
      </c>
      <c r="G88" s="151" t="s">
        <v>483</v>
      </c>
      <c r="H88" s="151" t="s">
        <v>484</v>
      </c>
      <c r="I88" s="151" t="s">
        <v>485</v>
      </c>
      <c r="J88" s="151" t="s">
        <v>100</v>
      </c>
      <c r="K88" s="151" t="s">
        <v>232</v>
      </c>
      <c r="L88" s="153">
        <v>25689</v>
      </c>
      <c r="M88" s="151">
        <v>55</v>
      </c>
      <c r="N88" s="151" t="s">
        <v>486</v>
      </c>
      <c r="O88" s="153">
        <v>47547</v>
      </c>
      <c r="P88" s="151" t="s">
        <v>51</v>
      </c>
      <c r="Q88" s="151"/>
      <c r="R88" s="173">
        <v>45918</v>
      </c>
      <c r="S88" s="174">
        <v>45923</v>
      </c>
      <c r="T88" s="175">
        <f>S88-R88</f>
        <v>5</v>
      </c>
      <c r="U88" s="151">
        <v>1</v>
      </c>
      <c r="V88" s="151">
        <v>1</v>
      </c>
      <c r="W88" s="151">
        <v>0</v>
      </c>
      <c r="X88" s="151">
        <v>1</v>
      </c>
      <c r="Y88" s="151">
        <v>0</v>
      </c>
      <c r="Z88" s="151">
        <v>1</v>
      </c>
      <c r="AA88" s="151">
        <v>0</v>
      </c>
      <c r="AB88" s="151"/>
      <c r="AC88" s="153">
        <v>45918</v>
      </c>
      <c r="AD88" s="154">
        <v>0.64236111110949423</v>
      </c>
      <c r="AE88" s="151" t="s">
        <v>487</v>
      </c>
      <c r="AF88" s="153">
        <v>45923</v>
      </c>
      <c r="AG88" s="154">
        <v>0.375</v>
      </c>
      <c r="AH88" s="151" t="s">
        <v>488</v>
      </c>
      <c r="AI88" s="151" t="s">
        <v>399</v>
      </c>
      <c r="AJ88" s="151" t="s">
        <v>104</v>
      </c>
      <c r="AK88" s="151" t="s">
        <v>104</v>
      </c>
      <c r="AL88" s="151" t="s">
        <v>58</v>
      </c>
      <c r="AM88" s="188" t="s">
        <v>1224</v>
      </c>
      <c r="AN88" s="188" t="s">
        <v>1233</v>
      </c>
      <c r="AO88" s="188"/>
      <c r="AP88" s="155"/>
    </row>
    <row r="89" spans="3:42" ht="14.25" customHeight="1">
      <c r="C89" s="156" t="str">
        <f>IF($X89=1,COUNTIF($C$10:C88,"&gt;0")+1,"")</f>
        <v/>
      </c>
      <c r="D89" s="151"/>
      <c r="E89" s="151" t="s">
        <v>394</v>
      </c>
      <c r="F89" s="152" t="s">
        <v>489</v>
      </c>
      <c r="G89" s="151" t="s">
        <v>483</v>
      </c>
      <c r="H89" s="151" t="s">
        <v>490</v>
      </c>
      <c r="I89" s="151" t="s">
        <v>491</v>
      </c>
      <c r="J89" s="151" t="s">
        <v>98</v>
      </c>
      <c r="K89" s="151" t="s">
        <v>99</v>
      </c>
      <c r="L89" s="153">
        <v>24858</v>
      </c>
      <c r="M89" s="151">
        <v>57</v>
      </c>
      <c r="N89" s="151" t="s">
        <v>492</v>
      </c>
      <c r="O89" s="153">
        <v>48227</v>
      </c>
      <c r="P89" s="151" t="s">
        <v>51</v>
      </c>
      <c r="Q89" s="151"/>
      <c r="R89" s="173">
        <v>45918</v>
      </c>
      <c r="S89" s="174">
        <v>45923</v>
      </c>
      <c r="T89" s="175">
        <f>S89-R89</f>
        <v>5</v>
      </c>
      <c r="U89" s="151">
        <v>1</v>
      </c>
      <c r="V89" s="151">
        <v>1</v>
      </c>
      <c r="W89" s="151">
        <v>0</v>
      </c>
      <c r="X89" s="151">
        <v>0</v>
      </c>
      <c r="Y89" s="151">
        <v>0</v>
      </c>
      <c r="Z89" s="151">
        <v>0</v>
      </c>
      <c r="AA89" s="151">
        <v>0</v>
      </c>
      <c r="AB89" s="151"/>
      <c r="AC89" s="153">
        <v>45918</v>
      </c>
      <c r="AD89" s="154">
        <v>0.64236111110949423</v>
      </c>
      <c r="AE89" s="151" t="s">
        <v>487</v>
      </c>
      <c r="AF89" s="153">
        <v>45923</v>
      </c>
      <c r="AG89" s="154">
        <v>0.375</v>
      </c>
      <c r="AH89" s="151" t="s">
        <v>488</v>
      </c>
      <c r="AI89" s="151" t="s">
        <v>399</v>
      </c>
      <c r="AJ89" s="151" t="s">
        <v>104</v>
      </c>
      <c r="AK89" s="151" t="s">
        <v>104</v>
      </c>
      <c r="AL89" s="151" t="s">
        <v>58</v>
      </c>
      <c r="AM89" s="188" t="s">
        <v>1224</v>
      </c>
      <c r="AN89" s="188" t="s">
        <v>1233</v>
      </c>
      <c r="AO89" s="188"/>
      <c r="AP89" s="155"/>
    </row>
    <row r="90" spans="3:42" ht="14.25" customHeight="1">
      <c r="C90" s="156">
        <f>IF($X90=1,COUNTIF($C$10:C89,"&gt;0")+1,"")</f>
        <v>42</v>
      </c>
      <c r="D90" s="151">
        <v>15262645</v>
      </c>
      <c r="E90" s="151" t="s">
        <v>493</v>
      </c>
      <c r="F90" s="152" t="s">
        <v>494</v>
      </c>
      <c r="G90" s="151" t="s">
        <v>494</v>
      </c>
      <c r="H90" s="151" t="s">
        <v>495</v>
      </c>
      <c r="I90" s="151" t="s">
        <v>496</v>
      </c>
      <c r="J90" s="151" t="s">
        <v>98</v>
      </c>
      <c r="K90" s="151" t="s">
        <v>99</v>
      </c>
      <c r="L90" s="153">
        <v>33217</v>
      </c>
      <c r="M90" s="151">
        <v>34</v>
      </c>
      <c r="N90" s="151" t="s">
        <v>497</v>
      </c>
      <c r="O90" s="153">
        <v>47085</v>
      </c>
      <c r="P90" s="151" t="s">
        <v>51</v>
      </c>
      <c r="Q90" s="151"/>
      <c r="R90" s="173">
        <v>45918</v>
      </c>
      <c r="S90" s="174">
        <v>45923</v>
      </c>
      <c r="T90" s="175">
        <f>S90-R90</f>
        <v>5</v>
      </c>
      <c r="U90" s="151">
        <v>1</v>
      </c>
      <c r="V90" s="151">
        <v>1</v>
      </c>
      <c r="W90" s="151">
        <v>0</v>
      </c>
      <c r="X90" s="151">
        <v>1</v>
      </c>
      <c r="Y90" s="151">
        <v>0</v>
      </c>
      <c r="Z90" s="151">
        <v>1</v>
      </c>
      <c r="AA90" s="151">
        <v>0</v>
      </c>
      <c r="AB90" s="151"/>
      <c r="AC90" s="153">
        <v>45918</v>
      </c>
      <c r="AD90" s="154">
        <v>0.18055555555474712</v>
      </c>
      <c r="AE90" s="151" t="s">
        <v>147</v>
      </c>
      <c r="AF90" s="153">
        <v>45923</v>
      </c>
      <c r="AG90" s="154">
        <v>0.70138888889050577</v>
      </c>
      <c r="AH90" s="151" t="s">
        <v>141</v>
      </c>
      <c r="AI90" s="151" t="s">
        <v>498</v>
      </c>
      <c r="AJ90" s="151" t="s">
        <v>104</v>
      </c>
      <c r="AK90" s="151"/>
      <c r="AL90" s="151" t="s">
        <v>58</v>
      </c>
      <c r="AM90" s="188" t="s">
        <v>1224</v>
      </c>
      <c r="AN90" s="188" t="s">
        <v>1233</v>
      </c>
      <c r="AO90" s="188"/>
      <c r="AP90" s="155"/>
    </row>
    <row r="91" spans="3:42" ht="14.25" customHeight="1">
      <c r="C91" s="156" t="str">
        <f>IF($X91=1,COUNTIF($C$10:C90,"&gt;0")+1,"")</f>
        <v/>
      </c>
      <c r="D91" s="151"/>
      <c r="E91" s="151" t="s">
        <v>493</v>
      </c>
      <c r="F91" s="152" t="s">
        <v>499</v>
      </c>
      <c r="G91" s="151" t="s">
        <v>494</v>
      </c>
      <c r="H91" s="151" t="s">
        <v>500</v>
      </c>
      <c r="I91" s="151" t="s">
        <v>501</v>
      </c>
      <c r="J91" s="151" t="s">
        <v>100</v>
      </c>
      <c r="K91" s="151" t="s">
        <v>99</v>
      </c>
      <c r="L91" s="153">
        <v>31693</v>
      </c>
      <c r="M91" s="151">
        <v>38</v>
      </c>
      <c r="N91" s="151" t="s">
        <v>502</v>
      </c>
      <c r="O91" s="153">
        <v>48616</v>
      </c>
      <c r="P91" s="151" t="s">
        <v>51</v>
      </c>
      <c r="Q91" s="151"/>
      <c r="R91" s="173">
        <v>45918</v>
      </c>
      <c r="S91" s="174">
        <v>45923</v>
      </c>
      <c r="T91" s="175">
        <f>S91-R91</f>
        <v>5</v>
      </c>
      <c r="U91" s="151">
        <v>1</v>
      </c>
      <c r="V91" s="151">
        <v>1</v>
      </c>
      <c r="W91" s="151">
        <v>0</v>
      </c>
      <c r="X91" s="151">
        <v>0</v>
      </c>
      <c r="Y91" s="151">
        <v>0</v>
      </c>
      <c r="Z91" s="151">
        <v>0</v>
      </c>
      <c r="AA91" s="151">
        <v>0</v>
      </c>
      <c r="AB91" s="151"/>
      <c r="AC91" s="153">
        <v>45918</v>
      </c>
      <c r="AD91" s="154">
        <v>0.18055555555474712</v>
      </c>
      <c r="AE91" s="151" t="s">
        <v>147</v>
      </c>
      <c r="AF91" s="153">
        <v>45923</v>
      </c>
      <c r="AG91" s="154">
        <v>0.70138888889050577</v>
      </c>
      <c r="AH91" s="151" t="s">
        <v>141</v>
      </c>
      <c r="AI91" s="151" t="s">
        <v>498</v>
      </c>
      <c r="AJ91" s="151" t="s">
        <v>104</v>
      </c>
      <c r="AK91" s="151" t="s">
        <v>104</v>
      </c>
      <c r="AL91" s="151" t="s">
        <v>58</v>
      </c>
      <c r="AM91" s="188" t="s">
        <v>1224</v>
      </c>
      <c r="AN91" s="188" t="s">
        <v>1233</v>
      </c>
      <c r="AO91" s="188"/>
      <c r="AP91" s="155"/>
    </row>
    <row r="92" spans="3:42" ht="14.25" customHeight="1">
      <c r="C92" s="156" t="str">
        <f>IF($X92=1,COUNTIF($C$10:C91,"&gt;0")+1,"")</f>
        <v/>
      </c>
      <c r="D92" s="151"/>
      <c r="E92" s="151" t="s">
        <v>493</v>
      </c>
      <c r="F92" s="152" t="s">
        <v>503</v>
      </c>
      <c r="G92" s="151" t="s">
        <v>494</v>
      </c>
      <c r="H92" s="151" t="s">
        <v>504</v>
      </c>
      <c r="I92" s="151" t="s">
        <v>505</v>
      </c>
      <c r="J92" s="151" t="s">
        <v>98</v>
      </c>
      <c r="K92" s="151" t="s">
        <v>99</v>
      </c>
      <c r="L92" s="153">
        <v>42226</v>
      </c>
      <c r="M92" s="151">
        <v>10</v>
      </c>
      <c r="N92" s="151" t="s">
        <v>506</v>
      </c>
      <c r="O92" s="153">
        <v>47594</v>
      </c>
      <c r="P92" s="151" t="s">
        <v>51</v>
      </c>
      <c r="Q92" s="151"/>
      <c r="R92" s="173">
        <v>45918</v>
      </c>
      <c r="S92" s="174">
        <v>45923</v>
      </c>
      <c r="T92" s="175">
        <f>S92-R92</f>
        <v>5</v>
      </c>
      <c r="U92" s="151">
        <v>1</v>
      </c>
      <c r="V92" s="151">
        <v>0</v>
      </c>
      <c r="W92" s="151">
        <v>1</v>
      </c>
      <c r="X92" s="151">
        <v>0</v>
      </c>
      <c r="Y92" s="151">
        <v>0</v>
      </c>
      <c r="Z92" s="151">
        <v>0</v>
      </c>
      <c r="AA92" s="151">
        <v>0</v>
      </c>
      <c r="AB92" s="151"/>
      <c r="AC92" s="153">
        <v>45918</v>
      </c>
      <c r="AD92" s="154">
        <v>0.18055555555474712</v>
      </c>
      <c r="AE92" s="151" t="s">
        <v>147</v>
      </c>
      <c r="AF92" s="153">
        <v>45923</v>
      </c>
      <c r="AG92" s="154">
        <v>0.70138888889050577</v>
      </c>
      <c r="AH92" s="151" t="s">
        <v>141</v>
      </c>
      <c r="AI92" s="151" t="s">
        <v>498</v>
      </c>
      <c r="AJ92" s="151" t="s">
        <v>104</v>
      </c>
      <c r="AK92" s="151" t="s">
        <v>104</v>
      </c>
      <c r="AL92" s="151" t="s">
        <v>58</v>
      </c>
      <c r="AM92" s="188" t="s">
        <v>1224</v>
      </c>
      <c r="AN92" s="188" t="s">
        <v>1233</v>
      </c>
      <c r="AO92" s="188"/>
      <c r="AP92" s="155"/>
    </row>
    <row r="93" spans="3:42" ht="14.25" customHeight="1">
      <c r="C93" s="156" t="str">
        <f>IF($X93=1,COUNTIF($C$10:C92,"&gt;0")+1,"")</f>
        <v/>
      </c>
      <c r="D93" s="151"/>
      <c r="E93" s="151" t="s">
        <v>493</v>
      </c>
      <c r="F93" s="152" t="s">
        <v>507</v>
      </c>
      <c r="G93" s="151" t="s">
        <v>494</v>
      </c>
      <c r="H93" s="151" t="s">
        <v>508</v>
      </c>
      <c r="I93" s="151" t="s">
        <v>501</v>
      </c>
      <c r="J93" s="151" t="s">
        <v>100</v>
      </c>
      <c r="K93" s="151" t="s">
        <v>99</v>
      </c>
      <c r="L93" s="153">
        <v>45613</v>
      </c>
      <c r="M93" s="151">
        <v>0</v>
      </c>
      <c r="N93" s="151" t="s">
        <v>509</v>
      </c>
      <c r="O93" s="153">
        <v>47594</v>
      </c>
      <c r="P93" s="151" t="s">
        <v>51</v>
      </c>
      <c r="Q93" s="151"/>
      <c r="R93" s="173">
        <v>45918</v>
      </c>
      <c r="S93" s="174">
        <v>45923</v>
      </c>
      <c r="T93" s="175">
        <f>S93-R93</f>
        <v>5</v>
      </c>
      <c r="U93" s="151">
        <v>0</v>
      </c>
      <c r="V93" s="151">
        <v>0</v>
      </c>
      <c r="W93" s="151">
        <v>0</v>
      </c>
      <c r="X93" s="151">
        <v>0</v>
      </c>
      <c r="Y93" s="151">
        <v>0</v>
      </c>
      <c r="Z93" s="151">
        <v>0</v>
      </c>
      <c r="AA93" s="151">
        <v>0</v>
      </c>
      <c r="AB93" s="151"/>
      <c r="AC93" s="153">
        <v>45918</v>
      </c>
      <c r="AD93" s="154">
        <v>0.18055555555474712</v>
      </c>
      <c r="AE93" s="151" t="s">
        <v>147</v>
      </c>
      <c r="AF93" s="153">
        <v>45923</v>
      </c>
      <c r="AG93" s="154">
        <v>0.70138888889050577</v>
      </c>
      <c r="AH93" s="151" t="s">
        <v>141</v>
      </c>
      <c r="AI93" s="151" t="s">
        <v>498</v>
      </c>
      <c r="AJ93" s="151" t="s">
        <v>104</v>
      </c>
      <c r="AK93" s="151" t="s">
        <v>104</v>
      </c>
      <c r="AL93" s="151" t="s">
        <v>58</v>
      </c>
      <c r="AM93" s="188" t="s">
        <v>1224</v>
      </c>
      <c r="AN93" s="188" t="s">
        <v>1233</v>
      </c>
      <c r="AO93" s="188"/>
      <c r="AP93" s="155"/>
    </row>
    <row r="94" spans="3:42" ht="14.25" customHeight="1">
      <c r="C94" s="156">
        <f>IF($X94=1,COUNTIF($C$10:C93,"&gt;0")+1,"")</f>
        <v>43</v>
      </c>
      <c r="D94" s="151">
        <v>15262646</v>
      </c>
      <c r="E94" s="151" t="s">
        <v>493</v>
      </c>
      <c r="F94" s="152" t="s">
        <v>510</v>
      </c>
      <c r="G94" s="151" t="s">
        <v>510</v>
      </c>
      <c r="H94" s="151" t="s">
        <v>511</v>
      </c>
      <c r="I94" s="151" t="s">
        <v>501</v>
      </c>
      <c r="J94" s="151" t="s">
        <v>98</v>
      </c>
      <c r="K94" s="151" t="s">
        <v>99</v>
      </c>
      <c r="L94" s="153">
        <v>26742</v>
      </c>
      <c r="M94" s="151">
        <v>52</v>
      </c>
      <c r="N94" s="151" t="s">
        <v>512</v>
      </c>
      <c r="O94" s="153">
        <v>46410</v>
      </c>
      <c r="P94" s="151" t="s">
        <v>51</v>
      </c>
      <c r="Q94" s="151"/>
      <c r="R94" s="173">
        <v>45918</v>
      </c>
      <c r="S94" s="174">
        <v>45923</v>
      </c>
      <c r="T94" s="175">
        <f>S94-R94</f>
        <v>5</v>
      </c>
      <c r="U94" s="151">
        <v>1</v>
      </c>
      <c r="V94" s="151">
        <v>1</v>
      </c>
      <c r="W94" s="151">
        <v>0</v>
      </c>
      <c r="X94" s="151">
        <v>1</v>
      </c>
      <c r="Y94" s="151">
        <v>0</v>
      </c>
      <c r="Z94" s="151">
        <v>1</v>
      </c>
      <c r="AA94" s="151">
        <v>0</v>
      </c>
      <c r="AB94" s="151"/>
      <c r="AC94" s="153">
        <v>45918</v>
      </c>
      <c r="AD94" s="154">
        <v>0.18055555555474712</v>
      </c>
      <c r="AE94" s="151" t="s">
        <v>147</v>
      </c>
      <c r="AF94" s="153">
        <v>45923</v>
      </c>
      <c r="AG94" s="154">
        <v>0.70138888889050577</v>
      </c>
      <c r="AH94" s="151" t="s">
        <v>141</v>
      </c>
      <c r="AI94" s="151" t="s">
        <v>498</v>
      </c>
      <c r="AJ94" s="151" t="s">
        <v>104</v>
      </c>
      <c r="AK94" s="151" t="s">
        <v>104</v>
      </c>
      <c r="AL94" s="151" t="s">
        <v>58</v>
      </c>
      <c r="AM94" s="188" t="s">
        <v>1224</v>
      </c>
      <c r="AN94" s="188" t="s">
        <v>1233</v>
      </c>
      <c r="AO94" s="188"/>
      <c r="AP94" s="155"/>
    </row>
    <row r="95" spans="3:42" ht="14.25" customHeight="1">
      <c r="C95" s="156" t="str">
        <f>IF($X95=1,COUNTIF($C$10:C94,"&gt;0")+1,"")</f>
        <v/>
      </c>
      <c r="D95" s="151"/>
      <c r="E95" s="151" t="s">
        <v>493</v>
      </c>
      <c r="F95" s="152" t="s">
        <v>513</v>
      </c>
      <c r="G95" s="151" t="s">
        <v>510</v>
      </c>
      <c r="H95" s="151" t="s">
        <v>514</v>
      </c>
      <c r="I95" s="151" t="s">
        <v>515</v>
      </c>
      <c r="J95" s="151" t="s">
        <v>98</v>
      </c>
      <c r="K95" s="151" t="s">
        <v>99</v>
      </c>
      <c r="L95" s="153">
        <v>39808</v>
      </c>
      <c r="M95" s="151">
        <v>16</v>
      </c>
      <c r="N95" s="151" t="s">
        <v>516</v>
      </c>
      <c r="O95" s="153">
        <v>47363</v>
      </c>
      <c r="P95" s="151" t="s">
        <v>51</v>
      </c>
      <c r="Q95" s="151"/>
      <c r="R95" s="173">
        <v>45918</v>
      </c>
      <c r="S95" s="174">
        <v>45923</v>
      </c>
      <c r="T95" s="175">
        <f>S95-R95</f>
        <v>5</v>
      </c>
      <c r="U95" s="151">
        <v>1</v>
      </c>
      <c r="V95" s="151">
        <v>1</v>
      </c>
      <c r="W95" s="151">
        <v>0</v>
      </c>
      <c r="X95" s="151">
        <v>0</v>
      </c>
      <c r="Y95" s="151">
        <v>0</v>
      </c>
      <c r="Z95" s="151">
        <v>0</v>
      </c>
      <c r="AA95" s="151">
        <v>0</v>
      </c>
      <c r="AB95" s="151"/>
      <c r="AC95" s="153">
        <v>45918</v>
      </c>
      <c r="AD95" s="154">
        <v>0.18055555555474712</v>
      </c>
      <c r="AE95" s="151" t="s">
        <v>147</v>
      </c>
      <c r="AF95" s="153">
        <v>45923</v>
      </c>
      <c r="AG95" s="154">
        <v>0.70138888889050577</v>
      </c>
      <c r="AH95" s="151" t="s">
        <v>141</v>
      </c>
      <c r="AI95" s="151" t="s">
        <v>498</v>
      </c>
      <c r="AJ95" s="151" t="s">
        <v>104</v>
      </c>
      <c r="AK95" s="151" t="s">
        <v>104</v>
      </c>
      <c r="AL95" s="151" t="s">
        <v>58</v>
      </c>
      <c r="AM95" s="188" t="s">
        <v>1224</v>
      </c>
      <c r="AN95" s="188" t="s">
        <v>1233</v>
      </c>
      <c r="AO95" s="188"/>
      <c r="AP95" s="155"/>
    </row>
    <row r="96" spans="3:42" ht="14.25" customHeight="1">
      <c r="C96" s="156">
        <f>IF($X96=1,COUNTIF($C$10:C95,"&gt;0")+1,"")</f>
        <v>44</v>
      </c>
      <c r="D96" s="151">
        <v>15262647</v>
      </c>
      <c r="E96" s="151" t="s">
        <v>493</v>
      </c>
      <c r="F96" s="152" t="s">
        <v>517</v>
      </c>
      <c r="G96" s="151" t="s">
        <v>517</v>
      </c>
      <c r="H96" s="151" t="s">
        <v>518</v>
      </c>
      <c r="I96" s="151" t="s">
        <v>519</v>
      </c>
      <c r="J96" s="151" t="s">
        <v>100</v>
      </c>
      <c r="K96" s="151" t="s">
        <v>99</v>
      </c>
      <c r="L96" s="153">
        <v>28158</v>
      </c>
      <c r="M96" s="151">
        <v>48</v>
      </c>
      <c r="N96" s="151" t="s">
        <v>520</v>
      </c>
      <c r="O96" s="153">
        <v>46828</v>
      </c>
      <c r="P96" s="151" t="s">
        <v>51</v>
      </c>
      <c r="Q96" s="151"/>
      <c r="R96" s="173">
        <v>45918</v>
      </c>
      <c r="S96" s="174">
        <v>45923</v>
      </c>
      <c r="T96" s="175">
        <f>S96-R96</f>
        <v>5</v>
      </c>
      <c r="U96" s="151">
        <v>1</v>
      </c>
      <c r="V96" s="151">
        <v>1</v>
      </c>
      <c r="W96" s="151">
        <v>0</v>
      </c>
      <c r="X96" s="151">
        <v>1</v>
      </c>
      <c r="Y96" s="151">
        <v>0</v>
      </c>
      <c r="Z96" s="151">
        <v>1</v>
      </c>
      <c r="AA96" s="151">
        <v>0</v>
      </c>
      <c r="AB96" s="151"/>
      <c r="AC96" s="153">
        <v>45918</v>
      </c>
      <c r="AD96" s="154">
        <v>0.18055555555474712</v>
      </c>
      <c r="AE96" s="151" t="s">
        <v>147</v>
      </c>
      <c r="AF96" s="153">
        <v>45923</v>
      </c>
      <c r="AG96" s="154">
        <v>0.70138888889050577</v>
      </c>
      <c r="AH96" s="151" t="s">
        <v>141</v>
      </c>
      <c r="AI96" s="151" t="s">
        <v>498</v>
      </c>
      <c r="AJ96" s="151" t="s">
        <v>104</v>
      </c>
      <c r="AK96" s="151" t="s">
        <v>104</v>
      </c>
      <c r="AL96" s="151" t="s">
        <v>58</v>
      </c>
      <c r="AM96" s="188" t="s">
        <v>1224</v>
      </c>
      <c r="AN96" s="188" t="s">
        <v>1233</v>
      </c>
      <c r="AO96" s="188"/>
      <c r="AP96" s="155"/>
    </row>
    <row r="97" spans="3:42" ht="14.25" customHeight="1">
      <c r="C97" s="156" t="str">
        <f>IF($X97=1,COUNTIF($C$10:C96,"&gt;0")+1,"")</f>
        <v/>
      </c>
      <c r="D97" s="151"/>
      <c r="E97" s="151" t="s">
        <v>493</v>
      </c>
      <c r="F97" s="152" t="s">
        <v>521</v>
      </c>
      <c r="G97" s="151" t="s">
        <v>517</v>
      </c>
      <c r="H97" s="151" t="s">
        <v>522</v>
      </c>
      <c r="I97" s="151" t="s">
        <v>124</v>
      </c>
      <c r="J97" s="151" t="s">
        <v>98</v>
      </c>
      <c r="K97" s="151" t="s">
        <v>99</v>
      </c>
      <c r="L97" s="153">
        <v>40716</v>
      </c>
      <c r="M97" s="151">
        <v>14</v>
      </c>
      <c r="N97" s="151" t="s">
        <v>523</v>
      </c>
      <c r="O97" s="153">
        <v>46365</v>
      </c>
      <c r="P97" s="151" t="s">
        <v>51</v>
      </c>
      <c r="Q97" s="151"/>
      <c r="R97" s="173">
        <v>45918</v>
      </c>
      <c r="S97" s="174">
        <v>45923</v>
      </c>
      <c r="T97" s="175">
        <f>S97-R97</f>
        <v>5</v>
      </c>
      <c r="U97" s="151">
        <v>1</v>
      </c>
      <c r="V97" s="151">
        <v>1</v>
      </c>
      <c r="W97" s="151">
        <v>0</v>
      </c>
      <c r="X97" s="151">
        <v>0</v>
      </c>
      <c r="Y97" s="151">
        <v>0</v>
      </c>
      <c r="Z97" s="151">
        <v>0</v>
      </c>
      <c r="AA97" s="151">
        <v>0</v>
      </c>
      <c r="AB97" s="151"/>
      <c r="AC97" s="153">
        <v>45918</v>
      </c>
      <c r="AD97" s="154">
        <v>0.18055555555474712</v>
      </c>
      <c r="AE97" s="151" t="s">
        <v>147</v>
      </c>
      <c r="AF97" s="153">
        <v>45923</v>
      </c>
      <c r="AG97" s="154">
        <v>0.70138888889050577</v>
      </c>
      <c r="AH97" s="151" t="s">
        <v>141</v>
      </c>
      <c r="AI97" s="151" t="s">
        <v>498</v>
      </c>
      <c r="AJ97" s="151" t="s">
        <v>104</v>
      </c>
      <c r="AK97" s="151" t="s">
        <v>104</v>
      </c>
      <c r="AL97" s="151" t="s">
        <v>58</v>
      </c>
      <c r="AM97" s="188" t="s">
        <v>1224</v>
      </c>
      <c r="AN97" s="188" t="s">
        <v>1233</v>
      </c>
      <c r="AO97" s="188"/>
      <c r="AP97" s="155"/>
    </row>
    <row r="98" spans="3:42" ht="14.25" customHeight="1">
      <c r="C98" s="156" t="str">
        <f>IF($X98=1,COUNTIF($C$10:C97,"&gt;0")+1,"")</f>
        <v/>
      </c>
      <c r="D98" s="151"/>
      <c r="E98" s="151" t="s">
        <v>493</v>
      </c>
      <c r="F98" s="152" t="s">
        <v>524</v>
      </c>
      <c r="G98" s="151" t="s">
        <v>517</v>
      </c>
      <c r="H98" s="151" t="s">
        <v>525</v>
      </c>
      <c r="I98" s="151" t="s">
        <v>124</v>
      </c>
      <c r="J98" s="151" t="s">
        <v>98</v>
      </c>
      <c r="K98" s="151" t="s">
        <v>99</v>
      </c>
      <c r="L98" s="153">
        <v>41790</v>
      </c>
      <c r="M98" s="151">
        <v>11</v>
      </c>
      <c r="N98" s="151" t="s">
        <v>526</v>
      </c>
      <c r="O98" s="153">
        <v>46365</v>
      </c>
      <c r="P98" s="151" t="s">
        <v>51</v>
      </c>
      <c r="Q98" s="151"/>
      <c r="R98" s="173">
        <v>45918</v>
      </c>
      <c r="S98" s="174">
        <v>45923</v>
      </c>
      <c r="T98" s="175">
        <f>S98-R98</f>
        <v>5</v>
      </c>
      <c r="U98" s="151">
        <v>1</v>
      </c>
      <c r="V98" s="151">
        <v>0</v>
      </c>
      <c r="W98" s="151">
        <v>1</v>
      </c>
      <c r="X98" s="151">
        <v>0</v>
      </c>
      <c r="Y98" s="151">
        <v>0</v>
      </c>
      <c r="Z98" s="151">
        <v>0</v>
      </c>
      <c r="AA98" s="151">
        <v>0</v>
      </c>
      <c r="AB98" s="151"/>
      <c r="AC98" s="153">
        <v>45918</v>
      </c>
      <c r="AD98" s="154">
        <v>0.18055555555474712</v>
      </c>
      <c r="AE98" s="151" t="s">
        <v>147</v>
      </c>
      <c r="AF98" s="153">
        <v>45923</v>
      </c>
      <c r="AG98" s="154">
        <v>0.70138888889050577</v>
      </c>
      <c r="AH98" s="151" t="s">
        <v>141</v>
      </c>
      <c r="AI98" s="151" t="s">
        <v>498</v>
      </c>
      <c r="AJ98" s="151" t="s">
        <v>104</v>
      </c>
      <c r="AK98" s="151" t="s">
        <v>527</v>
      </c>
      <c r="AL98" s="151" t="s">
        <v>58</v>
      </c>
      <c r="AM98" s="188" t="s">
        <v>1224</v>
      </c>
      <c r="AN98" s="188" t="s">
        <v>1233</v>
      </c>
      <c r="AO98" s="188"/>
      <c r="AP98" s="155"/>
    </row>
    <row r="99" spans="3:42" ht="14.25" customHeight="1">
      <c r="C99" s="156">
        <f>IF($X99=1,COUNTIF($C$10:C98,"&gt;0")+1,"")</f>
        <v>45</v>
      </c>
      <c r="D99" s="151">
        <v>15262648</v>
      </c>
      <c r="E99" s="151" t="s">
        <v>493</v>
      </c>
      <c r="F99" s="152" t="s">
        <v>528</v>
      </c>
      <c r="G99" s="151" t="s">
        <v>528</v>
      </c>
      <c r="H99" s="151" t="s">
        <v>529</v>
      </c>
      <c r="I99" s="151" t="s">
        <v>530</v>
      </c>
      <c r="J99" s="151" t="s">
        <v>100</v>
      </c>
      <c r="K99" s="151" t="s">
        <v>99</v>
      </c>
      <c r="L99" s="153">
        <v>28673</v>
      </c>
      <c r="M99" s="151">
        <v>47</v>
      </c>
      <c r="N99" s="151" t="s">
        <v>531</v>
      </c>
      <c r="O99" s="153">
        <v>49459</v>
      </c>
      <c r="P99" s="151" t="s">
        <v>51</v>
      </c>
      <c r="Q99" s="151"/>
      <c r="R99" s="173">
        <v>45918</v>
      </c>
      <c r="S99" s="174">
        <v>45923</v>
      </c>
      <c r="T99" s="175">
        <f>S99-R99</f>
        <v>5</v>
      </c>
      <c r="U99" s="151">
        <v>1</v>
      </c>
      <c r="V99" s="151">
        <v>1</v>
      </c>
      <c r="W99" s="151">
        <v>0</v>
      </c>
      <c r="X99" s="151">
        <v>1</v>
      </c>
      <c r="Y99" s="151">
        <v>0</v>
      </c>
      <c r="Z99" s="151">
        <v>1</v>
      </c>
      <c r="AA99" s="151">
        <v>0</v>
      </c>
      <c r="AB99" s="151"/>
      <c r="AC99" s="153">
        <v>45918</v>
      </c>
      <c r="AD99" s="154">
        <v>0.18055555555474712</v>
      </c>
      <c r="AE99" s="151" t="s">
        <v>147</v>
      </c>
      <c r="AF99" s="153">
        <v>45923</v>
      </c>
      <c r="AG99" s="154">
        <v>0.70138888889050577</v>
      </c>
      <c r="AH99" s="151" t="s">
        <v>141</v>
      </c>
      <c r="AI99" s="151" t="s">
        <v>498</v>
      </c>
      <c r="AJ99" s="151" t="s">
        <v>104</v>
      </c>
      <c r="AK99" s="151" t="s">
        <v>104</v>
      </c>
      <c r="AL99" s="151" t="s">
        <v>58</v>
      </c>
      <c r="AM99" s="188" t="s">
        <v>1224</v>
      </c>
      <c r="AN99" s="188" t="s">
        <v>1233</v>
      </c>
      <c r="AO99" s="188"/>
      <c r="AP99" s="155"/>
    </row>
    <row r="100" spans="3:42" ht="14.25" customHeight="1">
      <c r="C100" s="156" t="str">
        <f>IF($X100=1,COUNTIF($C$10:C99,"&gt;0")+1,"")</f>
        <v/>
      </c>
      <c r="D100" s="151"/>
      <c r="E100" s="151" t="s">
        <v>493</v>
      </c>
      <c r="F100" s="152" t="s">
        <v>532</v>
      </c>
      <c r="G100" s="151" t="s">
        <v>528</v>
      </c>
      <c r="H100" s="151" t="s">
        <v>533</v>
      </c>
      <c r="I100" s="151" t="s">
        <v>124</v>
      </c>
      <c r="J100" s="151" t="s">
        <v>100</v>
      </c>
      <c r="K100" s="151" t="s">
        <v>99</v>
      </c>
      <c r="L100" s="153">
        <v>40067</v>
      </c>
      <c r="M100" s="151">
        <v>16</v>
      </c>
      <c r="N100" s="151" t="s">
        <v>534</v>
      </c>
      <c r="O100" s="153">
        <v>46365</v>
      </c>
      <c r="P100" s="151" t="s">
        <v>51</v>
      </c>
      <c r="Q100" s="151"/>
      <c r="R100" s="173">
        <v>45918</v>
      </c>
      <c r="S100" s="174">
        <v>45923</v>
      </c>
      <c r="T100" s="175">
        <f>S100-R100</f>
        <v>5</v>
      </c>
      <c r="U100" s="151">
        <v>1</v>
      </c>
      <c r="V100" s="151">
        <v>1</v>
      </c>
      <c r="W100" s="151">
        <v>0</v>
      </c>
      <c r="X100" s="151">
        <v>0</v>
      </c>
      <c r="Y100" s="151">
        <v>0</v>
      </c>
      <c r="Z100" s="151">
        <v>0</v>
      </c>
      <c r="AA100" s="151">
        <v>0</v>
      </c>
      <c r="AB100" s="151"/>
      <c r="AC100" s="153">
        <v>45918</v>
      </c>
      <c r="AD100" s="154">
        <v>0.18055555555474712</v>
      </c>
      <c r="AE100" s="151" t="s">
        <v>147</v>
      </c>
      <c r="AF100" s="153">
        <v>45923</v>
      </c>
      <c r="AG100" s="154">
        <v>0.70138888889050577</v>
      </c>
      <c r="AH100" s="151" t="s">
        <v>141</v>
      </c>
      <c r="AI100" s="151" t="s">
        <v>498</v>
      </c>
      <c r="AJ100" s="151" t="s">
        <v>104</v>
      </c>
      <c r="AK100" s="151" t="s">
        <v>104</v>
      </c>
      <c r="AL100" s="151" t="s">
        <v>58</v>
      </c>
      <c r="AM100" s="188" t="s">
        <v>1224</v>
      </c>
      <c r="AN100" s="188" t="s">
        <v>1233</v>
      </c>
      <c r="AO100" s="188"/>
      <c r="AP100" s="155"/>
    </row>
    <row r="101" spans="3:42" ht="14.25" customHeight="1">
      <c r="C101" s="156">
        <f>IF($X101=1,COUNTIF($C$10:C100,"&gt;0")+1,"")</f>
        <v>46</v>
      </c>
      <c r="D101" s="151">
        <v>15262653</v>
      </c>
      <c r="E101" s="151" t="s">
        <v>493</v>
      </c>
      <c r="F101" s="152" t="s">
        <v>535</v>
      </c>
      <c r="G101" s="151" t="s">
        <v>535</v>
      </c>
      <c r="H101" s="151" t="s">
        <v>536</v>
      </c>
      <c r="I101" s="151" t="s">
        <v>501</v>
      </c>
      <c r="J101" s="151" t="s">
        <v>100</v>
      </c>
      <c r="K101" s="151" t="s">
        <v>99</v>
      </c>
      <c r="L101" s="153">
        <v>28250</v>
      </c>
      <c r="M101" s="151">
        <v>48</v>
      </c>
      <c r="N101" s="151" t="s">
        <v>537</v>
      </c>
      <c r="O101" s="153">
        <v>47301</v>
      </c>
      <c r="P101" s="151" t="s">
        <v>51</v>
      </c>
      <c r="Q101" s="151"/>
      <c r="R101" s="173">
        <v>45918</v>
      </c>
      <c r="S101" s="174">
        <v>45923</v>
      </c>
      <c r="T101" s="175">
        <f>S101-R101</f>
        <v>5</v>
      </c>
      <c r="U101" s="151">
        <v>1</v>
      </c>
      <c r="V101" s="151">
        <v>1</v>
      </c>
      <c r="W101" s="151">
        <v>0</v>
      </c>
      <c r="X101" s="151">
        <v>1</v>
      </c>
      <c r="Y101" s="151">
        <v>0</v>
      </c>
      <c r="Z101" s="151">
        <v>1</v>
      </c>
      <c r="AA101" s="151">
        <v>0</v>
      </c>
      <c r="AB101" s="151"/>
      <c r="AC101" s="153">
        <v>45918</v>
      </c>
      <c r="AD101" s="154">
        <v>0.58680555555474712</v>
      </c>
      <c r="AE101" s="151" t="s">
        <v>144</v>
      </c>
      <c r="AF101" s="153">
        <v>45923</v>
      </c>
      <c r="AG101" s="154">
        <v>0.56944444444525288</v>
      </c>
      <c r="AH101" s="151" t="s">
        <v>156</v>
      </c>
      <c r="AI101" s="151" t="s">
        <v>498</v>
      </c>
      <c r="AJ101" s="151" t="s">
        <v>104</v>
      </c>
      <c r="AK101" s="151" t="s">
        <v>104</v>
      </c>
      <c r="AL101" s="151" t="s">
        <v>58</v>
      </c>
      <c r="AM101" s="188" t="s">
        <v>1224</v>
      </c>
      <c r="AN101" s="188" t="s">
        <v>1233</v>
      </c>
      <c r="AO101" s="188"/>
      <c r="AP101" s="155"/>
    </row>
    <row r="102" spans="3:42" ht="14.25" customHeight="1">
      <c r="C102" s="156" t="str">
        <f>IF($X102=1,COUNTIF($C$10:C101,"&gt;0")+1,"")</f>
        <v/>
      </c>
      <c r="D102" s="151"/>
      <c r="E102" s="151" t="s">
        <v>493</v>
      </c>
      <c r="F102" s="152" t="s">
        <v>538</v>
      </c>
      <c r="G102" s="151" t="s">
        <v>535</v>
      </c>
      <c r="H102" s="151" t="s">
        <v>539</v>
      </c>
      <c r="I102" s="151" t="s">
        <v>496</v>
      </c>
      <c r="J102" s="151" t="s">
        <v>98</v>
      </c>
      <c r="K102" s="151" t="s">
        <v>99</v>
      </c>
      <c r="L102" s="153">
        <v>26438</v>
      </c>
      <c r="M102" s="151">
        <v>53</v>
      </c>
      <c r="N102" s="151" t="s">
        <v>540</v>
      </c>
      <c r="O102" s="153">
        <v>47301</v>
      </c>
      <c r="P102" s="151" t="s">
        <v>51</v>
      </c>
      <c r="Q102" s="151"/>
      <c r="R102" s="173">
        <v>45918</v>
      </c>
      <c r="S102" s="174">
        <v>45923</v>
      </c>
      <c r="T102" s="175">
        <f>S102-R102</f>
        <v>5</v>
      </c>
      <c r="U102" s="151">
        <v>1</v>
      </c>
      <c r="V102" s="151">
        <v>1</v>
      </c>
      <c r="W102" s="151">
        <v>0</v>
      </c>
      <c r="X102" s="151">
        <v>0</v>
      </c>
      <c r="Y102" s="151">
        <v>0</v>
      </c>
      <c r="Z102" s="151">
        <v>0</v>
      </c>
      <c r="AA102" s="151">
        <v>0</v>
      </c>
      <c r="AB102" s="151"/>
      <c r="AC102" s="153">
        <v>45918</v>
      </c>
      <c r="AD102" s="154">
        <v>0.58680555555474712</v>
      </c>
      <c r="AE102" s="151" t="s">
        <v>144</v>
      </c>
      <c r="AF102" s="153">
        <v>45923</v>
      </c>
      <c r="AG102" s="154">
        <v>0.56944444444525288</v>
      </c>
      <c r="AH102" s="151" t="s">
        <v>156</v>
      </c>
      <c r="AI102" s="151" t="s">
        <v>498</v>
      </c>
      <c r="AJ102" s="151" t="s">
        <v>104</v>
      </c>
      <c r="AK102" s="151" t="s">
        <v>104</v>
      </c>
      <c r="AL102" s="151" t="s">
        <v>58</v>
      </c>
      <c r="AM102" s="188" t="s">
        <v>1224</v>
      </c>
      <c r="AN102" s="188" t="s">
        <v>1233</v>
      </c>
      <c r="AO102" s="188"/>
      <c r="AP102" s="155"/>
    </row>
    <row r="103" spans="3:42" ht="14.25" customHeight="1">
      <c r="C103" s="156">
        <f>IF($X103=1,COUNTIF($C$10:C102,"&gt;0")+1,"")</f>
        <v>47</v>
      </c>
      <c r="D103" s="151">
        <v>15262654</v>
      </c>
      <c r="E103" s="151" t="s">
        <v>493</v>
      </c>
      <c r="F103" s="152" t="s">
        <v>541</v>
      </c>
      <c r="G103" s="151" t="s">
        <v>541</v>
      </c>
      <c r="H103" s="151" t="s">
        <v>542</v>
      </c>
      <c r="I103" s="151" t="s">
        <v>543</v>
      </c>
      <c r="J103" s="151" t="s">
        <v>100</v>
      </c>
      <c r="K103" s="151" t="s">
        <v>99</v>
      </c>
      <c r="L103" s="153">
        <v>38291</v>
      </c>
      <c r="M103" s="151">
        <v>20</v>
      </c>
      <c r="N103" s="151" t="s">
        <v>544</v>
      </c>
      <c r="O103" s="153">
        <v>48421</v>
      </c>
      <c r="P103" s="151" t="s">
        <v>52</v>
      </c>
      <c r="Q103" s="151"/>
      <c r="R103" s="173">
        <v>45918</v>
      </c>
      <c r="S103" s="174">
        <v>45923</v>
      </c>
      <c r="T103" s="175">
        <f>S103-R103</f>
        <v>5</v>
      </c>
      <c r="U103" s="151">
        <v>1</v>
      </c>
      <c r="V103" s="151">
        <v>1</v>
      </c>
      <c r="W103" s="151">
        <v>0</v>
      </c>
      <c r="X103" s="151">
        <v>1</v>
      </c>
      <c r="Y103" s="151">
        <v>0</v>
      </c>
      <c r="Z103" s="151">
        <v>0</v>
      </c>
      <c r="AA103" s="151">
        <v>1</v>
      </c>
      <c r="AB103" s="151"/>
      <c r="AC103" s="153">
        <v>45918</v>
      </c>
      <c r="AD103" s="154">
        <v>0.58680555555474712</v>
      </c>
      <c r="AE103" s="151" t="s">
        <v>144</v>
      </c>
      <c r="AF103" s="153">
        <v>45923</v>
      </c>
      <c r="AG103" s="154">
        <v>0.56944444444525288</v>
      </c>
      <c r="AH103" s="151" t="s">
        <v>156</v>
      </c>
      <c r="AI103" s="151" t="s">
        <v>498</v>
      </c>
      <c r="AJ103" s="151" t="s">
        <v>104</v>
      </c>
      <c r="AK103" s="151" t="s">
        <v>104</v>
      </c>
      <c r="AL103" s="151" t="s">
        <v>58</v>
      </c>
      <c r="AM103" s="188" t="s">
        <v>1224</v>
      </c>
      <c r="AN103" s="188" t="s">
        <v>1234</v>
      </c>
      <c r="AO103" s="188"/>
      <c r="AP103" s="155"/>
    </row>
    <row r="104" spans="3:42" ht="14.25" customHeight="1">
      <c r="C104" s="156" t="str">
        <f>IF($X104=1,COUNTIF($C$10:C103,"&gt;0")+1,"")</f>
        <v/>
      </c>
      <c r="D104" s="151"/>
      <c r="E104" s="151" t="s">
        <v>493</v>
      </c>
      <c r="F104" s="152" t="s">
        <v>545</v>
      </c>
      <c r="G104" s="151" t="s">
        <v>541</v>
      </c>
      <c r="H104" s="151" t="s">
        <v>546</v>
      </c>
      <c r="I104" s="151" t="s">
        <v>501</v>
      </c>
      <c r="J104" s="151" t="s">
        <v>100</v>
      </c>
      <c r="K104" s="151" t="s">
        <v>99</v>
      </c>
      <c r="L104" s="153">
        <v>36885</v>
      </c>
      <c r="M104" s="151">
        <v>24</v>
      </c>
      <c r="N104" s="151" t="s">
        <v>547</v>
      </c>
      <c r="O104" s="153">
        <v>46769</v>
      </c>
      <c r="P104" s="151" t="s">
        <v>52</v>
      </c>
      <c r="Q104" s="151"/>
      <c r="R104" s="173">
        <v>45918</v>
      </c>
      <c r="S104" s="174">
        <v>45923</v>
      </c>
      <c r="T104" s="175">
        <f>S104-R104</f>
        <v>5</v>
      </c>
      <c r="U104" s="151">
        <v>1</v>
      </c>
      <c r="V104" s="151">
        <v>1</v>
      </c>
      <c r="W104" s="151">
        <v>0</v>
      </c>
      <c r="X104" s="151">
        <v>0</v>
      </c>
      <c r="Y104" s="151">
        <v>0</v>
      </c>
      <c r="Z104" s="151">
        <v>0</v>
      </c>
      <c r="AA104" s="151">
        <v>0</v>
      </c>
      <c r="AB104" s="151"/>
      <c r="AC104" s="153">
        <v>45918</v>
      </c>
      <c r="AD104" s="154">
        <v>0.58680555555474712</v>
      </c>
      <c r="AE104" s="151" t="s">
        <v>144</v>
      </c>
      <c r="AF104" s="153">
        <v>45923</v>
      </c>
      <c r="AG104" s="154">
        <v>0.56944444444525288</v>
      </c>
      <c r="AH104" s="151" t="s">
        <v>156</v>
      </c>
      <c r="AI104" s="151" t="s">
        <v>498</v>
      </c>
      <c r="AJ104" s="151" t="s">
        <v>104</v>
      </c>
      <c r="AK104" s="151" t="s">
        <v>104</v>
      </c>
      <c r="AL104" s="151" t="s">
        <v>58</v>
      </c>
      <c r="AM104" s="188" t="s">
        <v>1224</v>
      </c>
      <c r="AN104" s="188" t="s">
        <v>1234</v>
      </c>
      <c r="AO104" s="188"/>
      <c r="AP104" s="155"/>
    </row>
    <row r="105" spans="3:42" ht="14.25" customHeight="1">
      <c r="C105" s="156">
        <f>IF($X105=1,COUNTIF($C$10:C104,"&gt;0")+1,"")</f>
        <v>48</v>
      </c>
      <c r="D105" s="151">
        <v>15262655</v>
      </c>
      <c r="E105" s="151" t="s">
        <v>493</v>
      </c>
      <c r="F105" s="194" t="s">
        <v>548</v>
      </c>
      <c r="G105" s="191" t="s">
        <v>541</v>
      </c>
      <c r="H105" s="191" t="s">
        <v>1240</v>
      </c>
      <c r="I105" s="191" t="s">
        <v>1241</v>
      </c>
      <c r="J105" s="191" t="s">
        <v>100</v>
      </c>
      <c r="K105" s="191" t="s">
        <v>99</v>
      </c>
      <c r="L105" s="192">
        <v>29599</v>
      </c>
      <c r="M105" s="191">
        <v>44</v>
      </c>
      <c r="N105" s="191">
        <v>641336502</v>
      </c>
      <c r="O105" s="192">
        <v>120216</v>
      </c>
      <c r="P105" s="151" t="s">
        <v>51</v>
      </c>
      <c r="Q105" s="151"/>
      <c r="R105" s="173">
        <v>45918</v>
      </c>
      <c r="S105" s="174">
        <v>45923</v>
      </c>
      <c r="T105" s="175">
        <f>S105-R105</f>
        <v>5</v>
      </c>
      <c r="U105" s="151">
        <v>1</v>
      </c>
      <c r="V105" s="151">
        <v>1</v>
      </c>
      <c r="W105" s="151">
        <v>0</v>
      </c>
      <c r="X105" s="151">
        <v>1</v>
      </c>
      <c r="Y105" s="151">
        <v>0</v>
      </c>
      <c r="Z105" s="151">
        <v>1</v>
      </c>
      <c r="AA105" s="151">
        <v>0</v>
      </c>
      <c r="AB105" s="151"/>
      <c r="AC105" s="153">
        <v>45918</v>
      </c>
      <c r="AD105" s="154">
        <v>0.58680555555474712</v>
      </c>
      <c r="AE105" s="151" t="s">
        <v>144</v>
      </c>
      <c r="AF105" s="153">
        <v>45923</v>
      </c>
      <c r="AG105" s="154">
        <v>0.56944444444525288</v>
      </c>
      <c r="AH105" s="151" t="s">
        <v>156</v>
      </c>
      <c r="AI105" s="151" t="s">
        <v>498</v>
      </c>
      <c r="AJ105" s="151" t="s">
        <v>104</v>
      </c>
      <c r="AK105" s="151" t="s">
        <v>104</v>
      </c>
      <c r="AL105" s="151" t="s">
        <v>58</v>
      </c>
      <c r="AM105" s="188" t="s">
        <v>1224</v>
      </c>
      <c r="AN105" s="188" t="s">
        <v>1233</v>
      </c>
      <c r="AO105" s="188"/>
      <c r="AP105" s="193" t="s">
        <v>1242</v>
      </c>
    </row>
    <row r="106" spans="3:42" ht="14.25" customHeight="1">
      <c r="C106" s="156" t="str">
        <f>IF($X106=1,COUNTIF($C$10:C105,"&gt;0")+1,"")</f>
        <v/>
      </c>
      <c r="D106" s="151"/>
      <c r="E106" s="151" t="s">
        <v>493</v>
      </c>
      <c r="F106" s="152" t="s">
        <v>549</v>
      </c>
      <c r="G106" s="151" t="s">
        <v>541</v>
      </c>
      <c r="H106" s="151" t="s">
        <v>550</v>
      </c>
      <c r="I106" s="151" t="s">
        <v>543</v>
      </c>
      <c r="J106" s="151" t="s">
        <v>98</v>
      </c>
      <c r="K106" s="151" t="s">
        <v>99</v>
      </c>
      <c r="L106" s="153">
        <v>40395</v>
      </c>
      <c r="M106" s="151">
        <v>15</v>
      </c>
      <c r="N106" s="151" t="s">
        <v>551</v>
      </c>
      <c r="O106" s="153">
        <v>46351</v>
      </c>
      <c r="P106" s="151" t="s">
        <v>51</v>
      </c>
      <c r="Q106" s="151"/>
      <c r="R106" s="173">
        <v>45918</v>
      </c>
      <c r="S106" s="174">
        <v>45923</v>
      </c>
      <c r="T106" s="175">
        <f>S106-R106</f>
        <v>5</v>
      </c>
      <c r="U106" s="151">
        <v>1</v>
      </c>
      <c r="V106" s="151">
        <v>1</v>
      </c>
      <c r="W106" s="151">
        <v>0</v>
      </c>
      <c r="X106" s="151">
        <v>0</v>
      </c>
      <c r="Y106" s="151">
        <v>0</v>
      </c>
      <c r="Z106" s="151">
        <v>0</v>
      </c>
      <c r="AA106" s="151">
        <v>0</v>
      </c>
      <c r="AB106" s="151"/>
      <c r="AC106" s="153">
        <v>45918</v>
      </c>
      <c r="AD106" s="154">
        <v>0.58680555555474712</v>
      </c>
      <c r="AE106" s="151" t="s">
        <v>144</v>
      </c>
      <c r="AF106" s="153">
        <v>45923</v>
      </c>
      <c r="AG106" s="154">
        <v>0.56944444444525288</v>
      </c>
      <c r="AH106" s="151" t="s">
        <v>156</v>
      </c>
      <c r="AI106" s="151" t="s">
        <v>498</v>
      </c>
      <c r="AJ106" s="151" t="s">
        <v>104</v>
      </c>
      <c r="AK106" s="151" t="s">
        <v>104</v>
      </c>
      <c r="AL106" s="151" t="s">
        <v>58</v>
      </c>
      <c r="AM106" s="188" t="s">
        <v>1224</v>
      </c>
      <c r="AN106" s="188" t="s">
        <v>1233</v>
      </c>
      <c r="AO106" s="188"/>
      <c r="AP106" s="155"/>
    </row>
    <row r="107" spans="3:42" ht="14.25" customHeight="1">
      <c r="C107" s="156">
        <f>IF($X107=1,COUNTIF($C$10:C106,"&gt;0")+1,"")</f>
        <v>49</v>
      </c>
      <c r="D107" s="151">
        <v>15262656</v>
      </c>
      <c r="E107" s="151" t="s">
        <v>493</v>
      </c>
      <c r="F107" s="152" t="s">
        <v>552</v>
      </c>
      <c r="G107" s="151" t="s">
        <v>552</v>
      </c>
      <c r="H107" s="151" t="s">
        <v>553</v>
      </c>
      <c r="I107" s="151" t="s">
        <v>554</v>
      </c>
      <c r="J107" s="151" t="s">
        <v>98</v>
      </c>
      <c r="K107" s="151" t="s">
        <v>99</v>
      </c>
      <c r="L107" s="153">
        <v>23591</v>
      </c>
      <c r="M107" s="151">
        <v>61</v>
      </c>
      <c r="N107" s="151" t="s">
        <v>555</v>
      </c>
      <c r="O107" s="153">
        <v>48191</v>
      </c>
      <c r="P107" s="151" t="s">
        <v>52</v>
      </c>
      <c r="Q107" s="151"/>
      <c r="R107" s="173">
        <v>45918</v>
      </c>
      <c r="S107" s="174">
        <v>45923</v>
      </c>
      <c r="T107" s="175">
        <f>S107-R107</f>
        <v>5</v>
      </c>
      <c r="U107" s="151">
        <v>1</v>
      </c>
      <c r="V107" s="151">
        <v>1</v>
      </c>
      <c r="W107" s="151">
        <v>0</v>
      </c>
      <c r="X107" s="151">
        <v>1</v>
      </c>
      <c r="Y107" s="151">
        <v>0</v>
      </c>
      <c r="Z107" s="151">
        <v>0</v>
      </c>
      <c r="AA107" s="151">
        <v>1</v>
      </c>
      <c r="AB107" s="151"/>
      <c r="AC107" s="153">
        <v>45918</v>
      </c>
      <c r="AD107" s="154">
        <v>0.58680555555474712</v>
      </c>
      <c r="AE107" s="151" t="s">
        <v>144</v>
      </c>
      <c r="AF107" s="153">
        <v>45923</v>
      </c>
      <c r="AG107" s="154">
        <v>0.56944444444525288</v>
      </c>
      <c r="AH107" s="151" t="s">
        <v>156</v>
      </c>
      <c r="AI107" s="151" t="s">
        <v>498</v>
      </c>
      <c r="AJ107" s="151" t="s">
        <v>104</v>
      </c>
      <c r="AK107" s="151" t="s">
        <v>104</v>
      </c>
      <c r="AL107" s="151" t="s">
        <v>58</v>
      </c>
      <c r="AM107" s="188" t="s">
        <v>1224</v>
      </c>
      <c r="AN107" s="188" t="s">
        <v>1234</v>
      </c>
      <c r="AO107" s="188"/>
      <c r="AP107" s="155"/>
    </row>
    <row r="108" spans="3:42" ht="14.25" customHeight="1">
      <c r="C108" s="156" t="str">
        <f>IF($X108=1,COUNTIF($C$10:C107,"&gt;0")+1,"")</f>
        <v/>
      </c>
      <c r="D108" s="151"/>
      <c r="E108" s="151" t="s">
        <v>493</v>
      </c>
      <c r="F108" s="152" t="s">
        <v>556</v>
      </c>
      <c r="G108" s="151" t="s">
        <v>552</v>
      </c>
      <c r="H108" s="151" t="s">
        <v>557</v>
      </c>
      <c r="I108" s="151" t="s">
        <v>558</v>
      </c>
      <c r="J108" s="151" t="s">
        <v>100</v>
      </c>
      <c r="K108" s="151" t="s">
        <v>99</v>
      </c>
      <c r="L108" s="153">
        <v>32893</v>
      </c>
      <c r="M108" s="151">
        <v>35</v>
      </c>
      <c r="N108" s="151" t="s">
        <v>559</v>
      </c>
      <c r="O108" s="153">
        <v>46824</v>
      </c>
      <c r="P108" s="151" t="s">
        <v>52</v>
      </c>
      <c r="Q108" s="151"/>
      <c r="R108" s="173">
        <v>45918</v>
      </c>
      <c r="S108" s="174">
        <v>45923</v>
      </c>
      <c r="T108" s="175">
        <f>S108-R108</f>
        <v>5</v>
      </c>
      <c r="U108" s="151">
        <v>1</v>
      </c>
      <c r="V108" s="151">
        <v>1</v>
      </c>
      <c r="W108" s="151">
        <v>0</v>
      </c>
      <c r="X108" s="151">
        <v>0</v>
      </c>
      <c r="Y108" s="151">
        <v>0</v>
      </c>
      <c r="Z108" s="151">
        <v>0</v>
      </c>
      <c r="AA108" s="151">
        <v>0</v>
      </c>
      <c r="AB108" s="151"/>
      <c r="AC108" s="153">
        <v>45918</v>
      </c>
      <c r="AD108" s="154">
        <v>0.58680555555474712</v>
      </c>
      <c r="AE108" s="151" t="s">
        <v>144</v>
      </c>
      <c r="AF108" s="153">
        <v>45923</v>
      </c>
      <c r="AG108" s="154">
        <v>0.56944444444525288</v>
      </c>
      <c r="AH108" s="151" t="s">
        <v>156</v>
      </c>
      <c r="AI108" s="151" t="s">
        <v>498</v>
      </c>
      <c r="AJ108" s="151" t="s">
        <v>104</v>
      </c>
      <c r="AK108" s="151" t="s">
        <v>104</v>
      </c>
      <c r="AL108" s="151" t="s">
        <v>58</v>
      </c>
      <c r="AM108" s="188" t="s">
        <v>1224</v>
      </c>
      <c r="AN108" s="188" t="s">
        <v>1234</v>
      </c>
      <c r="AO108" s="188"/>
      <c r="AP108" s="155"/>
    </row>
    <row r="109" spans="3:42" ht="14.25" customHeight="1">
      <c r="C109" s="156">
        <f>IF($X109=1,COUNTIF($C$10:C108,"&gt;0")+1,"")</f>
        <v>50</v>
      </c>
      <c r="D109" s="151">
        <v>15262657</v>
      </c>
      <c r="E109" s="151" t="s">
        <v>493</v>
      </c>
      <c r="F109" s="152" t="s">
        <v>560</v>
      </c>
      <c r="G109" s="151" t="s">
        <v>560</v>
      </c>
      <c r="H109" s="151" t="s">
        <v>561</v>
      </c>
      <c r="I109" s="151" t="s">
        <v>244</v>
      </c>
      <c r="J109" s="151" t="s">
        <v>100</v>
      </c>
      <c r="K109" s="151" t="s">
        <v>99</v>
      </c>
      <c r="L109" s="153">
        <v>27445</v>
      </c>
      <c r="M109" s="151">
        <v>50</v>
      </c>
      <c r="N109" s="151" t="s">
        <v>562</v>
      </c>
      <c r="O109" s="153">
        <v>49050</v>
      </c>
      <c r="P109" s="151" t="s">
        <v>52</v>
      </c>
      <c r="Q109" s="151"/>
      <c r="R109" s="173">
        <v>45918</v>
      </c>
      <c r="S109" s="174">
        <v>45923</v>
      </c>
      <c r="T109" s="175">
        <f>S109-R109</f>
        <v>5</v>
      </c>
      <c r="U109" s="151">
        <v>1</v>
      </c>
      <c r="V109" s="151">
        <v>1</v>
      </c>
      <c r="W109" s="151">
        <v>0</v>
      </c>
      <c r="X109" s="151">
        <v>1</v>
      </c>
      <c r="Y109" s="151">
        <v>0</v>
      </c>
      <c r="Z109" s="151">
        <v>0</v>
      </c>
      <c r="AA109" s="151">
        <v>1</v>
      </c>
      <c r="AB109" s="151"/>
      <c r="AC109" s="153">
        <v>45918</v>
      </c>
      <c r="AD109" s="154">
        <v>0.58680555555474712</v>
      </c>
      <c r="AE109" s="151" t="s">
        <v>144</v>
      </c>
      <c r="AF109" s="153">
        <v>45923</v>
      </c>
      <c r="AG109" s="154">
        <v>0.56944444444525288</v>
      </c>
      <c r="AH109" s="151" t="s">
        <v>156</v>
      </c>
      <c r="AI109" s="151" t="s">
        <v>498</v>
      </c>
      <c r="AJ109" s="151" t="s">
        <v>104</v>
      </c>
      <c r="AK109" s="151" t="s">
        <v>104</v>
      </c>
      <c r="AL109" s="151" t="s">
        <v>58</v>
      </c>
      <c r="AM109" s="188" t="s">
        <v>1224</v>
      </c>
      <c r="AN109" s="188" t="s">
        <v>1234</v>
      </c>
      <c r="AO109" s="188"/>
      <c r="AP109" s="155"/>
    </row>
    <row r="110" spans="3:42" ht="14.25" customHeight="1">
      <c r="C110" s="156" t="str">
        <f>IF($X110=1,COUNTIF($C$10:C109,"&gt;0")+1,"")</f>
        <v/>
      </c>
      <c r="D110" s="151"/>
      <c r="E110" s="151" t="s">
        <v>493</v>
      </c>
      <c r="F110" s="152" t="s">
        <v>563</v>
      </c>
      <c r="G110" s="151" t="s">
        <v>560</v>
      </c>
      <c r="H110" s="151" t="s">
        <v>564</v>
      </c>
      <c r="I110" s="151" t="s">
        <v>565</v>
      </c>
      <c r="J110" s="151" t="s">
        <v>98</v>
      </c>
      <c r="K110" s="151" t="s">
        <v>99</v>
      </c>
      <c r="L110" s="153">
        <v>40422</v>
      </c>
      <c r="M110" s="151">
        <v>15</v>
      </c>
      <c r="N110" s="151" t="s">
        <v>566</v>
      </c>
      <c r="O110" s="153">
        <v>47684</v>
      </c>
      <c r="P110" s="151" t="s">
        <v>52</v>
      </c>
      <c r="Q110" s="151"/>
      <c r="R110" s="173">
        <v>45918</v>
      </c>
      <c r="S110" s="174">
        <v>45923</v>
      </c>
      <c r="T110" s="175">
        <f>S110-R110</f>
        <v>5</v>
      </c>
      <c r="U110" s="151">
        <v>1</v>
      </c>
      <c r="V110" s="151">
        <v>1</v>
      </c>
      <c r="W110" s="151">
        <v>0</v>
      </c>
      <c r="X110" s="151">
        <v>0</v>
      </c>
      <c r="Y110" s="151">
        <v>0</v>
      </c>
      <c r="Z110" s="151">
        <v>0</v>
      </c>
      <c r="AA110" s="151">
        <v>0</v>
      </c>
      <c r="AB110" s="151"/>
      <c r="AC110" s="153">
        <v>45918</v>
      </c>
      <c r="AD110" s="154">
        <v>0.36458333333575865</v>
      </c>
      <c r="AE110" s="151" t="s">
        <v>567</v>
      </c>
      <c r="AF110" s="153">
        <v>45923</v>
      </c>
      <c r="AG110" s="154">
        <v>0.87152777778101154</v>
      </c>
      <c r="AH110" s="151" t="s">
        <v>568</v>
      </c>
      <c r="AI110" s="151" t="s">
        <v>498</v>
      </c>
      <c r="AJ110" s="151" t="s">
        <v>104</v>
      </c>
      <c r="AK110" s="151" t="s">
        <v>104</v>
      </c>
      <c r="AL110" s="151" t="s">
        <v>58</v>
      </c>
      <c r="AM110" s="188" t="s">
        <v>1224</v>
      </c>
      <c r="AN110" s="188" t="s">
        <v>1234</v>
      </c>
      <c r="AO110" s="188"/>
      <c r="AP110" s="155"/>
    </row>
    <row r="111" spans="3:42" ht="14.25" customHeight="1">
      <c r="C111" s="156">
        <f>IF($X111=1,COUNTIF($C$10:C110,"&gt;0")+1,"")</f>
        <v>51</v>
      </c>
      <c r="D111" s="151">
        <v>15262658</v>
      </c>
      <c r="E111" s="151" t="s">
        <v>493</v>
      </c>
      <c r="F111" s="152" t="s">
        <v>569</v>
      </c>
      <c r="G111" s="151" t="s">
        <v>569</v>
      </c>
      <c r="H111" s="151" t="s">
        <v>570</v>
      </c>
      <c r="I111" s="151" t="s">
        <v>571</v>
      </c>
      <c r="J111" s="151" t="s">
        <v>100</v>
      </c>
      <c r="K111" s="151" t="s">
        <v>572</v>
      </c>
      <c r="L111" s="153">
        <v>35564</v>
      </c>
      <c r="M111" s="151">
        <v>28</v>
      </c>
      <c r="N111" s="151" t="s">
        <v>573</v>
      </c>
      <c r="O111" s="153">
        <v>48935</v>
      </c>
      <c r="P111" s="151" t="s">
        <v>51</v>
      </c>
      <c r="Q111" s="151"/>
      <c r="R111" s="173">
        <v>45918</v>
      </c>
      <c r="S111" s="174">
        <v>45923</v>
      </c>
      <c r="T111" s="175">
        <f>S111-R111</f>
        <v>5</v>
      </c>
      <c r="U111" s="151">
        <v>1</v>
      </c>
      <c r="V111" s="151">
        <v>1</v>
      </c>
      <c r="W111" s="151">
        <v>0</v>
      </c>
      <c r="X111" s="151">
        <v>1</v>
      </c>
      <c r="Y111" s="151">
        <v>0</v>
      </c>
      <c r="Z111" s="151">
        <v>1</v>
      </c>
      <c r="AA111" s="151">
        <v>0</v>
      </c>
      <c r="AB111" s="151"/>
      <c r="AC111" s="153">
        <v>45918</v>
      </c>
      <c r="AD111" s="154">
        <v>0.58680555555474712</v>
      </c>
      <c r="AE111" s="151" t="s">
        <v>144</v>
      </c>
      <c r="AF111" s="153">
        <v>45923</v>
      </c>
      <c r="AG111" s="154">
        <v>0.56944444444525288</v>
      </c>
      <c r="AH111" s="151" t="s">
        <v>156</v>
      </c>
      <c r="AI111" s="151" t="s">
        <v>498</v>
      </c>
      <c r="AJ111" s="151" t="s">
        <v>104</v>
      </c>
      <c r="AK111" s="151"/>
      <c r="AL111" s="151" t="s">
        <v>58</v>
      </c>
      <c r="AM111" s="188" t="s">
        <v>1224</v>
      </c>
      <c r="AN111" s="188" t="s">
        <v>1233</v>
      </c>
      <c r="AO111" s="188"/>
      <c r="AP111" s="155"/>
    </row>
    <row r="112" spans="3:42" ht="14.25" customHeight="1">
      <c r="C112" s="156" t="str">
        <f>IF($X112=1,COUNTIF($C$10:C111,"&gt;0")+1,"")</f>
        <v/>
      </c>
      <c r="D112" s="151"/>
      <c r="E112" s="151" t="s">
        <v>493</v>
      </c>
      <c r="F112" s="152" t="s">
        <v>574</v>
      </c>
      <c r="G112" s="151" t="s">
        <v>569</v>
      </c>
      <c r="H112" s="151" t="s">
        <v>575</v>
      </c>
      <c r="I112" s="151" t="s">
        <v>576</v>
      </c>
      <c r="J112" s="151" t="s">
        <v>98</v>
      </c>
      <c r="K112" s="151" t="s">
        <v>99</v>
      </c>
      <c r="L112" s="153">
        <v>41484</v>
      </c>
      <c r="M112" s="151">
        <v>12</v>
      </c>
      <c r="N112" s="151" t="s">
        <v>577</v>
      </c>
      <c r="O112" s="153">
        <v>46566</v>
      </c>
      <c r="P112" s="151" t="s">
        <v>51</v>
      </c>
      <c r="Q112" s="151"/>
      <c r="R112" s="173">
        <v>45918</v>
      </c>
      <c r="S112" s="174">
        <v>45923</v>
      </c>
      <c r="T112" s="175">
        <f>S112-R112</f>
        <v>5</v>
      </c>
      <c r="U112" s="151">
        <v>1</v>
      </c>
      <c r="V112" s="151">
        <v>1</v>
      </c>
      <c r="W112" s="151">
        <v>0</v>
      </c>
      <c r="X112" s="151">
        <v>0</v>
      </c>
      <c r="Y112" s="151">
        <v>0</v>
      </c>
      <c r="Z112" s="151">
        <v>0</v>
      </c>
      <c r="AA112" s="151">
        <v>0</v>
      </c>
      <c r="AB112" s="151"/>
      <c r="AC112" s="153">
        <v>45918</v>
      </c>
      <c r="AD112" s="154">
        <v>0.58680555555474712</v>
      </c>
      <c r="AE112" s="151" t="s">
        <v>144</v>
      </c>
      <c r="AF112" s="153">
        <v>45923</v>
      </c>
      <c r="AG112" s="154">
        <v>0.56944444444525288</v>
      </c>
      <c r="AH112" s="151" t="s">
        <v>156</v>
      </c>
      <c r="AI112" s="151" t="s">
        <v>498</v>
      </c>
      <c r="AJ112" s="151" t="s">
        <v>104</v>
      </c>
      <c r="AK112" s="151" t="s">
        <v>104</v>
      </c>
      <c r="AL112" s="151" t="s">
        <v>58</v>
      </c>
      <c r="AM112" s="188" t="s">
        <v>1224</v>
      </c>
      <c r="AN112" s="188" t="s">
        <v>1233</v>
      </c>
      <c r="AO112" s="188"/>
      <c r="AP112" s="155"/>
    </row>
    <row r="113" spans="3:42" ht="14.25" customHeight="1">
      <c r="C113" s="156">
        <f>IF($X113=1,COUNTIF($C$10:C112,"&gt;0")+1,"")</f>
        <v>52</v>
      </c>
      <c r="D113" s="151">
        <v>15262659</v>
      </c>
      <c r="E113" s="151" t="s">
        <v>493</v>
      </c>
      <c r="F113" s="152" t="s">
        <v>578</v>
      </c>
      <c r="G113" s="151" t="s">
        <v>569</v>
      </c>
      <c r="H113" s="151" t="s">
        <v>579</v>
      </c>
      <c r="I113" s="151" t="s">
        <v>580</v>
      </c>
      <c r="J113" s="151" t="s">
        <v>100</v>
      </c>
      <c r="K113" s="151" t="s">
        <v>99</v>
      </c>
      <c r="L113" s="153">
        <v>29949</v>
      </c>
      <c r="M113" s="151">
        <v>43</v>
      </c>
      <c r="N113" s="151" t="s">
        <v>581</v>
      </c>
      <c r="O113" s="153">
        <v>49360</v>
      </c>
      <c r="P113" s="151" t="s">
        <v>52</v>
      </c>
      <c r="Q113" s="151"/>
      <c r="R113" s="173">
        <v>45918</v>
      </c>
      <c r="S113" s="174">
        <v>45923</v>
      </c>
      <c r="T113" s="175">
        <f>S113-R113</f>
        <v>5</v>
      </c>
      <c r="U113" s="151">
        <v>1</v>
      </c>
      <c r="V113" s="151">
        <v>1</v>
      </c>
      <c r="W113" s="151">
        <v>0</v>
      </c>
      <c r="X113" s="151">
        <v>1</v>
      </c>
      <c r="Y113" s="151">
        <v>0</v>
      </c>
      <c r="Z113" s="151">
        <v>0</v>
      </c>
      <c r="AA113" s="151">
        <v>1</v>
      </c>
      <c r="AB113" s="151"/>
      <c r="AC113" s="153">
        <v>45918</v>
      </c>
      <c r="AD113" s="154">
        <v>0.58680555555474712</v>
      </c>
      <c r="AE113" s="151" t="s">
        <v>144</v>
      </c>
      <c r="AF113" s="153">
        <v>45923</v>
      </c>
      <c r="AG113" s="154">
        <v>0.56944444444525288</v>
      </c>
      <c r="AH113" s="151" t="s">
        <v>156</v>
      </c>
      <c r="AI113" s="151" t="s">
        <v>498</v>
      </c>
      <c r="AJ113" s="151" t="s">
        <v>104</v>
      </c>
      <c r="AK113" s="151" t="s">
        <v>104</v>
      </c>
      <c r="AL113" s="151" t="s">
        <v>58</v>
      </c>
      <c r="AM113" s="188" t="s">
        <v>1224</v>
      </c>
      <c r="AN113" s="188" t="s">
        <v>1234</v>
      </c>
      <c r="AO113" s="188"/>
      <c r="AP113" s="155"/>
    </row>
    <row r="114" spans="3:42" ht="14.25" customHeight="1">
      <c r="C114" s="156" t="str">
        <f>IF($X114=1,COUNTIF($C$10:C113,"&gt;0")+1,"")</f>
        <v/>
      </c>
      <c r="D114" s="151"/>
      <c r="E114" s="151" t="s">
        <v>493</v>
      </c>
      <c r="F114" s="152" t="s">
        <v>582</v>
      </c>
      <c r="G114" s="151" t="s">
        <v>569</v>
      </c>
      <c r="H114" s="151" t="s">
        <v>583</v>
      </c>
      <c r="I114" s="151" t="s">
        <v>584</v>
      </c>
      <c r="J114" s="151" t="s">
        <v>100</v>
      </c>
      <c r="K114" s="151" t="s">
        <v>99</v>
      </c>
      <c r="L114" s="153">
        <v>42328</v>
      </c>
      <c r="M114" s="151">
        <v>9</v>
      </c>
      <c r="N114" s="151" t="s">
        <v>585</v>
      </c>
      <c r="O114" s="153">
        <v>46566</v>
      </c>
      <c r="P114" s="151" t="s">
        <v>52</v>
      </c>
      <c r="Q114" s="151"/>
      <c r="R114" s="173">
        <v>45918</v>
      </c>
      <c r="S114" s="174">
        <v>45923</v>
      </c>
      <c r="T114" s="175">
        <f>S114-R114</f>
        <v>5</v>
      </c>
      <c r="U114" s="151">
        <v>1</v>
      </c>
      <c r="V114" s="151">
        <v>1</v>
      </c>
      <c r="W114" s="151">
        <v>0</v>
      </c>
      <c r="X114" s="151">
        <v>0</v>
      </c>
      <c r="Y114" s="151">
        <v>0</v>
      </c>
      <c r="Z114" s="151">
        <v>0</v>
      </c>
      <c r="AA114" s="151">
        <v>0</v>
      </c>
      <c r="AB114" s="151"/>
      <c r="AC114" s="153">
        <v>45918</v>
      </c>
      <c r="AD114" s="154">
        <v>0.58680555555474712</v>
      </c>
      <c r="AE114" s="151" t="s">
        <v>144</v>
      </c>
      <c r="AF114" s="153">
        <v>45923</v>
      </c>
      <c r="AG114" s="154">
        <v>0.56944444444525288</v>
      </c>
      <c r="AH114" s="151" t="s">
        <v>156</v>
      </c>
      <c r="AI114" s="151" t="s">
        <v>498</v>
      </c>
      <c r="AJ114" s="151" t="s">
        <v>104</v>
      </c>
      <c r="AK114" s="151" t="s">
        <v>104</v>
      </c>
      <c r="AL114" s="151" t="s">
        <v>58</v>
      </c>
      <c r="AM114" s="188" t="s">
        <v>1224</v>
      </c>
      <c r="AN114" s="188" t="s">
        <v>1234</v>
      </c>
      <c r="AO114" s="188"/>
      <c r="AP114" s="155"/>
    </row>
    <row r="115" spans="3:42" ht="14.25" customHeight="1">
      <c r="C115" s="156">
        <f>IF($X115=1,COUNTIF($C$10:C114,"&gt;0")+1,"")</f>
        <v>53</v>
      </c>
      <c r="D115" s="151">
        <v>15262660</v>
      </c>
      <c r="E115" s="151" t="s">
        <v>493</v>
      </c>
      <c r="F115" s="152" t="s">
        <v>586</v>
      </c>
      <c r="G115" s="151" t="s">
        <v>586</v>
      </c>
      <c r="H115" s="151" t="s">
        <v>587</v>
      </c>
      <c r="I115" s="151" t="s">
        <v>106</v>
      </c>
      <c r="J115" s="151" t="s">
        <v>100</v>
      </c>
      <c r="K115" s="151" t="s">
        <v>99</v>
      </c>
      <c r="L115" s="153">
        <v>19262</v>
      </c>
      <c r="M115" s="151">
        <v>72</v>
      </c>
      <c r="N115" s="151" t="s">
        <v>588</v>
      </c>
      <c r="O115" s="153">
        <v>46150</v>
      </c>
      <c r="P115" s="151" t="s">
        <v>51</v>
      </c>
      <c r="Q115" s="151"/>
      <c r="R115" s="173">
        <v>45918</v>
      </c>
      <c r="S115" s="174">
        <v>45923</v>
      </c>
      <c r="T115" s="175">
        <f>S115-R115</f>
        <v>5</v>
      </c>
      <c r="U115" s="151">
        <v>1</v>
      </c>
      <c r="V115" s="151">
        <v>1</v>
      </c>
      <c r="W115" s="151">
        <v>0</v>
      </c>
      <c r="X115" s="151">
        <v>1</v>
      </c>
      <c r="Y115" s="151">
        <v>0</v>
      </c>
      <c r="Z115" s="151">
        <v>1</v>
      </c>
      <c r="AA115" s="151">
        <v>0</v>
      </c>
      <c r="AB115" s="151"/>
      <c r="AC115" s="153">
        <v>45918</v>
      </c>
      <c r="AD115" s="154">
        <v>0.19444444444525288</v>
      </c>
      <c r="AE115" s="151" t="s">
        <v>589</v>
      </c>
      <c r="AF115" s="153">
        <v>45923</v>
      </c>
      <c r="AG115" s="154">
        <v>0.87152777778101154</v>
      </c>
      <c r="AH115" s="151" t="s">
        <v>568</v>
      </c>
      <c r="AI115" s="151" t="s">
        <v>498</v>
      </c>
      <c r="AJ115" s="151" t="s">
        <v>104</v>
      </c>
      <c r="AK115" s="151" t="s">
        <v>104</v>
      </c>
      <c r="AL115" s="151" t="s">
        <v>58</v>
      </c>
      <c r="AM115" s="188" t="s">
        <v>1224</v>
      </c>
      <c r="AN115" s="188" t="s">
        <v>1233</v>
      </c>
      <c r="AO115" s="188"/>
      <c r="AP115" s="155"/>
    </row>
    <row r="116" spans="3:42" ht="14.25" customHeight="1">
      <c r="C116" s="156" t="str">
        <f>IF($X116=1,COUNTIF($C$10:C115,"&gt;0")+1,"")</f>
        <v/>
      </c>
      <c r="D116" s="151"/>
      <c r="E116" s="151" t="s">
        <v>493</v>
      </c>
      <c r="F116" s="152" t="s">
        <v>590</v>
      </c>
      <c r="G116" s="151" t="s">
        <v>586</v>
      </c>
      <c r="H116" s="151" t="s">
        <v>591</v>
      </c>
      <c r="I116" s="151" t="s">
        <v>106</v>
      </c>
      <c r="J116" s="151" t="s">
        <v>98</v>
      </c>
      <c r="K116" s="151" t="s">
        <v>99</v>
      </c>
      <c r="L116" s="153">
        <v>17925</v>
      </c>
      <c r="M116" s="151">
        <v>76</v>
      </c>
      <c r="N116" s="151" t="s">
        <v>592</v>
      </c>
      <c r="O116" s="153">
        <v>46150</v>
      </c>
      <c r="P116" s="151" t="s">
        <v>51</v>
      </c>
      <c r="Q116" s="151"/>
      <c r="R116" s="173">
        <v>45918</v>
      </c>
      <c r="S116" s="174">
        <v>45923</v>
      </c>
      <c r="T116" s="175">
        <f>S116-R116</f>
        <v>5</v>
      </c>
      <c r="U116" s="151">
        <v>1</v>
      </c>
      <c r="V116" s="151">
        <v>1</v>
      </c>
      <c r="W116" s="151">
        <v>0</v>
      </c>
      <c r="X116" s="151">
        <v>0</v>
      </c>
      <c r="Y116" s="151">
        <v>0</v>
      </c>
      <c r="Z116" s="151">
        <v>0</v>
      </c>
      <c r="AA116" s="151">
        <v>0</v>
      </c>
      <c r="AB116" s="151"/>
      <c r="AC116" s="153">
        <v>45918</v>
      </c>
      <c r="AD116" s="154">
        <v>0.19444444444525288</v>
      </c>
      <c r="AE116" s="151" t="s">
        <v>589</v>
      </c>
      <c r="AF116" s="153">
        <v>45923</v>
      </c>
      <c r="AG116" s="154">
        <v>0.87152777778101154</v>
      </c>
      <c r="AH116" s="151" t="s">
        <v>568</v>
      </c>
      <c r="AI116" s="151" t="s">
        <v>498</v>
      </c>
      <c r="AJ116" s="151" t="s">
        <v>104</v>
      </c>
      <c r="AK116" s="151" t="s">
        <v>104</v>
      </c>
      <c r="AL116" s="151" t="s">
        <v>58</v>
      </c>
      <c r="AM116" s="188" t="s">
        <v>1224</v>
      </c>
      <c r="AN116" s="188" t="s">
        <v>1233</v>
      </c>
      <c r="AO116" s="188"/>
      <c r="AP116" s="155"/>
    </row>
    <row r="117" spans="3:42" ht="14.25" customHeight="1">
      <c r="C117" s="156">
        <f>IF($X117=1,COUNTIF($C$10:C116,"&gt;0")+1,"")</f>
        <v>54</v>
      </c>
      <c r="D117" s="151">
        <v>15262661</v>
      </c>
      <c r="E117" s="151" t="s">
        <v>493</v>
      </c>
      <c r="F117" s="152" t="s">
        <v>593</v>
      </c>
      <c r="G117" s="151" t="s">
        <v>593</v>
      </c>
      <c r="H117" s="151" t="s">
        <v>594</v>
      </c>
      <c r="I117" s="151" t="s">
        <v>595</v>
      </c>
      <c r="J117" s="151" t="s">
        <v>98</v>
      </c>
      <c r="K117" s="151" t="s">
        <v>104</v>
      </c>
      <c r="L117" s="153">
        <v>19964</v>
      </c>
      <c r="M117" s="151">
        <v>71</v>
      </c>
      <c r="N117" s="151" t="s">
        <v>104</v>
      </c>
      <c r="O117" s="153" t="s">
        <v>104</v>
      </c>
      <c r="P117" s="151" t="s">
        <v>52</v>
      </c>
      <c r="Q117" s="151"/>
      <c r="R117" s="173">
        <v>45918</v>
      </c>
      <c r="S117" s="174">
        <v>45923</v>
      </c>
      <c r="T117" s="175">
        <f>S117-R117</f>
        <v>5</v>
      </c>
      <c r="U117" s="151">
        <v>1</v>
      </c>
      <c r="V117" s="151">
        <v>1</v>
      </c>
      <c r="W117" s="151">
        <v>0</v>
      </c>
      <c r="X117" s="151">
        <v>1</v>
      </c>
      <c r="Y117" s="151">
        <v>0</v>
      </c>
      <c r="Z117" s="151">
        <v>0</v>
      </c>
      <c r="AA117" s="151">
        <v>1</v>
      </c>
      <c r="AB117" s="151"/>
      <c r="AC117" s="153">
        <v>45918</v>
      </c>
      <c r="AD117" s="154">
        <v>0.19444444444525288</v>
      </c>
      <c r="AE117" s="151" t="s">
        <v>589</v>
      </c>
      <c r="AF117" s="153">
        <v>45923</v>
      </c>
      <c r="AG117" s="154">
        <v>0.79513888889050577</v>
      </c>
      <c r="AH117" s="151" t="s">
        <v>135</v>
      </c>
      <c r="AI117" s="151" t="s">
        <v>498</v>
      </c>
      <c r="AJ117" s="151" t="s">
        <v>104</v>
      </c>
      <c r="AK117" s="151" t="s">
        <v>104</v>
      </c>
      <c r="AL117" s="151" t="s">
        <v>58</v>
      </c>
      <c r="AM117" s="188" t="s">
        <v>1224</v>
      </c>
      <c r="AN117" s="188" t="s">
        <v>1234</v>
      </c>
      <c r="AO117" s="188"/>
      <c r="AP117" s="155"/>
    </row>
    <row r="118" spans="3:42" ht="14.25" customHeight="1">
      <c r="C118" s="156" t="str">
        <f>IF($X118=1,COUNTIF($C$10:C117,"&gt;0")+1,"")</f>
        <v/>
      </c>
      <c r="D118" s="151"/>
      <c r="E118" s="151" t="s">
        <v>493</v>
      </c>
      <c r="F118" s="152" t="s">
        <v>596</v>
      </c>
      <c r="G118" s="151" t="s">
        <v>593</v>
      </c>
      <c r="H118" s="151" t="s">
        <v>597</v>
      </c>
      <c r="I118" s="151" t="s">
        <v>598</v>
      </c>
      <c r="J118" s="151" t="s">
        <v>98</v>
      </c>
      <c r="K118" s="151" t="s">
        <v>99</v>
      </c>
      <c r="L118" s="153">
        <v>28097</v>
      </c>
      <c r="M118" s="151">
        <v>48</v>
      </c>
      <c r="N118" s="151" t="s">
        <v>599</v>
      </c>
      <c r="O118" s="153">
        <v>47206</v>
      </c>
      <c r="P118" s="151" t="s">
        <v>52</v>
      </c>
      <c r="Q118" s="151"/>
      <c r="R118" s="173">
        <v>45918</v>
      </c>
      <c r="S118" s="174">
        <v>45923</v>
      </c>
      <c r="T118" s="175">
        <f>S118-R118</f>
        <v>5</v>
      </c>
      <c r="U118" s="151">
        <v>1</v>
      </c>
      <c r="V118" s="151">
        <v>1</v>
      </c>
      <c r="W118" s="151">
        <v>0</v>
      </c>
      <c r="X118" s="151">
        <v>0</v>
      </c>
      <c r="Y118" s="151">
        <v>0</v>
      </c>
      <c r="Z118" s="151">
        <v>0</v>
      </c>
      <c r="AA118" s="151">
        <v>0</v>
      </c>
      <c r="AB118" s="151"/>
      <c r="AC118" s="153">
        <v>45918</v>
      </c>
      <c r="AD118" s="154">
        <v>0.36458333333575865</v>
      </c>
      <c r="AE118" s="151" t="s">
        <v>567</v>
      </c>
      <c r="AF118" s="153">
        <v>45923</v>
      </c>
      <c r="AG118" s="154">
        <v>0.87152777778101154</v>
      </c>
      <c r="AH118" s="151" t="s">
        <v>568</v>
      </c>
      <c r="AI118" s="151" t="s">
        <v>498</v>
      </c>
      <c r="AJ118" s="151" t="s">
        <v>104</v>
      </c>
      <c r="AK118" s="151" t="s">
        <v>104</v>
      </c>
      <c r="AL118" s="151" t="s">
        <v>58</v>
      </c>
      <c r="AM118" s="188" t="s">
        <v>1224</v>
      </c>
      <c r="AN118" s="188" t="s">
        <v>1234</v>
      </c>
      <c r="AO118" s="188"/>
      <c r="AP118" s="155"/>
    </row>
    <row r="119" spans="3:42" ht="14.25" customHeight="1">
      <c r="C119" s="156">
        <f>IF($X119=1,COUNTIF($C$10:C118,"&gt;0")+1,"")</f>
        <v>55</v>
      </c>
      <c r="D119" s="151">
        <v>15262662</v>
      </c>
      <c r="E119" s="151" t="s">
        <v>493</v>
      </c>
      <c r="F119" s="152" t="s">
        <v>600</v>
      </c>
      <c r="G119" s="151" t="s">
        <v>600</v>
      </c>
      <c r="H119" s="151" t="s">
        <v>601</v>
      </c>
      <c r="I119" s="151" t="s">
        <v>150</v>
      </c>
      <c r="J119" s="151" t="s">
        <v>98</v>
      </c>
      <c r="K119" s="151" t="s">
        <v>99</v>
      </c>
      <c r="L119" s="153">
        <v>24543</v>
      </c>
      <c r="M119" s="151">
        <v>58</v>
      </c>
      <c r="N119" s="151" t="s">
        <v>602</v>
      </c>
      <c r="O119" s="153">
        <v>49409</v>
      </c>
      <c r="P119" s="151" t="s">
        <v>51</v>
      </c>
      <c r="Q119" s="151"/>
      <c r="R119" s="173">
        <v>45918</v>
      </c>
      <c r="S119" s="174">
        <v>45923</v>
      </c>
      <c r="T119" s="175">
        <f>S119-R119</f>
        <v>5</v>
      </c>
      <c r="U119" s="151">
        <v>1</v>
      </c>
      <c r="V119" s="151">
        <v>1</v>
      </c>
      <c r="W119" s="151">
        <v>0</v>
      </c>
      <c r="X119" s="151">
        <v>1</v>
      </c>
      <c r="Y119" s="151">
        <v>0</v>
      </c>
      <c r="Z119" s="151">
        <v>1</v>
      </c>
      <c r="AA119" s="151">
        <v>0</v>
      </c>
      <c r="AB119" s="151"/>
      <c r="AC119" s="153">
        <v>45918</v>
      </c>
      <c r="AD119" s="154">
        <v>0.19097222221898846</v>
      </c>
      <c r="AE119" s="151" t="s">
        <v>169</v>
      </c>
      <c r="AF119" s="153">
        <v>45923</v>
      </c>
      <c r="AG119" s="154">
        <v>0.87152777778101154</v>
      </c>
      <c r="AH119" s="151" t="s">
        <v>568</v>
      </c>
      <c r="AI119" s="151" t="s">
        <v>498</v>
      </c>
      <c r="AJ119" s="151" t="s">
        <v>109</v>
      </c>
      <c r="AK119" s="151" t="s">
        <v>110</v>
      </c>
      <c r="AL119" s="151" t="s">
        <v>58</v>
      </c>
      <c r="AM119" s="188" t="s">
        <v>1224</v>
      </c>
      <c r="AN119" s="188" t="s">
        <v>1228</v>
      </c>
      <c r="AO119" s="188"/>
      <c r="AP119" s="155"/>
    </row>
    <row r="120" spans="3:42" ht="14.25" customHeight="1">
      <c r="C120" s="156" t="str">
        <f>IF($X120=1,COUNTIF($C$10:C119,"&gt;0")+1,"")</f>
        <v/>
      </c>
      <c r="D120" s="151"/>
      <c r="E120" s="151" t="s">
        <v>493</v>
      </c>
      <c r="F120" s="152" t="s">
        <v>603</v>
      </c>
      <c r="G120" s="151" t="s">
        <v>600</v>
      </c>
      <c r="H120" s="151" t="s">
        <v>604</v>
      </c>
      <c r="I120" s="151" t="s">
        <v>605</v>
      </c>
      <c r="J120" s="151" t="s">
        <v>100</v>
      </c>
      <c r="K120" s="151" t="s">
        <v>99</v>
      </c>
      <c r="L120" s="153">
        <v>25522</v>
      </c>
      <c r="M120" s="151">
        <v>55</v>
      </c>
      <c r="N120" s="151" t="s">
        <v>606</v>
      </c>
      <c r="O120" s="153">
        <v>49421</v>
      </c>
      <c r="P120" s="151" t="s">
        <v>51</v>
      </c>
      <c r="Q120" s="151"/>
      <c r="R120" s="173">
        <v>45918</v>
      </c>
      <c r="S120" s="174">
        <v>45923</v>
      </c>
      <c r="T120" s="175">
        <f>S120-R120</f>
        <v>5</v>
      </c>
      <c r="U120" s="151">
        <v>1</v>
      </c>
      <c r="V120" s="151">
        <v>1</v>
      </c>
      <c r="W120" s="151">
        <v>0</v>
      </c>
      <c r="X120" s="151">
        <v>0</v>
      </c>
      <c r="Y120" s="151">
        <v>0</v>
      </c>
      <c r="Z120" s="151">
        <v>0</v>
      </c>
      <c r="AA120" s="151">
        <v>0</v>
      </c>
      <c r="AB120" s="151"/>
      <c r="AC120" s="153">
        <v>45918</v>
      </c>
      <c r="AD120" s="154">
        <v>0.19097222221898846</v>
      </c>
      <c r="AE120" s="151" t="s">
        <v>169</v>
      </c>
      <c r="AF120" s="153">
        <v>45923</v>
      </c>
      <c r="AG120" s="154">
        <v>0.87152777778101154</v>
      </c>
      <c r="AH120" s="151" t="s">
        <v>568</v>
      </c>
      <c r="AI120" s="151" t="s">
        <v>498</v>
      </c>
      <c r="AJ120" s="151" t="s">
        <v>104</v>
      </c>
      <c r="AK120" s="151" t="s">
        <v>104</v>
      </c>
      <c r="AL120" s="151" t="s">
        <v>58</v>
      </c>
      <c r="AM120" s="188" t="s">
        <v>1224</v>
      </c>
      <c r="AN120" s="188" t="s">
        <v>1228</v>
      </c>
      <c r="AO120" s="188"/>
      <c r="AP120" s="155"/>
    </row>
    <row r="121" spans="3:42" ht="14.25" customHeight="1">
      <c r="C121" s="156">
        <f>IF($X121=1,COUNTIF($C$10:C120,"&gt;0")+1,"")</f>
        <v>56</v>
      </c>
      <c r="D121" s="151">
        <v>15262663</v>
      </c>
      <c r="E121" s="151" t="s">
        <v>493</v>
      </c>
      <c r="F121" s="152" t="s">
        <v>607</v>
      </c>
      <c r="G121" s="151" t="s">
        <v>607</v>
      </c>
      <c r="H121" s="151" t="s">
        <v>608</v>
      </c>
      <c r="I121" s="151" t="s">
        <v>609</v>
      </c>
      <c r="J121" s="151" t="s">
        <v>98</v>
      </c>
      <c r="K121" s="151" t="s">
        <v>99</v>
      </c>
      <c r="L121" s="153">
        <v>23712</v>
      </c>
      <c r="M121" s="151">
        <v>60</v>
      </c>
      <c r="N121" s="151" t="s">
        <v>610</v>
      </c>
      <c r="O121" s="153">
        <v>49458</v>
      </c>
      <c r="P121" s="151" t="s">
        <v>51</v>
      </c>
      <c r="Q121" s="151"/>
      <c r="R121" s="173">
        <v>45918</v>
      </c>
      <c r="S121" s="174">
        <v>45923</v>
      </c>
      <c r="T121" s="175">
        <f>S121-R121</f>
        <v>5</v>
      </c>
      <c r="U121" s="151">
        <v>1</v>
      </c>
      <c r="V121" s="151">
        <v>1</v>
      </c>
      <c r="W121" s="151">
        <v>0</v>
      </c>
      <c r="X121" s="151">
        <v>1</v>
      </c>
      <c r="Y121" s="151">
        <v>0</v>
      </c>
      <c r="Z121" s="151">
        <v>1</v>
      </c>
      <c r="AA121" s="151">
        <v>0</v>
      </c>
      <c r="AB121" s="151"/>
      <c r="AC121" s="153">
        <v>45918</v>
      </c>
      <c r="AD121" s="154">
        <v>0.19444444444525288</v>
      </c>
      <c r="AE121" s="151" t="s">
        <v>589</v>
      </c>
      <c r="AF121" s="153">
        <v>45923</v>
      </c>
      <c r="AG121" s="154">
        <v>0.85763888889050577</v>
      </c>
      <c r="AH121" s="151" t="s">
        <v>611</v>
      </c>
      <c r="AI121" s="151" t="s">
        <v>498</v>
      </c>
      <c r="AJ121" s="151" t="s">
        <v>104</v>
      </c>
      <c r="AK121" s="151" t="s">
        <v>104</v>
      </c>
      <c r="AL121" s="151" t="s">
        <v>58</v>
      </c>
      <c r="AM121" s="188" t="s">
        <v>1224</v>
      </c>
      <c r="AN121" s="188" t="s">
        <v>1233</v>
      </c>
      <c r="AO121" s="188"/>
      <c r="AP121" s="155"/>
    </row>
    <row r="122" spans="3:42" ht="14.25" customHeight="1">
      <c r="C122" s="156" t="str">
        <f>IF($X122=1,COUNTIF($C$10:C121,"&gt;0")+1,"")</f>
        <v/>
      </c>
      <c r="D122" s="151"/>
      <c r="E122" s="151" t="s">
        <v>493</v>
      </c>
      <c r="F122" s="152" t="s">
        <v>612</v>
      </c>
      <c r="G122" s="151" t="s">
        <v>607</v>
      </c>
      <c r="H122" s="151" t="s">
        <v>613</v>
      </c>
      <c r="I122" s="151" t="s">
        <v>608</v>
      </c>
      <c r="J122" s="151" t="s">
        <v>100</v>
      </c>
      <c r="K122" s="151" t="s">
        <v>99</v>
      </c>
      <c r="L122" s="153">
        <v>27015</v>
      </c>
      <c r="M122" s="151">
        <v>51</v>
      </c>
      <c r="N122" s="151" t="s">
        <v>614</v>
      </c>
      <c r="O122" s="153">
        <v>46139</v>
      </c>
      <c r="P122" s="151" t="s">
        <v>51</v>
      </c>
      <c r="Q122" s="151"/>
      <c r="R122" s="173">
        <v>45918</v>
      </c>
      <c r="S122" s="174">
        <v>45923</v>
      </c>
      <c r="T122" s="175">
        <f>S122-R122</f>
        <v>5</v>
      </c>
      <c r="U122" s="151">
        <v>1</v>
      </c>
      <c r="V122" s="151">
        <v>1</v>
      </c>
      <c r="W122" s="151">
        <v>0</v>
      </c>
      <c r="X122" s="151">
        <v>0</v>
      </c>
      <c r="Y122" s="151">
        <v>0</v>
      </c>
      <c r="Z122" s="151">
        <v>0</v>
      </c>
      <c r="AA122" s="151">
        <v>0</v>
      </c>
      <c r="AB122" s="151"/>
      <c r="AC122" s="153">
        <v>45918</v>
      </c>
      <c r="AD122" s="154">
        <v>0.19444444444525288</v>
      </c>
      <c r="AE122" s="151" t="s">
        <v>589</v>
      </c>
      <c r="AF122" s="153">
        <v>45923</v>
      </c>
      <c r="AG122" s="154">
        <v>0.85763888889050577</v>
      </c>
      <c r="AH122" s="151" t="s">
        <v>611</v>
      </c>
      <c r="AI122" s="151" t="s">
        <v>498</v>
      </c>
      <c r="AJ122" s="151" t="s">
        <v>104</v>
      </c>
      <c r="AK122" s="151" t="s">
        <v>104</v>
      </c>
      <c r="AL122" s="151" t="s">
        <v>58</v>
      </c>
      <c r="AM122" s="188" t="s">
        <v>1224</v>
      </c>
      <c r="AN122" s="188" t="s">
        <v>1233</v>
      </c>
      <c r="AO122" s="188"/>
      <c r="AP122" s="155"/>
    </row>
    <row r="123" spans="3:42" ht="14.25" customHeight="1">
      <c r="C123" s="156">
        <f>IF($X123=1,COUNTIF($C$10:C122,"&gt;0")+1,"")</f>
        <v>57</v>
      </c>
      <c r="D123" s="151">
        <v>15262664</v>
      </c>
      <c r="E123" s="151" t="s">
        <v>493</v>
      </c>
      <c r="F123" s="152" t="s">
        <v>1220</v>
      </c>
      <c r="G123" s="151" t="s">
        <v>1220</v>
      </c>
      <c r="H123" s="151" t="s">
        <v>1221</v>
      </c>
      <c r="I123" s="151" t="s">
        <v>519</v>
      </c>
      <c r="J123" s="151" t="s">
        <v>100</v>
      </c>
      <c r="K123" s="151" t="s">
        <v>99</v>
      </c>
      <c r="L123" s="153">
        <v>29095</v>
      </c>
      <c r="M123" s="151">
        <v>46</v>
      </c>
      <c r="N123" s="151">
        <v>673091357</v>
      </c>
      <c r="O123" s="153">
        <v>48236</v>
      </c>
      <c r="P123" s="151" t="s">
        <v>52</v>
      </c>
      <c r="Q123" s="151"/>
      <c r="R123" s="173">
        <v>45918</v>
      </c>
      <c r="S123" s="174">
        <v>45923</v>
      </c>
      <c r="T123" s="175">
        <f>S123-R123</f>
        <v>5</v>
      </c>
      <c r="U123" s="151">
        <v>1</v>
      </c>
      <c r="V123" s="151">
        <v>1</v>
      </c>
      <c r="W123" s="151">
        <v>0</v>
      </c>
      <c r="X123" s="151">
        <v>1</v>
      </c>
      <c r="Y123" s="151">
        <v>0</v>
      </c>
      <c r="Z123" s="151">
        <v>0</v>
      </c>
      <c r="AA123" s="151">
        <v>1</v>
      </c>
      <c r="AB123" s="151"/>
      <c r="AC123" s="153">
        <v>45918</v>
      </c>
      <c r="AD123" s="154">
        <v>0.18055555555555555</v>
      </c>
      <c r="AE123" s="153" t="s">
        <v>147</v>
      </c>
      <c r="AF123" s="153">
        <v>45923</v>
      </c>
      <c r="AG123" s="154">
        <v>0.70138888888888884</v>
      </c>
      <c r="AH123" s="151" t="s">
        <v>141</v>
      </c>
      <c r="AI123" s="151" t="s">
        <v>498</v>
      </c>
      <c r="AJ123" s="151" t="s">
        <v>104</v>
      </c>
      <c r="AK123" s="151" t="s">
        <v>104</v>
      </c>
      <c r="AL123" s="151" t="s">
        <v>58</v>
      </c>
      <c r="AM123" s="188" t="s">
        <v>1224</v>
      </c>
      <c r="AN123" s="188" t="s">
        <v>1234</v>
      </c>
      <c r="AO123" s="188"/>
      <c r="AP123" s="155"/>
    </row>
    <row r="124" spans="3:42" ht="14.25" customHeight="1">
      <c r="C124" s="156"/>
      <c r="D124" s="151"/>
      <c r="E124" s="151" t="s">
        <v>493</v>
      </c>
      <c r="F124" s="152" t="s">
        <v>1222</v>
      </c>
      <c r="G124" s="151" t="s">
        <v>1220</v>
      </c>
      <c r="H124" s="187" t="s">
        <v>615</v>
      </c>
      <c r="I124" s="187" t="s">
        <v>616</v>
      </c>
      <c r="J124" s="151" t="s">
        <v>98</v>
      </c>
      <c r="K124" s="151" t="s">
        <v>99</v>
      </c>
      <c r="L124" s="153">
        <v>19227</v>
      </c>
      <c r="M124" s="151">
        <v>73</v>
      </c>
      <c r="N124" s="151" t="s">
        <v>617</v>
      </c>
      <c r="O124" s="153">
        <v>48739</v>
      </c>
      <c r="P124" s="151" t="s">
        <v>52</v>
      </c>
      <c r="Q124" s="151"/>
      <c r="R124" s="173">
        <v>45918</v>
      </c>
      <c r="S124" s="174">
        <v>45923</v>
      </c>
      <c r="T124" s="175">
        <f>S124-R124</f>
        <v>5</v>
      </c>
      <c r="U124" s="151">
        <v>1</v>
      </c>
      <c r="V124" s="151">
        <v>1</v>
      </c>
      <c r="W124" s="151">
        <v>0</v>
      </c>
      <c r="X124" s="151">
        <v>0</v>
      </c>
      <c r="Y124" s="151">
        <v>0</v>
      </c>
      <c r="Z124" s="151">
        <v>0</v>
      </c>
      <c r="AA124" s="151">
        <v>0</v>
      </c>
      <c r="AB124" s="151"/>
      <c r="AC124" s="153">
        <v>45918</v>
      </c>
      <c r="AD124" s="154">
        <v>0.19097222221898846</v>
      </c>
      <c r="AE124" s="151" t="s">
        <v>169</v>
      </c>
      <c r="AF124" s="153">
        <v>45923</v>
      </c>
      <c r="AG124" s="154">
        <v>0.87152777778101154</v>
      </c>
      <c r="AH124" s="151" t="s">
        <v>568</v>
      </c>
      <c r="AI124" s="151" t="s">
        <v>498</v>
      </c>
      <c r="AJ124" s="151" t="s">
        <v>104</v>
      </c>
      <c r="AK124" s="151" t="s">
        <v>104</v>
      </c>
      <c r="AL124" s="151" t="s">
        <v>58</v>
      </c>
      <c r="AM124" s="188" t="s">
        <v>1224</v>
      </c>
      <c r="AN124" s="188" t="s">
        <v>1234</v>
      </c>
      <c r="AO124" s="188"/>
      <c r="AP124" s="155"/>
    </row>
    <row r="125" spans="3:42" ht="14.25" customHeight="1">
      <c r="C125" s="156">
        <f>IF($X125=1,COUNTIF($C$10:C124,"&gt;0")+1,"")</f>
        <v>58</v>
      </c>
      <c r="D125" s="151">
        <v>15262665</v>
      </c>
      <c r="E125" s="151" t="s">
        <v>493</v>
      </c>
      <c r="F125" s="152" t="s">
        <v>618</v>
      </c>
      <c r="G125" s="151" t="s">
        <v>618</v>
      </c>
      <c r="H125" s="151" t="s">
        <v>619</v>
      </c>
      <c r="I125" s="151" t="s">
        <v>501</v>
      </c>
      <c r="J125" s="151" t="s">
        <v>100</v>
      </c>
      <c r="K125" s="151" t="s">
        <v>99</v>
      </c>
      <c r="L125" s="153">
        <v>22384</v>
      </c>
      <c r="M125" s="151">
        <v>64</v>
      </c>
      <c r="N125" s="151" t="s">
        <v>620</v>
      </c>
      <c r="O125" s="153">
        <v>47860</v>
      </c>
      <c r="P125" s="151" t="s">
        <v>51</v>
      </c>
      <c r="Q125" s="151"/>
      <c r="R125" s="173">
        <v>45918</v>
      </c>
      <c r="S125" s="174">
        <v>45923</v>
      </c>
      <c r="T125" s="175">
        <f>S125-R125</f>
        <v>5</v>
      </c>
      <c r="U125" s="151">
        <v>1</v>
      </c>
      <c r="V125" s="151">
        <v>1</v>
      </c>
      <c r="W125" s="151">
        <v>0</v>
      </c>
      <c r="X125" s="151">
        <v>1</v>
      </c>
      <c r="Y125" s="151">
        <v>0</v>
      </c>
      <c r="Z125" s="151">
        <v>1</v>
      </c>
      <c r="AA125" s="151">
        <v>0</v>
      </c>
      <c r="AB125" s="151"/>
      <c r="AC125" s="153">
        <v>45918</v>
      </c>
      <c r="AD125" s="154">
        <v>0.18055555555474712</v>
      </c>
      <c r="AE125" s="151" t="s">
        <v>147</v>
      </c>
      <c r="AF125" s="153">
        <v>45923</v>
      </c>
      <c r="AG125" s="154">
        <v>0.70138888889050577</v>
      </c>
      <c r="AH125" s="151" t="s">
        <v>141</v>
      </c>
      <c r="AI125" s="151" t="s">
        <v>498</v>
      </c>
      <c r="AJ125" s="151" t="s">
        <v>104</v>
      </c>
      <c r="AK125" s="151" t="s">
        <v>104</v>
      </c>
      <c r="AL125" s="151" t="s">
        <v>58</v>
      </c>
      <c r="AM125" s="188" t="s">
        <v>1224</v>
      </c>
      <c r="AN125" s="188" t="s">
        <v>1233</v>
      </c>
      <c r="AO125" s="188"/>
      <c r="AP125" s="155"/>
    </row>
    <row r="126" spans="3:42" ht="14.25" customHeight="1">
      <c r="C126" s="156" t="str">
        <f>IF($X126=1,COUNTIF($C$10:C125,"&gt;0")+1,"")</f>
        <v/>
      </c>
      <c r="D126" s="151"/>
      <c r="E126" s="151" t="s">
        <v>493</v>
      </c>
      <c r="F126" s="152" t="s">
        <v>621</v>
      </c>
      <c r="G126" s="151" t="s">
        <v>618</v>
      </c>
      <c r="H126" s="151" t="s">
        <v>622</v>
      </c>
      <c r="I126" s="151" t="s">
        <v>623</v>
      </c>
      <c r="J126" s="151" t="s">
        <v>100</v>
      </c>
      <c r="K126" s="151" t="s">
        <v>99</v>
      </c>
      <c r="L126" s="153">
        <v>22202</v>
      </c>
      <c r="M126" s="151">
        <v>64</v>
      </c>
      <c r="N126" s="151" t="s">
        <v>624</v>
      </c>
      <c r="O126" s="153">
        <v>48250</v>
      </c>
      <c r="P126" s="151" t="s">
        <v>51</v>
      </c>
      <c r="Q126" s="151"/>
      <c r="R126" s="173">
        <v>45918</v>
      </c>
      <c r="S126" s="174">
        <v>45923</v>
      </c>
      <c r="T126" s="175">
        <f>S126-R126</f>
        <v>5</v>
      </c>
      <c r="U126" s="151">
        <v>1</v>
      </c>
      <c r="V126" s="151">
        <v>1</v>
      </c>
      <c r="W126" s="151">
        <v>0</v>
      </c>
      <c r="X126" s="151">
        <v>0</v>
      </c>
      <c r="Y126" s="151">
        <v>0</v>
      </c>
      <c r="Z126" s="151">
        <v>0</v>
      </c>
      <c r="AA126" s="151">
        <v>0</v>
      </c>
      <c r="AB126" s="151"/>
      <c r="AC126" s="153">
        <v>45918</v>
      </c>
      <c r="AD126" s="154">
        <v>0.18055555555474712</v>
      </c>
      <c r="AE126" s="151" t="s">
        <v>147</v>
      </c>
      <c r="AF126" s="153">
        <v>45923</v>
      </c>
      <c r="AG126" s="154">
        <v>0.70138888889050577</v>
      </c>
      <c r="AH126" s="151" t="s">
        <v>141</v>
      </c>
      <c r="AI126" s="151" t="s">
        <v>498</v>
      </c>
      <c r="AJ126" s="151" t="s">
        <v>104</v>
      </c>
      <c r="AK126" s="151" t="s">
        <v>104</v>
      </c>
      <c r="AL126" s="151" t="s">
        <v>58</v>
      </c>
      <c r="AM126" s="188" t="s">
        <v>1224</v>
      </c>
      <c r="AN126" s="188" t="s">
        <v>1233</v>
      </c>
      <c r="AO126" s="188"/>
      <c r="AP126" s="155"/>
    </row>
    <row r="127" spans="3:42" ht="14.25" customHeight="1">
      <c r="C127" s="156">
        <f>IF($X127=1,COUNTIF($C$10:C126,"&gt;0")+1,"")</f>
        <v>59</v>
      </c>
      <c r="D127" s="151">
        <v>15262666</v>
      </c>
      <c r="E127" s="151" t="s">
        <v>493</v>
      </c>
      <c r="F127" s="152" t="s">
        <v>625</v>
      </c>
      <c r="G127" s="151" t="s">
        <v>625</v>
      </c>
      <c r="H127" s="151" t="s">
        <v>626</v>
      </c>
      <c r="I127" s="151" t="s">
        <v>496</v>
      </c>
      <c r="J127" s="151" t="s">
        <v>98</v>
      </c>
      <c r="K127" s="151" t="s">
        <v>99</v>
      </c>
      <c r="L127" s="153">
        <v>32468</v>
      </c>
      <c r="M127" s="151">
        <v>36</v>
      </c>
      <c r="N127" s="151" t="s">
        <v>627</v>
      </c>
      <c r="O127" s="153">
        <v>48947</v>
      </c>
      <c r="P127" s="151" t="s">
        <v>51</v>
      </c>
      <c r="Q127" s="151"/>
      <c r="R127" s="173">
        <v>45918</v>
      </c>
      <c r="S127" s="174">
        <v>45923</v>
      </c>
      <c r="T127" s="175">
        <f>S127-R127</f>
        <v>5</v>
      </c>
      <c r="U127" s="151">
        <v>1</v>
      </c>
      <c r="V127" s="151">
        <v>1</v>
      </c>
      <c r="W127" s="151">
        <v>0</v>
      </c>
      <c r="X127" s="151">
        <v>1</v>
      </c>
      <c r="Y127" s="151">
        <v>0</v>
      </c>
      <c r="Z127" s="151">
        <v>1</v>
      </c>
      <c r="AA127" s="151">
        <v>0</v>
      </c>
      <c r="AB127" s="151"/>
      <c r="AC127" s="153">
        <v>45918</v>
      </c>
      <c r="AD127" s="154">
        <v>0.18055555555474712</v>
      </c>
      <c r="AE127" s="151" t="s">
        <v>147</v>
      </c>
      <c r="AF127" s="153">
        <v>45923</v>
      </c>
      <c r="AG127" s="154">
        <v>0.70138888889050577</v>
      </c>
      <c r="AH127" s="151" t="s">
        <v>141</v>
      </c>
      <c r="AI127" s="151" t="s">
        <v>498</v>
      </c>
      <c r="AJ127" s="151" t="s">
        <v>104</v>
      </c>
      <c r="AK127" s="151" t="s">
        <v>104</v>
      </c>
      <c r="AL127" s="151" t="s">
        <v>58</v>
      </c>
      <c r="AM127" s="188" t="s">
        <v>1224</v>
      </c>
      <c r="AN127" s="188" t="s">
        <v>1233</v>
      </c>
      <c r="AO127" s="188"/>
      <c r="AP127" s="155"/>
    </row>
    <row r="128" spans="3:42" ht="14.25" customHeight="1">
      <c r="C128" s="156" t="str">
        <f>IF($X128=1,COUNTIF($C$10:C127,"&gt;0")+1,"")</f>
        <v/>
      </c>
      <c r="D128" s="151"/>
      <c r="E128" s="151" t="s">
        <v>493</v>
      </c>
      <c r="F128" s="152" t="s">
        <v>628</v>
      </c>
      <c r="G128" s="151" t="s">
        <v>625</v>
      </c>
      <c r="H128" s="151" t="s">
        <v>629</v>
      </c>
      <c r="I128" s="151" t="s">
        <v>501</v>
      </c>
      <c r="J128" s="151" t="s">
        <v>100</v>
      </c>
      <c r="K128" s="151" t="s">
        <v>99</v>
      </c>
      <c r="L128" s="153">
        <v>33411</v>
      </c>
      <c r="M128" s="151">
        <v>34</v>
      </c>
      <c r="N128" s="151" t="s">
        <v>630</v>
      </c>
      <c r="O128" s="153">
        <v>48054</v>
      </c>
      <c r="P128" s="151" t="s">
        <v>51</v>
      </c>
      <c r="Q128" s="151"/>
      <c r="R128" s="173">
        <v>45918</v>
      </c>
      <c r="S128" s="174">
        <v>45923</v>
      </c>
      <c r="T128" s="175">
        <f>S128-R128</f>
        <v>5</v>
      </c>
      <c r="U128" s="151">
        <v>1</v>
      </c>
      <c r="V128" s="151">
        <v>1</v>
      </c>
      <c r="W128" s="151">
        <v>0</v>
      </c>
      <c r="X128" s="151">
        <v>0</v>
      </c>
      <c r="Y128" s="151">
        <v>0</v>
      </c>
      <c r="Z128" s="151">
        <v>0</v>
      </c>
      <c r="AA128" s="151">
        <v>0</v>
      </c>
      <c r="AB128" s="151"/>
      <c r="AC128" s="153">
        <v>45918</v>
      </c>
      <c r="AD128" s="154">
        <v>0.18055555555474712</v>
      </c>
      <c r="AE128" s="151" t="s">
        <v>147</v>
      </c>
      <c r="AF128" s="153">
        <v>45923</v>
      </c>
      <c r="AG128" s="154">
        <v>0.70138888889050577</v>
      </c>
      <c r="AH128" s="151" t="s">
        <v>141</v>
      </c>
      <c r="AI128" s="151" t="s">
        <v>498</v>
      </c>
      <c r="AJ128" s="151" t="s">
        <v>104</v>
      </c>
      <c r="AK128" s="151" t="s">
        <v>104</v>
      </c>
      <c r="AL128" s="151" t="s">
        <v>58</v>
      </c>
      <c r="AM128" s="188" t="s">
        <v>1224</v>
      </c>
      <c r="AN128" s="188" t="s">
        <v>1233</v>
      </c>
      <c r="AO128" s="188"/>
      <c r="AP128" s="155"/>
    </row>
    <row r="129" spans="3:42" ht="14.25" customHeight="1">
      <c r="C129" s="156" t="str">
        <f>IF($X129=1,COUNTIF($C$10:C128,"&gt;0")+1,"")</f>
        <v/>
      </c>
      <c r="D129" s="151"/>
      <c r="E129" s="151" t="s">
        <v>493</v>
      </c>
      <c r="F129" s="152" t="s">
        <v>631</v>
      </c>
      <c r="G129" s="151" t="s">
        <v>625</v>
      </c>
      <c r="H129" s="151" t="s">
        <v>632</v>
      </c>
      <c r="I129" s="151" t="s">
        <v>623</v>
      </c>
      <c r="J129" s="151" t="s">
        <v>98</v>
      </c>
      <c r="K129" s="151" t="s">
        <v>99</v>
      </c>
      <c r="L129" s="153">
        <v>42610</v>
      </c>
      <c r="M129" s="151">
        <v>9</v>
      </c>
      <c r="N129" s="151" t="s">
        <v>633</v>
      </c>
      <c r="O129" s="153">
        <v>46177</v>
      </c>
      <c r="P129" s="151" t="s">
        <v>51</v>
      </c>
      <c r="Q129" s="151"/>
      <c r="R129" s="173">
        <v>45918</v>
      </c>
      <c r="S129" s="174">
        <v>45923</v>
      </c>
      <c r="T129" s="175">
        <f>S129-R129</f>
        <v>5</v>
      </c>
      <c r="U129" s="151">
        <v>1</v>
      </c>
      <c r="V129" s="151">
        <v>0</v>
      </c>
      <c r="W129" s="151">
        <v>1</v>
      </c>
      <c r="X129" s="151">
        <v>0</v>
      </c>
      <c r="Y129" s="151">
        <v>0</v>
      </c>
      <c r="Z129" s="151">
        <v>0</v>
      </c>
      <c r="AA129" s="151">
        <v>0</v>
      </c>
      <c r="AB129" s="151"/>
      <c r="AC129" s="153">
        <v>45918</v>
      </c>
      <c r="AD129" s="154">
        <v>0.18055555555474712</v>
      </c>
      <c r="AE129" s="151" t="s">
        <v>147</v>
      </c>
      <c r="AF129" s="153">
        <v>45923</v>
      </c>
      <c r="AG129" s="154">
        <v>0.70138888889050577</v>
      </c>
      <c r="AH129" s="151" t="s">
        <v>141</v>
      </c>
      <c r="AI129" s="151" t="s">
        <v>498</v>
      </c>
      <c r="AJ129" s="151" t="s">
        <v>104</v>
      </c>
      <c r="AK129" s="151" t="s">
        <v>104</v>
      </c>
      <c r="AL129" s="151" t="s">
        <v>58</v>
      </c>
      <c r="AM129" s="188" t="s">
        <v>1224</v>
      </c>
      <c r="AN129" s="188" t="s">
        <v>1233</v>
      </c>
      <c r="AO129" s="188"/>
      <c r="AP129" s="155"/>
    </row>
    <row r="130" spans="3:42" ht="14.25" customHeight="1">
      <c r="C130" s="156">
        <f>IF($X130=1,COUNTIF($C$10:C129,"&gt;0")+1,"")</f>
        <v>60</v>
      </c>
      <c r="D130" s="151">
        <v>15262667</v>
      </c>
      <c r="E130" s="151" t="s">
        <v>493</v>
      </c>
      <c r="F130" s="152" t="s">
        <v>634</v>
      </c>
      <c r="G130" s="151" t="s">
        <v>634</v>
      </c>
      <c r="H130" s="151" t="s">
        <v>635</v>
      </c>
      <c r="I130" s="151" t="s">
        <v>636</v>
      </c>
      <c r="J130" s="151" t="s">
        <v>98</v>
      </c>
      <c r="K130" s="151" t="s">
        <v>99</v>
      </c>
      <c r="L130" s="153">
        <v>24295</v>
      </c>
      <c r="M130" s="151">
        <v>59</v>
      </c>
      <c r="N130" s="151" t="s">
        <v>637</v>
      </c>
      <c r="O130" s="153">
        <v>49238</v>
      </c>
      <c r="P130" s="151" t="s">
        <v>51</v>
      </c>
      <c r="Q130" s="151"/>
      <c r="R130" s="173">
        <v>45918</v>
      </c>
      <c r="S130" s="174">
        <v>45923</v>
      </c>
      <c r="T130" s="175">
        <f>S130-R130</f>
        <v>5</v>
      </c>
      <c r="U130" s="151">
        <v>1</v>
      </c>
      <c r="V130" s="151">
        <v>1</v>
      </c>
      <c r="W130" s="151">
        <v>0</v>
      </c>
      <c r="X130" s="151">
        <v>1</v>
      </c>
      <c r="Y130" s="151">
        <v>0</v>
      </c>
      <c r="Z130" s="151">
        <v>1</v>
      </c>
      <c r="AA130" s="151">
        <v>0</v>
      </c>
      <c r="AB130" s="151"/>
      <c r="AC130" s="153">
        <v>45918</v>
      </c>
      <c r="AD130" s="154">
        <v>0.19097222221898846</v>
      </c>
      <c r="AE130" s="151" t="s">
        <v>169</v>
      </c>
      <c r="AF130" s="153">
        <v>45923</v>
      </c>
      <c r="AG130" s="154">
        <v>0.80555555555474712</v>
      </c>
      <c r="AH130" s="151" t="s">
        <v>638</v>
      </c>
      <c r="AI130" s="151" t="s">
        <v>498</v>
      </c>
      <c r="AJ130" s="151" t="s">
        <v>104</v>
      </c>
      <c r="AK130" s="151" t="s">
        <v>104</v>
      </c>
      <c r="AL130" s="151" t="s">
        <v>58</v>
      </c>
      <c r="AM130" s="188" t="s">
        <v>1224</v>
      </c>
      <c r="AN130" s="188" t="s">
        <v>1233</v>
      </c>
      <c r="AO130" s="188"/>
      <c r="AP130" s="155"/>
    </row>
    <row r="131" spans="3:42" ht="14.25" customHeight="1">
      <c r="C131" s="156" t="str">
        <f>IF($X131=1,COUNTIF($C$10:C130,"&gt;0")+1,"")</f>
        <v/>
      </c>
      <c r="D131" s="151"/>
      <c r="E131" s="151" t="s">
        <v>493</v>
      </c>
      <c r="F131" s="152" t="s">
        <v>639</v>
      </c>
      <c r="G131" s="151" t="s">
        <v>634</v>
      </c>
      <c r="H131" s="151" t="s">
        <v>640</v>
      </c>
      <c r="I131" s="151" t="s">
        <v>641</v>
      </c>
      <c r="J131" s="151" t="s">
        <v>100</v>
      </c>
      <c r="K131" s="151" t="s">
        <v>642</v>
      </c>
      <c r="L131" s="153">
        <v>23183</v>
      </c>
      <c r="M131" s="151">
        <v>62</v>
      </c>
      <c r="N131" s="151" t="s">
        <v>643</v>
      </c>
      <c r="O131" s="153">
        <v>49399</v>
      </c>
      <c r="P131" s="151" t="s">
        <v>51</v>
      </c>
      <c r="Q131" s="151"/>
      <c r="R131" s="173">
        <v>45918</v>
      </c>
      <c r="S131" s="174">
        <v>45923</v>
      </c>
      <c r="T131" s="175">
        <f>S131-R131</f>
        <v>5</v>
      </c>
      <c r="U131" s="151">
        <v>1</v>
      </c>
      <c r="V131" s="151">
        <v>1</v>
      </c>
      <c r="W131" s="151">
        <v>0</v>
      </c>
      <c r="X131" s="151">
        <v>0</v>
      </c>
      <c r="Y131" s="151">
        <v>0</v>
      </c>
      <c r="Z131" s="151">
        <v>0</v>
      </c>
      <c r="AA131" s="151">
        <v>0</v>
      </c>
      <c r="AB131" s="151"/>
      <c r="AC131" s="153">
        <v>45918</v>
      </c>
      <c r="AD131" s="154">
        <v>0.19097222221898846</v>
      </c>
      <c r="AE131" s="151" t="s">
        <v>169</v>
      </c>
      <c r="AF131" s="153">
        <v>45923</v>
      </c>
      <c r="AG131" s="154">
        <v>0.80555555555474712</v>
      </c>
      <c r="AH131" s="151" t="s">
        <v>638</v>
      </c>
      <c r="AI131" s="151" t="s">
        <v>498</v>
      </c>
      <c r="AJ131" s="151" t="s">
        <v>104</v>
      </c>
      <c r="AK131" s="151" t="s">
        <v>104</v>
      </c>
      <c r="AL131" s="151" t="s">
        <v>58</v>
      </c>
      <c r="AM131" s="188" t="s">
        <v>1224</v>
      </c>
      <c r="AN131" s="188" t="s">
        <v>1233</v>
      </c>
      <c r="AO131" s="188"/>
      <c r="AP131" s="155"/>
    </row>
    <row r="132" spans="3:42" ht="14.25" customHeight="1">
      <c r="C132" s="156">
        <f>IF($X132=1,COUNTIF($C$10:C131,"&gt;0")+1,"")</f>
        <v>61</v>
      </c>
      <c r="D132" s="151">
        <v>15262673</v>
      </c>
      <c r="E132" s="151" t="s">
        <v>493</v>
      </c>
      <c r="F132" s="152" t="s">
        <v>644</v>
      </c>
      <c r="G132" s="151" t="s">
        <v>644</v>
      </c>
      <c r="H132" s="151" t="s">
        <v>645</v>
      </c>
      <c r="I132" s="151" t="s">
        <v>160</v>
      </c>
      <c r="J132" s="151" t="s">
        <v>98</v>
      </c>
      <c r="K132" s="151" t="s">
        <v>99</v>
      </c>
      <c r="L132" s="153">
        <v>36515</v>
      </c>
      <c r="M132" s="151">
        <v>25</v>
      </c>
      <c r="N132" s="151" t="s">
        <v>646</v>
      </c>
      <c r="O132" s="153">
        <v>47504</v>
      </c>
      <c r="P132" s="151" t="s">
        <v>51</v>
      </c>
      <c r="Q132" s="151"/>
      <c r="R132" s="173">
        <v>45918</v>
      </c>
      <c r="S132" s="174">
        <v>45923</v>
      </c>
      <c r="T132" s="175">
        <f>S132-R132</f>
        <v>5</v>
      </c>
      <c r="U132" s="151">
        <v>1</v>
      </c>
      <c r="V132" s="151">
        <v>1</v>
      </c>
      <c r="W132" s="151">
        <v>0</v>
      </c>
      <c r="X132" s="151">
        <v>1</v>
      </c>
      <c r="Y132" s="151">
        <v>0</v>
      </c>
      <c r="Z132" s="151">
        <v>1</v>
      </c>
      <c r="AA132" s="151">
        <v>0</v>
      </c>
      <c r="AB132" s="151"/>
      <c r="AC132" s="153">
        <v>45918</v>
      </c>
      <c r="AD132" s="154">
        <v>0.19097222221898846</v>
      </c>
      <c r="AE132" s="151" t="s">
        <v>169</v>
      </c>
      <c r="AF132" s="153">
        <v>45923</v>
      </c>
      <c r="AG132" s="154">
        <v>0.87152777778101154</v>
      </c>
      <c r="AH132" s="151" t="s">
        <v>568</v>
      </c>
      <c r="AI132" s="151" t="s">
        <v>498</v>
      </c>
      <c r="AJ132" s="151" t="s">
        <v>104</v>
      </c>
      <c r="AK132" s="151" t="s">
        <v>104</v>
      </c>
      <c r="AL132" s="151" t="s">
        <v>58</v>
      </c>
      <c r="AM132" s="188" t="s">
        <v>1224</v>
      </c>
      <c r="AN132" s="188" t="s">
        <v>1233</v>
      </c>
      <c r="AO132" s="188"/>
      <c r="AP132" s="155"/>
    </row>
    <row r="133" spans="3:42" ht="14.25" customHeight="1">
      <c r="C133" s="156" t="str">
        <f>IF($X133=1,COUNTIF($C$10:C132,"&gt;0")+1,"")</f>
        <v/>
      </c>
      <c r="D133" s="151"/>
      <c r="E133" s="151" t="s">
        <v>871</v>
      </c>
      <c r="F133" s="152" t="s">
        <v>892</v>
      </c>
      <c r="G133" s="151" t="s">
        <v>889</v>
      </c>
      <c r="H133" s="151" t="s">
        <v>893</v>
      </c>
      <c r="I133" s="151" t="s">
        <v>256</v>
      </c>
      <c r="J133" s="151" t="s">
        <v>100</v>
      </c>
      <c r="K133" s="151" t="s">
        <v>99</v>
      </c>
      <c r="L133" s="153">
        <v>31593</v>
      </c>
      <c r="M133" s="151">
        <v>39</v>
      </c>
      <c r="N133" s="151" t="s">
        <v>894</v>
      </c>
      <c r="O133" s="153">
        <v>46453</v>
      </c>
      <c r="P133" s="151" t="s">
        <v>52</v>
      </c>
      <c r="Q133" s="151"/>
      <c r="R133" s="173">
        <v>45918</v>
      </c>
      <c r="S133" s="174">
        <v>45923</v>
      </c>
      <c r="T133" s="175">
        <f>S133-R133</f>
        <v>5</v>
      </c>
      <c r="U133" s="151">
        <v>1</v>
      </c>
      <c r="V133" s="151">
        <v>1</v>
      </c>
      <c r="W133" s="151">
        <v>0</v>
      </c>
      <c r="X133" s="151">
        <v>0</v>
      </c>
      <c r="Y133" s="151">
        <v>0</v>
      </c>
      <c r="Z133" s="151">
        <v>0</v>
      </c>
      <c r="AA133" s="151">
        <v>0</v>
      </c>
      <c r="AB133" s="151"/>
      <c r="AC133" s="153">
        <v>45918</v>
      </c>
      <c r="AD133" s="154">
        <v>0.74305555555474712</v>
      </c>
      <c r="AE133" s="151" t="s">
        <v>720</v>
      </c>
      <c r="AF133" s="153">
        <v>45923</v>
      </c>
      <c r="AG133" s="154">
        <v>0.36805555555474712</v>
      </c>
      <c r="AH133" s="151" t="s">
        <v>270</v>
      </c>
      <c r="AI133" s="151" t="s">
        <v>876</v>
      </c>
      <c r="AJ133" s="151" t="s">
        <v>104</v>
      </c>
      <c r="AK133" s="151" t="s">
        <v>104</v>
      </c>
      <c r="AL133" s="151" t="s">
        <v>58</v>
      </c>
      <c r="AM133" s="188" t="s">
        <v>1224</v>
      </c>
      <c r="AN133" s="188" t="s">
        <v>1231</v>
      </c>
      <c r="AO133" s="188"/>
      <c r="AP133" s="155"/>
    </row>
    <row r="134" spans="3:42" ht="14.25" customHeight="1">
      <c r="C134" s="156">
        <f>IF($X134=1,COUNTIF($C$10:C133,"&gt;0")+1,"")</f>
        <v>62</v>
      </c>
      <c r="D134" s="151">
        <v>15262674</v>
      </c>
      <c r="E134" s="151" t="s">
        <v>493</v>
      </c>
      <c r="F134" s="152" t="s">
        <v>651</v>
      </c>
      <c r="G134" s="151" t="s">
        <v>651</v>
      </c>
      <c r="H134" s="151" t="s">
        <v>652</v>
      </c>
      <c r="I134" s="151" t="s">
        <v>150</v>
      </c>
      <c r="J134" s="151" t="s">
        <v>100</v>
      </c>
      <c r="K134" s="151" t="s">
        <v>99</v>
      </c>
      <c r="L134" s="153">
        <v>37173</v>
      </c>
      <c r="M134" s="151">
        <v>23</v>
      </c>
      <c r="N134" s="151" t="s">
        <v>653</v>
      </c>
      <c r="O134" s="153">
        <v>47181</v>
      </c>
      <c r="P134" s="151" t="s">
        <v>51</v>
      </c>
      <c r="Q134" s="151"/>
      <c r="R134" s="173">
        <v>45918</v>
      </c>
      <c r="S134" s="174">
        <v>45923</v>
      </c>
      <c r="T134" s="175">
        <f>S134-R134</f>
        <v>5</v>
      </c>
      <c r="U134" s="151">
        <v>1</v>
      </c>
      <c r="V134" s="151">
        <v>1</v>
      </c>
      <c r="W134" s="151">
        <v>0</v>
      </c>
      <c r="X134" s="151">
        <v>1</v>
      </c>
      <c r="Y134" s="151">
        <v>0</v>
      </c>
      <c r="Z134" s="151">
        <v>1</v>
      </c>
      <c r="AA134" s="151">
        <v>0</v>
      </c>
      <c r="AB134" s="151"/>
      <c r="AC134" s="153">
        <v>45918</v>
      </c>
      <c r="AD134" s="154">
        <v>0.19097222221898846</v>
      </c>
      <c r="AE134" s="151" t="s">
        <v>169</v>
      </c>
      <c r="AF134" s="153">
        <v>45923</v>
      </c>
      <c r="AG134" s="154">
        <v>0.87152777778101154</v>
      </c>
      <c r="AH134" s="151" t="s">
        <v>568</v>
      </c>
      <c r="AI134" s="151" t="s">
        <v>498</v>
      </c>
      <c r="AJ134" s="151" t="s">
        <v>104</v>
      </c>
      <c r="AK134" s="151" t="s">
        <v>104</v>
      </c>
      <c r="AL134" s="151" t="s">
        <v>58</v>
      </c>
      <c r="AM134" s="188" t="s">
        <v>1224</v>
      </c>
      <c r="AN134" s="188" t="s">
        <v>1233</v>
      </c>
      <c r="AO134" s="188"/>
      <c r="AP134" s="155"/>
    </row>
    <row r="135" spans="3:42" ht="14.25" customHeight="1">
      <c r="C135" s="156" t="str">
        <f>IF($X135=1,COUNTIF($C$10:C134,"&gt;0")+1,"")</f>
        <v/>
      </c>
      <c r="D135" s="151"/>
      <c r="E135" s="151" t="s">
        <v>871</v>
      </c>
      <c r="F135" s="152" t="s">
        <v>898</v>
      </c>
      <c r="G135" s="151" t="s">
        <v>895</v>
      </c>
      <c r="H135" s="151" t="s">
        <v>392</v>
      </c>
      <c r="I135" s="151" t="s">
        <v>417</v>
      </c>
      <c r="J135" s="151" t="s">
        <v>100</v>
      </c>
      <c r="K135" s="151" t="s">
        <v>232</v>
      </c>
      <c r="L135" s="153">
        <v>28857</v>
      </c>
      <c r="M135" s="151">
        <v>46</v>
      </c>
      <c r="N135" s="151" t="s">
        <v>899</v>
      </c>
      <c r="O135" s="153">
        <v>49070</v>
      </c>
      <c r="P135" s="151" t="s">
        <v>52</v>
      </c>
      <c r="Q135" s="151"/>
      <c r="R135" s="173">
        <v>45918</v>
      </c>
      <c r="S135" s="174">
        <v>45923</v>
      </c>
      <c r="T135" s="175">
        <f>S135-R135</f>
        <v>5</v>
      </c>
      <c r="U135" s="151">
        <v>1</v>
      </c>
      <c r="V135" s="151">
        <v>1</v>
      </c>
      <c r="W135" s="151">
        <v>0</v>
      </c>
      <c r="X135" s="151">
        <v>0</v>
      </c>
      <c r="Y135" s="151">
        <v>0</v>
      </c>
      <c r="Z135" s="151">
        <v>0</v>
      </c>
      <c r="AA135" s="151">
        <v>0</v>
      </c>
      <c r="AB135" s="151"/>
      <c r="AC135" s="153">
        <v>45918</v>
      </c>
      <c r="AD135" s="154">
        <v>0.74305555555474712</v>
      </c>
      <c r="AE135" s="151" t="s">
        <v>720</v>
      </c>
      <c r="AF135" s="153">
        <v>45923</v>
      </c>
      <c r="AG135" s="154">
        <v>0.8125</v>
      </c>
      <c r="AH135" s="151" t="s">
        <v>721</v>
      </c>
      <c r="AI135" s="151" t="s">
        <v>876</v>
      </c>
      <c r="AJ135" s="151" t="s">
        <v>104</v>
      </c>
      <c r="AK135" s="151" t="s">
        <v>104</v>
      </c>
      <c r="AL135" s="151" t="s">
        <v>58</v>
      </c>
      <c r="AM135" s="188" t="s">
        <v>1224</v>
      </c>
      <c r="AN135" s="188" t="s">
        <v>1231</v>
      </c>
      <c r="AO135" s="188"/>
      <c r="AP135" s="155"/>
    </row>
    <row r="136" spans="3:42" ht="14.25" customHeight="1">
      <c r="C136" s="156">
        <f>IF($X136=1,COUNTIF($C$10:C135,"&gt;0")+1,"")</f>
        <v>63</v>
      </c>
      <c r="D136" s="151">
        <v>15262675</v>
      </c>
      <c r="E136" s="151" t="s">
        <v>493</v>
      </c>
      <c r="F136" s="152" t="s">
        <v>657</v>
      </c>
      <c r="G136" s="151" t="s">
        <v>657</v>
      </c>
      <c r="H136" s="151" t="s">
        <v>495</v>
      </c>
      <c r="I136" s="151" t="s">
        <v>496</v>
      </c>
      <c r="J136" s="151" t="s">
        <v>98</v>
      </c>
      <c r="K136" s="151" t="s">
        <v>658</v>
      </c>
      <c r="L136" s="153">
        <v>23349</v>
      </c>
      <c r="M136" s="151">
        <v>61</v>
      </c>
      <c r="N136" s="151" t="s">
        <v>659</v>
      </c>
      <c r="O136" s="153">
        <v>47206</v>
      </c>
      <c r="P136" s="151" t="s">
        <v>51</v>
      </c>
      <c r="Q136" s="151"/>
      <c r="R136" s="173">
        <v>45918</v>
      </c>
      <c r="S136" s="174">
        <v>45923</v>
      </c>
      <c r="T136" s="175">
        <f>S136-R136</f>
        <v>5</v>
      </c>
      <c r="U136" s="151">
        <v>1</v>
      </c>
      <c r="V136" s="151">
        <v>1</v>
      </c>
      <c r="W136" s="151">
        <v>0</v>
      </c>
      <c r="X136" s="151">
        <v>1</v>
      </c>
      <c r="Y136" s="151">
        <v>0</v>
      </c>
      <c r="Z136" s="151">
        <v>1</v>
      </c>
      <c r="AA136" s="151">
        <v>0</v>
      </c>
      <c r="AB136" s="151"/>
      <c r="AC136" s="153">
        <v>45918</v>
      </c>
      <c r="AD136" s="154">
        <v>0.18055555555474712</v>
      </c>
      <c r="AE136" s="151" t="s">
        <v>147</v>
      </c>
      <c r="AF136" s="153">
        <v>45923</v>
      </c>
      <c r="AG136" s="154">
        <v>0.70138888889050577</v>
      </c>
      <c r="AH136" s="151" t="s">
        <v>141</v>
      </c>
      <c r="AI136" s="151" t="s">
        <v>498</v>
      </c>
      <c r="AJ136" s="151" t="s">
        <v>104</v>
      </c>
      <c r="AK136" s="151" t="s">
        <v>104</v>
      </c>
      <c r="AL136" s="151" t="s">
        <v>58</v>
      </c>
      <c r="AM136" s="188" t="s">
        <v>1224</v>
      </c>
      <c r="AN136" s="188" t="s">
        <v>1233</v>
      </c>
      <c r="AO136" s="188"/>
      <c r="AP136" s="155"/>
    </row>
    <row r="137" spans="3:42" ht="14.25" customHeight="1">
      <c r="C137" s="156" t="str">
        <f>IF($X137=1,COUNTIF($C$10:C136,"&gt;0")+1,"")</f>
        <v/>
      </c>
      <c r="D137" s="151"/>
      <c r="E137" s="151" t="s">
        <v>493</v>
      </c>
      <c r="F137" s="152" t="s">
        <v>660</v>
      </c>
      <c r="G137" s="151" t="s">
        <v>657</v>
      </c>
      <c r="H137" s="151" t="s">
        <v>661</v>
      </c>
      <c r="I137" s="151" t="s">
        <v>501</v>
      </c>
      <c r="J137" s="151" t="s">
        <v>100</v>
      </c>
      <c r="K137" s="151" t="s">
        <v>658</v>
      </c>
      <c r="L137" s="153">
        <v>25665</v>
      </c>
      <c r="M137" s="151">
        <v>55</v>
      </c>
      <c r="N137" s="151" t="s">
        <v>662</v>
      </c>
      <c r="O137" s="153">
        <v>46823</v>
      </c>
      <c r="P137" s="151" t="s">
        <v>51</v>
      </c>
      <c r="Q137" s="151"/>
      <c r="R137" s="173">
        <v>45918</v>
      </c>
      <c r="S137" s="174">
        <v>45923</v>
      </c>
      <c r="T137" s="175">
        <f>S137-R137</f>
        <v>5</v>
      </c>
      <c r="U137" s="151">
        <v>1</v>
      </c>
      <c r="V137" s="151">
        <v>1</v>
      </c>
      <c r="W137" s="151">
        <v>0</v>
      </c>
      <c r="X137" s="151">
        <v>0</v>
      </c>
      <c r="Y137" s="151">
        <v>0</v>
      </c>
      <c r="Z137" s="151">
        <v>0</v>
      </c>
      <c r="AA137" s="151">
        <v>0</v>
      </c>
      <c r="AB137" s="151"/>
      <c r="AC137" s="153">
        <v>45918</v>
      </c>
      <c r="AD137" s="154">
        <v>0.18055555555474712</v>
      </c>
      <c r="AE137" s="151" t="s">
        <v>147</v>
      </c>
      <c r="AF137" s="153">
        <v>45923</v>
      </c>
      <c r="AG137" s="154">
        <v>0.70138888889050577</v>
      </c>
      <c r="AH137" s="151" t="s">
        <v>141</v>
      </c>
      <c r="AI137" s="151" t="s">
        <v>498</v>
      </c>
      <c r="AJ137" s="151" t="s">
        <v>104</v>
      </c>
      <c r="AK137" s="151" t="s">
        <v>104</v>
      </c>
      <c r="AL137" s="151" t="s">
        <v>58</v>
      </c>
      <c r="AM137" s="188" t="s">
        <v>1224</v>
      </c>
      <c r="AN137" s="188" t="s">
        <v>1233</v>
      </c>
      <c r="AO137" s="188"/>
      <c r="AP137" s="155"/>
    </row>
    <row r="138" spans="3:42" ht="14.25" customHeight="1">
      <c r="C138" s="156">
        <f>IF($X138=1,COUNTIF($C$10:C137,"&gt;0")+1,"")</f>
        <v>64</v>
      </c>
      <c r="D138" s="151">
        <v>15262676</v>
      </c>
      <c r="E138" s="151" t="s">
        <v>493</v>
      </c>
      <c r="F138" s="152" t="s">
        <v>663</v>
      </c>
      <c r="G138" s="151" t="s">
        <v>663</v>
      </c>
      <c r="H138" s="151" t="s">
        <v>664</v>
      </c>
      <c r="I138" s="151" t="s">
        <v>665</v>
      </c>
      <c r="J138" s="151" t="s">
        <v>100</v>
      </c>
      <c r="K138" s="151" t="s">
        <v>99</v>
      </c>
      <c r="L138" s="153">
        <v>27879</v>
      </c>
      <c r="M138" s="151">
        <v>49</v>
      </c>
      <c r="N138" s="151" t="s">
        <v>666</v>
      </c>
      <c r="O138" s="153">
        <v>47243</v>
      </c>
      <c r="P138" s="151" t="s">
        <v>52</v>
      </c>
      <c r="Q138" s="151"/>
      <c r="R138" s="173">
        <v>45918</v>
      </c>
      <c r="S138" s="174">
        <v>45923</v>
      </c>
      <c r="T138" s="175">
        <f>S138-R138</f>
        <v>5</v>
      </c>
      <c r="U138" s="151">
        <v>1</v>
      </c>
      <c r="V138" s="151">
        <v>1</v>
      </c>
      <c r="W138" s="151">
        <v>0</v>
      </c>
      <c r="X138" s="151">
        <v>1</v>
      </c>
      <c r="Y138" s="151">
        <v>0</v>
      </c>
      <c r="Z138" s="151">
        <v>0</v>
      </c>
      <c r="AA138" s="151">
        <v>1</v>
      </c>
      <c r="AB138" s="151"/>
      <c r="AC138" s="153">
        <v>45918</v>
      </c>
      <c r="AD138" s="154">
        <v>0.18055555555474712</v>
      </c>
      <c r="AE138" s="151" t="s">
        <v>147</v>
      </c>
      <c r="AF138" s="153">
        <v>45928</v>
      </c>
      <c r="AG138" s="154">
        <v>0.70138888889050577</v>
      </c>
      <c r="AH138" s="151" t="s">
        <v>141</v>
      </c>
      <c r="AI138" s="151" t="s">
        <v>498</v>
      </c>
      <c r="AJ138" s="151" t="s">
        <v>104</v>
      </c>
      <c r="AK138" s="151" t="s">
        <v>104</v>
      </c>
      <c r="AL138" s="151" t="s">
        <v>58</v>
      </c>
      <c r="AM138" s="188" t="s">
        <v>1224</v>
      </c>
      <c r="AN138" s="188" t="s">
        <v>1234</v>
      </c>
      <c r="AO138" s="188"/>
      <c r="AP138" s="155"/>
    </row>
    <row r="139" spans="3:42" ht="14.25" customHeight="1">
      <c r="C139" s="156" t="str">
        <f>IF($X139=1,COUNTIF($C$10:C138,"&gt;0")+1,"")</f>
        <v/>
      </c>
      <c r="D139" s="151"/>
      <c r="E139" s="151" t="s">
        <v>493</v>
      </c>
      <c r="F139" s="152" t="s">
        <v>667</v>
      </c>
      <c r="G139" s="151" t="s">
        <v>663</v>
      </c>
      <c r="H139" s="151" t="s">
        <v>668</v>
      </c>
      <c r="I139" s="151" t="s">
        <v>669</v>
      </c>
      <c r="J139" s="151" t="s">
        <v>100</v>
      </c>
      <c r="K139" s="151" t="s">
        <v>99</v>
      </c>
      <c r="L139" s="153">
        <v>28856</v>
      </c>
      <c r="M139" s="151">
        <v>46</v>
      </c>
      <c r="N139" s="151" t="s">
        <v>670</v>
      </c>
      <c r="O139" s="153">
        <v>48195</v>
      </c>
      <c r="P139" s="151" t="s">
        <v>52</v>
      </c>
      <c r="Q139" s="151"/>
      <c r="R139" s="173">
        <v>45918</v>
      </c>
      <c r="S139" s="174">
        <v>45923</v>
      </c>
      <c r="T139" s="175">
        <f>S139-R139</f>
        <v>5</v>
      </c>
      <c r="U139" s="151">
        <v>1</v>
      </c>
      <c r="V139" s="151">
        <v>1</v>
      </c>
      <c r="W139" s="151">
        <v>0</v>
      </c>
      <c r="X139" s="151">
        <v>0</v>
      </c>
      <c r="Y139" s="151">
        <v>0</v>
      </c>
      <c r="Z139" s="151">
        <v>0</v>
      </c>
      <c r="AA139" s="151">
        <v>0</v>
      </c>
      <c r="AB139" s="151"/>
      <c r="AC139" s="153">
        <v>45918</v>
      </c>
      <c r="AD139" s="154">
        <v>0.18055555555474712</v>
      </c>
      <c r="AE139" s="151" t="s">
        <v>147</v>
      </c>
      <c r="AF139" s="153">
        <v>45928</v>
      </c>
      <c r="AG139" s="154">
        <v>0.70138888889050577</v>
      </c>
      <c r="AH139" s="151" t="s">
        <v>141</v>
      </c>
      <c r="AI139" s="151" t="s">
        <v>498</v>
      </c>
      <c r="AJ139" s="151" t="s">
        <v>104</v>
      </c>
      <c r="AK139" s="151" t="s">
        <v>104</v>
      </c>
      <c r="AL139" s="151" t="s">
        <v>58</v>
      </c>
      <c r="AM139" s="188" t="s">
        <v>1224</v>
      </c>
      <c r="AN139" s="188" t="s">
        <v>1234</v>
      </c>
      <c r="AO139" s="188"/>
      <c r="AP139" s="155"/>
    </row>
    <row r="140" spans="3:42" ht="14.25" customHeight="1">
      <c r="C140" s="156">
        <f>IF($X140=1,COUNTIF($C$10:C139,"&gt;0")+1,"")</f>
        <v>65</v>
      </c>
      <c r="D140" s="151">
        <v>15262677</v>
      </c>
      <c r="E140" s="151" t="s">
        <v>493</v>
      </c>
      <c r="F140" s="152" t="s">
        <v>671</v>
      </c>
      <c r="G140" s="151" t="s">
        <v>671</v>
      </c>
      <c r="H140" s="151" t="s">
        <v>672</v>
      </c>
      <c r="I140" s="151" t="s">
        <v>673</v>
      </c>
      <c r="J140" s="151" t="s">
        <v>100</v>
      </c>
      <c r="K140" s="151" t="s">
        <v>99</v>
      </c>
      <c r="L140" s="153">
        <v>21741</v>
      </c>
      <c r="M140" s="151">
        <v>66</v>
      </c>
      <c r="N140" s="151" t="s">
        <v>674</v>
      </c>
      <c r="O140" s="153">
        <v>46874</v>
      </c>
      <c r="P140" s="151" t="s">
        <v>52</v>
      </c>
      <c r="Q140" s="151"/>
      <c r="R140" s="173">
        <v>45918</v>
      </c>
      <c r="S140" s="174">
        <v>45923</v>
      </c>
      <c r="T140" s="175">
        <f>S140-R140</f>
        <v>5</v>
      </c>
      <c r="U140" s="151">
        <v>1</v>
      </c>
      <c r="V140" s="151">
        <v>1</v>
      </c>
      <c r="W140" s="151">
        <v>0</v>
      </c>
      <c r="X140" s="151">
        <v>1</v>
      </c>
      <c r="Y140" s="151">
        <v>0</v>
      </c>
      <c r="Z140" s="151">
        <v>0</v>
      </c>
      <c r="AA140" s="151">
        <v>1</v>
      </c>
      <c r="AB140" s="151"/>
      <c r="AC140" s="153">
        <v>45918</v>
      </c>
      <c r="AD140" s="154">
        <v>0.47916666666424135</v>
      </c>
      <c r="AE140" s="151" t="s">
        <v>675</v>
      </c>
      <c r="AF140" s="153">
        <v>45923</v>
      </c>
      <c r="AG140" s="154">
        <v>0.87152777778101154</v>
      </c>
      <c r="AH140" s="151" t="s">
        <v>568</v>
      </c>
      <c r="AI140" s="151" t="s">
        <v>498</v>
      </c>
      <c r="AJ140" s="151" t="s">
        <v>104</v>
      </c>
      <c r="AK140" s="151" t="s">
        <v>104</v>
      </c>
      <c r="AL140" s="151" t="s">
        <v>58</v>
      </c>
      <c r="AM140" s="188" t="s">
        <v>1224</v>
      </c>
      <c r="AN140" s="188" t="s">
        <v>1234</v>
      </c>
      <c r="AO140" s="188"/>
      <c r="AP140" s="155"/>
    </row>
    <row r="141" spans="3:42" ht="14.25" customHeight="1">
      <c r="C141" s="156" t="str">
        <f>IF($X141=1,COUNTIF($C$10:C140,"&gt;0")+1,"")</f>
        <v/>
      </c>
      <c r="D141" s="151"/>
      <c r="E141" s="151" t="s">
        <v>493</v>
      </c>
      <c r="F141" s="152" t="s">
        <v>676</v>
      </c>
      <c r="G141" s="151" t="s">
        <v>671</v>
      </c>
      <c r="H141" s="151" t="s">
        <v>677</v>
      </c>
      <c r="I141" s="151" t="s">
        <v>678</v>
      </c>
      <c r="J141" s="151" t="s">
        <v>100</v>
      </c>
      <c r="K141" s="151" t="s">
        <v>99</v>
      </c>
      <c r="L141" s="153">
        <v>18480</v>
      </c>
      <c r="M141" s="151">
        <v>75</v>
      </c>
      <c r="N141" s="151" t="s">
        <v>679</v>
      </c>
      <c r="O141" s="153">
        <v>48752</v>
      </c>
      <c r="P141" s="151" t="s">
        <v>52</v>
      </c>
      <c r="Q141" s="151"/>
      <c r="R141" s="173">
        <v>45918</v>
      </c>
      <c r="S141" s="174">
        <v>45923</v>
      </c>
      <c r="T141" s="175">
        <f>S141-R141</f>
        <v>5</v>
      </c>
      <c r="U141" s="151">
        <v>1</v>
      </c>
      <c r="V141" s="151">
        <v>1</v>
      </c>
      <c r="W141" s="151">
        <v>0</v>
      </c>
      <c r="X141" s="151">
        <v>0</v>
      </c>
      <c r="Y141" s="151">
        <v>0</v>
      </c>
      <c r="Z141" s="151">
        <v>0</v>
      </c>
      <c r="AA141" s="151">
        <v>0</v>
      </c>
      <c r="AB141" s="151"/>
      <c r="AC141" s="153">
        <v>45918</v>
      </c>
      <c r="AD141" s="154">
        <v>0.19097222221898846</v>
      </c>
      <c r="AE141" s="151" t="s">
        <v>169</v>
      </c>
      <c r="AF141" s="153">
        <v>45923</v>
      </c>
      <c r="AG141" s="154">
        <v>0.93402777778101154</v>
      </c>
      <c r="AH141" s="151" t="s">
        <v>680</v>
      </c>
      <c r="AI141" s="151" t="s">
        <v>498</v>
      </c>
      <c r="AJ141" s="151" t="s">
        <v>104</v>
      </c>
      <c r="AK141" s="151" t="s">
        <v>104</v>
      </c>
      <c r="AL141" s="151" t="s">
        <v>58</v>
      </c>
      <c r="AM141" s="188" t="s">
        <v>1224</v>
      </c>
      <c r="AN141" s="188" t="s">
        <v>1234</v>
      </c>
      <c r="AO141" s="188"/>
      <c r="AP141" s="155"/>
    </row>
    <row r="142" spans="3:42" ht="14.25" customHeight="1">
      <c r="C142" s="156">
        <f>IF($X142=1,COUNTIF($C$10:C141,"&gt;0")+1,"")</f>
        <v>66</v>
      </c>
      <c r="D142" s="151">
        <v>15262678</v>
      </c>
      <c r="E142" s="151" t="s">
        <v>681</v>
      </c>
      <c r="F142" s="152" t="s">
        <v>682</v>
      </c>
      <c r="G142" s="151" t="s">
        <v>682</v>
      </c>
      <c r="H142" s="151" t="s">
        <v>683</v>
      </c>
      <c r="I142" s="151" t="s">
        <v>684</v>
      </c>
      <c r="J142" s="151" t="s">
        <v>100</v>
      </c>
      <c r="K142" s="151" t="s">
        <v>99</v>
      </c>
      <c r="L142" s="153">
        <v>29520</v>
      </c>
      <c r="M142" s="151">
        <v>44</v>
      </c>
      <c r="N142" s="151" t="s">
        <v>685</v>
      </c>
      <c r="O142" s="153">
        <v>49016</v>
      </c>
      <c r="P142" s="151" t="s">
        <v>51</v>
      </c>
      <c r="Q142" s="151"/>
      <c r="R142" s="173">
        <v>45918</v>
      </c>
      <c r="S142" s="174">
        <v>45923</v>
      </c>
      <c r="T142" s="175">
        <f>S142-R142</f>
        <v>5</v>
      </c>
      <c r="U142" s="151">
        <v>1</v>
      </c>
      <c r="V142" s="151">
        <v>1</v>
      </c>
      <c r="W142" s="151">
        <v>0</v>
      </c>
      <c r="X142" s="151">
        <v>1</v>
      </c>
      <c r="Y142" s="151">
        <v>0</v>
      </c>
      <c r="Z142" s="151">
        <v>1</v>
      </c>
      <c r="AA142" s="151">
        <v>0</v>
      </c>
      <c r="AB142" s="151"/>
      <c r="AC142" s="153">
        <v>45918</v>
      </c>
      <c r="AD142" s="154">
        <v>0.70138888889050577</v>
      </c>
      <c r="AE142" s="151" t="s">
        <v>151</v>
      </c>
      <c r="AF142" s="153">
        <v>45923</v>
      </c>
      <c r="AG142" s="154">
        <v>0.375</v>
      </c>
      <c r="AH142" s="151" t="s">
        <v>686</v>
      </c>
      <c r="AI142" s="151" t="s">
        <v>687</v>
      </c>
      <c r="AJ142" s="151" t="s">
        <v>104</v>
      </c>
      <c r="AK142" s="151" t="s">
        <v>104</v>
      </c>
      <c r="AL142" s="151" t="s">
        <v>58</v>
      </c>
      <c r="AM142" s="188" t="s">
        <v>1224</v>
      </c>
      <c r="AN142" s="188" t="s">
        <v>1233</v>
      </c>
      <c r="AO142" s="188"/>
      <c r="AP142" s="155"/>
    </row>
    <row r="143" spans="3:42" ht="14.25" customHeight="1">
      <c r="C143" s="156" t="str">
        <f>IF($X143=1,COUNTIF($C$10:C142,"&gt;0")+1,"")</f>
        <v/>
      </c>
      <c r="D143" s="151"/>
      <c r="E143" s="151" t="s">
        <v>681</v>
      </c>
      <c r="F143" s="152" t="s">
        <v>688</v>
      </c>
      <c r="G143" s="151" t="s">
        <v>682</v>
      </c>
      <c r="H143" s="151" t="s">
        <v>689</v>
      </c>
      <c r="I143" s="151" t="s">
        <v>684</v>
      </c>
      <c r="J143" s="151" t="s">
        <v>104</v>
      </c>
      <c r="K143" s="151" t="s">
        <v>99</v>
      </c>
      <c r="L143" s="153">
        <v>40280</v>
      </c>
      <c r="M143" s="151">
        <v>15</v>
      </c>
      <c r="N143" s="151" t="s">
        <v>690</v>
      </c>
      <c r="O143" s="153">
        <v>46432</v>
      </c>
      <c r="P143" s="151" t="s">
        <v>51</v>
      </c>
      <c r="Q143" s="151"/>
      <c r="R143" s="173">
        <v>45918</v>
      </c>
      <c r="S143" s="174">
        <v>45923</v>
      </c>
      <c r="T143" s="175">
        <f>S143-R143</f>
        <v>5</v>
      </c>
      <c r="U143" s="151">
        <v>1</v>
      </c>
      <c r="V143" s="151">
        <v>1</v>
      </c>
      <c r="W143" s="151">
        <v>0</v>
      </c>
      <c r="X143" s="151">
        <v>0</v>
      </c>
      <c r="Y143" s="151">
        <v>0</v>
      </c>
      <c r="Z143" s="151">
        <v>0</v>
      </c>
      <c r="AA143" s="151">
        <v>0</v>
      </c>
      <c r="AB143" s="151"/>
      <c r="AC143" s="153">
        <v>45918</v>
      </c>
      <c r="AD143" s="154">
        <v>0.70138888889050577</v>
      </c>
      <c r="AE143" s="151" t="s">
        <v>151</v>
      </c>
      <c r="AF143" s="153">
        <v>45923</v>
      </c>
      <c r="AG143" s="154">
        <v>0.375</v>
      </c>
      <c r="AH143" s="151" t="s">
        <v>686</v>
      </c>
      <c r="AI143" s="151" t="s">
        <v>687</v>
      </c>
      <c r="AJ143" s="151" t="s">
        <v>104</v>
      </c>
      <c r="AK143" s="151" t="s">
        <v>104</v>
      </c>
      <c r="AL143" s="151" t="s">
        <v>58</v>
      </c>
      <c r="AM143" s="188" t="s">
        <v>1224</v>
      </c>
      <c r="AN143" s="188" t="s">
        <v>1233</v>
      </c>
      <c r="AO143" s="188"/>
      <c r="AP143" s="155"/>
    </row>
    <row r="144" spans="3:42" ht="14.25" customHeight="1">
      <c r="C144" s="156">
        <f>IF($X144=1,COUNTIF($C$10:C143,"&gt;0")+1,"")</f>
        <v>67</v>
      </c>
      <c r="D144" s="151">
        <v>15262679</v>
      </c>
      <c r="E144" s="151" t="s">
        <v>681</v>
      </c>
      <c r="F144" s="152" t="s">
        <v>691</v>
      </c>
      <c r="G144" s="151" t="s">
        <v>691</v>
      </c>
      <c r="H144" s="151" t="s">
        <v>692</v>
      </c>
      <c r="I144" s="151" t="s">
        <v>693</v>
      </c>
      <c r="J144" s="151" t="s">
        <v>98</v>
      </c>
      <c r="K144" s="151" t="s">
        <v>694</v>
      </c>
      <c r="L144" s="153">
        <v>32488</v>
      </c>
      <c r="M144" s="151">
        <v>36</v>
      </c>
      <c r="N144" s="151" t="s">
        <v>695</v>
      </c>
      <c r="O144" s="153">
        <v>46419</v>
      </c>
      <c r="P144" s="151" t="s">
        <v>51</v>
      </c>
      <c r="Q144" s="151"/>
      <c r="R144" s="173">
        <v>45918</v>
      </c>
      <c r="S144" s="174">
        <v>45923</v>
      </c>
      <c r="T144" s="175">
        <f>S144-R144</f>
        <v>5</v>
      </c>
      <c r="U144" s="151">
        <v>1</v>
      </c>
      <c r="V144" s="151">
        <v>1</v>
      </c>
      <c r="W144" s="151">
        <v>0</v>
      </c>
      <c r="X144" s="151">
        <v>1</v>
      </c>
      <c r="Y144" s="151">
        <v>0</v>
      </c>
      <c r="Z144" s="151">
        <v>1</v>
      </c>
      <c r="AA144" s="151">
        <v>0</v>
      </c>
      <c r="AB144" s="151"/>
      <c r="AC144" s="153">
        <v>45918</v>
      </c>
      <c r="AD144" s="154">
        <v>0.31944444444525288</v>
      </c>
      <c r="AE144" s="151" t="s">
        <v>696</v>
      </c>
      <c r="AF144" s="153">
        <v>45923</v>
      </c>
      <c r="AG144" s="154">
        <v>0.79513888889050577</v>
      </c>
      <c r="AH144" s="151" t="s">
        <v>117</v>
      </c>
      <c r="AI144" s="151" t="s">
        <v>687</v>
      </c>
      <c r="AJ144" s="151" t="s">
        <v>104</v>
      </c>
      <c r="AK144" s="151"/>
      <c r="AL144" s="151" t="s">
        <v>58</v>
      </c>
      <c r="AM144" s="188" t="s">
        <v>1224</v>
      </c>
      <c r="AN144" s="188" t="s">
        <v>1233</v>
      </c>
      <c r="AO144" s="188"/>
      <c r="AP144" s="155"/>
    </row>
    <row r="145" spans="3:42" ht="14.25" customHeight="1">
      <c r="C145" s="156" t="str">
        <f>IF($X145=1,COUNTIF($C$10:C144,"&gt;0")+1,"")</f>
        <v/>
      </c>
      <c r="D145" s="151"/>
      <c r="E145" s="151" t="s">
        <v>681</v>
      </c>
      <c r="F145" s="152" t="s">
        <v>697</v>
      </c>
      <c r="G145" s="151" t="s">
        <v>691</v>
      </c>
      <c r="H145" s="151" t="s">
        <v>698</v>
      </c>
      <c r="I145" s="151" t="s">
        <v>699</v>
      </c>
      <c r="J145" s="151" t="s">
        <v>100</v>
      </c>
      <c r="K145" s="151" t="s">
        <v>99</v>
      </c>
      <c r="L145" s="153">
        <v>32280</v>
      </c>
      <c r="M145" s="151">
        <v>37</v>
      </c>
      <c r="N145" s="151" t="s">
        <v>700</v>
      </c>
      <c r="O145" s="153">
        <v>47127</v>
      </c>
      <c r="P145" s="151" t="s">
        <v>51</v>
      </c>
      <c r="Q145" s="151"/>
      <c r="R145" s="173">
        <v>45918</v>
      </c>
      <c r="S145" s="174">
        <v>45923</v>
      </c>
      <c r="T145" s="175">
        <f>S145-R145</f>
        <v>5</v>
      </c>
      <c r="U145" s="151">
        <v>1</v>
      </c>
      <c r="V145" s="151">
        <v>1</v>
      </c>
      <c r="W145" s="151">
        <v>0</v>
      </c>
      <c r="X145" s="151">
        <v>0</v>
      </c>
      <c r="Y145" s="151">
        <v>0</v>
      </c>
      <c r="Z145" s="151">
        <v>0</v>
      </c>
      <c r="AA145" s="151">
        <v>0</v>
      </c>
      <c r="AB145" s="151"/>
      <c r="AC145" s="153">
        <v>45918</v>
      </c>
      <c r="AD145" s="154">
        <v>0.31944444444525288</v>
      </c>
      <c r="AE145" s="151" t="s">
        <v>696</v>
      </c>
      <c r="AF145" s="153">
        <v>45923</v>
      </c>
      <c r="AG145" s="154">
        <v>0.79513888889050577</v>
      </c>
      <c r="AH145" s="151" t="s">
        <v>117</v>
      </c>
      <c r="AI145" s="151" t="s">
        <v>687</v>
      </c>
      <c r="AJ145" s="151" t="s">
        <v>104</v>
      </c>
      <c r="AK145" s="151" t="s">
        <v>104</v>
      </c>
      <c r="AL145" s="151" t="s">
        <v>58</v>
      </c>
      <c r="AM145" s="188" t="s">
        <v>1224</v>
      </c>
      <c r="AN145" s="188" t="s">
        <v>1233</v>
      </c>
      <c r="AO145" s="188"/>
      <c r="AP145" s="155"/>
    </row>
    <row r="146" spans="3:42" ht="14.25" customHeight="1">
      <c r="C146" s="156">
        <f>IF($X146=1,COUNTIF($C$10:C145,"&gt;0")+1,"")</f>
        <v>68</v>
      </c>
      <c r="D146" s="151">
        <v>15262680</v>
      </c>
      <c r="E146" s="151" t="s">
        <v>681</v>
      </c>
      <c r="F146" s="152" t="s">
        <v>701</v>
      </c>
      <c r="G146" s="151" t="s">
        <v>701</v>
      </c>
      <c r="H146" s="151" t="s">
        <v>702</v>
      </c>
      <c r="I146" s="151" t="s">
        <v>703</v>
      </c>
      <c r="J146" s="151" t="s">
        <v>100</v>
      </c>
      <c r="K146" s="151" t="s">
        <v>99</v>
      </c>
      <c r="L146" s="153">
        <v>20357</v>
      </c>
      <c r="M146" s="151">
        <v>69</v>
      </c>
      <c r="N146" s="151" t="s">
        <v>704</v>
      </c>
      <c r="O146" s="153">
        <v>48612</v>
      </c>
      <c r="P146" s="151" t="s">
        <v>52</v>
      </c>
      <c r="Q146" s="151"/>
      <c r="R146" s="173">
        <v>45918</v>
      </c>
      <c r="S146" s="174">
        <v>45923</v>
      </c>
      <c r="T146" s="175">
        <f>S146-R146</f>
        <v>5</v>
      </c>
      <c r="U146" s="151">
        <v>1</v>
      </c>
      <c r="V146" s="151">
        <v>1</v>
      </c>
      <c r="W146" s="151">
        <v>0</v>
      </c>
      <c r="X146" s="151">
        <v>1</v>
      </c>
      <c r="Y146" s="151">
        <v>0</v>
      </c>
      <c r="Z146" s="151">
        <v>0</v>
      </c>
      <c r="AA146" s="151">
        <v>1</v>
      </c>
      <c r="AB146" s="151"/>
      <c r="AC146" s="153">
        <v>45918</v>
      </c>
      <c r="AD146" s="154">
        <v>0.31944444444525288</v>
      </c>
      <c r="AE146" s="151" t="s">
        <v>696</v>
      </c>
      <c r="AF146" s="153" t="s">
        <v>104</v>
      </c>
      <c r="AG146" s="154" t="s">
        <v>104</v>
      </c>
      <c r="AH146" s="151" t="s">
        <v>126</v>
      </c>
      <c r="AI146" s="151" t="s">
        <v>687</v>
      </c>
      <c r="AJ146" s="151" t="s">
        <v>104</v>
      </c>
      <c r="AK146" s="151" t="s">
        <v>104</v>
      </c>
      <c r="AL146" s="151" t="s">
        <v>58</v>
      </c>
      <c r="AM146" s="188" t="s">
        <v>1224</v>
      </c>
      <c r="AN146" s="188" t="s">
        <v>1234</v>
      </c>
      <c r="AO146" s="188"/>
      <c r="AP146" s="155"/>
    </row>
    <row r="147" spans="3:42" ht="14.25" customHeight="1">
      <c r="C147" s="156" t="str">
        <f>IF($X147=1,COUNTIF($C$10:C146,"&gt;0")+1,"")</f>
        <v/>
      </c>
      <c r="D147" s="151"/>
      <c r="E147" s="151" t="s">
        <v>681</v>
      </c>
      <c r="F147" s="152" t="s">
        <v>705</v>
      </c>
      <c r="G147" s="151" t="s">
        <v>701</v>
      </c>
      <c r="H147" s="151" t="s">
        <v>706</v>
      </c>
      <c r="I147" s="151" t="s">
        <v>707</v>
      </c>
      <c r="J147" s="151" t="s">
        <v>100</v>
      </c>
      <c r="K147" s="151" t="s">
        <v>99</v>
      </c>
      <c r="L147" s="153">
        <v>21024</v>
      </c>
      <c r="M147" s="151">
        <v>68</v>
      </c>
      <c r="N147" s="151" t="s">
        <v>708</v>
      </c>
      <c r="O147" s="153">
        <v>46950</v>
      </c>
      <c r="P147" s="151" t="s">
        <v>52</v>
      </c>
      <c r="Q147" s="151"/>
      <c r="R147" s="173">
        <v>45918</v>
      </c>
      <c r="S147" s="174">
        <v>45923</v>
      </c>
      <c r="T147" s="175">
        <f>S147-R147</f>
        <v>5</v>
      </c>
      <c r="U147" s="151">
        <v>1</v>
      </c>
      <c r="V147" s="151">
        <v>1</v>
      </c>
      <c r="W147" s="151">
        <v>0</v>
      </c>
      <c r="X147" s="151">
        <v>0</v>
      </c>
      <c r="Y147" s="151">
        <v>0</v>
      </c>
      <c r="Z147" s="151">
        <v>0</v>
      </c>
      <c r="AA147" s="151">
        <v>0</v>
      </c>
      <c r="AB147" s="151"/>
      <c r="AC147" s="153">
        <v>45918</v>
      </c>
      <c r="AD147" s="154">
        <v>0.64583333333575865</v>
      </c>
      <c r="AE147" s="151" t="s">
        <v>122</v>
      </c>
      <c r="AF147" s="153">
        <v>45923</v>
      </c>
      <c r="AG147" s="154">
        <v>0.72569444444525288</v>
      </c>
      <c r="AH147" s="151" t="s">
        <v>123</v>
      </c>
      <c r="AI147" s="151" t="s">
        <v>687</v>
      </c>
      <c r="AJ147" s="151" t="s">
        <v>104</v>
      </c>
      <c r="AK147" s="151" t="s">
        <v>104</v>
      </c>
      <c r="AL147" s="151" t="s">
        <v>58</v>
      </c>
      <c r="AM147" s="188" t="s">
        <v>1224</v>
      </c>
      <c r="AN147" s="188" t="s">
        <v>1234</v>
      </c>
      <c r="AO147" s="188"/>
      <c r="AP147" s="155"/>
    </row>
    <row r="148" spans="3:42" ht="14.25" customHeight="1">
      <c r="C148" s="156">
        <f>IF($X148=1,COUNTIF($C$10:C147,"&gt;0")+1,"")</f>
        <v>69</v>
      </c>
      <c r="D148" s="151">
        <v>15262681</v>
      </c>
      <c r="E148" s="151" t="s">
        <v>681</v>
      </c>
      <c r="F148" s="152" t="s">
        <v>709</v>
      </c>
      <c r="G148" s="151" t="s">
        <v>709</v>
      </c>
      <c r="H148" s="151" t="s">
        <v>710</v>
      </c>
      <c r="I148" s="151" t="s">
        <v>711</v>
      </c>
      <c r="J148" s="151" t="s">
        <v>100</v>
      </c>
      <c r="K148" s="151" t="s">
        <v>99</v>
      </c>
      <c r="L148" s="153">
        <v>27917</v>
      </c>
      <c r="M148" s="151">
        <v>49</v>
      </c>
      <c r="N148" s="151" t="s">
        <v>712</v>
      </c>
      <c r="O148" s="153">
        <v>48455</v>
      </c>
      <c r="P148" s="151" t="s">
        <v>52</v>
      </c>
      <c r="Q148" s="151"/>
      <c r="R148" s="173">
        <v>45918</v>
      </c>
      <c r="S148" s="174">
        <v>45923</v>
      </c>
      <c r="T148" s="175">
        <f>S148-R148</f>
        <v>5</v>
      </c>
      <c r="U148" s="151">
        <v>1</v>
      </c>
      <c r="V148" s="151">
        <v>1</v>
      </c>
      <c r="W148" s="151">
        <v>0</v>
      </c>
      <c r="X148" s="151">
        <v>1</v>
      </c>
      <c r="Y148" s="151">
        <v>0</v>
      </c>
      <c r="Z148" s="151">
        <v>0</v>
      </c>
      <c r="AA148" s="151">
        <v>1</v>
      </c>
      <c r="AB148" s="151"/>
      <c r="AC148" s="153">
        <v>45918</v>
      </c>
      <c r="AD148" s="154">
        <v>0.31944444444525288</v>
      </c>
      <c r="AE148" s="151" t="s">
        <v>696</v>
      </c>
      <c r="AF148" s="153">
        <v>45923</v>
      </c>
      <c r="AG148" s="154">
        <v>0.79513888889050577</v>
      </c>
      <c r="AH148" s="151" t="s">
        <v>117</v>
      </c>
      <c r="AI148" s="151" t="s">
        <v>687</v>
      </c>
      <c r="AJ148" s="151" t="s">
        <v>109</v>
      </c>
      <c r="AK148" s="151" t="s">
        <v>104</v>
      </c>
      <c r="AL148" s="151" t="s">
        <v>58</v>
      </c>
      <c r="AM148" s="188" t="s">
        <v>1224</v>
      </c>
      <c r="AN148" s="188" t="s">
        <v>1234</v>
      </c>
      <c r="AO148" s="188"/>
      <c r="AP148" s="155"/>
    </row>
    <row r="149" spans="3:42" ht="14.25" customHeight="1">
      <c r="C149" s="156" t="str">
        <f>IF($X149=1,COUNTIF($C$10:C148,"&gt;0")+1,"")</f>
        <v/>
      </c>
      <c r="D149" s="151"/>
      <c r="E149" s="151" t="s">
        <v>681</v>
      </c>
      <c r="F149" s="152" t="s">
        <v>713</v>
      </c>
      <c r="G149" s="151" t="s">
        <v>709</v>
      </c>
      <c r="H149" s="151" t="s">
        <v>714</v>
      </c>
      <c r="I149" s="151" t="s">
        <v>715</v>
      </c>
      <c r="J149" s="151" t="s">
        <v>98</v>
      </c>
      <c r="K149" s="151" t="s">
        <v>99</v>
      </c>
      <c r="L149" s="153">
        <v>22112</v>
      </c>
      <c r="M149" s="151">
        <v>65</v>
      </c>
      <c r="N149" s="151" t="s">
        <v>716</v>
      </c>
      <c r="O149" s="153">
        <v>47317</v>
      </c>
      <c r="P149" s="151" t="s">
        <v>52</v>
      </c>
      <c r="Q149" s="151"/>
      <c r="R149" s="173">
        <v>45918</v>
      </c>
      <c r="S149" s="174">
        <v>45923</v>
      </c>
      <c r="T149" s="175">
        <f>S149-R149</f>
        <v>5</v>
      </c>
      <c r="U149" s="151">
        <v>1</v>
      </c>
      <c r="V149" s="151">
        <v>1</v>
      </c>
      <c r="W149" s="151">
        <v>0</v>
      </c>
      <c r="X149" s="151">
        <v>0</v>
      </c>
      <c r="Y149" s="151">
        <v>0</v>
      </c>
      <c r="Z149" s="151">
        <v>0</v>
      </c>
      <c r="AA149" s="151">
        <v>0</v>
      </c>
      <c r="AB149" s="151"/>
      <c r="AC149" s="153">
        <v>45918</v>
      </c>
      <c r="AD149" s="154">
        <v>0.31944444444525288</v>
      </c>
      <c r="AE149" s="151" t="s">
        <v>696</v>
      </c>
      <c r="AF149" s="153">
        <v>45923</v>
      </c>
      <c r="AG149" s="154">
        <v>0.79513888889050577</v>
      </c>
      <c r="AH149" s="151" t="s">
        <v>117</v>
      </c>
      <c r="AI149" s="151" t="s">
        <v>687</v>
      </c>
      <c r="AJ149" s="151" t="s">
        <v>104</v>
      </c>
      <c r="AK149" s="151" t="s">
        <v>104</v>
      </c>
      <c r="AL149" s="151" t="s">
        <v>58</v>
      </c>
      <c r="AM149" s="188" t="s">
        <v>1224</v>
      </c>
      <c r="AN149" s="188" t="s">
        <v>1234</v>
      </c>
      <c r="AO149" s="188"/>
      <c r="AP149" s="155"/>
    </row>
    <row r="150" spans="3:42" ht="14.25" customHeight="1">
      <c r="C150" s="156">
        <f>IF($X150=1,COUNTIF($C$10:C149,"&gt;0")+1,"")</f>
        <v>70</v>
      </c>
      <c r="D150" s="151">
        <v>15262724</v>
      </c>
      <c r="E150" s="151" t="s">
        <v>871</v>
      </c>
      <c r="F150" s="152" t="s">
        <v>926</v>
      </c>
      <c r="G150" s="151" t="s">
        <v>926</v>
      </c>
      <c r="H150" s="151" t="s">
        <v>927</v>
      </c>
      <c r="I150" s="151" t="s">
        <v>928</v>
      </c>
      <c r="J150" s="151" t="s">
        <v>100</v>
      </c>
      <c r="K150" s="151" t="s">
        <v>99</v>
      </c>
      <c r="L150" s="153">
        <v>30926</v>
      </c>
      <c r="M150" s="151">
        <v>41</v>
      </c>
      <c r="N150" s="151" t="s">
        <v>929</v>
      </c>
      <c r="O150" s="153">
        <v>48861</v>
      </c>
      <c r="P150" s="151" t="s">
        <v>51</v>
      </c>
      <c r="Q150" s="151"/>
      <c r="R150" s="173">
        <v>45918</v>
      </c>
      <c r="S150" s="174">
        <v>45923</v>
      </c>
      <c r="T150" s="175">
        <f>S150-R150</f>
        <v>5</v>
      </c>
      <c r="U150" s="151">
        <v>1</v>
      </c>
      <c r="V150" s="151">
        <v>1</v>
      </c>
      <c r="W150" s="151">
        <v>0</v>
      </c>
      <c r="X150" s="151">
        <v>1</v>
      </c>
      <c r="Y150" s="151">
        <v>0</v>
      </c>
      <c r="Z150" s="151">
        <v>1</v>
      </c>
      <c r="AA150" s="151">
        <v>0</v>
      </c>
      <c r="AB150" s="151"/>
      <c r="AC150" s="153">
        <v>45918</v>
      </c>
      <c r="AD150" s="154">
        <v>0.74305555555474712</v>
      </c>
      <c r="AE150" s="151" t="s">
        <v>720</v>
      </c>
      <c r="AF150" s="153">
        <v>45923</v>
      </c>
      <c r="AG150" s="154">
        <v>0.34722222221898846</v>
      </c>
      <c r="AH150" s="151" t="s">
        <v>211</v>
      </c>
      <c r="AI150" s="151" t="s">
        <v>876</v>
      </c>
      <c r="AJ150" s="151" t="s">
        <v>109</v>
      </c>
      <c r="AK150" s="151" t="s">
        <v>104</v>
      </c>
      <c r="AL150" s="151" t="s">
        <v>58</v>
      </c>
      <c r="AM150" s="188" t="s">
        <v>1224</v>
      </c>
      <c r="AN150" s="188" t="s">
        <v>1232</v>
      </c>
      <c r="AO150" s="188"/>
      <c r="AP150" s="155"/>
    </row>
    <row r="151" spans="3:42" ht="14.25" customHeight="1">
      <c r="C151" s="156">
        <f>IF($X151=1,COUNTIF($C$10:C150,"&gt;0")+1,"")</f>
        <v>71</v>
      </c>
      <c r="D151" s="151">
        <v>15262683</v>
      </c>
      <c r="E151" s="151" t="s">
        <v>722</v>
      </c>
      <c r="F151" s="152" t="s">
        <v>723</v>
      </c>
      <c r="G151" s="151" t="s">
        <v>723</v>
      </c>
      <c r="H151" s="151" t="s">
        <v>724</v>
      </c>
      <c r="I151" s="151" t="s">
        <v>669</v>
      </c>
      <c r="J151" s="151" t="s">
        <v>100</v>
      </c>
      <c r="K151" s="151" t="s">
        <v>99</v>
      </c>
      <c r="L151" s="153">
        <v>24247</v>
      </c>
      <c r="M151" s="151">
        <v>59</v>
      </c>
      <c r="N151" s="151" t="s">
        <v>725</v>
      </c>
      <c r="O151" s="153">
        <v>47322</v>
      </c>
      <c r="P151" s="151" t="s">
        <v>50</v>
      </c>
      <c r="Q151" s="151"/>
      <c r="R151" s="173">
        <v>45918</v>
      </c>
      <c r="S151" s="174">
        <v>45923</v>
      </c>
      <c r="T151" s="175">
        <f>S151-R151</f>
        <v>5</v>
      </c>
      <c r="U151" s="151">
        <v>1</v>
      </c>
      <c r="V151" s="151">
        <v>1</v>
      </c>
      <c r="W151" s="151">
        <v>0</v>
      </c>
      <c r="X151" s="151">
        <v>1</v>
      </c>
      <c r="Y151" s="151">
        <v>1</v>
      </c>
      <c r="Z151" s="151">
        <v>0</v>
      </c>
      <c r="AA151" s="151">
        <v>0</v>
      </c>
      <c r="AB151" s="151"/>
      <c r="AC151" s="153">
        <v>45918</v>
      </c>
      <c r="AD151" s="154">
        <v>0.47916666666424135</v>
      </c>
      <c r="AE151" s="151" t="s">
        <v>675</v>
      </c>
      <c r="AF151" s="153">
        <v>45923</v>
      </c>
      <c r="AG151" s="154">
        <v>0.79513888889050577</v>
      </c>
      <c r="AH151" s="151" t="s">
        <v>117</v>
      </c>
      <c r="AI151" s="151" t="s">
        <v>726</v>
      </c>
      <c r="AJ151" s="151" t="s">
        <v>104</v>
      </c>
      <c r="AK151" s="151" t="s">
        <v>104</v>
      </c>
      <c r="AL151" s="151" t="s">
        <v>58</v>
      </c>
      <c r="AM151" s="188" t="s">
        <v>1224</v>
      </c>
      <c r="AN151" s="188" t="s">
        <v>1233</v>
      </c>
      <c r="AO151" s="188"/>
      <c r="AP151" s="155"/>
    </row>
    <row r="152" spans="3:42" ht="14.25" customHeight="1">
      <c r="C152" s="156">
        <f>IF($X152=1,COUNTIF($C$10:C151,"&gt;0")+1,"")</f>
        <v>72</v>
      </c>
      <c r="D152" s="151">
        <v>15262684</v>
      </c>
      <c r="E152" s="151" t="s">
        <v>722</v>
      </c>
      <c r="F152" s="152" t="s">
        <v>727</v>
      </c>
      <c r="G152" s="151" t="s">
        <v>727</v>
      </c>
      <c r="H152" s="151" t="s">
        <v>728</v>
      </c>
      <c r="I152" s="151" t="s">
        <v>496</v>
      </c>
      <c r="J152" s="151" t="s">
        <v>98</v>
      </c>
      <c r="K152" s="151" t="s">
        <v>99</v>
      </c>
      <c r="L152" s="153">
        <v>26931</v>
      </c>
      <c r="M152" s="151">
        <v>51</v>
      </c>
      <c r="N152" s="151" t="s">
        <v>729</v>
      </c>
      <c r="O152" s="153">
        <v>48549</v>
      </c>
      <c r="P152" s="151" t="s">
        <v>51</v>
      </c>
      <c r="Q152" s="151"/>
      <c r="R152" s="173">
        <v>45918</v>
      </c>
      <c r="S152" s="174">
        <v>45923</v>
      </c>
      <c r="T152" s="175">
        <f>S152-R152</f>
        <v>5</v>
      </c>
      <c r="U152" s="151">
        <v>1</v>
      </c>
      <c r="V152" s="151">
        <v>1</v>
      </c>
      <c r="W152" s="151">
        <v>0</v>
      </c>
      <c r="X152" s="151">
        <v>1</v>
      </c>
      <c r="Y152" s="151">
        <v>0</v>
      </c>
      <c r="Z152" s="151">
        <v>1</v>
      </c>
      <c r="AA152" s="151">
        <v>0</v>
      </c>
      <c r="AB152" s="151"/>
      <c r="AC152" s="153">
        <v>45918</v>
      </c>
      <c r="AD152" s="154">
        <v>0.47916666666424135</v>
      </c>
      <c r="AE152" s="151" t="s">
        <v>675</v>
      </c>
      <c r="AF152" s="153">
        <v>45923</v>
      </c>
      <c r="AG152" s="154">
        <v>0.79513888889050577</v>
      </c>
      <c r="AH152" s="151" t="s">
        <v>117</v>
      </c>
      <c r="AI152" s="151" t="s">
        <v>726</v>
      </c>
      <c r="AJ152" s="151" t="s">
        <v>104</v>
      </c>
      <c r="AK152" s="151" t="s">
        <v>104</v>
      </c>
      <c r="AL152" s="151" t="s">
        <v>58</v>
      </c>
      <c r="AM152" s="188" t="s">
        <v>1224</v>
      </c>
      <c r="AN152" s="188" t="s">
        <v>1233</v>
      </c>
      <c r="AO152" s="188"/>
      <c r="AP152" s="155"/>
    </row>
    <row r="153" spans="3:42" ht="14.25" customHeight="1">
      <c r="C153" s="156" t="str">
        <f>IF($X153=1,COUNTIF($C$10:C152,"&gt;0")+1,"")</f>
        <v/>
      </c>
      <c r="D153" s="151"/>
      <c r="E153" s="151" t="s">
        <v>722</v>
      </c>
      <c r="F153" s="152" t="s">
        <v>730</v>
      </c>
      <c r="G153" s="151" t="s">
        <v>727</v>
      </c>
      <c r="H153" s="151" t="s">
        <v>731</v>
      </c>
      <c r="I153" s="151" t="s">
        <v>496</v>
      </c>
      <c r="J153" s="151" t="s">
        <v>100</v>
      </c>
      <c r="K153" s="151" t="s">
        <v>99</v>
      </c>
      <c r="L153" s="153">
        <v>27052</v>
      </c>
      <c r="M153" s="151">
        <v>51</v>
      </c>
      <c r="N153" s="151" t="s">
        <v>732</v>
      </c>
      <c r="O153" s="153">
        <v>49178</v>
      </c>
      <c r="P153" s="151" t="s">
        <v>51</v>
      </c>
      <c r="Q153" s="151"/>
      <c r="R153" s="173">
        <v>45918</v>
      </c>
      <c r="S153" s="174">
        <v>45923</v>
      </c>
      <c r="T153" s="175">
        <f>S153-R153</f>
        <v>5</v>
      </c>
      <c r="U153" s="151">
        <v>1</v>
      </c>
      <c r="V153" s="151">
        <v>1</v>
      </c>
      <c r="W153" s="151">
        <v>0</v>
      </c>
      <c r="X153" s="151">
        <v>0</v>
      </c>
      <c r="Y153" s="151">
        <v>0</v>
      </c>
      <c r="Z153" s="151">
        <v>0</v>
      </c>
      <c r="AA153" s="151">
        <v>0</v>
      </c>
      <c r="AB153" s="151"/>
      <c r="AC153" s="153">
        <v>45918</v>
      </c>
      <c r="AD153" s="154">
        <v>0.47916666666424135</v>
      </c>
      <c r="AE153" s="151" t="s">
        <v>675</v>
      </c>
      <c r="AF153" s="153">
        <v>45923</v>
      </c>
      <c r="AG153" s="154">
        <v>0.79513888889050577</v>
      </c>
      <c r="AH153" s="151" t="s">
        <v>117</v>
      </c>
      <c r="AI153" s="151" t="s">
        <v>726</v>
      </c>
      <c r="AJ153" s="151" t="s">
        <v>104</v>
      </c>
      <c r="AK153" s="151" t="s">
        <v>104</v>
      </c>
      <c r="AL153" s="151" t="s">
        <v>58</v>
      </c>
      <c r="AM153" s="188" t="s">
        <v>1224</v>
      </c>
      <c r="AN153" s="188" t="s">
        <v>1233</v>
      </c>
      <c r="AO153" s="188"/>
      <c r="AP153" s="155"/>
    </row>
    <row r="154" spans="3:42" ht="14.25" customHeight="1">
      <c r="C154" s="156">
        <f>IF($X154=1,COUNTIF($C$10:C153,"&gt;0")+1,"")</f>
        <v>73</v>
      </c>
      <c r="D154" s="151">
        <v>15262685</v>
      </c>
      <c r="E154" s="151" t="s">
        <v>722</v>
      </c>
      <c r="F154" s="152" t="s">
        <v>733</v>
      </c>
      <c r="G154" s="151" t="s">
        <v>733</v>
      </c>
      <c r="H154" s="151" t="s">
        <v>734</v>
      </c>
      <c r="I154" s="151" t="s">
        <v>735</v>
      </c>
      <c r="J154" s="151" t="s">
        <v>100</v>
      </c>
      <c r="K154" s="151" t="s">
        <v>99</v>
      </c>
      <c r="L154" s="153">
        <v>30280</v>
      </c>
      <c r="M154" s="151">
        <v>42</v>
      </c>
      <c r="N154" s="151" t="s">
        <v>736</v>
      </c>
      <c r="O154" s="153">
        <v>47343</v>
      </c>
      <c r="P154" s="151" t="s">
        <v>51</v>
      </c>
      <c r="Q154" s="151"/>
      <c r="R154" s="173">
        <v>45918</v>
      </c>
      <c r="S154" s="174">
        <v>45923</v>
      </c>
      <c r="T154" s="175">
        <f>S154-R154</f>
        <v>5</v>
      </c>
      <c r="U154" s="151">
        <v>1</v>
      </c>
      <c r="V154" s="151">
        <v>1</v>
      </c>
      <c r="W154" s="151">
        <v>0</v>
      </c>
      <c r="X154" s="151">
        <v>1</v>
      </c>
      <c r="Y154" s="151">
        <v>0</v>
      </c>
      <c r="Z154" s="151">
        <v>1</v>
      </c>
      <c r="AA154" s="151">
        <v>0</v>
      </c>
      <c r="AB154" s="151"/>
      <c r="AC154" s="153">
        <v>45918</v>
      </c>
      <c r="AD154" s="154">
        <v>0.70138888889050577</v>
      </c>
      <c r="AE154" s="151" t="s">
        <v>149</v>
      </c>
      <c r="AF154" s="153">
        <v>45923</v>
      </c>
      <c r="AG154" s="154">
        <v>0.32638888889050577</v>
      </c>
      <c r="AH154" s="151" t="s">
        <v>136</v>
      </c>
      <c r="AI154" s="151" t="s">
        <v>726</v>
      </c>
      <c r="AJ154" s="151" t="s">
        <v>104</v>
      </c>
      <c r="AK154" s="151" t="s">
        <v>104</v>
      </c>
      <c r="AL154" s="151" t="s">
        <v>58</v>
      </c>
      <c r="AM154" s="188" t="s">
        <v>1224</v>
      </c>
      <c r="AN154" s="188" t="s">
        <v>1233</v>
      </c>
      <c r="AO154" s="188"/>
      <c r="AP154" s="155"/>
    </row>
    <row r="155" spans="3:42" ht="14.25" customHeight="1">
      <c r="C155" s="156" t="str">
        <f>IF($X155=1,COUNTIF($C$10:C154,"&gt;0")+1,"")</f>
        <v/>
      </c>
      <c r="D155" s="151"/>
      <c r="E155" s="151" t="s">
        <v>722</v>
      </c>
      <c r="F155" s="152" t="s">
        <v>737</v>
      </c>
      <c r="G155" s="151" t="s">
        <v>733</v>
      </c>
      <c r="H155" s="151" t="s">
        <v>738</v>
      </c>
      <c r="I155" s="151" t="s">
        <v>735</v>
      </c>
      <c r="J155" s="151" t="s">
        <v>98</v>
      </c>
      <c r="K155" s="151" t="s">
        <v>99</v>
      </c>
      <c r="L155" s="153">
        <v>27915</v>
      </c>
      <c r="M155" s="151">
        <v>49</v>
      </c>
      <c r="N155" s="151" t="s">
        <v>739</v>
      </c>
      <c r="O155" s="153">
        <v>47343</v>
      </c>
      <c r="P155" s="151" t="s">
        <v>51</v>
      </c>
      <c r="Q155" s="151"/>
      <c r="R155" s="173">
        <v>45918</v>
      </c>
      <c r="S155" s="174">
        <v>45923</v>
      </c>
      <c r="T155" s="175">
        <f>S155-R155</f>
        <v>5</v>
      </c>
      <c r="U155" s="151">
        <v>1</v>
      </c>
      <c r="V155" s="151">
        <v>1</v>
      </c>
      <c r="W155" s="151">
        <v>0</v>
      </c>
      <c r="X155" s="151">
        <v>0</v>
      </c>
      <c r="Y155" s="151">
        <v>0</v>
      </c>
      <c r="Z155" s="151">
        <v>0</v>
      </c>
      <c r="AA155" s="151">
        <v>0</v>
      </c>
      <c r="AB155" s="151"/>
      <c r="AC155" s="153">
        <v>45918</v>
      </c>
      <c r="AD155" s="154">
        <v>0.70138888889050577</v>
      </c>
      <c r="AE155" s="151" t="s">
        <v>149</v>
      </c>
      <c r="AF155" s="153">
        <v>45923</v>
      </c>
      <c r="AG155" s="154">
        <v>0.32638888889050577</v>
      </c>
      <c r="AH155" s="151" t="s">
        <v>136</v>
      </c>
      <c r="AI155" s="151" t="s">
        <v>726</v>
      </c>
      <c r="AJ155" s="151" t="s">
        <v>104</v>
      </c>
      <c r="AK155" s="151" t="s">
        <v>104</v>
      </c>
      <c r="AL155" s="151" t="s">
        <v>58</v>
      </c>
      <c r="AM155" s="188" t="s">
        <v>1224</v>
      </c>
      <c r="AN155" s="188" t="s">
        <v>1233</v>
      </c>
      <c r="AO155" s="188"/>
      <c r="AP155" s="155"/>
    </row>
    <row r="156" spans="3:42" ht="14.25" customHeight="1">
      <c r="C156" s="156">
        <f>IF($X156=1,COUNTIF($C$10:C155,"&gt;0")+1,"")</f>
        <v>74</v>
      </c>
      <c r="D156" s="151">
        <v>15262686</v>
      </c>
      <c r="E156" s="151" t="s">
        <v>722</v>
      </c>
      <c r="F156" s="152" t="s">
        <v>740</v>
      </c>
      <c r="G156" s="151" t="s">
        <v>740</v>
      </c>
      <c r="H156" s="151" t="s">
        <v>741</v>
      </c>
      <c r="I156" s="151" t="s">
        <v>742</v>
      </c>
      <c r="J156" s="151" t="s">
        <v>98</v>
      </c>
      <c r="K156" s="151" t="s">
        <v>99</v>
      </c>
      <c r="L156" s="153">
        <v>32509</v>
      </c>
      <c r="M156" s="151">
        <v>36</v>
      </c>
      <c r="N156" s="151" t="s">
        <v>743</v>
      </c>
      <c r="O156" s="153">
        <v>46035</v>
      </c>
      <c r="P156" s="151" t="s">
        <v>52</v>
      </c>
      <c r="Q156" s="151"/>
      <c r="R156" s="173">
        <v>45918</v>
      </c>
      <c r="S156" s="174">
        <v>45923</v>
      </c>
      <c r="T156" s="175">
        <f>S156-R156</f>
        <v>5</v>
      </c>
      <c r="U156" s="151">
        <v>1</v>
      </c>
      <c r="V156" s="151">
        <v>1</v>
      </c>
      <c r="W156" s="151">
        <v>0</v>
      </c>
      <c r="X156" s="151">
        <v>1</v>
      </c>
      <c r="Y156" s="151">
        <v>0</v>
      </c>
      <c r="Z156" s="151">
        <v>0</v>
      </c>
      <c r="AA156" s="151">
        <v>1</v>
      </c>
      <c r="AB156" s="151"/>
      <c r="AC156" s="153">
        <v>45918</v>
      </c>
      <c r="AD156" s="154">
        <v>0.45833333333575865</v>
      </c>
      <c r="AE156" s="151" t="s">
        <v>744</v>
      </c>
      <c r="AF156" s="153">
        <v>45923</v>
      </c>
      <c r="AG156" s="154">
        <v>0.70138888889050577</v>
      </c>
      <c r="AH156" s="151" t="s">
        <v>141</v>
      </c>
      <c r="AI156" s="151" t="s">
        <v>726</v>
      </c>
      <c r="AJ156" s="151" t="s">
        <v>104</v>
      </c>
      <c r="AK156" s="151"/>
      <c r="AL156" s="151" t="s">
        <v>58</v>
      </c>
      <c r="AM156" s="188" t="s">
        <v>1224</v>
      </c>
      <c r="AN156" s="188" t="s">
        <v>1234</v>
      </c>
      <c r="AO156" s="188"/>
      <c r="AP156" s="155"/>
    </row>
    <row r="157" spans="3:42" ht="14.25" customHeight="1">
      <c r="C157" s="156" t="str">
        <f>IF($X157=1,COUNTIF($C$10:C156,"&gt;0")+1,"")</f>
        <v/>
      </c>
      <c r="D157" s="151"/>
      <c r="E157" s="151" t="s">
        <v>722</v>
      </c>
      <c r="F157" s="152" t="s">
        <v>745</v>
      </c>
      <c r="G157" s="151" t="s">
        <v>740</v>
      </c>
      <c r="H157" s="191" t="s">
        <v>1237</v>
      </c>
      <c r="I157" s="191" t="s">
        <v>1238</v>
      </c>
      <c r="J157" s="191" t="s">
        <v>100</v>
      </c>
      <c r="K157" s="191" t="s">
        <v>99</v>
      </c>
      <c r="L157" s="192">
        <v>27084</v>
      </c>
      <c r="M157" s="191">
        <v>51</v>
      </c>
      <c r="N157" s="191">
        <v>556961738</v>
      </c>
      <c r="O157" s="192">
        <v>46439</v>
      </c>
      <c r="P157" s="151" t="s">
        <v>52</v>
      </c>
      <c r="Q157" s="151"/>
      <c r="R157" s="173">
        <v>45918</v>
      </c>
      <c r="S157" s="174">
        <v>45923</v>
      </c>
      <c r="T157" s="175">
        <f>S157-R157</f>
        <v>5</v>
      </c>
      <c r="U157" s="151">
        <v>1</v>
      </c>
      <c r="V157" s="151">
        <v>1</v>
      </c>
      <c r="W157" s="151">
        <v>0</v>
      </c>
      <c r="X157" s="151">
        <v>0</v>
      </c>
      <c r="Y157" s="151">
        <v>0</v>
      </c>
      <c r="Z157" s="151">
        <v>0</v>
      </c>
      <c r="AA157" s="151">
        <v>0</v>
      </c>
      <c r="AB157" s="151"/>
      <c r="AC157" s="153">
        <v>45918</v>
      </c>
      <c r="AD157" s="154">
        <v>0.62847222221898846</v>
      </c>
      <c r="AE157" s="151" t="s">
        <v>746</v>
      </c>
      <c r="AF157" s="153">
        <v>45923</v>
      </c>
      <c r="AG157" s="154">
        <v>0.86458333333575865</v>
      </c>
      <c r="AH157" s="151" t="s">
        <v>108</v>
      </c>
      <c r="AI157" s="151" t="s">
        <v>726</v>
      </c>
      <c r="AJ157" s="151" t="s">
        <v>104</v>
      </c>
      <c r="AK157" s="151" t="s">
        <v>104</v>
      </c>
      <c r="AL157" s="151" t="s">
        <v>58</v>
      </c>
      <c r="AM157" s="188" t="s">
        <v>1224</v>
      </c>
      <c r="AN157" s="188" t="s">
        <v>1234</v>
      </c>
      <c r="AO157" s="188"/>
      <c r="AP157" s="193" t="s">
        <v>1239</v>
      </c>
    </row>
    <row r="158" spans="3:42" ht="14.25" customHeight="1">
      <c r="C158" s="156">
        <f>IF($X158=1,COUNTIF($C$10:C157,"&gt;0")+1,"")</f>
        <v>75</v>
      </c>
      <c r="D158" s="151">
        <v>15262687</v>
      </c>
      <c r="E158" s="151" t="s">
        <v>722</v>
      </c>
      <c r="F158" s="152" t="s">
        <v>747</v>
      </c>
      <c r="G158" s="151" t="s">
        <v>747</v>
      </c>
      <c r="H158" s="151" t="s">
        <v>748</v>
      </c>
      <c r="I158" s="151" t="s">
        <v>749</v>
      </c>
      <c r="J158" s="151" t="s">
        <v>98</v>
      </c>
      <c r="K158" s="151" t="s">
        <v>99</v>
      </c>
      <c r="L158" s="153">
        <v>27000</v>
      </c>
      <c r="M158" s="151">
        <v>51</v>
      </c>
      <c r="N158" s="151" t="s">
        <v>750</v>
      </c>
      <c r="O158" s="153">
        <v>48762</v>
      </c>
      <c r="P158" s="151" t="s">
        <v>51</v>
      </c>
      <c r="Q158" s="151"/>
      <c r="R158" s="173">
        <v>45918</v>
      </c>
      <c r="S158" s="174">
        <v>45923</v>
      </c>
      <c r="T158" s="175">
        <f>S158-R158</f>
        <v>5</v>
      </c>
      <c r="U158" s="151">
        <v>1</v>
      </c>
      <c r="V158" s="151">
        <v>1</v>
      </c>
      <c r="W158" s="151">
        <v>0</v>
      </c>
      <c r="X158" s="151">
        <v>1</v>
      </c>
      <c r="Y158" s="151">
        <v>0</v>
      </c>
      <c r="Z158" s="151">
        <v>1</v>
      </c>
      <c r="AA158" s="151">
        <v>0</v>
      </c>
      <c r="AB158" s="151"/>
      <c r="AC158" s="153">
        <v>45918</v>
      </c>
      <c r="AD158" s="154">
        <v>0.70138888889050577</v>
      </c>
      <c r="AE158" s="151" t="s">
        <v>149</v>
      </c>
      <c r="AF158" s="153">
        <v>45923</v>
      </c>
      <c r="AG158" s="154">
        <v>0.32638888889050577</v>
      </c>
      <c r="AH158" s="151" t="s">
        <v>136</v>
      </c>
      <c r="AI158" s="151" t="s">
        <v>726</v>
      </c>
      <c r="AJ158" s="151" t="s">
        <v>104</v>
      </c>
      <c r="AK158" s="151" t="s">
        <v>104</v>
      </c>
      <c r="AL158" s="151" t="s">
        <v>58</v>
      </c>
      <c r="AM158" s="188" t="s">
        <v>1224</v>
      </c>
      <c r="AN158" s="188" t="s">
        <v>1233</v>
      </c>
      <c r="AO158" s="188"/>
      <c r="AP158" s="155"/>
    </row>
    <row r="159" spans="3:42" ht="14.25" customHeight="1">
      <c r="C159" s="156" t="str">
        <f>IF($X159=1,COUNTIF($C$10:C158,"&gt;0")+1,"")</f>
        <v/>
      </c>
      <c r="D159" s="151"/>
      <c r="E159" s="151" t="s">
        <v>722</v>
      </c>
      <c r="F159" s="152" t="s">
        <v>751</v>
      </c>
      <c r="G159" s="151" t="s">
        <v>747</v>
      </c>
      <c r="H159" s="151" t="s">
        <v>752</v>
      </c>
      <c r="I159" s="151" t="s">
        <v>749</v>
      </c>
      <c r="J159" s="151" t="s">
        <v>100</v>
      </c>
      <c r="K159" s="151" t="s">
        <v>99</v>
      </c>
      <c r="L159" s="153">
        <v>30529</v>
      </c>
      <c r="M159" s="151">
        <v>42</v>
      </c>
      <c r="N159" s="151" t="s">
        <v>753</v>
      </c>
      <c r="O159" s="153">
        <v>46853</v>
      </c>
      <c r="P159" s="151" t="s">
        <v>51</v>
      </c>
      <c r="Q159" s="151"/>
      <c r="R159" s="173">
        <v>45918</v>
      </c>
      <c r="S159" s="174">
        <v>45923</v>
      </c>
      <c r="T159" s="175">
        <f>S159-R159</f>
        <v>5</v>
      </c>
      <c r="U159" s="151">
        <v>1</v>
      </c>
      <c r="V159" s="151">
        <v>1</v>
      </c>
      <c r="W159" s="151">
        <v>0</v>
      </c>
      <c r="X159" s="151">
        <v>0</v>
      </c>
      <c r="Y159" s="151">
        <v>0</v>
      </c>
      <c r="Z159" s="151">
        <v>0</v>
      </c>
      <c r="AA159" s="151">
        <v>0</v>
      </c>
      <c r="AB159" s="151"/>
      <c r="AC159" s="153">
        <v>45918</v>
      </c>
      <c r="AD159" s="154">
        <v>0.70138888889050577</v>
      </c>
      <c r="AE159" s="151" t="s">
        <v>149</v>
      </c>
      <c r="AF159" s="153">
        <v>45923</v>
      </c>
      <c r="AG159" s="154">
        <v>0.32638888889050577</v>
      </c>
      <c r="AH159" s="151" t="s">
        <v>136</v>
      </c>
      <c r="AI159" s="151" t="s">
        <v>726</v>
      </c>
      <c r="AJ159" s="151" t="s">
        <v>104</v>
      </c>
      <c r="AK159" s="151" t="s">
        <v>104</v>
      </c>
      <c r="AL159" s="151" t="s">
        <v>58</v>
      </c>
      <c r="AM159" s="188" t="s">
        <v>1224</v>
      </c>
      <c r="AN159" s="188" t="s">
        <v>1233</v>
      </c>
      <c r="AO159" s="188"/>
      <c r="AP159" s="155"/>
    </row>
    <row r="160" spans="3:42" ht="14.25" customHeight="1">
      <c r="C160" s="156" t="str">
        <f>IF($X160=1,COUNTIF($C$10:C159,"&gt;0")+1,"")</f>
        <v/>
      </c>
      <c r="D160" s="151"/>
      <c r="E160" s="151" t="s">
        <v>871</v>
      </c>
      <c r="F160" s="152" t="s">
        <v>930</v>
      </c>
      <c r="G160" s="151" t="s">
        <v>926</v>
      </c>
      <c r="H160" s="151" t="s">
        <v>931</v>
      </c>
      <c r="I160" s="151" t="s">
        <v>248</v>
      </c>
      <c r="J160" s="151" t="s">
        <v>98</v>
      </c>
      <c r="K160" s="151" t="s">
        <v>99</v>
      </c>
      <c r="L160" s="153">
        <v>28878</v>
      </c>
      <c r="M160" s="151">
        <v>46</v>
      </c>
      <c r="N160" s="151" t="s">
        <v>932</v>
      </c>
      <c r="O160" s="153">
        <v>47132</v>
      </c>
      <c r="P160" s="151" t="s">
        <v>51</v>
      </c>
      <c r="Q160" s="151"/>
      <c r="R160" s="173">
        <v>45918</v>
      </c>
      <c r="S160" s="174">
        <v>45923</v>
      </c>
      <c r="T160" s="175">
        <f>S160-R160</f>
        <v>5</v>
      </c>
      <c r="U160" s="151">
        <v>1</v>
      </c>
      <c r="V160" s="151">
        <v>1</v>
      </c>
      <c r="W160" s="151">
        <v>0</v>
      </c>
      <c r="X160" s="151">
        <v>0</v>
      </c>
      <c r="Y160" s="151">
        <v>0</v>
      </c>
      <c r="Z160" s="151">
        <v>0</v>
      </c>
      <c r="AA160" s="151">
        <v>0</v>
      </c>
      <c r="AB160" s="151"/>
      <c r="AC160" s="153">
        <v>45918</v>
      </c>
      <c r="AD160" s="154">
        <v>0.74305555555474712</v>
      </c>
      <c r="AE160" s="151" t="s">
        <v>720</v>
      </c>
      <c r="AF160" s="153">
        <v>45923</v>
      </c>
      <c r="AG160" s="154">
        <v>0.34722222221898846</v>
      </c>
      <c r="AH160" s="151" t="s">
        <v>211</v>
      </c>
      <c r="AI160" s="151" t="s">
        <v>876</v>
      </c>
      <c r="AJ160" s="151" t="s">
        <v>104</v>
      </c>
      <c r="AK160" s="151" t="s">
        <v>104</v>
      </c>
      <c r="AL160" s="151" t="s">
        <v>58</v>
      </c>
      <c r="AM160" s="188" t="s">
        <v>1224</v>
      </c>
      <c r="AN160" s="188" t="s">
        <v>1232</v>
      </c>
      <c r="AO160" s="188"/>
      <c r="AP160" s="155"/>
    </row>
    <row r="161" spans="3:42" ht="14.25" customHeight="1">
      <c r="C161" s="156" t="str">
        <f>IF($X161=1,COUNTIF($C$10:C160,"&gt;0")+1,"")</f>
        <v/>
      </c>
      <c r="D161" s="151"/>
      <c r="E161" s="151" t="s">
        <v>722</v>
      </c>
      <c r="F161" s="152" t="s">
        <v>758</v>
      </c>
      <c r="G161" s="151" t="s">
        <v>754</v>
      </c>
      <c r="H161" s="151" t="s">
        <v>759</v>
      </c>
      <c r="I161" s="151" t="s">
        <v>756</v>
      </c>
      <c r="J161" s="151" t="s">
        <v>100</v>
      </c>
      <c r="K161" s="151" t="s">
        <v>99</v>
      </c>
      <c r="L161" s="153">
        <v>28320</v>
      </c>
      <c r="M161" s="151">
        <v>48</v>
      </c>
      <c r="N161" s="151" t="s">
        <v>760</v>
      </c>
      <c r="O161" s="153">
        <v>48727</v>
      </c>
      <c r="P161" s="151" t="s">
        <v>51</v>
      </c>
      <c r="Q161" s="151"/>
      <c r="R161" s="173">
        <v>45918</v>
      </c>
      <c r="S161" s="174">
        <v>45923</v>
      </c>
      <c r="T161" s="175">
        <f>S161-R161</f>
        <v>5</v>
      </c>
      <c r="U161" s="151">
        <v>1</v>
      </c>
      <c r="V161" s="151">
        <v>1</v>
      </c>
      <c r="W161" s="151">
        <v>0</v>
      </c>
      <c r="X161" s="151">
        <v>0</v>
      </c>
      <c r="Y161" s="151">
        <v>0</v>
      </c>
      <c r="Z161" s="151">
        <v>0</v>
      </c>
      <c r="AA161" s="151">
        <v>0</v>
      </c>
      <c r="AB161" s="151"/>
      <c r="AC161" s="153" t="s">
        <v>104</v>
      </c>
      <c r="AD161" s="154" t="s">
        <v>104</v>
      </c>
      <c r="AE161" s="151" t="s">
        <v>104</v>
      </c>
      <c r="AF161" s="153" t="s">
        <v>104</v>
      </c>
      <c r="AG161" s="154" t="s">
        <v>104</v>
      </c>
      <c r="AH161" s="151" t="s">
        <v>104</v>
      </c>
      <c r="AI161" s="151" t="s">
        <v>726</v>
      </c>
      <c r="AJ161" s="151" t="s">
        <v>104</v>
      </c>
      <c r="AK161" s="151" t="s">
        <v>104</v>
      </c>
      <c r="AL161" s="151" t="s">
        <v>58</v>
      </c>
      <c r="AM161" s="188" t="s">
        <v>1224</v>
      </c>
      <c r="AN161" s="188" t="s">
        <v>1233</v>
      </c>
      <c r="AO161" s="188"/>
      <c r="AP161" s="155"/>
    </row>
    <row r="162" spans="3:42" ht="14.25" customHeight="1">
      <c r="C162" s="156">
        <f>IF($X162=1,COUNTIF($C$10:C161,"&gt;0")+1,"")</f>
        <v>76</v>
      </c>
      <c r="D162" s="151">
        <v>15262693</v>
      </c>
      <c r="E162" s="151" t="s">
        <v>722</v>
      </c>
      <c r="F162" s="152" t="s">
        <v>761</v>
      </c>
      <c r="G162" s="151" t="s">
        <v>761</v>
      </c>
      <c r="H162" s="151" t="s">
        <v>762</v>
      </c>
      <c r="I162" s="151" t="s">
        <v>763</v>
      </c>
      <c r="J162" s="151" t="s">
        <v>100</v>
      </c>
      <c r="K162" s="151" t="s">
        <v>99</v>
      </c>
      <c r="L162" s="153">
        <v>28794</v>
      </c>
      <c r="M162" s="151">
        <v>46</v>
      </c>
      <c r="N162" s="151" t="s">
        <v>764</v>
      </c>
      <c r="O162" s="153">
        <v>49170</v>
      </c>
      <c r="P162" s="151" t="s">
        <v>51</v>
      </c>
      <c r="Q162" s="151"/>
      <c r="R162" s="173">
        <v>45918</v>
      </c>
      <c r="S162" s="174">
        <v>45923</v>
      </c>
      <c r="T162" s="175">
        <f>S162-R162</f>
        <v>5</v>
      </c>
      <c r="U162" s="151">
        <v>1</v>
      </c>
      <c r="V162" s="151">
        <v>1</v>
      </c>
      <c r="W162" s="151">
        <v>0</v>
      </c>
      <c r="X162" s="151">
        <v>1</v>
      </c>
      <c r="Y162" s="151">
        <v>0</v>
      </c>
      <c r="Z162" s="151">
        <v>1</v>
      </c>
      <c r="AA162" s="151">
        <v>0</v>
      </c>
      <c r="AB162" s="151"/>
      <c r="AC162" s="153">
        <v>45918</v>
      </c>
      <c r="AD162" s="154">
        <v>0.60069444444525288</v>
      </c>
      <c r="AE162" s="151" t="s">
        <v>138</v>
      </c>
      <c r="AF162" s="153">
        <v>45923</v>
      </c>
      <c r="AG162" s="154">
        <v>0.78472222221898846</v>
      </c>
      <c r="AH162" s="151" t="s">
        <v>765</v>
      </c>
      <c r="AI162" s="151" t="s">
        <v>726</v>
      </c>
      <c r="AJ162" s="151" t="s">
        <v>104</v>
      </c>
      <c r="AK162" s="151" t="s">
        <v>104</v>
      </c>
      <c r="AL162" s="151" t="s">
        <v>58</v>
      </c>
      <c r="AM162" s="188" t="s">
        <v>1224</v>
      </c>
      <c r="AN162" s="188" t="s">
        <v>1233</v>
      </c>
      <c r="AO162" s="188"/>
      <c r="AP162" s="155"/>
    </row>
    <row r="163" spans="3:42" ht="14.25" customHeight="1">
      <c r="C163" s="156" t="str">
        <f>IF($X163=1,COUNTIF($C$10:C162,"&gt;0")+1,"")</f>
        <v/>
      </c>
      <c r="D163" s="151"/>
      <c r="E163" s="151" t="s">
        <v>722</v>
      </c>
      <c r="F163" s="152" t="s">
        <v>766</v>
      </c>
      <c r="G163" s="151" t="s">
        <v>761</v>
      </c>
      <c r="H163" s="151" t="s">
        <v>767</v>
      </c>
      <c r="I163" s="151" t="s">
        <v>763</v>
      </c>
      <c r="J163" s="151" t="s">
        <v>98</v>
      </c>
      <c r="K163" s="151" t="s">
        <v>99</v>
      </c>
      <c r="L163" s="153">
        <v>26834</v>
      </c>
      <c r="M163" s="151">
        <v>52</v>
      </c>
      <c r="N163" s="151" t="s">
        <v>768</v>
      </c>
      <c r="O163" s="153">
        <v>49170</v>
      </c>
      <c r="P163" s="151" t="s">
        <v>51</v>
      </c>
      <c r="Q163" s="151"/>
      <c r="R163" s="173">
        <v>45918</v>
      </c>
      <c r="S163" s="174">
        <v>45923</v>
      </c>
      <c r="T163" s="175">
        <f>S163-R163</f>
        <v>5</v>
      </c>
      <c r="U163" s="151">
        <v>1</v>
      </c>
      <c r="V163" s="151">
        <v>1</v>
      </c>
      <c r="W163" s="151">
        <v>0</v>
      </c>
      <c r="X163" s="151">
        <v>0</v>
      </c>
      <c r="Y163" s="151">
        <v>0</v>
      </c>
      <c r="Z163" s="151">
        <v>0</v>
      </c>
      <c r="AA163" s="151">
        <v>0</v>
      </c>
      <c r="AB163" s="151"/>
      <c r="AC163" s="153">
        <v>45918</v>
      </c>
      <c r="AD163" s="154">
        <v>0.60069444444525288</v>
      </c>
      <c r="AE163" s="151" t="s">
        <v>138</v>
      </c>
      <c r="AF163" s="153">
        <v>45923</v>
      </c>
      <c r="AG163" s="154">
        <v>0.78472222221898846</v>
      </c>
      <c r="AH163" s="151" t="s">
        <v>765</v>
      </c>
      <c r="AI163" s="151" t="s">
        <v>726</v>
      </c>
      <c r="AJ163" s="151" t="s">
        <v>104</v>
      </c>
      <c r="AK163" s="151" t="s">
        <v>104</v>
      </c>
      <c r="AL163" s="151" t="s">
        <v>58</v>
      </c>
      <c r="AM163" s="188" t="s">
        <v>1224</v>
      </c>
      <c r="AN163" s="188" t="s">
        <v>1233</v>
      </c>
      <c r="AO163" s="188"/>
      <c r="AP163" s="155"/>
    </row>
    <row r="164" spans="3:42" ht="14.25" customHeight="1">
      <c r="C164" s="156">
        <f>IF($X164=1,COUNTIF($C$10:C163,"&gt;0")+1,"")</f>
        <v>77</v>
      </c>
      <c r="D164" s="151">
        <v>15262694</v>
      </c>
      <c r="E164" s="151" t="s">
        <v>722</v>
      </c>
      <c r="F164" s="152" t="s">
        <v>769</v>
      </c>
      <c r="G164" s="151" t="s">
        <v>769</v>
      </c>
      <c r="H164" s="151" t="s">
        <v>770</v>
      </c>
      <c r="I164" s="151" t="s">
        <v>496</v>
      </c>
      <c r="J164" s="151" t="s">
        <v>98</v>
      </c>
      <c r="K164" s="151" t="s">
        <v>99</v>
      </c>
      <c r="L164" s="153">
        <v>23507</v>
      </c>
      <c r="M164" s="151">
        <v>61</v>
      </c>
      <c r="N164" s="151" t="s">
        <v>771</v>
      </c>
      <c r="O164" s="153">
        <v>46082</v>
      </c>
      <c r="P164" s="151" t="s">
        <v>51</v>
      </c>
      <c r="Q164" s="151"/>
      <c r="R164" s="173">
        <v>45918</v>
      </c>
      <c r="S164" s="174">
        <v>45923</v>
      </c>
      <c r="T164" s="175">
        <f>S164-R164</f>
        <v>5</v>
      </c>
      <c r="U164" s="151">
        <v>1</v>
      </c>
      <c r="V164" s="151">
        <v>1</v>
      </c>
      <c r="W164" s="151">
        <v>0</v>
      </c>
      <c r="X164" s="151">
        <v>1</v>
      </c>
      <c r="Y164" s="151">
        <v>0</v>
      </c>
      <c r="Z164" s="151">
        <v>1</v>
      </c>
      <c r="AA164" s="151">
        <v>0</v>
      </c>
      <c r="AB164" s="151"/>
      <c r="AC164" s="153">
        <v>45918</v>
      </c>
      <c r="AD164" s="154">
        <v>0.47916666666424135</v>
      </c>
      <c r="AE164" s="151" t="s">
        <v>675</v>
      </c>
      <c r="AF164" s="153">
        <v>45923</v>
      </c>
      <c r="AG164" s="154">
        <v>0.79513888889050577</v>
      </c>
      <c r="AH164" s="151" t="s">
        <v>117</v>
      </c>
      <c r="AI164" s="151" t="s">
        <v>726</v>
      </c>
      <c r="AJ164" s="151" t="s">
        <v>104</v>
      </c>
      <c r="AK164" s="151" t="s">
        <v>104</v>
      </c>
      <c r="AL164" s="151" t="s">
        <v>58</v>
      </c>
      <c r="AM164" s="188" t="s">
        <v>1224</v>
      </c>
      <c r="AN164" s="188" t="s">
        <v>1233</v>
      </c>
      <c r="AO164" s="188"/>
      <c r="AP164" s="155"/>
    </row>
    <row r="165" spans="3:42" ht="14.25" customHeight="1">
      <c r="C165" s="156" t="str">
        <f>IF($X165=1,COUNTIF($C$10:C164,"&gt;0")+1,"")</f>
        <v/>
      </c>
      <c r="D165" s="151"/>
      <c r="E165" s="151" t="s">
        <v>722</v>
      </c>
      <c r="F165" s="152" t="s">
        <v>772</v>
      </c>
      <c r="G165" s="151" t="s">
        <v>769</v>
      </c>
      <c r="H165" s="151" t="s">
        <v>773</v>
      </c>
      <c r="I165" s="151" t="s">
        <v>501</v>
      </c>
      <c r="J165" s="151" t="s">
        <v>100</v>
      </c>
      <c r="K165" s="151" t="s">
        <v>658</v>
      </c>
      <c r="L165" s="153">
        <v>25015</v>
      </c>
      <c r="M165" s="151">
        <v>57</v>
      </c>
      <c r="N165" s="151" t="s">
        <v>774</v>
      </c>
      <c r="O165" s="153">
        <v>49646</v>
      </c>
      <c r="P165" s="151" t="s">
        <v>51</v>
      </c>
      <c r="Q165" s="151"/>
      <c r="R165" s="173">
        <v>45918</v>
      </c>
      <c r="S165" s="174">
        <v>45923</v>
      </c>
      <c r="T165" s="175">
        <f>S165-R165</f>
        <v>5</v>
      </c>
      <c r="U165" s="151">
        <v>1</v>
      </c>
      <c r="V165" s="151">
        <v>1</v>
      </c>
      <c r="W165" s="151">
        <v>0</v>
      </c>
      <c r="X165" s="151">
        <v>0</v>
      </c>
      <c r="Y165" s="151">
        <v>0</v>
      </c>
      <c r="Z165" s="151">
        <v>0</v>
      </c>
      <c r="AA165" s="151">
        <v>0</v>
      </c>
      <c r="AB165" s="151"/>
      <c r="AC165" s="153">
        <v>45918</v>
      </c>
      <c r="AD165" s="154">
        <v>0.47916666666424135</v>
      </c>
      <c r="AE165" s="151" t="s">
        <v>675</v>
      </c>
      <c r="AF165" s="153">
        <v>45923</v>
      </c>
      <c r="AG165" s="154">
        <v>0.79513888889050577</v>
      </c>
      <c r="AH165" s="151" t="s">
        <v>117</v>
      </c>
      <c r="AI165" s="151" t="s">
        <v>726</v>
      </c>
      <c r="AJ165" s="151" t="s">
        <v>104</v>
      </c>
      <c r="AK165" s="151" t="s">
        <v>104</v>
      </c>
      <c r="AL165" s="151" t="s">
        <v>58</v>
      </c>
      <c r="AM165" s="188" t="s">
        <v>1224</v>
      </c>
      <c r="AN165" s="188" t="s">
        <v>1233</v>
      </c>
      <c r="AO165" s="188"/>
      <c r="AP165" s="155"/>
    </row>
    <row r="166" spans="3:42" ht="14.25" customHeight="1">
      <c r="C166" s="156">
        <f>IF($X166=1,COUNTIF($C$10:C165,"&gt;0")+1,"")</f>
        <v>78</v>
      </c>
      <c r="D166" s="151">
        <v>15262695</v>
      </c>
      <c r="E166" s="151" t="s">
        <v>722</v>
      </c>
      <c r="F166" s="152" t="s">
        <v>775</v>
      </c>
      <c r="G166" s="151" t="s">
        <v>775</v>
      </c>
      <c r="H166" s="151" t="s">
        <v>776</v>
      </c>
      <c r="I166" s="151" t="s">
        <v>777</v>
      </c>
      <c r="J166" s="151" t="s">
        <v>98</v>
      </c>
      <c r="K166" s="151" t="s">
        <v>99</v>
      </c>
      <c r="L166" s="153">
        <v>33046</v>
      </c>
      <c r="M166" s="151">
        <v>35</v>
      </c>
      <c r="N166" s="151" t="s">
        <v>778</v>
      </c>
      <c r="O166" s="153">
        <v>47882</v>
      </c>
      <c r="P166" s="151" t="s">
        <v>50</v>
      </c>
      <c r="Q166" s="151"/>
      <c r="R166" s="173">
        <v>45918</v>
      </c>
      <c r="S166" s="174">
        <v>45923</v>
      </c>
      <c r="T166" s="175">
        <f>S166-R166</f>
        <v>5</v>
      </c>
      <c r="U166" s="151">
        <v>1</v>
      </c>
      <c r="V166" s="151">
        <v>1</v>
      </c>
      <c r="W166" s="151">
        <v>0</v>
      </c>
      <c r="X166" s="151">
        <v>1</v>
      </c>
      <c r="Y166" s="151">
        <v>1</v>
      </c>
      <c r="Z166" s="151">
        <v>0</v>
      </c>
      <c r="AA166" s="151">
        <v>0</v>
      </c>
      <c r="AB166" s="151"/>
      <c r="AC166" s="153">
        <v>45918</v>
      </c>
      <c r="AD166" s="154">
        <v>0.47916666666424135</v>
      </c>
      <c r="AE166" s="151" t="s">
        <v>675</v>
      </c>
      <c r="AF166" s="153">
        <v>45923</v>
      </c>
      <c r="AG166" s="154">
        <v>0.72569444444525288</v>
      </c>
      <c r="AH166" s="151" t="s">
        <v>123</v>
      </c>
      <c r="AI166" s="151" t="s">
        <v>726</v>
      </c>
      <c r="AJ166" s="151" t="s">
        <v>104</v>
      </c>
      <c r="AK166" s="151" t="s">
        <v>104</v>
      </c>
      <c r="AL166" s="151" t="s">
        <v>58</v>
      </c>
      <c r="AM166" s="188" t="s">
        <v>1224</v>
      </c>
      <c r="AN166" s="188" t="s">
        <v>1233</v>
      </c>
      <c r="AO166" s="188"/>
      <c r="AP166" s="155"/>
    </row>
    <row r="167" spans="3:42" ht="14.25" customHeight="1">
      <c r="C167" s="156">
        <f>IF($X167=1,COUNTIF($C$10:C166,"&gt;0")+1,"")</f>
        <v>79</v>
      </c>
      <c r="D167" s="151">
        <v>15262696</v>
      </c>
      <c r="E167" s="151" t="s">
        <v>722</v>
      </c>
      <c r="F167" s="152" t="s">
        <v>779</v>
      </c>
      <c r="G167" s="151" t="s">
        <v>779</v>
      </c>
      <c r="H167" s="151" t="s">
        <v>780</v>
      </c>
      <c r="I167" s="151" t="s">
        <v>781</v>
      </c>
      <c r="J167" s="151" t="s">
        <v>98</v>
      </c>
      <c r="K167" s="151" t="s">
        <v>99</v>
      </c>
      <c r="L167" s="153">
        <v>19796</v>
      </c>
      <c r="M167" s="151">
        <v>71</v>
      </c>
      <c r="N167" s="151" t="s">
        <v>782</v>
      </c>
      <c r="O167" s="153">
        <v>46841</v>
      </c>
      <c r="P167" s="151" t="s">
        <v>52</v>
      </c>
      <c r="Q167" s="151"/>
      <c r="R167" s="173">
        <v>45918</v>
      </c>
      <c r="S167" s="174">
        <v>45923</v>
      </c>
      <c r="T167" s="175">
        <f>S167-R167</f>
        <v>5</v>
      </c>
      <c r="U167" s="151">
        <v>1</v>
      </c>
      <c r="V167" s="151">
        <v>1</v>
      </c>
      <c r="W167" s="151">
        <v>0</v>
      </c>
      <c r="X167" s="151">
        <v>1</v>
      </c>
      <c r="Y167" s="151">
        <v>0</v>
      </c>
      <c r="Z167" s="151">
        <v>0</v>
      </c>
      <c r="AA167" s="151">
        <v>1</v>
      </c>
      <c r="AB167" s="151"/>
      <c r="AC167" s="153">
        <v>45918</v>
      </c>
      <c r="AD167" s="154">
        <v>0.47916666666424135</v>
      </c>
      <c r="AE167" s="151" t="s">
        <v>675</v>
      </c>
      <c r="AF167" s="153">
        <v>45923</v>
      </c>
      <c r="AG167" s="154">
        <v>0.73958333333575865</v>
      </c>
      <c r="AH167" s="151" t="s">
        <v>114</v>
      </c>
      <c r="AI167" s="151" t="s">
        <v>726</v>
      </c>
      <c r="AJ167" s="151" t="s">
        <v>104</v>
      </c>
      <c r="AK167" s="151" t="s">
        <v>104</v>
      </c>
      <c r="AL167" s="151" t="s">
        <v>58</v>
      </c>
      <c r="AM167" s="188" t="s">
        <v>1224</v>
      </c>
      <c r="AN167" s="188" t="s">
        <v>1234</v>
      </c>
      <c r="AO167" s="188"/>
      <c r="AP167" s="155"/>
    </row>
    <row r="168" spans="3:42" ht="14.25" customHeight="1">
      <c r="C168" s="156" t="str">
        <f>IF($X168=1,COUNTIF($C$10:C167,"&gt;0")+1,"")</f>
        <v/>
      </c>
      <c r="D168" s="151"/>
      <c r="E168" s="151" t="s">
        <v>722</v>
      </c>
      <c r="F168" s="152" t="s">
        <v>783</v>
      </c>
      <c r="G168" s="151" t="s">
        <v>779</v>
      </c>
      <c r="H168" s="151" t="s">
        <v>784</v>
      </c>
      <c r="I168" s="151" t="s">
        <v>781</v>
      </c>
      <c r="J168" s="151" t="s">
        <v>100</v>
      </c>
      <c r="K168" s="151" t="s">
        <v>99</v>
      </c>
      <c r="L168" s="153">
        <v>19946</v>
      </c>
      <c r="M168" s="151">
        <v>71</v>
      </c>
      <c r="N168" s="151" t="s">
        <v>785</v>
      </c>
      <c r="O168" s="153">
        <v>46849</v>
      </c>
      <c r="P168" s="151" t="s">
        <v>52</v>
      </c>
      <c r="Q168" s="151"/>
      <c r="R168" s="173">
        <v>45918</v>
      </c>
      <c r="S168" s="174">
        <v>45923</v>
      </c>
      <c r="T168" s="175">
        <f>S168-R168</f>
        <v>5</v>
      </c>
      <c r="U168" s="151">
        <v>1</v>
      </c>
      <c r="V168" s="151">
        <v>1</v>
      </c>
      <c r="W168" s="151">
        <v>0</v>
      </c>
      <c r="X168" s="151">
        <v>0</v>
      </c>
      <c r="Y168" s="151">
        <v>0</v>
      </c>
      <c r="Z168" s="151">
        <v>0</v>
      </c>
      <c r="AA168" s="151">
        <v>0</v>
      </c>
      <c r="AB168" s="151"/>
      <c r="AC168" s="153">
        <v>45918</v>
      </c>
      <c r="AD168" s="154">
        <v>0.47916666666424135</v>
      </c>
      <c r="AE168" s="151" t="s">
        <v>675</v>
      </c>
      <c r="AF168" s="153">
        <v>45923</v>
      </c>
      <c r="AG168" s="154">
        <v>0.73958333333575865</v>
      </c>
      <c r="AH168" s="151" t="s">
        <v>114</v>
      </c>
      <c r="AI168" s="151" t="s">
        <v>726</v>
      </c>
      <c r="AJ168" s="151" t="s">
        <v>104</v>
      </c>
      <c r="AK168" s="151" t="s">
        <v>104</v>
      </c>
      <c r="AL168" s="151" t="s">
        <v>58</v>
      </c>
      <c r="AM168" s="188" t="s">
        <v>1224</v>
      </c>
      <c r="AN168" s="188" t="s">
        <v>1234</v>
      </c>
      <c r="AO168" s="188"/>
      <c r="AP168" s="155"/>
    </row>
    <row r="169" spans="3:42" ht="14.25" customHeight="1">
      <c r="C169" s="156">
        <f>IF($X169=1,COUNTIF($C$10:C168,"&gt;0")+1,"")</f>
        <v>80</v>
      </c>
      <c r="D169" s="151">
        <v>15262697</v>
      </c>
      <c r="E169" s="151" t="s">
        <v>722</v>
      </c>
      <c r="F169" s="152" t="s">
        <v>786</v>
      </c>
      <c r="G169" s="151" t="s">
        <v>786</v>
      </c>
      <c r="H169" s="151" t="s">
        <v>787</v>
      </c>
      <c r="I169" s="151" t="s">
        <v>777</v>
      </c>
      <c r="J169" s="151" t="s">
        <v>98</v>
      </c>
      <c r="K169" s="151" t="s">
        <v>99</v>
      </c>
      <c r="L169" s="153">
        <v>29906</v>
      </c>
      <c r="M169" s="151">
        <v>43</v>
      </c>
      <c r="N169" s="151" t="s">
        <v>788</v>
      </c>
      <c r="O169" s="153">
        <v>47429</v>
      </c>
      <c r="P169" s="151" t="s">
        <v>51</v>
      </c>
      <c r="Q169" s="151"/>
      <c r="R169" s="173">
        <v>45918</v>
      </c>
      <c r="S169" s="174">
        <v>45923</v>
      </c>
      <c r="T169" s="175">
        <f>S169-R169</f>
        <v>5</v>
      </c>
      <c r="U169" s="151">
        <v>1</v>
      </c>
      <c r="V169" s="151">
        <v>1</v>
      </c>
      <c r="W169" s="151">
        <v>0</v>
      </c>
      <c r="X169" s="151">
        <v>1</v>
      </c>
      <c r="Y169" s="151">
        <v>0</v>
      </c>
      <c r="Z169" s="151">
        <v>1</v>
      </c>
      <c r="AA169" s="151">
        <v>0</v>
      </c>
      <c r="AB169" s="151"/>
      <c r="AC169" s="153">
        <v>45918</v>
      </c>
      <c r="AD169" s="154">
        <v>0.48958333333575865</v>
      </c>
      <c r="AE169" s="151" t="s">
        <v>789</v>
      </c>
      <c r="AF169" s="153">
        <v>45923</v>
      </c>
      <c r="AG169" s="154">
        <v>0.8125</v>
      </c>
      <c r="AH169" s="151" t="s">
        <v>721</v>
      </c>
      <c r="AI169" s="151" t="s">
        <v>726</v>
      </c>
      <c r="AJ169" s="151" t="s">
        <v>104</v>
      </c>
      <c r="AK169" s="151" t="s">
        <v>104</v>
      </c>
      <c r="AL169" s="151" t="s">
        <v>58</v>
      </c>
      <c r="AM169" s="188" t="s">
        <v>1224</v>
      </c>
      <c r="AN169" s="188" t="s">
        <v>1233</v>
      </c>
      <c r="AO169" s="188"/>
      <c r="AP169" s="155"/>
    </row>
    <row r="170" spans="3:42" ht="14.25" customHeight="1">
      <c r="C170" s="156" t="str">
        <f>IF($X170=1,COUNTIF($C$10:C169,"&gt;0")+1,"")</f>
        <v/>
      </c>
      <c r="D170" s="151"/>
      <c r="E170" s="151" t="s">
        <v>722</v>
      </c>
      <c r="F170" s="152" t="s">
        <v>790</v>
      </c>
      <c r="G170" s="151" t="s">
        <v>786</v>
      </c>
      <c r="H170" s="151" t="s">
        <v>791</v>
      </c>
      <c r="I170" s="151" t="s">
        <v>777</v>
      </c>
      <c r="J170" s="151" t="s">
        <v>100</v>
      </c>
      <c r="K170" s="151" t="s">
        <v>99</v>
      </c>
      <c r="L170" s="153">
        <v>32174</v>
      </c>
      <c r="M170" s="151">
        <v>37</v>
      </c>
      <c r="N170" s="151" t="s">
        <v>792</v>
      </c>
      <c r="O170" s="153">
        <v>49428</v>
      </c>
      <c r="P170" s="151" t="s">
        <v>51</v>
      </c>
      <c r="Q170" s="151"/>
      <c r="R170" s="173">
        <v>45918</v>
      </c>
      <c r="S170" s="174">
        <v>45923</v>
      </c>
      <c r="T170" s="175">
        <f>S170-R170</f>
        <v>5</v>
      </c>
      <c r="U170" s="151">
        <v>1</v>
      </c>
      <c r="V170" s="151">
        <v>1</v>
      </c>
      <c r="W170" s="151">
        <v>0</v>
      </c>
      <c r="X170" s="151">
        <v>0</v>
      </c>
      <c r="Y170" s="151">
        <v>0</v>
      </c>
      <c r="Z170" s="151">
        <v>0</v>
      </c>
      <c r="AA170" s="151">
        <v>0</v>
      </c>
      <c r="AB170" s="151"/>
      <c r="AC170" s="153">
        <v>45918</v>
      </c>
      <c r="AD170" s="154">
        <v>0.48958333333575865</v>
      </c>
      <c r="AE170" s="151" t="s">
        <v>789</v>
      </c>
      <c r="AF170" s="153">
        <v>45923</v>
      </c>
      <c r="AG170" s="154">
        <v>0.8125</v>
      </c>
      <c r="AH170" s="151" t="s">
        <v>721</v>
      </c>
      <c r="AI170" s="151" t="s">
        <v>726</v>
      </c>
      <c r="AJ170" s="151" t="s">
        <v>104</v>
      </c>
      <c r="AK170" s="151" t="s">
        <v>104</v>
      </c>
      <c r="AL170" s="151" t="s">
        <v>58</v>
      </c>
      <c r="AM170" s="188" t="s">
        <v>1224</v>
      </c>
      <c r="AN170" s="188" t="s">
        <v>1233</v>
      </c>
      <c r="AO170" s="188"/>
      <c r="AP170" s="155"/>
    </row>
    <row r="171" spans="3:42" ht="14.25" customHeight="1">
      <c r="C171" s="156" t="str">
        <f>IF($X171=1,COUNTIF($C$10:C170,"&gt;0")+1,"")</f>
        <v/>
      </c>
      <c r="D171" s="151"/>
      <c r="E171" s="151" t="s">
        <v>722</v>
      </c>
      <c r="F171" s="152" t="s">
        <v>793</v>
      </c>
      <c r="G171" s="151" t="s">
        <v>786</v>
      </c>
      <c r="H171" s="151" t="s">
        <v>794</v>
      </c>
      <c r="I171" s="151" t="s">
        <v>777</v>
      </c>
      <c r="J171" s="151" t="s">
        <v>98</v>
      </c>
      <c r="K171" s="151" t="s">
        <v>99</v>
      </c>
      <c r="L171" s="153">
        <v>42494</v>
      </c>
      <c r="M171" s="151">
        <v>9</v>
      </c>
      <c r="N171" s="151" t="s">
        <v>795</v>
      </c>
      <c r="O171" s="153">
        <v>46288</v>
      </c>
      <c r="P171" s="151" t="s">
        <v>51</v>
      </c>
      <c r="Q171" s="151"/>
      <c r="R171" s="173">
        <v>45918</v>
      </c>
      <c r="S171" s="174">
        <v>45923</v>
      </c>
      <c r="T171" s="175">
        <f>S171-R171</f>
        <v>5</v>
      </c>
      <c r="U171" s="151">
        <v>1</v>
      </c>
      <c r="V171" s="151">
        <v>0</v>
      </c>
      <c r="W171" s="151">
        <v>1</v>
      </c>
      <c r="X171" s="151">
        <v>0</v>
      </c>
      <c r="Y171" s="151">
        <v>0</v>
      </c>
      <c r="Z171" s="151">
        <v>0</v>
      </c>
      <c r="AA171" s="151">
        <v>0</v>
      </c>
      <c r="AB171" s="151"/>
      <c r="AC171" s="153">
        <v>45918</v>
      </c>
      <c r="AD171" s="154">
        <v>0.48958333333575865</v>
      </c>
      <c r="AE171" s="151" t="s">
        <v>789</v>
      </c>
      <c r="AF171" s="153">
        <v>45923</v>
      </c>
      <c r="AG171" s="154">
        <v>0.8125</v>
      </c>
      <c r="AH171" s="151" t="s">
        <v>721</v>
      </c>
      <c r="AI171" s="151" t="s">
        <v>726</v>
      </c>
      <c r="AJ171" s="151" t="s">
        <v>104</v>
      </c>
      <c r="AK171" s="151" t="s">
        <v>104</v>
      </c>
      <c r="AL171" s="151" t="s">
        <v>58</v>
      </c>
      <c r="AM171" s="188" t="s">
        <v>1224</v>
      </c>
      <c r="AN171" s="188" t="s">
        <v>1233</v>
      </c>
      <c r="AO171" s="188"/>
      <c r="AP171" s="155"/>
    </row>
    <row r="172" spans="3:42" ht="14.25" customHeight="1">
      <c r="C172" s="156">
        <f>IF($X172=1,COUNTIF($C$10:C171,"&gt;0")+1,"")</f>
        <v>81</v>
      </c>
      <c r="D172" s="151">
        <v>15262698</v>
      </c>
      <c r="E172" s="151" t="s">
        <v>722</v>
      </c>
      <c r="F172" s="152" t="s">
        <v>796</v>
      </c>
      <c r="G172" s="151" t="s">
        <v>796</v>
      </c>
      <c r="H172" s="151" t="s">
        <v>797</v>
      </c>
      <c r="I172" s="151" t="s">
        <v>598</v>
      </c>
      <c r="J172" s="151" t="s">
        <v>98</v>
      </c>
      <c r="K172" s="151" t="s">
        <v>99</v>
      </c>
      <c r="L172" s="153">
        <v>29297</v>
      </c>
      <c r="M172" s="151">
        <v>45</v>
      </c>
      <c r="N172" s="151" t="s">
        <v>798</v>
      </c>
      <c r="O172" s="153">
        <v>49112</v>
      </c>
      <c r="P172" s="151" t="s">
        <v>51</v>
      </c>
      <c r="Q172" s="151"/>
      <c r="R172" s="173">
        <v>45918</v>
      </c>
      <c r="S172" s="174">
        <v>45923</v>
      </c>
      <c r="T172" s="175">
        <f>S172-R172</f>
        <v>5</v>
      </c>
      <c r="U172" s="151">
        <v>1</v>
      </c>
      <c r="V172" s="151">
        <v>1</v>
      </c>
      <c r="W172" s="151">
        <v>0</v>
      </c>
      <c r="X172" s="151">
        <v>1</v>
      </c>
      <c r="Y172" s="151">
        <v>0</v>
      </c>
      <c r="Z172" s="151">
        <v>1</v>
      </c>
      <c r="AA172" s="151">
        <v>0</v>
      </c>
      <c r="AB172" s="151"/>
      <c r="AC172" s="153">
        <v>45918</v>
      </c>
      <c r="AD172" s="154">
        <v>0.47916666666424135</v>
      </c>
      <c r="AE172" s="151" t="s">
        <v>675</v>
      </c>
      <c r="AF172" s="153">
        <v>45923</v>
      </c>
      <c r="AG172" s="154">
        <v>0.53819444444525288</v>
      </c>
      <c r="AH172" s="151" t="s">
        <v>799</v>
      </c>
      <c r="AI172" s="151" t="s">
        <v>726</v>
      </c>
      <c r="AJ172" s="151" t="s">
        <v>104</v>
      </c>
      <c r="AK172" s="151" t="s">
        <v>104</v>
      </c>
      <c r="AL172" s="151" t="s">
        <v>58</v>
      </c>
      <c r="AM172" s="188" t="s">
        <v>1224</v>
      </c>
      <c r="AN172" s="188" t="s">
        <v>1233</v>
      </c>
      <c r="AO172" s="188"/>
      <c r="AP172" s="155"/>
    </row>
    <row r="173" spans="3:42" ht="14.25" customHeight="1">
      <c r="C173" s="156" t="str">
        <f>IF($X173=1,COUNTIF($C$10:C172,"&gt;0")+1,"")</f>
        <v/>
      </c>
      <c r="D173" s="151"/>
      <c r="E173" s="151" t="s">
        <v>722</v>
      </c>
      <c r="F173" s="152" t="s">
        <v>800</v>
      </c>
      <c r="G173" s="151" t="s">
        <v>796</v>
      </c>
      <c r="H173" s="151" t="s">
        <v>801</v>
      </c>
      <c r="I173" s="151" t="s">
        <v>802</v>
      </c>
      <c r="J173" s="151" t="s">
        <v>100</v>
      </c>
      <c r="K173" s="151" t="s">
        <v>658</v>
      </c>
      <c r="L173" s="153">
        <v>31432</v>
      </c>
      <c r="M173" s="151">
        <v>39</v>
      </c>
      <c r="N173" s="151" t="s">
        <v>803</v>
      </c>
      <c r="O173" s="153">
        <v>47909</v>
      </c>
      <c r="P173" s="151" t="s">
        <v>51</v>
      </c>
      <c r="Q173" s="151"/>
      <c r="R173" s="173">
        <v>45918</v>
      </c>
      <c r="S173" s="174">
        <v>45923</v>
      </c>
      <c r="T173" s="175">
        <f>S173-R173</f>
        <v>5</v>
      </c>
      <c r="U173" s="151">
        <v>1</v>
      </c>
      <c r="V173" s="151">
        <v>1</v>
      </c>
      <c r="W173" s="151">
        <v>0</v>
      </c>
      <c r="X173" s="151">
        <v>0</v>
      </c>
      <c r="Y173" s="151">
        <v>0</v>
      </c>
      <c r="Z173" s="151">
        <v>0</v>
      </c>
      <c r="AA173" s="151">
        <v>0</v>
      </c>
      <c r="AB173" s="151"/>
      <c r="AC173" s="153">
        <v>45918</v>
      </c>
      <c r="AD173" s="154">
        <v>0.47916666666424135</v>
      </c>
      <c r="AE173" s="151" t="s">
        <v>675</v>
      </c>
      <c r="AF173" s="153">
        <v>45923</v>
      </c>
      <c r="AG173" s="154">
        <v>0.53819444444525288</v>
      </c>
      <c r="AH173" s="151" t="s">
        <v>799</v>
      </c>
      <c r="AI173" s="151" t="s">
        <v>726</v>
      </c>
      <c r="AJ173" s="151" t="s">
        <v>104</v>
      </c>
      <c r="AK173" s="151" t="s">
        <v>104</v>
      </c>
      <c r="AL173" s="151" t="s">
        <v>58</v>
      </c>
      <c r="AM173" s="188" t="s">
        <v>1224</v>
      </c>
      <c r="AN173" s="188" t="s">
        <v>1233</v>
      </c>
      <c r="AO173" s="188"/>
      <c r="AP173" s="155"/>
    </row>
    <row r="174" spans="3:42" ht="14.25" customHeight="1">
      <c r="C174" s="156">
        <f>IF($X174=1,COUNTIF($C$10:C173,"&gt;0")+1,"")</f>
        <v>82</v>
      </c>
      <c r="D174" s="151">
        <v>15262699</v>
      </c>
      <c r="E174" s="151" t="s">
        <v>722</v>
      </c>
      <c r="F174" s="152" t="s">
        <v>804</v>
      </c>
      <c r="G174" s="151" t="s">
        <v>804</v>
      </c>
      <c r="H174" s="151" t="s">
        <v>805</v>
      </c>
      <c r="I174" s="151" t="s">
        <v>777</v>
      </c>
      <c r="J174" s="151" t="s">
        <v>100</v>
      </c>
      <c r="K174" s="151" t="s">
        <v>99</v>
      </c>
      <c r="L174" s="153">
        <v>30323</v>
      </c>
      <c r="M174" s="151">
        <v>42</v>
      </c>
      <c r="N174" s="151" t="s">
        <v>806</v>
      </c>
      <c r="O174" s="153">
        <v>48650</v>
      </c>
      <c r="P174" s="151" t="s">
        <v>50</v>
      </c>
      <c r="Q174" s="151"/>
      <c r="R174" s="173">
        <v>45918</v>
      </c>
      <c r="S174" s="174">
        <v>45923</v>
      </c>
      <c r="T174" s="175">
        <f>S174-R174</f>
        <v>5</v>
      </c>
      <c r="U174" s="151">
        <v>1</v>
      </c>
      <c r="V174" s="151">
        <v>1</v>
      </c>
      <c r="W174" s="151">
        <v>0</v>
      </c>
      <c r="X174" s="151">
        <v>1</v>
      </c>
      <c r="Y174" s="151">
        <v>1</v>
      </c>
      <c r="Z174" s="151">
        <v>0</v>
      </c>
      <c r="AA174" s="151">
        <v>0</v>
      </c>
      <c r="AB174" s="151"/>
      <c r="AC174" s="153">
        <v>45918</v>
      </c>
      <c r="AD174" s="154">
        <v>0.47916666666424135</v>
      </c>
      <c r="AE174" s="151" t="s">
        <v>675</v>
      </c>
      <c r="AF174" s="153">
        <v>45923</v>
      </c>
      <c r="AG174" s="154">
        <v>0.72569444444525288</v>
      </c>
      <c r="AH174" s="151" t="s">
        <v>123</v>
      </c>
      <c r="AI174" s="151" t="s">
        <v>726</v>
      </c>
      <c r="AJ174" s="151" t="s">
        <v>104</v>
      </c>
      <c r="AK174" s="151" t="s">
        <v>104</v>
      </c>
      <c r="AL174" s="151" t="s">
        <v>58</v>
      </c>
      <c r="AM174" s="188" t="s">
        <v>1224</v>
      </c>
      <c r="AN174" s="188" t="s">
        <v>1233</v>
      </c>
      <c r="AO174" s="188"/>
      <c r="AP174" s="155"/>
    </row>
    <row r="175" spans="3:42" ht="14.25" customHeight="1">
      <c r="C175" s="156">
        <f>IF($X175=1,COUNTIF($C$10:C174,"&gt;0")+1,"")</f>
        <v>83</v>
      </c>
      <c r="D175" s="151">
        <v>15262700</v>
      </c>
      <c r="E175" s="151" t="s">
        <v>722</v>
      </c>
      <c r="F175" s="152" t="s">
        <v>807</v>
      </c>
      <c r="G175" s="151" t="s">
        <v>807</v>
      </c>
      <c r="H175" s="151" t="s">
        <v>808</v>
      </c>
      <c r="I175" s="151" t="s">
        <v>809</v>
      </c>
      <c r="J175" s="151" t="s">
        <v>98</v>
      </c>
      <c r="K175" s="151" t="s">
        <v>99</v>
      </c>
      <c r="L175" s="153">
        <v>24633</v>
      </c>
      <c r="M175" s="151">
        <v>58</v>
      </c>
      <c r="N175" s="151" t="s">
        <v>810</v>
      </c>
      <c r="O175" s="153">
        <v>47699</v>
      </c>
      <c r="P175" s="151" t="s">
        <v>51</v>
      </c>
      <c r="Q175" s="151"/>
      <c r="R175" s="173">
        <v>45918</v>
      </c>
      <c r="S175" s="174">
        <v>45923</v>
      </c>
      <c r="T175" s="175">
        <f>S175-R175</f>
        <v>5</v>
      </c>
      <c r="U175" s="151">
        <v>1</v>
      </c>
      <c r="V175" s="151">
        <v>1</v>
      </c>
      <c r="W175" s="151">
        <v>0</v>
      </c>
      <c r="X175" s="151">
        <v>1</v>
      </c>
      <c r="Y175" s="151">
        <v>0</v>
      </c>
      <c r="Z175" s="151">
        <v>1</v>
      </c>
      <c r="AA175" s="151">
        <v>0</v>
      </c>
      <c r="AB175" s="151"/>
      <c r="AC175" s="153">
        <v>45918</v>
      </c>
      <c r="AD175" s="154">
        <v>0.60069444444525288</v>
      </c>
      <c r="AE175" s="151" t="s">
        <v>138</v>
      </c>
      <c r="AF175" s="153">
        <v>45923</v>
      </c>
      <c r="AG175" s="154">
        <v>0.68402777778101154</v>
      </c>
      <c r="AH175" s="151" t="s">
        <v>112</v>
      </c>
      <c r="AI175" s="151" t="s">
        <v>726</v>
      </c>
      <c r="AJ175" s="151" t="s">
        <v>104</v>
      </c>
      <c r="AK175" s="151" t="s">
        <v>104</v>
      </c>
      <c r="AL175" s="151" t="s">
        <v>58</v>
      </c>
      <c r="AM175" s="188" t="s">
        <v>1224</v>
      </c>
      <c r="AN175" s="188" t="s">
        <v>1233</v>
      </c>
      <c r="AO175" s="188"/>
      <c r="AP175" s="155"/>
    </row>
    <row r="176" spans="3:42" ht="14.25" customHeight="1">
      <c r="C176" s="156" t="str">
        <f>IF($X176=1,COUNTIF($C$10:C175,"&gt;0")+1,"")</f>
        <v/>
      </c>
      <c r="D176" s="151"/>
      <c r="E176" s="151" t="s">
        <v>722</v>
      </c>
      <c r="F176" s="152" t="s">
        <v>811</v>
      </c>
      <c r="G176" s="151" t="s">
        <v>807</v>
      </c>
      <c r="H176" s="151" t="s">
        <v>812</v>
      </c>
      <c r="I176" s="151" t="s">
        <v>813</v>
      </c>
      <c r="J176" s="151" t="s">
        <v>100</v>
      </c>
      <c r="K176" s="151" t="s">
        <v>99</v>
      </c>
      <c r="L176" s="153">
        <v>26880</v>
      </c>
      <c r="M176" s="151">
        <v>52</v>
      </c>
      <c r="N176" s="151" t="s">
        <v>104</v>
      </c>
      <c r="O176" s="153" t="s">
        <v>104</v>
      </c>
      <c r="P176" s="151" t="s">
        <v>51</v>
      </c>
      <c r="Q176" s="151"/>
      <c r="R176" s="173">
        <v>45918</v>
      </c>
      <c r="S176" s="174">
        <v>45923</v>
      </c>
      <c r="T176" s="175">
        <f>S176-R176</f>
        <v>5</v>
      </c>
      <c r="U176" s="151">
        <v>1</v>
      </c>
      <c r="V176" s="151">
        <v>1</v>
      </c>
      <c r="W176" s="151">
        <v>0</v>
      </c>
      <c r="X176" s="151">
        <v>0</v>
      </c>
      <c r="Y176" s="151">
        <v>0</v>
      </c>
      <c r="Z176" s="151">
        <v>0</v>
      </c>
      <c r="AA176" s="151">
        <v>0</v>
      </c>
      <c r="AB176" s="151"/>
      <c r="AC176" s="153" t="s">
        <v>104</v>
      </c>
      <c r="AD176" s="154" t="s">
        <v>104</v>
      </c>
      <c r="AE176" s="151" t="s">
        <v>104</v>
      </c>
      <c r="AF176" s="153" t="s">
        <v>104</v>
      </c>
      <c r="AG176" s="154" t="s">
        <v>104</v>
      </c>
      <c r="AH176" s="151" t="s">
        <v>104</v>
      </c>
      <c r="AI176" s="151" t="s">
        <v>726</v>
      </c>
      <c r="AJ176" s="151" t="s">
        <v>104</v>
      </c>
      <c r="AK176" s="151" t="s">
        <v>104</v>
      </c>
      <c r="AL176" s="151" t="s">
        <v>58</v>
      </c>
      <c r="AM176" s="188" t="s">
        <v>1224</v>
      </c>
      <c r="AN176" s="188" t="s">
        <v>1233</v>
      </c>
      <c r="AO176" s="188"/>
      <c r="AP176" s="155"/>
    </row>
    <row r="177" spans="3:42" ht="14.25" customHeight="1">
      <c r="C177" s="156">
        <f>IF($X177=1,COUNTIF($C$10:C176,"&gt;0")+1,"")</f>
        <v>84</v>
      </c>
      <c r="D177" s="151">
        <v>15262701</v>
      </c>
      <c r="E177" s="151" t="s">
        <v>722</v>
      </c>
      <c r="F177" s="152" t="s">
        <v>814</v>
      </c>
      <c r="G177" s="151" t="s">
        <v>807</v>
      </c>
      <c r="H177" s="151" t="s">
        <v>815</v>
      </c>
      <c r="I177" s="151" t="s">
        <v>809</v>
      </c>
      <c r="J177" s="151" t="s">
        <v>98</v>
      </c>
      <c r="K177" s="151" t="s">
        <v>99</v>
      </c>
      <c r="L177" s="153">
        <v>37384</v>
      </c>
      <c r="M177" s="151">
        <v>23</v>
      </c>
      <c r="N177" s="151" t="s">
        <v>104</v>
      </c>
      <c r="O177" s="153" t="s">
        <v>104</v>
      </c>
      <c r="P177" s="151" t="s">
        <v>52</v>
      </c>
      <c r="Q177" s="151"/>
      <c r="R177" s="173">
        <v>45918</v>
      </c>
      <c r="S177" s="174">
        <v>45923</v>
      </c>
      <c r="T177" s="175">
        <f>S177-R177</f>
        <v>5</v>
      </c>
      <c r="U177" s="151">
        <v>1</v>
      </c>
      <c r="V177" s="151">
        <v>1</v>
      </c>
      <c r="W177" s="151">
        <v>0</v>
      </c>
      <c r="X177" s="151">
        <v>1</v>
      </c>
      <c r="Y177" s="151">
        <v>0</v>
      </c>
      <c r="Z177" s="151">
        <v>0</v>
      </c>
      <c r="AA177" s="151">
        <v>1</v>
      </c>
      <c r="AB177" s="151"/>
      <c r="AC177" s="153" t="s">
        <v>104</v>
      </c>
      <c r="AD177" s="154" t="s">
        <v>104</v>
      </c>
      <c r="AE177" s="151" t="s">
        <v>104</v>
      </c>
      <c r="AF177" s="153" t="s">
        <v>104</v>
      </c>
      <c r="AG177" s="154" t="s">
        <v>104</v>
      </c>
      <c r="AH177" s="151" t="s">
        <v>104</v>
      </c>
      <c r="AI177" s="151" t="s">
        <v>726</v>
      </c>
      <c r="AJ177" s="151" t="s">
        <v>104</v>
      </c>
      <c r="AK177" s="151" t="s">
        <v>104</v>
      </c>
      <c r="AL177" s="151" t="s">
        <v>58</v>
      </c>
      <c r="AM177" s="188" t="s">
        <v>1224</v>
      </c>
      <c r="AN177" s="188" t="s">
        <v>1234</v>
      </c>
      <c r="AO177" s="188"/>
      <c r="AP177" s="155"/>
    </row>
    <row r="178" spans="3:42" ht="14.25" customHeight="1">
      <c r="C178" s="156" t="str">
        <f>IF($X178=1,COUNTIF($C$10:C177,"&gt;0")+1,"")</f>
        <v/>
      </c>
      <c r="D178" s="151"/>
      <c r="E178" s="151" t="s">
        <v>722</v>
      </c>
      <c r="F178" s="152" t="s">
        <v>816</v>
      </c>
      <c r="G178" s="151" t="s">
        <v>807</v>
      </c>
      <c r="H178" s="151" t="s">
        <v>817</v>
      </c>
      <c r="I178" s="151" t="s">
        <v>809</v>
      </c>
      <c r="J178" s="151" t="s">
        <v>98</v>
      </c>
      <c r="K178" s="151" t="s">
        <v>99</v>
      </c>
      <c r="L178" s="153">
        <v>38099</v>
      </c>
      <c r="M178" s="151">
        <v>21</v>
      </c>
      <c r="N178" s="151" t="s">
        <v>818</v>
      </c>
      <c r="O178" s="153">
        <v>49049</v>
      </c>
      <c r="P178" s="151" t="s">
        <v>52</v>
      </c>
      <c r="Q178" s="151"/>
      <c r="R178" s="173">
        <v>45918</v>
      </c>
      <c r="S178" s="174">
        <v>45923</v>
      </c>
      <c r="T178" s="175">
        <f>S178-R178</f>
        <v>5</v>
      </c>
      <c r="U178" s="151">
        <v>1</v>
      </c>
      <c r="V178" s="151">
        <v>1</v>
      </c>
      <c r="W178" s="151">
        <v>0</v>
      </c>
      <c r="X178" s="151">
        <v>0</v>
      </c>
      <c r="Y178" s="151">
        <v>0</v>
      </c>
      <c r="Z178" s="151">
        <v>0</v>
      </c>
      <c r="AA178" s="151">
        <v>0</v>
      </c>
      <c r="AB178" s="151"/>
      <c r="AC178" s="153">
        <v>45918</v>
      </c>
      <c r="AD178" s="154">
        <v>0.60069444444525288</v>
      </c>
      <c r="AE178" s="151" t="s">
        <v>138</v>
      </c>
      <c r="AF178" s="153">
        <v>45923</v>
      </c>
      <c r="AG178" s="154">
        <v>0.68402777778101154</v>
      </c>
      <c r="AH178" s="151" t="s">
        <v>112</v>
      </c>
      <c r="AI178" s="151" t="s">
        <v>726</v>
      </c>
      <c r="AJ178" s="151" t="s">
        <v>104</v>
      </c>
      <c r="AK178" s="151" t="s">
        <v>104</v>
      </c>
      <c r="AL178" s="151" t="s">
        <v>58</v>
      </c>
      <c r="AM178" s="188" t="s">
        <v>1224</v>
      </c>
      <c r="AN178" s="188" t="s">
        <v>1234</v>
      </c>
      <c r="AO178" s="188"/>
      <c r="AP178" s="155"/>
    </row>
    <row r="179" spans="3:42" ht="14.25" customHeight="1">
      <c r="C179" s="156">
        <f>IF($X179=1,COUNTIF($C$10:C178,"&gt;0")+1,"")</f>
        <v>85</v>
      </c>
      <c r="D179" s="151">
        <v>15262702</v>
      </c>
      <c r="E179" s="151" t="s">
        <v>722</v>
      </c>
      <c r="F179" s="152" t="s">
        <v>819</v>
      </c>
      <c r="G179" s="151" t="s">
        <v>819</v>
      </c>
      <c r="H179" s="151" t="s">
        <v>820</v>
      </c>
      <c r="I179" s="151" t="s">
        <v>821</v>
      </c>
      <c r="J179" s="151" t="s">
        <v>98</v>
      </c>
      <c r="K179" s="151" t="s">
        <v>99</v>
      </c>
      <c r="L179" s="153">
        <v>24870</v>
      </c>
      <c r="M179" s="151">
        <v>57</v>
      </c>
      <c r="N179" s="151" t="s">
        <v>822</v>
      </c>
      <c r="O179" s="153">
        <v>46841</v>
      </c>
      <c r="P179" s="151" t="s">
        <v>51</v>
      </c>
      <c r="Q179" s="151"/>
      <c r="R179" s="173">
        <v>45918</v>
      </c>
      <c r="S179" s="174">
        <v>45923</v>
      </c>
      <c r="T179" s="175">
        <f>S179-R179</f>
        <v>5</v>
      </c>
      <c r="U179" s="151">
        <v>1</v>
      </c>
      <c r="V179" s="151">
        <v>1</v>
      </c>
      <c r="W179" s="151">
        <v>0</v>
      </c>
      <c r="X179" s="151">
        <v>1</v>
      </c>
      <c r="Y179" s="151">
        <v>0</v>
      </c>
      <c r="Z179" s="151">
        <v>1</v>
      </c>
      <c r="AA179" s="151">
        <v>0</v>
      </c>
      <c r="AB179" s="151"/>
      <c r="AC179" s="153">
        <v>45918</v>
      </c>
      <c r="AD179" s="154">
        <v>0.51736111110949423</v>
      </c>
      <c r="AE179" s="151" t="s">
        <v>823</v>
      </c>
      <c r="AF179" s="153">
        <v>45923</v>
      </c>
      <c r="AG179" s="154">
        <v>0.79513888889050577</v>
      </c>
      <c r="AH179" s="151" t="s">
        <v>117</v>
      </c>
      <c r="AI179" s="151" t="s">
        <v>726</v>
      </c>
      <c r="AJ179" s="151" t="s">
        <v>104</v>
      </c>
      <c r="AK179" s="151" t="s">
        <v>104</v>
      </c>
      <c r="AL179" s="151" t="s">
        <v>58</v>
      </c>
      <c r="AM179" s="188" t="s">
        <v>1224</v>
      </c>
      <c r="AN179" s="188" t="s">
        <v>1233</v>
      </c>
      <c r="AO179" s="188"/>
      <c r="AP179" s="155"/>
    </row>
    <row r="180" spans="3:42" ht="14.25" customHeight="1">
      <c r="C180" s="156" t="str">
        <f>IF($X180=1,COUNTIF($C$10:C179,"&gt;0")+1,"")</f>
        <v/>
      </c>
      <c r="D180" s="151"/>
      <c r="E180" s="151" t="s">
        <v>722</v>
      </c>
      <c r="F180" s="152" t="s">
        <v>824</v>
      </c>
      <c r="G180" s="151" t="s">
        <v>819</v>
      </c>
      <c r="H180" s="151" t="s">
        <v>825</v>
      </c>
      <c r="I180" s="151" t="s">
        <v>821</v>
      </c>
      <c r="J180" s="151" t="s">
        <v>100</v>
      </c>
      <c r="K180" s="151" t="s">
        <v>99</v>
      </c>
      <c r="L180" s="153">
        <v>24985</v>
      </c>
      <c r="M180" s="151">
        <v>57</v>
      </c>
      <c r="N180" s="151" t="s">
        <v>826</v>
      </c>
      <c r="O180" s="153">
        <v>46664</v>
      </c>
      <c r="P180" s="151" t="s">
        <v>51</v>
      </c>
      <c r="Q180" s="151"/>
      <c r="R180" s="173">
        <v>45918</v>
      </c>
      <c r="S180" s="174">
        <v>45923</v>
      </c>
      <c r="T180" s="175">
        <f>S180-R180</f>
        <v>5</v>
      </c>
      <c r="U180" s="151">
        <v>1</v>
      </c>
      <c r="V180" s="151">
        <v>1</v>
      </c>
      <c r="W180" s="151">
        <v>0</v>
      </c>
      <c r="X180" s="151">
        <v>0</v>
      </c>
      <c r="Y180" s="151">
        <v>0</v>
      </c>
      <c r="Z180" s="151">
        <v>0</v>
      </c>
      <c r="AA180" s="151">
        <v>0</v>
      </c>
      <c r="AB180" s="151"/>
      <c r="AC180" s="153">
        <v>45918</v>
      </c>
      <c r="AD180" s="154">
        <v>0.51736111110949423</v>
      </c>
      <c r="AE180" s="151" t="s">
        <v>823</v>
      </c>
      <c r="AF180" s="153">
        <v>45923</v>
      </c>
      <c r="AG180" s="154">
        <v>0.79513888889050577</v>
      </c>
      <c r="AH180" s="151" t="s">
        <v>117</v>
      </c>
      <c r="AI180" s="151" t="s">
        <v>726</v>
      </c>
      <c r="AJ180" s="151" t="s">
        <v>104</v>
      </c>
      <c r="AK180" s="151" t="s">
        <v>104</v>
      </c>
      <c r="AL180" s="151" t="s">
        <v>58</v>
      </c>
      <c r="AM180" s="188" t="s">
        <v>1224</v>
      </c>
      <c r="AN180" s="188" t="s">
        <v>1233</v>
      </c>
      <c r="AO180" s="188"/>
      <c r="AP180" s="155"/>
    </row>
    <row r="181" spans="3:42" ht="14.25" customHeight="1">
      <c r="C181" s="156">
        <f>IF($X181=1,COUNTIF($C$10:C180,"&gt;0")+1,"")</f>
        <v>86</v>
      </c>
      <c r="D181" s="151">
        <v>15262703</v>
      </c>
      <c r="E181" s="151" t="s">
        <v>722</v>
      </c>
      <c r="F181" s="152" t="s">
        <v>827</v>
      </c>
      <c r="G181" s="151" t="s">
        <v>827</v>
      </c>
      <c r="H181" s="151" t="s">
        <v>828</v>
      </c>
      <c r="I181" s="151" t="s">
        <v>829</v>
      </c>
      <c r="J181" s="151" t="s">
        <v>100</v>
      </c>
      <c r="K181" s="151" t="s">
        <v>99</v>
      </c>
      <c r="L181" s="153">
        <v>24278</v>
      </c>
      <c r="M181" s="151">
        <v>59</v>
      </c>
      <c r="N181" s="151" t="s">
        <v>830</v>
      </c>
      <c r="O181" s="153">
        <v>46563</v>
      </c>
      <c r="P181" s="151" t="s">
        <v>51</v>
      </c>
      <c r="Q181" s="151"/>
      <c r="R181" s="173">
        <v>45918</v>
      </c>
      <c r="S181" s="174">
        <v>45923</v>
      </c>
      <c r="T181" s="175">
        <f>S181-R181</f>
        <v>5</v>
      </c>
      <c r="U181" s="151">
        <v>1</v>
      </c>
      <c r="V181" s="151">
        <v>1</v>
      </c>
      <c r="W181" s="151">
        <v>0</v>
      </c>
      <c r="X181" s="151">
        <v>1</v>
      </c>
      <c r="Y181" s="151">
        <v>0</v>
      </c>
      <c r="Z181" s="151">
        <v>1</v>
      </c>
      <c r="AA181" s="151">
        <v>0</v>
      </c>
      <c r="AB181" s="151"/>
      <c r="AC181" s="153">
        <v>45918</v>
      </c>
      <c r="AD181" s="154">
        <v>0.51736111110949423</v>
      </c>
      <c r="AE181" s="151" t="s">
        <v>823</v>
      </c>
      <c r="AF181" s="153">
        <v>45923</v>
      </c>
      <c r="AG181" s="154">
        <v>0.79513888889050577</v>
      </c>
      <c r="AH181" s="151" t="s">
        <v>117</v>
      </c>
      <c r="AI181" s="151" t="s">
        <v>726</v>
      </c>
      <c r="AJ181" s="151" t="s">
        <v>109</v>
      </c>
      <c r="AK181" s="151" t="s">
        <v>110</v>
      </c>
      <c r="AL181" s="151" t="s">
        <v>58</v>
      </c>
      <c r="AM181" s="188" t="s">
        <v>1224</v>
      </c>
      <c r="AN181" s="188" t="s">
        <v>1228</v>
      </c>
      <c r="AO181" s="188"/>
      <c r="AP181" s="155"/>
    </row>
    <row r="182" spans="3:42" ht="14.25" customHeight="1">
      <c r="C182" s="156" t="str">
        <f>IF($X182=1,COUNTIF($C$10:C181,"&gt;0")+1,"")</f>
        <v/>
      </c>
      <c r="D182" s="151"/>
      <c r="E182" s="151" t="s">
        <v>722</v>
      </c>
      <c r="F182" s="152" t="s">
        <v>831</v>
      </c>
      <c r="G182" s="151" t="s">
        <v>827</v>
      </c>
      <c r="H182" s="151" t="s">
        <v>832</v>
      </c>
      <c r="I182" s="151" t="s">
        <v>829</v>
      </c>
      <c r="J182" s="151" t="s">
        <v>98</v>
      </c>
      <c r="K182" s="151" t="s">
        <v>99</v>
      </c>
      <c r="L182" s="153">
        <v>21664</v>
      </c>
      <c r="M182" s="151">
        <v>66</v>
      </c>
      <c r="N182" s="151" t="s">
        <v>833</v>
      </c>
      <c r="O182" s="153">
        <v>48583</v>
      </c>
      <c r="P182" s="151" t="s">
        <v>51</v>
      </c>
      <c r="Q182" s="151"/>
      <c r="R182" s="173">
        <v>45918</v>
      </c>
      <c r="S182" s="174">
        <v>45923</v>
      </c>
      <c r="T182" s="175">
        <f>S182-R182</f>
        <v>5</v>
      </c>
      <c r="U182" s="151">
        <v>1</v>
      </c>
      <c r="V182" s="151">
        <v>1</v>
      </c>
      <c r="W182" s="151">
        <v>0</v>
      </c>
      <c r="X182" s="151">
        <v>0</v>
      </c>
      <c r="Y182" s="151">
        <v>0</v>
      </c>
      <c r="Z182" s="151">
        <v>0</v>
      </c>
      <c r="AA182" s="151">
        <v>0</v>
      </c>
      <c r="AB182" s="151"/>
      <c r="AC182" s="153">
        <v>45918</v>
      </c>
      <c r="AD182" s="154">
        <v>0.51736111110949423</v>
      </c>
      <c r="AE182" s="151" t="s">
        <v>823</v>
      </c>
      <c r="AF182" s="153">
        <v>45923</v>
      </c>
      <c r="AG182" s="154">
        <v>0.79513888889050577</v>
      </c>
      <c r="AH182" s="151" t="s">
        <v>117</v>
      </c>
      <c r="AI182" s="151" t="s">
        <v>726</v>
      </c>
      <c r="AJ182" s="151" t="s">
        <v>104</v>
      </c>
      <c r="AK182" s="151" t="s">
        <v>104</v>
      </c>
      <c r="AL182" s="151" t="s">
        <v>58</v>
      </c>
      <c r="AM182" s="188" t="s">
        <v>1224</v>
      </c>
      <c r="AN182" s="188" t="s">
        <v>1228</v>
      </c>
      <c r="AO182" s="188"/>
      <c r="AP182" s="155"/>
    </row>
    <row r="183" spans="3:42" ht="14.25" customHeight="1">
      <c r="C183" s="156">
        <f>IF($X183=1,COUNTIF($C$10:C182,"&gt;0")+1,"")</f>
        <v>87</v>
      </c>
      <c r="D183" s="151">
        <v>15262704</v>
      </c>
      <c r="E183" s="151" t="s">
        <v>722</v>
      </c>
      <c r="F183" s="152" t="s">
        <v>834</v>
      </c>
      <c r="G183" s="151" t="s">
        <v>827</v>
      </c>
      <c r="H183" s="151" t="s">
        <v>835</v>
      </c>
      <c r="I183" s="151" t="s">
        <v>829</v>
      </c>
      <c r="J183" s="151" t="s">
        <v>98</v>
      </c>
      <c r="K183" s="151" t="s">
        <v>99</v>
      </c>
      <c r="L183" s="153">
        <v>34887</v>
      </c>
      <c r="M183" s="151">
        <v>30</v>
      </c>
      <c r="N183" s="151" t="s">
        <v>836</v>
      </c>
      <c r="O183" s="153">
        <v>46014</v>
      </c>
      <c r="P183" s="151" t="s">
        <v>51</v>
      </c>
      <c r="Q183" s="151"/>
      <c r="R183" s="173">
        <v>45918</v>
      </c>
      <c r="S183" s="174">
        <v>45923</v>
      </c>
      <c r="T183" s="175">
        <f>S183-R183</f>
        <v>5</v>
      </c>
      <c r="U183" s="151">
        <v>1</v>
      </c>
      <c r="V183" s="151">
        <v>1</v>
      </c>
      <c r="W183" s="151">
        <v>0</v>
      </c>
      <c r="X183" s="151">
        <v>1</v>
      </c>
      <c r="Y183" s="151">
        <v>0</v>
      </c>
      <c r="Z183" s="151">
        <v>1</v>
      </c>
      <c r="AA183" s="151">
        <v>0</v>
      </c>
      <c r="AB183" s="151"/>
      <c r="AC183" s="153">
        <v>45918</v>
      </c>
      <c r="AD183" s="154">
        <v>0.51736111110949423</v>
      </c>
      <c r="AE183" s="151" t="s">
        <v>823</v>
      </c>
      <c r="AF183" s="153">
        <v>45923</v>
      </c>
      <c r="AG183" s="154">
        <v>0.79513888889050577</v>
      </c>
      <c r="AH183" s="151" t="s">
        <v>117</v>
      </c>
      <c r="AI183" s="151" t="s">
        <v>726</v>
      </c>
      <c r="AJ183" s="151" t="s">
        <v>104</v>
      </c>
      <c r="AK183" s="151" t="s">
        <v>104</v>
      </c>
      <c r="AL183" s="151" t="s">
        <v>58</v>
      </c>
      <c r="AM183" s="188" t="s">
        <v>1224</v>
      </c>
      <c r="AN183" s="188" t="s">
        <v>1233</v>
      </c>
      <c r="AO183" s="188"/>
      <c r="AP183" s="155"/>
    </row>
    <row r="184" spans="3:42" ht="14.25" customHeight="1">
      <c r="C184" s="156" t="str">
        <f>IF($X184=1,COUNTIF($C$10:C183,"&gt;0")+1,"")</f>
        <v/>
      </c>
      <c r="D184" s="151"/>
      <c r="E184" s="151" t="s">
        <v>722</v>
      </c>
      <c r="F184" s="152" t="s">
        <v>837</v>
      </c>
      <c r="G184" s="151" t="s">
        <v>827</v>
      </c>
      <c r="H184" s="151" t="s">
        <v>838</v>
      </c>
      <c r="I184" s="151" t="s">
        <v>777</v>
      </c>
      <c r="J184" s="151" t="s">
        <v>100</v>
      </c>
      <c r="K184" s="151" t="s">
        <v>99</v>
      </c>
      <c r="L184" s="153">
        <v>34563</v>
      </c>
      <c r="M184" s="151">
        <v>31</v>
      </c>
      <c r="N184" s="151" t="s">
        <v>839</v>
      </c>
      <c r="O184" s="153">
        <v>48065</v>
      </c>
      <c r="P184" s="151" t="s">
        <v>51</v>
      </c>
      <c r="Q184" s="151"/>
      <c r="R184" s="173">
        <v>45918</v>
      </c>
      <c r="S184" s="174">
        <v>45923</v>
      </c>
      <c r="T184" s="175">
        <f>S184-R184</f>
        <v>5</v>
      </c>
      <c r="U184" s="151">
        <v>1</v>
      </c>
      <c r="V184" s="151">
        <v>1</v>
      </c>
      <c r="W184" s="151">
        <v>0</v>
      </c>
      <c r="X184" s="151">
        <v>0</v>
      </c>
      <c r="Y184" s="151">
        <v>0</v>
      </c>
      <c r="Z184" s="151">
        <v>0</v>
      </c>
      <c r="AA184" s="151">
        <v>0</v>
      </c>
      <c r="AB184" s="151"/>
      <c r="AC184" s="153">
        <v>45918</v>
      </c>
      <c r="AD184" s="154">
        <v>0.51736111110949423</v>
      </c>
      <c r="AE184" s="151" t="s">
        <v>823</v>
      </c>
      <c r="AF184" s="153">
        <v>45923</v>
      </c>
      <c r="AG184" s="154">
        <v>0.79513888889050577</v>
      </c>
      <c r="AH184" s="151" t="s">
        <v>117</v>
      </c>
      <c r="AI184" s="151" t="s">
        <v>726</v>
      </c>
      <c r="AJ184" s="151" t="s">
        <v>104</v>
      </c>
      <c r="AK184" s="151" t="s">
        <v>104</v>
      </c>
      <c r="AL184" s="151" t="s">
        <v>58</v>
      </c>
      <c r="AM184" s="188" t="s">
        <v>1224</v>
      </c>
      <c r="AN184" s="188" t="s">
        <v>1233</v>
      </c>
      <c r="AO184" s="188"/>
      <c r="AP184" s="155"/>
    </row>
    <row r="185" spans="3:42" ht="14.25" customHeight="1">
      <c r="C185" s="156">
        <f>IF($X185=1,COUNTIF($C$10:C184,"&gt;0")+1,"")</f>
        <v>88</v>
      </c>
      <c r="D185" s="151">
        <v>15262705</v>
      </c>
      <c r="E185" s="151" t="s">
        <v>722</v>
      </c>
      <c r="F185" s="152" t="s">
        <v>840</v>
      </c>
      <c r="G185" s="151" t="s">
        <v>827</v>
      </c>
      <c r="H185" s="151" t="s">
        <v>841</v>
      </c>
      <c r="I185" s="151" t="s">
        <v>829</v>
      </c>
      <c r="J185" s="151" t="s">
        <v>98</v>
      </c>
      <c r="K185" s="151" t="s">
        <v>99</v>
      </c>
      <c r="L185" s="153">
        <v>35992</v>
      </c>
      <c r="M185" s="151">
        <v>27</v>
      </c>
      <c r="N185" s="151" t="s">
        <v>842</v>
      </c>
      <c r="O185" s="153">
        <v>46150</v>
      </c>
      <c r="P185" s="151" t="s">
        <v>51</v>
      </c>
      <c r="Q185" s="151"/>
      <c r="R185" s="173">
        <v>45918</v>
      </c>
      <c r="S185" s="174">
        <v>45923</v>
      </c>
      <c r="T185" s="175">
        <f>S185-R185</f>
        <v>5</v>
      </c>
      <c r="U185" s="151">
        <v>1</v>
      </c>
      <c r="V185" s="151">
        <v>1</v>
      </c>
      <c r="W185" s="151">
        <v>0</v>
      </c>
      <c r="X185" s="151">
        <v>1</v>
      </c>
      <c r="Y185" s="151">
        <v>0</v>
      </c>
      <c r="Z185" s="151">
        <v>1</v>
      </c>
      <c r="AA185" s="151">
        <v>0</v>
      </c>
      <c r="AB185" s="151"/>
      <c r="AC185" s="153">
        <v>45918</v>
      </c>
      <c r="AD185" s="154">
        <v>0.51736111110949423</v>
      </c>
      <c r="AE185" s="151" t="s">
        <v>823</v>
      </c>
      <c r="AF185" s="153">
        <v>45923</v>
      </c>
      <c r="AG185" s="154">
        <v>0.79513888889050577</v>
      </c>
      <c r="AH185" s="151" t="s">
        <v>117</v>
      </c>
      <c r="AI185" s="151" t="s">
        <v>726</v>
      </c>
      <c r="AJ185" s="151" t="s">
        <v>104</v>
      </c>
      <c r="AK185" s="151" t="s">
        <v>104</v>
      </c>
      <c r="AL185" s="151" t="s">
        <v>58</v>
      </c>
      <c r="AM185" s="188" t="s">
        <v>1224</v>
      </c>
      <c r="AN185" s="188" t="s">
        <v>1233</v>
      </c>
      <c r="AO185" s="188"/>
      <c r="AP185" s="155"/>
    </row>
    <row r="186" spans="3:42" ht="14.25" customHeight="1">
      <c r="C186" s="156" t="str">
        <f>IF($X186=1,COUNTIF($C$10:C185,"&gt;0")+1,"")</f>
        <v/>
      </c>
      <c r="D186" s="151"/>
      <c r="E186" s="151" t="s">
        <v>722</v>
      </c>
      <c r="F186" s="152" t="s">
        <v>843</v>
      </c>
      <c r="G186" s="151" t="s">
        <v>827</v>
      </c>
      <c r="H186" s="151" t="s">
        <v>844</v>
      </c>
      <c r="I186" s="151" t="s">
        <v>821</v>
      </c>
      <c r="J186" s="151" t="s">
        <v>100</v>
      </c>
      <c r="K186" s="151" t="s">
        <v>99</v>
      </c>
      <c r="L186" s="153">
        <v>35764</v>
      </c>
      <c r="M186" s="151">
        <v>27</v>
      </c>
      <c r="N186" s="151" t="s">
        <v>845</v>
      </c>
      <c r="O186" s="153">
        <v>46585</v>
      </c>
      <c r="P186" s="151" t="s">
        <v>51</v>
      </c>
      <c r="Q186" s="151"/>
      <c r="R186" s="173">
        <v>45918</v>
      </c>
      <c r="S186" s="174">
        <v>45923</v>
      </c>
      <c r="T186" s="175">
        <f>S186-R186</f>
        <v>5</v>
      </c>
      <c r="U186" s="151">
        <v>1</v>
      </c>
      <c r="V186" s="151">
        <v>1</v>
      </c>
      <c r="W186" s="151">
        <v>0</v>
      </c>
      <c r="X186" s="151">
        <v>0</v>
      </c>
      <c r="Y186" s="151">
        <v>0</v>
      </c>
      <c r="Z186" s="151">
        <v>0</v>
      </c>
      <c r="AA186" s="151">
        <v>0</v>
      </c>
      <c r="AB186" s="151"/>
      <c r="AC186" s="153">
        <v>45918</v>
      </c>
      <c r="AD186" s="154">
        <v>0.51736111110949423</v>
      </c>
      <c r="AE186" s="151" t="s">
        <v>823</v>
      </c>
      <c r="AF186" s="153">
        <v>45923</v>
      </c>
      <c r="AG186" s="154">
        <v>0.79513888889050577</v>
      </c>
      <c r="AH186" s="151" t="s">
        <v>117</v>
      </c>
      <c r="AI186" s="151" t="s">
        <v>726</v>
      </c>
      <c r="AJ186" s="151" t="s">
        <v>104</v>
      </c>
      <c r="AK186" s="151" t="s">
        <v>104</v>
      </c>
      <c r="AL186" s="151" t="s">
        <v>58</v>
      </c>
      <c r="AM186" s="188" t="s">
        <v>1224</v>
      </c>
      <c r="AN186" s="188" t="s">
        <v>1233</v>
      </c>
      <c r="AO186" s="188"/>
      <c r="AP186" s="155"/>
    </row>
    <row r="187" spans="3:42" ht="14.25" customHeight="1">
      <c r="C187" s="156">
        <f>IF($X187=1,COUNTIF($C$10:C186,"&gt;0")+1,"")</f>
        <v>89</v>
      </c>
      <c r="D187" s="151">
        <v>15262706</v>
      </c>
      <c r="E187" s="151" t="s">
        <v>846</v>
      </c>
      <c r="F187" s="152" t="s">
        <v>847</v>
      </c>
      <c r="G187" s="151" t="s">
        <v>847</v>
      </c>
      <c r="H187" s="151" t="s">
        <v>848</v>
      </c>
      <c r="I187" s="151" t="s">
        <v>849</v>
      </c>
      <c r="J187" s="151" t="s">
        <v>98</v>
      </c>
      <c r="K187" s="151" t="s">
        <v>99</v>
      </c>
      <c r="L187" s="153">
        <v>19527</v>
      </c>
      <c r="M187" s="151">
        <v>72</v>
      </c>
      <c r="N187" s="151" t="s">
        <v>850</v>
      </c>
      <c r="O187" s="153">
        <v>46412</v>
      </c>
      <c r="P187" s="151" t="s">
        <v>51</v>
      </c>
      <c r="Q187" s="151"/>
      <c r="R187" s="173">
        <v>45918</v>
      </c>
      <c r="S187" s="174">
        <v>45923</v>
      </c>
      <c r="T187" s="175">
        <f>S187-R187</f>
        <v>5</v>
      </c>
      <c r="U187" s="151">
        <v>1</v>
      </c>
      <c r="V187" s="151">
        <v>1</v>
      </c>
      <c r="W187" s="151">
        <v>0</v>
      </c>
      <c r="X187" s="151">
        <v>1</v>
      </c>
      <c r="Y187" s="151">
        <v>0</v>
      </c>
      <c r="Z187" s="151">
        <v>1</v>
      </c>
      <c r="AA187" s="151">
        <v>0</v>
      </c>
      <c r="AB187" s="151"/>
      <c r="AC187" s="153">
        <v>45918</v>
      </c>
      <c r="AD187" s="154">
        <v>0.64583333333575865</v>
      </c>
      <c r="AE187" s="151" t="s">
        <v>122</v>
      </c>
      <c r="AF187" s="153">
        <v>45923</v>
      </c>
      <c r="AG187" s="154">
        <v>0.72569444444525288</v>
      </c>
      <c r="AH187" s="151" t="s">
        <v>123</v>
      </c>
      <c r="AI187" s="151" t="s">
        <v>851</v>
      </c>
      <c r="AJ187" s="151" t="s">
        <v>104</v>
      </c>
      <c r="AK187" s="151"/>
      <c r="AL187" s="151" t="s">
        <v>58</v>
      </c>
      <c r="AM187" s="188" t="s">
        <v>1224</v>
      </c>
      <c r="AN187" s="188" t="s">
        <v>1233</v>
      </c>
      <c r="AO187" s="188"/>
      <c r="AP187" s="155"/>
    </row>
    <row r="188" spans="3:42" ht="14.25" customHeight="1">
      <c r="C188" s="156" t="str">
        <f>IF($X188=1,COUNTIF($C$10:C187,"&gt;0")+1,"")</f>
        <v/>
      </c>
      <c r="D188" s="151"/>
      <c r="E188" s="151" t="s">
        <v>846</v>
      </c>
      <c r="F188" s="152" t="s">
        <v>852</v>
      </c>
      <c r="G188" s="151" t="s">
        <v>847</v>
      </c>
      <c r="H188" s="151" t="s">
        <v>853</v>
      </c>
      <c r="I188" s="151" t="s">
        <v>854</v>
      </c>
      <c r="J188" s="151" t="s">
        <v>100</v>
      </c>
      <c r="K188" s="151" t="s">
        <v>99</v>
      </c>
      <c r="L188" s="153">
        <v>25811</v>
      </c>
      <c r="M188" s="151">
        <v>55</v>
      </c>
      <c r="N188" s="151" t="s">
        <v>855</v>
      </c>
      <c r="O188" s="153">
        <v>46263</v>
      </c>
      <c r="P188" s="151" t="s">
        <v>51</v>
      </c>
      <c r="Q188" s="151"/>
      <c r="R188" s="173">
        <v>45918</v>
      </c>
      <c r="S188" s="174">
        <v>45923</v>
      </c>
      <c r="T188" s="175">
        <f>S188-R188</f>
        <v>5</v>
      </c>
      <c r="U188" s="151">
        <v>1</v>
      </c>
      <c r="V188" s="151">
        <v>1</v>
      </c>
      <c r="W188" s="151">
        <v>0</v>
      </c>
      <c r="X188" s="151">
        <v>0</v>
      </c>
      <c r="Y188" s="151">
        <v>0</v>
      </c>
      <c r="Z188" s="151">
        <v>0</v>
      </c>
      <c r="AA188" s="151">
        <v>0</v>
      </c>
      <c r="AB188" s="151"/>
      <c r="AC188" s="153">
        <v>45918</v>
      </c>
      <c r="AD188" s="154">
        <v>0.64583333333575865</v>
      </c>
      <c r="AE188" s="151" t="s">
        <v>122</v>
      </c>
      <c r="AF188" s="153">
        <v>45923</v>
      </c>
      <c r="AG188" s="154">
        <v>0.72569444444525288</v>
      </c>
      <c r="AH188" s="151" t="s">
        <v>123</v>
      </c>
      <c r="AI188" s="151" t="s">
        <v>851</v>
      </c>
      <c r="AJ188" s="151" t="s">
        <v>104</v>
      </c>
      <c r="AK188" s="151" t="s">
        <v>104</v>
      </c>
      <c r="AL188" s="151" t="s">
        <v>58</v>
      </c>
      <c r="AM188" s="188" t="s">
        <v>1224</v>
      </c>
      <c r="AN188" s="188" t="s">
        <v>1233</v>
      </c>
      <c r="AO188" s="188"/>
      <c r="AP188" s="155"/>
    </row>
    <row r="189" spans="3:42" ht="14.25" customHeight="1">
      <c r="C189" s="156">
        <f>IF($X189=1,COUNTIF($C$10:C188,"&gt;0")+1,"")</f>
        <v>90</v>
      </c>
      <c r="D189" s="151">
        <v>15262715</v>
      </c>
      <c r="E189" s="151" t="s">
        <v>846</v>
      </c>
      <c r="F189" s="152" t="s">
        <v>856</v>
      </c>
      <c r="G189" s="151" t="s">
        <v>856</v>
      </c>
      <c r="H189" s="151" t="s">
        <v>127</v>
      </c>
      <c r="I189" s="151" t="s">
        <v>857</v>
      </c>
      <c r="J189" s="151" t="s">
        <v>100</v>
      </c>
      <c r="K189" s="151" t="s">
        <v>99</v>
      </c>
      <c r="L189" s="153">
        <v>25274</v>
      </c>
      <c r="M189" s="151">
        <v>56</v>
      </c>
      <c r="N189" s="151" t="s">
        <v>858</v>
      </c>
      <c r="O189" s="153">
        <v>46971</v>
      </c>
      <c r="P189" s="151" t="s">
        <v>52</v>
      </c>
      <c r="Q189" s="151"/>
      <c r="R189" s="173">
        <v>45918</v>
      </c>
      <c r="S189" s="174">
        <v>45923</v>
      </c>
      <c r="T189" s="175">
        <f>S189-R189</f>
        <v>5</v>
      </c>
      <c r="U189" s="151">
        <v>1</v>
      </c>
      <c r="V189" s="151">
        <v>1</v>
      </c>
      <c r="W189" s="151">
        <v>0</v>
      </c>
      <c r="X189" s="151">
        <v>1</v>
      </c>
      <c r="Y189" s="151">
        <v>0</v>
      </c>
      <c r="Z189" s="151">
        <v>0</v>
      </c>
      <c r="AA189" s="151">
        <v>1</v>
      </c>
      <c r="AB189" s="151"/>
      <c r="AC189" s="153">
        <v>45918</v>
      </c>
      <c r="AD189" s="154">
        <v>0.45833333333575865</v>
      </c>
      <c r="AE189" s="151" t="s">
        <v>129</v>
      </c>
      <c r="AF189" s="153">
        <v>45923</v>
      </c>
      <c r="AG189" s="154">
        <v>0.82291666666424135</v>
      </c>
      <c r="AH189" s="151" t="s">
        <v>859</v>
      </c>
      <c r="AI189" s="151" t="s">
        <v>851</v>
      </c>
      <c r="AJ189" s="151" t="s">
        <v>104</v>
      </c>
      <c r="AK189" s="179" t="s">
        <v>1229</v>
      </c>
      <c r="AL189" s="151" t="s">
        <v>58</v>
      </c>
      <c r="AM189" s="188" t="s">
        <v>1224</v>
      </c>
      <c r="AN189" s="188" t="s">
        <v>1231</v>
      </c>
      <c r="AO189" s="188"/>
      <c r="AP189" s="155"/>
    </row>
    <row r="190" spans="3:42" ht="14.25" customHeight="1">
      <c r="C190" s="156" t="str">
        <f>IF($X190=1,COUNTIF($C$10:C189,"&gt;0")+1,"")</f>
        <v/>
      </c>
      <c r="D190" s="151"/>
      <c r="E190" s="151" t="s">
        <v>846</v>
      </c>
      <c r="F190" s="152" t="s">
        <v>860</v>
      </c>
      <c r="G190" s="151" t="s">
        <v>856</v>
      </c>
      <c r="H190" s="151" t="s">
        <v>861</v>
      </c>
      <c r="I190" s="151" t="s">
        <v>862</v>
      </c>
      <c r="J190" s="151" t="s">
        <v>100</v>
      </c>
      <c r="K190" s="151" t="s">
        <v>99</v>
      </c>
      <c r="L190" s="153">
        <v>36306</v>
      </c>
      <c r="M190" s="151">
        <v>26</v>
      </c>
      <c r="N190" s="151" t="s">
        <v>863</v>
      </c>
      <c r="O190" s="153">
        <v>46971</v>
      </c>
      <c r="P190" s="151" t="s">
        <v>52</v>
      </c>
      <c r="Q190" s="151"/>
      <c r="R190" s="173">
        <v>45918</v>
      </c>
      <c r="S190" s="174">
        <v>45923</v>
      </c>
      <c r="T190" s="175">
        <f>S190-R190</f>
        <v>5</v>
      </c>
      <c r="U190" s="151">
        <v>1</v>
      </c>
      <c r="V190" s="151">
        <v>1</v>
      </c>
      <c r="W190" s="151">
        <v>0</v>
      </c>
      <c r="X190" s="151">
        <v>0</v>
      </c>
      <c r="Y190" s="151">
        <v>0</v>
      </c>
      <c r="Z190" s="151">
        <v>0</v>
      </c>
      <c r="AA190" s="151">
        <v>0</v>
      </c>
      <c r="AB190" s="151"/>
      <c r="AC190" s="153">
        <v>45918</v>
      </c>
      <c r="AD190" s="154">
        <v>0.45833333333575865</v>
      </c>
      <c r="AE190" s="151" t="s">
        <v>129</v>
      </c>
      <c r="AF190" s="153">
        <v>45923</v>
      </c>
      <c r="AG190" s="154">
        <v>0.82291666666424135</v>
      </c>
      <c r="AH190" s="151" t="s">
        <v>859</v>
      </c>
      <c r="AI190" s="151" t="s">
        <v>851</v>
      </c>
      <c r="AJ190" s="151" t="s">
        <v>104</v>
      </c>
      <c r="AK190" s="179"/>
      <c r="AL190" s="151" t="s">
        <v>58</v>
      </c>
      <c r="AM190" s="188" t="s">
        <v>1224</v>
      </c>
      <c r="AN190" s="188" t="s">
        <v>1231</v>
      </c>
      <c r="AO190" s="188"/>
      <c r="AP190" s="155"/>
    </row>
    <row r="191" spans="3:42" ht="14.25" customHeight="1">
      <c r="C191" s="156">
        <f>IF($X191=1,COUNTIF($C$10:C190,"&gt;0")+1,"")</f>
        <v>91</v>
      </c>
      <c r="D191" s="151">
        <v>15262716</v>
      </c>
      <c r="E191" s="151" t="s">
        <v>846</v>
      </c>
      <c r="F191" s="152" t="s">
        <v>864</v>
      </c>
      <c r="G191" s="151" t="s">
        <v>856</v>
      </c>
      <c r="H191" s="151" t="s">
        <v>865</v>
      </c>
      <c r="I191" s="151" t="s">
        <v>866</v>
      </c>
      <c r="J191" s="151" t="s">
        <v>98</v>
      </c>
      <c r="K191" s="151" t="s">
        <v>99</v>
      </c>
      <c r="L191" s="153">
        <v>17154</v>
      </c>
      <c r="M191" s="151">
        <v>78</v>
      </c>
      <c r="N191" s="151" t="s">
        <v>867</v>
      </c>
      <c r="O191" s="153">
        <v>46041</v>
      </c>
      <c r="P191" s="151" t="s">
        <v>51</v>
      </c>
      <c r="Q191" s="151"/>
      <c r="R191" s="173">
        <v>45918</v>
      </c>
      <c r="S191" s="174">
        <v>45923</v>
      </c>
      <c r="T191" s="175">
        <f>S191-R191</f>
        <v>5</v>
      </c>
      <c r="U191" s="151">
        <v>1</v>
      </c>
      <c r="V191" s="151">
        <v>1</v>
      </c>
      <c r="W191" s="151">
        <v>0</v>
      </c>
      <c r="X191" s="151">
        <v>1</v>
      </c>
      <c r="Y191" s="151">
        <v>0</v>
      </c>
      <c r="Z191" s="151">
        <v>1</v>
      </c>
      <c r="AA191" s="151">
        <v>0</v>
      </c>
      <c r="AB191" s="151"/>
      <c r="AC191" s="153">
        <v>45918</v>
      </c>
      <c r="AD191" s="154">
        <v>0.45833333333575865</v>
      </c>
      <c r="AE191" s="151" t="s">
        <v>129</v>
      </c>
      <c r="AF191" s="153">
        <v>45923</v>
      </c>
      <c r="AG191" s="154">
        <v>0.82291666666424135</v>
      </c>
      <c r="AH191" s="151" t="s">
        <v>859</v>
      </c>
      <c r="AI191" s="151" t="s">
        <v>851</v>
      </c>
      <c r="AJ191" s="151" t="s">
        <v>104</v>
      </c>
      <c r="AK191" s="179" t="s">
        <v>1230</v>
      </c>
      <c r="AL191" s="151" t="s">
        <v>58</v>
      </c>
      <c r="AM191" s="188" t="s">
        <v>1224</v>
      </c>
      <c r="AN191" s="188" t="s">
        <v>1232</v>
      </c>
      <c r="AO191" s="188"/>
      <c r="AP191" s="155"/>
    </row>
    <row r="192" spans="3:42" ht="14.25" customHeight="1">
      <c r="C192" s="156" t="str">
        <f>IF($X192=1,COUNTIF($C$10:C191,"&gt;0")+1,"")</f>
        <v/>
      </c>
      <c r="D192" s="151"/>
      <c r="E192" s="151" t="s">
        <v>846</v>
      </c>
      <c r="F192" s="152" t="s">
        <v>868</v>
      </c>
      <c r="G192" s="151" t="s">
        <v>856</v>
      </c>
      <c r="H192" s="151" t="s">
        <v>869</v>
      </c>
      <c r="I192" s="151" t="s">
        <v>857</v>
      </c>
      <c r="J192" s="151" t="s">
        <v>100</v>
      </c>
      <c r="K192" s="151" t="s">
        <v>101</v>
      </c>
      <c r="L192" s="153">
        <v>17706</v>
      </c>
      <c r="M192" s="151">
        <v>77</v>
      </c>
      <c r="N192" s="151" t="s">
        <v>870</v>
      </c>
      <c r="O192" s="153">
        <v>47406</v>
      </c>
      <c r="P192" s="151" t="s">
        <v>51</v>
      </c>
      <c r="Q192" s="151"/>
      <c r="R192" s="173">
        <v>45918</v>
      </c>
      <c r="S192" s="174">
        <v>45923</v>
      </c>
      <c r="T192" s="175">
        <f>S192-R192</f>
        <v>5</v>
      </c>
      <c r="U192" s="151">
        <v>1</v>
      </c>
      <c r="V192" s="151">
        <v>1</v>
      </c>
      <c r="W192" s="151">
        <v>0</v>
      </c>
      <c r="X192" s="151">
        <v>0</v>
      </c>
      <c r="Y192" s="151">
        <v>0</v>
      </c>
      <c r="Z192" s="151">
        <v>0</v>
      </c>
      <c r="AA192" s="151">
        <v>0</v>
      </c>
      <c r="AB192" s="151"/>
      <c r="AC192" s="153">
        <v>45918</v>
      </c>
      <c r="AD192" s="154">
        <v>0.45833333333575865</v>
      </c>
      <c r="AE192" s="151" t="s">
        <v>129</v>
      </c>
      <c r="AF192" s="153">
        <v>45923</v>
      </c>
      <c r="AG192" s="154">
        <v>0.82291666666424135</v>
      </c>
      <c r="AH192" s="151" t="s">
        <v>859</v>
      </c>
      <c r="AI192" s="151" t="s">
        <v>851</v>
      </c>
      <c r="AJ192" s="151" t="s">
        <v>104</v>
      </c>
      <c r="AK192" s="179" t="s">
        <v>104</v>
      </c>
      <c r="AL192" s="151" t="s">
        <v>58</v>
      </c>
      <c r="AM192" s="188" t="s">
        <v>1224</v>
      </c>
      <c r="AN192" s="188" t="s">
        <v>1232</v>
      </c>
      <c r="AO192" s="188"/>
      <c r="AP192" s="155"/>
    </row>
    <row r="193" spans="3:42" ht="14.25" customHeight="1">
      <c r="C193" s="156">
        <f>IF($X193=1,COUNTIF($C$10:C192,"&gt;0")+1,"")</f>
        <v>92</v>
      </c>
      <c r="D193" s="151">
        <v>15262717</v>
      </c>
      <c r="E193" s="151" t="s">
        <v>871</v>
      </c>
      <c r="F193" s="152" t="s">
        <v>872</v>
      </c>
      <c r="G193" s="151" t="s">
        <v>872</v>
      </c>
      <c r="H193" s="151" t="s">
        <v>873</v>
      </c>
      <c r="I193" s="151" t="s">
        <v>423</v>
      </c>
      <c r="J193" s="151" t="s">
        <v>100</v>
      </c>
      <c r="K193" s="151" t="s">
        <v>232</v>
      </c>
      <c r="L193" s="153">
        <v>32259</v>
      </c>
      <c r="M193" s="151">
        <v>37</v>
      </c>
      <c r="N193" s="151" t="s">
        <v>874</v>
      </c>
      <c r="O193" s="153">
        <v>47545</v>
      </c>
      <c r="P193" s="151" t="s">
        <v>51</v>
      </c>
      <c r="Q193" s="151"/>
      <c r="R193" s="173">
        <v>45918</v>
      </c>
      <c r="S193" s="174">
        <v>45923</v>
      </c>
      <c r="T193" s="175">
        <f>S193-R193</f>
        <v>5</v>
      </c>
      <c r="U193" s="151">
        <v>1</v>
      </c>
      <c r="V193" s="151">
        <v>1</v>
      </c>
      <c r="W193" s="151">
        <v>0</v>
      </c>
      <c r="X193" s="151">
        <v>1</v>
      </c>
      <c r="Y193" s="151">
        <v>0</v>
      </c>
      <c r="Z193" s="151">
        <v>1</v>
      </c>
      <c r="AA193" s="151">
        <v>0</v>
      </c>
      <c r="AB193" s="151"/>
      <c r="AC193" s="153">
        <v>45918</v>
      </c>
      <c r="AD193" s="154">
        <v>0.70833333333575865</v>
      </c>
      <c r="AE193" s="151" t="s">
        <v>875</v>
      </c>
      <c r="AF193" s="153">
        <v>45923</v>
      </c>
      <c r="AG193" s="154">
        <v>0.8125</v>
      </c>
      <c r="AH193" s="151" t="s">
        <v>721</v>
      </c>
      <c r="AI193" s="151" t="s">
        <v>876</v>
      </c>
      <c r="AJ193" s="151" t="s">
        <v>104</v>
      </c>
      <c r="AK193" s="151" t="s">
        <v>104</v>
      </c>
      <c r="AL193" s="151" t="s">
        <v>58</v>
      </c>
      <c r="AM193" s="188" t="s">
        <v>1224</v>
      </c>
      <c r="AN193" s="188" t="s">
        <v>1232</v>
      </c>
      <c r="AO193" s="188"/>
      <c r="AP193" s="155"/>
    </row>
    <row r="194" spans="3:42" ht="14.25" customHeight="1">
      <c r="C194" s="156" t="str">
        <f>IF($X194=1,COUNTIF($C$10:C193,"&gt;0")+1,"")</f>
        <v/>
      </c>
      <c r="D194" s="151"/>
      <c r="E194" s="151" t="s">
        <v>871</v>
      </c>
      <c r="F194" s="152" t="s">
        <v>877</v>
      </c>
      <c r="G194" s="151" t="s">
        <v>872</v>
      </c>
      <c r="H194" s="151" t="s">
        <v>878</v>
      </c>
      <c r="I194" s="151" t="s">
        <v>199</v>
      </c>
      <c r="J194" s="151" t="s">
        <v>100</v>
      </c>
      <c r="K194" s="151" t="s">
        <v>232</v>
      </c>
      <c r="L194" s="153">
        <v>31714</v>
      </c>
      <c r="M194" s="151">
        <v>38</v>
      </c>
      <c r="N194" s="151" t="s">
        <v>879</v>
      </c>
      <c r="O194" s="153">
        <v>47412</v>
      </c>
      <c r="P194" s="151" t="s">
        <v>51</v>
      </c>
      <c r="Q194" s="151"/>
      <c r="R194" s="173">
        <v>45918</v>
      </c>
      <c r="S194" s="174">
        <v>45923</v>
      </c>
      <c r="T194" s="175">
        <f>S194-R194</f>
        <v>5</v>
      </c>
      <c r="U194" s="151">
        <v>1</v>
      </c>
      <c r="V194" s="151">
        <v>1</v>
      </c>
      <c r="W194" s="151">
        <v>0</v>
      </c>
      <c r="X194" s="151">
        <v>0</v>
      </c>
      <c r="Y194" s="151">
        <v>0</v>
      </c>
      <c r="Z194" s="151">
        <v>0</v>
      </c>
      <c r="AA194" s="151">
        <v>0</v>
      </c>
      <c r="AB194" s="151"/>
      <c r="AC194" s="153">
        <v>45918</v>
      </c>
      <c r="AD194" s="154">
        <v>0.52777777778101154</v>
      </c>
      <c r="AE194" s="151" t="s">
        <v>155</v>
      </c>
      <c r="AF194" s="153">
        <v>45923</v>
      </c>
      <c r="AG194" s="154">
        <v>0.85763888889050577</v>
      </c>
      <c r="AH194" s="151" t="s">
        <v>461</v>
      </c>
      <c r="AI194" s="151" t="s">
        <v>876</v>
      </c>
      <c r="AJ194" s="151" t="s">
        <v>104</v>
      </c>
      <c r="AK194" s="151" t="s">
        <v>104</v>
      </c>
      <c r="AL194" s="151" t="s">
        <v>58</v>
      </c>
      <c r="AM194" s="188" t="s">
        <v>1224</v>
      </c>
      <c r="AN194" s="188" t="s">
        <v>1232</v>
      </c>
      <c r="AO194" s="188"/>
      <c r="AP194" s="155"/>
    </row>
    <row r="195" spans="3:42" ht="14.25" customHeight="1">
      <c r="C195" s="156">
        <f>IF($X195=1,COUNTIF($C$10:C194,"&gt;0")+1,"")</f>
        <v>93</v>
      </c>
      <c r="D195" s="151">
        <v>15262762</v>
      </c>
      <c r="E195" s="151" t="s">
        <v>1118</v>
      </c>
      <c r="F195" s="152" t="s">
        <v>1128</v>
      </c>
      <c r="G195" s="151" t="s">
        <v>1128</v>
      </c>
      <c r="H195" s="151" t="s">
        <v>1129</v>
      </c>
      <c r="I195" s="151" t="s">
        <v>1130</v>
      </c>
      <c r="J195" s="151" t="s">
        <v>100</v>
      </c>
      <c r="K195" s="151" t="s">
        <v>99</v>
      </c>
      <c r="L195" s="153">
        <v>37498</v>
      </c>
      <c r="M195" s="151">
        <v>23</v>
      </c>
      <c r="N195" s="151" t="s">
        <v>1131</v>
      </c>
      <c r="O195" s="153">
        <v>45692</v>
      </c>
      <c r="P195" s="151" t="s">
        <v>50</v>
      </c>
      <c r="Q195" s="151"/>
      <c r="R195" s="173">
        <v>45918</v>
      </c>
      <c r="S195" s="174">
        <v>45923</v>
      </c>
      <c r="T195" s="175">
        <f>S195-R195</f>
        <v>5</v>
      </c>
      <c r="U195" s="151">
        <v>1</v>
      </c>
      <c r="V195" s="151">
        <v>1</v>
      </c>
      <c r="W195" s="151">
        <v>0</v>
      </c>
      <c r="X195" s="151">
        <v>1</v>
      </c>
      <c r="Y195" s="151">
        <v>1</v>
      </c>
      <c r="Z195" s="151">
        <v>0</v>
      </c>
      <c r="AA195" s="151">
        <v>0</v>
      </c>
      <c r="AB195" s="151"/>
      <c r="AC195" s="153">
        <v>45918</v>
      </c>
      <c r="AD195" s="154">
        <v>0.74305555555474712</v>
      </c>
      <c r="AE195" s="151" t="s">
        <v>884</v>
      </c>
      <c r="AF195" s="153">
        <v>45923</v>
      </c>
      <c r="AG195" s="154">
        <v>0.8125</v>
      </c>
      <c r="AH195" s="151" t="s">
        <v>885</v>
      </c>
      <c r="AI195" s="151" t="s">
        <v>1123</v>
      </c>
      <c r="AJ195" s="151" t="s">
        <v>104</v>
      </c>
      <c r="AK195" s="151" t="s">
        <v>104</v>
      </c>
      <c r="AL195" s="151" t="s">
        <v>58</v>
      </c>
      <c r="AM195" s="188" t="s">
        <v>1224</v>
      </c>
      <c r="AN195" s="188" t="s">
        <v>1233</v>
      </c>
      <c r="AO195" s="188"/>
      <c r="AP195" s="155"/>
    </row>
    <row r="196" spans="3:42" ht="14.25" customHeight="1">
      <c r="C196" s="156">
        <f>IF($X196=1,COUNTIF($C$10:C195,"&gt;0")+1,"")</f>
        <v>94</v>
      </c>
      <c r="D196" s="151">
        <v>15262763</v>
      </c>
      <c r="E196" s="151" t="s">
        <v>1118</v>
      </c>
      <c r="F196" s="152" t="s">
        <v>1132</v>
      </c>
      <c r="G196" s="151" t="s">
        <v>1132</v>
      </c>
      <c r="H196" s="151" t="s">
        <v>1021</v>
      </c>
      <c r="I196" s="151" t="s">
        <v>1133</v>
      </c>
      <c r="J196" s="151" t="s">
        <v>100</v>
      </c>
      <c r="K196" s="151" t="s">
        <v>99</v>
      </c>
      <c r="L196" s="153">
        <v>30068</v>
      </c>
      <c r="M196" s="151">
        <v>43</v>
      </c>
      <c r="N196" s="151" t="s">
        <v>1134</v>
      </c>
      <c r="O196" s="153">
        <v>47458</v>
      </c>
      <c r="P196" s="151" t="s">
        <v>52</v>
      </c>
      <c r="Q196" s="151"/>
      <c r="R196" s="173">
        <v>45918</v>
      </c>
      <c r="S196" s="174">
        <v>45923</v>
      </c>
      <c r="T196" s="175">
        <f>S196-R196</f>
        <v>5</v>
      </c>
      <c r="U196" s="151">
        <v>1</v>
      </c>
      <c r="V196" s="151">
        <v>1</v>
      </c>
      <c r="W196" s="151">
        <v>0</v>
      </c>
      <c r="X196" s="151">
        <v>1</v>
      </c>
      <c r="Y196" s="151">
        <v>0</v>
      </c>
      <c r="Z196" s="151">
        <v>0</v>
      </c>
      <c r="AA196" s="151">
        <v>1</v>
      </c>
      <c r="AB196" s="151"/>
      <c r="AC196" s="153">
        <v>45918</v>
      </c>
      <c r="AD196" s="154">
        <v>0.74305555555474712</v>
      </c>
      <c r="AE196" s="151" t="s">
        <v>720</v>
      </c>
      <c r="AF196" s="153">
        <v>45923</v>
      </c>
      <c r="AG196" s="154">
        <v>0.8125</v>
      </c>
      <c r="AH196" s="151" t="s">
        <v>885</v>
      </c>
      <c r="AI196" s="151" t="s">
        <v>1123</v>
      </c>
      <c r="AJ196" s="151" t="s">
        <v>104</v>
      </c>
      <c r="AK196" s="151" t="s">
        <v>104</v>
      </c>
      <c r="AL196" s="151" t="s">
        <v>58</v>
      </c>
      <c r="AM196" s="188" t="s">
        <v>1224</v>
      </c>
      <c r="AN196" s="188" t="s">
        <v>1234</v>
      </c>
      <c r="AO196" s="188"/>
      <c r="AP196" s="155"/>
    </row>
    <row r="197" spans="3:42" ht="14.25" customHeight="1">
      <c r="C197" s="156">
        <f>IF($X197=1,COUNTIF($C$10:C196,"&gt;0")+1,"")</f>
        <v>95</v>
      </c>
      <c r="D197" s="151">
        <v>15262719</v>
      </c>
      <c r="E197" s="151" t="s">
        <v>871</v>
      </c>
      <c r="F197" s="152" t="s">
        <v>889</v>
      </c>
      <c r="G197" s="151" t="s">
        <v>889</v>
      </c>
      <c r="H197" s="151" t="s">
        <v>890</v>
      </c>
      <c r="I197" s="151" t="s">
        <v>383</v>
      </c>
      <c r="J197" s="151" t="s">
        <v>100</v>
      </c>
      <c r="K197" s="151" t="s">
        <v>99</v>
      </c>
      <c r="L197" s="153">
        <v>30132</v>
      </c>
      <c r="M197" s="151">
        <v>43</v>
      </c>
      <c r="N197" s="151" t="s">
        <v>891</v>
      </c>
      <c r="O197" s="153">
        <v>48118</v>
      </c>
      <c r="P197" s="151" t="s">
        <v>52</v>
      </c>
      <c r="Q197" s="151"/>
      <c r="R197" s="173">
        <v>45918</v>
      </c>
      <c r="S197" s="174">
        <v>45923</v>
      </c>
      <c r="T197" s="175">
        <f>S197-R197</f>
        <v>5</v>
      </c>
      <c r="U197" s="151">
        <v>1</v>
      </c>
      <c r="V197" s="151">
        <v>1</v>
      </c>
      <c r="W197" s="151">
        <v>0</v>
      </c>
      <c r="X197" s="151">
        <v>1</v>
      </c>
      <c r="Y197" s="151">
        <v>0</v>
      </c>
      <c r="Z197" s="151">
        <v>0</v>
      </c>
      <c r="AA197" s="151">
        <v>1</v>
      </c>
      <c r="AB197" s="151"/>
      <c r="AC197" s="153">
        <v>45918</v>
      </c>
      <c r="AD197" s="154">
        <v>0.72916666666424135</v>
      </c>
      <c r="AE197" s="151" t="s">
        <v>115</v>
      </c>
      <c r="AF197" s="153">
        <v>45923</v>
      </c>
      <c r="AG197" s="154">
        <v>0.85763888889050577</v>
      </c>
      <c r="AH197" s="151" t="s">
        <v>461</v>
      </c>
      <c r="AI197" s="151" t="s">
        <v>876</v>
      </c>
      <c r="AJ197" s="151" t="s">
        <v>104</v>
      </c>
      <c r="AK197" s="151" t="s">
        <v>104</v>
      </c>
      <c r="AL197" s="151" t="s">
        <v>58</v>
      </c>
      <c r="AM197" s="188" t="s">
        <v>1224</v>
      </c>
      <c r="AN197" s="188" t="s">
        <v>1231</v>
      </c>
      <c r="AO197" s="188"/>
      <c r="AP197" s="155"/>
    </row>
    <row r="198" spans="3:42" ht="14.25" customHeight="1">
      <c r="C198" s="156" t="str">
        <f>IF($X198=1,COUNTIF($C$10:C197,"&gt;0")+1,"")</f>
        <v/>
      </c>
      <c r="D198" s="151"/>
      <c r="E198" s="151" t="s">
        <v>1118</v>
      </c>
      <c r="F198" s="152" t="s">
        <v>1135</v>
      </c>
      <c r="G198" s="151" t="s">
        <v>1132</v>
      </c>
      <c r="H198" s="151" t="s">
        <v>1136</v>
      </c>
      <c r="I198" s="151" t="s">
        <v>1137</v>
      </c>
      <c r="J198" s="151" t="s">
        <v>100</v>
      </c>
      <c r="K198" s="151" t="s">
        <v>99</v>
      </c>
      <c r="L198" s="153">
        <v>25229</v>
      </c>
      <c r="M198" s="151">
        <v>56</v>
      </c>
      <c r="N198" s="151" t="s">
        <v>1138</v>
      </c>
      <c r="O198" s="153">
        <v>47320</v>
      </c>
      <c r="P198" s="151" t="s">
        <v>52</v>
      </c>
      <c r="Q198" s="151"/>
      <c r="R198" s="173">
        <v>45918</v>
      </c>
      <c r="S198" s="174">
        <v>45923</v>
      </c>
      <c r="T198" s="175">
        <f>S198-R198</f>
        <v>5</v>
      </c>
      <c r="U198" s="151">
        <v>1</v>
      </c>
      <c r="V198" s="151">
        <v>1</v>
      </c>
      <c r="W198" s="151">
        <v>0</v>
      </c>
      <c r="X198" s="151">
        <v>0</v>
      </c>
      <c r="Y198" s="151">
        <v>0</v>
      </c>
      <c r="Z198" s="151">
        <v>0</v>
      </c>
      <c r="AA198" s="151">
        <v>0</v>
      </c>
      <c r="AB198" s="151"/>
      <c r="AC198" s="153">
        <v>45918</v>
      </c>
      <c r="AD198" s="154">
        <v>0.74305555555474712</v>
      </c>
      <c r="AE198" s="151" t="s">
        <v>884</v>
      </c>
      <c r="AF198" s="153">
        <v>45923</v>
      </c>
      <c r="AG198" s="154">
        <v>0.8125</v>
      </c>
      <c r="AH198" s="151" t="s">
        <v>885</v>
      </c>
      <c r="AI198" s="151" t="s">
        <v>1123</v>
      </c>
      <c r="AJ198" s="151" t="s">
        <v>104</v>
      </c>
      <c r="AK198" s="151" t="s">
        <v>104</v>
      </c>
      <c r="AL198" s="151" t="s">
        <v>58</v>
      </c>
      <c r="AM198" s="188" t="s">
        <v>1224</v>
      </c>
      <c r="AN198" s="188" t="s">
        <v>1234</v>
      </c>
      <c r="AO198" s="188"/>
      <c r="AP198" s="155"/>
    </row>
    <row r="199" spans="3:42" ht="14.25" customHeight="1">
      <c r="C199" s="156">
        <f>IF($X199=1,COUNTIF($C$10:C198,"&gt;0")+1,"")</f>
        <v>96</v>
      </c>
      <c r="D199" s="151">
        <v>15262720</v>
      </c>
      <c r="E199" s="151" t="s">
        <v>871</v>
      </c>
      <c r="F199" s="152" t="s">
        <v>895</v>
      </c>
      <c r="G199" s="151" t="s">
        <v>895</v>
      </c>
      <c r="H199" s="151" t="s">
        <v>896</v>
      </c>
      <c r="I199" s="151" t="s">
        <v>199</v>
      </c>
      <c r="J199" s="151" t="s">
        <v>100</v>
      </c>
      <c r="K199" s="151" t="s">
        <v>232</v>
      </c>
      <c r="L199" s="153">
        <v>32803</v>
      </c>
      <c r="M199" s="151">
        <v>35</v>
      </c>
      <c r="N199" s="151" t="s">
        <v>897</v>
      </c>
      <c r="O199" s="153">
        <v>47142</v>
      </c>
      <c r="P199" s="151" t="s">
        <v>52</v>
      </c>
      <c r="Q199" s="151"/>
      <c r="R199" s="173">
        <v>45918</v>
      </c>
      <c r="S199" s="174">
        <v>45923</v>
      </c>
      <c r="T199" s="175">
        <f>S199-R199</f>
        <v>5</v>
      </c>
      <c r="U199" s="151">
        <v>1</v>
      </c>
      <c r="V199" s="151">
        <v>1</v>
      </c>
      <c r="W199" s="151">
        <v>0</v>
      </c>
      <c r="X199" s="151">
        <v>1</v>
      </c>
      <c r="Y199" s="151">
        <v>0</v>
      </c>
      <c r="Z199" s="151">
        <v>0</v>
      </c>
      <c r="AA199" s="151">
        <v>1</v>
      </c>
      <c r="AB199" s="151"/>
      <c r="AC199" s="153">
        <v>45918</v>
      </c>
      <c r="AD199" s="154">
        <v>0.70138888889050577</v>
      </c>
      <c r="AE199" s="151" t="s">
        <v>151</v>
      </c>
      <c r="AF199" s="153">
        <v>45923</v>
      </c>
      <c r="AG199" s="154">
        <v>0.34722222221898846</v>
      </c>
      <c r="AH199" s="151" t="s">
        <v>211</v>
      </c>
      <c r="AI199" s="151" t="s">
        <v>876</v>
      </c>
      <c r="AJ199" s="151" t="s">
        <v>104</v>
      </c>
      <c r="AK199" s="151" t="s">
        <v>104</v>
      </c>
      <c r="AL199" s="151" t="s">
        <v>58</v>
      </c>
      <c r="AM199" s="188" t="s">
        <v>1224</v>
      </c>
      <c r="AN199" s="188" t="s">
        <v>1231</v>
      </c>
      <c r="AO199" s="188"/>
      <c r="AP199" s="155"/>
    </row>
    <row r="200" spans="3:42" ht="14.25" customHeight="1">
      <c r="C200" s="156">
        <f>IF($X200=1,COUNTIF($C$10:C199,"&gt;0")+1,"")</f>
        <v>97</v>
      </c>
      <c r="D200" s="151">
        <v>15262764</v>
      </c>
      <c r="E200" s="151" t="s">
        <v>1118</v>
      </c>
      <c r="F200" s="152" t="s">
        <v>1139</v>
      </c>
      <c r="G200" s="151" t="s">
        <v>1139</v>
      </c>
      <c r="H200" s="151" t="s">
        <v>1140</v>
      </c>
      <c r="I200" s="151" t="s">
        <v>1141</v>
      </c>
      <c r="J200" s="151" t="s">
        <v>100</v>
      </c>
      <c r="K200" s="151" t="s">
        <v>99</v>
      </c>
      <c r="L200" s="153">
        <v>27190</v>
      </c>
      <c r="M200" s="151">
        <v>51</v>
      </c>
      <c r="N200" s="151" t="s">
        <v>1142</v>
      </c>
      <c r="O200" s="153">
        <v>49282</v>
      </c>
      <c r="P200" s="151" t="s">
        <v>51</v>
      </c>
      <c r="Q200" s="151"/>
      <c r="R200" s="173">
        <v>45918</v>
      </c>
      <c r="S200" s="174">
        <v>45923</v>
      </c>
      <c r="T200" s="175">
        <f>S200-R200</f>
        <v>5</v>
      </c>
      <c r="U200" s="151">
        <v>1</v>
      </c>
      <c r="V200" s="151">
        <v>1</v>
      </c>
      <c r="W200" s="151">
        <v>0</v>
      </c>
      <c r="X200" s="151">
        <v>1</v>
      </c>
      <c r="Y200" s="151">
        <v>0</v>
      </c>
      <c r="Z200" s="151">
        <v>1</v>
      </c>
      <c r="AA200" s="151">
        <v>0</v>
      </c>
      <c r="AB200" s="151"/>
      <c r="AC200" s="153">
        <v>45918</v>
      </c>
      <c r="AD200" s="154">
        <v>0.74305555555474712</v>
      </c>
      <c r="AE200" s="151" t="s">
        <v>720</v>
      </c>
      <c r="AF200" s="153">
        <v>45923</v>
      </c>
      <c r="AG200" s="154">
        <v>0.8125</v>
      </c>
      <c r="AH200" s="151" t="s">
        <v>721</v>
      </c>
      <c r="AI200" s="151" t="s">
        <v>1123</v>
      </c>
      <c r="AJ200" s="151" t="s">
        <v>104</v>
      </c>
      <c r="AK200" s="151" t="s">
        <v>104</v>
      </c>
      <c r="AL200" s="151" t="s">
        <v>58</v>
      </c>
      <c r="AM200" s="188" t="s">
        <v>1224</v>
      </c>
      <c r="AN200" s="188" t="s">
        <v>1233</v>
      </c>
      <c r="AO200" s="188"/>
      <c r="AP200" s="155"/>
    </row>
    <row r="201" spans="3:42" ht="14.25" customHeight="1">
      <c r="C201" s="156" t="str">
        <f>IF($X201=1,COUNTIF($C$10:C200,"&gt;0")+1,"")</f>
        <v/>
      </c>
      <c r="D201" s="151"/>
      <c r="E201" s="151" t="s">
        <v>871</v>
      </c>
      <c r="F201" s="152" t="s">
        <v>900</v>
      </c>
      <c r="G201" s="151" t="s">
        <v>895</v>
      </c>
      <c r="H201" s="151" t="s">
        <v>901</v>
      </c>
      <c r="I201" s="151" t="s">
        <v>902</v>
      </c>
      <c r="J201" s="151" t="s">
        <v>98</v>
      </c>
      <c r="K201" s="151" t="s">
        <v>99</v>
      </c>
      <c r="L201" s="153">
        <v>42984</v>
      </c>
      <c r="M201" s="151">
        <v>8</v>
      </c>
      <c r="N201" s="151" t="s">
        <v>903</v>
      </c>
      <c r="O201" s="153">
        <v>46754</v>
      </c>
      <c r="P201" s="151" t="s">
        <v>52</v>
      </c>
      <c r="Q201" s="151"/>
      <c r="R201" s="173">
        <v>45918</v>
      </c>
      <c r="S201" s="174">
        <v>45923</v>
      </c>
      <c r="T201" s="175">
        <f>S201-R201</f>
        <v>5</v>
      </c>
      <c r="U201" s="151">
        <v>1</v>
      </c>
      <c r="V201" s="151">
        <v>0</v>
      </c>
      <c r="W201" s="151">
        <v>1</v>
      </c>
      <c r="X201" s="151">
        <v>0</v>
      </c>
      <c r="Y201" s="151">
        <v>0</v>
      </c>
      <c r="Z201" s="151">
        <v>0</v>
      </c>
      <c r="AA201" s="151">
        <v>0</v>
      </c>
      <c r="AB201" s="151"/>
      <c r="AC201" s="153">
        <v>45918</v>
      </c>
      <c r="AD201" s="154">
        <v>0.72569444444525288</v>
      </c>
      <c r="AE201" s="151" t="s">
        <v>904</v>
      </c>
      <c r="AF201" s="153">
        <v>45923</v>
      </c>
      <c r="AG201" s="154">
        <v>0.34722222221898846</v>
      </c>
      <c r="AH201" s="151" t="s">
        <v>211</v>
      </c>
      <c r="AI201" s="151" t="s">
        <v>876</v>
      </c>
      <c r="AJ201" s="151" t="s">
        <v>104</v>
      </c>
      <c r="AK201" s="151" t="s">
        <v>104</v>
      </c>
      <c r="AL201" s="151" t="s">
        <v>58</v>
      </c>
      <c r="AM201" s="188" t="s">
        <v>1224</v>
      </c>
      <c r="AN201" s="188" t="s">
        <v>1231</v>
      </c>
      <c r="AO201" s="188"/>
      <c r="AP201" s="155"/>
    </row>
    <row r="202" spans="3:42" ht="14.25" customHeight="1">
      <c r="C202" s="156">
        <f>IF($X202=1,COUNTIF($C$10:C201,"&gt;0")+1,"")</f>
        <v>98</v>
      </c>
      <c r="D202" s="151">
        <v>15262721</v>
      </c>
      <c r="E202" s="151" t="s">
        <v>871</v>
      </c>
      <c r="F202" s="152" t="s">
        <v>905</v>
      </c>
      <c r="G202" s="151" t="s">
        <v>905</v>
      </c>
      <c r="H202" s="151" t="s">
        <v>388</v>
      </c>
      <c r="I202" s="151" t="s">
        <v>480</v>
      </c>
      <c r="J202" s="151" t="s">
        <v>100</v>
      </c>
      <c r="K202" s="151" t="s">
        <v>99</v>
      </c>
      <c r="L202" s="153">
        <v>32475</v>
      </c>
      <c r="M202" s="151">
        <v>36</v>
      </c>
      <c r="N202" s="151" t="s">
        <v>906</v>
      </c>
      <c r="O202" s="153">
        <v>46828</v>
      </c>
      <c r="P202" s="151" t="s">
        <v>51</v>
      </c>
      <c r="Q202" s="151"/>
      <c r="R202" s="173">
        <v>45918</v>
      </c>
      <c r="S202" s="174">
        <v>45923</v>
      </c>
      <c r="T202" s="175">
        <f>S202-R202</f>
        <v>5</v>
      </c>
      <c r="U202" s="151">
        <v>1</v>
      </c>
      <c r="V202" s="151">
        <v>1</v>
      </c>
      <c r="W202" s="151">
        <v>0</v>
      </c>
      <c r="X202" s="151">
        <v>1</v>
      </c>
      <c r="Y202" s="151">
        <v>0</v>
      </c>
      <c r="Z202" s="151">
        <v>1</v>
      </c>
      <c r="AA202" s="151">
        <v>0</v>
      </c>
      <c r="AB202" s="151"/>
      <c r="AC202" s="153">
        <v>45918</v>
      </c>
      <c r="AD202" s="154">
        <v>0.72569444444525288</v>
      </c>
      <c r="AE202" s="151" t="s">
        <v>904</v>
      </c>
      <c r="AF202" s="153">
        <v>45923</v>
      </c>
      <c r="AG202" s="154">
        <v>0.34722222221898846</v>
      </c>
      <c r="AH202" s="151" t="s">
        <v>211</v>
      </c>
      <c r="AI202" s="151" t="s">
        <v>876</v>
      </c>
      <c r="AJ202" s="151" t="s">
        <v>104</v>
      </c>
      <c r="AK202" s="151" t="s">
        <v>104</v>
      </c>
      <c r="AL202" s="151" t="s">
        <v>58</v>
      </c>
      <c r="AM202" s="188" t="s">
        <v>1224</v>
      </c>
      <c r="AN202" s="188" t="s">
        <v>1232</v>
      </c>
      <c r="AO202" s="188"/>
      <c r="AP202" s="155"/>
    </row>
    <row r="203" spans="3:42" ht="14.25" customHeight="1">
      <c r="C203" s="156" t="str">
        <f>IF($X203=1,COUNTIF($C$10:C202,"&gt;0")+1,"")</f>
        <v/>
      </c>
      <c r="D203" s="151"/>
      <c r="E203" s="151" t="s">
        <v>871</v>
      </c>
      <c r="F203" s="152" t="s">
        <v>907</v>
      </c>
      <c r="G203" s="151" t="s">
        <v>905</v>
      </c>
      <c r="H203" s="151" t="s">
        <v>908</v>
      </c>
      <c r="I203" s="151" t="s">
        <v>902</v>
      </c>
      <c r="J203" s="151" t="s">
        <v>98</v>
      </c>
      <c r="K203" s="151" t="s">
        <v>99</v>
      </c>
      <c r="L203" s="153">
        <v>31784</v>
      </c>
      <c r="M203" s="151">
        <v>38</v>
      </c>
      <c r="N203" s="151" t="s">
        <v>104</v>
      </c>
      <c r="O203" s="153" t="s">
        <v>104</v>
      </c>
      <c r="P203" s="151" t="s">
        <v>51</v>
      </c>
      <c r="Q203" s="151"/>
      <c r="R203" s="173">
        <v>45918</v>
      </c>
      <c r="S203" s="174">
        <v>45923</v>
      </c>
      <c r="T203" s="175">
        <f>S203-R203</f>
        <v>5</v>
      </c>
      <c r="U203" s="151">
        <v>1</v>
      </c>
      <c r="V203" s="151">
        <v>1</v>
      </c>
      <c r="W203" s="151">
        <v>0</v>
      </c>
      <c r="X203" s="151">
        <v>0</v>
      </c>
      <c r="Y203" s="151">
        <v>0</v>
      </c>
      <c r="Z203" s="151">
        <v>0</v>
      </c>
      <c r="AA203" s="151">
        <v>0</v>
      </c>
      <c r="AB203" s="151"/>
      <c r="AC203" s="153">
        <v>45918</v>
      </c>
      <c r="AD203" s="154">
        <v>0.72569444444525288</v>
      </c>
      <c r="AE203" s="151" t="s">
        <v>904</v>
      </c>
      <c r="AF203" s="153">
        <v>45923</v>
      </c>
      <c r="AG203" s="154">
        <v>0.34722222221898846</v>
      </c>
      <c r="AH203" s="151" t="s">
        <v>211</v>
      </c>
      <c r="AI203" s="151" t="s">
        <v>876</v>
      </c>
      <c r="AJ203" s="151" t="s">
        <v>104</v>
      </c>
      <c r="AK203" s="151" t="s">
        <v>104</v>
      </c>
      <c r="AL203" s="151" t="s">
        <v>58</v>
      </c>
      <c r="AM203" s="188" t="s">
        <v>1224</v>
      </c>
      <c r="AN203" s="188" t="s">
        <v>1232</v>
      </c>
      <c r="AO203" s="188"/>
      <c r="AP203" s="155"/>
    </row>
    <row r="204" spans="3:42" ht="14.25" customHeight="1">
      <c r="C204" s="156" t="str">
        <f>IF($X204=1,COUNTIF($C$10:C203,"&gt;0")+1,"")</f>
        <v/>
      </c>
      <c r="D204" s="151"/>
      <c r="E204" s="151" t="s">
        <v>871</v>
      </c>
      <c r="F204" s="152" t="s">
        <v>909</v>
      </c>
      <c r="G204" s="151" t="s">
        <v>905</v>
      </c>
      <c r="H204" s="151" t="s">
        <v>910</v>
      </c>
      <c r="I204" s="151" t="s">
        <v>902</v>
      </c>
      <c r="J204" s="151" t="s">
        <v>100</v>
      </c>
      <c r="K204" s="151" t="s">
        <v>99</v>
      </c>
      <c r="L204" s="153">
        <v>42421</v>
      </c>
      <c r="M204" s="151">
        <v>9</v>
      </c>
      <c r="N204" s="151" t="s">
        <v>911</v>
      </c>
      <c r="O204" s="153">
        <v>46754</v>
      </c>
      <c r="P204" s="151" t="s">
        <v>51</v>
      </c>
      <c r="Q204" s="151"/>
      <c r="R204" s="173">
        <v>45918</v>
      </c>
      <c r="S204" s="174">
        <v>45923</v>
      </c>
      <c r="T204" s="175">
        <f>S204-R204</f>
        <v>5</v>
      </c>
      <c r="U204" s="151">
        <v>1</v>
      </c>
      <c r="V204" s="151">
        <v>0</v>
      </c>
      <c r="W204" s="151">
        <v>1</v>
      </c>
      <c r="X204" s="151">
        <v>0</v>
      </c>
      <c r="Y204" s="151">
        <v>0</v>
      </c>
      <c r="Z204" s="151">
        <v>0</v>
      </c>
      <c r="AA204" s="151">
        <v>0</v>
      </c>
      <c r="AB204" s="151"/>
      <c r="AC204" s="153">
        <v>45918</v>
      </c>
      <c r="AD204" s="154">
        <v>0.72569444444525288</v>
      </c>
      <c r="AE204" s="151" t="s">
        <v>904</v>
      </c>
      <c r="AF204" s="153">
        <v>45923</v>
      </c>
      <c r="AG204" s="154">
        <v>0.34722222221898846</v>
      </c>
      <c r="AH204" s="151" t="s">
        <v>211</v>
      </c>
      <c r="AI204" s="151" t="s">
        <v>876</v>
      </c>
      <c r="AJ204" s="151" t="s">
        <v>104</v>
      </c>
      <c r="AK204" s="151" t="s">
        <v>104</v>
      </c>
      <c r="AL204" s="151" t="s">
        <v>58</v>
      </c>
      <c r="AM204" s="188" t="s">
        <v>1224</v>
      </c>
      <c r="AN204" s="188" t="s">
        <v>1232</v>
      </c>
      <c r="AO204" s="188"/>
      <c r="AP204" s="155"/>
    </row>
    <row r="205" spans="3:42" ht="14.25" customHeight="1">
      <c r="C205" s="156">
        <f>IF($X205=1,COUNTIF($C$10:C204,"&gt;0")+1,"")</f>
        <v>99</v>
      </c>
      <c r="D205" s="151">
        <v>15262722</v>
      </c>
      <c r="E205" s="151" t="s">
        <v>871</v>
      </c>
      <c r="F205" s="152" t="s">
        <v>912</v>
      </c>
      <c r="G205" s="151" t="s">
        <v>912</v>
      </c>
      <c r="H205" s="151" t="s">
        <v>913</v>
      </c>
      <c r="I205" s="151" t="s">
        <v>914</v>
      </c>
      <c r="J205" s="151" t="s">
        <v>98</v>
      </c>
      <c r="K205" s="151" t="s">
        <v>99</v>
      </c>
      <c r="L205" s="153">
        <v>33918</v>
      </c>
      <c r="M205" s="151">
        <v>32</v>
      </c>
      <c r="N205" s="151" t="s">
        <v>915</v>
      </c>
      <c r="O205" s="153">
        <v>49388</v>
      </c>
      <c r="P205" s="151" t="s">
        <v>50</v>
      </c>
      <c r="Q205" s="151"/>
      <c r="R205" s="173">
        <v>45918</v>
      </c>
      <c r="S205" s="174">
        <v>45923</v>
      </c>
      <c r="T205" s="175">
        <f>S205-R205</f>
        <v>5</v>
      </c>
      <c r="U205" s="151">
        <v>1</v>
      </c>
      <c r="V205" s="151">
        <v>1</v>
      </c>
      <c r="W205" s="151">
        <v>0</v>
      </c>
      <c r="X205" s="151">
        <v>1</v>
      </c>
      <c r="Y205" s="151">
        <v>1</v>
      </c>
      <c r="Z205" s="151">
        <v>0</v>
      </c>
      <c r="AA205" s="151">
        <v>0</v>
      </c>
      <c r="AB205" s="151"/>
      <c r="AC205" s="153">
        <v>45918</v>
      </c>
      <c r="AD205" s="154">
        <v>0.72569444444525288</v>
      </c>
      <c r="AE205" s="151" t="s">
        <v>916</v>
      </c>
      <c r="AF205" s="153">
        <v>45923</v>
      </c>
      <c r="AG205" s="154">
        <v>0.39583333333575865</v>
      </c>
      <c r="AH205" s="151" t="s">
        <v>917</v>
      </c>
      <c r="AI205" s="151" t="s">
        <v>876</v>
      </c>
      <c r="AJ205" s="151" t="s">
        <v>104</v>
      </c>
      <c r="AK205" s="151" t="s">
        <v>104</v>
      </c>
      <c r="AL205" s="151" t="s">
        <v>58</v>
      </c>
      <c r="AM205" s="188" t="s">
        <v>1224</v>
      </c>
      <c r="AN205" s="188" t="s">
        <v>1232</v>
      </c>
      <c r="AO205" s="188"/>
      <c r="AP205" s="155"/>
    </row>
    <row r="206" spans="3:42" ht="14.25" customHeight="1">
      <c r="C206" s="156" t="str">
        <f>IF($X206=1,COUNTIF($C$10:C205,"&gt;0")+1,"")</f>
        <v/>
      </c>
      <c r="D206" s="151"/>
      <c r="E206" s="151" t="s">
        <v>1118</v>
      </c>
      <c r="F206" s="152" t="s">
        <v>1143</v>
      </c>
      <c r="G206" s="151" t="s">
        <v>1139</v>
      </c>
      <c r="H206" s="151" t="s">
        <v>1144</v>
      </c>
      <c r="I206" s="151" t="s">
        <v>1141</v>
      </c>
      <c r="J206" s="151" t="s">
        <v>98</v>
      </c>
      <c r="K206" s="151" t="s">
        <v>99</v>
      </c>
      <c r="L206" s="153">
        <v>26587</v>
      </c>
      <c r="M206" s="151">
        <v>52</v>
      </c>
      <c r="N206" s="151" t="s">
        <v>1145</v>
      </c>
      <c r="O206" s="153">
        <v>47285</v>
      </c>
      <c r="P206" s="151" t="s">
        <v>51</v>
      </c>
      <c r="Q206" s="151"/>
      <c r="R206" s="173">
        <v>45918</v>
      </c>
      <c r="S206" s="174">
        <v>45923</v>
      </c>
      <c r="T206" s="175">
        <f>S206-R206</f>
        <v>5</v>
      </c>
      <c r="U206" s="151">
        <v>1</v>
      </c>
      <c r="V206" s="151">
        <v>1</v>
      </c>
      <c r="W206" s="151">
        <v>0</v>
      </c>
      <c r="X206" s="151">
        <v>0</v>
      </c>
      <c r="Y206" s="151">
        <v>0</v>
      </c>
      <c r="Z206" s="151">
        <v>0</v>
      </c>
      <c r="AA206" s="151">
        <v>0</v>
      </c>
      <c r="AB206" s="151"/>
      <c r="AC206" s="153">
        <v>45918</v>
      </c>
      <c r="AD206" s="154">
        <v>0.74305555555474712</v>
      </c>
      <c r="AE206" s="151" t="s">
        <v>720</v>
      </c>
      <c r="AF206" s="153">
        <v>45923</v>
      </c>
      <c r="AG206" s="154">
        <v>0.8125</v>
      </c>
      <c r="AH206" s="151" t="s">
        <v>721</v>
      </c>
      <c r="AI206" s="151" t="s">
        <v>1123</v>
      </c>
      <c r="AJ206" s="151" t="s">
        <v>104</v>
      </c>
      <c r="AK206" s="151" t="s">
        <v>104</v>
      </c>
      <c r="AL206" s="151" t="s">
        <v>58</v>
      </c>
      <c r="AM206" s="188" t="s">
        <v>1224</v>
      </c>
      <c r="AN206" s="188" t="s">
        <v>1233</v>
      </c>
      <c r="AO206" s="188"/>
      <c r="AP206" s="155"/>
    </row>
    <row r="207" spans="3:42" ht="14.25" customHeight="1">
      <c r="C207" s="156" t="str">
        <f>IF($X207=1,COUNTIF($C$10:C206,"&gt;0")+1,"")</f>
        <v/>
      </c>
      <c r="D207" s="151"/>
      <c r="E207" s="151" t="s">
        <v>871</v>
      </c>
      <c r="F207" s="152" t="s">
        <v>923</v>
      </c>
      <c r="G207" s="151" t="s">
        <v>918</v>
      </c>
      <c r="H207" s="151" t="s">
        <v>924</v>
      </c>
      <c r="I207" s="151" t="s">
        <v>248</v>
      </c>
      <c r="J207" s="151" t="s">
        <v>100</v>
      </c>
      <c r="K207" s="151" t="s">
        <v>99</v>
      </c>
      <c r="L207" s="153">
        <v>29962</v>
      </c>
      <c r="M207" s="151">
        <v>43</v>
      </c>
      <c r="N207" s="151" t="s">
        <v>925</v>
      </c>
      <c r="O207" s="153">
        <v>48960</v>
      </c>
      <c r="P207" s="151" t="s">
        <v>52</v>
      </c>
      <c r="Q207" s="151"/>
      <c r="R207" s="173">
        <v>45918</v>
      </c>
      <c r="S207" s="174">
        <v>45923</v>
      </c>
      <c r="T207" s="175">
        <f>S207-R207</f>
        <v>5</v>
      </c>
      <c r="U207" s="151">
        <v>1</v>
      </c>
      <c r="V207" s="151">
        <v>1</v>
      </c>
      <c r="W207" s="151">
        <v>0</v>
      </c>
      <c r="X207" s="151">
        <v>0</v>
      </c>
      <c r="Y207" s="151">
        <v>0</v>
      </c>
      <c r="Z207" s="151">
        <v>0</v>
      </c>
      <c r="AA207" s="151">
        <v>0</v>
      </c>
      <c r="AB207" s="151"/>
      <c r="AC207" s="153">
        <v>45918</v>
      </c>
      <c r="AD207" s="154">
        <v>0.72916666666424135</v>
      </c>
      <c r="AE207" s="151" t="s">
        <v>115</v>
      </c>
      <c r="AF207" s="153">
        <v>45923</v>
      </c>
      <c r="AG207" s="154">
        <v>0.85763888889050577</v>
      </c>
      <c r="AH207" s="151" t="s">
        <v>461</v>
      </c>
      <c r="AI207" s="151" t="s">
        <v>876</v>
      </c>
      <c r="AJ207" s="151" t="s">
        <v>104</v>
      </c>
      <c r="AK207" s="151" t="s">
        <v>104</v>
      </c>
      <c r="AL207" s="151" t="s">
        <v>58</v>
      </c>
      <c r="AM207" s="188" t="s">
        <v>1224</v>
      </c>
      <c r="AN207" s="188" t="s">
        <v>1231</v>
      </c>
      <c r="AO207" s="188"/>
      <c r="AP207" s="155"/>
    </row>
    <row r="208" spans="3:42" ht="14.25" customHeight="1">
      <c r="C208" s="156">
        <f>IF($X208=1,COUNTIF($C$10:C207,"&gt;0")+1,"")</f>
        <v>100</v>
      </c>
      <c r="D208" s="151">
        <v>15262769</v>
      </c>
      <c r="E208" s="151" t="s">
        <v>1118</v>
      </c>
      <c r="F208" s="152" t="s">
        <v>1175</v>
      </c>
      <c r="G208" s="151" t="s">
        <v>1175</v>
      </c>
      <c r="H208" s="151" t="s">
        <v>1176</v>
      </c>
      <c r="I208" s="151" t="s">
        <v>1177</v>
      </c>
      <c r="J208" s="151" t="s">
        <v>100</v>
      </c>
      <c r="K208" s="151" t="s">
        <v>99</v>
      </c>
      <c r="L208" s="153">
        <v>25038</v>
      </c>
      <c r="M208" s="151">
        <v>57</v>
      </c>
      <c r="N208" s="151" t="s">
        <v>1178</v>
      </c>
      <c r="O208" s="153">
        <v>47175</v>
      </c>
      <c r="P208" s="151" t="s">
        <v>51</v>
      </c>
      <c r="Q208" s="151"/>
      <c r="R208" s="173">
        <v>45918</v>
      </c>
      <c r="S208" s="174">
        <v>45923</v>
      </c>
      <c r="T208" s="175">
        <f>S208-R208</f>
        <v>5</v>
      </c>
      <c r="U208" s="151">
        <v>1</v>
      </c>
      <c r="V208" s="151">
        <v>1</v>
      </c>
      <c r="W208" s="151">
        <v>0</v>
      </c>
      <c r="X208" s="151">
        <v>1</v>
      </c>
      <c r="Y208" s="151">
        <v>0</v>
      </c>
      <c r="Z208" s="151">
        <v>1</v>
      </c>
      <c r="AA208" s="151">
        <v>0</v>
      </c>
      <c r="AB208" s="151"/>
      <c r="AC208" s="153">
        <v>45918</v>
      </c>
      <c r="AD208" s="154">
        <v>0.74305555555474712</v>
      </c>
      <c r="AE208" s="151" t="s">
        <v>720</v>
      </c>
      <c r="AF208" s="153">
        <v>45927</v>
      </c>
      <c r="AG208" s="154">
        <v>0.67361111110949423</v>
      </c>
      <c r="AH208" s="151" t="s">
        <v>1179</v>
      </c>
      <c r="AI208" s="151" t="s">
        <v>1123</v>
      </c>
      <c r="AJ208" s="151" t="s">
        <v>104</v>
      </c>
      <c r="AK208" s="151"/>
      <c r="AL208" s="151" t="s">
        <v>58</v>
      </c>
      <c r="AM208" s="188" t="s">
        <v>1224</v>
      </c>
      <c r="AN208" s="188" t="s">
        <v>1233</v>
      </c>
      <c r="AO208" s="188"/>
      <c r="AP208" s="155"/>
    </row>
    <row r="209" spans="3:42" ht="14.25" customHeight="1">
      <c r="C209" s="156" t="str">
        <f>IF($X209=1,COUNTIF($C$10:C208,"&gt;0")+1,"")</f>
        <v/>
      </c>
      <c r="D209" s="151"/>
      <c r="E209" s="151" t="s">
        <v>1118</v>
      </c>
      <c r="F209" s="152" t="s">
        <v>1180</v>
      </c>
      <c r="G209" s="151" t="s">
        <v>1175</v>
      </c>
      <c r="H209" s="151" t="s">
        <v>1181</v>
      </c>
      <c r="I209" s="151" t="s">
        <v>1182</v>
      </c>
      <c r="J209" s="151" t="s">
        <v>100</v>
      </c>
      <c r="K209" s="151" t="s">
        <v>99</v>
      </c>
      <c r="L209" s="153">
        <v>33167</v>
      </c>
      <c r="M209" s="151">
        <v>34</v>
      </c>
      <c r="N209" s="151" t="s">
        <v>1183</v>
      </c>
      <c r="O209" s="153">
        <v>48555</v>
      </c>
      <c r="P209" s="151" t="s">
        <v>51</v>
      </c>
      <c r="Q209" s="151"/>
      <c r="R209" s="173">
        <v>45918</v>
      </c>
      <c r="S209" s="174">
        <v>45923</v>
      </c>
      <c r="T209" s="175">
        <f>S209-R209</f>
        <v>5</v>
      </c>
      <c r="U209" s="151">
        <v>1</v>
      </c>
      <c r="V209" s="151">
        <v>1</v>
      </c>
      <c r="W209" s="151">
        <v>0</v>
      </c>
      <c r="X209" s="151">
        <v>0</v>
      </c>
      <c r="Y209" s="151">
        <v>0</v>
      </c>
      <c r="Z209" s="151">
        <v>0</v>
      </c>
      <c r="AA209" s="151">
        <v>0</v>
      </c>
      <c r="AB209" s="151"/>
      <c r="AC209" s="153">
        <v>45918</v>
      </c>
      <c r="AD209" s="154">
        <v>0.74305555555474712</v>
      </c>
      <c r="AE209" s="151" t="s">
        <v>720</v>
      </c>
      <c r="AF209" s="153">
        <v>45927</v>
      </c>
      <c r="AG209" s="154">
        <v>0.67361111110949423</v>
      </c>
      <c r="AH209" s="151" t="s">
        <v>1179</v>
      </c>
      <c r="AI209" s="151" t="s">
        <v>1123</v>
      </c>
      <c r="AJ209" s="151" t="s">
        <v>104</v>
      </c>
      <c r="AK209" s="151" t="s">
        <v>104</v>
      </c>
      <c r="AL209" s="151" t="s">
        <v>58</v>
      </c>
      <c r="AM209" s="188" t="s">
        <v>1224</v>
      </c>
      <c r="AN209" s="188" t="s">
        <v>1233</v>
      </c>
      <c r="AO209" s="188"/>
      <c r="AP209" s="155"/>
    </row>
    <row r="210" spans="3:42" ht="14.25" customHeight="1">
      <c r="C210" s="156">
        <f>IF($X210=1,COUNTIF($C$10:C209,"&gt;0")+1,"")</f>
        <v>101</v>
      </c>
      <c r="D210" s="151">
        <v>15262725</v>
      </c>
      <c r="E210" s="151" t="s">
        <v>933</v>
      </c>
      <c r="F210" s="152" t="s">
        <v>934</v>
      </c>
      <c r="G210" s="151" t="s">
        <v>934</v>
      </c>
      <c r="H210" s="151" t="s">
        <v>935</v>
      </c>
      <c r="I210" s="151" t="s">
        <v>105</v>
      </c>
      <c r="J210" s="151" t="s">
        <v>100</v>
      </c>
      <c r="K210" s="151" t="s">
        <v>99</v>
      </c>
      <c r="L210" s="153">
        <v>23764</v>
      </c>
      <c r="M210" s="151">
        <v>60</v>
      </c>
      <c r="N210" s="151" t="s">
        <v>936</v>
      </c>
      <c r="O210" s="153">
        <v>45732</v>
      </c>
      <c r="P210" s="151" t="s">
        <v>52</v>
      </c>
      <c r="Q210" s="151"/>
      <c r="R210" s="173">
        <v>45918</v>
      </c>
      <c r="S210" s="174">
        <v>45923</v>
      </c>
      <c r="T210" s="175">
        <f>S210-R210</f>
        <v>5</v>
      </c>
      <c r="U210" s="151">
        <v>1</v>
      </c>
      <c r="V210" s="151">
        <v>1</v>
      </c>
      <c r="W210" s="151">
        <v>0</v>
      </c>
      <c r="X210" s="151">
        <v>1</v>
      </c>
      <c r="Y210" s="151">
        <v>0</v>
      </c>
      <c r="Z210" s="151">
        <v>0</v>
      </c>
      <c r="AA210" s="151">
        <v>1</v>
      </c>
      <c r="AB210" s="151"/>
      <c r="AC210" s="153">
        <v>45918</v>
      </c>
      <c r="AD210" s="154">
        <v>0.46527777778101154</v>
      </c>
      <c r="AE210" s="151" t="s">
        <v>937</v>
      </c>
      <c r="AF210" s="153">
        <v>45923</v>
      </c>
      <c r="AG210" s="154">
        <v>0.86458333333575865</v>
      </c>
      <c r="AH210" s="151" t="s">
        <v>108</v>
      </c>
      <c r="AI210" s="151" t="s">
        <v>938</v>
      </c>
      <c r="AJ210" s="151" t="s">
        <v>104</v>
      </c>
      <c r="AK210" s="151" t="s">
        <v>104</v>
      </c>
      <c r="AL210" s="151" t="s">
        <v>58</v>
      </c>
      <c r="AM210" s="188" t="s">
        <v>1224</v>
      </c>
      <c r="AN210" s="188" t="s">
        <v>1231</v>
      </c>
      <c r="AO210" s="188"/>
      <c r="AP210" s="155"/>
    </row>
    <row r="211" spans="3:42" ht="14.25" customHeight="1">
      <c r="C211" s="156" t="str">
        <f>IF($X211=1,COUNTIF($C$10:C210,"&gt;0")+1,"")</f>
        <v/>
      </c>
      <c r="D211" s="151"/>
      <c r="E211" s="151" t="s">
        <v>933</v>
      </c>
      <c r="F211" s="152" t="s">
        <v>939</v>
      </c>
      <c r="G211" s="151" t="s">
        <v>934</v>
      </c>
      <c r="H211" s="151" t="s">
        <v>940</v>
      </c>
      <c r="I211" s="151" t="s">
        <v>105</v>
      </c>
      <c r="J211" s="151" t="s">
        <v>100</v>
      </c>
      <c r="K211" s="151" t="s">
        <v>99</v>
      </c>
      <c r="L211" s="153">
        <v>37903</v>
      </c>
      <c r="M211" s="151">
        <v>21</v>
      </c>
      <c r="N211" s="151" t="s">
        <v>941</v>
      </c>
      <c r="O211" s="153">
        <v>48969</v>
      </c>
      <c r="P211" s="151" t="s">
        <v>52</v>
      </c>
      <c r="Q211" s="151"/>
      <c r="R211" s="173">
        <v>45918</v>
      </c>
      <c r="S211" s="174">
        <v>45923</v>
      </c>
      <c r="T211" s="175">
        <f>S211-R211</f>
        <v>5</v>
      </c>
      <c r="U211" s="151">
        <v>1</v>
      </c>
      <c r="V211" s="151">
        <v>1</v>
      </c>
      <c r="W211" s="151">
        <v>0</v>
      </c>
      <c r="X211" s="151">
        <v>0</v>
      </c>
      <c r="Y211" s="151">
        <v>0</v>
      </c>
      <c r="Z211" s="151">
        <v>0</v>
      </c>
      <c r="AA211" s="151">
        <v>0</v>
      </c>
      <c r="AB211" s="151"/>
      <c r="AC211" s="153">
        <v>45918</v>
      </c>
      <c r="AD211" s="154">
        <v>0.46527777778101154</v>
      </c>
      <c r="AE211" s="151" t="s">
        <v>937</v>
      </c>
      <c r="AF211" s="153">
        <v>45923</v>
      </c>
      <c r="AG211" s="154">
        <v>0.86458333333575865</v>
      </c>
      <c r="AH211" s="151" t="s">
        <v>108</v>
      </c>
      <c r="AI211" s="151" t="s">
        <v>938</v>
      </c>
      <c r="AJ211" s="151" t="s">
        <v>104</v>
      </c>
      <c r="AK211" s="151" t="s">
        <v>104</v>
      </c>
      <c r="AL211" s="151" t="s">
        <v>58</v>
      </c>
      <c r="AM211" s="188" t="s">
        <v>1224</v>
      </c>
      <c r="AN211" s="188" t="s">
        <v>1231</v>
      </c>
      <c r="AO211" s="188"/>
      <c r="AP211" s="155"/>
    </row>
    <row r="212" spans="3:42" ht="14.25" customHeight="1">
      <c r="C212" s="156">
        <f>IF($X212=1,COUNTIF($C$10:C211,"&gt;0")+1,"")</f>
        <v>102</v>
      </c>
      <c r="D212" s="151">
        <v>15262726</v>
      </c>
      <c r="E212" s="151" t="s">
        <v>933</v>
      </c>
      <c r="F212" s="152" t="s">
        <v>942</v>
      </c>
      <c r="G212" s="151" t="s">
        <v>942</v>
      </c>
      <c r="H212" s="151" t="s">
        <v>943</v>
      </c>
      <c r="I212" s="151" t="s">
        <v>161</v>
      </c>
      <c r="J212" s="151" t="s">
        <v>98</v>
      </c>
      <c r="K212" s="151" t="s">
        <v>99</v>
      </c>
      <c r="L212" s="153">
        <v>18739</v>
      </c>
      <c r="M212" s="151">
        <v>74</v>
      </c>
      <c r="N212" s="151" t="s">
        <v>944</v>
      </c>
      <c r="O212" s="153">
        <v>46252</v>
      </c>
      <c r="P212" s="151" t="s">
        <v>51</v>
      </c>
      <c r="Q212" s="151" t="s">
        <v>1215</v>
      </c>
      <c r="R212" s="176">
        <v>45917</v>
      </c>
      <c r="S212" s="177">
        <v>45923</v>
      </c>
      <c r="T212" s="178">
        <f>S212-R212</f>
        <v>6</v>
      </c>
      <c r="U212" s="151">
        <v>1</v>
      </c>
      <c r="V212" s="151">
        <v>1</v>
      </c>
      <c r="W212" s="151">
        <v>0</v>
      </c>
      <c r="X212" s="151">
        <v>1</v>
      </c>
      <c r="Y212" s="151">
        <v>0</v>
      </c>
      <c r="Z212" s="151">
        <v>1</v>
      </c>
      <c r="AA212" s="151">
        <v>0</v>
      </c>
      <c r="AB212" s="151"/>
      <c r="AC212" s="153">
        <v>45917</v>
      </c>
      <c r="AD212" s="154">
        <v>0.59027777778101154</v>
      </c>
      <c r="AE212" s="151" t="s">
        <v>111</v>
      </c>
      <c r="AF212" s="153">
        <v>45923</v>
      </c>
      <c r="AG212" s="154">
        <v>0.68402777778101154</v>
      </c>
      <c r="AH212" s="151" t="s">
        <v>112</v>
      </c>
      <c r="AI212" s="151" t="s">
        <v>938</v>
      </c>
      <c r="AJ212" s="151" t="s">
        <v>104</v>
      </c>
      <c r="AK212" s="151"/>
      <c r="AL212" s="151" t="s">
        <v>58</v>
      </c>
      <c r="AM212" s="188" t="s">
        <v>1224</v>
      </c>
      <c r="AN212" s="188" t="s">
        <v>1232</v>
      </c>
      <c r="AO212" s="188"/>
      <c r="AP212" s="155"/>
    </row>
    <row r="213" spans="3:42" ht="14.25" customHeight="1">
      <c r="C213" s="156" t="str">
        <f>IF($X213=1,COUNTIF($C$10:C212,"&gt;0")+1,"")</f>
        <v/>
      </c>
      <c r="D213" s="151"/>
      <c r="E213" s="151" t="s">
        <v>933</v>
      </c>
      <c r="F213" s="152" t="s">
        <v>945</v>
      </c>
      <c r="G213" s="151" t="s">
        <v>942</v>
      </c>
      <c r="H213" s="151" t="s">
        <v>946</v>
      </c>
      <c r="I213" s="151" t="s">
        <v>161</v>
      </c>
      <c r="J213" s="151" t="s">
        <v>100</v>
      </c>
      <c r="K213" s="151" t="s">
        <v>99</v>
      </c>
      <c r="L213" s="153">
        <v>21520</v>
      </c>
      <c r="M213" s="151">
        <v>66</v>
      </c>
      <c r="N213" s="151" t="s">
        <v>947</v>
      </c>
      <c r="O213" s="153">
        <v>46238</v>
      </c>
      <c r="P213" s="151" t="s">
        <v>51</v>
      </c>
      <c r="Q213" s="151" t="s">
        <v>1215</v>
      </c>
      <c r="R213" s="176">
        <v>45917</v>
      </c>
      <c r="S213" s="177">
        <v>45923</v>
      </c>
      <c r="T213" s="178">
        <f>S213-R213</f>
        <v>6</v>
      </c>
      <c r="U213" s="151">
        <v>1</v>
      </c>
      <c r="V213" s="151">
        <v>1</v>
      </c>
      <c r="W213" s="151">
        <v>0</v>
      </c>
      <c r="X213" s="151">
        <v>0</v>
      </c>
      <c r="Y213" s="151">
        <v>0</v>
      </c>
      <c r="Z213" s="151">
        <v>0</v>
      </c>
      <c r="AA213" s="151">
        <v>0</v>
      </c>
      <c r="AB213" s="151"/>
      <c r="AC213" s="153">
        <v>45917</v>
      </c>
      <c r="AD213" s="154">
        <v>0.59027777778101154</v>
      </c>
      <c r="AE213" s="151" t="s">
        <v>111</v>
      </c>
      <c r="AF213" s="153">
        <v>45923</v>
      </c>
      <c r="AG213" s="154">
        <v>0.68402777778101154</v>
      </c>
      <c r="AH213" s="151" t="s">
        <v>112</v>
      </c>
      <c r="AI213" s="151" t="s">
        <v>938</v>
      </c>
      <c r="AJ213" s="151" t="s">
        <v>104</v>
      </c>
      <c r="AK213" s="151"/>
      <c r="AL213" s="151" t="s">
        <v>58</v>
      </c>
      <c r="AM213" s="188" t="s">
        <v>1224</v>
      </c>
      <c r="AN213" s="188" t="s">
        <v>1232</v>
      </c>
      <c r="AO213" s="188"/>
      <c r="AP213" s="155"/>
    </row>
    <row r="214" spans="3:42" ht="14.25" customHeight="1">
      <c r="C214" s="156">
        <f>IF($X214=1,COUNTIF($C$10:C213,"&gt;0")+1,"")</f>
        <v>103</v>
      </c>
      <c r="D214" s="151">
        <v>15262727</v>
      </c>
      <c r="E214" s="151" t="s">
        <v>933</v>
      </c>
      <c r="F214" s="152" t="s">
        <v>948</v>
      </c>
      <c r="G214" s="151" t="s">
        <v>948</v>
      </c>
      <c r="H214" s="151" t="s">
        <v>949</v>
      </c>
      <c r="I214" s="151" t="s">
        <v>950</v>
      </c>
      <c r="J214" s="151" t="s">
        <v>100</v>
      </c>
      <c r="K214" s="151" t="s">
        <v>99</v>
      </c>
      <c r="L214" s="153">
        <v>22509</v>
      </c>
      <c r="M214" s="151">
        <v>64</v>
      </c>
      <c r="N214" s="151" t="s">
        <v>951</v>
      </c>
      <c r="O214" s="153">
        <v>49079</v>
      </c>
      <c r="P214" s="151" t="s">
        <v>51</v>
      </c>
      <c r="Q214" s="151"/>
      <c r="R214" s="173">
        <v>45918</v>
      </c>
      <c r="S214" s="174">
        <v>45923</v>
      </c>
      <c r="T214" s="175">
        <f>S214-R214</f>
        <v>5</v>
      </c>
      <c r="U214" s="151">
        <v>1</v>
      </c>
      <c r="V214" s="151">
        <v>1</v>
      </c>
      <c r="W214" s="151">
        <v>0</v>
      </c>
      <c r="X214" s="151">
        <v>1</v>
      </c>
      <c r="Y214" s="151">
        <v>0</v>
      </c>
      <c r="Z214" s="151">
        <v>1</v>
      </c>
      <c r="AA214" s="151">
        <v>0</v>
      </c>
      <c r="AB214" s="151"/>
      <c r="AC214" s="153">
        <v>45918</v>
      </c>
      <c r="AD214" s="154">
        <v>0.53819444444525288</v>
      </c>
      <c r="AE214" s="151" t="s">
        <v>952</v>
      </c>
      <c r="AF214" s="153">
        <v>45923</v>
      </c>
      <c r="AG214" s="154">
        <v>0.30208333333575865</v>
      </c>
      <c r="AH214" s="151" t="s">
        <v>953</v>
      </c>
      <c r="AI214" s="151" t="s">
        <v>938</v>
      </c>
      <c r="AJ214" s="151" t="s">
        <v>104</v>
      </c>
      <c r="AK214" s="151" t="s">
        <v>104</v>
      </c>
      <c r="AL214" s="151" t="s">
        <v>58</v>
      </c>
      <c r="AM214" s="188" t="s">
        <v>1224</v>
      </c>
      <c r="AN214" s="188" t="s">
        <v>1232</v>
      </c>
      <c r="AO214" s="188"/>
      <c r="AP214" s="155"/>
    </row>
    <row r="215" spans="3:42" ht="14.25" customHeight="1">
      <c r="C215" s="156" t="str">
        <f>IF($X215=1,COUNTIF($C$10:C214,"&gt;0")+1,"")</f>
        <v/>
      </c>
      <c r="D215" s="151"/>
      <c r="E215" s="151" t="s">
        <v>933</v>
      </c>
      <c r="F215" s="152" t="s">
        <v>954</v>
      </c>
      <c r="G215" s="151" t="s">
        <v>948</v>
      </c>
      <c r="H215" s="151" t="s">
        <v>955</v>
      </c>
      <c r="I215" s="151" t="s">
        <v>137</v>
      </c>
      <c r="J215" s="151" t="s">
        <v>98</v>
      </c>
      <c r="K215" s="151" t="s">
        <v>99</v>
      </c>
      <c r="L215" s="153">
        <v>22566</v>
      </c>
      <c r="M215" s="151">
        <v>63</v>
      </c>
      <c r="N215" s="151" t="s">
        <v>956</v>
      </c>
      <c r="O215" s="153">
        <v>47300</v>
      </c>
      <c r="P215" s="151" t="s">
        <v>51</v>
      </c>
      <c r="Q215" s="151"/>
      <c r="R215" s="173">
        <v>45918</v>
      </c>
      <c r="S215" s="174">
        <v>45923</v>
      </c>
      <c r="T215" s="175">
        <f>S215-R215</f>
        <v>5</v>
      </c>
      <c r="U215" s="151">
        <v>1</v>
      </c>
      <c r="V215" s="151">
        <v>1</v>
      </c>
      <c r="W215" s="151">
        <v>0</v>
      </c>
      <c r="X215" s="151">
        <v>0</v>
      </c>
      <c r="Y215" s="151">
        <v>0</v>
      </c>
      <c r="Z215" s="151">
        <v>0</v>
      </c>
      <c r="AA215" s="151">
        <v>0</v>
      </c>
      <c r="AB215" s="151"/>
      <c r="AC215" s="153">
        <v>45918</v>
      </c>
      <c r="AD215" s="154">
        <v>0.53819444444525288</v>
      </c>
      <c r="AE215" s="151" t="s">
        <v>952</v>
      </c>
      <c r="AF215" s="153">
        <v>45923</v>
      </c>
      <c r="AG215" s="154">
        <v>0.30208333333575865</v>
      </c>
      <c r="AH215" s="151" t="s">
        <v>953</v>
      </c>
      <c r="AI215" s="151" t="s">
        <v>938</v>
      </c>
      <c r="AJ215" s="151" t="s">
        <v>104</v>
      </c>
      <c r="AK215" s="151" t="s">
        <v>104</v>
      </c>
      <c r="AL215" s="151" t="s">
        <v>58</v>
      </c>
      <c r="AM215" s="188" t="s">
        <v>1224</v>
      </c>
      <c r="AN215" s="188" t="s">
        <v>1232</v>
      </c>
      <c r="AO215" s="188"/>
      <c r="AP215" s="155"/>
    </row>
    <row r="216" spans="3:42" ht="14.25" customHeight="1">
      <c r="C216" s="156">
        <f>IF($X216=1,COUNTIF($C$10:C215,"&gt;0")+1,"")</f>
        <v>104</v>
      </c>
      <c r="D216" s="151">
        <v>15262728</v>
      </c>
      <c r="E216" s="151" t="s">
        <v>933</v>
      </c>
      <c r="F216" s="152" t="s">
        <v>957</v>
      </c>
      <c r="G216" s="151" t="s">
        <v>957</v>
      </c>
      <c r="H216" s="151" t="s">
        <v>958</v>
      </c>
      <c r="I216" s="151" t="s">
        <v>959</v>
      </c>
      <c r="J216" s="151" t="s">
        <v>98</v>
      </c>
      <c r="K216" s="151" t="s">
        <v>99</v>
      </c>
      <c r="L216" s="153">
        <v>22751</v>
      </c>
      <c r="M216" s="151">
        <v>63</v>
      </c>
      <c r="N216" s="151" t="s">
        <v>960</v>
      </c>
      <c r="O216" s="153">
        <v>48893</v>
      </c>
      <c r="P216" s="151" t="s">
        <v>52</v>
      </c>
      <c r="Q216" s="151"/>
      <c r="R216" s="173">
        <v>45918</v>
      </c>
      <c r="S216" s="174">
        <v>45923</v>
      </c>
      <c r="T216" s="175">
        <f>S216-R216</f>
        <v>5</v>
      </c>
      <c r="U216" s="151">
        <v>1</v>
      </c>
      <c r="V216" s="151">
        <v>1</v>
      </c>
      <c r="W216" s="151">
        <v>0</v>
      </c>
      <c r="X216" s="151">
        <v>1</v>
      </c>
      <c r="Y216" s="151">
        <v>0</v>
      </c>
      <c r="Z216" s="151">
        <v>0</v>
      </c>
      <c r="AA216" s="151">
        <v>1</v>
      </c>
      <c r="AB216" s="151"/>
      <c r="AC216" s="153">
        <v>45918</v>
      </c>
      <c r="AD216" s="154">
        <v>0.63541666666424135</v>
      </c>
      <c r="AE216" s="151" t="s">
        <v>961</v>
      </c>
      <c r="AF216" s="153" t="s">
        <v>104</v>
      </c>
      <c r="AG216" s="154" t="s">
        <v>104</v>
      </c>
      <c r="AH216" s="151" t="s">
        <v>126</v>
      </c>
      <c r="AI216" s="151" t="s">
        <v>938</v>
      </c>
      <c r="AJ216" s="151" t="s">
        <v>104</v>
      </c>
      <c r="AK216" s="151" t="s">
        <v>104</v>
      </c>
      <c r="AL216" s="151" t="s">
        <v>58</v>
      </c>
      <c r="AM216" s="188" t="s">
        <v>1224</v>
      </c>
      <c r="AN216" s="188" t="s">
        <v>1231</v>
      </c>
      <c r="AO216" s="188"/>
      <c r="AP216" s="155"/>
    </row>
    <row r="217" spans="3:42" ht="14.25" customHeight="1">
      <c r="C217" s="156" t="str">
        <f>IF($X217=1,COUNTIF($C$10:C216,"&gt;0")+1,"")</f>
        <v/>
      </c>
      <c r="D217" s="151"/>
      <c r="E217" s="151" t="s">
        <v>933</v>
      </c>
      <c r="F217" s="152" t="s">
        <v>962</v>
      </c>
      <c r="G217" s="151" t="s">
        <v>957</v>
      </c>
      <c r="H217" s="151" t="s">
        <v>963</v>
      </c>
      <c r="I217" s="151" t="s">
        <v>959</v>
      </c>
      <c r="J217" s="151" t="s">
        <v>100</v>
      </c>
      <c r="K217" s="151" t="s">
        <v>99</v>
      </c>
      <c r="L217" s="153">
        <v>21996</v>
      </c>
      <c r="M217" s="151">
        <v>65</v>
      </c>
      <c r="N217" s="151" t="s">
        <v>964</v>
      </c>
      <c r="O217" s="153">
        <v>47299</v>
      </c>
      <c r="P217" s="151" t="s">
        <v>52</v>
      </c>
      <c r="Q217" s="151"/>
      <c r="R217" s="173">
        <v>45918</v>
      </c>
      <c r="S217" s="174">
        <v>45923</v>
      </c>
      <c r="T217" s="175">
        <f>S217-R217</f>
        <v>5</v>
      </c>
      <c r="U217" s="151">
        <v>1</v>
      </c>
      <c r="V217" s="151">
        <v>1</v>
      </c>
      <c r="W217" s="151">
        <v>0</v>
      </c>
      <c r="X217" s="151">
        <v>0</v>
      </c>
      <c r="Y217" s="151">
        <v>0</v>
      </c>
      <c r="Z217" s="151">
        <v>0</v>
      </c>
      <c r="AA217" s="151">
        <v>0</v>
      </c>
      <c r="AB217" s="151"/>
      <c r="AC217" s="153">
        <v>45918</v>
      </c>
      <c r="AD217" s="154">
        <v>0.63541666666424135</v>
      </c>
      <c r="AE217" s="151" t="s">
        <v>961</v>
      </c>
      <c r="AF217" s="153" t="s">
        <v>104</v>
      </c>
      <c r="AG217" s="154" t="s">
        <v>104</v>
      </c>
      <c r="AH217" s="151" t="s">
        <v>126</v>
      </c>
      <c r="AI217" s="151" t="s">
        <v>938</v>
      </c>
      <c r="AJ217" s="151" t="s">
        <v>104</v>
      </c>
      <c r="AK217" s="151" t="s">
        <v>104</v>
      </c>
      <c r="AL217" s="151" t="s">
        <v>58</v>
      </c>
      <c r="AM217" s="188" t="s">
        <v>1224</v>
      </c>
      <c r="AN217" s="188" t="s">
        <v>1231</v>
      </c>
      <c r="AO217" s="188"/>
      <c r="AP217" s="155"/>
    </row>
    <row r="218" spans="3:42" ht="14.25" customHeight="1">
      <c r="C218" s="156">
        <f>IF($X218=1,COUNTIF($C$10:C217,"&gt;0")+1,"")</f>
        <v>105</v>
      </c>
      <c r="D218" s="151">
        <v>15262770</v>
      </c>
      <c r="E218" s="151" t="s">
        <v>1118</v>
      </c>
      <c r="F218" s="152" t="s">
        <v>1184</v>
      </c>
      <c r="G218" s="151" t="s">
        <v>1184</v>
      </c>
      <c r="H218" s="151" t="s">
        <v>1185</v>
      </c>
      <c r="I218" s="151" t="s">
        <v>1186</v>
      </c>
      <c r="J218" s="151" t="s">
        <v>100</v>
      </c>
      <c r="K218" s="151" t="s">
        <v>232</v>
      </c>
      <c r="L218" s="153">
        <v>27923</v>
      </c>
      <c r="M218" s="151">
        <v>49</v>
      </c>
      <c r="N218" s="151" t="s">
        <v>1187</v>
      </c>
      <c r="O218" s="153">
        <v>48184</v>
      </c>
      <c r="P218" s="151" t="s">
        <v>51</v>
      </c>
      <c r="Q218" s="151"/>
      <c r="R218" s="173">
        <v>45918</v>
      </c>
      <c r="S218" s="174">
        <v>45923</v>
      </c>
      <c r="T218" s="175">
        <f>S218-R218</f>
        <v>5</v>
      </c>
      <c r="U218" s="151">
        <v>1</v>
      </c>
      <c r="V218" s="151">
        <v>1</v>
      </c>
      <c r="W218" s="151">
        <v>0</v>
      </c>
      <c r="X218" s="151">
        <v>1</v>
      </c>
      <c r="Y218" s="151">
        <v>0</v>
      </c>
      <c r="Z218" s="151">
        <v>1</v>
      </c>
      <c r="AA218" s="151">
        <v>0</v>
      </c>
      <c r="AB218" s="151"/>
      <c r="AC218" s="153">
        <v>45918</v>
      </c>
      <c r="AD218" s="154">
        <v>0.74305555555474712</v>
      </c>
      <c r="AE218" s="151" t="s">
        <v>720</v>
      </c>
      <c r="AF218" s="153">
        <v>45923</v>
      </c>
      <c r="AG218" s="154">
        <v>0.46527777778101154</v>
      </c>
      <c r="AH218" s="151" t="s">
        <v>1188</v>
      </c>
      <c r="AI218" s="151" t="s">
        <v>1123</v>
      </c>
      <c r="AJ218" s="151" t="s">
        <v>104</v>
      </c>
      <c r="AK218" s="189" t="s">
        <v>1217</v>
      </c>
      <c r="AL218" s="151" t="s">
        <v>58</v>
      </c>
      <c r="AM218" s="188" t="s">
        <v>1224</v>
      </c>
      <c r="AN218" s="188" t="s">
        <v>1228</v>
      </c>
      <c r="AO218" s="188"/>
      <c r="AP218" s="155"/>
    </row>
    <row r="219" spans="3:42" ht="14.25" customHeight="1">
      <c r="C219" s="156" t="str">
        <f>IF($X219=1,COUNTIF($C$10:C218,"&gt;0")+1,"")</f>
        <v/>
      </c>
      <c r="D219" s="151"/>
      <c r="E219" s="151" t="s">
        <v>1118</v>
      </c>
      <c r="F219" s="152" t="s">
        <v>1189</v>
      </c>
      <c r="G219" s="151" t="s">
        <v>1184</v>
      </c>
      <c r="H219" s="151" t="s">
        <v>1190</v>
      </c>
      <c r="I219" s="151" t="s">
        <v>225</v>
      </c>
      <c r="J219" s="151" t="s">
        <v>100</v>
      </c>
      <c r="K219" s="151" t="s">
        <v>232</v>
      </c>
      <c r="L219" s="153">
        <v>16196</v>
      </c>
      <c r="M219" s="151">
        <v>81</v>
      </c>
      <c r="N219" s="151" t="s">
        <v>1191</v>
      </c>
      <c r="O219" s="153">
        <v>47250</v>
      </c>
      <c r="P219" s="151" t="s">
        <v>51</v>
      </c>
      <c r="Q219" s="151"/>
      <c r="R219" s="173">
        <v>45918</v>
      </c>
      <c r="S219" s="174">
        <v>45923</v>
      </c>
      <c r="T219" s="175">
        <f>S219-R219</f>
        <v>5</v>
      </c>
      <c r="U219" s="151">
        <v>1</v>
      </c>
      <c r="V219" s="151">
        <v>1</v>
      </c>
      <c r="W219" s="151">
        <v>0</v>
      </c>
      <c r="X219" s="151">
        <v>0</v>
      </c>
      <c r="Y219" s="151">
        <v>0</v>
      </c>
      <c r="Z219" s="151">
        <v>0</v>
      </c>
      <c r="AA219" s="151">
        <v>0</v>
      </c>
      <c r="AB219" s="151"/>
      <c r="AC219" s="153">
        <v>45918</v>
      </c>
      <c r="AD219" s="154">
        <v>0.74305555555474712</v>
      </c>
      <c r="AE219" s="151" t="s">
        <v>720</v>
      </c>
      <c r="AF219" s="153">
        <v>45923</v>
      </c>
      <c r="AG219" s="154">
        <v>0.46527777778101154</v>
      </c>
      <c r="AH219" s="151" t="s">
        <v>1188</v>
      </c>
      <c r="AI219" s="151" t="s">
        <v>1123</v>
      </c>
      <c r="AJ219" s="151" t="s">
        <v>104</v>
      </c>
      <c r="AK219" s="189" t="s">
        <v>1192</v>
      </c>
      <c r="AL219" s="151" t="s">
        <v>58</v>
      </c>
      <c r="AM219" s="188" t="s">
        <v>1224</v>
      </c>
      <c r="AN219" s="188" t="s">
        <v>1228</v>
      </c>
      <c r="AO219" s="188"/>
      <c r="AP219" s="155"/>
    </row>
    <row r="220" spans="3:42" ht="14.25" customHeight="1">
      <c r="C220" s="156">
        <f>IF($X220=1,COUNTIF($C$10:C219,"&gt;0")+1,"")</f>
        <v>106</v>
      </c>
      <c r="D220" s="151">
        <v>15262738</v>
      </c>
      <c r="E220" s="151" t="s">
        <v>933</v>
      </c>
      <c r="F220" s="152" t="s">
        <v>973</v>
      </c>
      <c r="G220" s="151" t="s">
        <v>973</v>
      </c>
      <c r="H220" s="151" t="s">
        <v>974</v>
      </c>
      <c r="I220" s="151" t="s">
        <v>975</v>
      </c>
      <c r="J220" s="151" t="s">
        <v>100</v>
      </c>
      <c r="K220" s="151" t="s">
        <v>99</v>
      </c>
      <c r="L220" s="153">
        <v>19453</v>
      </c>
      <c r="M220" s="151">
        <v>72</v>
      </c>
      <c r="N220" s="151" t="s">
        <v>976</v>
      </c>
      <c r="O220" s="153">
        <v>47545</v>
      </c>
      <c r="P220" s="151" t="s">
        <v>51</v>
      </c>
      <c r="Q220" s="151"/>
      <c r="R220" s="173">
        <v>45918</v>
      </c>
      <c r="S220" s="174">
        <v>45923</v>
      </c>
      <c r="T220" s="175">
        <f>S220-R220</f>
        <v>5</v>
      </c>
      <c r="U220" s="151">
        <v>1</v>
      </c>
      <c r="V220" s="151">
        <v>1</v>
      </c>
      <c r="W220" s="151">
        <v>0</v>
      </c>
      <c r="X220" s="151">
        <v>1</v>
      </c>
      <c r="Y220" s="151">
        <v>0</v>
      </c>
      <c r="Z220" s="151">
        <v>1</v>
      </c>
      <c r="AA220" s="151">
        <v>0</v>
      </c>
      <c r="AB220" s="151"/>
      <c r="AC220" s="153">
        <v>45918</v>
      </c>
      <c r="AD220" s="154">
        <v>0.59027777778101154</v>
      </c>
      <c r="AE220" s="151" t="s">
        <v>111</v>
      </c>
      <c r="AF220" s="153">
        <v>45923</v>
      </c>
      <c r="AG220" s="154">
        <v>0.83680555555474712</v>
      </c>
      <c r="AH220" s="151" t="s">
        <v>977</v>
      </c>
      <c r="AI220" s="151" t="s">
        <v>938</v>
      </c>
      <c r="AJ220" s="151" t="s">
        <v>104</v>
      </c>
      <c r="AK220" s="151" t="s">
        <v>104</v>
      </c>
      <c r="AL220" s="151" t="s">
        <v>58</v>
      </c>
      <c r="AM220" s="188" t="s">
        <v>1224</v>
      </c>
      <c r="AN220" s="188" t="s">
        <v>1232</v>
      </c>
      <c r="AO220" s="188"/>
      <c r="AP220" s="155"/>
    </row>
    <row r="221" spans="3:42" ht="14.25" customHeight="1">
      <c r="C221" s="156" t="str">
        <f>IF($X221=1,COUNTIF($C$10:C220,"&gt;0")+1,"")</f>
        <v/>
      </c>
      <c r="D221" s="151"/>
      <c r="E221" s="151" t="s">
        <v>933</v>
      </c>
      <c r="F221" s="152" t="s">
        <v>978</v>
      </c>
      <c r="G221" s="151" t="s">
        <v>973</v>
      </c>
      <c r="H221" s="151" t="s">
        <v>979</v>
      </c>
      <c r="I221" s="151" t="s">
        <v>975</v>
      </c>
      <c r="J221" s="151" t="s">
        <v>98</v>
      </c>
      <c r="K221" s="151" t="s">
        <v>99</v>
      </c>
      <c r="L221" s="153">
        <v>19226</v>
      </c>
      <c r="M221" s="151">
        <v>73</v>
      </c>
      <c r="N221" s="151" t="s">
        <v>980</v>
      </c>
      <c r="O221" s="153">
        <v>49412</v>
      </c>
      <c r="P221" s="151" t="s">
        <v>51</v>
      </c>
      <c r="Q221" s="151"/>
      <c r="R221" s="173">
        <v>45918</v>
      </c>
      <c r="S221" s="174">
        <v>45923</v>
      </c>
      <c r="T221" s="175">
        <f>S221-R221</f>
        <v>5</v>
      </c>
      <c r="U221" s="151">
        <v>1</v>
      </c>
      <c r="V221" s="151">
        <v>1</v>
      </c>
      <c r="W221" s="151">
        <v>0</v>
      </c>
      <c r="X221" s="151">
        <v>0</v>
      </c>
      <c r="Y221" s="151">
        <v>0</v>
      </c>
      <c r="Z221" s="151">
        <v>0</v>
      </c>
      <c r="AA221" s="151">
        <v>0</v>
      </c>
      <c r="AB221" s="151"/>
      <c r="AC221" s="153">
        <v>45918</v>
      </c>
      <c r="AD221" s="154">
        <v>0.59027777778101154</v>
      </c>
      <c r="AE221" s="151" t="s">
        <v>111</v>
      </c>
      <c r="AF221" s="153">
        <v>45923</v>
      </c>
      <c r="AG221" s="154">
        <v>0.83680555555474712</v>
      </c>
      <c r="AH221" s="151" t="s">
        <v>977</v>
      </c>
      <c r="AI221" s="151" t="s">
        <v>938</v>
      </c>
      <c r="AJ221" s="151" t="s">
        <v>104</v>
      </c>
      <c r="AK221" s="151" t="s">
        <v>104</v>
      </c>
      <c r="AL221" s="151" t="s">
        <v>58</v>
      </c>
      <c r="AM221" s="188" t="s">
        <v>1224</v>
      </c>
      <c r="AN221" s="188" t="s">
        <v>1232</v>
      </c>
      <c r="AO221" s="188"/>
      <c r="AP221" s="155"/>
    </row>
    <row r="222" spans="3:42" ht="14.25" customHeight="1">
      <c r="C222" s="156">
        <f>IF($X222=1,COUNTIF($C$10:C221,"&gt;0")+1,"")</f>
        <v>107</v>
      </c>
      <c r="D222" s="151">
        <v>15262739</v>
      </c>
      <c r="E222" s="151" t="s">
        <v>933</v>
      </c>
      <c r="F222" s="152" t="s">
        <v>981</v>
      </c>
      <c r="G222" s="151" t="s">
        <v>981</v>
      </c>
      <c r="H222" s="151" t="s">
        <v>982</v>
      </c>
      <c r="I222" s="151" t="s">
        <v>983</v>
      </c>
      <c r="J222" s="151" t="s">
        <v>100</v>
      </c>
      <c r="K222" s="151" t="s">
        <v>99</v>
      </c>
      <c r="L222" s="153">
        <v>25904</v>
      </c>
      <c r="M222" s="151">
        <v>54</v>
      </c>
      <c r="N222" s="151" t="s">
        <v>984</v>
      </c>
      <c r="O222" s="153">
        <v>46795</v>
      </c>
      <c r="P222" s="151" t="s">
        <v>51</v>
      </c>
      <c r="Q222" s="151"/>
      <c r="R222" s="173">
        <v>45918</v>
      </c>
      <c r="S222" s="174">
        <v>45923</v>
      </c>
      <c r="T222" s="175">
        <f>S222-R222</f>
        <v>5</v>
      </c>
      <c r="U222" s="151">
        <v>1</v>
      </c>
      <c r="V222" s="151">
        <v>1</v>
      </c>
      <c r="W222" s="151">
        <v>0</v>
      </c>
      <c r="X222" s="151">
        <v>1</v>
      </c>
      <c r="Y222" s="151">
        <v>0</v>
      </c>
      <c r="Z222" s="151">
        <v>1</v>
      </c>
      <c r="AA222" s="151">
        <v>0</v>
      </c>
      <c r="AB222" s="151"/>
      <c r="AC222" s="153">
        <v>45918</v>
      </c>
      <c r="AD222" s="154">
        <v>0.64583333333575865</v>
      </c>
      <c r="AE222" s="151" t="s">
        <v>122</v>
      </c>
      <c r="AF222" s="153">
        <v>45923</v>
      </c>
      <c r="AG222" s="154">
        <v>0.72569444444525288</v>
      </c>
      <c r="AH222" s="151" t="s">
        <v>123</v>
      </c>
      <c r="AI222" s="151" t="s">
        <v>938</v>
      </c>
      <c r="AJ222" s="151" t="s">
        <v>104</v>
      </c>
      <c r="AK222" s="151" t="s">
        <v>104</v>
      </c>
      <c r="AL222" s="151" t="s">
        <v>58</v>
      </c>
      <c r="AM222" s="188" t="s">
        <v>1224</v>
      </c>
      <c r="AN222" s="188" t="s">
        <v>1232</v>
      </c>
      <c r="AO222" s="188"/>
      <c r="AP222" s="155"/>
    </row>
    <row r="223" spans="3:42" ht="14.25" customHeight="1">
      <c r="C223" s="156" t="str">
        <f>IF($X223=1,COUNTIF($C$10:C222,"&gt;0")+1,"")</f>
        <v/>
      </c>
      <c r="D223" s="151"/>
      <c r="E223" s="151" t="s">
        <v>933</v>
      </c>
      <c r="F223" s="152" t="s">
        <v>985</v>
      </c>
      <c r="G223" s="151" t="s">
        <v>981</v>
      </c>
      <c r="H223" s="151" t="s">
        <v>986</v>
      </c>
      <c r="I223" s="151" t="s">
        <v>987</v>
      </c>
      <c r="J223" s="151" t="s">
        <v>98</v>
      </c>
      <c r="K223" s="151" t="s">
        <v>99</v>
      </c>
      <c r="L223" s="153">
        <v>27733</v>
      </c>
      <c r="M223" s="151">
        <v>49</v>
      </c>
      <c r="N223" s="151" t="s">
        <v>988</v>
      </c>
      <c r="O223" s="153">
        <v>49339</v>
      </c>
      <c r="P223" s="151" t="s">
        <v>51</v>
      </c>
      <c r="Q223" s="151"/>
      <c r="R223" s="173">
        <v>45918</v>
      </c>
      <c r="S223" s="174">
        <v>45923</v>
      </c>
      <c r="T223" s="175">
        <f>S223-R223</f>
        <v>5</v>
      </c>
      <c r="U223" s="151">
        <v>1</v>
      </c>
      <c r="V223" s="151">
        <v>1</v>
      </c>
      <c r="W223" s="151">
        <v>0</v>
      </c>
      <c r="X223" s="151">
        <v>0</v>
      </c>
      <c r="Y223" s="151">
        <v>0</v>
      </c>
      <c r="Z223" s="151">
        <v>0</v>
      </c>
      <c r="AA223" s="151">
        <v>0</v>
      </c>
      <c r="AB223" s="151"/>
      <c r="AC223" s="153">
        <v>45918</v>
      </c>
      <c r="AD223" s="154">
        <v>0.64583333333575865</v>
      </c>
      <c r="AE223" s="151" t="s">
        <v>122</v>
      </c>
      <c r="AF223" s="153">
        <v>45923</v>
      </c>
      <c r="AG223" s="154">
        <v>0.72569444444525288</v>
      </c>
      <c r="AH223" s="151" t="s">
        <v>123</v>
      </c>
      <c r="AI223" s="151" t="s">
        <v>938</v>
      </c>
      <c r="AJ223" s="151" t="s">
        <v>104</v>
      </c>
      <c r="AK223" s="151" t="s">
        <v>104</v>
      </c>
      <c r="AL223" s="151" t="s">
        <v>58</v>
      </c>
      <c r="AM223" s="188" t="s">
        <v>1224</v>
      </c>
      <c r="AN223" s="188" t="s">
        <v>1232</v>
      </c>
      <c r="AO223" s="188"/>
      <c r="AP223" s="155"/>
    </row>
    <row r="224" spans="3:42" ht="14.25" customHeight="1">
      <c r="C224" s="156">
        <f>IF($X224=1,COUNTIF($C$10:C223,"&gt;0")+1,"")</f>
        <v>108</v>
      </c>
      <c r="D224" s="151">
        <v>15262740</v>
      </c>
      <c r="E224" s="151" t="s">
        <v>933</v>
      </c>
      <c r="F224" s="152" t="s">
        <v>989</v>
      </c>
      <c r="G224" s="151" t="s">
        <v>989</v>
      </c>
      <c r="H224" s="151" t="s">
        <v>990</v>
      </c>
      <c r="I224" s="151" t="s">
        <v>991</v>
      </c>
      <c r="J224" s="151" t="s">
        <v>100</v>
      </c>
      <c r="K224" s="151" t="s">
        <v>99</v>
      </c>
      <c r="L224" s="153">
        <v>26554</v>
      </c>
      <c r="M224" s="151">
        <v>53</v>
      </c>
      <c r="N224" s="151" t="s">
        <v>992</v>
      </c>
      <c r="O224" s="153">
        <v>47826</v>
      </c>
      <c r="P224" s="151" t="s">
        <v>51</v>
      </c>
      <c r="Q224" s="151"/>
      <c r="R224" s="173">
        <v>45918</v>
      </c>
      <c r="S224" s="174">
        <v>45923</v>
      </c>
      <c r="T224" s="175">
        <f>S224-R224</f>
        <v>5</v>
      </c>
      <c r="U224" s="151">
        <v>1</v>
      </c>
      <c r="V224" s="151">
        <v>1</v>
      </c>
      <c r="W224" s="151">
        <v>0</v>
      </c>
      <c r="X224" s="151">
        <v>1</v>
      </c>
      <c r="Y224" s="151">
        <v>0</v>
      </c>
      <c r="Z224" s="151">
        <v>1</v>
      </c>
      <c r="AA224" s="151">
        <v>0</v>
      </c>
      <c r="AB224" s="151"/>
      <c r="AC224" s="153">
        <v>45918</v>
      </c>
      <c r="AD224" s="154">
        <v>0.59027777778101154</v>
      </c>
      <c r="AE224" s="151" t="s">
        <v>111</v>
      </c>
      <c r="AF224" s="153">
        <v>45923</v>
      </c>
      <c r="AG224" s="154">
        <v>0.68402777778101154</v>
      </c>
      <c r="AH224" s="151" t="s">
        <v>112</v>
      </c>
      <c r="AI224" s="151" t="s">
        <v>938</v>
      </c>
      <c r="AJ224" s="151" t="s">
        <v>104</v>
      </c>
      <c r="AK224" s="151" t="s">
        <v>104</v>
      </c>
      <c r="AL224" s="151" t="s">
        <v>58</v>
      </c>
      <c r="AM224" s="188" t="s">
        <v>1224</v>
      </c>
      <c r="AN224" s="188" t="s">
        <v>1232</v>
      </c>
      <c r="AO224" s="188"/>
      <c r="AP224" s="155"/>
    </row>
    <row r="225" spans="3:42" ht="14.25" customHeight="1">
      <c r="C225" s="156" t="str">
        <f>IF($X225=1,COUNTIF($C$10:C224,"&gt;0")+1,"")</f>
        <v/>
      </c>
      <c r="D225" s="151"/>
      <c r="E225" s="151" t="s">
        <v>933</v>
      </c>
      <c r="F225" s="152" t="s">
        <v>993</v>
      </c>
      <c r="G225" s="151" t="s">
        <v>989</v>
      </c>
      <c r="H225" s="151" t="s">
        <v>994</v>
      </c>
      <c r="I225" s="151" t="s">
        <v>987</v>
      </c>
      <c r="J225" s="151" t="s">
        <v>98</v>
      </c>
      <c r="K225" s="151" t="s">
        <v>99</v>
      </c>
      <c r="L225" s="153">
        <v>40100</v>
      </c>
      <c r="M225" s="151">
        <v>15</v>
      </c>
      <c r="N225" s="151" t="s">
        <v>995</v>
      </c>
      <c r="O225" s="153">
        <v>46533</v>
      </c>
      <c r="P225" s="151" t="s">
        <v>51</v>
      </c>
      <c r="Q225" s="151"/>
      <c r="R225" s="173">
        <v>45918</v>
      </c>
      <c r="S225" s="174">
        <v>45923</v>
      </c>
      <c r="T225" s="175">
        <f>S225-R225</f>
        <v>5</v>
      </c>
      <c r="U225" s="151">
        <v>1</v>
      </c>
      <c r="V225" s="151">
        <v>1</v>
      </c>
      <c r="W225" s="151">
        <v>0</v>
      </c>
      <c r="X225" s="151">
        <v>0</v>
      </c>
      <c r="Y225" s="151">
        <v>0</v>
      </c>
      <c r="Z225" s="151">
        <v>0</v>
      </c>
      <c r="AA225" s="151">
        <v>0</v>
      </c>
      <c r="AB225" s="151"/>
      <c r="AC225" s="153">
        <v>45918</v>
      </c>
      <c r="AD225" s="154">
        <v>0.64583333333575865</v>
      </c>
      <c r="AE225" s="151" t="s">
        <v>122</v>
      </c>
      <c r="AF225" s="153">
        <v>45923</v>
      </c>
      <c r="AG225" s="154">
        <v>0.72569444444525288</v>
      </c>
      <c r="AH225" s="151" t="s">
        <v>123</v>
      </c>
      <c r="AI225" s="151" t="s">
        <v>938</v>
      </c>
      <c r="AJ225" s="151" t="s">
        <v>104</v>
      </c>
      <c r="AK225" s="151" t="s">
        <v>104</v>
      </c>
      <c r="AL225" s="151" t="s">
        <v>58</v>
      </c>
      <c r="AM225" s="188" t="s">
        <v>1224</v>
      </c>
      <c r="AN225" s="188" t="s">
        <v>1232</v>
      </c>
      <c r="AO225" s="188"/>
      <c r="AP225" s="155"/>
    </row>
    <row r="226" spans="3:42" ht="14.25" customHeight="1">
      <c r="C226" s="156">
        <f>IF($X226=1,COUNTIF($C$10:C225,"&gt;0")+1,"")</f>
        <v>109</v>
      </c>
      <c r="D226" s="151">
        <v>15262741</v>
      </c>
      <c r="E226" s="151" t="s">
        <v>933</v>
      </c>
      <c r="F226" s="152" t="s">
        <v>996</v>
      </c>
      <c r="G226" s="151" t="s">
        <v>996</v>
      </c>
      <c r="H226" s="151" t="s">
        <v>997</v>
      </c>
      <c r="I226" s="151" t="s">
        <v>409</v>
      </c>
      <c r="J226" s="151" t="s">
        <v>100</v>
      </c>
      <c r="K226" s="151" t="s">
        <v>99</v>
      </c>
      <c r="L226" s="153">
        <v>24039</v>
      </c>
      <c r="M226" s="151">
        <v>59</v>
      </c>
      <c r="N226" s="151" t="s">
        <v>998</v>
      </c>
      <c r="O226" s="153">
        <v>46882</v>
      </c>
      <c r="P226" s="151" t="s">
        <v>52</v>
      </c>
      <c r="Q226" s="151"/>
      <c r="R226" s="173">
        <v>45918</v>
      </c>
      <c r="S226" s="174">
        <v>45923</v>
      </c>
      <c r="T226" s="175">
        <f>S226-R226</f>
        <v>5</v>
      </c>
      <c r="U226" s="151">
        <v>1</v>
      </c>
      <c r="V226" s="151">
        <v>1</v>
      </c>
      <c r="W226" s="151">
        <v>0</v>
      </c>
      <c r="X226" s="151">
        <v>1</v>
      </c>
      <c r="Y226" s="151">
        <v>0</v>
      </c>
      <c r="Z226" s="151">
        <v>0</v>
      </c>
      <c r="AA226" s="151">
        <v>1</v>
      </c>
      <c r="AB226" s="151"/>
      <c r="AC226" s="153">
        <v>45918</v>
      </c>
      <c r="AD226" s="154">
        <v>0.44791666666424135</v>
      </c>
      <c r="AE226" s="151" t="s">
        <v>999</v>
      </c>
      <c r="AF226" s="153">
        <v>45923</v>
      </c>
      <c r="AG226" s="154">
        <v>0.52083333333575865</v>
      </c>
      <c r="AH226" s="151" t="s">
        <v>1000</v>
      </c>
      <c r="AI226" s="151" t="s">
        <v>938</v>
      </c>
      <c r="AJ226" s="151" t="s">
        <v>104</v>
      </c>
      <c r="AK226" s="151" t="s">
        <v>104</v>
      </c>
      <c r="AL226" s="151" t="s">
        <v>58</v>
      </c>
      <c r="AM226" s="188" t="s">
        <v>1224</v>
      </c>
      <c r="AN226" s="188" t="s">
        <v>1231</v>
      </c>
      <c r="AO226" s="188"/>
      <c r="AP226" s="155"/>
    </row>
    <row r="227" spans="3:42" ht="14.25" customHeight="1">
      <c r="C227" s="156" t="str">
        <f>IF($X227=1,COUNTIF($C$10:C226,"&gt;0")+1,"")</f>
        <v/>
      </c>
      <c r="D227" s="151"/>
      <c r="E227" s="151" t="s">
        <v>933</v>
      </c>
      <c r="F227" s="152" t="s">
        <v>1001</v>
      </c>
      <c r="G227" s="151" t="s">
        <v>996</v>
      </c>
      <c r="H227" s="151" t="s">
        <v>1002</v>
      </c>
      <c r="I227" s="151" t="s">
        <v>1003</v>
      </c>
      <c r="J227" s="151" t="s">
        <v>100</v>
      </c>
      <c r="K227" s="151" t="s">
        <v>99</v>
      </c>
      <c r="L227" s="153">
        <v>21370</v>
      </c>
      <c r="M227" s="151">
        <v>67</v>
      </c>
      <c r="N227" s="151" t="s">
        <v>1004</v>
      </c>
      <c r="O227" s="153">
        <v>46192</v>
      </c>
      <c r="P227" s="151" t="s">
        <v>52</v>
      </c>
      <c r="Q227" s="151"/>
      <c r="R227" s="173">
        <v>45918</v>
      </c>
      <c r="S227" s="174">
        <v>45923</v>
      </c>
      <c r="T227" s="175">
        <f>S227-R227</f>
        <v>5</v>
      </c>
      <c r="U227" s="151">
        <v>1</v>
      </c>
      <c r="V227" s="151">
        <v>1</v>
      </c>
      <c r="W227" s="151">
        <v>0</v>
      </c>
      <c r="X227" s="151">
        <v>0</v>
      </c>
      <c r="Y227" s="151">
        <v>0</v>
      </c>
      <c r="Z227" s="151">
        <v>0</v>
      </c>
      <c r="AA227" s="151">
        <v>0</v>
      </c>
      <c r="AB227" s="151"/>
      <c r="AC227" s="153">
        <v>45918</v>
      </c>
      <c r="AD227" s="154">
        <v>0.64930555555474712</v>
      </c>
      <c r="AE227" s="151" t="s">
        <v>1005</v>
      </c>
      <c r="AF227" s="153">
        <v>45923</v>
      </c>
      <c r="AG227" s="154">
        <v>0.78472222221898846</v>
      </c>
      <c r="AH227" s="151" t="s">
        <v>765</v>
      </c>
      <c r="AI227" s="151" t="s">
        <v>938</v>
      </c>
      <c r="AJ227" s="151" t="s">
        <v>104</v>
      </c>
      <c r="AK227" s="151" t="s">
        <v>104</v>
      </c>
      <c r="AL227" s="151" t="s">
        <v>58</v>
      </c>
      <c r="AM227" s="188" t="s">
        <v>1224</v>
      </c>
      <c r="AN227" s="188" t="s">
        <v>1231</v>
      </c>
      <c r="AO227" s="188"/>
      <c r="AP227" s="155"/>
    </row>
    <row r="228" spans="3:42" ht="14.25" customHeight="1">
      <c r="C228" s="156">
        <f>IF($X228=1,COUNTIF($C$10:C227,"&gt;0")+1,"")</f>
        <v>110</v>
      </c>
      <c r="D228" s="151">
        <v>15262742</v>
      </c>
      <c r="E228" s="151" t="s">
        <v>933</v>
      </c>
      <c r="F228" s="152" t="s">
        <v>1006</v>
      </c>
      <c r="G228" s="151" t="s">
        <v>1006</v>
      </c>
      <c r="H228" s="151" t="s">
        <v>1007</v>
      </c>
      <c r="I228" s="151" t="s">
        <v>1008</v>
      </c>
      <c r="J228" s="151" t="s">
        <v>100</v>
      </c>
      <c r="K228" s="151" t="s">
        <v>99</v>
      </c>
      <c r="L228" s="153">
        <v>23608</v>
      </c>
      <c r="M228" s="151">
        <v>61</v>
      </c>
      <c r="N228" s="151" t="s">
        <v>1009</v>
      </c>
      <c r="O228" s="153">
        <v>47342</v>
      </c>
      <c r="P228" s="151" t="s">
        <v>51</v>
      </c>
      <c r="Q228" s="151"/>
      <c r="R228" s="173">
        <v>45918</v>
      </c>
      <c r="S228" s="174">
        <v>45923</v>
      </c>
      <c r="T228" s="175">
        <f>S228-R228</f>
        <v>5</v>
      </c>
      <c r="U228" s="151">
        <v>1</v>
      </c>
      <c r="V228" s="151">
        <v>1</v>
      </c>
      <c r="W228" s="151">
        <v>0</v>
      </c>
      <c r="X228" s="151">
        <v>1</v>
      </c>
      <c r="Y228" s="151">
        <v>0</v>
      </c>
      <c r="Z228" s="151">
        <v>1</v>
      </c>
      <c r="AA228" s="151">
        <v>0</v>
      </c>
      <c r="AB228" s="151"/>
      <c r="AC228" s="153">
        <v>45913</v>
      </c>
      <c r="AD228" s="154">
        <v>0.69444444444525288</v>
      </c>
      <c r="AE228" s="151" t="s">
        <v>1010</v>
      </c>
      <c r="AF228" s="153">
        <v>45923</v>
      </c>
      <c r="AG228" s="154">
        <v>0.39583333333575865</v>
      </c>
      <c r="AH228" s="151" t="s">
        <v>1011</v>
      </c>
      <c r="AI228" s="151" t="s">
        <v>938</v>
      </c>
      <c r="AJ228" s="151" t="s">
        <v>104</v>
      </c>
      <c r="AK228" s="151" t="s">
        <v>104</v>
      </c>
      <c r="AL228" s="151" t="s">
        <v>58</v>
      </c>
      <c r="AM228" s="188" t="s">
        <v>1224</v>
      </c>
      <c r="AN228" s="188" t="s">
        <v>1232</v>
      </c>
      <c r="AO228" s="188" t="s">
        <v>1235</v>
      </c>
      <c r="AP228" s="155"/>
    </row>
    <row r="229" spans="3:42" ht="14.25" customHeight="1">
      <c r="C229" s="156" t="str">
        <f>IF($X229=1,COUNTIF($C$10:C228,"&gt;0")+1,"")</f>
        <v/>
      </c>
      <c r="D229" s="151"/>
      <c r="E229" s="151" t="s">
        <v>933</v>
      </c>
      <c r="F229" s="152" t="s">
        <v>1012</v>
      </c>
      <c r="G229" s="151" t="s">
        <v>1006</v>
      </c>
      <c r="H229" s="151" t="s">
        <v>1013</v>
      </c>
      <c r="I229" s="151" t="s">
        <v>1014</v>
      </c>
      <c r="J229" s="151" t="s">
        <v>98</v>
      </c>
      <c r="K229" s="151" t="s">
        <v>99</v>
      </c>
      <c r="L229" s="153" t="s">
        <v>104</v>
      </c>
      <c r="M229" s="151" t="s">
        <v>104</v>
      </c>
      <c r="N229" s="151" t="s">
        <v>1015</v>
      </c>
      <c r="O229" s="153" t="s">
        <v>104</v>
      </c>
      <c r="P229" s="151" t="s">
        <v>51</v>
      </c>
      <c r="Q229" s="151"/>
      <c r="R229" s="173">
        <v>45918</v>
      </c>
      <c r="S229" s="174">
        <v>45923</v>
      </c>
      <c r="T229" s="175">
        <f>S229-R229</f>
        <v>5</v>
      </c>
      <c r="U229" s="151">
        <v>1</v>
      </c>
      <c r="V229" s="151">
        <v>1</v>
      </c>
      <c r="W229" s="151">
        <v>0</v>
      </c>
      <c r="X229" s="151">
        <v>0</v>
      </c>
      <c r="Y229" s="151">
        <v>0</v>
      </c>
      <c r="Z229" s="151">
        <v>0</v>
      </c>
      <c r="AA229" s="151">
        <v>0</v>
      </c>
      <c r="AB229" s="151"/>
      <c r="AC229" s="153" t="s">
        <v>104</v>
      </c>
      <c r="AD229" s="154" t="s">
        <v>104</v>
      </c>
      <c r="AE229" s="151" t="s">
        <v>104</v>
      </c>
      <c r="AF229" s="153" t="s">
        <v>104</v>
      </c>
      <c r="AG229" s="154" t="s">
        <v>104</v>
      </c>
      <c r="AH229" s="151" t="s">
        <v>104</v>
      </c>
      <c r="AI229" s="151" t="s">
        <v>938</v>
      </c>
      <c r="AJ229" s="151" t="s">
        <v>104</v>
      </c>
      <c r="AK229" s="151" t="s">
        <v>104</v>
      </c>
      <c r="AL229" s="151" t="s">
        <v>58</v>
      </c>
      <c r="AM229" s="188" t="s">
        <v>1224</v>
      </c>
      <c r="AN229" s="188" t="s">
        <v>1232</v>
      </c>
      <c r="AO229" s="188" t="s">
        <v>1235</v>
      </c>
      <c r="AP229" s="155"/>
    </row>
    <row r="230" spans="3:42" ht="14.25" customHeight="1">
      <c r="C230" s="156">
        <f>IF($X230=1,COUNTIF($C$10:C229,"&gt;0")+1,"")</f>
        <v>111</v>
      </c>
      <c r="D230" s="151">
        <v>15262743</v>
      </c>
      <c r="E230" s="151" t="s">
        <v>933</v>
      </c>
      <c r="F230" s="152" t="s">
        <v>1016</v>
      </c>
      <c r="G230" s="151" t="s">
        <v>1016</v>
      </c>
      <c r="H230" s="151" t="s">
        <v>1017</v>
      </c>
      <c r="I230" s="151" t="s">
        <v>1018</v>
      </c>
      <c r="J230" s="151" t="s">
        <v>100</v>
      </c>
      <c r="K230" s="151" t="s">
        <v>99</v>
      </c>
      <c r="L230" s="153">
        <v>26216</v>
      </c>
      <c r="M230" s="151">
        <v>53</v>
      </c>
      <c r="N230" s="151" t="s">
        <v>1019</v>
      </c>
      <c r="O230" s="153">
        <v>47289</v>
      </c>
      <c r="P230" s="151" t="s">
        <v>52</v>
      </c>
      <c r="Q230" s="151"/>
      <c r="R230" s="173">
        <v>45918</v>
      </c>
      <c r="S230" s="174">
        <v>45923</v>
      </c>
      <c r="T230" s="175">
        <f>S230-R230</f>
        <v>5</v>
      </c>
      <c r="U230" s="151">
        <v>1</v>
      </c>
      <c r="V230" s="151">
        <v>1</v>
      </c>
      <c r="W230" s="151">
        <v>0</v>
      </c>
      <c r="X230" s="151">
        <v>1</v>
      </c>
      <c r="Y230" s="151">
        <v>0</v>
      </c>
      <c r="Z230" s="151">
        <v>0</v>
      </c>
      <c r="AA230" s="151">
        <v>1</v>
      </c>
      <c r="AB230" s="151"/>
      <c r="AC230" s="153">
        <v>45918</v>
      </c>
      <c r="AD230" s="154">
        <v>0.64583333333575865</v>
      </c>
      <c r="AE230" s="151" t="s">
        <v>122</v>
      </c>
      <c r="AF230" s="153">
        <v>45923</v>
      </c>
      <c r="AG230" s="154">
        <v>0.72569444444525288</v>
      </c>
      <c r="AH230" s="151" t="s">
        <v>123</v>
      </c>
      <c r="AI230" s="151" t="s">
        <v>938</v>
      </c>
      <c r="AJ230" s="151" t="s">
        <v>104</v>
      </c>
      <c r="AK230" s="151" t="s">
        <v>104</v>
      </c>
      <c r="AL230" s="151" t="s">
        <v>58</v>
      </c>
      <c r="AM230" s="188" t="s">
        <v>1224</v>
      </c>
      <c r="AN230" s="188" t="s">
        <v>1231</v>
      </c>
      <c r="AO230" s="188"/>
      <c r="AP230" s="155"/>
    </row>
    <row r="231" spans="3:42" ht="14.25" customHeight="1">
      <c r="C231" s="156" t="str">
        <f>IF($X231=1,COUNTIF($C$10:C230,"&gt;0")+1,"")</f>
        <v/>
      </c>
      <c r="D231" s="151"/>
      <c r="E231" s="151" t="s">
        <v>933</v>
      </c>
      <c r="F231" s="152" t="s">
        <v>1020</v>
      </c>
      <c r="G231" s="151" t="s">
        <v>1016</v>
      </c>
      <c r="H231" s="151" t="s">
        <v>1021</v>
      </c>
      <c r="I231" s="151" t="s">
        <v>1018</v>
      </c>
      <c r="J231" s="151" t="s">
        <v>100</v>
      </c>
      <c r="K231" s="151" t="s">
        <v>99</v>
      </c>
      <c r="L231" s="153">
        <v>38667</v>
      </c>
      <c r="M231" s="151">
        <v>19</v>
      </c>
      <c r="N231" s="151" t="s">
        <v>1022</v>
      </c>
      <c r="O231" s="153">
        <v>48370</v>
      </c>
      <c r="P231" s="151" t="s">
        <v>52</v>
      </c>
      <c r="Q231" s="151"/>
      <c r="R231" s="173">
        <v>45918</v>
      </c>
      <c r="S231" s="174">
        <v>45923</v>
      </c>
      <c r="T231" s="175">
        <f>S231-R231</f>
        <v>5</v>
      </c>
      <c r="U231" s="151">
        <v>1</v>
      </c>
      <c r="V231" s="151">
        <v>1</v>
      </c>
      <c r="W231" s="151">
        <v>0</v>
      </c>
      <c r="X231" s="151">
        <v>0</v>
      </c>
      <c r="Y231" s="151">
        <v>0</v>
      </c>
      <c r="Z231" s="151">
        <v>0</v>
      </c>
      <c r="AA231" s="151">
        <v>0</v>
      </c>
      <c r="AB231" s="151"/>
      <c r="AC231" s="153">
        <v>45918</v>
      </c>
      <c r="AD231" s="154">
        <v>0.64583333333575865</v>
      </c>
      <c r="AE231" s="151" t="s">
        <v>122</v>
      </c>
      <c r="AF231" s="153">
        <v>45923</v>
      </c>
      <c r="AG231" s="154">
        <v>0.72569444444525288</v>
      </c>
      <c r="AH231" s="151" t="s">
        <v>123</v>
      </c>
      <c r="AI231" s="151" t="s">
        <v>938</v>
      </c>
      <c r="AJ231" s="151" t="s">
        <v>104</v>
      </c>
      <c r="AK231" s="151" t="s">
        <v>104</v>
      </c>
      <c r="AL231" s="151" t="s">
        <v>58</v>
      </c>
      <c r="AM231" s="188" t="s">
        <v>1224</v>
      </c>
      <c r="AN231" s="188" t="s">
        <v>1231</v>
      </c>
      <c r="AO231" s="188"/>
      <c r="AP231" s="155"/>
    </row>
    <row r="232" spans="3:42" ht="14.25" customHeight="1">
      <c r="C232" s="156">
        <f>IF($X232=1,COUNTIF($C$10:C231,"&gt;0")+1,"")</f>
        <v>112</v>
      </c>
      <c r="D232" s="151">
        <v>15262744</v>
      </c>
      <c r="E232" s="151" t="s">
        <v>933</v>
      </c>
      <c r="F232" s="152" t="s">
        <v>1023</v>
      </c>
      <c r="G232" s="151" t="s">
        <v>1023</v>
      </c>
      <c r="H232" s="151" t="s">
        <v>1024</v>
      </c>
      <c r="I232" s="151" t="s">
        <v>1025</v>
      </c>
      <c r="J232" s="151" t="s">
        <v>98</v>
      </c>
      <c r="K232" s="151" t="s">
        <v>99</v>
      </c>
      <c r="L232" s="153">
        <v>27371</v>
      </c>
      <c r="M232" s="151">
        <v>50</v>
      </c>
      <c r="N232" s="151" t="s">
        <v>1026</v>
      </c>
      <c r="O232" s="153">
        <v>48440</v>
      </c>
      <c r="P232" s="151" t="s">
        <v>52</v>
      </c>
      <c r="Q232" s="151"/>
      <c r="R232" s="173">
        <v>45918</v>
      </c>
      <c r="S232" s="174">
        <v>45923</v>
      </c>
      <c r="T232" s="175">
        <f>S232-R232</f>
        <v>5</v>
      </c>
      <c r="U232" s="151">
        <v>1</v>
      </c>
      <c r="V232" s="151">
        <v>1</v>
      </c>
      <c r="W232" s="151">
        <v>0</v>
      </c>
      <c r="X232" s="151">
        <v>1</v>
      </c>
      <c r="Y232" s="151">
        <v>0</v>
      </c>
      <c r="Z232" s="151">
        <v>0</v>
      </c>
      <c r="AA232" s="151">
        <v>1</v>
      </c>
      <c r="AB232" s="151"/>
      <c r="AC232" s="153">
        <v>45918</v>
      </c>
      <c r="AD232" s="154">
        <v>0.69444444444525288</v>
      </c>
      <c r="AE232" s="151" t="s">
        <v>1027</v>
      </c>
      <c r="AF232" s="153">
        <v>45923</v>
      </c>
      <c r="AG232" s="154">
        <v>0.68055555555474712</v>
      </c>
      <c r="AH232" s="151" t="s">
        <v>297</v>
      </c>
      <c r="AI232" s="151" t="s">
        <v>938</v>
      </c>
      <c r="AJ232" s="151" t="s">
        <v>104</v>
      </c>
      <c r="AK232" s="151" t="s">
        <v>104</v>
      </c>
      <c r="AL232" s="151" t="s">
        <v>58</v>
      </c>
      <c r="AM232" s="188" t="s">
        <v>1224</v>
      </c>
      <c r="AN232" s="188" t="s">
        <v>1231</v>
      </c>
      <c r="AO232" s="188"/>
      <c r="AP232" s="155"/>
    </row>
    <row r="233" spans="3:42" ht="14.25" customHeight="1">
      <c r="C233" s="156">
        <f>IF($X233=1,COUNTIF($C$10:C232,"&gt;0")+1,"")</f>
        <v>113</v>
      </c>
      <c r="D233" s="151">
        <v>15262771</v>
      </c>
      <c r="E233" s="151" t="s">
        <v>1118</v>
      </c>
      <c r="F233" s="152" t="s">
        <v>1193</v>
      </c>
      <c r="G233" s="151" t="s">
        <v>1184</v>
      </c>
      <c r="H233" s="151" t="s">
        <v>1194</v>
      </c>
      <c r="I233" s="151" t="s">
        <v>225</v>
      </c>
      <c r="J233" s="151" t="s">
        <v>100</v>
      </c>
      <c r="K233" s="151" t="s">
        <v>99</v>
      </c>
      <c r="L233" s="153">
        <v>20509</v>
      </c>
      <c r="M233" s="151">
        <v>69</v>
      </c>
      <c r="N233" s="151" t="s">
        <v>1195</v>
      </c>
      <c r="O233" s="153">
        <v>46682</v>
      </c>
      <c r="P233" s="151" t="s">
        <v>52</v>
      </c>
      <c r="Q233" s="151"/>
      <c r="R233" s="173">
        <v>45918</v>
      </c>
      <c r="S233" s="174">
        <v>45923</v>
      </c>
      <c r="T233" s="175">
        <f>S233-R233</f>
        <v>5</v>
      </c>
      <c r="U233" s="151">
        <v>1</v>
      </c>
      <c r="V233" s="151">
        <v>1</v>
      </c>
      <c r="W233" s="151">
        <v>0</v>
      </c>
      <c r="X233" s="151">
        <v>1</v>
      </c>
      <c r="Y233" s="151">
        <v>0</v>
      </c>
      <c r="Z233" s="151">
        <v>0</v>
      </c>
      <c r="AA233" s="151">
        <v>1</v>
      </c>
      <c r="AB233" s="151"/>
      <c r="AC233" s="153">
        <v>45918</v>
      </c>
      <c r="AD233" s="154">
        <v>0.74305555555474712</v>
      </c>
      <c r="AE233" s="151" t="s">
        <v>720</v>
      </c>
      <c r="AF233" s="153">
        <v>45923</v>
      </c>
      <c r="AG233" s="154">
        <v>0.46527777778101154</v>
      </c>
      <c r="AH233" s="151" t="s">
        <v>1188</v>
      </c>
      <c r="AI233" s="151" t="s">
        <v>1123</v>
      </c>
      <c r="AJ233" s="151" t="s">
        <v>104</v>
      </c>
      <c r="AK233" s="151" t="s">
        <v>104</v>
      </c>
      <c r="AL233" s="151" t="s">
        <v>58</v>
      </c>
      <c r="AM233" s="188" t="s">
        <v>1224</v>
      </c>
      <c r="AN233" s="188" t="s">
        <v>1234</v>
      </c>
      <c r="AO233" s="188"/>
      <c r="AP233" s="155"/>
    </row>
    <row r="234" spans="3:42" ht="14.25" customHeight="1">
      <c r="C234" s="156">
        <f>IF($X234=1,COUNTIF($C$10:C233,"&gt;0")+1,"")</f>
        <v>114</v>
      </c>
      <c r="D234" s="151">
        <v>15262745</v>
      </c>
      <c r="E234" s="151" t="s">
        <v>933</v>
      </c>
      <c r="F234" s="152" t="s">
        <v>1032</v>
      </c>
      <c r="G234" s="151" t="s">
        <v>1032</v>
      </c>
      <c r="H234" s="151" t="s">
        <v>1033</v>
      </c>
      <c r="I234" s="151" t="s">
        <v>1034</v>
      </c>
      <c r="J234" s="151" t="s">
        <v>100</v>
      </c>
      <c r="K234" s="151" t="s">
        <v>99</v>
      </c>
      <c r="L234" s="153">
        <v>21170</v>
      </c>
      <c r="M234" s="151">
        <v>67</v>
      </c>
      <c r="N234" s="151" t="s">
        <v>1035</v>
      </c>
      <c r="O234" s="153">
        <v>49407</v>
      </c>
      <c r="P234" s="151" t="s">
        <v>51</v>
      </c>
      <c r="Q234" s="151"/>
      <c r="R234" s="173">
        <v>45918</v>
      </c>
      <c r="S234" s="174">
        <v>45923</v>
      </c>
      <c r="T234" s="175">
        <f>S234-R234</f>
        <v>5</v>
      </c>
      <c r="U234" s="151">
        <v>1</v>
      </c>
      <c r="V234" s="151">
        <v>1</v>
      </c>
      <c r="W234" s="151">
        <v>0</v>
      </c>
      <c r="X234" s="151">
        <v>1</v>
      </c>
      <c r="Y234" s="151">
        <v>0</v>
      </c>
      <c r="Z234" s="151">
        <v>1</v>
      </c>
      <c r="AA234" s="151">
        <v>0</v>
      </c>
      <c r="AB234" s="151"/>
      <c r="AC234" s="153">
        <v>45918</v>
      </c>
      <c r="AD234" s="154">
        <v>0.72916666666424135</v>
      </c>
      <c r="AE234" s="151" t="s">
        <v>115</v>
      </c>
      <c r="AF234" s="153">
        <v>45923</v>
      </c>
      <c r="AG234" s="154">
        <v>0.79513888889050577</v>
      </c>
      <c r="AH234" s="151" t="s">
        <v>117</v>
      </c>
      <c r="AI234" s="151" t="s">
        <v>938</v>
      </c>
      <c r="AJ234" s="151" t="s">
        <v>104</v>
      </c>
      <c r="AK234" s="151" t="s">
        <v>104</v>
      </c>
      <c r="AL234" s="151" t="s">
        <v>58</v>
      </c>
      <c r="AM234" s="188" t="s">
        <v>1224</v>
      </c>
      <c r="AN234" s="188" t="s">
        <v>1232</v>
      </c>
      <c r="AO234" s="188"/>
      <c r="AP234" s="155"/>
    </row>
    <row r="235" spans="3:42" ht="14.25" customHeight="1">
      <c r="C235" s="156" t="str">
        <f>IF($X235=1,COUNTIF($C$10:C234,"&gt;0")+1,"")</f>
        <v/>
      </c>
      <c r="D235" s="151"/>
      <c r="E235" s="151" t="s">
        <v>933</v>
      </c>
      <c r="F235" s="152" t="s">
        <v>1036</v>
      </c>
      <c r="G235" s="151" t="s">
        <v>1032</v>
      </c>
      <c r="H235" s="151" t="s">
        <v>116</v>
      </c>
      <c r="I235" s="151" t="s">
        <v>1034</v>
      </c>
      <c r="J235" s="151" t="s">
        <v>98</v>
      </c>
      <c r="K235" s="151" t="s">
        <v>1037</v>
      </c>
      <c r="L235" s="153">
        <v>18604</v>
      </c>
      <c r="M235" s="151">
        <v>74</v>
      </c>
      <c r="N235" s="151" t="s">
        <v>1038</v>
      </c>
      <c r="O235" s="153">
        <v>47184</v>
      </c>
      <c r="P235" s="151" t="s">
        <v>51</v>
      </c>
      <c r="Q235" s="151"/>
      <c r="R235" s="173">
        <v>45918</v>
      </c>
      <c r="S235" s="174">
        <v>45923</v>
      </c>
      <c r="T235" s="175">
        <f>S235-R235</f>
        <v>5</v>
      </c>
      <c r="U235" s="151">
        <v>1</v>
      </c>
      <c r="V235" s="151">
        <v>1</v>
      </c>
      <c r="W235" s="151">
        <v>0</v>
      </c>
      <c r="X235" s="151">
        <v>0</v>
      </c>
      <c r="Y235" s="151">
        <v>0</v>
      </c>
      <c r="Z235" s="151">
        <v>0</v>
      </c>
      <c r="AA235" s="151">
        <v>0</v>
      </c>
      <c r="AB235" s="151"/>
      <c r="AC235" s="153">
        <v>45918</v>
      </c>
      <c r="AD235" s="154">
        <v>0.72916666666424135</v>
      </c>
      <c r="AE235" s="151" t="s">
        <v>115</v>
      </c>
      <c r="AF235" s="153">
        <v>45923</v>
      </c>
      <c r="AG235" s="154">
        <v>0.79513888889050577</v>
      </c>
      <c r="AH235" s="151" t="s">
        <v>117</v>
      </c>
      <c r="AI235" s="151" t="s">
        <v>938</v>
      </c>
      <c r="AJ235" s="151" t="s">
        <v>104</v>
      </c>
      <c r="AK235" s="151" t="s">
        <v>104</v>
      </c>
      <c r="AL235" s="151" t="s">
        <v>58</v>
      </c>
      <c r="AM235" s="188" t="s">
        <v>1224</v>
      </c>
      <c r="AN235" s="188" t="s">
        <v>1232</v>
      </c>
      <c r="AO235" s="188"/>
      <c r="AP235" s="155"/>
    </row>
    <row r="236" spans="3:42" ht="14.25" customHeight="1">
      <c r="C236" s="156">
        <f>IF($X236=1,COUNTIF($C$10:C235,"&gt;0")+1,"")</f>
        <v>115</v>
      </c>
      <c r="D236" s="151">
        <v>15262746</v>
      </c>
      <c r="E236" s="151" t="s">
        <v>933</v>
      </c>
      <c r="F236" s="152" t="s">
        <v>1039</v>
      </c>
      <c r="G236" s="151" t="s">
        <v>1039</v>
      </c>
      <c r="H236" s="151" t="s">
        <v>1040</v>
      </c>
      <c r="I236" s="151" t="s">
        <v>1041</v>
      </c>
      <c r="J236" s="151" t="s">
        <v>100</v>
      </c>
      <c r="K236" s="151" t="s">
        <v>99</v>
      </c>
      <c r="L236" s="153">
        <v>23856</v>
      </c>
      <c r="M236" s="151">
        <v>60</v>
      </c>
      <c r="N236" s="151" t="s">
        <v>1042</v>
      </c>
      <c r="O236" s="153">
        <v>49443</v>
      </c>
      <c r="P236" s="151" t="s">
        <v>51</v>
      </c>
      <c r="Q236" s="151"/>
      <c r="R236" s="173">
        <v>45918</v>
      </c>
      <c r="S236" s="174">
        <v>45923</v>
      </c>
      <c r="T236" s="175">
        <f>S236-R236</f>
        <v>5</v>
      </c>
      <c r="U236" s="151">
        <v>1</v>
      </c>
      <c r="V236" s="151">
        <v>1</v>
      </c>
      <c r="W236" s="151">
        <v>0</v>
      </c>
      <c r="X236" s="151">
        <v>1</v>
      </c>
      <c r="Y236" s="151">
        <v>0</v>
      </c>
      <c r="Z236" s="151">
        <v>1</v>
      </c>
      <c r="AA236" s="151">
        <v>0</v>
      </c>
      <c r="AB236" s="151"/>
      <c r="AC236" s="153">
        <v>45918</v>
      </c>
      <c r="AD236" s="154">
        <v>0.64583333333575865</v>
      </c>
      <c r="AE236" s="151" t="s">
        <v>122</v>
      </c>
      <c r="AF236" s="153">
        <v>45923</v>
      </c>
      <c r="AG236" s="154">
        <v>0.72569444444525288</v>
      </c>
      <c r="AH236" s="151" t="s">
        <v>123</v>
      </c>
      <c r="AI236" s="151" t="s">
        <v>938</v>
      </c>
      <c r="AJ236" s="151" t="s">
        <v>104</v>
      </c>
      <c r="AK236" s="151" t="s">
        <v>104</v>
      </c>
      <c r="AL236" s="151" t="s">
        <v>58</v>
      </c>
      <c r="AM236" s="188" t="s">
        <v>1224</v>
      </c>
      <c r="AN236" s="188" t="s">
        <v>1232</v>
      </c>
      <c r="AO236" s="188"/>
      <c r="AP236" s="155"/>
    </row>
    <row r="237" spans="3:42" ht="14.25" customHeight="1">
      <c r="C237" s="156" t="str">
        <f>IF($X237=1,COUNTIF($C$10:C236,"&gt;0")+1,"")</f>
        <v/>
      </c>
      <c r="D237" s="151"/>
      <c r="E237" s="151" t="s">
        <v>933</v>
      </c>
      <c r="F237" s="152" t="s">
        <v>1043</v>
      </c>
      <c r="G237" s="151" t="s">
        <v>1039</v>
      </c>
      <c r="H237" s="151" t="s">
        <v>1044</v>
      </c>
      <c r="I237" s="151" t="s">
        <v>1041</v>
      </c>
      <c r="J237" s="151" t="s">
        <v>98</v>
      </c>
      <c r="K237" s="151" t="s">
        <v>99</v>
      </c>
      <c r="L237" s="153">
        <v>19988</v>
      </c>
      <c r="M237" s="151">
        <v>71</v>
      </c>
      <c r="N237" s="151" t="s">
        <v>1045</v>
      </c>
      <c r="O237" s="153">
        <v>49443</v>
      </c>
      <c r="P237" s="151" t="s">
        <v>51</v>
      </c>
      <c r="Q237" s="151"/>
      <c r="R237" s="173">
        <v>45918</v>
      </c>
      <c r="S237" s="174">
        <v>45923</v>
      </c>
      <c r="T237" s="175">
        <f>S237-R237</f>
        <v>5</v>
      </c>
      <c r="U237" s="151">
        <v>1</v>
      </c>
      <c r="V237" s="151">
        <v>1</v>
      </c>
      <c r="W237" s="151">
        <v>0</v>
      </c>
      <c r="X237" s="151">
        <v>0</v>
      </c>
      <c r="Y237" s="151">
        <v>0</v>
      </c>
      <c r="Z237" s="151">
        <v>0</v>
      </c>
      <c r="AA237" s="151">
        <v>0</v>
      </c>
      <c r="AB237" s="151"/>
      <c r="AC237" s="153">
        <v>45918</v>
      </c>
      <c r="AD237" s="154">
        <v>0.64583333333575865</v>
      </c>
      <c r="AE237" s="151" t="s">
        <v>122</v>
      </c>
      <c r="AF237" s="153">
        <v>45923</v>
      </c>
      <c r="AG237" s="154">
        <v>0.72569444444525288</v>
      </c>
      <c r="AH237" s="151" t="s">
        <v>123</v>
      </c>
      <c r="AI237" s="151" t="s">
        <v>938</v>
      </c>
      <c r="AJ237" s="151" t="s">
        <v>104</v>
      </c>
      <c r="AK237" s="151" t="s">
        <v>104</v>
      </c>
      <c r="AL237" s="151" t="s">
        <v>58</v>
      </c>
      <c r="AM237" s="188" t="s">
        <v>1224</v>
      </c>
      <c r="AN237" s="188" t="s">
        <v>1232</v>
      </c>
      <c r="AO237" s="188"/>
      <c r="AP237" s="155"/>
    </row>
    <row r="238" spans="3:42" ht="14.25" customHeight="1">
      <c r="C238" s="156">
        <f>IF($X238=1,COUNTIF($C$10:C237,"&gt;0")+1,"")</f>
        <v>116</v>
      </c>
      <c r="D238" s="151">
        <v>15262747</v>
      </c>
      <c r="E238" s="151" t="s">
        <v>933</v>
      </c>
      <c r="F238" s="152" t="s">
        <v>1046</v>
      </c>
      <c r="G238" s="151" t="s">
        <v>1046</v>
      </c>
      <c r="H238" s="151" t="s">
        <v>1047</v>
      </c>
      <c r="I238" s="151" t="s">
        <v>1048</v>
      </c>
      <c r="J238" s="151" t="s">
        <v>100</v>
      </c>
      <c r="K238" s="151" t="s">
        <v>99</v>
      </c>
      <c r="L238" s="153">
        <v>21716</v>
      </c>
      <c r="M238" s="151">
        <v>66</v>
      </c>
      <c r="N238" s="151" t="s">
        <v>1049</v>
      </c>
      <c r="O238" s="153">
        <v>48061</v>
      </c>
      <c r="P238" s="151" t="s">
        <v>52</v>
      </c>
      <c r="Q238" s="151"/>
      <c r="R238" s="173">
        <v>45918</v>
      </c>
      <c r="S238" s="174">
        <v>45923</v>
      </c>
      <c r="T238" s="175">
        <f>S238-R238</f>
        <v>5</v>
      </c>
      <c r="U238" s="151">
        <v>1</v>
      </c>
      <c r="V238" s="151">
        <v>1</v>
      </c>
      <c r="W238" s="151">
        <v>0</v>
      </c>
      <c r="X238" s="151">
        <v>1</v>
      </c>
      <c r="Y238" s="151">
        <v>0</v>
      </c>
      <c r="Z238" s="151">
        <v>0</v>
      </c>
      <c r="AA238" s="151">
        <v>1</v>
      </c>
      <c r="AB238" s="151"/>
      <c r="AC238" s="153">
        <v>45918</v>
      </c>
      <c r="AD238" s="154">
        <v>0.64583333333575865</v>
      </c>
      <c r="AE238" s="151" t="s">
        <v>122</v>
      </c>
      <c r="AF238" s="153">
        <v>45923</v>
      </c>
      <c r="AG238" s="154">
        <v>0.72569444444525288</v>
      </c>
      <c r="AH238" s="151" t="s">
        <v>123</v>
      </c>
      <c r="AI238" s="151" t="s">
        <v>938</v>
      </c>
      <c r="AJ238" s="151" t="s">
        <v>104</v>
      </c>
      <c r="AK238" s="151"/>
      <c r="AL238" s="151" t="s">
        <v>58</v>
      </c>
      <c r="AM238" s="188" t="s">
        <v>1224</v>
      </c>
      <c r="AN238" s="188" t="s">
        <v>1231</v>
      </c>
      <c r="AO238" s="188"/>
      <c r="AP238" s="155"/>
    </row>
    <row r="239" spans="3:42" ht="14.25" customHeight="1">
      <c r="C239" s="156" t="str">
        <f>IF($X239=1,COUNTIF($C$10:C238,"&gt;0")+1,"")</f>
        <v/>
      </c>
      <c r="D239" s="151"/>
      <c r="E239" s="151" t="s">
        <v>933</v>
      </c>
      <c r="F239" s="152" t="s">
        <v>1050</v>
      </c>
      <c r="G239" s="151" t="s">
        <v>1046</v>
      </c>
      <c r="H239" s="151" t="s">
        <v>1051</v>
      </c>
      <c r="I239" s="151" t="s">
        <v>1052</v>
      </c>
      <c r="J239" s="151" t="s">
        <v>100</v>
      </c>
      <c r="K239" s="151" t="s">
        <v>99</v>
      </c>
      <c r="L239" s="153">
        <v>23240</v>
      </c>
      <c r="M239" s="151">
        <v>62</v>
      </c>
      <c r="N239" s="151" t="s">
        <v>1053</v>
      </c>
      <c r="O239" s="153">
        <v>47351</v>
      </c>
      <c r="P239" s="151" t="s">
        <v>52</v>
      </c>
      <c r="Q239" s="151"/>
      <c r="R239" s="173">
        <v>45918</v>
      </c>
      <c r="S239" s="174">
        <v>45923</v>
      </c>
      <c r="T239" s="175">
        <f>S239-R239</f>
        <v>5</v>
      </c>
      <c r="U239" s="151">
        <v>1</v>
      </c>
      <c r="V239" s="151">
        <v>1</v>
      </c>
      <c r="W239" s="151">
        <v>0</v>
      </c>
      <c r="X239" s="151">
        <v>0</v>
      </c>
      <c r="Y239" s="151">
        <v>0</v>
      </c>
      <c r="Z239" s="151">
        <v>0</v>
      </c>
      <c r="AA239" s="151">
        <v>0</v>
      </c>
      <c r="AB239" s="151"/>
      <c r="AC239" s="153">
        <v>45918</v>
      </c>
      <c r="AD239" s="154">
        <v>0.68402777778101154</v>
      </c>
      <c r="AE239" s="151" t="s">
        <v>1054</v>
      </c>
      <c r="AF239" s="153">
        <v>45923</v>
      </c>
      <c r="AG239" s="154">
        <v>0.68402777778101154</v>
      </c>
      <c r="AH239" s="151" t="s">
        <v>112</v>
      </c>
      <c r="AI239" s="151" t="s">
        <v>938</v>
      </c>
      <c r="AJ239" s="151" t="s">
        <v>104</v>
      </c>
      <c r="AK239" s="151" t="s">
        <v>104</v>
      </c>
      <c r="AL239" s="151" t="s">
        <v>58</v>
      </c>
      <c r="AM239" s="188" t="s">
        <v>1224</v>
      </c>
      <c r="AN239" s="188" t="s">
        <v>1231</v>
      </c>
      <c r="AO239" s="188"/>
      <c r="AP239" s="155"/>
    </row>
    <row r="240" spans="3:42" ht="14.25" customHeight="1">
      <c r="C240" s="156">
        <f>IF($X240=1,COUNTIF($C$10:C239,"&gt;0")+1,"")</f>
        <v>117</v>
      </c>
      <c r="D240" s="151">
        <v>15262748</v>
      </c>
      <c r="E240" s="151" t="s">
        <v>933</v>
      </c>
      <c r="F240" s="152" t="s">
        <v>1055</v>
      </c>
      <c r="G240" s="151" t="s">
        <v>1055</v>
      </c>
      <c r="H240" s="151" t="s">
        <v>1056</v>
      </c>
      <c r="I240" s="151" t="s">
        <v>1057</v>
      </c>
      <c r="J240" s="151" t="s">
        <v>100</v>
      </c>
      <c r="K240" s="151" t="s">
        <v>99</v>
      </c>
      <c r="L240" s="153">
        <v>25875</v>
      </c>
      <c r="M240" s="151">
        <v>54</v>
      </c>
      <c r="N240" s="151" t="s">
        <v>1058</v>
      </c>
      <c r="O240" s="153">
        <v>48126</v>
      </c>
      <c r="P240" s="151" t="s">
        <v>52</v>
      </c>
      <c r="Q240" s="151"/>
      <c r="R240" s="173">
        <v>45918</v>
      </c>
      <c r="S240" s="174">
        <v>45923</v>
      </c>
      <c r="T240" s="175">
        <f>S240-R240</f>
        <v>5</v>
      </c>
      <c r="U240" s="151">
        <v>1</v>
      </c>
      <c r="V240" s="151">
        <v>1</v>
      </c>
      <c r="W240" s="151">
        <v>0</v>
      </c>
      <c r="X240" s="151">
        <v>1</v>
      </c>
      <c r="Y240" s="151">
        <v>0</v>
      </c>
      <c r="Z240" s="151">
        <v>0</v>
      </c>
      <c r="AA240" s="151">
        <v>1</v>
      </c>
      <c r="AB240" s="151"/>
      <c r="AC240" s="153">
        <v>45918</v>
      </c>
      <c r="AD240" s="154">
        <v>0.625</v>
      </c>
      <c r="AE240" s="151" t="s">
        <v>119</v>
      </c>
      <c r="AF240" s="153">
        <v>45923</v>
      </c>
      <c r="AG240" s="154">
        <v>0.83680555555474712</v>
      </c>
      <c r="AH240" s="151" t="s">
        <v>977</v>
      </c>
      <c r="AI240" s="151" t="s">
        <v>938</v>
      </c>
      <c r="AJ240" s="151" t="s">
        <v>104</v>
      </c>
      <c r="AK240" s="151" t="s">
        <v>104</v>
      </c>
      <c r="AL240" s="151" t="s">
        <v>58</v>
      </c>
      <c r="AM240" s="188" t="s">
        <v>1224</v>
      </c>
      <c r="AN240" s="188" t="s">
        <v>1231</v>
      </c>
      <c r="AO240" s="188"/>
      <c r="AP240" s="155"/>
    </row>
    <row r="241" spans="3:42" ht="14.25" customHeight="1">
      <c r="C241" s="156" t="str">
        <f>IF($X241=1,COUNTIF($C$10:C240,"&gt;0")+1,"")</f>
        <v/>
      </c>
      <c r="D241" s="151"/>
      <c r="E241" s="151" t="s">
        <v>933</v>
      </c>
      <c r="F241" s="152" t="s">
        <v>1059</v>
      </c>
      <c r="G241" s="151" t="s">
        <v>1055</v>
      </c>
      <c r="H241" s="151" t="s">
        <v>1060</v>
      </c>
      <c r="I241" s="151" t="s">
        <v>1061</v>
      </c>
      <c r="J241" s="151" t="s">
        <v>100</v>
      </c>
      <c r="K241" s="151" t="s">
        <v>99</v>
      </c>
      <c r="L241" s="153">
        <v>19729</v>
      </c>
      <c r="M241" s="151">
        <v>71</v>
      </c>
      <c r="N241" s="151" t="s">
        <v>1062</v>
      </c>
      <c r="O241" s="153">
        <v>49412</v>
      </c>
      <c r="P241" s="151" t="s">
        <v>52</v>
      </c>
      <c r="Q241" s="151"/>
      <c r="R241" s="173">
        <v>45918</v>
      </c>
      <c r="S241" s="174">
        <v>45923</v>
      </c>
      <c r="T241" s="175">
        <f>S241-R241</f>
        <v>5</v>
      </c>
      <c r="U241" s="151">
        <v>1</v>
      </c>
      <c r="V241" s="151">
        <v>1</v>
      </c>
      <c r="W241" s="151">
        <v>0</v>
      </c>
      <c r="X241" s="151">
        <v>0</v>
      </c>
      <c r="Y241" s="151">
        <v>0</v>
      </c>
      <c r="Z241" s="151">
        <v>0</v>
      </c>
      <c r="AA241" s="151">
        <v>0</v>
      </c>
      <c r="AB241" s="151"/>
      <c r="AC241" s="153">
        <v>45918</v>
      </c>
      <c r="AD241" s="154">
        <v>0.59027777778101154</v>
      </c>
      <c r="AE241" s="151" t="s">
        <v>111</v>
      </c>
      <c r="AF241" s="153">
        <v>45923</v>
      </c>
      <c r="AG241" s="154">
        <v>0.83680555555474712</v>
      </c>
      <c r="AH241" s="151" t="s">
        <v>977</v>
      </c>
      <c r="AI241" s="151" t="s">
        <v>938</v>
      </c>
      <c r="AJ241" s="151" t="s">
        <v>104</v>
      </c>
      <c r="AK241" s="151" t="s">
        <v>104</v>
      </c>
      <c r="AL241" s="151" t="s">
        <v>58</v>
      </c>
      <c r="AM241" s="188" t="s">
        <v>1224</v>
      </c>
      <c r="AN241" s="188" t="s">
        <v>1231</v>
      </c>
      <c r="AO241" s="188"/>
      <c r="AP241" s="155"/>
    </row>
    <row r="242" spans="3:42" ht="14.25" customHeight="1">
      <c r="C242" s="156">
        <f>IF($X242=1,COUNTIF($C$10:C241,"&gt;0")+1,"")</f>
        <v>118</v>
      </c>
      <c r="D242" s="151">
        <v>15262749</v>
      </c>
      <c r="E242" s="151" t="s">
        <v>933</v>
      </c>
      <c r="F242" s="152" t="s">
        <v>1063</v>
      </c>
      <c r="G242" s="151" t="s">
        <v>1063</v>
      </c>
      <c r="H242" s="151" t="s">
        <v>1064</v>
      </c>
      <c r="I242" s="151" t="s">
        <v>150</v>
      </c>
      <c r="J242" s="151" t="s">
        <v>98</v>
      </c>
      <c r="K242" s="151" t="s">
        <v>99</v>
      </c>
      <c r="L242" s="153">
        <v>26360</v>
      </c>
      <c r="M242" s="151">
        <v>53</v>
      </c>
      <c r="N242" s="151" t="s">
        <v>1065</v>
      </c>
      <c r="O242" s="153">
        <v>46735</v>
      </c>
      <c r="P242" s="151" t="s">
        <v>50</v>
      </c>
      <c r="Q242" s="151"/>
      <c r="R242" s="173">
        <v>45918</v>
      </c>
      <c r="S242" s="174">
        <v>45923</v>
      </c>
      <c r="T242" s="175">
        <f>S242-R242</f>
        <v>5</v>
      </c>
      <c r="U242" s="151">
        <v>1</v>
      </c>
      <c r="V242" s="151">
        <v>1</v>
      </c>
      <c r="W242" s="151">
        <v>0</v>
      </c>
      <c r="X242" s="151">
        <v>1</v>
      </c>
      <c r="Y242" s="151">
        <v>1</v>
      </c>
      <c r="Z242" s="151">
        <v>0</v>
      </c>
      <c r="AA242" s="151">
        <v>0</v>
      </c>
      <c r="AB242" s="151"/>
      <c r="AC242" s="153">
        <v>45917</v>
      </c>
      <c r="AD242" s="154">
        <v>0.64583333333575865</v>
      </c>
      <c r="AE242" s="151" t="s">
        <v>122</v>
      </c>
      <c r="AF242" s="153">
        <v>45929</v>
      </c>
      <c r="AG242" s="154">
        <v>0.72569444444525288</v>
      </c>
      <c r="AH242" s="151" t="s">
        <v>123</v>
      </c>
      <c r="AI242" s="151" t="s">
        <v>938</v>
      </c>
      <c r="AJ242" s="151" t="s">
        <v>104</v>
      </c>
      <c r="AK242" s="151" t="s">
        <v>104</v>
      </c>
      <c r="AL242" s="151" t="s">
        <v>58</v>
      </c>
      <c r="AM242" s="188" t="s">
        <v>1224</v>
      </c>
      <c r="AN242" s="188" t="s">
        <v>1232</v>
      </c>
      <c r="AO242" s="188"/>
      <c r="AP242" s="155"/>
    </row>
    <row r="243" spans="3:42" ht="14.25" customHeight="1">
      <c r="C243" s="156" t="str">
        <f>IF($X243=1,COUNTIF($C$10:C242,"&gt;0")+1,"")</f>
        <v/>
      </c>
      <c r="D243" s="151"/>
      <c r="E243" s="151" t="s">
        <v>1118</v>
      </c>
      <c r="F243" s="152" t="s">
        <v>1196</v>
      </c>
      <c r="G243" s="151" t="s">
        <v>1184</v>
      </c>
      <c r="H243" s="151" t="s">
        <v>1197</v>
      </c>
      <c r="I243" s="151" t="s">
        <v>605</v>
      </c>
      <c r="J243" s="151" t="s">
        <v>100</v>
      </c>
      <c r="K243" s="151" t="s">
        <v>99</v>
      </c>
      <c r="L243" s="153">
        <v>19149</v>
      </c>
      <c r="M243" s="151">
        <v>73</v>
      </c>
      <c r="N243" s="151" t="s">
        <v>1198</v>
      </c>
      <c r="O243" s="153">
        <v>46207</v>
      </c>
      <c r="P243" s="151" t="s">
        <v>52</v>
      </c>
      <c r="Q243" s="151"/>
      <c r="R243" s="173">
        <v>45918</v>
      </c>
      <c r="S243" s="174">
        <v>45923</v>
      </c>
      <c r="T243" s="175">
        <f>S243-R243</f>
        <v>5</v>
      </c>
      <c r="U243" s="151">
        <v>1</v>
      </c>
      <c r="V243" s="151">
        <v>1</v>
      </c>
      <c r="W243" s="151">
        <v>0</v>
      </c>
      <c r="X243" s="151">
        <v>0</v>
      </c>
      <c r="Y243" s="151">
        <v>0</v>
      </c>
      <c r="Z243" s="151">
        <v>0</v>
      </c>
      <c r="AA243" s="151">
        <v>0</v>
      </c>
      <c r="AB243" s="151"/>
      <c r="AC243" s="153">
        <v>45918</v>
      </c>
      <c r="AD243" s="154">
        <v>0.74305555555474712</v>
      </c>
      <c r="AE243" s="151" t="s">
        <v>720</v>
      </c>
      <c r="AF243" s="153">
        <v>45923</v>
      </c>
      <c r="AG243" s="154">
        <v>0.46527777778101154</v>
      </c>
      <c r="AH243" s="151" t="s">
        <v>1188</v>
      </c>
      <c r="AI243" s="151" t="s">
        <v>1123</v>
      </c>
      <c r="AJ243" s="151" t="s">
        <v>104</v>
      </c>
      <c r="AK243" s="151" t="s">
        <v>104</v>
      </c>
      <c r="AL243" s="151" t="s">
        <v>58</v>
      </c>
      <c r="AM243" s="188" t="s">
        <v>1224</v>
      </c>
      <c r="AN243" s="188" t="s">
        <v>1234</v>
      </c>
      <c r="AO243" s="188"/>
      <c r="AP243" s="155"/>
    </row>
    <row r="244" spans="3:42" ht="14.25" customHeight="1">
      <c r="C244" s="156">
        <f>IF($X244=1,COUNTIF($C$10:C243,"&gt;0")+1,"")</f>
        <v>119</v>
      </c>
      <c r="D244" s="151">
        <v>15262751</v>
      </c>
      <c r="E244" s="151" t="s">
        <v>933</v>
      </c>
      <c r="F244" s="152" t="s">
        <v>1072</v>
      </c>
      <c r="G244" s="151" t="s">
        <v>1072</v>
      </c>
      <c r="H244" s="151" t="s">
        <v>1073</v>
      </c>
      <c r="I244" s="151" t="s">
        <v>1074</v>
      </c>
      <c r="J244" s="151" t="s">
        <v>100</v>
      </c>
      <c r="K244" s="151" t="s">
        <v>99</v>
      </c>
      <c r="L244" s="153">
        <v>26022</v>
      </c>
      <c r="M244" s="151">
        <v>54</v>
      </c>
      <c r="N244" s="151" t="s">
        <v>1075</v>
      </c>
      <c r="O244" s="153">
        <v>48650</v>
      </c>
      <c r="P244" s="151" t="s">
        <v>51</v>
      </c>
      <c r="Q244" s="151"/>
      <c r="R244" s="173">
        <v>45918</v>
      </c>
      <c r="S244" s="174">
        <v>45923</v>
      </c>
      <c r="T244" s="175">
        <f>S244-R244</f>
        <v>5</v>
      </c>
      <c r="U244" s="151">
        <v>1</v>
      </c>
      <c r="V244" s="151">
        <v>1</v>
      </c>
      <c r="W244" s="151">
        <v>0</v>
      </c>
      <c r="X244" s="151">
        <v>1</v>
      </c>
      <c r="Y244" s="151">
        <v>0</v>
      </c>
      <c r="Z244" s="151">
        <v>1</v>
      </c>
      <c r="AA244" s="151">
        <v>0</v>
      </c>
      <c r="AB244" s="151"/>
      <c r="AC244" s="153">
        <v>45918</v>
      </c>
      <c r="AD244" s="154">
        <v>0.70138888889050577</v>
      </c>
      <c r="AE244" s="151" t="s">
        <v>1076</v>
      </c>
      <c r="AF244" s="153">
        <v>45923</v>
      </c>
      <c r="AG244" s="154">
        <v>0.4375</v>
      </c>
      <c r="AH244" s="151" t="s">
        <v>1077</v>
      </c>
      <c r="AI244" s="151" t="s">
        <v>938</v>
      </c>
      <c r="AJ244" s="151" t="s">
        <v>109</v>
      </c>
      <c r="AK244" s="151" t="s">
        <v>110</v>
      </c>
      <c r="AL244" s="151" t="s">
        <v>58</v>
      </c>
      <c r="AM244" s="188" t="s">
        <v>1224</v>
      </c>
      <c r="AN244" s="188" t="s">
        <v>1228</v>
      </c>
      <c r="AO244" s="188"/>
      <c r="AP244" s="155"/>
    </row>
    <row r="245" spans="3:42" ht="14.25" customHeight="1">
      <c r="C245" s="156" t="str">
        <f>IF($X245=1,COUNTIF($C$10:C244,"&gt;0")+1,"")</f>
        <v/>
      </c>
      <c r="D245" s="151"/>
      <c r="E245" s="151" t="s">
        <v>933</v>
      </c>
      <c r="F245" s="152" t="s">
        <v>1078</v>
      </c>
      <c r="G245" s="151" t="s">
        <v>1072</v>
      </c>
      <c r="H245" s="151" t="s">
        <v>1079</v>
      </c>
      <c r="I245" s="151" t="s">
        <v>1080</v>
      </c>
      <c r="J245" s="151" t="s">
        <v>100</v>
      </c>
      <c r="K245" s="151" t="s">
        <v>99</v>
      </c>
      <c r="L245" s="153">
        <v>24126</v>
      </c>
      <c r="M245" s="151">
        <v>59</v>
      </c>
      <c r="N245" s="151" t="s">
        <v>1081</v>
      </c>
      <c r="O245" s="153">
        <v>46643</v>
      </c>
      <c r="P245" s="151" t="s">
        <v>51</v>
      </c>
      <c r="Q245" s="151"/>
      <c r="R245" s="173">
        <v>45918</v>
      </c>
      <c r="S245" s="174">
        <v>45923</v>
      </c>
      <c r="T245" s="175">
        <f>S245-R245</f>
        <v>5</v>
      </c>
      <c r="U245" s="151">
        <v>1</v>
      </c>
      <c r="V245" s="151">
        <v>1</v>
      </c>
      <c r="W245" s="151">
        <v>0</v>
      </c>
      <c r="X245" s="151">
        <v>0</v>
      </c>
      <c r="Y245" s="151">
        <v>0</v>
      </c>
      <c r="Z245" s="151">
        <v>0</v>
      </c>
      <c r="AA245" s="151">
        <v>0</v>
      </c>
      <c r="AB245" s="151"/>
      <c r="AC245" s="153">
        <v>45918</v>
      </c>
      <c r="AD245" s="154">
        <v>0.70138888889050577</v>
      </c>
      <c r="AE245" s="151" t="s">
        <v>1076</v>
      </c>
      <c r="AF245" s="153">
        <v>45923</v>
      </c>
      <c r="AG245" s="154">
        <v>0.4375</v>
      </c>
      <c r="AH245" s="151" t="s">
        <v>1077</v>
      </c>
      <c r="AI245" s="151" t="s">
        <v>938</v>
      </c>
      <c r="AJ245" s="151" t="s">
        <v>104</v>
      </c>
      <c r="AK245" s="151" t="s">
        <v>104</v>
      </c>
      <c r="AL245" s="151" t="s">
        <v>58</v>
      </c>
      <c r="AM245" s="188" t="s">
        <v>1224</v>
      </c>
      <c r="AN245" s="188" t="s">
        <v>1228</v>
      </c>
      <c r="AO245" s="188"/>
      <c r="AP245" s="155"/>
    </row>
    <row r="246" spans="3:42" ht="14.25" customHeight="1">
      <c r="C246" s="156">
        <f>IF($X246=1,COUNTIF($C$10:C245,"&gt;0")+1,"")</f>
        <v>120</v>
      </c>
      <c r="D246" s="151">
        <v>15262752</v>
      </c>
      <c r="E246" s="151" t="s">
        <v>933</v>
      </c>
      <c r="F246" s="152" t="s">
        <v>1082</v>
      </c>
      <c r="G246" s="151" t="s">
        <v>1082</v>
      </c>
      <c r="H246" s="151" t="s">
        <v>1083</v>
      </c>
      <c r="I246" s="151" t="s">
        <v>1084</v>
      </c>
      <c r="J246" s="151" t="s">
        <v>100</v>
      </c>
      <c r="K246" s="151" t="s">
        <v>99</v>
      </c>
      <c r="L246" s="153">
        <v>36371</v>
      </c>
      <c r="M246" s="151">
        <v>26</v>
      </c>
      <c r="N246" s="151" t="s">
        <v>1085</v>
      </c>
      <c r="O246" s="153">
        <v>47805</v>
      </c>
      <c r="P246" s="151" t="s">
        <v>52</v>
      </c>
      <c r="Q246" s="151"/>
      <c r="R246" s="173">
        <v>45918</v>
      </c>
      <c r="S246" s="174">
        <v>45923</v>
      </c>
      <c r="T246" s="175">
        <f>S246-R246</f>
        <v>5</v>
      </c>
      <c r="U246" s="151">
        <v>1</v>
      </c>
      <c r="V246" s="151">
        <v>1</v>
      </c>
      <c r="W246" s="151">
        <v>0</v>
      </c>
      <c r="X246" s="151">
        <v>1</v>
      </c>
      <c r="Y246" s="151">
        <v>0</v>
      </c>
      <c r="Z246" s="151">
        <v>0</v>
      </c>
      <c r="AA246" s="151">
        <v>1</v>
      </c>
      <c r="AB246" s="151"/>
      <c r="AC246" s="153">
        <v>45916</v>
      </c>
      <c r="AD246" s="154">
        <v>0.69444444444525288</v>
      </c>
      <c r="AE246" s="151" t="s">
        <v>1010</v>
      </c>
      <c r="AF246" s="153">
        <v>45923</v>
      </c>
      <c r="AG246" s="154">
        <v>0.39583333333575865</v>
      </c>
      <c r="AH246" s="151" t="s">
        <v>1011</v>
      </c>
      <c r="AI246" s="151" t="s">
        <v>938</v>
      </c>
      <c r="AJ246" s="151" t="s">
        <v>104</v>
      </c>
      <c r="AK246" s="151" t="s">
        <v>104</v>
      </c>
      <c r="AL246" s="151" t="s">
        <v>58</v>
      </c>
      <c r="AM246" s="188" t="s">
        <v>1224</v>
      </c>
      <c r="AN246" s="188" t="s">
        <v>1231</v>
      </c>
      <c r="AO246" s="188"/>
      <c r="AP246" s="155"/>
    </row>
    <row r="247" spans="3:42" ht="14.25" customHeight="1">
      <c r="C247" s="156" t="str">
        <f>IF($X247=1,COUNTIF($C$10:C246,"&gt;0")+1,"")</f>
        <v/>
      </c>
      <c r="D247" s="151"/>
      <c r="E247" s="151" t="s">
        <v>933</v>
      </c>
      <c r="F247" s="152" t="s">
        <v>1086</v>
      </c>
      <c r="G247" s="151" t="s">
        <v>1082</v>
      </c>
      <c r="H247" s="151" t="s">
        <v>1087</v>
      </c>
      <c r="I247" s="151" t="s">
        <v>1084</v>
      </c>
      <c r="J247" s="151" t="s">
        <v>100</v>
      </c>
      <c r="K247" s="151" t="s">
        <v>99</v>
      </c>
      <c r="L247" s="153">
        <v>25099</v>
      </c>
      <c r="M247" s="151">
        <v>57</v>
      </c>
      <c r="N247" s="151" t="s">
        <v>1088</v>
      </c>
      <c r="O247" s="153">
        <v>47861</v>
      </c>
      <c r="P247" s="151" t="s">
        <v>52</v>
      </c>
      <c r="Q247" s="151"/>
      <c r="R247" s="173">
        <v>45918</v>
      </c>
      <c r="S247" s="174">
        <v>45923</v>
      </c>
      <c r="T247" s="175">
        <f>S247-R247</f>
        <v>5</v>
      </c>
      <c r="U247" s="151">
        <v>1</v>
      </c>
      <c r="V247" s="151">
        <v>1</v>
      </c>
      <c r="W247" s="151">
        <v>0</v>
      </c>
      <c r="X247" s="151">
        <v>0</v>
      </c>
      <c r="Y247" s="151">
        <v>0</v>
      </c>
      <c r="Z247" s="151">
        <v>0</v>
      </c>
      <c r="AA247" s="151">
        <v>0</v>
      </c>
      <c r="AB247" s="151"/>
      <c r="AC247" s="153">
        <v>45916</v>
      </c>
      <c r="AD247" s="154">
        <v>0.69444444444525288</v>
      </c>
      <c r="AE247" s="151" t="s">
        <v>1010</v>
      </c>
      <c r="AF247" s="153">
        <v>45923</v>
      </c>
      <c r="AG247" s="154">
        <v>0.75347222221898846</v>
      </c>
      <c r="AH247" s="151" t="s">
        <v>159</v>
      </c>
      <c r="AI247" s="151" t="s">
        <v>938</v>
      </c>
      <c r="AJ247" s="151" t="s">
        <v>104</v>
      </c>
      <c r="AK247" s="151" t="s">
        <v>104</v>
      </c>
      <c r="AL247" s="151" t="s">
        <v>58</v>
      </c>
      <c r="AM247" s="188" t="s">
        <v>1224</v>
      </c>
      <c r="AN247" s="188" t="s">
        <v>1231</v>
      </c>
      <c r="AO247" s="188"/>
      <c r="AP247" s="155"/>
    </row>
    <row r="248" spans="3:42" ht="14.25" customHeight="1">
      <c r="C248" s="156">
        <f>IF($X248=1,COUNTIF($C$10:C247,"&gt;0")+1,"")</f>
        <v>121</v>
      </c>
      <c r="D248" s="151">
        <v>15262757</v>
      </c>
      <c r="E248" s="151" t="s">
        <v>933</v>
      </c>
      <c r="F248" s="152" t="s">
        <v>1089</v>
      </c>
      <c r="G248" s="151" t="s">
        <v>1089</v>
      </c>
      <c r="H248" s="151" t="s">
        <v>1090</v>
      </c>
      <c r="I248" s="151" t="s">
        <v>1091</v>
      </c>
      <c r="J248" s="151" t="s">
        <v>100</v>
      </c>
      <c r="K248" s="151" t="s">
        <v>99</v>
      </c>
      <c r="L248" s="153">
        <v>27248</v>
      </c>
      <c r="M248" s="151">
        <v>51</v>
      </c>
      <c r="N248" s="151" t="s">
        <v>1092</v>
      </c>
      <c r="O248" s="153">
        <v>48111</v>
      </c>
      <c r="P248" s="151" t="s">
        <v>50</v>
      </c>
      <c r="Q248" s="151"/>
      <c r="R248" s="173">
        <v>45918</v>
      </c>
      <c r="S248" s="174">
        <v>45923</v>
      </c>
      <c r="T248" s="175">
        <f>S248-R248</f>
        <v>5</v>
      </c>
      <c r="U248" s="151">
        <v>1</v>
      </c>
      <c r="V248" s="151">
        <v>1</v>
      </c>
      <c r="W248" s="151">
        <v>0</v>
      </c>
      <c r="X248" s="151">
        <v>1</v>
      </c>
      <c r="Y248" s="151">
        <v>1</v>
      </c>
      <c r="Z248" s="151">
        <v>0</v>
      </c>
      <c r="AA248" s="151">
        <v>0</v>
      </c>
      <c r="AB248" s="151"/>
      <c r="AC248" s="153">
        <v>45918</v>
      </c>
      <c r="AD248" s="154">
        <v>0.59027777778101154</v>
      </c>
      <c r="AE248" s="151" t="s">
        <v>1093</v>
      </c>
      <c r="AF248" s="153">
        <v>45923</v>
      </c>
      <c r="AG248" s="154">
        <v>0.75347222221898846</v>
      </c>
      <c r="AH248" s="151" t="s">
        <v>159</v>
      </c>
      <c r="AI248" s="151" t="s">
        <v>938</v>
      </c>
      <c r="AJ248" s="151" t="s">
        <v>104</v>
      </c>
      <c r="AK248" s="151" t="s">
        <v>104</v>
      </c>
      <c r="AL248" s="151" t="s">
        <v>58</v>
      </c>
      <c r="AM248" s="188" t="s">
        <v>1224</v>
      </c>
      <c r="AN248" s="188" t="s">
        <v>1232</v>
      </c>
      <c r="AO248" s="188"/>
      <c r="AP248" s="155"/>
    </row>
    <row r="249" spans="3:42" ht="14.25" customHeight="1">
      <c r="C249" s="156">
        <f>IF($X249=1,COUNTIF($C$10:C248,"&gt;0")+1,"")</f>
        <v>122</v>
      </c>
      <c r="D249" s="151">
        <v>15262758</v>
      </c>
      <c r="E249" s="151" t="s">
        <v>1094</v>
      </c>
      <c r="F249" s="152" t="s">
        <v>1095</v>
      </c>
      <c r="G249" s="151" t="s">
        <v>1095</v>
      </c>
      <c r="H249" s="151" t="s">
        <v>1096</v>
      </c>
      <c r="I249" s="151" t="s">
        <v>1097</v>
      </c>
      <c r="J249" s="151" t="s">
        <v>100</v>
      </c>
      <c r="K249" s="151" t="s">
        <v>99</v>
      </c>
      <c r="L249" s="153">
        <v>21465</v>
      </c>
      <c r="M249" s="151">
        <v>66</v>
      </c>
      <c r="N249" s="151" t="s">
        <v>1098</v>
      </c>
      <c r="O249" s="153">
        <v>49214</v>
      </c>
      <c r="P249" s="151" t="s">
        <v>51</v>
      </c>
      <c r="Q249" s="151"/>
      <c r="R249" s="173">
        <v>45918</v>
      </c>
      <c r="S249" s="174">
        <v>45923</v>
      </c>
      <c r="T249" s="175">
        <f>S249-R249</f>
        <v>5</v>
      </c>
      <c r="U249" s="151">
        <v>1</v>
      </c>
      <c r="V249" s="151">
        <v>1</v>
      </c>
      <c r="W249" s="151">
        <v>0</v>
      </c>
      <c r="X249" s="151">
        <v>1</v>
      </c>
      <c r="Y249" s="151">
        <v>0</v>
      </c>
      <c r="Z249" s="151">
        <v>1</v>
      </c>
      <c r="AA249" s="151">
        <v>0</v>
      </c>
      <c r="AB249" s="151"/>
      <c r="AC249" s="153">
        <v>45918</v>
      </c>
      <c r="AD249" s="154">
        <v>0.72222222221898846</v>
      </c>
      <c r="AE249" s="151" t="s">
        <v>120</v>
      </c>
      <c r="AF249" s="153">
        <v>45923</v>
      </c>
      <c r="AG249" s="154">
        <v>0.66666666666424135</v>
      </c>
      <c r="AH249" s="151" t="s">
        <v>121</v>
      </c>
      <c r="AI249" s="151" t="s">
        <v>1099</v>
      </c>
      <c r="AJ249" s="151" t="s">
        <v>104</v>
      </c>
      <c r="AK249" s="151" t="s">
        <v>104</v>
      </c>
      <c r="AL249" s="151" t="s">
        <v>58</v>
      </c>
      <c r="AM249" s="188" t="s">
        <v>1224</v>
      </c>
      <c r="AN249" s="188" t="s">
        <v>1233</v>
      </c>
      <c r="AO249" s="188"/>
      <c r="AP249" s="155"/>
    </row>
    <row r="250" spans="3:42" ht="14.25" customHeight="1">
      <c r="C250" s="156" t="str">
        <f>IF($X250=1,COUNTIF($C$10:C249,"&gt;0")+1,"")</f>
        <v/>
      </c>
      <c r="D250" s="151"/>
      <c r="E250" s="151" t="s">
        <v>1094</v>
      </c>
      <c r="F250" s="152" t="s">
        <v>1100</v>
      </c>
      <c r="G250" s="151" t="s">
        <v>1095</v>
      </c>
      <c r="H250" s="151" t="s">
        <v>1101</v>
      </c>
      <c r="I250" s="151" t="s">
        <v>1097</v>
      </c>
      <c r="J250" s="151" t="s">
        <v>98</v>
      </c>
      <c r="K250" s="151" t="s">
        <v>99</v>
      </c>
      <c r="L250" s="153">
        <v>19377</v>
      </c>
      <c r="M250" s="151">
        <v>72</v>
      </c>
      <c r="N250" s="151" t="s">
        <v>1102</v>
      </c>
      <c r="O250" s="153">
        <v>48454</v>
      </c>
      <c r="P250" s="151" t="s">
        <v>51</v>
      </c>
      <c r="Q250" s="151"/>
      <c r="R250" s="173">
        <v>45918</v>
      </c>
      <c r="S250" s="174">
        <v>45923</v>
      </c>
      <c r="T250" s="175">
        <f>S250-R250</f>
        <v>5</v>
      </c>
      <c r="U250" s="151">
        <v>1</v>
      </c>
      <c r="V250" s="151">
        <v>1</v>
      </c>
      <c r="W250" s="151">
        <v>0</v>
      </c>
      <c r="X250" s="151">
        <v>0</v>
      </c>
      <c r="Y250" s="151">
        <v>0</v>
      </c>
      <c r="Z250" s="151">
        <v>0</v>
      </c>
      <c r="AA250" s="151">
        <v>0</v>
      </c>
      <c r="AB250" s="151"/>
      <c r="AC250" s="153">
        <v>45918</v>
      </c>
      <c r="AD250" s="154">
        <v>0.72222222221898846</v>
      </c>
      <c r="AE250" s="151" t="s">
        <v>120</v>
      </c>
      <c r="AF250" s="153">
        <v>45923</v>
      </c>
      <c r="AG250" s="154">
        <v>0.66666666666424135</v>
      </c>
      <c r="AH250" s="151" t="s">
        <v>121</v>
      </c>
      <c r="AI250" s="151" t="s">
        <v>1099</v>
      </c>
      <c r="AJ250" s="151" t="s">
        <v>104</v>
      </c>
      <c r="AK250" s="151" t="s">
        <v>104</v>
      </c>
      <c r="AL250" s="151" t="s">
        <v>58</v>
      </c>
      <c r="AM250" s="188" t="s">
        <v>1224</v>
      </c>
      <c r="AN250" s="188" t="s">
        <v>1233</v>
      </c>
      <c r="AO250" s="188"/>
      <c r="AP250" s="155"/>
    </row>
    <row r="251" spans="3:42" ht="14.25" customHeight="1">
      <c r="C251" s="156">
        <f>IF($X251=1,COUNTIF($C$10:C250,"&gt;0")+1,"")</f>
        <v>123</v>
      </c>
      <c r="D251" s="151">
        <v>15262759</v>
      </c>
      <c r="E251" s="151" t="s">
        <v>1094</v>
      </c>
      <c r="F251" s="152" t="s">
        <v>1103</v>
      </c>
      <c r="G251" s="151" t="s">
        <v>1103</v>
      </c>
      <c r="H251" s="151" t="s">
        <v>1104</v>
      </c>
      <c r="I251" s="151" t="s">
        <v>1105</v>
      </c>
      <c r="J251" s="151" t="s">
        <v>100</v>
      </c>
      <c r="K251" s="151" t="s">
        <v>99</v>
      </c>
      <c r="L251" s="153">
        <v>21108</v>
      </c>
      <c r="M251" s="151">
        <v>67</v>
      </c>
      <c r="N251" s="151" t="s">
        <v>1106</v>
      </c>
      <c r="O251" s="153">
        <v>48138</v>
      </c>
      <c r="P251" s="151" t="s">
        <v>51</v>
      </c>
      <c r="Q251" s="151"/>
      <c r="R251" s="173">
        <v>45918</v>
      </c>
      <c r="S251" s="174">
        <v>45923</v>
      </c>
      <c r="T251" s="175">
        <f>S251-R251</f>
        <v>5</v>
      </c>
      <c r="U251" s="151">
        <v>1</v>
      </c>
      <c r="V251" s="151">
        <v>1</v>
      </c>
      <c r="W251" s="151">
        <v>0</v>
      </c>
      <c r="X251" s="151">
        <v>1</v>
      </c>
      <c r="Y251" s="151">
        <v>0</v>
      </c>
      <c r="Z251" s="151">
        <v>1</v>
      </c>
      <c r="AA251" s="151">
        <v>0</v>
      </c>
      <c r="AB251" s="151"/>
      <c r="AC251" s="153">
        <v>45918</v>
      </c>
      <c r="AD251" s="154">
        <v>0.39583333333575865</v>
      </c>
      <c r="AE251" s="151" t="s">
        <v>1107</v>
      </c>
      <c r="AF251" s="153">
        <v>45923</v>
      </c>
      <c r="AG251" s="154">
        <v>0.32638888889050577</v>
      </c>
      <c r="AH251" s="151" t="s">
        <v>140</v>
      </c>
      <c r="AI251" s="151" t="s">
        <v>1099</v>
      </c>
      <c r="AJ251" s="151" t="s">
        <v>104</v>
      </c>
      <c r="AK251" s="151"/>
      <c r="AL251" s="151" t="s">
        <v>58</v>
      </c>
      <c r="AM251" s="188" t="s">
        <v>1224</v>
      </c>
      <c r="AN251" s="188" t="s">
        <v>1233</v>
      </c>
      <c r="AO251" s="188"/>
      <c r="AP251" s="155"/>
    </row>
    <row r="252" spans="3:42" ht="14.25" customHeight="1">
      <c r="C252" s="156" t="str">
        <f>IF($X252=1,COUNTIF($C$10:C251,"&gt;0")+1,"")</f>
        <v/>
      </c>
      <c r="D252" s="151"/>
      <c r="E252" s="151" t="s">
        <v>1094</v>
      </c>
      <c r="F252" s="152" t="s">
        <v>1108</v>
      </c>
      <c r="G252" s="151" t="s">
        <v>1103</v>
      </c>
      <c r="H252" s="151" t="s">
        <v>1109</v>
      </c>
      <c r="I252" s="151" t="s">
        <v>1105</v>
      </c>
      <c r="J252" s="151" t="s">
        <v>98</v>
      </c>
      <c r="K252" s="151" t="s">
        <v>99</v>
      </c>
      <c r="L252" s="153">
        <v>19564</v>
      </c>
      <c r="M252" s="151">
        <v>72</v>
      </c>
      <c r="N252" s="151" t="s">
        <v>1110</v>
      </c>
      <c r="O252" s="153">
        <v>46804</v>
      </c>
      <c r="P252" s="151" t="s">
        <v>51</v>
      </c>
      <c r="Q252" s="151"/>
      <c r="R252" s="173">
        <v>45918</v>
      </c>
      <c r="S252" s="174">
        <v>45923</v>
      </c>
      <c r="T252" s="175">
        <f>S252-R252</f>
        <v>5</v>
      </c>
      <c r="U252" s="151">
        <v>1</v>
      </c>
      <c r="V252" s="151">
        <v>1</v>
      </c>
      <c r="W252" s="151">
        <v>0</v>
      </c>
      <c r="X252" s="151">
        <v>0</v>
      </c>
      <c r="Y252" s="151">
        <v>0</v>
      </c>
      <c r="Z252" s="151">
        <v>0</v>
      </c>
      <c r="AA252" s="151">
        <v>0</v>
      </c>
      <c r="AB252" s="151"/>
      <c r="AC252" s="153">
        <v>45918</v>
      </c>
      <c r="AD252" s="154">
        <v>0.39583333333575865</v>
      </c>
      <c r="AE252" s="151" t="s">
        <v>1107</v>
      </c>
      <c r="AF252" s="153">
        <v>45923</v>
      </c>
      <c r="AG252" s="154">
        <v>0.32638888889050577</v>
      </c>
      <c r="AH252" s="151" t="s">
        <v>140</v>
      </c>
      <c r="AI252" s="151" t="s">
        <v>1099</v>
      </c>
      <c r="AJ252" s="151" t="s">
        <v>104</v>
      </c>
      <c r="AK252" s="151"/>
      <c r="AL252" s="151" t="s">
        <v>58</v>
      </c>
      <c r="AM252" s="188" t="s">
        <v>1224</v>
      </c>
      <c r="AN252" s="188" t="s">
        <v>1233</v>
      </c>
      <c r="AO252" s="188"/>
      <c r="AP252" s="155"/>
    </row>
    <row r="253" spans="3:42" ht="14.25" customHeight="1">
      <c r="C253" s="156">
        <f>IF($X253=1,COUNTIF($C$10:C252,"&gt;0")+1,"")</f>
        <v>124</v>
      </c>
      <c r="D253" s="151">
        <v>15262760</v>
      </c>
      <c r="E253" s="151" t="s">
        <v>1094</v>
      </c>
      <c r="F253" s="152" t="s">
        <v>1111</v>
      </c>
      <c r="G253" s="151" t="s">
        <v>1103</v>
      </c>
      <c r="H253" s="151" t="s">
        <v>1112</v>
      </c>
      <c r="I253" s="151" t="s">
        <v>102</v>
      </c>
      <c r="J253" s="151" t="s">
        <v>98</v>
      </c>
      <c r="K253" s="151" t="s">
        <v>99</v>
      </c>
      <c r="L253" s="153">
        <v>21840</v>
      </c>
      <c r="M253" s="151">
        <v>65</v>
      </c>
      <c r="N253" s="151" t="s">
        <v>1113</v>
      </c>
      <c r="O253" s="153">
        <v>47206</v>
      </c>
      <c r="P253" s="151" t="s">
        <v>51</v>
      </c>
      <c r="Q253" s="151"/>
      <c r="R253" s="173">
        <v>45918</v>
      </c>
      <c r="S253" s="174">
        <v>45923</v>
      </c>
      <c r="T253" s="175">
        <f>S253-R253</f>
        <v>5</v>
      </c>
      <c r="U253" s="151">
        <v>1</v>
      </c>
      <c r="V253" s="151">
        <v>1</v>
      </c>
      <c r="W253" s="151">
        <v>0</v>
      </c>
      <c r="X253" s="151">
        <v>1</v>
      </c>
      <c r="Y253" s="151">
        <v>0</v>
      </c>
      <c r="Z253" s="151">
        <v>1</v>
      </c>
      <c r="AA253" s="151">
        <v>0</v>
      </c>
      <c r="AB253" s="151"/>
      <c r="AC253" s="153">
        <v>45918</v>
      </c>
      <c r="AD253" s="154">
        <v>0.30555555555474712</v>
      </c>
      <c r="AE253" s="151" t="s">
        <v>157</v>
      </c>
      <c r="AF253" s="153">
        <v>45923</v>
      </c>
      <c r="AG253" s="154">
        <v>0.34722222221898846</v>
      </c>
      <c r="AH253" s="151" t="s">
        <v>128</v>
      </c>
      <c r="AI253" s="151" t="s">
        <v>1099</v>
      </c>
      <c r="AJ253" s="151" t="s">
        <v>104</v>
      </c>
      <c r="AK253" s="151" t="s">
        <v>104</v>
      </c>
      <c r="AL253" s="151" t="s">
        <v>58</v>
      </c>
      <c r="AM253" s="188" t="s">
        <v>1224</v>
      </c>
      <c r="AN253" s="188" t="s">
        <v>1233</v>
      </c>
      <c r="AO253" s="188"/>
      <c r="AP253" s="155"/>
    </row>
    <row r="254" spans="3:42" ht="14.25" customHeight="1">
      <c r="C254" s="156" t="str">
        <f>IF($X254=1,COUNTIF($C$10:C253,"&gt;0")+1,"")</f>
        <v/>
      </c>
      <c r="D254" s="151"/>
      <c r="E254" s="151" t="s">
        <v>1094</v>
      </c>
      <c r="F254" s="152" t="s">
        <v>1114</v>
      </c>
      <c r="G254" s="151" t="s">
        <v>1103</v>
      </c>
      <c r="H254" s="151" t="s">
        <v>1115</v>
      </c>
      <c r="I254" s="151" t="s">
        <v>1116</v>
      </c>
      <c r="J254" s="151" t="s">
        <v>100</v>
      </c>
      <c r="K254" s="151" t="s">
        <v>99</v>
      </c>
      <c r="L254" s="153">
        <v>19473</v>
      </c>
      <c r="M254" s="151">
        <v>72</v>
      </c>
      <c r="N254" s="151" t="s">
        <v>1117</v>
      </c>
      <c r="O254" s="153">
        <v>46404</v>
      </c>
      <c r="P254" s="151" t="s">
        <v>51</v>
      </c>
      <c r="Q254" s="151"/>
      <c r="R254" s="173">
        <v>45918</v>
      </c>
      <c r="S254" s="174">
        <v>45923</v>
      </c>
      <c r="T254" s="175">
        <f>S254-R254</f>
        <v>5</v>
      </c>
      <c r="U254" s="151">
        <v>1</v>
      </c>
      <c r="V254" s="151">
        <v>1</v>
      </c>
      <c r="W254" s="151">
        <v>0</v>
      </c>
      <c r="X254" s="151">
        <v>0</v>
      </c>
      <c r="Y254" s="151">
        <v>0</v>
      </c>
      <c r="Z254" s="151">
        <v>0</v>
      </c>
      <c r="AA254" s="151">
        <v>0</v>
      </c>
      <c r="AB254" s="151"/>
      <c r="AC254" s="153">
        <v>45918</v>
      </c>
      <c r="AD254" s="154">
        <v>0.30555555555474712</v>
      </c>
      <c r="AE254" s="151" t="s">
        <v>157</v>
      </c>
      <c r="AF254" s="153">
        <v>45923</v>
      </c>
      <c r="AG254" s="154">
        <v>0.34722222221898846</v>
      </c>
      <c r="AH254" s="151" t="s">
        <v>128</v>
      </c>
      <c r="AI254" s="151" t="s">
        <v>1099</v>
      </c>
      <c r="AJ254" s="151" t="s">
        <v>104</v>
      </c>
      <c r="AK254" s="151" t="s">
        <v>104</v>
      </c>
      <c r="AL254" s="151" t="s">
        <v>58</v>
      </c>
      <c r="AM254" s="188" t="s">
        <v>1224</v>
      </c>
      <c r="AN254" s="188" t="s">
        <v>1233</v>
      </c>
      <c r="AO254" s="188"/>
      <c r="AP254" s="155"/>
    </row>
    <row r="255" spans="3:42" ht="14.25" customHeight="1">
      <c r="C255" s="156">
        <f>IF($X255=1,COUNTIF($C$10:C254,"&gt;0")+1,"")</f>
        <v>125</v>
      </c>
      <c r="D255" s="151">
        <v>15262761</v>
      </c>
      <c r="E255" s="151" t="s">
        <v>1118</v>
      </c>
      <c r="F255" s="152" t="s">
        <v>1119</v>
      </c>
      <c r="G255" s="151" t="s">
        <v>1119</v>
      </c>
      <c r="H255" s="151" t="s">
        <v>1120</v>
      </c>
      <c r="I255" s="151" t="s">
        <v>1121</v>
      </c>
      <c r="J255" s="151" t="s">
        <v>100</v>
      </c>
      <c r="K255" s="151" t="s">
        <v>103</v>
      </c>
      <c r="L255" s="153">
        <v>37224</v>
      </c>
      <c r="M255" s="151">
        <v>23</v>
      </c>
      <c r="N255" s="151" t="s">
        <v>1122</v>
      </c>
      <c r="O255" s="153">
        <v>47867</v>
      </c>
      <c r="P255" s="151" t="s">
        <v>51</v>
      </c>
      <c r="Q255" s="151"/>
      <c r="R255" s="173">
        <v>45918</v>
      </c>
      <c r="S255" s="174">
        <v>45923</v>
      </c>
      <c r="T255" s="175">
        <f>S255-R255</f>
        <v>5</v>
      </c>
      <c r="U255" s="151">
        <v>1</v>
      </c>
      <c r="V255" s="151">
        <v>1</v>
      </c>
      <c r="W255" s="151">
        <v>0</v>
      </c>
      <c r="X255" s="151">
        <v>1</v>
      </c>
      <c r="Y255" s="151">
        <v>0</v>
      </c>
      <c r="Z255" s="151">
        <v>1</v>
      </c>
      <c r="AA255" s="151">
        <v>0</v>
      </c>
      <c r="AB255" s="151"/>
      <c r="AC255" s="153">
        <v>45918</v>
      </c>
      <c r="AD255" s="154">
        <v>0.67013888889050577</v>
      </c>
      <c r="AE255" s="151" t="s">
        <v>118</v>
      </c>
      <c r="AF255" s="153">
        <v>45923</v>
      </c>
      <c r="AG255" s="154">
        <v>0.73958333333575865</v>
      </c>
      <c r="AH255" s="151" t="s">
        <v>114</v>
      </c>
      <c r="AI255" s="151" t="s">
        <v>1123</v>
      </c>
      <c r="AJ255" s="151" t="s">
        <v>104</v>
      </c>
      <c r="AK255" s="151" t="s">
        <v>104</v>
      </c>
      <c r="AL255" s="151" t="s">
        <v>58</v>
      </c>
      <c r="AM255" s="188" t="s">
        <v>1224</v>
      </c>
      <c r="AN255" s="188" t="s">
        <v>1233</v>
      </c>
      <c r="AO255" s="188"/>
      <c r="AP255" s="155"/>
    </row>
    <row r="256" spans="3:42" ht="14.25" customHeight="1">
      <c r="C256" s="156" t="str">
        <f>IF($X256=1,COUNTIF($C$10:C255,"&gt;0")+1,"")</f>
        <v/>
      </c>
      <c r="D256" s="151"/>
      <c r="E256" s="151" t="s">
        <v>1118</v>
      </c>
      <c r="F256" s="152" t="s">
        <v>1124</v>
      </c>
      <c r="G256" s="151" t="s">
        <v>1119</v>
      </c>
      <c r="H256" s="151" t="s">
        <v>1125</v>
      </c>
      <c r="I256" s="151" t="s">
        <v>1126</v>
      </c>
      <c r="J256" s="151" t="s">
        <v>100</v>
      </c>
      <c r="K256" s="151" t="s">
        <v>103</v>
      </c>
      <c r="L256" s="153">
        <v>24692</v>
      </c>
      <c r="M256" s="151">
        <v>58</v>
      </c>
      <c r="N256" s="151" t="s">
        <v>1127</v>
      </c>
      <c r="O256" s="153">
        <v>48820</v>
      </c>
      <c r="P256" s="151" t="s">
        <v>51</v>
      </c>
      <c r="Q256" s="151"/>
      <c r="R256" s="173">
        <v>45918</v>
      </c>
      <c r="S256" s="174">
        <v>45923</v>
      </c>
      <c r="T256" s="175">
        <f>S256-R256</f>
        <v>5</v>
      </c>
      <c r="U256" s="151">
        <v>1</v>
      </c>
      <c r="V256" s="151">
        <v>1</v>
      </c>
      <c r="W256" s="151">
        <v>0</v>
      </c>
      <c r="X256" s="151">
        <v>0</v>
      </c>
      <c r="Y256" s="151">
        <v>0</v>
      </c>
      <c r="Z256" s="151">
        <v>0</v>
      </c>
      <c r="AA256" s="151">
        <v>0</v>
      </c>
      <c r="AB256" s="151"/>
      <c r="AC256" s="153">
        <v>45918</v>
      </c>
      <c r="AD256" s="154">
        <v>0.67013888889050577</v>
      </c>
      <c r="AE256" s="151" t="s">
        <v>118</v>
      </c>
      <c r="AF256" s="153">
        <v>45923</v>
      </c>
      <c r="AG256" s="154">
        <v>0.73958333333575865</v>
      </c>
      <c r="AH256" s="151" t="s">
        <v>114</v>
      </c>
      <c r="AI256" s="151" t="s">
        <v>1123</v>
      </c>
      <c r="AJ256" s="151" t="s">
        <v>104</v>
      </c>
      <c r="AK256" s="151" t="s">
        <v>104</v>
      </c>
      <c r="AL256" s="151" t="s">
        <v>58</v>
      </c>
      <c r="AM256" s="188" t="s">
        <v>1224</v>
      </c>
      <c r="AN256" s="188" t="s">
        <v>1233</v>
      </c>
      <c r="AO256" s="188"/>
      <c r="AP256" s="155"/>
    </row>
    <row r="257" spans="3:42" ht="14.25" customHeight="1">
      <c r="C257" s="156">
        <f>IF($X257=1,COUNTIF($C$10:C256,"&gt;0")+1,"")</f>
        <v>126</v>
      </c>
      <c r="D257" s="151">
        <v>15262772</v>
      </c>
      <c r="E257" s="151" t="s">
        <v>1118</v>
      </c>
      <c r="F257" s="152" t="s">
        <v>1199</v>
      </c>
      <c r="G257" s="151" t="s">
        <v>1184</v>
      </c>
      <c r="H257" s="151" t="s">
        <v>1200</v>
      </c>
      <c r="I257" s="151" t="s">
        <v>1201</v>
      </c>
      <c r="J257" s="151" t="s">
        <v>100</v>
      </c>
      <c r="K257" s="151" t="s">
        <v>99</v>
      </c>
      <c r="L257" s="153">
        <v>38462</v>
      </c>
      <c r="M257" s="151">
        <v>20</v>
      </c>
      <c r="N257" s="151" t="s">
        <v>1202</v>
      </c>
      <c r="O257" s="153">
        <v>48141</v>
      </c>
      <c r="P257" s="151" t="s">
        <v>52</v>
      </c>
      <c r="Q257" s="151"/>
      <c r="R257" s="173">
        <v>45918</v>
      </c>
      <c r="S257" s="174">
        <v>45923</v>
      </c>
      <c r="T257" s="175">
        <f>S257-R257</f>
        <v>5</v>
      </c>
      <c r="U257" s="151">
        <v>1</v>
      </c>
      <c r="V257" s="151">
        <v>1</v>
      </c>
      <c r="W257" s="151">
        <v>0</v>
      </c>
      <c r="X257" s="151">
        <v>1</v>
      </c>
      <c r="Y257" s="151">
        <v>0</v>
      </c>
      <c r="Z257" s="151">
        <v>0</v>
      </c>
      <c r="AA257" s="151">
        <v>1</v>
      </c>
      <c r="AB257" s="151"/>
      <c r="AC257" s="153">
        <v>45918</v>
      </c>
      <c r="AD257" s="154">
        <v>0.74305555555474712</v>
      </c>
      <c r="AE257" s="151" t="s">
        <v>720</v>
      </c>
      <c r="AF257" s="153">
        <v>45929</v>
      </c>
      <c r="AG257" s="154">
        <v>0.8125</v>
      </c>
      <c r="AH257" s="151" t="s">
        <v>721</v>
      </c>
      <c r="AI257" s="151" t="s">
        <v>1123</v>
      </c>
      <c r="AJ257" s="151" t="s">
        <v>104</v>
      </c>
      <c r="AK257" s="151" t="s">
        <v>104</v>
      </c>
      <c r="AL257" s="151" t="s">
        <v>58</v>
      </c>
      <c r="AM257" s="188" t="s">
        <v>1224</v>
      </c>
      <c r="AN257" s="188" t="s">
        <v>1234</v>
      </c>
      <c r="AO257" s="188"/>
      <c r="AP257" s="155"/>
    </row>
    <row r="258" spans="3:42" ht="14.25" customHeight="1">
      <c r="C258" s="156" t="str">
        <f>IF($X258=1,COUNTIF($C$10:C257,"&gt;0")+1,"")</f>
        <v/>
      </c>
      <c r="D258" s="151"/>
      <c r="E258" s="151" t="s">
        <v>1118</v>
      </c>
      <c r="F258" s="152" t="s">
        <v>1203</v>
      </c>
      <c r="G258" s="151" t="s">
        <v>1184</v>
      </c>
      <c r="H258" s="151" t="s">
        <v>1200</v>
      </c>
      <c r="I258" s="151" t="s">
        <v>1204</v>
      </c>
      <c r="J258" s="151" t="s">
        <v>100</v>
      </c>
      <c r="K258" s="151" t="s">
        <v>99</v>
      </c>
      <c r="L258" s="153">
        <v>37679</v>
      </c>
      <c r="M258" s="151">
        <v>22</v>
      </c>
      <c r="N258" s="151" t="s">
        <v>1205</v>
      </c>
      <c r="O258" s="153">
        <v>48141</v>
      </c>
      <c r="P258" s="151" t="s">
        <v>52</v>
      </c>
      <c r="Q258" s="151"/>
      <c r="R258" s="173">
        <v>45918</v>
      </c>
      <c r="S258" s="174">
        <v>45923</v>
      </c>
      <c r="T258" s="175">
        <f>S258-R258</f>
        <v>5</v>
      </c>
      <c r="U258" s="151">
        <v>1</v>
      </c>
      <c r="V258" s="151">
        <v>1</v>
      </c>
      <c r="W258" s="151">
        <v>0</v>
      </c>
      <c r="X258" s="151">
        <v>0</v>
      </c>
      <c r="Y258" s="151">
        <v>0</v>
      </c>
      <c r="Z258" s="151">
        <v>0</v>
      </c>
      <c r="AA258" s="151">
        <v>0</v>
      </c>
      <c r="AB258" s="151"/>
      <c r="AC258" s="153">
        <v>45918</v>
      </c>
      <c r="AD258" s="154">
        <v>0.74305555555474712</v>
      </c>
      <c r="AE258" s="151" t="s">
        <v>720</v>
      </c>
      <c r="AF258" s="153">
        <v>45929</v>
      </c>
      <c r="AG258" s="154">
        <v>0.8125</v>
      </c>
      <c r="AH258" s="151" t="s">
        <v>721</v>
      </c>
      <c r="AI258" s="151" t="s">
        <v>1123</v>
      </c>
      <c r="AJ258" s="151" t="s">
        <v>104</v>
      </c>
      <c r="AK258" s="151" t="s">
        <v>104</v>
      </c>
      <c r="AL258" s="151" t="s">
        <v>58</v>
      </c>
      <c r="AM258" s="188" t="s">
        <v>1224</v>
      </c>
      <c r="AN258" s="188" t="s">
        <v>1234</v>
      </c>
      <c r="AO258" s="188"/>
      <c r="AP258" s="155"/>
    </row>
    <row r="259" spans="3:42" ht="14.25" customHeight="1">
      <c r="C259" s="156">
        <f>IF($X259=1,COUNTIF($C$10:C258,"&gt;0")+1,"")</f>
        <v>127</v>
      </c>
      <c r="D259" s="151">
        <v>15262775</v>
      </c>
      <c r="E259" s="151" t="s">
        <v>1118</v>
      </c>
      <c r="F259" s="152" t="s">
        <v>1206</v>
      </c>
      <c r="G259" s="151" t="s">
        <v>1184</v>
      </c>
      <c r="H259" s="151" t="s">
        <v>1207</v>
      </c>
      <c r="I259" s="151" t="s">
        <v>1208</v>
      </c>
      <c r="J259" s="151" t="s">
        <v>98</v>
      </c>
      <c r="K259" s="151" t="s">
        <v>99</v>
      </c>
      <c r="L259" s="153">
        <v>25169</v>
      </c>
      <c r="M259" s="151">
        <v>56</v>
      </c>
      <c r="N259" s="151" t="s">
        <v>1209</v>
      </c>
      <c r="O259" s="153">
        <v>48152</v>
      </c>
      <c r="P259" s="151" t="s">
        <v>50</v>
      </c>
      <c r="Q259" s="151"/>
      <c r="R259" s="173">
        <v>45918</v>
      </c>
      <c r="S259" s="174">
        <v>45923</v>
      </c>
      <c r="T259" s="175">
        <f>S259-R259</f>
        <v>5</v>
      </c>
      <c r="U259" s="151">
        <v>1</v>
      </c>
      <c r="V259" s="151">
        <v>1</v>
      </c>
      <c r="W259" s="151">
        <v>0</v>
      </c>
      <c r="X259" s="151">
        <v>1</v>
      </c>
      <c r="Y259" s="151">
        <v>1</v>
      </c>
      <c r="Z259" s="151">
        <v>0</v>
      </c>
      <c r="AA259" s="151">
        <v>0</v>
      </c>
      <c r="AB259" s="151"/>
      <c r="AC259" s="153">
        <v>45918</v>
      </c>
      <c r="AD259" s="154">
        <v>0.74305555555474712</v>
      </c>
      <c r="AE259" s="151" t="s">
        <v>720</v>
      </c>
      <c r="AF259" s="153">
        <v>45929</v>
      </c>
      <c r="AG259" s="154">
        <v>0.8125</v>
      </c>
      <c r="AH259" s="151" t="s">
        <v>721</v>
      </c>
      <c r="AI259" s="151" t="s">
        <v>1123</v>
      </c>
      <c r="AJ259" s="151" t="s">
        <v>104</v>
      </c>
      <c r="AK259" s="151" t="s">
        <v>104</v>
      </c>
      <c r="AL259" s="151" t="s">
        <v>58</v>
      </c>
      <c r="AM259" s="188" t="s">
        <v>1224</v>
      </c>
      <c r="AN259" s="188" t="s">
        <v>1233</v>
      </c>
      <c r="AO259" s="188"/>
      <c r="AP259" s="155"/>
    </row>
    <row r="260" spans="3:42" ht="14.25" customHeight="1">
      <c r="C260" s="156">
        <f>IF($X260=1,COUNTIF($C$10:C259,"&gt;0")+1,"")</f>
        <v>128</v>
      </c>
      <c r="D260" s="151">
        <v>15262604</v>
      </c>
      <c r="E260" s="151" t="s">
        <v>164</v>
      </c>
      <c r="F260" s="152" t="s">
        <v>185</v>
      </c>
      <c r="G260" s="151" t="s">
        <v>185</v>
      </c>
      <c r="H260" s="151" t="s">
        <v>186</v>
      </c>
      <c r="I260" s="151" t="s">
        <v>187</v>
      </c>
      <c r="J260" s="151" t="s">
        <v>98</v>
      </c>
      <c r="K260" s="151" t="s">
        <v>103</v>
      </c>
      <c r="L260" s="153">
        <v>27200</v>
      </c>
      <c r="M260" s="151">
        <v>51</v>
      </c>
      <c r="N260" s="151" t="s">
        <v>188</v>
      </c>
      <c r="O260" s="153">
        <v>48494</v>
      </c>
      <c r="P260" s="151" t="s">
        <v>51</v>
      </c>
      <c r="Q260" s="151"/>
      <c r="R260" s="173">
        <v>45918</v>
      </c>
      <c r="S260" s="174">
        <v>45923</v>
      </c>
      <c r="T260" s="175">
        <f>S260-R260</f>
        <v>5</v>
      </c>
      <c r="U260" s="151">
        <v>1</v>
      </c>
      <c r="V260" s="151">
        <v>1</v>
      </c>
      <c r="W260" s="151">
        <v>0</v>
      </c>
      <c r="X260" s="151">
        <v>1</v>
      </c>
      <c r="Y260" s="151">
        <v>0</v>
      </c>
      <c r="Z260" s="151">
        <v>1</v>
      </c>
      <c r="AA260" s="151">
        <v>0</v>
      </c>
      <c r="AB260" s="151"/>
      <c r="AC260" s="153">
        <v>45919</v>
      </c>
      <c r="AD260" s="154">
        <v>0.78125</v>
      </c>
      <c r="AE260" s="151" t="s">
        <v>107</v>
      </c>
      <c r="AF260" s="153" t="s">
        <v>104</v>
      </c>
      <c r="AG260" s="154" t="s">
        <v>104</v>
      </c>
      <c r="AH260" s="151" t="s">
        <v>126</v>
      </c>
      <c r="AI260" s="151" t="s">
        <v>170</v>
      </c>
      <c r="AJ260" s="151" t="s">
        <v>104</v>
      </c>
      <c r="AK260" s="151" t="s">
        <v>104</v>
      </c>
      <c r="AL260" s="151" t="s">
        <v>58</v>
      </c>
      <c r="AM260" s="188" t="s">
        <v>1224</v>
      </c>
      <c r="AN260" s="188" t="s">
        <v>1233</v>
      </c>
      <c r="AO260" s="188" t="s">
        <v>1235</v>
      </c>
      <c r="AP260" s="155"/>
    </row>
    <row r="261" spans="3:42" ht="14.25" customHeight="1">
      <c r="C261" s="156">
        <f>IF($X261=1,COUNTIF($C$10:C260,"&gt;0")+1,"")</f>
        <v>129</v>
      </c>
      <c r="D261" s="151">
        <v>15262692</v>
      </c>
      <c r="E261" s="151" t="s">
        <v>722</v>
      </c>
      <c r="F261" s="152" t="s">
        <v>754</v>
      </c>
      <c r="G261" s="151" t="s">
        <v>754</v>
      </c>
      <c r="H261" s="151" t="s">
        <v>755</v>
      </c>
      <c r="I261" s="151" t="s">
        <v>756</v>
      </c>
      <c r="J261" s="151" t="s">
        <v>98</v>
      </c>
      <c r="K261" s="151" t="s">
        <v>99</v>
      </c>
      <c r="L261" s="153">
        <v>27247</v>
      </c>
      <c r="M261" s="151">
        <v>51</v>
      </c>
      <c r="N261" s="151" t="s">
        <v>757</v>
      </c>
      <c r="O261" s="153">
        <v>47208</v>
      </c>
      <c r="P261" s="151" t="s">
        <v>51</v>
      </c>
      <c r="Q261" s="151"/>
      <c r="R261" s="173">
        <v>45918</v>
      </c>
      <c r="S261" s="174">
        <v>45923</v>
      </c>
      <c r="T261" s="175">
        <f>S261-R261</f>
        <v>5</v>
      </c>
      <c r="U261" s="151">
        <v>1</v>
      </c>
      <c r="V261" s="151">
        <v>1</v>
      </c>
      <c r="W261" s="151">
        <v>0</v>
      </c>
      <c r="X261" s="151">
        <v>1</v>
      </c>
      <c r="Y261" s="151">
        <v>0</v>
      </c>
      <c r="Z261" s="151">
        <v>1</v>
      </c>
      <c r="AA261" s="151">
        <v>0</v>
      </c>
      <c r="AB261" s="151"/>
      <c r="AC261" s="153">
        <v>45918</v>
      </c>
      <c r="AD261" s="154">
        <v>0.78125</v>
      </c>
      <c r="AE261" s="151" t="s">
        <v>107</v>
      </c>
      <c r="AF261" s="153">
        <v>45923</v>
      </c>
      <c r="AG261" s="154">
        <v>0.86458333333575865</v>
      </c>
      <c r="AH261" s="151" t="s">
        <v>108</v>
      </c>
      <c r="AI261" s="151" t="s">
        <v>726</v>
      </c>
      <c r="AJ261" s="151" t="s">
        <v>104</v>
      </c>
      <c r="AK261" s="151" t="s">
        <v>104</v>
      </c>
      <c r="AL261" s="151" t="s">
        <v>58</v>
      </c>
      <c r="AM261" s="188" t="s">
        <v>1224</v>
      </c>
      <c r="AN261" s="188" t="s">
        <v>1233</v>
      </c>
      <c r="AO261" s="188" t="s">
        <v>1235</v>
      </c>
      <c r="AP261" s="155"/>
    </row>
    <row r="262" spans="3:42" ht="14.25" customHeight="1">
      <c r="C262" s="156">
        <f>IF($X262=1,COUNTIF($C$10:C261,"&gt;0")+1,"")</f>
        <v>130</v>
      </c>
      <c r="D262" s="151">
        <v>15262765</v>
      </c>
      <c r="E262" s="151" t="s">
        <v>1118</v>
      </c>
      <c r="F262" s="152" t="s">
        <v>1146</v>
      </c>
      <c r="G262" s="151" t="s">
        <v>1146</v>
      </c>
      <c r="H262" s="151" t="s">
        <v>1147</v>
      </c>
      <c r="I262" s="151" t="s">
        <v>1148</v>
      </c>
      <c r="J262" s="151" t="s">
        <v>100</v>
      </c>
      <c r="K262" s="151" t="s">
        <v>99</v>
      </c>
      <c r="L262" s="153">
        <v>24284</v>
      </c>
      <c r="M262" s="151">
        <v>59</v>
      </c>
      <c r="N262" s="151" t="s">
        <v>1149</v>
      </c>
      <c r="O262" s="153">
        <v>48832</v>
      </c>
      <c r="P262" s="151" t="s">
        <v>51</v>
      </c>
      <c r="Q262" s="151"/>
      <c r="R262" s="173">
        <v>45918</v>
      </c>
      <c r="S262" s="174">
        <v>45923</v>
      </c>
      <c r="T262" s="175">
        <f>S262-R262</f>
        <v>5</v>
      </c>
      <c r="U262" s="151">
        <v>1</v>
      </c>
      <c r="V262" s="151">
        <v>1</v>
      </c>
      <c r="W262" s="151">
        <v>0</v>
      </c>
      <c r="X262" s="151">
        <v>1</v>
      </c>
      <c r="Y262" s="151">
        <v>0</v>
      </c>
      <c r="Z262" s="151">
        <v>1</v>
      </c>
      <c r="AA262" s="151">
        <v>0</v>
      </c>
      <c r="AB262" s="151"/>
      <c r="AC262" s="153" t="s">
        <v>104</v>
      </c>
      <c r="AD262" s="154" t="s">
        <v>104</v>
      </c>
      <c r="AE262" s="151" t="s">
        <v>104</v>
      </c>
      <c r="AF262" s="153" t="s">
        <v>104</v>
      </c>
      <c r="AG262" s="154" t="s">
        <v>104</v>
      </c>
      <c r="AH262" s="151" t="s">
        <v>104</v>
      </c>
      <c r="AI262" s="151" t="s">
        <v>1123</v>
      </c>
      <c r="AJ262" s="151" t="s">
        <v>104</v>
      </c>
      <c r="AK262" s="151" t="s">
        <v>104</v>
      </c>
      <c r="AL262" s="151" t="s">
        <v>58</v>
      </c>
      <c r="AM262" s="188" t="s">
        <v>1224</v>
      </c>
      <c r="AN262" s="188" t="s">
        <v>1233</v>
      </c>
      <c r="AO262" s="188"/>
      <c r="AP262" s="155"/>
    </row>
    <row r="263" spans="3:42" ht="14.25" customHeight="1">
      <c r="C263" s="156" t="str">
        <f>IF($X263=1,COUNTIF($C$10:C262,"&gt;0")+1,"")</f>
        <v/>
      </c>
      <c r="D263" s="151"/>
      <c r="E263" s="151" t="s">
        <v>1118</v>
      </c>
      <c r="F263" s="152" t="s">
        <v>1150</v>
      </c>
      <c r="G263" s="151" t="s">
        <v>1146</v>
      </c>
      <c r="H263" s="151" t="s">
        <v>1151</v>
      </c>
      <c r="I263" s="151" t="s">
        <v>1148</v>
      </c>
      <c r="J263" s="151" t="s">
        <v>98</v>
      </c>
      <c r="K263" s="151" t="s">
        <v>99</v>
      </c>
      <c r="L263" s="153">
        <v>21190</v>
      </c>
      <c r="M263" s="151">
        <v>67</v>
      </c>
      <c r="N263" s="151" t="s">
        <v>1152</v>
      </c>
      <c r="O263" s="153">
        <v>47331</v>
      </c>
      <c r="P263" s="151" t="s">
        <v>51</v>
      </c>
      <c r="Q263" s="151"/>
      <c r="R263" s="173">
        <v>45918</v>
      </c>
      <c r="S263" s="174">
        <v>45923</v>
      </c>
      <c r="T263" s="175">
        <f>S263-R263</f>
        <v>5</v>
      </c>
      <c r="U263" s="151">
        <v>1</v>
      </c>
      <c r="V263" s="151">
        <v>1</v>
      </c>
      <c r="W263" s="151">
        <v>0</v>
      </c>
      <c r="X263" s="151">
        <v>0</v>
      </c>
      <c r="Y263" s="151">
        <v>0</v>
      </c>
      <c r="Z263" s="151">
        <v>0</v>
      </c>
      <c r="AA263" s="151">
        <v>0</v>
      </c>
      <c r="AB263" s="151"/>
      <c r="AC263" s="153" t="s">
        <v>104</v>
      </c>
      <c r="AD263" s="154" t="s">
        <v>104</v>
      </c>
      <c r="AE263" s="151" t="s">
        <v>104</v>
      </c>
      <c r="AF263" s="153" t="s">
        <v>104</v>
      </c>
      <c r="AG263" s="154" t="s">
        <v>104</v>
      </c>
      <c r="AH263" s="151" t="s">
        <v>104</v>
      </c>
      <c r="AI263" s="151" t="s">
        <v>1123</v>
      </c>
      <c r="AJ263" s="151" t="s">
        <v>104</v>
      </c>
      <c r="AK263" s="151" t="s">
        <v>104</v>
      </c>
      <c r="AL263" s="151" t="s">
        <v>58</v>
      </c>
      <c r="AM263" s="188" t="s">
        <v>1224</v>
      </c>
      <c r="AN263" s="188" t="s">
        <v>1233</v>
      </c>
      <c r="AO263" s="188"/>
      <c r="AP263" s="155"/>
    </row>
    <row r="264" spans="3:42" ht="14.25" customHeight="1">
      <c r="C264" s="156">
        <f>IF($X264=1,COUNTIF($C$10:C263,"&gt;0")+1,"")</f>
        <v>131</v>
      </c>
      <c r="D264" s="151">
        <v>15262766</v>
      </c>
      <c r="E264" s="151" t="s">
        <v>1118</v>
      </c>
      <c r="F264" s="152" t="s">
        <v>1153</v>
      </c>
      <c r="G264" s="151" t="s">
        <v>1146</v>
      </c>
      <c r="H264" s="151" t="s">
        <v>1154</v>
      </c>
      <c r="I264" s="151" t="s">
        <v>1155</v>
      </c>
      <c r="J264" s="151" t="s">
        <v>98</v>
      </c>
      <c r="K264" s="151" t="s">
        <v>99</v>
      </c>
      <c r="L264" s="153">
        <v>22468</v>
      </c>
      <c r="M264" s="151">
        <v>64</v>
      </c>
      <c r="N264" s="151" t="s">
        <v>1156</v>
      </c>
      <c r="O264" s="153">
        <v>47381</v>
      </c>
      <c r="P264" s="151" t="s">
        <v>51</v>
      </c>
      <c r="Q264" s="151"/>
      <c r="R264" s="173">
        <v>45918</v>
      </c>
      <c r="S264" s="174">
        <v>45923</v>
      </c>
      <c r="T264" s="175">
        <f>S264-R264</f>
        <v>5</v>
      </c>
      <c r="U264" s="151">
        <v>1</v>
      </c>
      <c r="V264" s="151">
        <v>1</v>
      </c>
      <c r="W264" s="151">
        <v>0</v>
      </c>
      <c r="X264" s="151">
        <v>1</v>
      </c>
      <c r="Y264" s="151">
        <v>0</v>
      </c>
      <c r="Z264" s="151">
        <v>1</v>
      </c>
      <c r="AA264" s="151">
        <v>0</v>
      </c>
      <c r="AB264" s="151"/>
      <c r="AC264" s="153" t="s">
        <v>104</v>
      </c>
      <c r="AD264" s="154" t="s">
        <v>104</v>
      </c>
      <c r="AE264" s="151" t="s">
        <v>104</v>
      </c>
      <c r="AF264" s="153" t="s">
        <v>104</v>
      </c>
      <c r="AG264" s="154" t="s">
        <v>104</v>
      </c>
      <c r="AH264" s="151" t="s">
        <v>104</v>
      </c>
      <c r="AI264" s="151" t="s">
        <v>1123</v>
      </c>
      <c r="AJ264" s="151" t="s">
        <v>104</v>
      </c>
      <c r="AK264" s="151" t="s">
        <v>104</v>
      </c>
      <c r="AL264" s="151" t="s">
        <v>58</v>
      </c>
      <c r="AM264" s="188" t="s">
        <v>1224</v>
      </c>
      <c r="AN264" s="188" t="s">
        <v>1233</v>
      </c>
      <c r="AO264" s="188"/>
      <c r="AP264" s="155"/>
    </row>
    <row r="265" spans="3:42" ht="14.25" customHeight="1">
      <c r="C265" s="156" t="str">
        <f>IF($X265=1,COUNTIF($C$10:C264,"&gt;0")+1,"")</f>
        <v/>
      </c>
      <c r="D265" s="151"/>
      <c r="E265" s="151" t="s">
        <v>1118</v>
      </c>
      <c r="F265" s="152" t="s">
        <v>1157</v>
      </c>
      <c r="G265" s="151" t="s">
        <v>1146</v>
      </c>
      <c r="H265" s="151" t="s">
        <v>1158</v>
      </c>
      <c r="I265" s="151" t="s">
        <v>1155</v>
      </c>
      <c r="J265" s="151" t="s">
        <v>100</v>
      </c>
      <c r="K265" s="151" t="s">
        <v>99</v>
      </c>
      <c r="L265" s="153">
        <v>22962</v>
      </c>
      <c r="M265" s="151">
        <v>62</v>
      </c>
      <c r="N265" s="151" t="s">
        <v>1159</v>
      </c>
      <c r="O265" s="153">
        <v>47369</v>
      </c>
      <c r="P265" s="151" t="s">
        <v>51</v>
      </c>
      <c r="Q265" s="151"/>
      <c r="R265" s="173">
        <v>45918</v>
      </c>
      <c r="S265" s="174">
        <v>45923</v>
      </c>
      <c r="T265" s="175">
        <f>S265-R265</f>
        <v>5</v>
      </c>
      <c r="U265" s="151">
        <v>1</v>
      </c>
      <c r="V265" s="151">
        <v>1</v>
      </c>
      <c r="W265" s="151">
        <v>0</v>
      </c>
      <c r="X265" s="151">
        <v>0</v>
      </c>
      <c r="Y265" s="151">
        <v>0</v>
      </c>
      <c r="Z265" s="151">
        <v>0</v>
      </c>
      <c r="AA265" s="151">
        <v>0</v>
      </c>
      <c r="AB265" s="151"/>
      <c r="AC265" s="153" t="s">
        <v>104</v>
      </c>
      <c r="AD265" s="154" t="s">
        <v>104</v>
      </c>
      <c r="AE265" s="151" t="s">
        <v>104</v>
      </c>
      <c r="AF265" s="153" t="s">
        <v>104</v>
      </c>
      <c r="AG265" s="154" t="s">
        <v>104</v>
      </c>
      <c r="AH265" s="151" t="s">
        <v>104</v>
      </c>
      <c r="AI265" s="151" t="s">
        <v>1123</v>
      </c>
      <c r="AJ265" s="151" t="s">
        <v>104</v>
      </c>
      <c r="AK265" s="151" t="s">
        <v>104</v>
      </c>
      <c r="AL265" s="151" t="s">
        <v>58</v>
      </c>
      <c r="AM265" s="188" t="s">
        <v>1224</v>
      </c>
      <c r="AN265" s="188" t="s">
        <v>1233</v>
      </c>
      <c r="AO265" s="188"/>
      <c r="AP265" s="155"/>
    </row>
    <row r="266" spans="3:42" ht="14.25" customHeight="1">
      <c r="C266" s="156">
        <f>IF($X266=1,COUNTIF($C$10:C265,"&gt;0")+1,"")</f>
        <v>132</v>
      </c>
      <c r="D266" s="151">
        <v>15262767</v>
      </c>
      <c r="E266" s="151" t="s">
        <v>1118</v>
      </c>
      <c r="F266" s="152" t="s">
        <v>1160</v>
      </c>
      <c r="G266" s="151" t="s">
        <v>1146</v>
      </c>
      <c r="H266" s="151" t="s">
        <v>1161</v>
      </c>
      <c r="I266" s="151" t="s">
        <v>1148</v>
      </c>
      <c r="J266" s="151" t="s">
        <v>98</v>
      </c>
      <c r="K266" s="151" t="s">
        <v>99</v>
      </c>
      <c r="L266" s="153">
        <v>36843</v>
      </c>
      <c r="M266" s="151">
        <v>24</v>
      </c>
      <c r="N266" s="151" t="s">
        <v>1162</v>
      </c>
      <c r="O266" s="153">
        <v>47153</v>
      </c>
      <c r="P266" s="151" t="s">
        <v>52</v>
      </c>
      <c r="Q266" s="151"/>
      <c r="R266" s="173">
        <v>45918</v>
      </c>
      <c r="S266" s="174">
        <v>45923</v>
      </c>
      <c r="T266" s="175">
        <f>S266-R266</f>
        <v>5</v>
      </c>
      <c r="U266" s="151">
        <v>1</v>
      </c>
      <c r="V266" s="151">
        <v>1</v>
      </c>
      <c r="W266" s="151">
        <v>0</v>
      </c>
      <c r="X266" s="151">
        <v>1</v>
      </c>
      <c r="Y266" s="151">
        <v>0</v>
      </c>
      <c r="Z266" s="151">
        <v>0</v>
      </c>
      <c r="AA266" s="151">
        <v>1</v>
      </c>
      <c r="AB266" s="151"/>
      <c r="AC266" s="153" t="s">
        <v>104</v>
      </c>
      <c r="AD266" s="154" t="s">
        <v>104</v>
      </c>
      <c r="AE266" s="151" t="s">
        <v>104</v>
      </c>
      <c r="AF266" s="153" t="s">
        <v>104</v>
      </c>
      <c r="AG266" s="154" t="s">
        <v>104</v>
      </c>
      <c r="AH266" s="151" t="s">
        <v>104</v>
      </c>
      <c r="AI266" s="151" t="s">
        <v>1123</v>
      </c>
      <c r="AJ266" s="151" t="s">
        <v>104</v>
      </c>
      <c r="AK266" s="151" t="s">
        <v>104</v>
      </c>
      <c r="AL266" s="151" t="s">
        <v>58</v>
      </c>
      <c r="AM266" s="188" t="s">
        <v>1224</v>
      </c>
      <c r="AN266" s="188" t="s">
        <v>1234</v>
      </c>
      <c r="AO266" s="188"/>
      <c r="AP266" s="155"/>
    </row>
    <row r="267" spans="3:42" ht="14.25" customHeight="1">
      <c r="C267" s="156" t="str">
        <f>IF($X267=1,COUNTIF($C$10:C266,"&gt;0")+1,"")</f>
        <v/>
      </c>
      <c r="D267" s="151"/>
      <c r="E267" s="151" t="s">
        <v>1118</v>
      </c>
      <c r="F267" s="152" t="s">
        <v>1163</v>
      </c>
      <c r="G267" s="151" t="s">
        <v>1146</v>
      </c>
      <c r="H267" s="151" t="s">
        <v>1164</v>
      </c>
      <c r="I267" s="151" t="s">
        <v>1165</v>
      </c>
      <c r="J267" s="151" t="s">
        <v>98</v>
      </c>
      <c r="K267" s="151" t="s">
        <v>99</v>
      </c>
      <c r="L267" s="153">
        <v>33455</v>
      </c>
      <c r="M267" s="151">
        <v>34</v>
      </c>
      <c r="N267" s="151" t="s">
        <v>1166</v>
      </c>
      <c r="O267" s="153">
        <v>45819</v>
      </c>
      <c r="P267" s="151" t="s">
        <v>52</v>
      </c>
      <c r="Q267" s="151"/>
      <c r="R267" s="173">
        <v>45918</v>
      </c>
      <c r="S267" s="174">
        <v>45923</v>
      </c>
      <c r="T267" s="175">
        <f>S267-R267</f>
        <v>5</v>
      </c>
      <c r="U267" s="151">
        <v>1</v>
      </c>
      <c r="V267" s="151">
        <v>1</v>
      </c>
      <c r="W267" s="151">
        <v>0</v>
      </c>
      <c r="X267" s="151">
        <v>0</v>
      </c>
      <c r="Y267" s="151">
        <v>0</v>
      </c>
      <c r="Z267" s="151">
        <v>0</v>
      </c>
      <c r="AA267" s="151">
        <v>0</v>
      </c>
      <c r="AB267" s="151"/>
      <c r="AC267" s="153" t="s">
        <v>104</v>
      </c>
      <c r="AD267" s="154" t="s">
        <v>104</v>
      </c>
      <c r="AE267" s="151" t="s">
        <v>104</v>
      </c>
      <c r="AF267" s="153" t="s">
        <v>104</v>
      </c>
      <c r="AG267" s="154" t="s">
        <v>104</v>
      </c>
      <c r="AH267" s="151" t="s">
        <v>104</v>
      </c>
      <c r="AI267" s="151" t="s">
        <v>1123</v>
      </c>
      <c r="AJ267" s="151" t="s">
        <v>104</v>
      </c>
      <c r="AK267" s="151" t="s">
        <v>104</v>
      </c>
      <c r="AL267" s="151" t="s">
        <v>58</v>
      </c>
      <c r="AM267" s="188" t="s">
        <v>1224</v>
      </c>
      <c r="AN267" s="188" t="s">
        <v>1234</v>
      </c>
      <c r="AO267" s="188"/>
      <c r="AP267" s="155"/>
    </row>
    <row r="268" spans="3:42" ht="14.25" customHeight="1">
      <c r="C268" s="156">
        <f>IF($X268=1,COUNTIF($C$10:C267,"&gt;0")+1,"")</f>
        <v>133</v>
      </c>
      <c r="D268" s="151">
        <v>15262768</v>
      </c>
      <c r="E268" s="151" t="s">
        <v>1118</v>
      </c>
      <c r="F268" s="152" t="s">
        <v>1167</v>
      </c>
      <c r="G268" s="151" t="s">
        <v>1146</v>
      </c>
      <c r="H268" s="151" t="s">
        <v>1168</v>
      </c>
      <c r="I268" s="151" t="s">
        <v>1169</v>
      </c>
      <c r="J268" s="151" t="s">
        <v>100</v>
      </c>
      <c r="K268" s="151" t="s">
        <v>642</v>
      </c>
      <c r="L268" s="153">
        <v>30121</v>
      </c>
      <c r="M268" s="151">
        <v>43</v>
      </c>
      <c r="N268" s="151" t="s">
        <v>1170</v>
      </c>
      <c r="O268" s="153">
        <v>48925</v>
      </c>
      <c r="P268" s="151" t="s">
        <v>52</v>
      </c>
      <c r="Q268" s="151"/>
      <c r="R268" s="173">
        <v>45918</v>
      </c>
      <c r="S268" s="174">
        <v>45923</v>
      </c>
      <c r="T268" s="175">
        <f>S268-R268</f>
        <v>5</v>
      </c>
      <c r="U268" s="151">
        <v>1</v>
      </c>
      <c r="V268" s="151">
        <v>1</v>
      </c>
      <c r="W268" s="151">
        <v>0</v>
      </c>
      <c r="X268" s="151">
        <v>1</v>
      </c>
      <c r="Y268" s="151">
        <v>0</v>
      </c>
      <c r="Z268" s="151">
        <v>0</v>
      </c>
      <c r="AA268" s="151">
        <v>1</v>
      </c>
      <c r="AB268" s="151"/>
      <c r="AC268" s="153" t="s">
        <v>104</v>
      </c>
      <c r="AD268" s="154" t="s">
        <v>104</v>
      </c>
      <c r="AE268" s="151" t="s">
        <v>104</v>
      </c>
      <c r="AF268" s="153" t="s">
        <v>104</v>
      </c>
      <c r="AG268" s="154" t="s">
        <v>104</v>
      </c>
      <c r="AH268" s="151" t="s">
        <v>104</v>
      </c>
      <c r="AI268" s="151" t="s">
        <v>1123</v>
      </c>
      <c r="AJ268" s="151" t="s">
        <v>104</v>
      </c>
      <c r="AK268" s="151" t="s">
        <v>104</v>
      </c>
      <c r="AL268" s="151" t="s">
        <v>58</v>
      </c>
      <c r="AM268" s="188" t="s">
        <v>1224</v>
      </c>
      <c r="AN268" s="188" t="s">
        <v>1234</v>
      </c>
      <c r="AO268" s="188"/>
      <c r="AP268" s="155"/>
    </row>
    <row r="269" spans="3:42" ht="14.25" customHeight="1">
      <c r="C269" s="156" t="str">
        <f>IF($X269=1,COUNTIF($C$10:C268,"&gt;0")+1,"")</f>
        <v/>
      </c>
      <c r="D269" s="151"/>
      <c r="E269" s="151" t="s">
        <v>1118</v>
      </c>
      <c r="F269" s="152" t="s">
        <v>1171</v>
      </c>
      <c r="G269" s="151" t="s">
        <v>1146</v>
      </c>
      <c r="H269" s="151" t="s">
        <v>1172</v>
      </c>
      <c r="I269" s="151" t="s">
        <v>1173</v>
      </c>
      <c r="J269" s="151" t="s">
        <v>100</v>
      </c>
      <c r="K269" s="151" t="s">
        <v>642</v>
      </c>
      <c r="L269" s="153">
        <v>15868</v>
      </c>
      <c r="M269" s="151">
        <v>82</v>
      </c>
      <c r="N269" s="151" t="s">
        <v>1174</v>
      </c>
      <c r="O269" s="153">
        <v>46038</v>
      </c>
      <c r="P269" s="151" t="s">
        <v>52</v>
      </c>
      <c r="Q269" s="151"/>
      <c r="R269" s="173">
        <v>45918</v>
      </c>
      <c r="S269" s="174">
        <v>45923</v>
      </c>
      <c r="T269" s="175">
        <f>S269-R269</f>
        <v>5</v>
      </c>
      <c r="U269" s="151">
        <v>1</v>
      </c>
      <c r="V269" s="151">
        <v>1</v>
      </c>
      <c r="W269" s="151">
        <v>0</v>
      </c>
      <c r="X269" s="151">
        <v>0</v>
      </c>
      <c r="Y269" s="151">
        <v>0</v>
      </c>
      <c r="Z269" s="151">
        <v>0</v>
      </c>
      <c r="AA269" s="151">
        <v>0</v>
      </c>
      <c r="AB269" s="151"/>
      <c r="AC269" s="153" t="s">
        <v>104</v>
      </c>
      <c r="AD269" s="154" t="s">
        <v>104</v>
      </c>
      <c r="AE269" s="151" t="s">
        <v>104</v>
      </c>
      <c r="AF269" s="153" t="s">
        <v>104</v>
      </c>
      <c r="AG269" s="154" t="s">
        <v>104</v>
      </c>
      <c r="AH269" s="151" t="s">
        <v>104</v>
      </c>
      <c r="AI269" s="151" t="s">
        <v>1123</v>
      </c>
      <c r="AJ269" s="151" t="s">
        <v>104</v>
      </c>
      <c r="AK269" s="151" t="s">
        <v>104</v>
      </c>
      <c r="AL269" s="151" t="s">
        <v>58</v>
      </c>
      <c r="AM269" s="188" t="s">
        <v>1224</v>
      </c>
      <c r="AN269" s="188" t="s">
        <v>1234</v>
      </c>
      <c r="AO269" s="188"/>
      <c r="AP269" s="155"/>
    </row>
    <row r="270" spans="3:42" ht="14.25" customHeight="1">
      <c r="C270" s="156">
        <f>IF($X270=1,COUNTIF($C$10:C269,"&gt;0")+1,"")</f>
        <v>134</v>
      </c>
      <c r="D270" s="151">
        <v>15262723</v>
      </c>
      <c r="E270" s="151" t="s">
        <v>871</v>
      </c>
      <c r="F270" s="152" t="s">
        <v>918</v>
      </c>
      <c r="G270" s="151" t="s">
        <v>918</v>
      </c>
      <c r="H270" s="151" t="s">
        <v>919</v>
      </c>
      <c r="I270" s="151" t="s">
        <v>920</v>
      </c>
      <c r="J270" s="151" t="s">
        <v>100</v>
      </c>
      <c r="K270" s="151" t="s">
        <v>99</v>
      </c>
      <c r="L270" s="153">
        <v>27619</v>
      </c>
      <c r="M270" s="151">
        <v>50</v>
      </c>
      <c r="N270" s="151" t="s">
        <v>921</v>
      </c>
      <c r="O270" s="153">
        <v>46237</v>
      </c>
      <c r="P270" s="151" t="s">
        <v>52</v>
      </c>
      <c r="Q270" s="151"/>
      <c r="R270" s="173">
        <v>45918</v>
      </c>
      <c r="S270" s="174">
        <v>45923</v>
      </c>
      <c r="T270" s="175">
        <f>S270-R270</f>
        <v>5</v>
      </c>
      <c r="U270" s="151">
        <v>1</v>
      </c>
      <c r="V270" s="151">
        <v>1</v>
      </c>
      <c r="W270" s="151">
        <v>0</v>
      </c>
      <c r="X270" s="151">
        <v>1</v>
      </c>
      <c r="Y270" s="151">
        <v>0</v>
      </c>
      <c r="Z270" s="151">
        <v>0</v>
      </c>
      <c r="AA270" s="151">
        <v>1</v>
      </c>
      <c r="AB270" s="151"/>
      <c r="AC270" s="153">
        <v>45918</v>
      </c>
      <c r="AD270" s="154">
        <v>0.79513888889050577</v>
      </c>
      <c r="AE270" s="151" t="s">
        <v>922</v>
      </c>
      <c r="AF270" s="153">
        <v>45923</v>
      </c>
      <c r="AG270" s="154">
        <v>0.56944444444525288</v>
      </c>
      <c r="AH270" s="151" t="s">
        <v>156</v>
      </c>
      <c r="AI270" s="151" t="s">
        <v>876</v>
      </c>
      <c r="AJ270" s="151" t="s">
        <v>104</v>
      </c>
      <c r="AK270" s="151" t="s">
        <v>104</v>
      </c>
      <c r="AL270" s="151" t="s">
        <v>58</v>
      </c>
      <c r="AM270" s="188" t="s">
        <v>1224</v>
      </c>
      <c r="AN270" s="188" t="s">
        <v>1231</v>
      </c>
      <c r="AO270" s="188" t="s">
        <v>1235</v>
      </c>
      <c r="AP270" s="155"/>
    </row>
    <row r="271" spans="3:42" ht="14.25" customHeight="1">
      <c r="C271" s="156">
        <f>IF($X271=1,COUNTIF($C$10:C270,"&gt;0")+1,"")</f>
        <v>135</v>
      </c>
      <c r="D271" s="151">
        <v>15262619</v>
      </c>
      <c r="E271" s="151" t="s">
        <v>306</v>
      </c>
      <c r="F271" s="152" t="s">
        <v>307</v>
      </c>
      <c r="G271" s="151" t="s">
        <v>307</v>
      </c>
      <c r="H271" s="151" t="s">
        <v>308</v>
      </c>
      <c r="I271" s="151" t="s">
        <v>309</v>
      </c>
      <c r="J271" s="151" t="s">
        <v>98</v>
      </c>
      <c r="K271" s="151" t="s">
        <v>99</v>
      </c>
      <c r="L271" s="153">
        <v>27200</v>
      </c>
      <c r="M271" s="151">
        <v>51</v>
      </c>
      <c r="N271" s="151" t="s">
        <v>310</v>
      </c>
      <c r="O271" s="153">
        <v>46462</v>
      </c>
      <c r="P271" s="151" t="s">
        <v>51</v>
      </c>
      <c r="Q271" s="151"/>
      <c r="R271" s="173">
        <v>45918</v>
      </c>
      <c r="S271" s="174">
        <v>45923</v>
      </c>
      <c r="T271" s="175">
        <f>S271-R271</f>
        <v>5</v>
      </c>
      <c r="U271" s="151">
        <v>1</v>
      </c>
      <c r="V271" s="151">
        <v>1</v>
      </c>
      <c r="W271" s="151">
        <v>0</v>
      </c>
      <c r="X271" s="151">
        <v>1</v>
      </c>
      <c r="Y271" s="151">
        <v>0</v>
      </c>
      <c r="Z271" s="151">
        <v>1</v>
      </c>
      <c r="AA271" s="151">
        <v>0</v>
      </c>
      <c r="AB271" s="151"/>
      <c r="AC271" s="153">
        <v>45918</v>
      </c>
      <c r="AD271" s="154">
        <v>0.80555555555474712</v>
      </c>
      <c r="AE271" s="151" t="s">
        <v>130</v>
      </c>
      <c r="AF271" s="153">
        <v>45923</v>
      </c>
      <c r="AG271" s="154">
        <v>0.85416666666424135</v>
      </c>
      <c r="AH271" s="151" t="s">
        <v>131</v>
      </c>
      <c r="AI271" s="151" t="s">
        <v>311</v>
      </c>
      <c r="AJ271" s="151" t="s">
        <v>109</v>
      </c>
      <c r="AK271" s="151" t="s">
        <v>104</v>
      </c>
      <c r="AL271" s="151" t="s">
        <v>58</v>
      </c>
      <c r="AM271" s="188" t="s">
        <v>1224</v>
      </c>
      <c r="AN271" s="188" t="s">
        <v>1233</v>
      </c>
      <c r="AO271" s="188" t="s">
        <v>1235</v>
      </c>
      <c r="AP271" s="155"/>
    </row>
    <row r="272" spans="3:42" ht="14.25" customHeight="1">
      <c r="C272" s="156" t="str">
        <f>IF($X272=1,COUNTIF($C$10:C271,"&gt;0")+1,"")</f>
        <v/>
      </c>
      <c r="D272" s="151"/>
      <c r="E272" s="151" t="s">
        <v>306</v>
      </c>
      <c r="F272" s="152" t="s">
        <v>312</v>
      </c>
      <c r="G272" s="151" t="s">
        <v>307</v>
      </c>
      <c r="H272" s="151" t="s">
        <v>313</v>
      </c>
      <c r="I272" s="151" t="s">
        <v>309</v>
      </c>
      <c r="J272" s="151" t="s">
        <v>100</v>
      </c>
      <c r="K272" s="151" t="s">
        <v>99</v>
      </c>
      <c r="L272" s="153">
        <v>29842</v>
      </c>
      <c r="M272" s="151">
        <v>44</v>
      </c>
      <c r="N272" s="151" t="s">
        <v>314</v>
      </c>
      <c r="O272" s="153">
        <v>47134</v>
      </c>
      <c r="P272" s="151" t="s">
        <v>51</v>
      </c>
      <c r="Q272" s="151"/>
      <c r="R272" s="173">
        <v>45918</v>
      </c>
      <c r="S272" s="174">
        <v>45923</v>
      </c>
      <c r="T272" s="175">
        <f>S272-R272</f>
        <v>5</v>
      </c>
      <c r="U272" s="151">
        <v>1</v>
      </c>
      <c r="V272" s="151">
        <v>1</v>
      </c>
      <c r="W272" s="151">
        <v>0</v>
      </c>
      <c r="X272" s="151">
        <v>0</v>
      </c>
      <c r="Y272" s="151">
        <v>0</v>
      </c>
      <c r="Z272" s="151">
        <v>0</v>
      </c>
      <c r="AA272" s="151">
        <v>0</v>
      </c>
      <c r="AB272" s="151"/>
      <c r="AC272" s="153">
        <v>45918</v>
      </c>
      <c r="AD272" s="154">
        <v>0.80555555555474712</v>
      </c>
      <c r="AE272" s="151" t="s">
        <v>130</v>
      </c>
      <c r="AF272" s="153">
        <v>45923</v>
      </c>
      <c r="AG272" s="154">
        <v>0.85416666666424135</v>
      </c>
      <c r="AH272" s="151" t="s">
        <v>131</v>
      </c>
      <c r="AI272" s="151" t="s">
        <v>311</v>
      </c>
      <c r="AJ272" s="151" t="s">
        <v>104</v>
      </c>
      <c r="AK272" s="151" t="s">
        <v>104</v>
      </c>
      <c r="AL272" s="151" t="s">
        <v>58</v>
      </c>
      <c r="AM272" s="188" t="s">
        <v>1224</v>
      </c>
      <c r="AN272" s="188" t="s">
        <v>1233</v>
      </c>
      <c r="AO272" s="188" t="s">
        <v>1235</v>
      </c>
      <c r="AP272" s="155"/>
    </row>
    <row r="273" spans="3:42" ht="14.25" customHeight="1">
      <c r="C273" s="156" t="str">
        <f>IF($X273=1,COUNTIF($C$10:C272,"&gt;0")+1,"")</f>
        <v/>
      </c>
      <c r="D273" s="151"/>
      <c r="E273" s="151" t="s">
        <v>933</v>
      </c>
      <c r="F273" s="152" t="s">
        <v>1028</v>
      </c>
      <c r="G273" s="151" t="s">
        <v>1023</v>
      </c>
      <c r="H273" s="151" t="s">
        <v>1029</v>
      </c>
      <c r="I273" s="151" t="s">
        <v>1030</v>
      </c>
      <c r="J273" s="151" t="s">
        <v>98</v>
      </c>
      <c r="K273" s="151" t="s">
        <v>99</v>
      </c>
      <c r="L273" s="153">
        <v>18749</v>
      </c>
      <c r="M273" s="151">
        <v>74</v>
      </c>
      <c r="N273" s="151" t="s">
        <v>1031</v>
      </c>
      <c r="O273" s="153">
        <v>48834</v>
      </c>
      <c r="P273" s="151" t="s">
        <v>52</v>
      </c>
      <c r="Q273" s="151"/>
      <c r="R273" s="173">
        <v>45918</v>
      </c>
      <c r="S273" s="174">
        <v>45923</v>
      </c>
      <c r="T273" s="175">
        <f>S273-R273</f>
        <v>5</v>
      </c>
      <c r="U273" s="151">
        <v>1</v>
      </c>
      <c r="V273" s="151">
        <v>1</v>
      </c>
      <c r="W273" s="151">
        <v>0</v>
      </c>
      <c r="X273" s="151">
        <v>0</v>
      </c>
      <c r="Y273" s="151">
        <v>0</v>
      </c>
      <c r="Z273" s="151">
        <v>0</v>
      </c>
      <c r="AA273" s="151">
        <v>0</v>
      </c>
      <c r="AB273" s="151"/>
      <c r="AC273" s="153">
        <v>45918</v>
      </c>
      <c r="AD273" s="154">
        <v>0.80555555555474712</v>
      </c>
      <c r="AE273" s="151" t="s">
        <v>130</v>
      </c>
      <c r="AF273" s="153">
        <v>45923</v>
      </c>
      <c r="AG273" s="154">
        <v>0.85416666666424135</v>
      </c>
      <c r="AH273" s="151" t="s">
        <v>131</v>
      </c>
      <c r="AI273" s="151" t="s">
        <v>938</v>
      </c>
      <c r="AJ273" s="151" t="s">
        <v>104</v>
      </c>
      <c r="AK273" s="151" t="s">
        <v>104</v>
      </c>
      <c r="AL273" s="151" t="s">
        <v>58</v>
      </c>
      <c r="AM273" s="188" t="s">
        <v>1224</v>
      </c>
      <c r="AN273" s="188" t="s">
        <v>1231</v>
      </c>
      <c r="AO273" s="188" t="s">
        <v>1235</v>
      </c>
      <c r="AP273" s="155"/>
    </row>
    <row r="274" spans="3:42" ht="14.25" customHeight="1">
      <c r="C274" s="156" t="str">
        <f>IF($X274=1,COUNTIF($C$10:C273,"&gt;0")+1,"")</f>
        <v/>
      </c>
      <c r="D274" s="151"/>
      <c r="E274" s="151" t="s">
        <v>493</v>
      </c>
      <c r="F274" s="152" t="s">
        <v>647</v>
      </c>
      <c r="G274" s="151" t="s">
        <v>644</v>
      </c>
      <c r="H274" s="151" t="s">
        <v>648</v>
      </c>
      <c r="I274" s="151" t="s">
        <v>605</v>
      </c>
      <c r="J274" s="151" t="s">
        <v>98</v>
      </c>
      <c r="K274" s="151" t="s">
        <v>99</v>
      </c>
      <c r="L274" s="153">
        <v>14389</v>
      </c>
      <c r="M274" s="151">
        <v>86</v>
      </c>
      <c r="N274" s="151" t="s">
        <v>649</v>
      </c>
      <c r="O274" s="153">
        <v>46103</v>
      </c>
      <c r="P274" s="151" t="s">
        <v>51</v>
      </c>
      <c r="Q274" s="151"/>
      <c r="R274" s="173">
        <v>45918</v>
      </c>
      <c r="S274" s="174">
        <v>45923</v>
      </c>
      <c r="T274" s="175">
        <f>S274-R274</f>
        <v>5</v>
      </c>
      <c r="U274" s="151">
        <v>1</v>
      </c>
      <c r="V274" s="151">
        <v>1</v>
      </c>
      <c r="W274" s="151">
        <v>0</v>
      </c>
      <c r="X274" s="151">
        <v>0</v>
      </c>
      <c r="Y274" s="151">
        <v>0</v>
      </c>
      <c r="Z274" s="151">
        <v>0</v>
      </c>
      <c r="AA274" s="151">
        <v>0</v>
      </c>
      <c r="AB274" s="151"/>
      <c r="AC274" s="153">
        <v>45918</v>
      </c>
      <c r="AD274" s="154">
        <v>0.88888888889050577</v>
      </c>
      <c r="AE274" s="151" t="s">
        <v>650</v>
      </c>
      <c r="AF274" s="153">
        <v>45923</v>
      </c>
      <c r="AG274" s="154">
        <v>0.87152777778101154</v>
      </c>
      <c r="AH274" s="151" t="s">
        <v>568</v>
      </c>
      <c r="AI274" s="151" t="s">
        <v>498</v>
      </c>
      <c r="AJ274" s="151" t="s">
        <v>104</v>
      </c>
      <c r="AK274" s="151" t="s">
        <v>104</v>
      </c>
      <c r="AL274" s="151" t="s">
        <v>58</v>
      </c>
      <c r="AM274" s="188" t="s">
        <v>1224</v>
      </c>
      <c r="AN274" s="188" t="s">
        <v>1233</v>
      </c>
      <c r="AO274" s="188" t="s">
        <v>1235</v>
      </c>
      <c r="AP274" s="155"/>
    </row>
    <row r="275" spans="3:42" ht="14.25" customHeight="1">
      <c r="C275" s="156" t="str">
        <f>IF($X275=1,COUNTIF($C$10:C274,"&gt;0")+1,"")</f>
        <v/>
      </c>
      <c r="D275" s="151"/>
      <c r="E275" s="151" t="s">
        <v>493</v>
      </c>
      <c r="F275" s="152" t="s">
        <v>654</v>
      </c>
      <c r="G275" s="151" t="s">
        <v>651</v>
      </c>
      <c r="H275" s="151" t="s">
        <v>655</v>
      </c>
      <c r="I275" s="151" t="s">
        <v>605</v>
      </c>
      <c r="J275" s="151" t="s">
        <v>100</v>
      </c>
      <c r="K275" s="151" t="s">
        <v>99</v>
      </c>
      <c r="L275" s="153">
        <v>17211</v>
      </c>
      <c r="M275" s="151">
        <v>78</v>
      </c>
      <c r="N275" s="151" t="s">
        <v>656</v>
      </c>
      <c r="O275" s="153">
        <v>48620</v>
      </c>
      <c r="P275" s="151" t="s">
        <v>51</v>
      </c>
      <c r="Q275" s="151"/>
      <c r="R275" s="173">
        <v>45918</v>
      </c>
      <c r="S275" s="174">
        <v>45923</v>
      </c>
      <c r="T275" s="175">
        <f>S275-R275</f>
        <v>5</v>
      </c>
      <c r="U275" s="151">
        <v>1</v>
      </c>
      <c r="V275" s="151">
        <v>1</v>
      </c>
      <c r="W275" s="151">
        <v>0</v>
      </c>
      <c r="X275" s="151">
        <v>0</v>
      </c>
      <c r="Y275" s="151">
        <v>0</v>
      </c>
      <c r="Z275" s="151">
        <v>0</v>
      </c>
      <c r="AA275" s="151">
        <v>0</v>
      </c>
      <c r="AB275" s="151"/>
      <c r="AC275" s="153">
        <v>45918</v>
      </c>
      <c r="AD275" s="154">
        <v>0.88888888889050577</v>
      </c>
      <c r="AE275" s="151" t="s">
        <v>650</v>
      </c>
      <c r="AF275" s="153">
        <v>45923</v>
      </c>
      <c r="AG275" s="154">
        <v>0.87152777778101154</v>
      </c>
      <c r="AH275" s="151" t="s">
        <v>568</v>
      </c>
      <c r="AI275" s="151" t="s">
        <v>498</v>
      </c>
      <c r="AJ275" s="151" t="s">
        <v>104</v>
      </c>
      <c r="AK275" s="151" t="s">
        <v>104</v>
      </c>
      <c r="AL275" s="151" t="s">
        <v>58</v>
      </c>
      <c r="AM275" s="188" t="s">
        <v>1224</v>
      </c>
      <c r="AN275" s="188" t="s">
        <v>1233</v>
      </c>
      <c r="AO275" s="188" t="s">
        <v>1235</v>
      </c>
      <c r="AP275" s="155"/>
    </row>
    <row r="276" spans="3:42" ht="14.25" customHeight="1">
      <c r="C276" s="156">
        <f>IF($X276=1,COUNTIF($C$10:C275,"&gt;0")+1,"")</f>
        <v>136</v>
      </c>
      <c r="D276" s="151">
        <v>15262729</v>
      </c>
      <c r="E276" s="151" t="s">
        <v>933</v>
      </c>
      <c r="F276" s="152" t="s">
        <v>965</v>
      </c>
      <c r="G276" s="151" t="s">
        <v>965</v>
      </c>
      <c r="H276" s="151" t="s">
        <v>966</v>
      </c>
      <c r="I276" s="151" t="s">
        <v>967</v>
      </c>
      <c r="J276" s="151" t="s">
        <v>100</v>
      </c>
      <c r="K276" s="151" t="s">
        <v>99</v>
      </c>
      <c r="L276" s="153">
        <v>24528</v>
      </c>
      <c r="M276" s="151">
        <v>58</v>
      </c>
      <c r="N276" s="151" t="s">
        <v>968</v>
      </c>
      <c r="O276" s="153">
        <v>48378</v>
      </c>
      <c r="P276" s="151" t="s">
        <v>51</v>
      </c>
      <c r="Q276" s="151"/>
      <c r="R276" s="173">
        <v>45918</v>
      </c>
      <c r="S276" s="174">
        <v>45923</v>
      </c>
      <c r="T276" s="175">
        <f>S276-R276</f>
        <v>5</v>
      </c>
      <c r="U276" s="151">
        <v>1</v>
      </c>
      <c r="V276" s="151">
        <v>1</v>
      </c>
      <c r="W276" s="151">
        <v>0</v>
      </c>
      <c r="X276" s="151">
        <v>1</v>
      </c>
      <c r="Y276" s="151">
        <v>0</v>
      </c>
      <c r="Z276" s="151">
        <v>1</v>
      </c>
      <c r="AA276" s="151">
        <v>0</v>
      </c>
      <c r="AB276" s="151"/>
      <c r="AC276" s="153">
        <v>45918</v>
      </c>
      <c r="AD276" s="154">
        <v>0.88888888889050577</v>
      </c>
      <c r="AE276" s="151" t="s">
        <v>650</v>
      </c>
      <c r="AF276" s="153">
        <v>45923</v>
      </c>
      <c r="AG276" s="154">
        <v>2.0833333335758653E-2</v>
      </c>
      <c r="AH276" s="151" t="s">
        <v>969</v>
      </c>
      <c r="AI276" s="151" t="s">
        <v>938</v>
      </c>
      <c r="AJ276" s="151" t="s">
        <v>104</v>
      </c>
      <c r="AK276" s="151"/>
      <c r="AL276" s="151" t="s">
        <v>58</v>
      </c>
      <c r="AM276" s="188" t="s">
        <v>1224</v>
      </c>
      <c r="AN276" s="188" t="s">
        <v>1232</v>
      </c>
      <c r="AO276" s="188" t="s">
        <v>1235</v>
      </c>
      <c r="AP276" s="155"/>
    </row>
    <row r="277" spans="3:42" ht="14.25" customHeight="1">
      <c r="C277" s="156" t="str">
        <f>IF($X277=1,COUNTIF($C$10:C276,"&gt;0")+1,"")</f>
        <v/>
      </c>
      <c r="D277" s="151"/>
      <c r="E277" s="151" t="s">
        <v>933</v>
      </c>
      <c r="F277" s="152" t="s">
        <v>970</v>
      </c>
      <c r="G277" s="151" t="s">
        <v>965</v>
      </c>
      <c r="H277" s="151" t="s">
        <v>971</v>
      </c>
      <c r="I277" s="151" t="s">
        <v>967</v>
      </c>
      <c r="J277" s="151" t="s">
        <v>98</v>
      </c>
      <c r="K277" s="151" t="s">
        <v>99</v>
      </c>
      <c r="L277" s="153">
        <v>21625</v>
      </c>
      <c r="M277" s="151">
        <v>66</v>
      </c>
      <c r="N277" s="151" t="s">
        <v>972</v>
      </c>
      <c r="O277" s="153">
        <v>48378</v>
      </c>
      <c r="P277" s="151" t="s">
        <v>51</v>
      </c>
      <c r="Q277" s="151"/>
      <c r="R277" s="173">
        <v>45918</v>
      </c>
      <c r="S277" s="174">
        <v>45923</v>
      </c>
      <c r="T277" s="175">
        <f>S277-R277</f>
        <v>5</v>
      </c>
      <c r="U277" s="151">
        <v>1</v>
      </c>
      <c r="V277" s="151">
        <v>1</v>
      </c>
      <c r="W277" s="151">
        <v>0</v>
      </c>
      <c r="X277" s="151">
        <v>0</v>
      </c>
      <c r="Y277" s="151">
        <v>0</v>
      </c>
      <c r="Z277" s="151">
        <v>0</v>
      </c>
      <c r="AA277" s="151">
        <v>0</v>
      </c>
      <c r="AB277" s="151"/>
      <c r="AC277" s="153">
        <v>45918</v>
      </c>
      <c r="AD277" s="154">
        <v>0.88888888889050577</v>
      </c>
      <c r="AE277" s="151" t="s">
        <v>650</v>
      </c>
      <c r="AF277" s="153">
        <v>45923</v>
      </c>
      <c r="AG277" s="154">
        <v>2.0833333335758653E-2</v>
      </c>
      <c r="AH277" s="151" t="s">
        <v>969</v>
      </c>
      <c r="AI277" s="151" t="s">
        <v>938</v>
      </c>
      <c r="AJ277" s="151" t="s">
        <v>104</v>
      </c>
      <c r="AK277" s="151" t="s">
        <v>104</v>
      </c>
      <c r="AL277" s="151" t="s">
        <v>58</v>
      </c>
      <c r="AM277" s="188" t="s">
        <v>1224</v>
      </c>
      <c r="AN277" s="188" t="s">
        <v>1232</v>
      </c>
      <c r="AO277" s="188" t="s">
        <v>1235</v>
      </c>
      <c r="AP277" s="155"/>
    </row>
    <row r="278" spans="3:42" ht="14.25" customHeight="1">
      <c r="C278" s="157">
        <f>IF($X278=1,COUNTIF($C$10:C277,"&gt;0")+1,"")</f>
        <v>137</v>
      </c>
      <c r="D278" s="158">
        <v>15262750</v>
      </c>
      <c r="E278" s="158" t="s">
        <v>933</v>
      </c>
      <c r="F278" s="159" t="s">
        <v>1066</v>
      </c>
      <c r="G278" s="158" t="s">
        <v>1066</v>
      </c>
      <c r="H278" s="158" t="s">
        <v>1067</v>
      </c>
      <c r="I278" s="158" t="s">
        <v>1068</v>
      </c>
      <c r="J278" s="158" t="s">
        <v>100</v>
      </c>
      <c r="K278" s="158" t="s">
        <v>99</v>
      </c>
      <c r="L278" s="160">
        <v>21902</v>
      </c>
      <c r="M278" s="158">
        <v>65</v>
      </c>
      <c r="N278" s="158" t="s">
        <v>1069</v>
      </c>
      <c r="O278" s="160">
        <v>46314</v>
      </c>
      <c r="P278" s="158" t="s">
        <v>50</v>
      </c>
      <c r="Q278" s="158"/>
      <c r="R278" s="173">
        <v>45918</v>
      </c>
      <c r="S278" s="174">
        <v>45923</v>
      </c>
      <c r="T278" s="175">
        <f>S278-R278</f>
        <v>5</v>
      </c>
      <c r="U278" s="158">
        <v>1</v>
      </c>
      <c r="V278" s="158">
        <v>1</v>
      </c>
      <c r="W278" s="158">
        <v>0</v>
      </c>
      <c r="X278" s="158">
        <v>1</v>
      </c>
      <c r="Y278" s="158">
        <v>1</v>
      </c>
      <c r="Z278" s="158">
        <v>0</v>
      </c>
      <c r="AA278" s="158">
        <v>0</v>
      </c>
      <c r="AB278" s="158"/>
      <c r="AC278" s="160">
        <v>45918</v>
      </c>
      <c r="AD278" s="161">
        <v>0.90972222221898846</v>
      </c>
      <c r="AE278" s="158" t="s">
        <v>1070</v>
      </c>
      <c r="AF278" s="160">
        <v>45924</v>
      </c>
      <c r="AG278" s="161">
        <v>0.50347222221898846</v>
      </c>
      <c r="AH278" s="158" t="s">
        <v>1071</v>
      </c>
      <c r="AI278" s="158" t="s">
        <v>938</v>
      </c>
      <c r="AJ278" s="158" t="s">
        <v>104</v>
      </c>
      <c r="AK278" s="158" t="s">
        <v>104</v>
      </c>
      <c r="AL278" s="158" t="s">
        <v>58</v>
      </c>
      <c r="AM278" s="188" t="s">
        <v>1224</v>
      </c>
      <c r="AN278" s="188" t="s">
        <v>1232</v>
      </c>
      <c r="AO278" s="190" t="s">
        <v>1235</v>
      </c>
      <c r="AP278" s="162"/>
    </row>
  </sheetData>
  <autoFilter ref="C8:AP278" xr:uid="{00000000-0009-0000-0000-000001000000}">
    <filterColumn colId="11" showButton="0"/>
    <sortState xmlns:xlrd2="http://schemas.microsoft.com/office/spreadsheetml/2017/richdata2" ref="C15:AP278">
      <sortCondition ref="AD8:AD278"/>
    </sortState>
  </autoFilter>
  <mergeCells count="30">
    <mergeCell ref="AK8:AK9"/>
    <mergeCell ref="AJ8:AJ9"/>
    <mergeCell ref="AM8:AM9"/>
    <mergeCell ref="AL8:AL9"/>
    <mergeCell ref="AO8:AO9"/>
    <mergeCell ref="L8:L9"/>
    <mergeCell ref="AC6:AE6"/>
    <mergeCell ref="AF6:AH6"/>
    <mergeCell ref="AC8:AE8"/>
    <mergeCell ref="AF8:AH8"/>
    <mergeCell ref="P8:P9"/>
    <mergeCell ref="Q8:Q9"/>
    <mergeCell ref="M8:M9"/>
    <mergeCell ref="N8:O8"/>
    <mergeCell ref="D2:S2"/>
    <mergeCell ref="AP8:AP9"/>
    <mergeCell ref="C8:C9"/>
    <mergeCell ref="E8:E9"/>
    <mergeCell ref="F8:F9"/>
    <mergeCell ref="G8:G9"/>
    <mergeCell ref="AI8:AI9"/>
    <mergeCell ref="D8:D9"/>
    <mergeCell ref="S8:S9"/>
    <mergeCell ref="T8:T9"/>
    <mergeCell ref="H8:H9"/>
    <mergeCell ref="I8:I9"/>
    <mergeCell ref="J8:J9"/>
    <mergeCell ref="R8:R9"/>
    <mergeCell ref="AN8:AN9"/>
    <mergeCell ref="K8:K9"/>
  </mergeCells>
  <phoneticPr fontId="8" type="noConversion"/>
  <conditionalFormatting sqref="C123:E124">
    <cfRule type="expression" dxfId="2" priority="1">
      <formula>$C123&lt;&gt;""</formula>
    </cfRule>
  </conditionalFormatting>
  <conditionalFormatting sqref="C10:Q122 F123:J123 F124:G124 J124 C125:Q278">
    <cfRule type="expression" dxfId="1" priority="6">
      <formula>$C10&lt;&gt;""</formula>
    </cfRule>
  </conditionalFormatting>
  <conditionalFormatting sqref="K123:Q124 U10:AO278">
    <cfRule type="expression" dxfId="0" priority="2">
      <formula>$C10&lt;&gt;""</formula>
    </cfRule>
  </conditionalFormatting>
  <pageMargins left="0.25" right="0.25" top="0.75" bottom="0.75" header="0.3" footer="0.3"/>
  <pageSetup scale="6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1B962030C32AD4BBCFDDB36A17CA3F1" ma:contentTypeVersion="14" ma:contentTypeDescription="Tạo tài liệu mới." ma:contentTypeScope="" ma:versionID="3eb8ee96096ad0291e21e22b226a2337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f25d27126eaa6a41abe6b82796929654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985EFA-3845-465C-A1B1-7D4918A191EA}">
  <ds:schemaRefs>
    <ds:schemaRef ds:uri="http://schemas.microsoft.com/office/2006/metadata/properties"/>
    <ds:schemaRef ds:uri="http://schemas.microsoft.com/office/infopath/2007/PartnerControls"/>
    <ds:schemaRef ds:uri="e7e13fcd-dff2-415b-92dd-721a82e062f4"/>
    <ds:schemaRef ds:uri="d33ae075-394d-4e55-b0ad-505a7721498e"/>
  </ds:schemaRefs>
</ds:datastoreItem>
</file>

<file path=customXml/itemProps2.xml><?xml version="1.0" encoding="utf-8"?>
<ds:datastoreItem xmlns:ds="http://schemas.openxmlformats.org/officeDocument/2006/customXml" ds:itemID="{1CA5D37D-78B5-4207-8D38-EEBE87343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ae075-394d-4e55-b0ad-505a7721498e"/>
    <ds:schemaRef ds:uri="e7e13fcd-dff2-415b-92dd-721a82e06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8A288A-51EB-4151-AE26-3DCF84DA26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booking sum</vt:lpstr>
      <vt:lpstr>Rooming list</vt:lpstr>
      <vt:lpstr>'Master booking sum'!Print_Area</vt:lpstr>
    </vt:vector>
  </TitlesOfParts>
  <Manager/>
  <Company>ITGROUP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cp:keywords/>
  <dc:description/>
  <cp:lastModifiedBy>Adam Yan - Journey Beyond Asia</cp:lastModifiedBy>
  <cp:revision/>
  <dcterms:created xsi:type="dcterms:W3CDTF">2012-08-12T04:17:35Z</dcterms:created>
  <dcterms:modified xsi:type="dcterms:W3CDTF">2025-09-17T17:23:23Z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