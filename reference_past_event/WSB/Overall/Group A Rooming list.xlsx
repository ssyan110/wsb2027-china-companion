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an110/Desktop/Work/Projects/WSB/"/>
    </mc:Choice>
  </mc:AlternateContent>
  <xr:revisionPtr revIDLastSave="0" documentId="8_{14744E60-1E90-8347-BB39-6951677CD9FE}" xr6:coauthVersionLast="47" xr6:coauthVersionMax="47" xr10:uidLastSave="{00000000-0000-0000-0000-000000000000}"/>
  <bookViews>
    <workbookView xWindow="0" yWindow="620" windowWidth="28800" windowHeight="16460" xr2:uid="{20756239-DFC4-A54A-934C-6A54AC250067}"/>
  </bookViews>
  <sheets>
    <sheet name="Group A_Lotte" sheetId="7" r:id="rId1"/>
  </sheets>
  <externalReferences>
    <externalReference r:id="rId2"/>
  </externalReferences>
  <definedNames>
    <definedName name="_xlnm._FilterDatabase" localSheetId="0" hidden="1">'Group A_Lotte'!$C$8:$AP$317</definedName>
    <definedName name="Header">'[1]List Tracking'!$C$9:$BS$9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7" i="7" l="1"/>
  <c r="C317" i="7"/>
  <c r="T316" i="7"/>
  <c r="T315" i="7"/>
  <c r="C315" i="7"/>
  <c r="T314" i="7"/>
  <c r="T313" i="7"/>
  <c r="C313" i="7"/>
  <c r="T312" i="7"/>
  <c r="T311" i="7"/>
  <c r="C311" i="7"/>
  <c r="T310" i="7"/>
  <c r="C310" i="7"/>
  <c r="T309" i="7"/>
  <c r="T308" i="7"/>
  <c r="C308" i="7"/>
  <c r="T307" i="7"/>
  <c r="T306" i="7"/>
  <c r="C306" i="7"/>
  <c r="T305" i="7"/>
  <c r="T304" i="7"/>
  <c r="C304" i="7"/>
  <c r="T303" i="7"/>
  <c r="T302" i="7"/>
  <c r="C302" i="7"/>
  <c r="T301" i="7"/>
  <c r="T300" i="7"/>
  <c r="C300" i="7"/>
  <c r="T299" i="7"/>
  <c r="T298" i="7"/>
  <c r="C298" i="7"/>
  <c r="T297" i="7"/>
  <c r="T296" i="7"/>
  <c r="C296" i="7"/>
  <c r="T295" i="7"/>
  <c r="T294" i="7"/>
  <c r="C294" i="7"/>
  <c r="T293" i="7"/>
  <c r="T292" i="7"/>
  <c r="C292" i="7"/>
  <c r="T291" i="7"/>
  <c r="T290" i="7"/>
  <c r="C290" i="7"/>
  <c r="T289" i="7"/>
  <c r="T288" i="7"/>
  <c r="C288" i="7"/>
  <c r="T287" i="7"/>
  <c r="T286" i="7"/>
  <c r="C286" i="7"/>
  <c r="T285" i="7"/>
  <c r="T284" i="7"/>
  <c r="C284" i="7"/>
  <c r="T283" i="7"/>
  <c r="T282" i="7"/>
  <c r="C282" i="7"/>
  <c r="T281" i="7"/>
  <c r="T280" i="7"/>
  <c r="C280" i="7"/>
  <c r="T279" i="7"/>
  <c r="T278" i="7"/>
  <c r="C278" i="7"/>
  <c r="T277" i="7"/>
  <c r="T276" i="7"/>
  <c r="C276" i="7"/>
  <c r="T275" i="7"/>
  <c r="T274" i="7"/>
  <c r="C274" i="7"/>
  <c r="T273" i="7"/>
  <c r="T272" i="7"/>
  <c r="C272" i="7"/>
  <c r="T271" i="7"/>
  <c r="T270" i="7"/>
  <c r="C270" i="7"/>
  <c r="T269" i="7"/>
  <c r="T268" i="7"/>
  <c r="C268" i="7"/>
  <c r="T267" i="7"/>
  <c r="T266" i="7"/>
  <c r="C266" i="7"/>
  <c r="T265" i="7"/>
  <c r="C265" i="7"/>
  <c r="T264" i="7"/>
  <c r="T263" i="7"/>
  <c r="C263" i="7"/>
  <c r="T262" i="7"/>
  <c r="T261" i="7"/>
  <c r="C261" i="7"/>
  <c r="T260" i="7"/>
  <c r="T259" i="7"/>
  <c r="C259" i="7"/>
  <c r="T258" i="7"/>
  <c r="T257" i="7"/>
  <c r="C257" i="7"/>
  <c r="T256" i="7"/>
  <c r="T255" i="7"/>
  <c r="C255" i="7"/>
  <c r="T254" i="7"/>
  <c r="T253" i="7"/>
  <c r="C253" i="7"/>
  <c r="T252" i="7"/>
  <c r="T251" i="7"/>
  <c r="C251" i="7"/>
  <c r="T250" i="7"/>
  <c r="T249" i="7"/>
  <c r="C249" i="7"/>
  <c r="T248" i="7"/>
  <c r="T247" i="7"/>
  <c r="C247" i="7"/>
  <c r="T246" i="7"/>
  <c r="T245" i="7"/>
  <c r="C245" i="7"/>
  <c r="T244" i="7"/>
  <c r="T243" i="7"/>
  <c r="C243" i="7"/>
  <c r="T242" i="7"/>
  <c r="T241" i="7"/>
  <c r="C241" i="7"/>
  <c r="T240" i="7"/>
  <c r="T239" i="7"/>
  <c r="C239" i="7"/>
  <c r="T238" i="7"/>
  <c r="T237" i="7"/>
  <c r="C237" i="7"/>
  <c r="T236" i="7"/>
  <c r="T235" i="7"/>
  <c r="C235" i="7"/>
  <c r="T234" i="7"/>
  <c r="C234" i="7"/>
  <c r="T233" i="7"/>
  <c r="C233" i="7"/>
  <c r="T232" i="7"/>
  <c r="T231" i="7"/>
  <c r="C231" i="7"/>
  <c r="T230" i="7"/>
  <c r="T229" i="7"/>
  <c r="C229" i="7"/>
  <c r="T228" i="7"/>
  <c r="T227" i="7"/>
  <c r="C227" i="7"/>
  <c r="T226" i="7"/>
  <c r="T225" i="7"/>
  <c r="C225" i="7"/>
  <c r="T224" i="7"/>
  <c r="T223" i="7"/>
  <c r="C223" i="7"/>
  <c r="T222" i="7"/>
  <c r="T221" i="7"/>
  <c r="T220" i="7"/>
  <c r="C220" i="7"/>
  <c r="T219" i="7"/>
  <c r="T218" i="7"/>
  <c r="C218" i="7"/>
  <c r="T217" i="7"/>
  <c r="T216" i="7"/>
  <c r="C216" i="7"/>
  <c r="T215" i="7"/>
  <c r="T214" i="7"/>
  <c r="C214" i="7"/>
  <c r="T213" i="7"/>
  <c r="T212" i="7"/>
  <c r="C212" i="7"/>
  <c r="T211" i="7"/>
  <c r="T210" i="7"/>
  <c r="C210" i="7"/>
  <c r="T209" i="7"/>
  <c r="T208" i="7"/>
  <c r="C208" i="7"/>
  <c r="T207" i="7"/>
  <c r="T206" i="7"/>
  <c r="C206" i="7"/>
  <c r="T205" i="7"/>
  <c r="T204" i="7"/>
  <c r="C204" i="7"/>
  <c r="T203" i="7"/>
  <c r="T202" i="7"/>
  <c r="C202" i="7"/>
  <c r="T201" i="7"/>
  <c r="T200" i="7"/>
  <c r="C200" i="7"/>
  <c r="T199" i="7"/>
  <c r="T198" i="7"/>
  <c r="T197" i="7"/>
  <c r="C197" i="7"/>
  <c r="T196" i="7"/>
  <c r="T195" i="7"/>
  <c r="C195" i="7"/>
  <c r="T194" i="7"/>
  <c r="T193" i="7"/>
  <c r="C193" i="7"/>
  <c r="T192" i="7"/>
  <c r="T191" i="7"/>
  <c r="C191" i="7"/>
  <c r="T190" i="7"/>
  <c r="T189" i="7"/>
  <c r="C189" i="7"/>
  <c r="T188" i="7"/>
  <c r="T187" i="7"/>
  <c r="C187" i="7"/>
  <c r="T186" i="7"/>
  <c r="T185" i="7"/>
  <c r="C185" i="7"/>
  <c r="T184" i="7"/>
  <c r="T183" i="7"/>
  <c r="C183" i="7"/>
  <c r="T182" i="7"/>
  <c r="T181" i="7"/>
  <c r="C181" i="7"/>
  <c r="T180" i="7"/>
  <c r="T179" i="7"/>
  <c r="C179" i="7"/>
  <c r="T178" i="7"/>
  <c r="T177" i="7"/>
  <c r="C177" i="7"/>
  <c r="T176" i="7"/>
  <c r="T175" i="7"/>
  <c r="T174" i="7"/>
  <c r="C174" i="7"/>
  <c r="T173" i="7"/>
  <c r="T172" i="7"/>
  <c r="T171" i="7"/>
  <c r="C171" i="7"/>
  <c r="T170" i="7"/>
  <c r="T169" i="7"/>
  <c r="C169" i="7"/>
  <c r="T168" i="7"/>
  <c r="T167" i="7"/>
  <c r="C167" i="7"/>
  <c r="T166" i="7"/>
  <c r="T165" i="7"/>
  <c r="C165" i="7"/>
  <c r="T164" i="7"/>
  <c r="T163" i="7"/>
  <c r="C163" i="7"/>
  <c r="T162" i="7"/>
  <c r="T161" i="7"/>
  <c r="C161" i="7"/>
  <c r="T160" i="7"/>
  <c r="T159" i="7"/>
  <c r="C159" i="7"/>
  <c r="T158" i="7"/>
  <c r="T157" i="7"/>
  <c r="C157" i="7"/>
  <c r="T156" i="7"/>
  <c r="T155" i="7"/>
  <c r="C155" i="7"/>
  <c r="T154" i="7"/>
  <c r="T153" i="7"/>
  <c r="C153" i="7"/>
  <c r="T152" i="7"/>
  <c r="T151" i="7"/>
  <c r="C151" i="7"/>
  <c r="T150" i="7"/>
  <c r="T149" i="7"/>
  <c r="C149" i="7"/>
  <c r="T148" i="7"/>
  <c r="T147" i="7"/>
  <c r="C147" i="7"/>
  <c r="T146" i="7"/>
  <c r="T145" i="7"/>
  <c r="C145" i="7"/>
  <c r="T144" i="7"/>
  <c r="T143" i="7"/>
  <c r="C143" i="7"/>
  <c r="T142" i="7"/>
  <c r="T141" i="7"/>
  <c r="C141" i="7"/>
  <c r="T140" i="7"/>
  <c r="T139" i="7"/>
  <c r="C139" i="7"/>
  <c r="T138" i="7"/>
  <c r="T137" i="7"/>
  <c r="C137" i="7"/>
  <c r="T136" i="7"/>
  <c r="T135" i="7"/>
  <c r="C135" i="7"/>
  <c r="T134" i="7"/>
  <c r="T133" i="7"/>
  <c r="C133" i="7"/>
  <c r="T132" i="7"/>
  <c r="T131" i="7"/>
  <c r="C131" i="7"/>
  <c r="T130" i="7"/>
  <c r="T129" i="7"/>
  <c r="C129" i="7"/>
  <c r="T128" i="7"/>
  <c r="T127" i="7"/>
  <c r="C127" i="7"/>
  <c r="T126" i="7"/>
  <c r="T125" i="7"/>
  <c r="C125" i="7"/>
  <c r="T124" i="7"/>
  <c r="T123" i="7"/>
  <c r="C123" i="7"/>
  <c r="T122" i="7"/>
  <c r="T121" i="7"/>
  <c r="C121" i="7"/>
  <c r="T120" i="7"/>
  <c r="T119" i="7"/>
  <c r="C119" i="7"/>
  <c r="T118" i="7"/>
  <c r="T117" i="7"/>
  <c r="C117" i="7"/>
  <c r="T116" i="7"/>
  <c r="T115" i="7"/>
  <c r="C115" i="7"/>
  <c r="T114" i="7"/>
  <c r="T113" i="7"/>
  <c r="C113" i="7"/>
  <c r="T112" i="7"/>
  <c r="C112" i="7"/>
  <c r="T111" i="7"/>
  <c r="T110" i="7"/>
  <c r="C110" i="7"/>
  <c r="T109" i="7"/>
  <c r="T108" i="7"/>
  <c r="C108" i="7"/>
  <c r="T107" i="7"/>
  <c r="T106" i="7"/>
  <c r="C106" i="7"/>
  <c r="T105" i="7"/>
  <c r="T104" i="7"/>
  <c r="C104" i="7"/>
  <c r="T103" i="7"/>
  <c r="T102" i="7"/>
  <c r="C102" i="7"/>
  <c r="T101" i="7"/>
  <c r="T100" i="7"/>
  <c r="C100" i="7"/>
  <c r="T99" i="7"/>
  <c r="T98" i="7"/>
  <c r="C98" i="7"/>
  <c r="T97" i="7"/>
  <c r="T96" i="7"/>
  <c r="C96" i="7"/>
  <c r="T95" i="7"/>
  <c r="T94" i="7"/>
  <c r="C94" i="7"/>
  <c r="T93" i="7"/>
  <c r="T92" i="7"/>
  <c r="C92" i="7"/>
  <c r="T91" i="7"/>
  <c r="C91" i="7"/>
  <c r="T90" i="7"/>
  <c r="T89" i="7"/>
  <c r="C89" i="7"/>
  <c r="T88" i="7"/>
  <c r="T87" i="7"/>
  <c r="C87" i="7"/>
  <c r="T86" i="7"/>
  <c r="T85" i="7"/>
  <c r="C85" i="7"/>
  <c r="T84" i="7"/>
  <c r="T83" i="7"/>
  <c r="C83" i="7"/>
  <c r="T82" i="7"/>
  <c r="C82" i="7"/>
  <c r="T81" i="7"/>
  <c r="T80" i="7"/>
  <c r="C80" i="7"/>
  <c r="T79" i="7"/>
  <c r="T78" i="7"/>
  <c r="C78" i="7"/>
  <c r="T77" i="7"/>
  <c r="T76" i="7"/>
  <c r="C76" i="7"/>
  <c r="T75" i="7"/>
  <c r="T74" i="7"/>
  <c r="C74" i="7"/>
  <c r="T73" i="7"/>
  <c r="T72" i="7"/>
  <c r="C72" i="7"/>
  <c r="T71" i="7"/>
  <c r="T70" i="7"/>
  <c r="C70" i="7"/>
  <c r="T69" i="7"/>
  <c r="T68" i="7"/>
  <c r="C68" i="7"/>
  <c r="T67" i="7"/>
  <c r="T66" i="7"/>
  <c r="C66" i="7"/>
  <c r="T65" i="7"/>
  <c r="T64" i="7"/>
  <c r="C64" i="7"/>
  <c r="T63" i="7"/>
  <c r="T62" i="7"/>
  <c r="C62" i="7"/>
  <c r="T61" i="7"/>
  <c r="T60" i="7"/>
  <c r="C60" i="7"/>
  <c r="T59" i="7"/>
  <c r="T58" i="7"/>
  <c r="C58" i="7"/>
  <c r="T57" i="7"/>
  <c r="C57" i="7"/>
  <c r="T56" i="7"/>
  <c r="T55" i="7"/>
  <c r="C55" i="7"/>
  <c r="T54" i="7"/>
  <c r="T53" i="7"/>
  <c r="C53" i="7"/>
  <c r="T52" i="7"/>
  <c r="T51" i="7"/>
  <c r="C51" i="7"/>
  <c r="T50" i="7"/>
  <c r="T49" i="7"/>
  <c r="C49" i="7"/>
  <c r="T48" i="7"/>
  <c r="T47" i="7"/>
  <c r="C47" i="7"/>
  <c r="T46" i="7"/>
  <c r="T45" i="7"/>
  <c r="C45" i="7"/>
  <c r="T44" i="7"/>
  <c r="T43" i="7"/>
  <c r="C43" i="7"/>
  <c r="T42" i="7"/>
  <c r="T41" i="7"/>
  <c r="C41" i="7"/>
  <c r="T40" i="7"/>
  <c r="T39" i="7"/>
  <c r="C39" i="7"/>
  <c r="T38" i="7"/>
  <c r="T37" i="7"/>
  <c r="C37" i="7"/>
  <c r="T36" i="7"/>
  <c r="T35" i="7"/>
  <c r="C35" i="7"/>
  <c r="T34" i="7"/>
  <c r="T33" i="7"/>
  <c r="C33" i="7"/>
  <c r="T32" i="7"/>
  <c r="T31" i="7"/>
  <c r="C31" i="7"/>
  <c r="T30" i="7"/>
  <c r="T29" i="7"/>
  <c r="C29" i="7"/>
  <c r="T28" i="7"/>
  <c r="T27" i="7"/>
  <c r="C27" i="7"/>
  <c r="T26" i="7"/>
  <c r="T25" i="7"/>
  <c r="C25" i="7"/>
  <c r="T24" i="7"/>
  <c r="T23" i="7"/>
  <c r="C23" i="7"/>
  <c r="T22" i="7"/>
  <c r="C22" i="7"/>
  <c r="T21" i="7"/>
  <c r="T20" i="7"/>
  <c r="C20" i="7"/>
  <c r="T19" i="7"/>
  <c r="T18" i="7"/>
  <c r="C18" i="7"/>
  <c r="T17" i="7"/>
  <c r="T16" i="7"/>
  <c r="C16" i="7"/>
  <c r="T15" i="7"/>
  <c r="C15" i="7"/>
  <c r="T14" i="7"/>
  <c r="C14" i="7"/>
  <c r="T13" i="7"/>
  <c r="C13" i="7"/>
  <c r="T12" i="7"/>
  <c r="C12" i="7"/>
  <c r="T11" i="7"/>
  <c r="C11" i="7"/>
  <c r="T10" i="7"/>
  <c r="Q5" i="7"/>
  <c r="P5" i="7"/>
  <c r="O5" i="7" s="1"/>
  <c r="L5" i="7"/>
  <c r="K5" i="7"/>
  <c r="I5" i="7" s="1"/>
  <c r="J5" i="7"/>
  <c r="C19" i="7" l="1"/>
  <c r="C17" i="7"/>
  <c r="C21" i="7" l="1"/>
  <c r="C24" i="7" l="1"/>
  <c r="C30" i="7"/>
  <c r="C26" i="7"/>
  <c r="C28" i="7"/>
  <c r="C32" i="7"/>
  <c r="C34" i="7" l="1"/>
  <c r="C36" i="7"/>
  <c r="C38" i="7" l="1"/>
  <c r="C40" i="7" l="1"/>
  <c r="C42" i="7" l="1"/>
  <c r="C44" i="7" l="1"/>
  <c r="C46" i="7" s="1"/>
  <c r="C48" i="7" s="1"/>
  <c r="C50" i="7" s="1"/>
  <c r="C52" i="7" s="1"/>
  <c r="C54" i="7" s="1"/>
  <c r="C56" i="7" s="1"/>
  <c r="C59" i="7" s="1"/>
  <c r="C61" i="7" s="1"/>
  <c r="C63" i="7" s="1"/>
  <c r="C65" i="7" s="1"/>
  <c r="C67" i="7" s="1"/>
  <c r="C69" i="7" s="1"/>
  <c r="C71" i="7" s="1"/>
  <c r="C73" i="7" s="1"/>
  <c r="C75" i="7" s="1"/>
  <c r="C77" i="7" s="1"/>
  <c r="C79" i="7" s="1"/>
  <c r="C81" i="7" s="1"/>
  <c r="C84" i="7" s="1"/>
  <c r="C86" i="7" s="1"/>
  <c r="C88" i="7" s="1"/>
  <c r="C90" i="7" s="1"/>
  <c r="C93" i="7" s="1"/>
  <c r="C95" i="7" s="1"/>
  <c r="C97" i="7" s="1"/>
  <c r="C99" i="7" s="1"/>
  <c r="C101" i="7" s="1"/>
  <c r="C103" i="7" s="1"/>
  <c r="C105" i="7" s="1"/>
  <c r="C107" i="7" s="1"/>
  <c r="C109" i="7" s="1"/>
  <c r="C111" i="7" s="1"/>
  <c r="C114" i="7" s="1"/>
  <c r="C116" i="7" s="1"/>
  <c r="C118" i="7" s="1"/>
  <c r="C120" i="7" l="1"/>
  <c r="C122" i="7" s="1"/>
  <c r="C124" i="7" s="1"/>
  <c r="C126" i="7" s="1"/>
  <c r="C128" i="7" s="1"/>
  <c r="C130" i="7" s="1"/>
  <c r="C132" i="7" s="1"/>
  <c r="C134" i="7" s="1"/>
  <c r="C136" i="7" s="1"/>
  <c r="C138" i="7" s="1"/>
  <c r="C140" i="7" s="1"/>
  <c r="C142" i="7" s="1"/>
  <c r="C144" i="7" s="1"/>
  <c r="C146" i="7" s="1"/>
  <c r="C148" i="7" s="1"/>
  <c r="C150" i="7" s="1"/>
  <c r="C152" i="7" s="1"/>
  <c r="C154" i="7" s="1"/>
  <c r="C156" i="7" s="1"/>
  <c r="C158" i="7" s="1"/>
  <c r="C160" i="7" s="1"/>
  <c r="C162" i="7" s="1"/>
  <c r="C164" i="7" s="1"/>
  <c r="C166" i="7" s="1"/>
  <c r="C168" i="7" s="1"/>
  <c r="C170" i="7" s="1"/>
  <c r="C172" i="7" s="1"/>
  <c r="C173" i="7" s="1"/>
  <c r="C175" i="7" s="1"/>
  <c r="C176" i="7" s="1"/>
  <c r="C178" i="7" s="1"/>
  <c r="C180" i="7" s="1"/>
  <c r="C182" i="7" s="1"/>
  <c r="C184" i="7" s="1"/>
  <c r="C186" i="7" s="1"/>
  <c r="C188" i="7" s="1"/>
  <c r="C190" i="7" s="1"/>
  <c r="C192" i="7" s="1"/>
  <c r="C194" i="7" s="1"/>
  <c r="C196" i="7" s="1"/>
  <c r="C198" i="7" s="1"/>
  <c r="C199" i="7" s="1"/>
  <c r="C201" i="7" s="1"/>
  <c r="C203" i="7" s="1"/>
  <c r="C205" i="7" s="1"/>
  <c r="C207" i="7" s="1"/>
  <c r="C209" i="7" s="1"/>
  <c r="C211" i="7" s="1"/>
  <c r="C213" i="7" s="1"/>
  <c r="C215" i="7" s="1"/>
  <c r="C217" i="7" s="1"/>
  <c r="C219" i="7" s="1"/>
  <c r="C221" i="7" s="1"/>
  <c r="C222" i="7" s="1"/>
  <c r="C224" i="7" s="1"/>
  <c r="C226" i="7" s="1"/>
  <c r="C228" i="7" s="1"/>
  <c r="C230" i="7" s="1"/>
  <c r="C232" i="7" s="1"/>
  <c r="C236" i="7" s="1"/>
  <c r="C238" i="7" s="1"/>
  <c r="C240" i="7" s="1"/>
  <c r="C242" i="7" s="1"/>
  <c r="C244" i="7" s="1"/>
  <c r="C246" i="7" s="1"/>
  <c r="C248" i="7" s="1"/>
  <c r="C250" i="7" s="1"/>
  <c r="C252" i="7" s="1"/>
  <c r="C254" i="7" s="1"/>
  <c r="C256" i="7" s="1"/>
  <c r="C258" i="7" s="1"/>
  <c r="C260" i="7" s="1"/>
  <c r="C262" i="7" s="1"/>
  <c r="C264" i="7" s="1"/>
  <c r="C267" i="7" s="1"/>
  <c r="C269" i="7" s="1"/>
  <c r="C271" i="7" s="1"/>
  <c r="C273" i="7" s="1"/>
  <c r="C275" i="7" s="1"/>
  <c r="C277" i="7" s="1"/>
  <c r="C279" i="7" s="1"/>
  <c r="C281" i="7" s="1"/>
  <c r="C283" i="7" s="1"/>
  <c r="C285" i="7" s="1"/>
  <c r="C287" i="7" s="1"/>
  <c r="C289" i="7" s="1"/>
  <c r="C291" i="7" s="1"/>
  <c r="C293" i="7" s="1"/>
  <c r="C295" i="7" s="1"/>
  <c r="C297" i="7" s="1"/>
  <c r="C299" i="7" s="1"/>
  <c r="C301" i="7" s="1"/>
  <c r="C303" i="7" s="1"/>
  <c r="C305" i="7" s="1"/>
  <c r="C307" i="7" s="1"/>
  <c r="C309" i="7" s="1"/>
  <c r="C312" i="7" s="1"/>
  <c r="C314" i="7" s="1"/>
  <c r="C3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B66C1E0F-D220-DD42-97FD-957055163710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sharedStrings.xml><?xml version="1.0" encoding="utf-8"?>
<sst xmlns="http://schemas.openxmlformats.org/spreadsheetml/2006/main" count="5364" uniqueCount="1329">
  <si>
    <t>ROOM 
TOTAL</t>
  </si>
  <si>
    <t>SINGLE</t>
  </si>
  <si>
    <t>DOUBLE</t>
  </si>
  <si>
    <t>TWIN</t>
  </si>
  <si>
    <t>EXTRA BED</t>
  </si>
  <si>
    <t>PRE &amp; POST NIGHTS</t>
  </si>
  <si>
    <t xml:space="preserve">PAX TOTAL </t>
  </si>
  <si>
    <t xml:space="preserve">ADULT </t>
  </si>
  <si>
    <t>Provided by Hotel</t>
  </si>
  <si>
    <t>Pax Count</t>
  </si>
  <si>
    <t>Room Count</t>
  </si>
  <si>
    <t>International Filght</t>
  </si>
  <si>
    <t>ROOM #</t>
  </si>
  <si>
    <t>HOTEL CONFIRM #</t>
  </si>
  <si>
    <t>GRP ID</t>
  </si>
  <si>
    <t>ROOM MATE CFM #</t>
  </si>
  <si>
    <t>PRIMARY CFM #</t>
  </si>
  <si>
    <t>FIRST NAME</t>
  </si>
  <si>
    <t>LAST NAME</t>
  </si>
  <si>
    <t>GENDER</t>
  </si>
  <si>
    <t>NATIONALITY</t>
  </si>
  <si>
    <t>DOB</t>
  </si>
  <si>
    <t>AGE</t>
  </si>
  <si>
    <t>PASSPORT</t>
  </si>
  <si>
    <t>ROOM TYPE</t>
  </si>
  <si>
    <t>PRE &amp; POST</t>
  </si>
  <si>
    <t>IN</t>
  </si>
  <si>
    <t>OUT</t>
  </si>
  <si>
    <t>RN</t>
  </si>
  <si>
    <t>TOTAL PAX</t>
  </si>
  <si>
    <t>ADULT</t>
  </si>
  <si>
    <t>CHILD</t>
  </si>
  <si>
    <t>TOTAL ROOM</t>
  </si>
  <si>
    <t>SGL</t>
  </si>
  <si>
    <t>DBL</t>
  </si>
  <si>
    <t>ARRIVAL</t>
  </si>
  <si>
    <t>DEPARTURE</t>
  </si>
  <si>
    <t>CEO</t>
  </si>
  <si>
    <t>VIP</t>
  </si>
  <si>
    <t>SPECIAL REQUEST</t>
  </si>
  <si>
    <t>HOTEL</t>
  </si>
  <si>
    <t xml:space="preserve">GROUP </t>
  </si>
  <si>
    <t>ROOM SERVICE</t>
  </si>
  <si>
    <t>MODIFICATION NOTES</t>
  </si>
  <si>
    <t>Number</t>
  </si>
  <si>
    <t>Expiry Date</t>
  </si>
  <si>
    <t>ARR DATE</t>
  </si>
  <si>
    <t>ETA</t>
  </si>
  <si>
    <t>FLIGHT #</t>
  </si>
  <si>
    <t>DEPT DATE</t>
  </si>
  <si>
    <t>ETD</t>
  </si>
  <si>
    <t>Male</t>
  </si>
  <si>
    <t>USA</t>
  </si>
  <si>
    <t>CX 410</t>
  </si>
  <si>
    <t/>
  </si>
  <si>
    <t>A</t>
  </si>
  <si>
    <t>Female</t>
  </si>
  <si>
    <t>UA 893</t>
  </si>
  <si>
    <t>DL 173</t>
  </si>
  <si>
    <t>UA 805</t>
  </si>
  <si>
    <t>UA 892</t>
  </si>
  <si>
    <t>PR 485</t>
  </si>
  <si>
    <t>KE 24</t>
  </si>
  <si>
    <t>KE 23</t>
  </si>
  <si>
    <t>Philippines</t>
  </si>
  <si>
    <t>Z2 884</t>
  </si>
  <si>
    <t>PR 469</t>
  </si>
  <si>
    <t>UA 806</t>
  </si>
  <si>
    <t>OZ 211</t>
  </si>
  <si>
    <t>OZ 703</t>
  </si>
  <si>
    <t>AC 63</t>
  </si>
  <si>
    <t>KE 621</t>
  </si>
  <si>
    <t>BR 170</t>
  </si>
  <si>
    <t>OZ 201</t>
  </si>
  <si>
    <t>YP 101</t>
  </si>
  <si>
    <t>DL 188</t>
  </si>
  <si>
    <t>AA 281</t>
  </si>
  <si>
    <t>AA 280</t>
  </si>
  <si>
    <t>Wong</t>
  </si>
  <si>
    <t>A - Room Service</t>
  </si>
  <si>
    <t>David</t>
  </si>
  <si>
    <t>AC 62</t>
  </si>
  <si>
    <t>OZ 223</t>
  </si>
  <si>
    <t>KE 724</t>
  </si>
  <si>
    <t>OZ 701</t>
  </si>
  <si>
    <t>Canada</t>
  </si>
  <si>
    <t>WS 86</t>
  </si>
  <si>
    <t>WS 87</t>
  </si>
  <si>
    <t>CX 439</t>
  </si>
  <si>
    <t>DL 189</t>
  </si>
  <si>
    <t>NQ 122</t>
  </si>
  <si>
    <t>AC 61</t>
  </si>
  <si>
    <t>CEO VIP</t>
  </si>
  <si>
    <t>DL 158</t>
  </si>
  <si>
    <t>Martinez</t>
  </si>
  <si>
    <t>DL 172</t>
  </si>
  <si>
    <t>PR 468</t>
  </si>
  <si>
    <t>OZ 702</t>
  </si>
  <si>
    <t>7C 2104</t>
  </si>
  <si>
    <t>7C 2103</t>
  </si>
  <si>
    <t>Alicia</t>
  </si>
  <si>
    <t>OZ 202</t>
  </si>
  <si>
    <t>KE 5019</t>
  </si>
  <si>
    <t>CX 419</t>
  </si>
  <si>
    <t>KE 42</t>
  </si>
  <si>
    <t>Yang</t>
  </si>
  <si>
    <t>Noel</t>
  </si>
  <si>
    <t>NO NEED</t>
  </si>
  <si>
    <t>5J 186</t>
  </si>
  <si>
    <t>KE 71</t>
  </si>
  <si>
    <t>7C 1101</t>
  </si>
  <si>
    <t>AC 64</t>
  </si>
  <si>
    <t>Elizabeth</t>
  </si>
  <si>
    <t>Taylor</t>
  </si>
  <si>
    <t>Castillo</t>
  </si>
  <si>
    <t>Felipe</t>
  </si>
  <si>
    <t>OZ 204</t>
  </si>
  <si>
    <t>DL 171</t>
  </si>
  <si>
    <t>KE 12</t>
  </si>
  <si>
    <t>KE 11</t>
  </si>
  <si>
    <t>Daniel</t>
  </si>
  <si>
    <t>Le</t>
  </si>
  <si>
    <t>YP 102</t>
  </si>
  <si>
    <t>Lee</t>
  </si>
  <si>
    <t>KE 719</t>
  </si>
  <si>
    <t>Bautista</t>
  </si>
  <si>
    <t>CHD 
(4 TO UNDER 12 Y/O)</t>
  </si>
  <si>
    <t>KE 94</t>
  </si>
  <si>
    <t>KE 93</t>
  </si>
  <si>
    <t>Antonio</t>
  </si>
  <si>
    <t>Garcia</t>
  </si>
  <si>
    <t>YP 103</t>
  </si>
  <si>
    <t>Iran</t>
  </si>
  <si>
    <t>Vincent</t>
  </si>
  <si>
    <t>7C 1106</t>
  </si>
  <si>
    <t>OZ 106</t>
  </si>
  <si>
    <t>Martin</t>
  </si>
  <si>
    <t>7C 1374</t>
  </si>
  <si>
    <t>TW 304</t>
  </si>
  <si>
    <t>CA 124</t>
  </si>
  <si>
    <t>Tan</t>
  </si>
  <si>
    <t>Manuel</t>
  </si>
  <si>
    <t>Choi</t>
  </si>
  <si>
    <t>Chung</t>
  </si>
  <si>
    <t>De Guzman</t>
  </si>
  <si>
    <t>BR 169</t>
  </si>
  <si>
    <t>KE 18</t>
  </si>
  <si>
    <t>KE 623</t>
  </si>
  <si>
    <t>KE 622</t>
  </si>
  <si>
    <t>KE 36</t>
  </si>
  <si>
    <t>Susan</t>
  </si>
  <si>
    <t>Gonzalez</t>
  </si>
  <si>
    <t>KE 17</t>
  </si>
  <si>
    <t>Kang</t>
  </si>
  <si>
    <t>ROOM LIST FOR LOTTE SEOUL_GROUP A</t>
  </si>
  <si>
    <t>LOTTE SEOUL</t>
  </si>
  <si>
    <t>CATEGORY</t>
  </si>
  <si>
    <t>LO-A05</t>
  </si>
  <si>
    <t>CSNMQ7XNY2S</t>
  </si>
  <si>
    <t>Adeolu</t>
  </si>
  <si>
    <t>Durotoye</t>
  </si>
  <si>
    <t>HD773491</t>
  </si>
  <si>
    <t>Adeolu Durotoye</t>
  </si>
  <si>
    <t>Upgrade - Junior Suite</t>
  </si>
  <si>
    <t>LOTTE</t>
  </si>
  <si>
    <t>JD</t>
  </si>
  <si>
    <t>BQN5YMBRTZ9</t>
  </si>
  <si>
    <t>Olanrewaju</t>
  </si>
  <si>
    <t>Ogunkoya</t>
  </si>
  <si>
    <t>A11899951</t>
  </si>
  <si>
    <t>GD</t>
  </si>
  <si>
    <t>8SNRDRCQPHQ</t>
  </si>
  <si>
    <t>Bridget</t>
  </si>
  <si>
    <t>A11899952</t>
  </si>
  <si>
    <t>FLN6XZFQTLH</t>
  </si>
  <si>
    <t>Abolade</t>
  </si>
  <si>
    <t>Akinropo</t>
  </si>
  <si>
    <t>128559325</t>
  </si>
  <si>
    <t>VRNPD384X6N</t>
  </si>
  <si>
    <t>Shola Jumoke</t>
  </si>
  <si>
    <t>Olori</t>
  </si>
  <si>
    <t>662050946</t>
  </si>
  <si>
    <t>4BNHL9C6RWT</t>
  </si>
  <si>
    <t>Onuwabhagbe Ayemere</t>
  </si>
  <si>
    <t>Ogudo</t>
  </si>
  <si>
    <t>AM843170</t>
  </si>
  <si>
    <t>GT</t>
  </si>
  <si>
    <t>VCNYDFDGQ8C</t>
  </si>
  <si>
    <t>Jeffrey Jafaru</t>
  </si>
  <si>
    <t>Usman</t>
  </si>
  <si>
    <t>AT807435</t>
  </si>
  <si>
    <t>3FNT9CQ6CWC</t>
  </si>
  <si>
    <t>Paul</t>
  </si>
  <si>
    <t>Adeyeye</t>
  </si>
  <si>
    <t>AY725569</t>
  </si>
  <si>
    <t>D5NZNQTZ4S6</t>
  </si>
  <si>
    <t>Idowu Adekola</t>
  </si>
  <si>
    <t>Nafiu</t>
  </si>
  <si>
    <t>P331558FS</t>
  </si>
  <si>
    <t>64NQP9SW72V</t>
  </si>
  <si>
    <t>Folashade</t>
  </si>
  <si>
    <t>Awosanmi</t>
  </si>
  <si>
    <t>AC436161</t>
  </si>
  <si>
    <t>98NGTVNHG2X</t>
  </si>
  <si>
    <t>Sheri</t>
  </si>
  <si>
    <t>Agunbiade</t>
  </si>
  <si>
    <t>A02013568</t>
  </si>
  <si>
    <t>FDNK6HN7Z9W</t>
  </si>
  <si>
    <t>Reynolds</t>
  </si>
  <si>
    <t>Edokpayi</t>
  </si>
  <si>
    <t>PA024652</t>
  </si>
  <si>
    <t>KE 660</t>
  </si>
  <si>
    <t>MGNWBNQ27JY</t>
  </si>
  <si>
    <t>Osasogie Deborah</t>
  </si>
  <si>
    <t>Nigeria</t>
  </si>
  <si>
    <t>B51332071</t>
  </si>
  <si>
    <t>CQN557DDSNP</t>
  </si>
  <si>
    <t>Asher Nosamudiana</t>
  </si>
  <si>
    <t>P100888BI</t>
  </si>
  <si>
    <t>P9NMQHFQRD2</t>
  </si>
  <si>
    <t>Matthew Oluwasegun</t>
  </si>
  <si>
    <t>Adekoya</t>
  </si>
  <si>
    <t>PE922876</t>
  </si>
  <si>
    <t>NWNWRK2YBF9</t>
  </si>
  <si>
    <t>Michael Chinonso</t>
  </si>
  <si>
    <t>Okoro</t>
  </si>
  <si>
    <t>A12507454</t>
  </si>
  <si>
    <t>RJNVLTN9XQ6</t>
  </si>
  <si>
    <t>Martins</t>
  </si>
  <si>
    <t>Onwuanimkwu</t>
  </si>
  <si>
    <t>HH452424</t>
  </si>
  <si>
    <t>JXNK3R3NSZ7</t>
  </si>
  <si>
    <t>Blessing</t>
  </si>
  <si>
    <t>HN849065</t>
  </si>
  <si>
    <t>F8N53FQYVT4</t>
  </si>
  <si>
    <t>Aderonke</t>
  </si>
  <si>
    <t>Akingbola</t>
  </si>
  <si>
    <t>580872244</t>
  </si>
  <si>
    <t>7GN9XXSZTLX</t>
  </si>
  <si>
    <t>Olugbenga</t>
  </si>
  <si>
    <t>589218038</t>
  </si>
  <si>
    <t>3YND655CK6B</t>
  </si>
  <si>
    <t>Cossi Modeste</t>
  </si>
  <si>
    <t>Yekpe</t>
  </si>
  <si>
    <t>594354554</t>
  </si>
  <si>
    <t>XBN5PGXS4J8</t>
  </si>
  <si>
    <t>Florence</t>
  </si>
  <si>
    <t>Akouegnon</t>
  </si>
  <si>
    <t>594354555</t>
  </si>
  <si>
    <t>5XNV5YJQZ5J</t>
  </si>
  <si>
    <t>Claudia Odiri</t>
  </si>
  <si>
    <t>Ukpolo</t>
  </si>
  <si>
    <t>647549437</t>
  </si>
  <si>
    <t>7WNV938LLQS</t>
  </si>
  <si>
    <t>Adaeze Nwamaka</t>
  </si>
  <si>
    <t>Udezue</t>
  </si>
  <si>
    <t>576667167</t>
  </si>
  <si>
    <t>VFNCKSMCL6W</t>
  </si>
  <si>
    <t>Anuoluwapo Sarah</t>
  </si>
  <si>
    <t>Ayankoya</t>
  </si>
  <si>
    <t>P454026LS</t>
  </si>
  <si>
    <t>FXN27DWD69X</t>
  </si>
  <si>
    <t>Babatunde Olufemi</t>
  </si>
  <si>
    <t>P454019LS</t>
  </si>
  <si>
    <t>7ZN48KV59ND</t>
  </si>
  <si>
    <t>Omotoso Muniru</t>
  </si>
  <si>
    <t>Alimi</t>
  </si>
  <si>
    <t>HK849752</t>
  </si>
  <si>
    <t>JVN23WTVYMM</t>
  </si>
  <si>
    <t>Mujidat Abimbola</t>
  </si>
  <si>
    <t>HK847646</t>
  </si>
  <si>
    <t>ZDNM3RFS79X</t>
  </si>
  <si>
    <t>Suliat</t>
  </si>
  <si>
    <t>Badaru</t>
  </si>
  <si>
    <t>A13561589</t>
  </si>
  <si>
    <t>RBNRLVTBH83</t>
  </si>
  <si>
    <t>Faith</t>
  </si>
  <si>
    <t>Igbinosa</t>
  </si>
  <si>
    <t>HK865768</t>
  </si>
  <si>
    <t>NPNGSRN48GW</t>
  </si>
  <si>
    <t>Bernardine</t>
  </si>
  <si>
    <t>Aluko</t>
  </si>
  <si>
    <t>P628043FS</t>
  </si>
  <si>
    <t>P8NSJDPN4XX</t>
  </si>
  <si>
    <t>Kofo Monsurah</t>
  </si>
  <si>
    <t>Keshinro</t>
  </si>
  <si>
    <t>664447531</t>
  </si>
  <si>
    <t>LO-A06</t>
  </si>
  <si>
    <t>9DNXLWV6GYV</t>
  </si>
  <si>
    <t>Andaleeb</t>
  </si>
  <si>
    <t>Masood</t>
  </si>
  <si>
    <t>AH605783</t>
  </si>
  <si>
    <t>Andaleeb Masood</t>
  </si>
  <si>
    <t>DD+EB</t>
  </si>
  <si>
    <t>6PNZDJW4X2F</t>
  </si>
  <si>
    <t>Behboodi</t>
  </si>
  <si>
    <t>P860208ED</t>
  </si>
  <si>
    <t>DBNL5TSXWP2</t>
  </si>
  <si>
    <t>Jaspreet</t>
  </si>
  <si>
    <t>P779671FS</t>
  </si>
  <si>
    <t>DD</t>
  </si>
  <si>
    <t>5MNCWLGFVNS</t>
  </si>
  <si>
    <t>Seerit Kaur</t>
  </si>
  <si>
    <t>P351454PC</t>
  </si>
  <si>
    <t>LO-A01</t>
  </si>
  <si>
    <t>6GNY6J55YGH</t>
  </si>
  <si>
    <t>Bernadette Youngsil</t>
  </si>
  <si>
    <t>Kim</t>
  </si>
  <si>
    <t>A63773003</t>
  </si>
  <si>
    <t>KE 1246</t>
  </si>
  <si>
    <t>Bernadette Kim</t>
  </si>
  <si>
    <t>Y8NPGGR6TJB</t>
  </si>
  <si>
    <t>Moon Geon</t>
  </si>
  <si>
    <t>A63773002</t>
  </si>
  <si>
    <t>MWN2LBK77J4</t>
  </si>
  <si>
    <t>Llewellyn</t>
  </si>
  <si>
    <t>A54323585</t>
  </si>
  <si>
    <t>8LNBBCDT59C</t>
  </si>
  <si>
    <t>Maresyl Garces</t>
  </si>
  <si>
    <t>A54323583</t>
  </si>
  <si>
    <t>RMN7GSR7DC8</t>
  </si>
  <si>
    <t>Rowena</t>
  </si>
  <si>
    <t>Sneathern</t>
  </si>
  <si>
    <t>564424182</t>
  </si>
  <si>
    <t>4XN9KK5N2S2</t>
  </si>
  <si>
    <t>Arnold</t>
  </si>
  <si>
    <t>564424183</t>
  </si>
  <si>
    <t>LO-A02</t>
  </si>
  <si>
    <t>Z8NH8GF5X9Y</t>
  </si>
  <si>
    <t>Amparo Jasmine</t>
  </si>
  <si>
    <t>Tumanguil</t>
  </si>
  <si>
    <t>A15591098</t>
  </si>
  <si>
    <t>5J 185</t>
  </si>
  <si>
    <t>Dondon Dimailig</t>
  </si>
  <si>
    <t>LRNDRZ94LFY</t>
  </si>
  <si>
    <t>Rinel</t>
  </si>
  <si>
    <t>656490213</t>
  </si>
  <si>
    <t>36NWCD88TBF</t>
  </si>
  <si>
    <t>Avelina</t>
  </si>
  <si>
    <t>Coleman</t>
  </si>
  <si>
    <t>656624294</t>
  </si>
  <si>
    <t>VKNMSSPX8MJ</t>
  </si>
  <si>
    <t>Carla La</t>
  </si>
  <si>
    <t>Malaikham</t>
  </si>
  <si>
    <t>650208790</t>
  </si>
  <si>
    <t>83NL6F2SCBR</t>
  </si>
  <si>
    <t>Anousinh</t>
  </si>
  <si>
    <t>Inthasane</t>
  </si>
  <si>
    <t>A50458808</t>
  </si>
  <si>
    <t>X5NLW7DWBWS</t>
  </si>
  <si>
    <t>Phasouksavanh</t>
  </si>
  <si>
    <t>566401667</t>
  </si>
  <si>
    <t>QPNDJDSN7NM</t>
  </si>
  <si>
    <t>Tristan Anurak</t>
  </si>
  <si>
    <t>A28357768</t>
  </si>
  <si>
    <t>PMNVMJVKDQ5</t>
  </si>
  <si>
    <t>Carolina Enriquez</t>
  </si>
  <si>
    <t>Hernandez</t>
  </si>
  <si>
    <t>A14361690</t>
  </si>
  <si>
    <t>NH 6972</t>
  </si>
  <si>
    <t>C4N8M4FYF6Y</t>
  </si>
  <si>
    <t>Norvin Tan</t>
  </si>
  <si>
    <t>A35543919</t>
  </si>
  <si>
    <t>3HNWM8TFGD2</t>
  </si>
  <si>
    <t>Maia Danielle</t>
  </si>
  <si>
    <t>677776140</t>
  </si>
  <si>
    <t>6KN2FZYKG9X</t>
  </si>
  <si>
    <t>Ma. Jennilyn Gabion</t>
  </si>
  <si>
    <t>Jimenez</t>
  </si>
  <si>
    <t>P9524131A</t>
  </si>
  <si>
    <t>WZN3N4LZH9C</t>
  </si>
  <si>
    <t>Dondon</t>
  </si>
  <si>
    <t>Dimailig</t>
  </si>
  <si>
    <t>A54083574</t>
  </si>
  <si>
    <t>OZ 112</t>
  </si>
  <si>
    <t>DDNR2FR7JRM</t>
  </si>
  <si>
    <t>Nerissa Cunanan</t>
  </si>
  <si>
    <t>A54083573</t>
  </si>
  <si>
    <t>MLNKQX7ZQTH</t>
  </si>
  <si>
    <t>Fiona Eloise Cunanan</t>
  </si>
  <si>
    <t>A50264027</t>
  </si>
  <si>
    <t>DVN96YMG6XK</t>
  </si>
  <si>
    <t>Margaret Cunanan</t>
  </si>
  <si>
    <t>A08434651</t>
  </si>
  <si>
    <t>D2N8DCLPG9Z</t>
  </si>
  <si>
    <t>Vaughn Cunanan</t>
  </si>
  <si>
    <t>A51670807</t>
  </si>
  <si>
    <t>DT</t>
  </si>
  <si>
    <t>MHNZRLGRBS8</t>
  </si>
  <si>
    <t>Jenny Dimailig</t>
  </si>
  <si>
    <t>Gumboc</t>
  </si>
  <si>
    <t>572291951</t>
  </si>
  <si>
    <t>2SNKYFTL95H</t>
  </si>
  <si>
    <t>Eugene Lazo</t>
  </si>
  <si>
    <t>Palustre</t>
  </si>
  <si>
    <t>672947811</t>
  </si>
  <si>
    <t>YKNMWH4XFCX</t>
  </si>
  <si>
    <t>Vienaper Castillo</t>
  </si>
  <si>
    <t>TXN229QRHJH</t>
  </si>
  <si>
    <t>Fe Junio</t>
  </si>
  <si>
    <t>Palomique</t>
  </si>
  <si>
    <t>A41299152</t>
  </si>
  <si>
    <t>MFNJL8TM655</t>
  </si>
  <si>
    <t>Mildred Mendoza</t>
  </si>
  <si>
    <t>Mendoza</t>
  </si>
  <si>
    <t>649717049</t>
  </si>
  <si>
    <t>LTN5C49JQDM</t>
  </si>
  <si>
    <t>Cesar Noel S</t>
  </si>
  <si>
    <t>Estillore</t>
  </si>
  <si>
    <t>657032639</t>
  </si>
  <si>
    <t>7JNGMYWJXNP</t>
  </si>
  <si>
    <t>Maria E Estillore</t>
  </si>
  <si>
    <t>O'Connor</t>
  </si>
  <si>
    <t>674981454</t>
  </si>
  <si>
    <t>K9NZTDVVGRW</t>
  </si>
  <si>
    <t>Geraldine Frances Larrazabal</t>
  </si>
  <si>
    <t>Pagaduan</t>
  </si>
  <si>
    <t>555003407</t>
  </si>
  <si>
    <t>KE 705</t>
  </si>
  <si>
    <t>9MNH5L7GJSM</t>
  </si>
  <si>
    <t>Rey Branzuela</t>
  </si>
  <si>
    <t>663935712</t>
  </si>
  <si>
    <t>H5NPX9JHKKZ</t>
  </si>
  <si>
    <t>Mikel Alfonso Larrazabal</t>
  </si>
  <si>
    <t>663991727</t>
  </si>
  <si>
    <t>DFNLLHKJLSG</t>
  </si>
  <si>
    <t>Summer Joy</t>
  </si>
  <si>
    <t>A56461175</t>
  </si>
  <si>
    <t>PQNFS44VKVV</t>
  </si>
  <si>
    <t>Liezl</t>
  </si>
  <si>
    <t>Camanag</t>
  </si>
  <si>
    <t>549999596</t>
  </si>
  <si>
    <t>KE 6</t>
  </si>
  <si>
    <t>W8ND9K3H3HD</t>
  </si>
  <si>
    <t>Rylan Marcus Malaluan</t>
  </si>
  <si>
    <t>673337564</t>
  </si>
  <si>
    <t>L8NT62CZJ8W</t>
  </si>
  <si>
    <t>Maricor Maulawin</t>
  </si>
  <si>
    <t>Madrilejos</t>
  </si>
  <si>
    <t>A61573043</t>
  </si>
  <si>
    <t>5XN2JGCJWNV</t>
  </si>
  <si>
    <t>Vladimir</t>
  </si>
  <si>
    <t>A52283596</t>
  </si>
  <si>
    <t>56NXWN3CRSQ</t>
  </si>
  <si>
    <t>Samara Alexie</t>
  </si>
  <si>
    <t>A54947787</t>
  </si>
  <si>
    <t>3XNJLZJRQ9D</t>
  </si>
  <si>
    <t>Marites Jimenez</t>
  </si>
  <si>
    <t>Cunanan</t>
  </si>
  <si>
    <t>672300737</t>
  </si>
  <si>
    <t>TW 241</t>
  </si>
  <si>
    <t>G8N9ZZ6QQPR</t>
  </si>
  <si>
    <t>Nonito Alarcon</t>
  </si>
  <si>
    <t>672300738</t>
  </si>
  <si>
    <t>65NHYJXZZPT</t>
  </si>
  <si>
    <t>Rosalie Bonus</t>
  </si>
  <si>
    <t>Roque</t>
  </si>
  <si>
    <t>A81561335</t>
  </si>
  <si>
    <t>KE 5</t>
  </si>
  <si>
    <t>RQNKBCJ952G</t>
  </si>
  <si>
    <t>Kayleigh Jimenez</t>
  </si>
  <si>
    <t>A017388206</t>
  </si>
  <si>
    <t>Y2NY5SV2XSZ</t>
  </si>
  <si>
    <t>Zerilda</t>
  </si>
  <si>
    <t>Causing</t>
  </si>
  <si>
    <t>583286916</t>
  </si>
  <si>
    <t>QJN6MPZMWM8</t>
  </si>
  <si>
    <t>Yvette Fernandez</t>
  </si>
  <si>
    <t>Lautchang</t>
  </si>
  <si>
    <t>A11466427</t>
  </si>
  <si>
    <t>7BNRQS5RXY7</t>
  </si>
  <si>
    <t>Ida</t>
  </si>
  <si>
    <t>Ambida</t>
  </si>
  <si>
    <t>589547556</t>
  </si>
  <si>
    <t>7C 2113</t>
  </si>
  <si>
    <t>MVNSJ3YJNX5</t>
  </si>
  <si>
    <t>Louie</t>
  </si>
  <si>
    <t>MYNGSR45WT7</t>
  </si>
  <si>
    <t>Abrianna Quinn</t>
  </si>
  <si>
    <t>675923439</t>
  </si>
  <si>
    <t>SYNXMJKZKN6</t>
  </si>
  <si>
    <t>Marisa Uy</t>
  </si>
  <si>
    <t>Capistrano</t>
  </si>
  <si>
    <t>674448816</t>
  </si>
  <si>
    <t>LDN78TF9D8G</t>
  </si>
  <si>
    <t>Kaiden David</t>
  </si>
  <si>
    <t>669212262</t>
  </si>
  <si>
    <t>NYNJPQKWHPH</t>
  </si>
  <si>
    <t>Edwina</t>
  </si>
  <si>
    <t>661477298</t>
  </si>
  <si>
    <t>CFNNMGQZW2P</t>
  </si>
  <si>
    <t>A29564206</t>
  </si>
  <si>
    <t>MYN5YN9GXCV</t>
  </si>
  <si>
    <t>Emmanuel Bagao</t>
  </si>
  <si>
    <t>Orpiano</t>
  </si>
  <si>
    <t>547079222</t>
  </si>
  <si>
    <t>D6NBVDNY8XY</t>
  </si>
  <si>
    <t>Ricien</t>
  </si>
  <si>
    <t>A02437821</t>
  </si>
  <si>
    <t>L7NVBFXL6PM</t>
  </si>
  <si>
    <t>Febysa Ople</t>
  </si>
  <si>
    <t>Nicha-Andrada</t>
  </si>
  <si>
    <t>596381240</t>
  </si>
  <si>
    <t>KE 663</t>
  </si>
  <si>
    <t>3 rooms Next door</t>
  </si>
  <si>
    <t>LTNMH49D4SP</t>
  </si>
  <si>
    <t>Arthur Villena</t>
  </si>
  <si>
    <t>Andrada Jr</t>
  </si>
  <si>
    <t>589261628</t>
  </si>
  <si>
    <t>NRN8S677K5Z</t>
  </si>
  <si>
    <t>Maria Ruby</t>
  </si>
  <si>
    <t>Cantillas</t>
  </si>
  <si>
    <t>647176936</t>
  </si>
  <si>
    <t>4FN4ZNTQ3HL</t>
  </si>
  <si>
    <t>Zorayda Ramos</t>
  </si>
  <si>
    <t>Nicha</t>
  </si>
  <si>
    <t>646050569</t>
  </si>
  <si>
    <t>TQNZYM9YCJZ</t>
  </si>
  <si>
    <t>Myrna Nicha</t>
  </si>
  <si>
    <t>Jafari</t>
  </si>
  <si>
    <t>657699654</t>
  </si>
  <si>
    <t>TWN76Q6M5G8</t>
  </si>
  <si>
    <t>Saied</t>
  </si>
  <si>
    <t>645965593</t>
  </si>
  <si>
    <t>C7N4DJZCCM2</t>
  </si>
  <si>
    <t>Demetrio Jr Apilis</t>
  </si>
  <si>
    <t>Pulanco</t>
  </si>
  <si>
    <t>681742408</t>
  </si>
  <si>
    <t>DZNZK9DK6PX</t>
  </si>
  <si>
    <t>Jennifer Dela Cruz</t>
  </si>
  <si>
    <t>681742407</t>
  </si>
  <si>
    <t>QLN6V769F4H</t>
  </si>
  <si>
    <t>Mark Anthony</t>
  </si>
  <si>
    <t>Mayugba</t>
  </si>
  <si>
    <t>P6429436A</t>
  </si>
  <si>
    <t>YDN58NNHX3L</t>
  </si>
  <si>
    <t>Sophie Mariah Rosales</t>
  </si>
  <si>
    <t>Castanares</t>
  </si>
  <si>
    <t>679279296</t>
  </si>
  <si>
    <t>LKN2ZBMBBJ5</t>
  </si>
  <si>
    <t>Nonette Anthony Firmeza</t>
  </si>
  <si>
    <t>Sombero</t>
  </si>
  <si>
    <t>566055371</t>
  </si>
  <si>
    <t>JYNVW7ZBN3R</t>
  </si>
  <si>
    <t>Mary Rose Villadolid</t>
  </si>
  <si>
    <t>561917214</t>
  </si>
  <si>
    <t>F4NYN7QT6KH</t>
  </si>
  <si>
    <t>Sherry Lyn</t>
  </si>
  <si>
    <t>A43402802</t>
  </si>
  <si>
    <t>MQN66HSXMP7</t>
  </si>
  <si>
    <t>Mark Rivera</t>
  </si>
  <si>
    <t>562063359</t>
  </si>
  <si>
    <t>VZNY434FZ9B</t>
  </si>
  <si>
    <t>Marcus Seth Rosales</t>
  </si>
  <si>
    <t>679279295</t>
  </si>
  <si>
    <t>SVNXYL7PM9K</t>
  </si>
  <si>
    <t>Francisco Serrano</t>
  </si>
  <si>
    <t>A61621873</t>
  </si>
  <si>
    <t>TBNGBWJ2CJM</t>
  </si>
  <si>
    <t>Rebecca Rivera</t>
  </si>
  <si>
    <t>568809393</t>
  </si>
  <si>
    <t>6YNSPTRPNR2</t>
  </si>
  <si>
    <t>Cristina Lynn</t>
  </si>
  <si>
    <t>Bruno</t>
  </si>
  <si>
    <t>A58503678</t>
  </si>
  <si>
    <t>NH 6942</t>
  </si>
  <si>
    <t>V7N539ZKSDG</t>
  </si>
  <si>
    <t>Vincent H</t>
  </si>
  <si>
    <t>A59001608</t>
  </si>
  <si>
    <t>FWN97TZDQWV</t>
  </si>
  <si>
    <t>Rosemarie Tuazon</t>
  </si>
  <si>
    <t>Gomes</t>
  </si>
  <si>
    <t>A30362667</t>
  </si>
  <si>
    <t>OZ 713</t>
  </si>
  <si>
    <t>ZWNLJ7Y93PB</t>
  </si>
  <si>
    <t>Odette Gallegos</t>
  </si>
  <si>
    <t>Carbonell</t>
  </si>
  <si>
    <t>586757082</t>
  </si>
  <si>
    <t>78NTH4TQPZY</t>
  </si>
  <si>
    <t>Rudyric Reglos</t>
  </si>
  <si>
    <t>Villacisneros</t>
  </si>
  <si>
    <t>A34765304</t>
  </si>
  <si>
    <t>PVN8H9TMXD6</t>
  </si>
  <si>
    <t>Maria Lourdes Miravite</t>
  </si>
  <si>
    <t>A34765272</t>
  </si>
  <si>
    <t>S2NF78QFQHK</t>
  </si>
  <si>
    <t>Ricky Marion Asuncion</t>
  </si>
  <si>
    <t>Manalo</t>
  </si>
  <si>
    <t>568096283</t>
  </si>
  <si>
    <t>S2NYNQNYWGW</t>
  </si>
  <si>
    <t>Rex Tamayo</t>
  </si>
  <si>
    <t>567024772</t>
  </si>
  <si>
    <t>KQNVCQCC6DR</t>
  </si>
  <si>
    <t>Wilson Lim</t>
  </si>
  <si>
    <t>550065766</t>
  </si>
  <si>
    <t>6YNGM4S237N</t>
  </si>
  <si>
    <t>Aileen Serrano</t>
  </si>
  <si>
    <t>550065767</t>
  </si>
  <si>
    <t>JTNTNMMLDL7</t>
  </si>
  <si>
    <t>Allan Gerardo</t>
  </si>
  <si>
    <t>Mallabo</t>
  </si>
  <si>
    <t>A62588588</t>
  </si>
  <si>
    <t>7TNKVX3JZ7N</t>
  </si>
  <si>
    <t>Michelle Catherine Musngi</t>
  </si>
  <si>
    <t>A68845898</t>
  </si>
  <si>
    <t>4YN39KBM4ZL</t>
  </si>
  <si>
    <t>Arvin</t>
  </si>
  <si>
    <t>Aspera</t>
  </si>
  <si>
    <t>A26370913</t>
  </si>
  <si>
    <t>DZND74HGVVH</t>
  </si>
  <si>
    <t>Shiela Marie</t>
  </si>
  <si>
    <t>A02546660</t>
  </si>
  <si>
    <t>5SNB3TTXQPJ</t>
  </si>
  <si>
    <t>Arviela Sai</t>
  </si>
  <si>
    <t>670748740</t>
  </si>
  <si>
    <t>MDNXJJSTVYZ</t>
  </si>
  <si>
    <t>Tita</t>
  </si>
  <si>
    <t>Tagumpay</t>
  </si>
  <si>
    <t>666407490</t>
  </si>
  <si>
    <t>7HNY68C9Z58</t>
  </si>
  <si>
    <t>Celina S O</t>
  </si>
  <si>
    <t>Saludes</t>
  </si>
  <si>
    <t>683074134`</t>
  </si>
  <si>
    <t>W2NBR2JMBVX</t>
  </si>
  <si>
    <t>Michael Albert</t>
  </si>
  <si>
    <t>A44272693</t>
  </si>
  <si>
    <t>TKNTFR2VQ5P</t>
  </si>
  <si>
    <t>Jesus Equila</t>
  </si>
  <si>
    <t>Asuncion Jr</t>
  </si>
  <si>
    <t>A34597859</t>
  </si>
  <si>
    <t>KE 5214</t>
  </si>
  <si>
    <t>6QN44SDLXRX</t>
  </si>
  <si>
    <t>Jose F O</t>
  </si>
  <si>
    <t>548802030</t>
  </si>
  <si>
    <t>OZ 8944</t>
  </si>
  <si>
    <t>8DN4SD7HQLM</t>
  </si>
  <si>
    <t>John Vincent</t>
  </si>
  <si>
    <t>De Vera</t>
  </si>
  <si>
    <t>562622638</t>
  </si>
  <si>
    <t>JZNMXQRRFRZ</t>
  </si>
  <si>
    <t>Annleizl Blanca</t>
  </si>
  <si>
    <t>Macam</t>
  </si>
  <si>
    <t>A37998842</t>
  </si>
  <si>
    <t>RBN6B4BDKSW</t>
  </si>
  <si>
    <t>Jose Solomon Teope</t>
  </si>
  <si>
    <t>556266259</t>
  </si>
  <si>
    <t>CVNB2MWRGK8</t>
  </si>
  <si>
    <t>Consuelo Olano</t>
  </si>
  <si>
    <t>556266260</t>
  </si>
  <si>
    <t>BNN7YW76R4V</t>
  </si>
  <si>
    <t>Stella</t>
  </si>
  <si>
    <t>Liege</t>
  </si>
  <si>
    <t>582695660</t>
  </si>
  <si>
    <t>2RN8DQFMK3Q</t>
  </si>
  <si>
    <t>Florencia Amacna</t>
  </si>
  <si>
    <t>Griffin</t>
  </si>
  <si>
    <t>A44304896</t>
  </si>
  <si>
    <t>C5NN79SKWTX</t>
  </si>
  <si>
    <t>Carmen Maria</t>
  </si>
  <si>
    <t>Nieves</t>
  </si>
  <si>
    <t>668421070</t>
  </si>
  <si>
    <t>S7NYPHWDR72</t>
  </si>
  <si>
    <t>Loida Jenisse</t>
  </si>
  <si>
    <t>Caraballo</t>
  </si>
  <si>
    <t>A49177865</t>
  </si>
  <si>
    <t>LO-A03</t>
  </si>
  <si>
    <t>F4NLBSF87GK</t>
  </si>
  <si>
    <t>Ogechukwu</t>
  </si>
  <si>
    <t>Okeh-Duru</t>
  </si>
  <si>
    <t>593968132</t>
  </si>
  <si>
    <t>John Woo 1</t>
  </si>
  <si>
    <t>Z4NL6P6N5NJ</t>
  </si>
  <si>
    <t>Loretta</t>
  </si>
  <si>
    <t>Armstrong</t>
  </si>
  <si>
    <t>663988387</t>
  </si>
  <si>
    <t>HPNQKVM5N3X</t>
  </si>
  <si>
    <t>Donovan</t>
  </si>
  <si>
    <t>Brown</t>
  </si>
  <si>
    <t>644897343</t>
  </si>
  <si>
    <t>J9N6P57CG6F</t>
  </si>
  <si>
    <t>Shirly Espartero</t>
  </si>
  <si>
    <t>Alolod</t>
  </si>
  <si>
    <t>679092896</t>
  </si>
  <si>
    <t>Y9NSRQGYRZN</t>
  </si>
  <si>
    <t>Jeremy</t>
  </si>
  <si>
    <t>Sirias</t>
  </si>
  <si>
    <t>658493039</t>
  </si>
  <si>
    <t>BDNH56GR7VJ</t>
  </si>
  <si>
    <t>Andrea Athena</t>
  </si>
  <si>
    <t>Rocha</t>
  </si>
  <si>
    <t>A46865621</t>
  </si>
  <si>
    <t>NVNCCB5QMZ6</t>
  </si>
  <si>
    <t>553920200</t>
  </si>
  <si>
    <t>DMNJ24WJD3Y</t>
  </si>
  <si>
    <t>Anna Kristina</t>
  </si>
  <si>
    <t>Paterniti</t>
  </si>
  <si>
    <t>545191234</t>
  </si>
  <si>
    <t>MLNL485CT2V</t>
  </si>
  <si>
    <t>Eun Sun</t>
  </si>
  <si>
    <t>Yoo</t>
  </si>
  <si>
    <t>Republic of Korea</t>
  </si>
  <si>
    <t>M04808162</t>
  </si>
  <si>
    <t>KE 35</t>
  </si>
  <si>
    <t>G8NJVZXRW5L</t>
  </si>
  <si>
    <t>Gi Chul</t>
  </si>
  <si>
    <t>Kwon</t>
  </si>
  <si>
    <t>A42648203</t>
  </si>
  <si>
    <t>5YNWZ5RJY64</t>
  </si>
  <si>
    <t>Eunice</t>
  </si>
  <si>
    <t>670486831</t>
  </si>
  <si>
    <t>YP 104</t>
  </si>
  <si>
    <t>RKNJQ7B54HJ</t>
  </si>
  <si>
    <t>Ji Sun</t>
  </si>
  <si>
    <t>A42602387</t>
  </si>
  <si>
    <t>7GN7GRMZ49Y</t>
  </si>
  <si>
    <t>Eunsil</t>
  </si>
  <si>
    <t>A11818314</t>
  </si>
  <si>
    <t>OZ 221</t>
  </si>
  <si>
    <t>OZ 224</t>
  </si>
  <si>
    <t>Q6N95X3RX37</t>
  </si>
  <si>
    <t>Dokyung</t>
  </si>
  <si>
    <t>A11818315</t>
  </si>
  <si>
    <t>D6N9S924YHJ</t>
  </si>
  <si>
    <t>Vicky</t>
  </si>
  <si>
    <t>A40869468</t>
  </si>
  <si>
    <t>XNNV3G3X7RH</t>
  </si>
  <si>
    <t>Martha Patricia</t>
  </si>
  <si>
    <t>Coe</t>
  </si>
  <si>
    <t>653755454</t>
  </si>
  <si>
    <t>LHNBWY8PC42</t>
  </si>
  <si>
    <t>Anahi</t>
  </si>
  <si>
    <t>Lobo</t>
  </si>
  <si>
    <t>A46168894</t>
  </si>
  <si>
    <t>SXNHJ3P8R9P</t>
  </si>
  <si>
    <t>Joshua Palacio</t>
  </si>
  <si>
    <t>573518522</t>
  </si>
  <si>
    <t>TBNXQZZZNM8</t>
  </si>
  <si>
    <t>Patricia</t>
  </si>
  <si>
    <t>Estrada</t>
  </si>
  <si>
    <t>544557330</t>
  </si>
  <si>
    <t>LXNYYPRJWN9</t>
  </si>
  <si>
    <t>Maria De La Luz</t>
  </si>
  <si>
    <t>Leyva</t>
  </si>
  <si>
    <t>A30779347</t>
  </si>
  <si>
    <t>HZNVTPDCP4Y</t>
  </si>
  <si>
    <t>Leny Panlican</t>
  </si>
  <si>
    <t>641973516</t>
  </si>
  <si>
    <t>KE 37</t>
  </si>
  <si>
    <t>PHNFL5MB8F5</t>
  </si>
  <si>
    <t>Eugene Cortez</t>
  </si>
  <si>
    <t>641973518</t>
  </si>
  <si>
    <t>4TN9Z9MDDX2</t>
  </si>
  <si>
    <t>Chinedu Johnson</t>
  </si>
  <si>
    <t>Orji</t>
  </si>
  <si>
    <t>B03696500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</si>
  <si>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</si>
  <si>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</si>
  <si>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</si>
  <si>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</si>
  <si>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</si>
  <si>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</si>
  <si>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</si>
  <si>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551412540</t>
  </si>
  <si>
    <t>LMN42CJRK4T</t>
  </si>
  <si>
    <t>Marie Grace</t>
  </si>
  <si>
    <t>Infante</t>
  </si>
  <si>
    <t>A71719118</t>
  </si>
  <si>
    <t>VHNDY7SX7P8</t>
  </si>
  <si>
    <t>John Sung</t>
  </si>
  <si>
    <t>Woo</t>
  </si>
  <si>
    <t>A55120847</t>
  </si>
  <si>
    <t>N3N82YTFH69</t>
  </si>
  <si>
    <t>Juliana Sung</t>
  </si>
  <si>
    <t>A21643728</t>
  </si>
  <si>
    <t>GCNPBYQ4VLL</t>
  </si>
  <si>
    <t>Simon Kyung</t>
  </si>
  <si>
    <t>590686625</t>
  </si>
  <si>
    <t>KE 1250</t>
  </si>
  <si>
    <t>99NBQ6HJZRQ</t>
  </si>
  <si>
    <t>Jose</t>
  </si>
  <si>
    <t>Ortiz</t>
  </si>
  <si>
    <t>A09755281</t>
  </si>
  <si>
    <t>CX 434</t>
  </si>
  <si>
    <t>TKNZDPXPNC9</t>
  </si>
  <si>
    <t>Ana Beatriz</t>
  </si>
  <si>
    <t>531651971</t>
  </si>
  <si>
    <t>8VNP69W5HZH</t>
  </si>
  <si>
    <t>Valencia</t>
  </si>
  <si>
    <t>A330401</t>
  </si>
  <si>
    <t>BMNVJ9VGSJH</t>
  </si>
  <si>
    <t>Marlo John</t>
  </si>
  <si>
    <t>Aragon</t>
  </si>
  <si>
    <t>576294137</t>
  </si>
  <si>
    <t>OZ 133</t>
  </si>
  <si>
    <t>WHNQ2FNXNXG</t>
  </si>
  <si>
    <t>Honorio Reas</t>
  </si>
  <si>
    <t>Aragon Jr.</t>
  </si>
  <si>
    <t>554387813</t>
  </si>
  <si>
    <t>SCNH67N3FSY</t>
  </si>
  <si>
    <t>Marylou Mijares</t>
  </si>
  <si>
    <t>647566416</t>
  </si>
  <si>
    <t>Z6NXJCY5LHM</t>
  </si>
  <si>
    <t>Johanna</t>
  </si>
  <si>
    <t>A32825194</t>
  </si>
  <si>
    <t>RXNC8QGS779</t>
  </si>
  <si>
    <t>Helen Salvador</t>
  </si>
  <si>
    <t>Manusig</t>
  </si>
  <si>
    <t>A42173204</t>
  </si>
  <si>
    <t>YTN9SFXJWVP</t>
  </si>
  <si>
    <t>Shekinah Angela</t>
  </si>
  <si>
    <t>675688817</t>
  </si>
  <si>
    <t>2NNQD34N7RM</t>
  </si>
  <si>
    <t>Josephine Lenore Astete</t>
  </si>
  <si>
    <t>587822802</t>
  </si>
  <si>
    <t>Z6NY686TQPJ</t>
  </si>
  <si>
    <t>Ronald Mendoza</t>
  </si>
  <si>
    <t>590746470</t>
  </si>
  <si>
    <t>YVNGRXLNL7X</t>
  </si>
  <si>
    <t>Vittorio Jose Astete</t>
  </si>
  <si>
    <t>A11921625</t>
  </si>
  <si>
    <t>3LNV3BBW9MJ</t>
  </si>
  <si>
    <t>Moira Ysabelle Salonga</t>
  </si>
  <si>
    <t>671060990</t>
  </si>
  <si>
    <t>L8NH69LTG4N</t>
  </si>
  <si>
    <t>Lynette Rebuelta</t>
  </si>
  <si>
    <t>Astete</t>
  </si>
  <si>
    <t>596151541</t>
  </si>
  <si>
    <t>P5NKK33W9JJ</t>
  </si>
  <si>
    <t>Leandro Esdicul</t>
  </si>
  <si>
    <t>596151540</t>
  </si>
  <si>
    <t>6FNS59GQQ92</t>
  </si>
  <si>
    <t>Maria Salvacion</t>
  </si>
  <si>
    <t>Moscoso</t>
  </si>
  <si>
    <t>572817024</t>
  </si>
  <si>
    <t>7C 126</t>
  </si>
  <si>
    <t>ZFNBZZZ9M67</t>
  </si>
  <si>
    <t>Arnel Quilino</t>
  </si>
  <si>
    <t>572817023</t>
  </si>
  <si>
    <t>WSNNMN5ZMSN</t>
  </si>
  <si>
    <t>Heran Her</t>
  </si>
  <si>
    <t>A61055699</t>
  </si>
  <si>
    <t>88NSHL6QQR7</t>
  </si>
  <si>
    <t>Teresa Halog</t>
  </si>
  <si>
    <t>A09647986</t>
  </si>
  <si>
    <t>8RNGVQSPKJX</t>
  </si>
  <si>
    <t>Elsha Mahr</t>
  </si>
  <si>
    <t>677328567</t>
  </si>
  <si>
    <t>S8NDB5G5V9V</t>
  </si>
  <si>
    <t>Elisha</t>
  </si>
  <si>
    <t>A17303911</t>
  </si>
  <si>
    <t>5VN56SBGNW8</t>
  </si>
  <si>
    <t>Carmelita</t>
  </si>
  <si>
    <t>De Castro</t>
  </si>
  <si>
    <t>A60496498</t>
  </si>
  <si>
    <t>F4NVYPRHTQ7</t>
  </si>
  <si>
    <t>Layni</t>
  </si>
  <si>
    <t>Damasco</t>
  </si>
  <si>
    <t>657822427</t>
  </si>
  <si>
    <t>T8N72BPHJVR</t>
  </si>
  <si>
    <t>Ingrid P</t>
  </si>
  <si>
    <t>Santa Maria</t>
  </si>
  <si>
    <t>A17871480</t>
  </si>
  <si>
    <t>4GN7KHLC723</t>
  </si>
  <si>
    <t>555917100</t>
  </si>
  <si>
    <t>QJNJ733DP2M</t>
  </si>
  <si>
    <t>Francisco Bayawa</t>
  </si>
  <si>
    <t>Fuentes</t>
  </si>
  <si>
    <t>P8154756A</t>
  </si>
  <si>
    <t>9KNPCY4VCB9</t>
  </si>
  <si>
    <t>Natividad Gulla</t>
  </si>
  <si>
    <t>Alba</t>
  </si>
  <si>
    <t>680206374</t>
  </si>
  <si>
    <t>ZXNMQT9TQWC</t>
  </si>
  <si>
    <t>Anita</t>
  </si>
  <si>
    <t>Garduque</t>
  </si>
  <si>
    <t>679613421</t>
  </si>
  <si>
    <t>FBN9WD4YWT9</t>
  </si>
  <si>
    <t>Blanco</t>
  </si>
  <si>
    <t>665232297</t>
  </si>
  <si>
    <t>H8N8H8LZWX9</t>
  </si>
  <si>
    <t>Elenita</t>
  </si>
  <si>
    <t>Penano</t>
  </si>
  <si>
    <t>665232296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</si>
  <si>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</si>
  <si>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</si>
  <si>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</si>
  <si>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</si>
  <si>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</si>
  <si>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</si>
  <si>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</si>
  <si>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</si>
  <si>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576822961</t>
  </si>
  <si>
    <t>6LN4PJY5M2J</t>
  </si>
  <si>
    <t>Bettie Coleman</t>
  </si>
  <si>
    <t>Arbaiza</t>
  </si>
  <si>
    <t>A00068521</t>
  </si>
  <si>
    <t>VMNK84XVD3D</t>
  </si>
  <si>
    <t>Vinh</t>
  </si>
  <si>
    <t>AT851989</t>
  </si>
  <si>
    <t>5J 188</t>
  </si>
  <si>
    <t>2LNMZHRJZND</t>
  </si>
  <si>
    <t>Maureen May Johnson</t>
  </si>
  <si>
    <t>Malecon</t>
  </si>
  <si>
    <t>HP693785</t>
  </si>
  <si>
    <t>V7NZ6KRTSGK</t>
  </si>
  <si>
    <t>Michelle P</t>
  </si>
  <si>
    <t>542915737</t>
  </si>
  <si>
    <t>7LNTBZ3TR3G</t>
  </si>
  <si>
    <t>Kimberly Yeon</t>
  </si>
  <si>
    <t>A55001502</t>
  </si>
  <si>
    <t>M5NXYG3KS3V</t>
  </si>
  <si>
    <t>Hortence</t>
  </si>
  <si>
    <t>Murray</t>
  </si>
  <si>
    <t>554513394</t>
  </si>
  <si>
    <t>3ZNKPLBS7Q6</t>
  </si>
  <si>
    <t>Kyneta Cherie</t>
  </si>
  <si>
    <t>A21744926</t>
  </si>
  <si>
    <t>KMNVNTSLW54</t>
  </si>
  <si>
    <t>Sonya</t>
  </si>
  <si>
    <t>Campbell</t>
  </si>
  <si>
    <t>598923101</t>
  </si>
  <si>
    <t>H5NN6H5SK59</t>
  </si>
  <si>
    <t>Dolly</t>
  </si>
  <si>
    <t>Cooper</t>
  </si>
  <si>
    <t>569472519</t>
  </si>
  <si>
    <t>8PNG5SQB244</t>
  </si>
  <si>
    <t>Yvette Ferrer</t>
  </si>
  <si>
    <t>Laquihon</t>
  </si>
  <si>
    <t>563135505</t>
  </si>
  <si>
    <t>N6NWG6HXW6H</t>
  </si>
  <si>
    <t>Jeane Gahon</t>
  </si>
  <si>
    <t>Penfold</t>
  </si>
  <si>
    <t>682583803</t>
  </si>
  <si>
    <t>LO-A07</t>
  </si>
  <si>
    <t>PXNCBMZMDW5</t>
  </si>
  <si>
    <t>Ahsan</t>
  </si>
  <si>
    <t>Qutub</t>
  </si>
  <si>
    <t>P892033QS</t>
  </si>
  <si>
    <t>7C 118</t>
  </si>
  <si>
    <t>John Woo 2</t>
  </si>
  <si>
    <t>6QN7PT6JST9</t>
  </si>
  <si>
    <t>Kamrun</t>
  </si>
  <si>
    <t>Nahar</t>
  </si>
  <si>
    <t>HK846524</t>
  </si>
  <si>
    <t>RMNN96J8R3H</t>
  </si>
  <si>
    <t>Kading Thong</t>
  </si>
  <si>
    <t>Kongmany</t>
  </si>
  <si>
    <t>AJ437536</t>
  </si>
  <si>
    <t>KE 651</t>
  </si>
  <si>
    <t>J8NYC9CPT6V</t>
  </si>
  <si>
    <t>Sinouane</t>
  </si>
  <si>
    <t>AK742802</t>
  </si>
  <si>
    <t>VTN4VLN4FNM</t>
  </si>
  <si>
    <t>Benedict</t>
  </si>
  <si>
    <t>P243326LS</t>
  </si>
  <si>
    <t>BQNMCQRYL3D</t>
  </si>
  <si>
    <t>Fehr-Krahn</t>
  </si>
  <si>
    <t>HH428532</t>
  </si>
  <si>
    <t>CHNJ3XD6QMS</t>
  </si>
  <si>
    <t>Rakesh Kumar</t>
  </si>
  <si>
    <t>Mishra</t>
  </si>
  <si>
    <t>HP684783</t>
  </si>
  <si>
    <t>B5N33TVJ8KD</t>
  </si>
  <si>
    <t>Roxann</t>
  </si>
  <si>
    <t>Hinds</t>
  </si>
  <si>
    <t>AC436264</t>
  </si>
  <si>
    <t>YRNZGPMBNFN</t>
  </si>
  <si>
    <t>Leah</t>
  </si>
  <si>
    <t>Hinds-Peart</t>
  </si>
  <si>
    <t>AY070648</t>
  </si>
  <si>
    <t>36N27YP64MM</t>
  </si>
  <si>
    <t>Stacy Ann</t>
  </si>
  <si>
    <t>Thomas-Guthrie</t>
  </si>
  <si>
    <t>AC312893</t>
  </si>
  <si>
    <t>Q5NLSHNWVNV</t>
  </si>
  <si>
    <t>Odetta</t>
  </si>
  <si>
    <t>King</t>
  </si>
  <si>
    <t>660108961</t>
  </si>
  <si>
    <t>Y5N6MYSMCNZ</t>
  </si>
  <si>
    <t>Homalatha</t>
  </si>
  <si>
    <t>Selvakumar</t>
  </si>
  <si>
    <t>P181188LS</t>
  </si>
  <si>
    <t>7C 127</t>
  </si>
  <si>
    <t>XSNBW4M5WDM</t>
  </si>
  <si>
    <t>Krisha</t>
  </si>
  <si>
    <t>AY108668</t>
  </si>
  <si>
    <t>PTNPBHVLN6T</t>
  </si>
  <si>
    <t>Asha</t>
  </si>
  <si>
    <t>AN283264</t>
  </si>
  <si>
    <t>ZSNSJ4Z4TV9</t>
  </si>
  <si>
    <t>Luxsiga</t>
  </si>
  <si>
    <t>Nadarajah</t>
  </si>
  <si>
    <t>P716023LS</t>
  </si>
  <si>
    <t>F3NF56HQDJV</t>
  </si>
  <si>
    <t>Rakesh</t>
  </si>
  <si>
    <t>Thanakunnath Kana</t>
  </si>
  <si>
    <t>P108000NW</t>
  </si>
  <si>
    <t>LJ 510</t>
  </si>
  <si>
    <t>9NN3W6NFFK9</t>
  </si>
  <si>
    <t>Jenny</t>
  </si>
  <si>
    <t>AM451286</t>
  </si>
  <si>
    <t>F5NHW6WLD98</t>
  </si>
  <si>
    <t>Eva</t>
  </si>
  <si>
    <t>Kana</t>
  </si>
  <si>
    <t>AM451172</t>
  </si>
  <si>
    <t>LGNMNVZ3MMK</t>
  </si>
  <si>
    <t>Edd</t>
  </si>
  <si>
    <t>P814556NW</t>
  </si>
  <si>
    <t>4LNCD8PCXTB</t>
  </si>
  <si>
    <t>Kannampuzhath Jamaludheen</t>
  </si>
  <si>
    <t>Sirajudheen</t>
  </si>
  <si>
    <t>P787982FS</t>
  </si>
  <si>
    <t>PLNVBZB2CNK</t>
  </si>
  <si>
    <t>Murali</t>
  </si>
  <si>
    <t>Narayanan</t>
  </si>
  <si>
    <t>HK594287</t>
  </si>
  <si>
    <t>PNN2B3HQVVQ</t>
  </si>
  <si>
    <t>Mahaledchumy</t>
  </si>
  <si>
    <t>Mylvaganam</t>
  </si>
  <si>
    <t>P479715QS</t>
  </si>
  <si>
    <t>7DN43HQ8YPH</t>
  </si>
  <si>
    <t>Harishanth</t>
  </si>
  <si>
    <t>AY113633</t>
  </si>
  <si>
    <t>M3NS38Y2WSP</t>
  </si>
  <si>
    <t>Sang Yeon</t>
  </si>
  <si>
    <t>Yoon</t>
  </si>
  <si>
    <t>P302773NG</t>
  </si>
  <si>
    <t>DDNKSX9PG47</t>
  </si>
  <si>
    <t>Ilwan</t>
  </si>
  <si>
    <t>Yun</t>
  </si>
  <si>
    <t>M19112800</t>
  </si>
  <si>
    <t>2VN7VLWHNC7</t>
  </si>
  <si>
    <t>Iljae</t>
  </si>
  <si>
    <t>M03728078</t>
  </si>
  <si>
    <t>R8NKFNCV35Q</t>
  </si>
  <si>
    <t>Gyunghwa</t>
  </si>
  <si>
    <t>Jeon</t>
  </si>
  <si>
    <t>M48153044</t>
  </si>
  <si>
    <t>6XN5JYGNLXF</t>
  </si>
  <si>
    <t>Il Su</t>
  </si>
  <si>
    <t>M55186525</t>
  </si>
  <si>
    <t>YLNZBWJY37W</t>
  </si>
  <si>
    <t>Youngran</t>
  </si>
  <si>
    <t>Baek</t>
  </si>
  <si>
    <t>M379R8647</t>
  </si>
  <si>
    <t>TSNN69DT4TF</t>
  </si>
  <si>
    <t>Leogo</t>
  </si>
  <si>
    <t>AT254106</t>
  </si>
  <si>
    <t>6DNDND4XY2G</t>
  </si>
  <si>
    <t>Alberto Valencia</t>
  </si>
  <si>
    <t>AJ986176</t>
  </si>
  <si>
    <t>CLND4JXN673</t>
  </si>
  <si>
    <t>Alliza Maryz</t>
  </si>
  <si>
    <t>AT210218</t>
  </si>
  <si>
    <t>55NCXS775MF</t>
  </si>
  <si>
    <t>Mariah Alisa</t>
  </si>
  <si>
    <t>Ramlogan</t>
  </si>
  <si>
    <t>AD063357</t>
  </si>
  <si>
    <t>LO-A08</t>
  </si>
  <si>
    <t>7GNZPJNFHX7</t>
  </si>
  <si>
    <t>Johnson Ola</t>
  </si>
  <si>
    <t>Olaniyi</t>
  </si>
  <si>
    <t>P785744FS</t>
  </si>
  <si>
    <t>Johnson Olaniyi</t>
  </si>
  <si>
    <t>TKNMX4FH8D4</t>
  </si>
  <si>
    <t>Victoria Edile</t>
  </si>
  <si>
    <t>Akinkuade</t>
  </si>
  <si>
    <t>P435596ED</t>
  </si>
  <si>
    <t>LO-A09</t>
  </si>
  <si>
    <t>28NZ4P29F8M</t>
  </si>
  <si>
    <t>Babatunde Emmanuel</t>
  </si>
  <si>
    <t>Aremu</t>
  </si>
  <si>
    <t>676279246</t>
  </si>
  <si>
    <t>ET 673</t>
  </si>
  <si>
    <t>Kenny Sowunmi</t>
  </si>
  <si>
    <t>7YN9987FX8Z</t>
  </si>
  <si>
    <t>Mofoluwake Bunmi</t>
  </si>
  <si>
    <t>565119558</t>
  </si>
  <si>
    <t>KMNQ6RPRTVF</t>
  </si>
  <si>
    <t>Toyin Awolola</t>
  </si>
  <si>
    <t>Osaro</t>
  </si>
  <si>
    <t>592472112</t>
  </si>
  <si>
    <t>QGN2LHW64JZ</t>
  </si>
  <si>
    <t>Josephine Ibiyemi</t>
  </si>
  <si>
    <t>546041810</t>
  </si>
  <si>
    <t>Z4NYGZVKNMF</t>
  </si>
  <si>
    <t>Obafemi Adebayo</t>
  </si>
  <si>
    <t>Ogunbote</t>
  </si>
  <si>
    <t>PH003552</t>
  </si>
  <si>
    <t>MGNCD33XRT2</t>
  </si>
  <si>
    <t>Ikponmwosa Christopher</t>
  </si>
  <si>
    <t>Asuen</t>
  </si>
  <si>
    <t>AS398469</t>
  </si>
  <si>
    <t>AC 63 on 12 Sep</t>
  </si>
  <si>
    <t>C5NVM6C28XH</t>
  </si>
  <si>
    <t>Gabriella Ebiagbere</t>
  </si>
  <si>
    <t>Bashorun</t>
  </si>
  <si>
    <t>A39620922</t>
  </si>
  <si>
    <t>9ZNRKQWBWHC</t>
  </si>
  <si>
    <t>Olaperi Tomilola</t>
  </si>
  <si>
    <t>Ojajuni</t>
  </si>
  <si>
    <t>AB948780</t>
  </si>
  <si>
    <t>CHN8V4F6KDL</t>
  </si>
  <si>
    <t>Olabisi Ayodeji</t>
  </si>
  <si>
    <t>Ogunwale</t>
  </si>
  <si>
    <t>AN345373</t>
  </si>
  <si>
    <t>KE 73</t>
  </si>
  <si>
    <t>CWNNB8MBTHQ</t>
  </si>
  <si>
    <t>Oluwaseun Adegboyega</t>
  </si>
  <si>
    <t>Lawal</t>
  </si>
  <si>
    <t>663955422</t>
  </si>
  <si>
    <t>PWN39QQZR6C</t>
  </si>
  <si>
    <t>Sofela Kehinde</t>
  </si>
  <si>
    <t>Sowunmi</t>
  </si>
  <si>
    <t>PA507030</t>
  </si>
  <si>
    <t>N5NFYSCCCGH</t>
  </si>
  <si>
    <t>Abisola Ayodele</t>
  </si>
  <si>
    <t>PA507043</t>
  </si>
  <si>
    <t>WVNTYZR88N2</t>
  </si>
  <si>
    <t>Oluwasegun Opeyemi</t>
  </si>
  <si>
    <t>Ogunmola</t>
  </si>
  <si>
    <t>AW125116</t>
  </si>
  <si>
    <t>63N7626FNT5</t>
  </si>
  <si>
    <t>Omolola Abiodun</t>
  </si>
  <si>
    <t>AW125114</t>
  </si>
  <si>
    <t>XHND5XXDPLH</t>
  </si>
  <si>
    <t>Oluwatimileyin Paul</t>
  </si>
  <si>
    <t>AW125117</t>
  </si>
  <si>
    <t>JVND2HGXMDC</t>
  </si>
  <si>
    <t>Oluwatishe Samuel</t>
  </si>
  <si>
    <t>AW125113</t>
  </si>
  <si>
    <t>87NRPNB8RMM</t>
  </si>
  <si>
    <t>Ernest Olamide</t>
  </si>
  <si>
    <t>Ayeni</t>
  </si>
  <si>
    <t>B50748464</t>
  </si>
  <si>
    <t>VMNV2XCM5PK</t>
  </si>
  <si>
    <t>Ayomikun Abiodun</t>
  </si>
  <si>
    <t>Omoboye</t>
  </si>
  <si>
    <t>P022828FS</t>
  </si>
  <si>
    <t>M8N9JDNBY6F</t>
  </si>
  <si>
    <t>Oyinkansoye Adesola</t>
  </si>
  <si>
    <t>P036352FS</t>
  </si>
  <si>
    <t>RYN9CD3Y5C6</t>
  </si>
  <si>
    <t>Olutosin Okanlawon</t>
  </si>
  <si>
    <t>Sulola</t>
  </si>
  <si>
    <t>HD933479</t>
  </si>
  <si>
    <t>NQNWKYXPP99</t>
  </si>
  <si>
    <t>Risikat Omobolanle</t>
  </si>
  <si>
    <t>HD933484</t>
  </si>
  <si>
    <t>GGNDW8SHB52</t>
  </si>
  <si>
    <t>Oluwole</t>
  </si>
  <si>
    <t>Oyeleke</t>
  </si>
  <si>
    <t>B51071423</t>
  </si>
  <si>
    <t>VTNNK7ZYQ38</t>
  </si>
  <si>
    <t>Fiyinfoluwa Alero</t>
  </si>
  <si>
    <t>Omojola</t>
  </si>
  <si>
    <t>B00628026</t>
  </si>
  <si>
    <t>LO-A10</t>
  </si>
  <si>
    <t>9QNJ39S8CNY</t>
  </si>
  <si>
    <t>Babatope Joseph</t>
  </si>
  <si>
    <t>Olagunju</t>
  </si>
  <si>
    <t>AG932305</t>
  </si>
  <si>
    <t>Olajumoke Seriki</t>
  </si>
  <si>
    <t>23NT333945T</t>
  </si>
  <si>
    <t>AG932307</t>
  </si>
  <si>
    <t>Q6NRY88GM98</t>
  </si>
  <si>
    <t>Adedoyin</t>
  </si>
  <si>
    <t>Banjo</t>
  </si>
  <si>
    <t>AE919856</t>
  </si>
  <si>
    <t>GSNPY86NL79</t>
  </si>
  <si>
    <t>Olufemi</t>
  </si>
  <si>
    <t>AE918726</t>
  </si>
  <si>
    <t>LDNTWH6NVS7</t>
  </si>
  <si>
    <t>Ene Comfort</t>
  </si>
  <si>
    <t>Ochigbo</t>
  </si>
  <si>
    <t>PG532629</t>
  </si>
  <si>
    <t>MTNCLHNGRTN</t>
  </si>
  <si>
    <t>Rahmat Abisoye</t>
  </si>
  <si>
    <t>Hassan</t>
  </si>
  <si>
    <t>B03105080</t>
  </si>
  <si>
    <t>MZN6SQWKWK5</t>
  </si>
  <si>
    <t>Joy</t>
  </si>
  <si>
    <t>Enang</t>
  </si>
  <si>
    <t>PG504730</t>
  </si>
  <si>
    <t>TNNFD9FCHP2</t>
  </si>
  <si>
    <t>Omoegie Christiana</t>
  </si>
  <si>
    <t>Oji</t>
  </si>
  <si>
    <t>A44520269</t>
  </si>
  <si>
    <t>4CNS4TKSHJ7</t>
  </si>
  <si>
    <t>Olajumoke Sherifat</t>
  </si>
  <si>
    <t>Seriki</t>
  </si>
  <si>
    <t>P265236LS</t>
  </si>
  <si>
    <t>7C 106</t>
  </si>
  <si>
    <t>3QNKCBGWBR2</t>
  </si>
  <si>
    <t>Waheed Akanni</t>
  </si>
  <si>
    <t>P081784NW</t>
  </si>
  <si>
    <t>XPN8Y7BYW63</t>
  </si>
  <si>
    <t>Oluwakemi Omotayo</t>
  </si>
  <si>
    <t>Adedipe</t>
  </si>
  <si>
    <t>P371947ED</t>
  </si>
  <si>
    <t>PJNWYBCL468</t>
  </si>
  <si>
    <t>Adewale Ayodeji</t>
  </si>
  <si>
    <t>P417569NW</t>
  </si>
  <si>
    <t>LO-A11</t>
  </si>
  <si>
    <t>JWNGZKBN66L</t>
  </si>
  <si>
    <t>Chimuche Freedom</t>
  </si>
  <si>
    <t>Nwosu</t>
  </si>
  <si>
    <t>A12812418</t>
  </si>
  <si>
    <t>7C 2504</t>
  </si>
  <si>
    <t>Oluwasegun Makinde</t>
  </si>
  <si>
    <t>GDNCSZ73Z9Z</t>
  </si>
  <si>
    <t>Chiamaka Vivian</t>
  </si>
  <si>
    <t>Chimuche</t>
  </si>
  <si>
    <t>B03535854</t>
  </si>
  <si>
    <t>6KNMV228GSV</t>
  </si>
  <si>
    <t>Fikunola</t>
  </si>
  <si>
    <t>Makinde</t>
  </si>
  <si>
    <t>AW136294</t>
  </si>
  <si>
    <t>KE 5007</t>
  </si>
  <si>
    <t>6YN496LHSD4</t>
  </si>
  <si>
    <t>Oluwasegun Micheal</t>
  </si>
  <si>
    <t>AW115147</t>
  </si>
  <si>
    <t>DTN22M4D2HF</t>
  </si>
  <si>
    <t>Moses</t>
  </si>
  <si>
    <t>Uffor</t>
  </si>
  <si>
    <t>AT498208</t>
  </si>
  <si>
    <t>JHN4CBCCZH2</t>
  </si>
  <si>
    <t>Charles Bassey</t>
  </si>
  <si>
    <t>Adautin</t>
  </si>
  <si>
    <t>P308960ED</t>
  </si>
  <si>
    <t>C6NCMLX2GVP</t>
  </si>
  <si>
    <t>Osazee Paul</t>
  </si>
  <si>
    <t>Idada</t>
  </si>
  <si>
    <t>AS116415</t>
  </si>
  <si>
    <t>KHNW7DMN5PX</t>
  </si>
  <si>
    <t>Iyobosa Queennette</t>
  </si>
  <si>
    <t>AW145775</t>
  </si>
  <si>
    <t>SGNZXGRWDWG</t>
  </si>
  <si>
    <t>Vivian Ogechukwu</t>
  </si>
  <si>
    <t>Elifoh</t>
  </si>
  <si>
    <t>P566496FS</t>
  </si>
  <si>
    <t>KE 652</t>
  </si>
  <si>
    <t>PFN5ZTNMHXP</t>
  </si>
  <si>
    <t>P566531FS</t>
  </si>
  <si>
    <t>4SNZGXXSS69</t>
  </si>
  <si>
    <t>Victor Ifegwu</t>
  </si>
  <si>
    <t>Eziyi</t>
  </si>
  <si>
    <t>B50031800</t>
  </si>
  <si>
    <t>8RN3TGGVN48</t>
  </si>
  <si>
    <t>Ure Kalu</t>
  </si>
  <si>
    <t>P356066LS</t>
  </si>
  <si>
    <t>LO-A04</t>
  </si>
  <si>
    <t>QBNS6XZMWPN</t>
  </si>
  <si>
    <t>Leticia Bernales</t>
  </si>
  <si>
    <t>665905573</t>
  </si>
  <si>
    <t>Philip Boyles</t>
  </si>
  <si>
    <t>R8NWNXZ9C8V</t>
  </si>
  <si>
    <t>Cecile Faith</t>
  </si>
  <si>
    <t>A01909567</t>
  </si>
  <si>
    <t>66ND54QJS6V</t>
  </si>
  <si>
    <t>Derek Austin M</t>
  </si>
  <si>
    <t>Tacason</t>
  </si>
  <si>
    <t>A04001368</t>
  </si>
  <si>
    <t>RJNMSVWW3VR</t>
  </si>
  <si>
    <t>Kaylene Ann</t>
  </si>
  <si>
    <t>Talens</t>
  </si>
  <si>
    <t>A35569967</t>
  </si>
  <si>
    <t>D3N6RJR7HDK</t>
  </si>
  <si>
    <t>Evangelina Baguinon</t>
  </si>
  <si>
    <t>Parambita Milner</t>
  </si>
  <si>
    <t>670478573</t>
  </si>
  <si>
    <t>KE 951</t>
  </si>
  <si>
    <t>S8NHNDPBPST</t>
  </si>
  <si>
    <t>Mark Allen</t>
  </si>
  <si>
    <t>Milner</t>
  </si>
  <si>
    <t>A53984525</t>
  </si>
  <si>
    <t>KMN34TY8Z4K</t>
  </si>
  <si>
    <t>Boyles</t>
  </si>
  <si>
    <t>650064971</t>
  </si>
  <si>
    <t>KE 1270</t>
  </si>
  <si>
    <t>33NWXYC9DHZ</t>
  </si>
  <si>
    <t>Juvelyn</t>
  </si>
  <si>
    <t>A04300167</t>
  </si>
  <si>
    <t>LO-A12</t>
  </si>
  <si>
    <t>FMNQVXYVJDB</t>
  </si>
  <si>
    <t>Ngalot</t>
  </si>
  <si>
    <t>P749264QS</t>
  </si>
  <si>
    <t>PR 484</t>
  </si>
  <si>
    <t>Que Yazdani</t>
  </si>
  <si>
    <t>Next door wz Gahob, Ramon Jr - YRNFDRZLG7K</t>
  </si>
  <si>
    <t>WPNM2GSWZBN</t>
  </si>
  <si>
    <t>Miguel Bestis</t>
  </si>
  <si>
    <t>P708806PC</t>
  </si>
  <si>
    <t>YRNFDRZLG7K</t>
  </si>
  <si>
    <t>Ramon Jr</t>
  </si>
  <si>
    <t>Gahob</t>
  </si>
  <si>
    <t>AS660381</t>
  </si>
  <si>
    <t>Next door wz Ngalot, Alicia - FMNQVXYVJDB</t>
  </si>
  <si>
    <t>8CNM8X8J27W</t>
  </si>
  <si>
    <t>Mary April</t>
  </si>
  <si>
    <t>Ngalot-Gahob</t>
  </si>
  <si>
    <t>P820064QS</t>
  </si>
  <si>
    <t>NMNCFQVXS26</t>
  </si>
  <si>
    <t>Kai Asher</t>
  </si>
  <si>
    <t>P195718BI</t>
  </si>
  <si>
    <t>5CN469633Q9</t>
  </si>
  <si>
    <t>Misagh</t>
  </si>
  <si>
    <t>Heidari Gezik</t>
  </si>
  <si>
    <t>HL929298</t>
  </si>
  <si>
    <t>TW 531</t>
  </si>
  <si>
    <t>T4N9ZMV2RRP</t>
  </si>
  <si>
    <t>Armin</t>
  </si>
  <si>
    <t>Mohasel Soltani</t>
  </si>
  <si>
    <t>AD901575</t>
  </si>
  <si>
    <t>C2NJMWJ5SD7</t>
  </si>
  <si>
    <t>Shahnaz</t>
  </si>
  <si>
    <t>Zafaranzadeh Attar</t>
  </si>
  <si>
    <t>AK302774</t>
  </si>
  <si>
    <t>WVNNHWYL4G3</t>
  </si>
  <si>
    <t>Mahdi</t>
  </si>
  <si>
    <t>Babaei</t>
  </si>
  <si>
    <t>AS505442</t>
  </si>
  <si>
    <t>Y2NQ5TYH2SG</t>
  </si>
  <si>
    <t>Mohammed Ali</t>
  </si>
  <si>
    <t>Rezazadeh</t>
  </si>
  <si>
    <t>HP434406</t>
  </si>
  <si>
    <t>Q7NXJJCZ5LR</t>
  </si>
  <si>
    <t>Fernanda Bastos Lopes</t>
  </si>
  <si>
    <t>AS545883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</si>
</sst>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mmm\-dd\-yyyy"/>
    <numFmt numFmtId="165" formatCode="_(* #,##0_);_(* \(#,##0\);_(* &quot;-&quot;??_);_(@_)"/>
    <numFmt numFmtId="166" formatCode="h:mm;@"/>
    <numFmt numFmtId="167" formatCode="[$-409]d\-mmm\-yy;@"/>
    <numFmt numFmtId="168" formatCode="[$-409]d\-m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b/>
      <sz val="16"/>
      <color rgb="FFC00000"/>
      <name val="Cambria"/>
      <family val="1"/>
    </font>
    <font>
      <b/>
      <sz val="11"/>
      <color theme="3" tint="-0.499984740745262"/>
      <name val="Cambria"/>
      <family val="1"/>
    </font>
    <font>
      <sz val="11"/>
      <color rgb="FFFF0000"/>
      <name val="Cambria"/>
      <family val="1"/>
    </font>
    <font>
      <b/>
      <sz val="11"/>
      <color rgb="FFFF0000"/>
      <name val="Cambria"/>
      <family val="1"/>
    </font>
    <font>
      <b/>
      <sz val="11"/>
      <color theme="4" tint="-0.249977111117893"/>
      <name val="Cambria"/>
      <family val="1"/>
    </font>
    <font>
      <sz val="11"/>
      <color indexed="9"/>
      <name val="Cambria"/>
      <family val="1"/>
    </font>
    <font>
      <b/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0"/>
      <color rgb="FF000000"/>
      <name val="Arial"/>
      <family val="2"/>
    </font>
    <font>
      <sz val="10"/>
      <name val="Cambria"/>
      <family val="2"/>
      <scheme val="major"/>
    </font>
    <font>
      <sz val="11"/>
      <name val="Cambria"/>
      <family val="1"/>
      <scheme val="major"/>
    </font>
    <font>
      <b/>
      <sz val="11"/>
      <color rgb="FF00000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rgb="FF0000FF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horizontal="left" vertical="center"/>
    </xf>
    <xf numFmtId="0" fontId="3" fillId="3" borderId="1" xfId="2" applyNumberFormat="1" applyFont="1" applyFill="1" applyBorder="1" applyAlignment="1">
      <alignment horizontal="center" vertical="center" wrapText="1"/>
    </xf>
    <xf numFmtId="41" fontId="3" fillId="4" borderId="1" xfId="2" applyFont="1" applyFill="1" applyBorder="1" applyAlignment="1">
      <alignment horizontal="center" vertical="center" wrapText="1"/>
    </xf>
    <xf numFmtId="41" fontId="9" fillId="2" borderId="2" xfId="2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/>
    </xf>
    <xf numFmtId="41" fontId="9" fillId="2" borderId="0" xfId="2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43" fontId="4" fillId="2" borderId="0" xfId="1" applyFont="1" applyFill="1" applyAlignment="1">
      <alignment horizontal="center" wrapText="1"/>
    </xf>
    <xf numFmtId="165" fontId="10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top"/>
    </xf>
    <xf numFmtId="1" fontId="6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/>
    </xf>
    <xf numFmtId="0" fontId="4" fillId="2" borderId="1" xfId="0" applyFont="1" applyFill="1" applyBorder="1"/>
    <xf numFmtId="0" fontId="12" fillId="2" borderId="0" xfId="0" applyFont="1" applyFill="1" applyAlignment="1">
      <alignment vertical="center"/>
    </xf>
    <xf numFmtId="1" fontId="12" fillId="6" borderId="4" xfId="0" applyNumberFormat="1" applyFont="1" applyFill="1" applyBorder="1" applyAlignment="1" applyProtection="1">
      <alignment horizontal="center" vertical="center" wrapText="1"/>
      <protection hidden="1"/>
    </xf>
    <xf numFmtId="1" fontId="12" fillId="6" borderId="4" xfId="1" applyNumberFormat="1" applyFont="1" applyFill="1" applyBorder="1" applyAlignment="1" applyProtection="1">
      <alignment vertical="center" wrapText="1"/>
      <protection hidden="1"/>
    </xf>
    <xf numFmtId="1" fontId="12" fillId="6" borderId="4" xfId="0" applyNumberFormat="1" applyFont="1" applyFill="1" applyBorder="1" applyAlignment="1" applyProtection="1">
      <alignment vertical="center" wrapText="1"/>
      <protection hidden="1"/>
    </xf>
    <xf numFmtId="1" fontId="12" fillId="7" borderId="4" xfId="0" applyNumberFormat="1" applyFont="1" applyFill="1" applyBorder="1" applyAlignment="1">
      <alignment horizontal="center" vertical="center" wrapText="1"/>
    </xf>
    <xf numFmtId="1" fontId="12" fillId="7" borderId="4" xfId="1" applyNumberFormat="1" applyFont="1" applyFill="1" applyBorder="1" applyAlignment="1">
      <alignment vertical="center"/>
    </xf>
    <xf numFmtId="1" fontId="12" fillId="7" borderId="4" xfId="0" applyNumberFormat="1" applyFont="1" applyFill="1" applyBorder="1" applyAlignment="1">
      <alignment vertical="center" wrapText="1"/>
    </xf>
    <xf numFmtId="1" fontId="12" fillId="7" borderId="4" xfId="1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4" fillId="2" borderId="10" xfId="0" applyFont="1" applyFill="1" applyBorder="1"/>
    <xf numFmtId="167" fontId="14" fillId="5" borderId="8" xfId="0" applyNumberFormat="1" applyFont="1" applyFill="1" applyBorder="1" applyAlignment="1">
      <alignment horizontal="center" vertical="center" wrapText="1"/>
    </xf>
    <xf numFmtId="166" fontId="14" fillId="5" borderId="8" xfId="0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168" fontId="16" fillId="10" borderId="8" xfId="0" applyNumberFormat="1" applyFont="1" applyFill="1" applyBorder="1" applyAlignment="1">
      <alignment horizontal="center" vertical="top"/>
    </xf>
    <xf numFmtId="16" fontId="17" fillId="10" borderId="8" xfId="0" applyNumberFormat="1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16" fontId="17" fillId="5" borderId="8" xfId="0" applyNumberFormat="1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168" fontId="16" fillId="5" borderId="8" xfId="0" applyNumberFormat="1" applyFont="1" applyFill="1" applyBorder="1" applyAlignment="1">
      <alignment horizontal="center" vertical="top"/>
    </xf>
    <xf numFmtId="1" fontId="12" fillId="4" borderId="8" xfId="0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vertical="center" wrapText="1"/>
    </xf>
    <xf numFmtId="1" fontId="13" fillId="8" borderId="8" xfId="0" quotePrefix="1" applyNumberFormat="1" applyFont="1" applyFill="1" applyBorder="1" applyAlignment="1">
      <alignment horizontal="center" vertical="top" wrapText="1"/>
    </xf>
    <xf numFmtId="1" fontId="13" fillId="8" borderId="8" xfId="1" quotePrefix="1" applyNumberFormat="1" applyFont="1" applyFill="1" applyBorder="1" applyAlignment="1">
      <alignment horizontal="center" vertical="top" wrapText="1"/>
    </xf>
    <xf numFmtId="1" fontId="2" fillId="8" borderId="8" xfId="0" quotePrefix="1" applyNumberFormat="1" applyFont="1" applyFill="1" applyBorder="1" applyAlignment="1">
      <alignment horizontal="center" vertical="top" wrapText="1"/>
    </xf>
    <xf numFmtId="166" fontId="12" fillId="4" borderId="8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167" fontId="14" fillId="0" borderId="12" xfId="0" applyNumberFormat="1" applyFont="1" applyBorder="1" applyAlignment="1">
      <alignment horizontal="center" vertical="center" wrapText="1"/>
    </xf>
    <xf numFmtId="166" fontId="14" fillId="0" borderId="12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" fontId="12" fillId="4" borderId="3" xfId="0" applyNumberFormat="1" applyFont="1" applyFill="1" applyBorder="1" applyAlignment="1">
      <alignment horizontal="center" vertical="center" wrapText="1"/>
    </xf>
    <xf numFmtId="1" fontId="11" fillId="4" borderId="4" xfId="0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2" fillId="5" borderId="6" xfId="0" applyFont="1" applyFill="1" applyBorder="1" applyAlignment="1">
      <alignment horizontal="center" vertical="center" wrapText="1"/>
    </xf>
    <xf numFmtId="43" fontId="6" fillId="4" borderId="4" xfId="1" applyFont="1" applyFill="1" applyBorder="1" applyAlignment="1">
      <alignment horizontal="center" vertical="center" wrapText="1"/>
    </xf>
    <xf numFmtId="43" fontId="6" fillId="4" borderId="5" xfId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 wrapText="1"/>
    </xf>
    <xf numFmtId="43" fontId="6" fillId="5" borderId="5" xfId="1" applyFont="1" applyFill="1" applyBorder="1" applyAlignment="1">
      <alignment horizontal="center" vertical="center" wrapText="1"/>
    </xf>
    <xf numFmtId="43" fontId="6" fillId="5" borderId="11" xfId="1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3" fontId="6" fillId="4" borderId="8" xfId="1" applyFont="1" applyFill="1" applyBorder="1" applyAlignment="1">
      <alignment horizontal="center" vertical="center" wrapText="1"/>
    </xf>
    <xf numFmtId="43" fontId="6" fillId="4" borderId="11" xfId="1" applyFont="1" applyFill="1" applyBorder="1" applyAlignment="1">
      <alignment horizontal="center" vertical="center" wrapText="1"/>
    </xf>
    <xf numFmtId="166" fontId="12" fillId="5" borderId="8" xfId="0" applyNumberFormat="1" applyFont="1" applyFill="1" applyBorder="1" applyAlignment="1">
      <alignment horizontal="center" vertical="center" wrapText="1"/>
    </xf>
    <xf numFmtId="1" fontId="12" fillId="4" borderId="7" xfId="0" applyNumberFormat="1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3"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tommyle/Documents/WSB%202023%20-%20Thailand/Hotel/WSB%20ROOMING%20LIST/ALL%20HOTELS%20FOR%20ROOMING%20LIST%20GROUP%20B_APRIL%2017%20BY%20CHI%20JASM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HKT B (FOUR POINT)"/>
      <sheetName val="HKT B (LE MERIDIEN)"/>
      <sheetName val="HKT B (PULLMAN)"/>
      <sheetName val="BKK B (MARRIOT)"/>
      <sheetName val="BKK B (CENTARA)"/>
      <sheetName val="Assignmen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5E0E-FCDD-EE4C-ABEB-1B68B72EEB09}">
  <sheetPr>
    <tabColor rgb="FFFFC000"/>
  </sheetPr>
  <dimension ref="A1:AW317"/>
  <sheetViews>
    <sheetView showGridLines="0" tabSelected="1" zoomScale="125" zoomScaleNormal="125" workbookViewId="0">
      <pane xSplit="9" ySplit="9" topLeftCell="AO10" activePane="bottomRight" state="frozen"/>
      <selection pane="topRight" activeCell="J1" sqref="J1"/>
      <selection pane="bottomLeft" activeCell="A10" sqref="A10"/>
      <selection pane="bottomRight" activeCell="F23" sqref="F23"/>
    </sheetView>
  </sheetViews>
  <sheetFormatPr baseColWidth="10" defaultColWidth="9.1640625" defaultRowHeight="14.25" customHeight="1" x14ac:dyDescent="0.2"/>
  <cols>
    <col min="1" max="1" width="1.5" style="1" customWidth="1"/>
    <col min="2" max="2" width="1.1640625" style="1" customWidth="1"/>
    <col min="3" max="3" width="6" style="2" customWidth="1"/>
    <col min="4" max="4" width="21.83203125" style="54" bestFit="1" customWidth="1"/>
    <col min="5" max="5" width="8.83203125" style="54" customWidth="1"/>
    <col min="6" max="6" width="16.33203125" style="55" customWidth="1"/>
    <col min="7" max="7" width="16.1640625" style="1" customWidth="1"/>
    <col min="8" max="8" width="15.1640625" style="4" bestFit="1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7.8320312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5" style="4" customWidth="1"/>
    <col min="26" max="26" width="4.83203125" style="4" customWidth="1"/>
    <col min="27" max="27" width="6.1640625" style="5" customWidth="1"/>
    <col min="28" max="28" width="7.83203125" style="5" customWidth="1"/>
    <col min="29" max="29" width="10.33203125" style="5" bestFit="1" customWidth="1"/>
    <col min="30" max="30" width="9.1640625" style="4" customWidth="1"/>
    <col min="31" max="31" width="11.1640625" style="4" customWidth="1"/>
    <col min="32" max="32" width="9.5" style="5" customWidth="1"/>
    <col min="33" max="33" width="9.6640625" style="5" customWidth="1"/>
    <col min="34" max="34" width="8.83203125" style="6" customWidth="1"/>
    <col min="35" max="36" width="16" style="4" customWidth="1"/>
    <col min="37" max="37" width="21.83203125" style="4" customWidth="1"/>
    <col min="38" max="38" width="10.5" style="5" customWidth="1"/>
    <col min="39" max="39" width="9.6640625" style="5" customWidth="1"/>
    <col min="40" max="40" width="10.6640625" style="5" customWidth="1"/>
    <col min="41" max="41" width="15.1640625" style="5" bestFit="1" customWidth="1"/>
    <col min="42" max="42" width="24.6640625" style="4" customWidth="1"/>
    <col min="44" max="44" width="10.33203125" bestFit="1" customWidth="1"/>
    <col min="46" max="46" width="11.1640625" customWidth="1"/>
    <col min="47" max="47" width="9.5" customWidth="1"/>
    <col min="48" max="48" width="9.6640625" customWidth="1"/>
    <col min="49" max="49" width="8.83203125" customWidth="1"/>
    <col min="50" max="16384" width="9.1640625" style="4"/>
  </cols>
  <sheetData>
    <row r="1" spans="1:49" ht="15" x14ac:dyDescent="0.2">
      <c r="D1" s="3"/>
      <c r="E1" s="3"/>
      <c r="F1" s="1"/>
      <c r="AJ1" s="5"/>
      <c r="AK1" s="5"/>
    </row>
    <row r="2" spans="1:49" ht="21" x14ac:dyDescent="0.25">
      <c r="D2" s="81" t="s">
        <v>154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7"/>
      <c r="AC2" s="7"/>
      <c r="AD2" s="7"/>
      <c r="AE2" s="7"/>
      <c r="AF2" s="7"/>
      <c r="AG2" s="7"/>
      <c r="AI2" s="7"/>
      <c r="AJ2" s="5"/>
      <c r="AK2" s="5"/>
    </row>
    <row r="3" spans="1:49" ht="15" x14ac:dyDescent="0.2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49" s="23" customFormat="1" ht="37" customHeight="1" x14ac:dyDescent="0.2">
      <c r="A4" s="12"/>
      <c r="B4" s="12"/>
      <c r="C4" s="13"/>
      <c r="D4" s="9"/>
      <c r="E4" s="9"/>
      <c r="F4" s="10"/>
      <c r="G4" s="11"/>
      <c r="H4" s="14" t="s">
        <v>155</v>
      </c>
      <c r="I4" s="14" t="s">
        <v>0</v>
      </c>
      <c r="J4" s="14" t="s">
        <v>1</v>
      </c>
      <c r="K4" s="14" t="s">
        <v>2</v>
      </c>
      <c r="L4" s="14" t="s">
        <v>3</v>
      </c>
      <c r="M4" s="14" t="s">
        <v>4</v>
      </c>
      <c r="N4" s="14" t="s">
        <v>5</v>
      </c>
      <c r="O4" s="15" t="s">
        <v>6</v>
      </c>
      <c r="P4" s="15" t="s">
        <v>7</v>
      </c>
      <c r="Q4" s="15" t="s">
        <v>126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O4" s="18"/>
      <c r="AQ4"/>
      <c r="AR4"/>
      <c r="AS4"/>
      <c r="AT4"/>
      <c r="AU4"/>
      <c r="AV4"/>
      <c r="AW4"/>
    </row>
    <row r="5" spans="1:49" ht="15" x14ac:dyDescent="0.2">
      <c r="C5" s="24"/>
      <c r="D5" s="9"/>
      <c r="E5" s="9"/>
      <c r="F5" s="10"/>
      <c r="G5" s="11"/>
      <c r="H5" s="25" t="s">
        <v>155</v>
      </c>
      <c r="I5" s="26">
        <f>SUM(J5:L5)</f>
        <v>152</v>
      </c>
      <c r="J5" s="26">
        <f>SUM(Y10:Y328)</f>
        <v>7</v>
      </c>
      <c r="K5" s="26">
        <f>SUM(Z10:Z328)</f>
        <v>91</v>
      </c>
      <c r="L5" s="26">
        <f>SUM(AA10:AA328)</f>
        <v>54</v>
      </c>
      <c r="M5" s="26">
        <v>0</v>
      </c>
      <c r="N5" s="26">
        <v>2</v>
      </c>
      <c r="O5" s="25">
        <f>SUM(P5:Q5)</f>
        <v>304</v>
      </c>
      <c r="P5" s="26">
        <f>SUM(V10:V328)</f>
        <v>297</v>
      </c>
      <c r="Q5" s="26">
        <f>COUNTIFS(M10:M328,"&gt;3",M10:M328,"&lt;12")</f>
        <v>7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  <c r="AO5" s="30"/>
    </row>
    <row r="6" spans="1:49" ht="15" x14ac:dyDescent="0.2">
      <c r="C6" s="24"/>
      <c r="D6" s="9" t="s">
        <v>8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9</v>
      </c>
      <c r="V6" s="28"/>
      <c r="W6" s="28"/>
      <c r="X6" s="32" t="s">
        <v>10</v>
      </c>
      <c r="Y6" s="28"/>
      <c r="Z6" s="28"/>
      <c r="AA6" s="29"/>
      <c r="AB6" s="29"/>
      <c r="AC6" s="75" t="s">
        <v>11</v>
      </c>
      <c r="AD6" s="75"/>
      <c r="AE6" s="75"/>
      <c r="AF6" s="75" t="s">
        <v>11</v>
      </c>
      <c r="AG6" s="75"/>
      <c r="AH6" s="75"/>
      <c r="AI6" s="28"/>
      <c r="AJ6" s="29"/>
      <c r="AK6" s="27"/>
      <c r="AL6" s="27"/>
      <c r="AM6" s="27"/>
      <c r="AN6" s="27"/>
      <c r="AO6" s="27"/>
    </row>
    <row r="7" spans="1:49" ht="15" x14ac:dyDescent="0.2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49" ht="28.5" customHeight="1" x14ac:dyDescent="0.2">
      <c r="C8" s="76" t="s">
        <v>12</v>
      </c>
      <c r="D8" s="77" t="s">
        <v>13</v>
      </c>
      <c r="E8" s="78" t="s">
        <v>14</v>
      </c>
      <c r="F8" s="78" t="s">
        <v>15</v>
      </c>
      <c r="G8" s="78" t="s">
        <v>16</v>
      </c>
      <c r="H8" s="78" t="s">
        <v>17</v>
      </c>
      <c r="I8" s="78" t="s">
        <v>18</v>
      </c>
      <c r="J8" s="78" t="s">
        <v>19</v>
      </c>
      <c r="K8" s="79" t="s">
        <v>20</v>
      </c>
      <c r="L8" s="79" t="s">
        <v>21</v>
      </c>
      <c r="M8" s="79" t="s">
        <v>22</v>
      </c>
      <c r="N8" s="80" t="s">
        <v>23</v>
      </c>
      <c r="O8" s="80"/>
      <c r="P8" s="79" t="s">
        <v>24</v>
      </c>
      <c r="Q8" s="83" t="s">
        <v>25</v>
      </c>
      <c r="R8" s="85" t="s">
        <v>26</v>
      </c>
      <c r="S8" s="85" t="s">
        <v>27</v>
      </c>
      <c r="T8" s="85" t="s">
        <v>28</v>
      </c>
      <c r="U8" s="33" t="s">
        <v>29</v>
      </c>
      <c r="V8" s="34" t="s">
        <v>30</v>
      </c>
      <c r="W8" s="35" t="s">
        <v>31</v>
      </c>
      <c r="X8" s="36" t="s">
        <v>32</v>
      </c>
      <c r="Y8" s="37" t="s">
        <v>33</v>
      </c>
      <c r="Z8" s="38" t="s">
        <v>34</v>
      </c>
      <c r="AA8" s="36" t="s">
        <v>3</v>
      </c>
      <c r="AB8" s="39" t="s">
        <v>4</v>
      </c>
      <c r="AC8" s="79" t="s">
        <v>35</v>
      </c>
      <c r="AD8" s="79"/>
      <c r="AE8" s="79"/>
      <c r="AF8" s="79" t="s">
        <v>36</v>
      </c>
      <c r="AG8" s="79"/>
      <c r="AH8" s="79"/>
      <c r="AI8" s="78" t="s">
        <v>37</v>
      </c>
      <c r="AJ8" s="79" t="s">
        <v>38</v>
      </c>
      <c r="AK8" s="83" t="s">
        <v>39</v>
      </c>
      <c r="AL8" s="83" t="s">
        <v>40</v>
      </c>
      <c r="AM8" s="84" t="s">
        <v>41</v>
      </c>
      <c r="AN8" s="86" t="s">
        <v>156</v>
      </c>
      <c r="AO8" s="86" t="s">
        <v>42</v>
      </c>
      <c r="AP8" s="82" t="s">
        <v>43</v>
      </c>
    </row>
    <row r="9" spans="1:49" ht="29" customHeight="1" x14ac:dyDescent="0.2">
      <c r="C9" s="94"/>
      <c r="D9" s="95"/>
      <c r="E9" s="89"/>
      <c r="F9" s="89"/>
      <c r="G9" s="89"/>
      <c r="H9" s="89"/>
      <c r="I9" s="89"/>
      <c r="J9" s="89"/>
      <c r="K9" s="90"/>
      <c r="L9" s="90"/>
      <c r="M9" s="90"/>
      <c r="N9" s="63" t="s">
        <v>44</v>
      </c>
      <c r="O9" s="64" t="s">
        <v>45</v>
      </c>
      <c r="P9" s="90"/>
      <c r="Q9" s="91"/>
      <c r="R9" s="93"/>
      <c r="S9" s="93"/>
      <c r="T9" s="93"/>
      <c r="U9" s="65"/>
      <c r="V9" s="66"/>
      <c r="W9" s="65"/>
      <c r="X9" s="67"/>
      <c r="Y9" s="65"/>
      <c r="Z9" s="67"/>
      <c r="AA9" s="67"/>
      <c r="AB9" s="65"/>
      <c r="AC9" s="68" t="s">
        <v>46</v>
      </c>
      <c r="AD9" s="68" t="s">
        <v>47</v>
      </c>
      <c r="AE9" s="68" t="s">
        <v>48</v>
      </c>
      <c r="AF9" s="68" t="s">
        <v>49</v>
      </c>
      <c r="AG9" s="68" t="s">
        <v>50</v>
      </c>
      <c r="AH9" s="68" t="s">
        <v>48</v>
      </c>
      <c r="AI9" s="89"/>
      <c r="AJ9" s="90"/>
      <c r="AK9" s="91"/>
      <c r="AL9" s="91"/>
      <c r="AM9" s="92"/>
      <c r="AN9" s="87"/>
      <c r="AO9" s="87"/>
      <c r="AP9" s="88"/>
    </row>
    <row r="10" spans="1:49" ht="14.25" customHeight="1" x14ac:dyDescent="0.2">
      <c r="C10" s="69">
        <v>1</v>
      </c>
      <c r="D10" s="41">
        <v>15262305</v>
      </c>
      <c r="E10" s="41" t="s">
        <v>157</v>
      </c>
      <c r="F10" s="42" t="s">
        <v>158</v>
      </c>
      <c r="G10" s="41" t="s">
        <v>158</v>
      </c>
      <c r="H10" s="41" t="s">
        <v>159</v>
      </c>
      <c r="I10" s="41" t="s">
        <v>160</v>
      </c>
      <c r="J10" s="41" t="s">
        <v>51</v>
      </c>
      <c r="K10" s="41" t="s">
        <v>85</v>
      </c>
      <c r="L10" s="43">
        <v>25483</v>
      </c>
      <c r="M10" s="41">
        <v>55</v>
      </c>
      <c r="N10" s="41" t="s">
        <v>161</v>
      </c>
      <c r="O10" s="43">
        <v>46001</v>
      </c>
      <c r="P10" s="41" t="s">
        <v>1</v>
      </c>
      <c r="Q10" s="41"/>
      <c r="R10" s="57">
        <v>45913</v>
      </c>
      <c r="S10" s="58">
        <v>45918</v>
      </c>
      <c r="T10" s="59">
        <f t="shared" ref="T10:T73" si="0">S10-R10</f>
        <v>5</v>
      </c>
      <c r="U10" s="41">
        <v>1</v>
      </c>
      <c r="V10" s="41">
        <v>1</v>
      </c>
      <c r="W10" s="41">
        <v>0</v>
      </c>
      <c r="X10" s="41">
        <v>1</v>
      </c>
      <c r="Y10" s="41">
        <v>1</v>
      </c>
      <c r="Z10" s="41">
        <v>0</v>
      </c>
      <c r="AA10" s="41">
        <v>0</v>
      </c>
      <c r="AB10" s="41"/>
      <c r="AC10" s="43">
        <v>45913</v>
      </c>
      <c r="AD10" s="44">
        <v>0.78125</v>
      </c>
      <c r="AE10" s="41" t="s">
        <v>86</v>
      </c>
      <c r="AF10" s="43">
        <v>45918</v>
      </c>
      <c r="AG10" s="44">
        <v>0.86458333333575865</v>
      </c>
      <c r="AH10" s="41" t="s">
        <v>87</v>
      </c>
      <c r="AI10" s="41" t="s">
        <v>162</v>
      </c>
      <c r="AJ10" s="41" t="s">
        <v>92</v>
      </c>
      <c r="AK10" s="41" t="s">
        <v>163</v>
      </c>
      <c r="AL10" s="41" t="s">
        <v>164</v>
      </c>
      <c r="AM10" s="45" t="s">
        <v>55</v>
      </c>
      <c r="AN10" s="45" t="s">
        <v>165</v>
      </c>
      <c r="AO10" s="45" t="s">
        <v>79</v>
      </c>
      <c r="AP10" s="46"/>
    </row>
    <row r="11" spans="1:49" ht="14.25" customHeight="1" x14ac:dyDescent="0.2">
      <c r="C11" s="40">
        <f>IF($X11=1,COUNTIF($C$10:C10,"&gt;0")+1,"")</f>
        <v>2</v>
      </c>
      <c r="D11" s="41">
        <v>15262306</v>
      </c>
      <c r="E11" s="41" t="s">
        <v>157</v>
      </c>
      <c r="F11" s="42" t="s">
        <v>166</v>
      </c>
      <c r="G11" s="41" t="s">
        <v>166</v>
      </c>
      <c r="H11" s="41" t="s">
        <v>167</v>
      </c>
      <c r="I11" s="41" t="s">
        <v>168</v>
      </c>
      <c r="J11" s="41" t="s">
        <v>51</v>
      </c>
      <c r="K11" s="41" t="s">
        <v>52</v>
      </c>
      <c r="L11" s="43">
        <v>25482</v>
      </c>
      <c r="M11" s="41">
        <v>55</v>
      </c>
      <c r="N11" s="41" t="s">
        <v>169</v>
      </c>
      <c r="O11" s="43">
        <v>48639</v>
      </c>
      <c r="P11" s="41" t="s">
        <v>2</v>
      </c>
      <c r="Q11" s="41"/>
      <c r="R11" s="57">
        <v>45913</v>
      </c>
      <c r="S11" s="58">
        <v>45918</v>
      </c>
      <c r="T11" s="59">
        <f t="shared" si="0"/>
        <v>5</v>
      </c>
      <c r="U11" s="41">
        <v>1</v>
      </c>
      <c r="V11" s="41">
        <v>1</v>
      </c>
      <c r="W11" s="41">
        <v>0</v>
      </c>
      <c r="X11" s="41">
        <v>1</v>
      </c>
      <c r="Y11" s="41">
        <v>0</v>
      </c>
      <c r="Z11" s="41">
        <v>1</v>
      </c>
      <c r="AA11" s="41">
        <v>0</v>
      </c>
      <c r="AB11" s="41"/>
      <c r="AC11" s="43">
        <v>45913</v>
      </c>
      <c r="AD11" s="44">
        <v>0.59027777778101154</v>
      </c>
      <c r="AE11" s="41" t="s">
        <v>89</v>
      </c>
      <c r="AF11" s="43">
        <v>45918</v>
      </c>
      <c r="AG11" s="44">
        <v>0.68402777778101154</v>
      </c>
      <c r="AH11" s="41" t="s">
        <v>75</v>
      </c>
      <c r="AI11" s="41" t="s">
        <v>162</v>
      </c>
      <c r="AJ11" s="41" t="s">
        <v>54</v>
      </c>
      <c r="AK11" s="41" t="s">
        <v>54</v>
      </c>
      <c r="AL11" s="41" t="s">
        <v>164</v>
      </c>
      <c r="AM11" s="45" t="s">
        <v>55</v>
      </c>
      <c r="AN11" s="45" t="s">
        <v>170</v>
      </c>
      <c r="AO11" s="45"/>
      <c r="AP11" s="46"/>
    </row>
    <row r="12" spans="1:49" ht="14.25" customHeight="1" x14ac:dyDescent="0.2">
      <c r="C12" s="40" t="str">
        <f>IF($X12=1,COUNTIF($C$10:C11,"&gt;0")+1,"")</f>
        <v/>
      </c>
      <c r="D12" s="41"/>
      <c r="E12" s="41" t="s">
        <v>157</v>
      </c>
      <c r="F12" s="42" t="s">
        <v>171</v>
      </c>
      <c r="G12" s="41" t="s">
        <v>166</v>
      </c>
      <c r="H12" s="41" t="s">
        <v>172</v>
      </c>
      <c r="I12" s="41" t="s">
        <v>113</v>
      </c>
      <c r="J12" s="41" t="s">
        <v>56</v>
      </c>
      <c r="K12" s="41" t="s">
        <v>52</v>
      </c>
      <c r="L12" s="43">
        <v>25764</v>
      </c>
      <c r="M12" s="41">
        <v>55</v>
      </c>
      <c r="N12" s="41" t="s">
        <v>173</v>
      </c>
      <c r="O12" s="43">
        <v>48639</v>
      </c>
      <c r="P12" s="41" t="s">
        <v>2</v>
      </c>
      <c r="Q12" s="41"/>
      <c r="R12" s="57">
        <v>45913</v>
      </c>
      <c r="S12" s="58">
        <v>45918</v>
      </c>
      <c r="T12" s="59">
        <f t="shared" si="0"/>
        <v>5</v>
      </c>
      <c r="U12" s="41">
        <v>1</v>
      </c>
      <c r="V12" s="41">
        <v>1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/>
      <c r="AC12" s="43">
        <v>45913</v>
      </c>
      <c r="AD12" s="44">
        <v>0.59027777778101154</v>
      </c>
      <c r="AE12" s="41" t="s">
        <v>89</v>
      </c>
      <c r="AF12" s="43">
        <v>45918</v>
      </c>
      <c r="AG12" s="44">
        <v>0.68402777778101154</v>
      </c>
      <c r="AH12" s="41" t="s">
        <v>75</v>
      </c>
      <c r="AI12" s="41" t="s">
        <v>162</v>
      </c>
      <c r="AJ12" s="41" t="s">
        <v>54</v>
      </c>
      <c r="AK12" s="41" t="s">
        <v>54</v>
      </c>
      <c r="AL12" s="41" t="s">
        <v>164</v>
      </c>
      <c r="AM12" s="45" t="s">
        <v>55</v>
      </c>
      <c r="AN12" s="45" t="s">
        <v>170</v>
      </c>
      <c r="AO12" s="45"/>
      <c r="AP12" s="46"/>
    </row>
    <row r="13" spans="1:49" ht="14.25" customHeight="1" x14ac:dyDescent="0.2">
      <c r="C13" s="40">
        <f>IF($X13=1,COUNTIF($C$10:C12,"&gt;0")+1,"")</f>
        <v>3</v>
      </c>
      <c r="D13" s="41">
        <v>15262307</v>
      </c>
      <c r="E13" s="41" t="s">
        <v>157</v>
      </c>
      <c r="F13" s="42" t="s">
        <v>174</v>
      </c>
      <c r="G13" s="41" t="s">
        <v>174</v>
      </c>
      <c r="H13" s="41" t="s">
        <v>175</v>
      </c>
      <c r="I13" s="41" t="s">
        <v>176</v>
      </c>
      <c r="J13" s="41" t="s">
        <v>56</v>
      </c>
      <c r="K13" s="41" t="s">
        <v>52</v>
      </c>
      <c r="L13" s="43">
        <v>26366</v>
      </c>
      <c r="M13" s="41">
        <v>53</v>
      </c>
      <c r="N13" s="41" t="s">
        <v>177</v>
      </c>
      <c r="O13" s="43">
        <v>48195</v>
      </c>
      <c r="P13" s="41" t="s">
        <v>2</v>
      </c>
      <c r="Q13" s="41"/>
      <c r="R13" s="57">
        <v>45913</v>
      </c>
      <c r="S13" s="58">
        <v>45918</v>
      </c>
      <c r="T13" s="59">
        <f t="shared" si="0"/>
        <v>5</v>
      </c>
      <c r="U13" s="41">
        <v>1</v>
      </c>
      <c r="V13" s="41">
        <v>1</v>
      </c>
      <c r="W13" s="41">
        <v>0</v>
      </c>
      <c r="X13" s="41">
        <v>1</v>
      </c>
      <c r="Y13" s="41">
        <v>0</v>
      </c>
      <c r="Z13" s="41">
        <v>1</v>
      </c>
      <c r="AA13" s="41">
        <v>0</v>
      </c>
      <c r="AB13" s="41"/>
      <c r="AC13" s="43">
        <v>45913</v>
      </c>
      <c r="AD13" s="44">
        <v>0.72222222221898846</v>
      </c>
      <c r="AE13" s="41" t="s">
        <v>117</v>
      </c>
      <c r="AF13" s="43">
        <v>45918</v>
      </c>
      <c r="AG13" s="44">
        <v>0.81944444444525288</v>
      </c>
      <c r="AH13" s="41" t="s">
        <v>95</v>
      </c>
      <c r="AI13" s="41" t="s">
        <v>162</v>
      </c>
      <c r="AJ13" s="41" t="s">
        <v>54</v>
      </c>
      <c r="AK13" s="41" t="s">
        <v>54</v>
      </c>
      <c r="AL13" s="41" t="s">
        <v>164</v>
      </c>
      <c r="AM13" s="45" t="s">
        <v>55</v>
      </c>
      <c r="AN13" s="45" t="s">
        <v>170</v>
      </c>
      <c r="AO13" s="45"/>
      <c r="AP13" s="46"/>
    </row>
    <row r="14" spans="1:49" ht="14.25" customHeight="1" x14ac:dyDescent="0.2">
      <c r="C14" s="40" t="str">
        <f>IF($X14=1,COUNTIF($C$10:C13,"&gt;0")+1,"")</f>
        <v/>
      </c>
      <c r="D14" s="41"/>
      <c r="E14" s="41" t="s">
        <v>157</v>
      </c>
      <c r="F14" s="42" t="s">
        <v>178</v>
      </c>
      <c r="G14" s="41" t="s">
        <v>174</v>
      </c>
      <c r="H14" s="41" t="s">
        <v>179</v>
      </c>
      <c r="I14" s="41" t="s">
        <v>180</v>
      </c>
      <c r="J14" s="41" t="s">
        <v>56</v>
      </c>
      <c r="K14" s="41" t="s">
        <v>52</v>
      </c>
      <c r="L14" s="43">
        <v>21956</v>
      </c>
      <c r="M14" s="41">
        <v>65</v>
      </c>
      <c r="N14" s="41" t="s">
        <v>181</v>
      </c>
      <c r="O14" s="43">
        <v>48195</v>
      </c>
      <c r="P14" s="41" t="s">
        <v>2</v>
      </c>
      <c r="Q14" s="41"/>
      <c r="R14" s="57">
        <v>45913</v>
      </c>
      <c r="S14" s="58">
        <v>45918</v>
      </c>
      <c r="T14" s="59">
        <f t="shared" si="0"/>
        <v>5</v>
      </c>
      <c r="U14" s="41">
        <v>1</v>
      </c>
      <c r="V14" s="41">
        <v>1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/>
      <c r="AC14" s="43">
        <v>45913</v>
      </c>
      <c r="AD14" s="44">
        <v>0.72222222221898846</v>
      </c>
      <c r="AE14" s="41" t="s">
        <v>117</v>
      </c>
      <c r="AF14" s="43">
        <v>45918</v>
      </c>
      <c r="AG14" s="44">
        <v>0.81944444444525288</v>
      </c>
      <c r="AH14" s="41" t="s">
        <v>95</v>
      </c>
      <c r="AI14" s="41" t="s">
        <v>162</v>
      </c>
      <c r="AJ14" s="41" t="s">
        <v>54</v>
      </c>
      <c r="AK14" s="41" t="s">
        <v>54</v>
      </c>
      <c r="AL14" s="41" t="s">
        <v>164</v>
      </c>
      <c r="AM14" s="45" t="s">
        <v>55</v>
      </c>
      <c r="AN14" s="45" t="s">
        <v>170</v>
      </c>
      <c r="AO14" s="45"/>
      <c r="AP14" s="46"/>
    </row>
    <row r="15" spans="1:49" ht="14.25" customHeight="1" x14ac:dyDescent="0.2">
      <c r="C15" s="40">
        <f>IF($X15=1,COUNTIF($C$10:C14,"&gt;0")+1,"")</f>
        <v>4</v>
      </c>
      <c r="D15" s="41">
        <v>15262308</v>
      </c>
      <c r="E15" s="41" t="s">
        <v>157</v>
      </c>
      <c r="F15" s="42" t="s">
        <v>182</v>
      </c>
      <c r="G15" s="41" t="s">
        <v>182</v>
      </c>
      <c r="H15" s="41" t="s">
        <v>183</v>
      </c>
      <c r="I15" s="41" t="s">
        <v>184</v>
      </c>
      <c r="J15" s="41" t="s">
        <v>51</v>
      </c>
      <c r="K15" s="41" t="s">
        <v>85</v>
      </c>
      <c r="L15" s="43">
        <v>28813</v>
      </c>
      <c r="M15" s="41">
        <v>46</v>
      </c>
      <c r="N15" s="41" t="s">
        <v>185</v>
      </c>
      <c r="O15" s="43">
        <v>48077</v>
      </c>
      <c r="P15" s="41" t="s">
        <v>3</v>
      </c>
      <c r="Q15" s="41"/>
      <c r="R15" s="57">
        <v>45913</v>
      </c>
      <c r="S15" s="58">
        <v>45918</v>
      </c>
      <c r="T15" s="59">
        <f t="shared" si="0"/>
        <v>5</v>
      </c>
      <c r="U15" s="41">
        <v>1</v>
      </c>
      <c r="V15" s="41">
        <v>1</v>
      </c>
      <c r="W15" s="41">
        <v>0</v>
      </c>
      <c r="X15" s="41">
        <v>1</v>
      </c>
      <c r="Y15" s="41">
        <v>0</v>
      </c>
      <c r="Z15" s="41">
        <v>0</v>
      </c>
      <c r="AA15" s="41">
        <v>1</v>
      </c>
      <c r="AB15" s="41"/>
      <c r="AC15" s="43">
        <v>45913</v>
      </c>
      <c r="AD15" s="44">
        <v>0.78125</v>
      </c>
      <c r="AE15" s="41" t="s">
        <v>86</v>
      </c>
      <c r="AF15" s="43">
        <v>45918</v>
      </c>
      <c r="AG15" s="44">
        <v>0.73958333333575865</v>
      </c>
      <c r="AH15" s="41" t="s">
        <v>111</v>
      </c>
      <c r="AI15" s="41" t="s">
        <v>162</v>
      </c>
      <c r="AJ15" s="41" t="s">
        <v>54</v>
      </c>
      <c r="AK15" s="41" t="s">
        <v>54</v>
      </c>
      <c r="AL15" s="41" t="s">
        <v>164</v>
      </c>
      <c r="AM15" s="45" t="s">
        <v>55</v>
      </c>
      <c r="AN15" s="45" t="s">
        <v>186</v>
      </c>
      <c r="AO15" s="45" t="s">
        <v>79</v>
      </c>
      <c r="AP15" s="46"/>
    </row>
    <row r="16" spans="1:49" ht="14.25" customHeight="1" x14ac:dyDescent="0.2">
      <c r="C16" s="40" t="str">
        <f>IF($X16=1,COUNTIF($C$10:C15,"&gt;0")+1,"")</f>
        <v/>
      </c>
      <c r="D16" s="41"/>
      <c r="E16" s="41" t="s">
        <v>157</v>
      </c>
      <c r="F16" s="42" t="s">
        <v>187</v>
      </c>
      <c r="G16" s="41" t="s">
        <v>182</v>
      </c>
      <c r="H16" s="41" t="s">
        <v>188</v>
      </c>
      <c r="I16" s="41" t="s">
        <v>189</v>
      </c>
      <c r="J16" s="41" t="s">
        <v>51</v>
      </c>
      <c r="K16" s="41" t="s">
        <v>85</v>
      </c>
      <c r="L16" s="43">
        <v>29690</v>
      </c>
      <c r="M16" s="41">
        <v>44</v>
      </c>
      <c r="N16" s="41" t="s">
        <v>190</v>
      </c>
      <c r="O16" s="43">
        <v>48501</v>
      </c>
      <c r="P16" s="41" t="s">
        <v>3</v>
      </c>
      <c r="Q16" s="41"/>
      <c r="R16" s="57">
        <v>45913</v>
      </c>
      <c r="S16" s="58">
        <v>45918</v>
      </c>
      <c r="T16" s="59">
        <f t="shared" si="0"/>
        <v>5</v>
      </c>
      <c r="U16" s="41">
        <v>1</v>
      </c>
      <c r="V16" s="41">
        <v>1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/>
      <c r="AC16" s="43">
        <v>45912</v>
      </c>
      <c r="AD16" s="44">
        <v>0.72916666666424135</v>
      </c>
      <c r="AE16" s="41" t="s">
        <v>91</v>
      </c>
      <c r="AF16" s="43">
        <v>45918</v>
      </c>
      <c r="AG16" s="44">
        <v>0.85416666666424135</v>
      </c>
      <c r="AH16" s="41" t="s">
        <v>124</v>
      </c>
      <c r="AI16" s="41" t="s">
        <v>162</v>
      </c>
      <c r="AJ16" s="41" t="s">
        <v>54</v>
      </c>
      <c r="AK16" s="41" t="s">
        <v>54</v>
      </c>
      <c r="AL16" s="41" t="s">
        <v>164</v>
      </c>
      <c r="AM16" s="45" t="s">
        <v>55</v>
      </c>
      <c r="AN16" s="45" t="s">
        <v>186</v>
      </c>
      <c r="AO16" s="45"/>
      <c r="AP16" s="46"/>
    </row>
    <row r="17" spans="3:42" ht="14.25" customHeight="1" x14ac:dyDescent="0.2">
      <c r="C17" s="40">
        <f>IF($X17=1,COUNTIF($C$10:C16,"&gt;0")+1,"")</f>
        <v>5</v>
      </c>
      <c r="D17" s="41">
        <v>15262309</v>
      </c>
      <c r="E17" s="41" t="s">
        <v>157</v>
      </c>
      <c r="F17" s="42" t="s">
        <v>191</v>
      </c>
      <c r="G17" s="41" t="s">
        <v>191</v>
      </c>
      <c r="H17" s="41" t="s">
        <v>192</v>
      </c>
      <c r="I17" s="41" t="s">
        <v>193</v>
      </c>
      <c r="J17" s="41" t="s">
        <v>51</v>
      </c>
      <c r="K17" s="41" t="s">
        <v>85</v>
      </c>
      <c r="L17" s="43">
        <v>31511</v>
      </c>
      <c r="M17" s="41">
        <v>39</v>
      </c>
      <c r="N17" s="41" t="s">
        <v>194</v>
      </c>
      <c r="O17" s="43">
        <v>48708</v>
      </c>
      <c r="P17" s="41" t="s">
        <v>2</v>
      </c>
      <c r="Q17" s="41"/>
      <c r="R17" s="57">
        <v>45913</v>
      </c>
      <c r="S17" s="58">
        <v>45918</v>
      </c>
      <c r="T17" s="59">
        <f t="shared" si="0"/>
        <v>5</v>
      </c>
      <c r="U17" s="41">
        <v>1</v>
      </c>
      <c r="V17" s="41">
        <v>1</v>
      </c>
      <c r="W17" s="41">
        <v>0</v>
      </c>
      <c r="X17" s="41">
        <v>1</v>
      </c>
      <c r="Y17" s="41">
        <v>0</v>
      </c>
      <c r="Z17" s="41">
        <v>1</v>
      </c>
      <c r="AA17" s="41">
        <v>0</v>
      </c>
      <c r="AB17" s="41"/>
      <c r="AC17" s="43">
        <v>45913</v>
      </c>
      <c r="AD17" s="44">
        <v>0.78125</v>
      </c>
      <c r="AE17" s="41" t="s">
        <v>86</v>
      </c>
      <c r="AF17" s="43">
        <v>45918</v>
      </c>
      <c r="AG17" s="44">
        <v>0.73958333333575865</v>
      </c>
      <c r="AH17" s="41" t="s">
        <v>111</v>
      </c>
      <c r="AI17" s="41" t="s">
        <v>162</v>
      </c>
      <c r="AJ17" s="41" t="s">
        <v>54</v>
      </c>
      <c r="AK17" s="41" t="s">
        <v>54</v>
      </c>
      <c r="AL17" s="41" t="s">
        <v>164</v>
      </c>
      <c r="AM17" s="45" t="s">
        <v>55</v>
      </c>
      <c r="AN17" s="45" t="s">
        <v>170</v>
      </c>
      <c r="AO17" s="45" t="s">
        <v>79</v>
      </c>
      <c r="AP17" s="46"/>
    </row>
    <row r="18" spans="3:42" ht="14.25" customHeight="1" x14ac:dyDescent="0.2">
      <c r="C18" s="40" t="str">
        <f>IF($X18=1,COUNTIF($C$10:C17,"&gt;0")+1,"")</f>
        <v/>
      </c>
      <c r="D18" s="41"/>
      <c r="E18" s="41" t="s">
        <v>157</v>
      </c>
      <c r="F18" s="42" t="s">
        <v>195</v>
      </c>
      <c r="G18" s="41" t="s">
        <v>191</v>
      </c>
      <c r="H18" s="41" t="s">
        <v>196</v>
      </c>
      <c r="I18" s="41" t="s">
        <v>197</v>
      </c>
      <c r="J18" s="41" t="s">
        <v>51</v>
      </c>
      <c r="K18" s="41" t="s">
        <v>85</v>
      </c>
      <c r="L18" s="43">
        <v>29067</v>
      </c>
      <c r="M18" s="41">
        <v>46</v>
      </c>
      <c r="N18" s="41" t="s">
        <v>198</v>
      </c>
      <c r="O18" s="43">
        <v>49036</v>
      </c>
      <c r="P18" s="41" t="s">
        <v>2</v>
      </c>
      <c r="Q18" s="41"/>
      <c r="R18" s="57">
        <v>45913</v>
      </c>
      <c r="S18" s="58">
        <v>45918</v>
      </c>
      <c r="T18" s="59">
        <f t="shared" si="0"/>
        <v>5</v>
      </c>
      <c r="U18" s="41">
        <v>1</v>
      </c>
      <c r="V18" s="41">
        <v>1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/>
      <c r="AC18" s="43">
        <v>45912</v>
      </c>
      <c r="AD18" s="44">
        <v>0.78125</v>
      </c>
      <c r="AE18" s="41" t="s">
        <v>86</v>
      </c>
      <c r="AF18" s="43">
        <v>45918</v>
      </c>
      <c r="AG18" s="44">
        <v>0.73958333333575865</v>
      </c>
      <c r="AH18" s="41" t="s">
        <v>111</v>
      </c>
      <c r="AI18" s="41" t="s">
        <v>162</v>
      </c>
      <c r="AJ18" s="41" t="s">
        <v>54</v>
      </c>
      <c r="AK18" s="41" t="s">
        <v>54</v>
      </c>
      <c r="AL18" s="41" t="s">
        <v>164</v>
      </c>
      <c r="AM18" s="45" t="s">
        <v>55</v>
      </c>
      <c r="AN18" s="45" t="s">
        <v>170</v>
      </c>
      <c r="AO18" s="45"/>
      <c r="AP18" s="46"/>
    </row>
    <row r="19" spans="3:42" ht="14.25" customHeight="1" x14ac:dyDescent="0.2">
      <c r="C19" s="40">
        <f>IF($X19=1,COUNTIF($C$10:C18,"&gt;0")+1,"")</f>
        <v>6</v>
      </c>
      <c r="D19" s="41">
        <v>15262310</v>
      </c>
      <c r="E19" s="41" t="s">
        <v>157</v>
      </c>
      <c r="F19" s="42" t="s">
        <v>199</v>
      </c>
      <c r="G19" s="41" t="s">
        <v>199</v>
      </c>
      <c r="H19" s="41" t="s">
        <v>200</v>
      </c>
      <c r="I19" s="41" t="s">
        <v>201</v>
      </c>
      <c r="J19" s="41" t="s">
        <v>56</v>
      </c>
      <c r="K19" s="41" t="s">
        <v>85</v>
      </c>
      <c r="L19" s="43">
        <v>24256</v>
      </c>
      <c r="M19" s="41">
        <v>59</v>
      </c>
      <c r="N19" s="41" t="s">
        <v>202</v>
      </c>
      <c r="O19" s="43">
        <v>46855</v>
      </c>
      <c r="P19" s="41" t="s">
        <v>2</v>
      </c>
      <c r="Q19" s="41"/>
      <c r="R19" s="57">
        <v>45913</v>
      </c>
      <c r="S19" s="58">
        <v>45918</v>
      </c>
      <c r="T19" s="59">
        <f t="shared" si="0"/>
        <v>5</v>
      </c>
      <c r="U19" s="41">
        <v>1</v>
      </c>
      <c r="V19" s="41">
        <v>1</v>
      </c>
      <c r="W19" s="41">
        <v>0</v>
      </c>
      <c r="X19" s="41">
        <v>1</v>
      </c>
      <c r="Y19" s="41">
        <v>0</v>
      </c>
      <c r="Z19" s="41">
        <v>1</v>
      </c>
      <c r="AA19" s="41">
        <v>0</v>
      </c>
      <c r="AB19" s="41"/>
      <c r="AC19" s="47">
        <v>45913</v>
      </c>
      <c r="AD19" s="44">
        <v>0.72916666666424135</v>
      </c>
      <c r="AE19" s="41" t="s">
        <v>91</v>
      </c>
      <c r="AF19" s="43">
        <v>45918</v>
      </c>
      <c r="AG19" s="44">
        <v>0.79513888889050577</v>
      </c>
      <c r="AH19" s="41" t="s">
        <v>81</v>
      </c>
      <c r="AI19" s="41" t="s">
        <v>162</v>
      </c>
      <c r="AJ19" s="41" t="s">
        <v>54</v>
      </c>
      <c r="AK19" s="41" t="s">
        <v>54</v>
      </c>
      <c r="AL19" s="41" t="s">
        <v>164</v>
      </c>
      <c r="AM19" s="45" t="s">
        <v>55</v>
      </c>
      <c r="AN19" s="45" t="s">
        <v>170</v>
      </c>
      <c r="AO19" s="45"/>
      <c r="AP19" s="46"/>
    </row>
    <row r="20" spans="3:42" ht="14.25" customHeight="1" x14ac:dyDescent="0.2">
      <c r="C20" s="40" t="str">
        <f>IF($X20=1,COUNTIF($C$10:C19,"&gt;0")+1,"")</f>
        <v/>
      </c>
      <c r="D20" s="41"/>
      <c r="E20" s="41" t="s">
        <v>157</v>
      </c>
      <c r="F20" s="42" t="s">
        <v>203</v>
      </c>
      <c r="G20" s="41" t="s">
        <v>199</v>
      </c>
      <c r="H20" s="41" t="s">
        <v>204</v>
      </c>
      <c r="I20" s="41" t="s">
        <v>205</v>
      </c>
      <c r="J20" s="41" t="s">
        <v>56</v>
      </c>
      <c r="K20" s="41" t="s">
        <v>52</v>
      </c>
      <c r="L20" s="43">
        <v>26083</v>
      </c>
      <c r="M20" s="41">
        <v>54</v>
      </c>
      <c r="N20" s="41" t="s">
        <v>206</v>
      </c>
      <c r="O20" s="43">
        <v>48191</v>
      </c>
      <c r="P20" s="41" t="s">
        <v>2</v>
      </c>
      <c r="Q20" s="41"/>
      <c r="R20" s="57">
        <v>45913</v>
      </c>
      <c r="S20" s="58">
        <v>45918</v>
      </c>
      <c r="T20" s="59">
        <f t="shared" si="0"/>
        <v>5</v>
      </c>
      <c r="U20" s="41">
        <v>1</v>
      </c>
      <c r="V20" s="41">
        <v>1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/>
      <c r="AC20" s="43">
        <v>45913</v>
      </c>
      <c r="AD20" s="44">
        <v>0.67013888889050577</v>
      </c>
      <c r="AE20" s="41" t="s">
        <v>70</v>
      </c>
      <c r="AF20" s="43">
        <v>45918</v>
      </c>
      <c r="AG20" s="44">
        <v>0.73958333333575865</v>
      </c>
      <c r="AH20" s="41" t="s">
        <v>111</v>
      </c>
      <c r="AI20" s="41" t="s">
        <v>162</v>
      </c>
      <c r="AJ20" s="41" t="s">
        <v>54</v>
      </c>
      <c r="AK20" s="41" t="s">
        <v>54</v>
      </c>
      <c r="AL20" s="41" t="s">
        <v>164</v>
      </c>
      <c r="AM20" s="45" t="s">
        <v>55</v>
      </c>
      <c r="AN20" s="45" t="s">
        <v>170</v>
      </c>
      <c r="AO20" s="45"/>
      <c r="AP20" s="46"/>
    </row>
    <row r="21" spans="3:42" ht="14.25" customHeight="1" x14ac:dyDescent="0.2">
      <c r="C21" s="40">
        <f>IF($X21=1,COUNTIF($C$10:C20,"&gt;0")+1,"")</f>
        <v>7</v>
      </c>
      <c r="D21" s="41">
        <v>15262311</v>
      </c>
      <c r="E21" s="41" t="s">
        <v>157</v>
      </c>
      <c r="F21" s="42" t="s">
        <v>207</v>
      </c>
      <c r="G21" s="41" t="s">
        <v>207</v>
      </c>
      <c r="H21" s="41" t="s">
        <v>208</v>
      </c>
      <c r="I21" s="41" t="s">
        <v>209</v>
      </c>
      <c r="J21" s="41" t="s">
        <v>51</v>
      </c>
      <c r="K21" s="41" t="s">
        <v>85</v>
      </c>
      <c r="L21" s="43">
        <v>32976</v>
      </c>
      <c r="M21" s="41">
        <v>35</v>
      </c>
      <c r="N21" s="41" t="s">
        <v>210</v>
      </c>
      <c r="O21" s="43">
        <v>48651</v>
      </c>
      <c r="P21" s="41" t="s">
        <v>2</v>
      </c>
      <c r="Q21" s="41"/>
      <c r="R21" s="57">
        <v>45913</v>
      </c>
      <c r="S21" s="58">
        <v>45918</v>
      </c>
      <c r="T21" s="59">
        <f t="shared" si="0"/>
        <v>5</v>
      </c>
      <c r="U21" s="41">
        <v>1</v>
      </c>
      <c r="V21" s="41">
        <v>1</v>
      </c>
      <c r="W21" s="41">
        <v>0</v>
      </c>
      <c r="X21" s="41">
        <v>1</v>
      </c>
      <c r="Y21" s="41">
        <v>0</v>
      </c>
      <c r="Z21" s="41">
        <v>1</v>
      </c>
      <c r="AA21" s="41">
        <v>0</v>
      </c>
      <c r="AB21" s="41"/>
      <c r="AC21" s="43">
        <v>45912</v>
      </c>
      <c r="AD21" s="44">
        <v>0.72222222221898846</v>
      </c>
      <c r="AE21" s="41" t="s">
        <v>211</v>
      </c>
      <c r="AF21" s="43">
        <v>45918</v>
      </c>
      <c r="AG21" s="44">
        <v>0.78125</v>
      </c>
      <c r="AH21" s="41" t="s">
        <v>109</v>
      </c>
      <c r="AI21" s="41" t="s">
        <v>162</v>
      </c>
      <c r="AJ21" s="41" t="s">
        <v>54</v>
      </c>
      <c r="AK21" s="41" t="s">
        <v>54</v>
      </c>
      <c r="AL21" s="41" t="s">
        <v>164</v>
      </c>
      <c r="AM21" s="45" t="s">
        <v>55</v>
      </c>
      <c r="AN21" s="45" t="s">
        <v>170</v>
      </c>
      <c r="AO21" s="45"/>
      <c r="AP21" s="46"/>
    </row>
    <row r="22" spans="3:42" ht="14.25" customHeight="1" x14ac:dyDescent="0.2">
      <c r="C22" s="40" t="str">
        <f>IF($X22=1,COUNTIF($C$10:C21,"&gt;0")+1,"")</f>
        <v/>
      </c>
      <c r="D22" s="41"/>
      <c r="E22" s="41" t="s">
        <v>157</v>
      </c>
      <c r="F22" s="42" t="s">
        <v>212</v>
      </c>
      <c r="G22" s="41" t="s">
        <v>207</v>
      </c>
      <c r="H22" s="41" t="s">
        <v>213</v>
      </c>
      <c r="I22" s="41" t="s">
        <v>209</v>
      </c>
      <c r="J22" s="41" t="s">
        <v>56</v>
      </c>
      <c r="K22" s="41" t="s">
        <v>214</v>
      </c>
      <c r="L22" s="43">
        <v>34481</v>
      </c>
      <c r="M22" s="41">
        <v>31</v>
      </c>
      <c r="N22" s="41" t="s">
        <v>215</v>
      </c>
      <c r="O22" s="43">
        <v>49324</v>
      </c>
      <c r="P22" s="41" t="s">
        <v>2</v>
      </c>
      <c r="Q22" s="41"/>
      <c r="R22" s="57">
        <v>45913</v>
      </c>
      <c r="S22" s="58">
        <v>45918</v>
      </c>
      <c r="T22" s="59">
        <f t="shared" si="0"/>
        <v>5</v>
      </c>
      <c r="U22" s="41">
        <v>1</v>
      </c>
      <c r="V22" s="41">
        <v>1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/>
      <c r="AC22" s="43">
        <v>45912</v>
      </c>
      <c r="AD22" s="44">
        <v>0.72222222221898846</v>
      </c>
      <c r="AE22" s="41" t="s">
        <v>211</v>
      </c>
      <c r="AF22" s="43">
        <v>45918</v>
      </c>
      <c r="AG22" s="44">
        <v>0.78125</v>
      </c>
      <c r="AH22" s="41" t="s">
        <v>109</v>
      </c>
      <c r="AI22" s="41" t="s">
        <v>162</v>
      </c>
      <c r="AJ22" s="41" t="s">
        <v>54</v>
      </c>
      <c r="AK22" s="41" t="s">
        <v>54</v>
      </c>
      <c r="AL22" s="41" t="s">
        <v>164</v>
      </c>
      <c r="AM22" s="45" t="s">
        <v>55</v>
      </c>
      <c r="AN22" s="45" t="s">
        <v>170</v>
      </c>
      <c r="AO22" s="45"/>
      <c r="AP22" s="46"/>
    </row>
    <row r="23" spans="3:42" ht="14.25" customHeight="1" x14ac:dyDescent="0.2">
      <c r="C23" s="40" t="str">
        <f>IF($X23=1,COUNTIF($C$10:C22,"&gt;0")+1,"")</f>
        <v/>
      </c>
      <c r="D23" s="41"/>
      <c r="E23" s="41" t="s">
        <v>157</v>
      </c>
      <c r="F23" s="42" t="s">
        <v>216</v>
      </c>
      <c r="G23" s="41" t="s">
        <v>207</v>
      </c>
      <c r="H23" s="41" t="s">
        <v>217</v>
      </c>
      <c r="I23" s="41" t="s">
        <v>209</v>
      </c>
      <c r="J23" s="41" t="s">
        <v>51</v>
      </c>
      <c r="K23" s="41" t="s">
        <v>85</v>
      </c>
      <c r="L23" s="43">
        <v>45522</v>
      </c>
      <c r="M23" s="41">
        <v>1</v>
      </c>
      <c r="N23" s="41" t="s">
        <v>218</v>
      </c>
      <c r="O23" s="43">
        <v>47479</v>
      </c>
      <c r="P23" s="41" t="s">
        <v>2</v>
      </c>
      <c r="Q23" s="41"/>
      <c r="R23" s="57">
        <v>45913</v>
      </c>
      <c r="S23" s="58">
        <v>45918</v>
      </c>
      <c r="T23" s="59">
        <f t="shared" si="0"/>
        <v>5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/>
      <c r="AC23" s="43">
        <v>45912</v>
      </c>
      <c r="AD23" s="44">
        <v>0.72222222221898846</v>
      </c>
      <c r="AE23" s="41" t="s">
        <v>211</v>
      </c>
      <c r="AF23" s="43">
        <v>45918</v>
      </c>
      <c r="AG23" s="44">
        <v>0.78125</v>
      </c>
      <c r="AH23" s="41" t="s">
        <v>109</v>
      </c>
      <c r="AI23" s="41" t="s">
        <v>162</v>
      </c>
      <c r="AJ23" s="41" t="s">
        <v>54</v>
      </c>
      <c r="AK23" s="41" t="s">
        <v>54</v>
      </c>
      <c r="AL23" s="41" t="s">
        <v>164</v>
      </c>
      <c r="AM23" s="45" t="s">
        <v>55</v>
      </c>
      <c r="AN23" s="45" t="s">
        <v>170</v>
      </c>
      <c r="AO23" s="45"/>
      <c r="AP23" s="46"/>
    </row>
    <row r="24" spans="3:42" ht="14.25" customHeight="1" x14ac:dyDescent="0.2">
      <c r="C24" s="40">
        <f>IF($X24=1,COUNTIF($C$10:C23,"&gt;0")+1,"")</f>
        <v>8</v>
      </c>
      <c r="D24" s="41">
        <v>15262312</v>
      </c>
      <c r="E24" s="41" t="s">
        <v>157</v>
      </c>
      <c r="F24" s="42" t="s">
        <v>219</v>
      </c>
      <c r="G24" s="41" t="s">
        <v>219</v>
      </c>
      <c r="H24" s="41" t="s">
        <v>220</v>
      </c>
      <c r="I24" s="41" t="s">
        <v>221</v>
      </c>
      <c r="J24" s="41" t="s">
        <v>51</v>
      </c>
      <c r="K24" s="41" t="s">
        <v>85</v>
      </c>
      <c r="L24" s="43">
        <v>35054</v>
      </c>
      <c r="M24" s="41">
        <v>29</v>
      </c>
      <c r="N24" s="41" t="s">
        <v>222</v>
      </c>
      <c r="O24" s="43">
        <v>48841</v>
      </c>
      <c r="P24" s="41" t="s">
        <v>3</v>
      </c>
      <c r="Q24" s="41"/>
      <c r="R24" s="57">
        <v>45913</v>
      </c>
      <c r="S24" s="58">
        <v>45918</v>
      </c>
      <c r="T24" s="59">
        <f t="shared" si="0"/>
        <v>5</v>
      </c>
      <c r="U24" s="41">
        <v>1</v>
      </c>
      <c r="V24" s="41">
        <v>1</v>
      </c>
      <c r="W24" s="41">
        <v>0</v>
      </c>
      <c r="X24" s="41">
        <v>1</v>
      </c>
      <c r="Y24" s="41">
        <v>0</v>
      </c>
      <c r="Z24" s="41">
        <v>0</v>
      </c>
      <c r="AA24" s="41">
        <v>1</v>
      </c>
      <c r="AB24" s="41"/>
      <c r="AC24" s="43">
        <v>45913</v>
      </c>
      <c r="AD24" s="44">
        <v>0.78125</v>
      </c>
      <c r="AE24" s="41" t="s">
        <v>86</v>
      </c>
      <c r="AF24" s="43">
        <v>45918</v>
      </c>
      <c r="AG24" s="44">
        <v>0.5</v>
      </c>
      <c r="AH24" s="41" t="s">
        <v>145</v>
      </c>
      <c r="AI24" s="41" t="s">
        <v>162</v>
      </c>
      <c r="AJ24" s="41" t="s">
        <v>54</v>
      </c>
      <c r="AK24" s="41" t="s">
        <v>54</v>
      </c>
      <c r="AL24" s="41" t="s">
        <v>164</v>
      </c>
      <c r="AM24" s="45" t="s">
        <v>55</v>
      </c>
      <c r="AN24" s="45" t="s">
        <v>186</v>
      </c>
      <c r="AO24" s="45" t="s">
        <v>79</v>
      </c>
      <c r="AP24" s="46"/>
    </row>
    <row r="25" spans="3:42" ht="14.25" customHeight="1" x14ac:dyDescent="0.2">
      <c r="C25" s="40" t="str">
        <f>IF($X25=1,COUNTIF($C$10:C24,"&gt;0")+1,"")</f>
        <v/>
      </c>
      <c r="D25" s="41"/>
      <c r="E25" s="41" t="s">
        <v>157</v>
      </c>
      <c r="F25" s="42" t="s">
        <v>223</v>
      </c>
      <c r="G25" s="41" t="s">
        <v>219</v>
      </c>
      <c r="H25" s="41" t="s">
        <v>224</v>
      </c>
      <c r="I25" s="41" t="s">
        <v>225</v>
      </c>
      <c r="J25" s="41" t="s">
        <v>51</v>
      </c>
      <c r="K25" s="41" t="s">
        <v>214</v>
      </c>
      <c r="L25" s="43">
        <v>34621</v>
      </c>
      <c r="M25" s="41">
        <v>30</v>
      </c>
      <c r="N25" s="41" t="s">
        <v>226</v>
      </c>
      <c r="O25" s="43">
        <v>46501</v>
      </c>
      <c r="P25" s="41" t="s">
        <v>3</v>
      </c>
      <c r="Q25" s="41"/>
      <c r="R25" s="57">
        <v>45913</v>
      </c>
      <c r="S25" s="58">
        <v>45918</v>
      </c>
      <c r="T25" s="59">
        <f t="shared" si="0"/>
        <v>5</v>
      </c>
      <c r="U25" s="41">
        <v>1</v>
      </c>
      <c r="V25" s="41">
        <v>1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/>
      <c r="AC25" s="43">
        <v>45913</v>
      </c>
      <c r="AD25" s="44">
        <v>0.78125</v>
      </c>
      <c r="AE25" s="41" t="s">
        <v>86</v>
      </c>
      <c r="AF25" s="43">
        <v>45918</v>
      </c>
      <c r="AG25" s="44">
        <v>0.86458333333575865</v>
      </c>
      <c r="AH25" s="41" t="s">
        <v>87</v>
      </c>
      <c r="AI25" s="41" t="s">
        <v>162</v>
      </c>
      <c r="AJ25" s="41" t="s">
        <v>54</v>
      </c>
      <c r="AK25" s="41" t="s">
        <v>54</v>
      </c>
      <c r="AL25" s="41" t="s">
        <v>164</v>
      </c>
      <c r="AM25" s="45" t="s">
        <v>55</v>
      </c>
      <c r="AN25" s="45" t="s">
        <v>186</v>
      </c>
      <c r="AO25" s="45" t="s">
        <v>79</v>
      </c>
      <c r="AP25" s="46"/>
    </row>
    <row r="26" spans="3:42" ht="14.25" customHeight="1" x14ac:dyDescent="0.2">
      <c r="C26" s="40">
        <f>IF($X26=1,COUNTIF($C$10:C25,"&gt;0")+1,"")</f>
        <v>9</v>
      </c>
      <c r="D26" s="41">
        <v>15262313</v>
      </c>
      <c r="E26" s="41" t="s">
        <v>157</v>
      </c>
      <c r="F26" s="42" t="s">
        <v>227</v>
      </c>
      <c r="G26" s="41" t="s">
        <v>227</v>
      </c>
      <c r="H26" s="41" t="s">
        <v>228</v>
      </c>
      <c r="I26" s="41" t="s">
        <v>229</v>
      </c>
      <c r="J26" s="41" t="s">
        <v>51</v>
      </c>
      <c r="K26" s="41" t="s">
        <v>85</v>
      </c>
      <c r="L26" s="43">
        <v>25615</v>
      </c>
      <c r="M26" s="41">
        <v>55</v>
      </c>
      <c r="N26" s="41" t="s">
        <v>230</v>
      </c>
      <c r="O26" s="43">
        <v>46137</v>
      </c>
      <c r="P26" s="41" t="s">
        <v>2</v>
      </c>
      <c r="Q26" s="41"/>
      <c r="R26" s="57">
        <v>45913</v>
      </c>
      <c r="S26" s="58">
        <v>45918</v>
      </c>
      <c r="T26" s="59">
        <f t="shared" si="0"/>
        <v>5</v>
      </c>
      <c r="U26" s="41">
        <v>1</v>
      </c>
      <c r="V26" s="41">
        <v>1</v>
      </c>
      <c r="W26" s="41">
        <v>0</v>
      </c>
      <c r="X26" s="41">
        <v>1</v>
      </c>
      <c r="Y26" s="41">
        <v>0</v>
      </c>
      <c r="Z26" s="41">
        <v>1</v>
      </c>
      <c r="AA26" s="41">
        <v>0</v>
      </c>
      <c r="AB26" s="41"/>
      <c r="AC26" s="43">
        <v>45913</v>
      </c>
      <c r="AD26" s="44">
        <v>0.78125</v>
      </c>
      <c r="AE26" s="41" t="s">
        <v>86</v>
      </c>
      <c r="AF26" s="43">
        <v>45918</v>
      </c>
      <c r="AG26" s="44">
        <v>0.86458333333575865</v>
      </c>
      <c r="AH26" s="41" t="s">
        <v>87</v>
      </c>
      <c r="AI26" s="41" t="s">
        <v>162</v>
      </c>
      <c r="AJ26" s="41" t="s">
        <v>54</v>
      </c>
      <c r="AK26" s="41" t="s">
        <v>54</v>
      </c>
      <c r="AL26" s="41" t="s">
        <v>164</v>
      </c>
      <c r="AM26" s="45" t="s">
        <v>55</v>
      </c>
      <c r="AN26" s="45" t="s">
        <v>170</v>
      </c>
      <c r="AO26" s="45" t="s">
        <v>79</v>
      </c>
      <c r="AP26" s="46"/>
    </row>
    <row r="27" spans="3:42" ht="14.25" customHeight="1" x14ac:dyDescent="0.2">
      <c r="C27" s="40" t="str">
        <f>IF($X27=1,COUNTIF($C$10:C26,"&gt;0")+1,"")</f>
        <v/>
      </c>
      <c r="D27" s="41"/>
      <c r="E27" s="41" t="s">
        <v>157</v>
      </c>
      <c r="F27" s="42" t="s">
        <v>231</v>
      </c>
      <c r="G27" s="41" t="s">
        <v>227</v>
      </c>
      <c r="H27" s="41" t="s">
        <v>232</v>
      </c>
      <c r="I27" s="41" t="s">
        <v>229</v>
      </c>
      <c r="J27" s="41" t="s">
        <v>56</v>
      </c>
      <c r="K27" s="41" t="s">
        <v>85</v>
      </c>
      <c r="L27" s="43">
        <v>28461</v>
      </c>
      <c r="M27" s="41">
        <v>47</v>
      </c>
      <c r="N27" s="41" t="s">
        <v>233</v>
      </c>
      <c r="O27" s="43">
        <v>46427</v>
      </c>
      <c r="P27" s="41" t="s">
        <v>2</v>
      </c>
      <c r="Q27" s="41"/>
      <c r="R27" s="57">
        <v>45913</v>
      </c>
      <c r="S27" s="58">
        <v>45918</v>
      </c>
      <c r="T27" s="59">
        <f t="shared" si="0"/>
        <v>5</v>
      </c>
      <c r="U27" s="41">
        <v>1</v>
      </c>
      <c r="V27" s="41">
        <v>1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/>
      <c r="AC27" s="43">
        <v>45913</v>
      </c>
      <c r="AD27" s="44">
        <v>0.78125</v>
      </c>
      <c r="AE27" s="41" t="s">
        <v>86</v>
      </c>
      <c r="AF27" s="43">
        <v>45918</v>
      </c>
      <c r="AG27" s="44">
        <v>0.86458333333575865</v>
      </c>
      <c r="AH27" s="41" t="s">
        <v>87</v>
      </c>
      <c r="AI27" s="41" t="s">
        <v>162</v>
      </c>
      <c r="AJ27" s="41" t="s">
        <v>54</v>
      </c>
      <c r="AK27" s="41" t="s">
        <v>54</v>
      </c>
      <c r="AL27" s="41" t="s">
        <v>164</v>
      </c>
      <c r="AM27" s="45" t="s">
        <v>55</v>
      </c>
      <c r="AN27" s="45" t="s">
        <v>170</v>
      </c>
      <c r="AO27" s="45" t="s">
        <v>79</v>
      </c>
      <c r="AP27" s="46"/>
    </row>
    <row r="28" spans="3:42" ht="14.25" customHeight="1" x14ac:dyDescent="0.2">
      <c r="C28" s="40">
        <f>IF($X28=1,COUNTIF($C$10:C27,"&gt;0")+1,"")</f>
        <v>10</v>
      </c>
      <c r="D28" s="41">
        <v>15262314</v>
      </c>
      <c r="E28" s="41" t="s">
        <v>157</v>
      </c>
      <c r="F28" s="42" t="s">
        <v>234</v>
      </c>
      <c r="G28" s="41" t="s">
        <v>234</v>
      </c>
      <c r="H28" s="41" t="s">
        <v>235</v>
      </c>
      <c r="I28" s="41" t="s">
        <v>236</v>
      </c>
      <c r="J28" s="41" t="s">
        <v>56</v>
      </c>
      <c r="K28" s="41" t="s">
        <v>52</v>
      </c>
      <c r="L28" s="43">
        <v>22368</v>
      </c>
      <c r="M28" s="41">
        <v>64</v>
      </c>
      <c r="N28" s="41" t="s">
        <v>237</v>
      </c>
      <c r="O28" s="43">
        <v>46804</v>
      </c>
      <c r="P28" s="41" t="s">
        <v>2</v>
      </c>
      <c r="Q28" s="41"/>
      <c r="R28" s="57">
        <v>45913</v>
      </c>
      <c r="S28" s="58">
        <v>45918</v>
      </c>
      <c r="T28" s="59">
        <f t="shared" si="0"/>
        <v>5</v>
      </c>
      <c r="U28" s="41">
        <v>1</v>
      </c>
      <c r="V28" s="41">
        <v>1</v>
      </c>
      <c r="W28" s="41">
        <v>0</v>
      </c>
      <c r="X28" s="41">
        <v>1</v>
      </c>
      <c r="Y28" s="41">
        <v>0</v>
      </c>
      <c r="Z28" s="41">
        <v>1</v>
      </c>
      <c r="AA28" s="41">
        <v>0</v>
      </c>
      <c r="AB28" s="41"/>
      <c r="AC28" s="43">
        <v>45913</v>
      </c>
      <c r="AD28" s="44">
        <v>0.59027777778101154</v>
      </c>
      <c r="AE28" s="41" t="s">
        <v>89</v>
      </c>
      <c r="AF28" s="43">
        <v>45921</v>
      </c>
      <c r="AG28" s="44">
        <v>0.68402777778101154</v>
      </c>
      <c r="AH28" s="41" t="s">
        <v>75</v>
      </c>
      <c r="AI28" s="41" t="s">
        <v>162</v>
      </c>
      <c r="AJ28" s="41" t="s">
        <v>54</v>
      </c>
      <c r="AK28" s="41" t="s">
        <v>54</v>
      </c>
      <c r="AL28" s="41" t="s">
        <v>164</v>
      </c>
      <c r="AM28" s="45" t="s">
        <v>55</v>
      </c>
      <c r="AN28" s="45" t="s">
        <v>170</v>
      </c>
      <c r="AO28" s="45"/>
      <c r="AP28" s="46"/>
    </row>
    <row r="29" spans="3:42" ht="14.25" customHeight="1" x14ac:dyDescent="0.2">
      <c r="C29" s="40" t="str">
        <f>IF($X29=1,COUNTIF($C$10:C28,"&gt;0")+1,"")</f>
        <v/>
      </c>
      <c r="D29" s="41"/>
      <c r="E29" s="41" t="s">
        <v>157</v>
      </c>
      <c r="F29" s="42" t="s">
        <v>238</v>
      </c>
      <c r="G29" s="41" t="s">
        <v>234</v>
      </c>
      <c r="H29" s="41" t="s">
        <v>239</v>
      </c>
      <c r="I29" s="41" t="s">
        <v>236</v>
      </c>
      <c r="J29" s="41" t="s">
        <v>51</v>
      </c>
      <c r="K29" s="41" t="s">
        <v>52</v>
      </c>
      <c r="L29" s="43">
        <v>20584</v>
      </c>
      <c r="M29" s="41">
        <v>69</v>
      </c>
      <c r="N29" s="41" t="s">
        <v>240</v>
      </c>
      <c r="O29" s="43">
        <v>46837</v>
      </c>
      <c r="P29" s="41" t="s">
        <v>2</v>
      </c>
      <c r="Q29" s="41"/>
      <c r="R29" s="57">
        <v>45913</v>
      </c>
      <c r="S29" s="58">
        <v>45918</v>
      </c>
      <c r="T29" s="59">
        <f t="shared" si="0"/>
        <v>5</v>
      </c>
      <c r="U29" s="41">
        <v>1</v>
      </c>
      <c r="V29" s="41">
        <v>1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/>
      <c r="AC29" s="43">
        <v>45913</v>
      </c>
      <c r="AD29" s="44">
        <v>0.59027777778101154</v>
      </c>
      <c r="AE29" s="41" t="s">
        <v>89</v>
      </c>
      <c r="AF29" s="43">
        <v>45921</v>
      </c>
      <c r="AG29" s="44">
        <v>0.68402777778101154</v>
      </c>
      <c r="AH29" s="41" t="s">
        <v>75</v>
      </c>
      <c r="AI29" s="41" t="s">
        <v>162</v>
      </c>
      <c r="AJ29" s="41" t="s">
        <v>54</v>
      </c>
      <c r="AK29" s="41" t="s">
        <v>54</v>
      </c>
      <c r="AL29" s="41" t="s">
        <v>164</v>
      </c>
      <c r="AM29" s="45" t="s">
        <v>55</v>
      </c>
      <c r="AN29" s="45" t="s">
        <v>170</v>
      </c>
      <c r="AO29" s="45"/>
      <c r="AP29" s="46"/>
    </row>
    <row r="30" spans="3:42" ht="14.25" customHeight="1" x14ac:dyDescent="0.2">
      <c r="C30" s="40">
        <f>IF($X30=1,COUNTIF($C$10:C29,"&gt;0")+1,"")</f>
        <v>11</v>
      </c>
      <c r="D30" s="41">
        <v>15262315</v>
      </c>
      <c r="E30" s="41" t="s">
        <v>157</v>
      </c>
      <c r="F30" s="42" t="s">
        <v>241</v>
      </c>
      <c r="G30" s="41" t="s">
        <v>234</v>
      </c>
      <c r="H30" s="41" t="s">
        <v>242</v>
      </c>
      <c r="I30" s="41" t="s">
        <v>243</v>
      </c>
      <c r="J30" s="41" t="s">
        <v>51</v>
      </c>
      <c r="K30" s="41" t="s">
        <v>52</v>
      </c>
      <c r="L30" s="43">
        <v>27084</v>
      </c>
      <c r="M30" s="41">
        <v>51</v>
      </c>
      <c r="N30" s="41" t="s">
        <v>244</v>
      </c>
      <c r="O30" s="43">
        <v>46980</v>
      </c>
      <c r="P30" s="41" t="s">
        <v>2</v>
      </c>
      <c r="Q30" s="41"/>
      <c r="R30" s="57">
        <v>45913</v>
      </c>
      <c r="S30" s="58">
        <v>45918</v>
      </c>
      <c r="T30" s="59">
        <f t="shared" si="0"/>
        <v>5</v>
      </c>
      <c r="U30" s="41">
        <v>1</v>
      </c>
      <c r="V30" s="41">
        <v>1</v>
      </c>
      <c r="W30" s="41">
        <v>0</v>
      </c>
      <c r="X30" s="41">
        <v>1</v>
      </c>
      <c r="Y30" s="41">
        <v>0</v>
      </c>
      <c r="Z30" s="41">
        <v>1</v>
      </c>
      <c r="AA30" s="41">
        <v>0</v>
      </c>
      <c r="AB30" s="41"/>
      <c r="AC30" s="43">
        <v>45913</v>
      </c>
      <c r="AD30" s="44">
        <v>0.625</v>
      </c>
      <c r="AE30" s="41" t="s">
        <v>57</v>
      </c>
      <c r="AF30" s="43">
        <v>45921</v>
      </c>
      <c r="AG30" s="44">
        <v>0.47916666666424135</v>
      </c>
      <c r="AH30" s="41" t="s">
        <v>67</v>
      </c>
      <c r="AI30" s="41" t="s">
        <v>162</v>
      </c>
      <c r="AJ30" s="41" t="s">
        <v>54</v>
      </c>
      <c r="AK30" s="41" t="s">
        <v>54</v>
      </c>
      <c r="AL30" s="41" t="s">
        <v>164</v>
      </c>
      <c r="AM30" s="45" t="s">
        <v>55</v>
      </c>
      <c r="AN30" s="45" t="s">
        <v>170</v>
      </c>
      <c r="AO30" s="45"/>
      <c r="AP30" s="46"/>
    </row>
    <row r="31" spans="3:42" ht="14.25" customHeight="1" x14ac:dyDescent="0.2">
      <c r="C31" s="40" t="str">
        <f>IF($X31=1,COUNTIF($C$10:C30,"&gt;0")+1,"")</f>
        <v/>
      </c>
      <c r="D31" s="41"/>
      <c r="E31" s="41" t="s">
        <v>157</v>
      </c>
      <c r="F31" s="42" t="s">
        <v>245</v>
      </c>
      <c r="G31" s="41" t="s">
        <v>234</v>
      </c>
      <c r="H31" s="41" t="s">
        <v>246</v>
      </c>
      <c r="I31" s="41" t="s">
        <v>247</v>
      </c>
      <c r="J31" s="41" t="s">
        <v>56</v>
      </c>
      <c r="K31" s="41" t="s">
        <v>52</v>
      </c>
      <c r="L31" s="43">
        <v>27875</v>
      </c>
      <c r="M31" s="41">
        <v>49</v>
      </c>
      <c r="N31" s="41" t="s">
        <v>248</v>
      </c>
      <c r="O31" s="43">
        <v>46980</v>
      </c>
      <c r="P31" s="41" t="s">
        <v>2</v>
      </c>
      <c r="Q31" s="41"/>
      <c r="R31" s="57">
        <v>45913</v>
      </c>
      <c r="S31" s="58">
        <v>45918</v>
      </c>
      <c r="T31" s="59">
        <f t="shared" si="0"/>
        <v>5</v>
      </c>
      <c r="U31" s="41">
        <v>1</v>
      </c>
      <c r="V31" s="41">
        <v>1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/>
      <c r="AC31" s="43">
        <v>45913</v>
      </c>
      <c r="AD31" s="44">
        <v>0.625</v>
      </c>
      <c r="AE31" s="41" t="s">
        <v>57</v>
      </c>
      <c r="AF31" s="43">
        <v>45921</v>
      </c>
      <c r="AG31" s="44">
        <v>0.47916666666424135</v>
      </c>
      <c r="AH31" s="41" t="s">
        <v>67</v>
      </c>
      <c r="AI31" s="41" t="s">
        <v>162</v>
      </c>
      <c r="AJ31" s="41" t="s">
        <v>54</v>
      </c>
      <c r="AK31" s="41" t="s">
        <v>54</v>
      </c>
      <c r="AL31" s="41" t="s">
        <v>164</v>
      </c>
      <c r="AM31" s="45" t="s">
        <v>55</v>
      </c>
      <c r="AN31" s="45" t="s">
        <v>170</v>
      </c>
      <c r="AO31" s="45"/>
      <c r="AP31" s="46"/>
    </row>
    <row r="32" spans="3:42" ht="14.25" customHeight="1" x14ac:dyDescent="0.2">
      <c r="C32" s="40">
        <f>IF($X32=1,COUNTIF($C$10:C31,"&gt;0")+1,"")</f>
        <v>12</v>
      </c>
      <c r="D32" s="41">
        <v>15262316</v>
      </c>
      <c r="E32" s="41" t="s">
        <v>157</v>
      </c>
      <c r="F32" s="42" t="s">
        <v>249</v>
      </c>
      <c r="G32" s="41" t="s">
        <v>234</v>
      </c>
      <c r="H32" s="41" t="s">
        <v>250</v>
      </c>
      <c r="I32" s="41" t="s">
        <v>251</v>
      </c>
      <c r="J32" s="41" t="s">
        <v>56</v>
      </c>
      <c r="K32" s="41" t="s">
        <v>52</v>
      </c>
      <c r="L32" s="43">
        <v>23105</v>
      </c>
      <c r="M32" s="41">
        <v>62</v>
      </c>
      <c r="N32" s="41" t="s">
        <v>252</v>
      </c>
      <c r="O32" s="43">
        <v>47253</v>
      </c>
      <c r="P32" s="41" t="s">
        <v>3</v>
      </c>
      <c r="Q32" s="41"/>
      <c r="R32" s="57">
        <v>45913</v>
      </c>
      <c r="S32" s="58">
        <v>45918</v>
      </c>
      <c r="T32" s="59">
        <f t="shared" si="0"/>
        <v>5</v>
      </c>
      <c r="U32" s="41">
        <v>1</v>
      </c>
      <c r="V32" s="41">
        <v>1</v>
      </c>
      <c r="W32" s="41">
        <v>0</v>
      </c>
      <c r="X32" s="41">
        <v>1</v>
      </c>
      <c r="Y32" s="41">
        <v>0</v>
      </c>
      <c r="Z32" s="41">
        <v>0</v>
      </c>
      <c r="AA32" s="41">
        <v>1</v>
      </c>
      <c r="AB32" s="41"/>
      <c r="AC32" s="43">
        <v>45913</v>
      </c>
      <c r="AD32" s="44">
        <v>0.625</v>
      </c>
      <c r="AE32" s="41" t="s">
        <v>57</v>
      </c>
      <c r="AF32" s="43">
        <v>45921</v>
      </c>
      <c r="AG32" s="44">
        <v>0.47916666666424135</v>
      </c>
      <c r="AH32" s="41" t="s">
        <v>67</v>
      </c>
      <c r="AI32" s="41" t="s">
        <v>162</v>
      </c>
      <c r="AJ32" s="41" t="s">
        <v>54</v>
      </c>
      <c r="AK32" s="41" t="s">
        <v>54</v>
      </c>
      <c r="AL32" s="41" t="s">
        <v>164</v>
      </c>
      <c r="AM32" s="45" t="s">
        <v>55</v>
      </c>
      <c r="AN32" s="45" t="s">
        <v>186</v>
      </c>
      <c r="AO32" s="45"/>
      <c r="AP32" s="46"/>
    </row>
    <row r="33" spans="3:42" ht="14.25" customHeight="1" x14ac:dyDescent="0.2">
      <c r="C33" s="40" t="str">
        <f>IF($X33=1,COUNTIF($C$10:C32,"&gt;0")+1,"")</f>
        <v/>
      </c>
      <c r="D33" s="41"/>
      <c r="E33" s="41" t="s">
        <v>157</v>
      </c>
      <c r="F33" s="42" t="s">
        <v>253</v>
      </c>
      <c r="G33" s="41" t="s">
        <v>234</v>
      </c>
      <c r="H33" s="41" t="s">
        <v>254</v>
      </c>
      <c r="I33" s="41" t="s">
        <v>255</v>
      </c>
      <c r="J33" s="41" t="s">
        <v>56</v>
      </c>
      <c r="K33" s="41" t="s">
        <v>52</v>
      </c>
      <c r="L33" s="43">
        <v>25799</v>
      </c>
      <c r="M33" s="41">
        <v>55</v>
      </c>
      <c r="N33" s="41" t="s">
        <v>256</v>
      </c>
      <c r="O33" s="43">
        <v>46826</v>
      </c>
      <c r="P33" s="41" t="s">
        <v>3</v>
      </c>
      <c r="Q33" s="41"/>
      <c r="R33" s="57">
        <v>45913</v>
      </c>
      <c r="S33" s="58">
        <v>45918</v>
      </c>
      <c r="T33" s="59">
        <f t="shared" si="0"/>
        <v>5</v>
      </c>
      <c r="U33" s="41">
        <v>1</v>
      </c>
      <c r="V33" s="41">
        <v>1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/>
      <c r="AC33" s="43">
        <v>45913</v>
      </c>
      <c r="AD33" s="44">
        <v>0.72222222221898846</v>
      </c>
      <c r="AE33" s="41" t="s">
        <v>62</v>
      </c>
      <c r="AF33" s="43">
        <v>45921</v>
      </c>
      <c r="AG33" s="44">
        <v>0.66666666666424135</v>
      </c>
      <c r="AH33" s="41" t="s">
        <v>63</v>
      </c>
      <c r="AI33" s="41" t="s">
        <v>162</v>
      </c>
      <c r="AJ33" s="41" t="s">
        <v>54</v>
      </c>
      <c r="AK33" s="41" t="s">
        <v>54</v>
      </c>
      <c r="AL33" s="41" t="s">
        <v>164</v>
      </c>
      <c r="AM33" s="45" t="s">
        <v>55</v>
      </c>
      <c r="AN33" s="45" t="s">
        <v>186</v>
      </c>
      <c r="AO33" s="45"/>
      <c r="AP33" s="46"/>
    </row>
    <row r="34" spans="3:42" ht="14.25" customHeight="1" x14ac:dyDescent="0.2">
      <c r="C34" s="40">
        <f>IF($X34=1,COUNTIF($C$10:C33,"&gt;0")+1,"")</f>
        <v>13</v>
      </c>
      <c r="D34" s="41">
        <v>15262317</v>
      </c>
      <c r="E34" s="41" t="s">
        <v>157</v>
      </c>
      <c r="F34" s="42" t="s">
        <v>257</v>
      </c>
      <c r="G34" s="41" t="s">
        <v>257</v>
      </c>
      <c r="H34" s="41" t="s">
        <v>258</v>
      </c>
      <c r="I34" s="41" t="s">
        <v>259</v>
      </c>
      <c r="J34" s="41" t="s">
        <v>56</v>
      </c>
      <c r="K34" s="41" t="s">
        <v>85</v>
      </c>
      <c r="L34" s="43">
        <v>26104</v>
      </c>
      <c r="M34" s="41">
        <v>54</v>
      </c>
      <c r="N34" s="41" t="s">
        <v>260</v>
      </c>
      <c r="O34" s="43">
        <v>49362</v>
      </c>
      <c r="P34" s="41" t="s">
        <v>2</v>
      </c>
      <c r="Q34" s="41"/>
      <c r="R34" s="57">
        <v>45913</v>
      </c>
      <c r="S34" s="58">
        <v>45918</v>
      </c>
      <c r="T34" s="59">
        <f t="shared" si="0"/>
        <v>5</v>
      </c>
      <c r="U34" s="41">
        <v>1</v>
      </c>
      <c r="V34" s="41">
        <v>1</v>
      </c>
      <c r="W34" s="41">
        <v>0</v>
      </c>
      <c r="X34" s="41">
        <v>1</v>
      </c>
      <c r="Y34" s="41">
        <v>0</v>
      </c>
      <c r="Z34" s="41">
        <v>1</v>
      </c>
      <c r="AA34" s="41">
        <v>0</v>
      </c>
      <c r="AB34" s="41"/>
      <c r="AC34" s="43">
        <v>45913</v>
      </c>
      <c r="AD34" s="44">
        <v>0.67013888889050577</v>
      </c>
      <c r="AE34" s="41" t="s">
        <v>70</v>
      </c>
      <c r="AF34" s="43">
        <v>45918</v>
      </c>
      <c r="AG34" s="44">
        <v>0.73958333333575865</v>
      </c>
      <c r="AH34" s="41" t="s">
        <v>111</v>
      </c>
      <c r="AI34" s="41" t="s">
        <v>162</v>
      </c>
      <c r="AJ34" s="41" t="s">
        <v>54</v>
      </c>
      <c r="AK34" s="41" t="s">
        <v>54</v>
      </c>
      <c r="AL34" s="41" t="s">
        <v>164</v>
      </c>
      <c r="AM34" s="45" t="s">
        <v>55</v>
      </c>
      <c r="AN34" s="45" t="s">
        <v>170</v>
      </c>
      <c r="AO34" s="45"/>
      <c r="AP34" s="46"/>
    </row>
    <row r="35" spans="3:42" ht="14.25" customHeight="1" x14ac:dyDescent="0.2">
      <c r="C35" s="40" t="str">
        <f>IF($X35=1,COUNTIF($C$10:C34,"&gt;0")+1,"")</f>
        <v/>
      </c>
      <c r="D35" s="41"/>
      <c r="E35" s="41" t="s">
        <v>157</v>
      </c>
      <c r="F35" s="42" t="s">
        <v>261</v>
      </c>
      <c r="G35" s="41" t="s">
        <v>257</v>
      </c>
      <c r="H35" s="41" t="s">
        <v>262</v>
      </c>
      <c r="I35" s="41" t="s">
        <v>259</v>
      </c>
      <c r="J35" s="41" t="s">
        <v>51</v>
      </c>
      <c r="K35" s="41" t="s">
        <v>85</v>
      </c>
      <c r="L35" s="43">
        <v>25225</v>
      </c>
      <c r="M35" s="41">
        <v>56</v>
      </c>
      <c r="N35" s="41" t="s">
        <v>263</v>
      </c>
      <c r="O35" s="43">
        <v>49362</v>
      </c>
      <c r="P35" s="41" t="s">
        <v>2</v>
      </c>
      <c r="Q35" s="41"/>
      <c r="R35" s="57">
        <v>45913</v>
      </c>
      <c r="S35" s="58">
        <v>45918</v>
      </c>
      <c r="T35" s="59">
        <f t="shared" si="0"/>
        <v>5</v>
      </c>
      <c r="U35" s="41">
        <v>1</v>
      </c>
      <c r="V35" s="41">
        <v>1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/>
      <c r="AC35" s="43">
        <v>45913</v>
      </c>
      <c r="AD35" s="44">
        <v>0.67013888889050577</v>
      </c>
      <c r="AE35" s="41" t="s">
        <v>70</v>
      </c>
      <c r="AF35" s="43">
        <v>45918</v>
      </c>
      <c r="AG35" s="44">
        <v>0.73958333333575865</v>
      </c>
      <c r="AH35" s="41" t="s">
        <v>111</v>
      </c>
      <c r="AI35" s="41" t="s">
        <v>162</v>
      </c>
      <c r="AJ35" s="41" t="s">
        <v>54</v>
      </c>
      <c r="AK35" s="41" t="s">
        <v>54</v>
      </c>
      <c r="AL35" s="41" t="s">
        <v>164</v>
      </c>
      <c r="AM35" s="45" t="s">
        <v>55</v>
      </c>
      <c r="AN35" s="45" t="s">
        <v>170</v>
      </c>
      <c r="AO35" s="45"/>
      <c r="AP35" s="46"/>
    </row>
    <row r="36" spans="3:42" ht="14.25" customHeight="1" x14ac:dyDescent="0.2">
      <c r="C36" s="40">
        <f>IF($X36=1,COUNTIF($C$10:C35,"&gt;0")+1,"")</f>
        <v>14</v>
      </c>
      <c r="D36" s="41">
        <v>15262318</v>
      </c>
      <c r="E36" s="41" t="s">
        <v>157</v>
      </c>
      <c r="F36" s="42" t="s">
        <v>264</v>
      </c>
      <c r="G36" s="41" t="s">
        <v>264</v>
      </c>
      <c r="H36" s="41" t="s">
        <v>265</v>
      </c>
      <c r="I36" s="41" t="s">
        <v>266</v>
      </c>
      <c r="J36" s="41" t="s">
        <v>51</v>
      </c>
      <c r="K36" s="41" t="s">
        <v>85</v>
      </c>
      <c r="L36" s="43">
        <v>21595</v>
      </c>
      <c r="M36" s="41">
        <v>66</v>
      </c>
      <c r="N36" s="41" t="s">
        <v>267</v>
      </c>
      <c r="O36" s="43">
        <v>46404</v>
      </c>
      <c r="P36" s="41" t="s">
        <v>2</v>
      </c>
      <c r="Q36" s="41"/>
      <c r="R36" s="57">
        <v>45913</v>
      </c>
      <c r="S36" s="58">
        <v>45918</v>
      </c>
      <c r="T36" s="59">
        <f t="shared" si="0"/>
        <v>5</v>
      </c>
      <c r="U36" s="41">
        <v>1</v>
      </c>
      <c r="V36" s="41">
        <v>1</v>
      </c>
      <c r="W36" s="41">
        <v>0</v>
      </c>
      <c r="X36" s="41">
        <v>1</v>
      </c>
      <c r="Y36" s="41">
        <v>0</v>
      </c>
      <c r="Z36" s="41">
        <v>1</v>
      </c>
      <c r="AA36" s="41">
        <v>0</v>
      </c>
      <c r="AB36" s="41"/>
      <c r="AC36" s="43">
        <v>45913</v>
      </c>
      <c r="AD36" s="44">
        <v>0.72916666666424135</v>
      </c>
      <c r="AE36" s="41" t="s">
        <v>91</v>
      </c>
      <c r="AF36" s="43">
        <v>45918</v>
      </c>
      <c r="AG36" s="44">
        <v>0.79513888889050577</v>
      </c>
      <c r="AH36" s="41" t="s">
        <v>81</v>
      </c>
      <c r="AI36" s="41" t="s">
        <v>162</v>
      </c>
      <c r="AJ36" s="41" t="s">
        <v>54</v>
      </c>
      <c r="AK36" s="41" t="s">
        <v>54</v>
      </c>
      <c r="AL36" s="41" t="s">
        <v>164</v>
      </c>
      <c r="AM36" s="45" t="s">
        <v>55</v>
      </c>
      <c r="AN36" s="45" t="s">
        <v>170</v>
      </c>
      <c r="AO36" s="45"/>
      <c r="AP36" s="46"/>
    </row>
    <row r="37" spans="3:42" ht="14.25" customHeight="1" x14ac:dyDescent="0.2">
      <c r="C37" s="40" t="str">
        <f>IF($X37=1,COUNTIF($C$10:C36,"&gt;0")+1,"")</f>
        <v/>
      </c>
      <c r="D37" s="41"/>
      <c r="E37" s="41" t="s">
        <v>157</v>
      </c>
      <c r="F37" s="42" t="s">
        <v>268</v>
      </c>
      <c r="G37" s="41" t="s">
        <v>264</v>
      </c>
      <c r="H37" s="41" t="s">
        <v>269</v>
      </c>
      <c r="I37" s="41" t="s">
        <v>266</v>
      </c>
      <c r="J37" s="41" t="s">
        <v>56</v>
      </c>
      <c r="K37" s="41" t="s">
        <v>85</v>
      </c>
      <c r="L37" s="43">
        <v>22772</v>
      </c>
      <c r="M37" s="41">
        <v>63</v>
      </c>
      <c r="N37" s="41" t="s">
        <v>270</v>
      </c>
      <c r="O37" s="43">
        <v>46404</v>
      </c>
      <c r="P37" s="41" t="s">
        <v>2</v>
      </c>
      <c r="Q37" s="41"/>
      <c r="R37" s="57">
        <v>45913</v>
      </c>
      <c r="S37" s="58">
        <v>45918</v>
      </c>
      <c r="T37" s="59">
        <f t="shared" si="0"/>
        <v>5</v>
      </c>
      <c r="U37" s="41">
        <v>1</v>
      </c>
      <c r="V37" s="41">
        <v>1</v>
      </c>
      <c r="W37" s="41">
        <v>0</v>
      </c>
      <c r="X37" s="41">
        <v>0</v>
      </c>
      <c r="Y37" s="41">
        <v>0</v>
      </c>
      <c r="Z37" s="41">
        <v>0</v>
      </c>
      <c r="AA37" s="41">
        <v>0</v>
      </c>
      <c r="AB37" s="41"/>
      <c r="AC37" s="43">
        <v>45913</v>
      </c>
      <c r="AD37" s="44">
        <v>0.72916666666424135</v>
      </c>
      <c r="AE37" s="41" t="s">
        <v>91</v>
      </c>
      <c r="AF37" s="43">
        <v>45918</v>
      </c>
      <c r="AG37" s="44">
        <v>0.79513888889050577</v>
      </c>
      <c r="AH37" s="41" t="s">
        <v>81</v>
      </c>
      <c r="AI37" s="41" t="s">
        <v>162</v>
      </c>
      <c r="AJ37" s="41" t="s">
        <v>54</v>
      </c>
      <c r="AK37" s="41" t="s">
        <v>54</v>
      </c>
      <c r="AL37" s="41" t="s">
        <v>164</v>
      </c>
      <c r="AM37" s="45" t="s">
        <v>55</v>
      </c>
      <c r="AN37" s="45" t="s">
        <v>170</v>
      </c>
      <c r="AO37" s="45"/>
      <c r="AP37" s="46"/>
    </row>
    <row r="38" spans="3:42" ht="14.25" customHeight="1" x14ac:dyDescent="0.2">
      <c r="C38" s="40">
        <f>IF($X38=1,COUNTIF($C$10:C37,"&gt;0")+1,"")</f>
        <v>15</v>
      </c>
      <c r="D38" s="41">
        <v>15262319</v>
      </c>
      <c r="E38" s="41" t="s">
        <v>157</v>
      </c>
      <c r="F38" s="42" t="s">
        <v>271</v>
      </c>
      <c r="G38" s="41" t="s">
        <v>271</v>
      </c>
      <c r="H38" s="41" t="s">
        <v>272</v>
      </c>
      <c r="I38" s="41" t="s">
        <v>273</v>
      </c>
      <c r="J38" s="41" t="s">
        <v>56</v>
      </c>
      <c r="K38" s="41" t="s">
        <v>52</v>
      </c>
      <c r="L38" s="43">
        <v>30198</v>
      </c>
      <c r="M38" s="41">
        <v>43</v>
      </c>
      <c r="N38" s="41" t="s">
        <v>274</v>
      </c>
      <c r="O38" s="43">
        <v>48686</v>
      </c>
      <c r="P38" s="41" t="s">
        <v>3</v>
      </c>
      <c r="Q38" s="41"/>
      <c r="R38" s="57">
        <v>45913</v>
      </c>
      <c r="S38" s="58">
        <v>45918</v>
      </c>
      <c r="T38" s="59">
        <f t="shared" si="0"/>
        <v>5</v>
      </c>
      <c r="U38" s="41">
        <v>1</v>
      </c>
      <c r="V38" s="41">
        <v>1</v>
      </c>
      <c r="W38" s="41">
        <v>0</v>
      </c>
      <c r="X38" s="41">
        <v>1</v>
      </c>
      <c r="Y38" s="41">
        <v>0</v>
      </c>
      <c r="Z38" s="41">
        <v>0</v>
      </c>
      <c r="AA38" s="41">
        <v>1</v>
      </c>
      <c r="AB38" s="41"/>
      <c r="AC38" s="43">
        <v>45913</v>
      </c>
      <c r="AD38" s="44">
        <v>0.59027777778101154</v>
      </c>
      <c r="AE38" s="41" t="s">
        <v>89</v>
      </c>
      <c r="AF38" s="43">
        <v>45921</v>
      </c>
      <c r="AG38" s="44">
        <v>0.68402777778101154</v>
      </c>
      <c r="AH38" s="41" t="s">
        <v>75</v>
      </c>
      <c r="AI38" s="41" t="s">
        <v>162</v>
      </c>
      <c r="AJ38" s="41" t="s">
        <v>54</v>
      </c>
      <c r="AK38" s="41" t="s">
        <v>54</v>
      </c>
      <c r="AL38" s="41" t="s">
        <v>164</v>
      </c>
      <c r="AM38" s="45" t="s">
        <v>55</v>
      </c>
      <c r="AN38" s="45" t="s">
        <v>186</v>
      </c>
      <c r="AO38" s="45"/>
      <c r="AP38" s="46"/>
    </row>
    <row r="39" spans="3:42" ht="14.25" customHeight="1" x14ac:dyDescent="0.2">
      <c r="C39" s="40" t="str">
        <f>IF($X39=1,COUNTIF($C$10:C38,"&gt;0")+1,"")</f>
        <v/>
      </c>
      <c r="D39" s="41"/>
      <c r="E39" s="41" t="s">
        <v>157</v>
      </c>
      <c r="F39" s="42" t="s">
        <v>275</v>
      </c>
      <c r="G39" s="41" t="s">
        <v>271</v>
      </c>
      <c r="H39" s="41" t="s">
        <v>276</v>
      </c>
      <c r="I39" s="41" t="s">
        <v>277</v>
      </c>
      <c r="J39" s="41" t="s">
        <v>56</v>
      </c>
      <c r="K39" s="41" t="s">
        <v>85</v>
      </c>
      <c r="L39" s="43">
        <v>27179</v>
      </c>
      <c r="M39" s="41">
        <v>51</v>
      </c>
      <c r="N39" s="41" t="s">
        <v>278</v>
      </c>
      <c r="O39" s="43">
        <v>46433</v>
      </c>
      <c r="P39" s="41" t="s">
        <v>3</v>
      </c>
      <c r="Q39" s="41"/>
      <c r="R39" s="57">
        <v>45913</v>
      </c>
      <c r="S39" s="58">
        <v>45918</v>
      </c>
      <c r="T39" s="59">
        <f t="shared" si="0"/>
        <v>5</v>
      </c>
      <c r="U39" s="41">
        <v>1</v>
      </c>
      <c r="V39" s="41">
        <v>1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/>
      <c r="AC39" s="43">
        <v>45913</v>
      </c>
      <c r="AD39" s="44">
        <v>0.78125</v>
      </c>
      <c r="AE39" s="41" t="s">
        <v>86</v>
      </c>
      <c r="AF39" s="43">
        <v>45918</v>
      </c>
      <c r="AG39" s="44">
        <v>0.73958333333575865</v>
      </c>
      <c r="AH39" s="41" t="s">
        <v>111</v>
      </c>
      <c r="AI39" s="41" t="s">
        <v>162</v>
      </c>
      <c r="AJ39" s="41" t="s">
        <v>54</v>
      </c>
      <c r="AK39" s="41" t="s">
        <v>54</v>
      </c>
      <c r="AL39" s="41" t="s">
        <v>164</v>
      </c>
      <c r="AM39" s="45" t="s">
        <v>55</v>
      </c>
      <c r="AN39" s="45" t="s">
        <v>186</v>
      </c>
      <c r="AO39" s="45" t="s">
        <v>79</v>
      </c>
      <c r="AP39" s="46"/>
    </row>
    <row r="40" spans="3:42" ht="14.25" customHeight="1" x14ac:dyDescent="0.2">
      <c r="C40" s="40">
        <f>IF($X40=1,COUNTIF($C$10:C39,"&gt;0")+1,"")</f>
        <v>16</v>
      </c>
      <c r="D40" s="41">
        <v>15262320</v>
      </c>
      <c r="E40" s="41" t="s">
        <v>157</v>
      </c>
      <c r="F40" s="42" t="s">
        <v>279</v>
      </c>
      <c r="G40" s="41" t="s">
        <v>279</v>
      </c>
      <c r="H40" s="41" t="s">
        <v>280</v>
      </c>
      <c r="I40" s="41" t="s">
        <v>281</v>
      </c>
      <c r="J40" s="41" t="s">
        <v>56</v>
      </c>
      <c r="K40" s="41" t="s">
        <v>85</v>
      </c>
      <c r="L40" s="43">
        <v>30400</v>
      </c>
      <c r="M40" s="41">
        <v>42</v>
      </c>
      <c r="N40" s="41" t="s">
        <v>282</v>
      </c>
      <c r="O40" s="43">
        <v>49018</v>
      </c>
      <c r="P40" s="41" t="s">
        <v>3</v>
      </c>
      <c r="Q40" s="41"/>
      <c r="R40" s="57">
        <v>45913</v>
      </c>
      <c r="S40" s="58">
        <v>45918</v>
      </c>
      <c r="T40" s="59">
        <f t="shared" si="0"/>
        <v>5</v>
      </c>
      <c r="U40" s="41">
        <v>1</v>
      </c>
      <c r="V40" s="41">
        <v>1</v>
      </c>
      <c r="W40" s="41">
        <v>0</v>
      </c>
      <c r="X40" s="41">
        <v>1</v>
      </c>
      <c r="Y40" s="41">
        <v>0</v>
      </c>
      <c r="Z40" s="41">
        <v>0</v>
      </c>
      <c r="AA40" s="41">
        <v>1</v>
      </c>
      <c r="AB40" s="41"/>
      <c r="AC40" s="43">
        <v>45913</v>
      </c>
      <c r="AD40" s="44">
        <v>0.78125</v>
      </c>
      <c r="AE40" s="41" t="s">
        <v>86</v>
      </c>
      <c r="AF40" s="43">
        <v>45918</v>
      </c>
      <c r="AG40" s="44">
        <v>0.86458333333575865</v>
      </c>
      <c r="AH40" s="41" t="s">
        <v>87</v>
      </c>
      <c r="AI40" s="41" t="s">
        <v>162</v>
      </c>
      <c r="AJ40" s="41" t="s">
        <v>54</v>
      </c>
      <c r="AK40" s="41" t="s">
        <v>54</v>
      </c>
      <c r="AL40" s="41" t="s">
        <v>164</v>
      </c>
      <c r="AM40" s="45" t="s">
        <v>55</v>
      </c>
      <c r="AN40" s="45" t="s">
        <v>186</v>
      </c>
      <c r="AO40" s="45" t="s">
        <v>79</v>
      </c>
      <c r="AP40" s="46"/>
    </row>
    <row r="41" spans="3:42" ht="14.25" customHeight="1" x14ac:dyDescent="0.2">
      <c r="C41" s="40" t="str">
        <f>IF($X41=1,COUNTIF($C$10:C40,"&gt;0")+1,"")</f>
        <v/>
      </c>
      <c r="D41" s="41"/>
      <c r="E41" s="41" t="s">
        <v>157</v>
      </c>
      <c r="F41" s="42" t="s">
        <v>283</v>
      </c>
      <c r="G41" s="41" t="s">
        <v>279</v>
      </c>
      <c r="H41" s="41" t="s">
        <v>284</v>
      </c>
      <c r="I41" s="41" t="s">
        <v>285</v>
      </c>
      <c r="J41" s="41" t="s">
        <v>56</v>
      </c>
      <c r="K41" s="41" t="s">
        <v>52</v>
      </c>
      <c r="L41" s="43">
        <v>30291</v>
      </c>
      <c r="M41" s="41">
        <v>42</v>
      </c>
      <c r="N41" s="41" t="s">
        <v>286</v>
      </c>
      <c r="O41" s="43">
        <v>47917</v>
      </c>
      <c r="P41" s="41" t="s">
        <v>3</v>
      </c>
      <c r="Q41" s="41"/>
      <c r="R41" s="57">
        <v>45913</v>
      </c>
      <c r="S41" s="58">
        <v>45918</v>
      </c>
      <c r="T41" s="59">
        <f t="shared" si="0"/>
        <v>5</v>
      </c>
      <c r="U41" s="41">
        <v>1</v>
      </c>
      <c r="V41" s="41">
        <v>1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/>
      <c r="AC41" s="43">
        <v>45913</v>
      </c>
      <c r="AD41" s="44">
        <v>0.64583333333575865</v>
      </c>
      <c r="AE41" s="41" t="s">
        <v>76</v>
      </c>
      <c r="AF41" s="43">
        <v>45918</v>
      </c>
      <c r="AG41" s="44">
        <v>0.72569444444525288</v>
      </c>
      <c r="AH41" s="41" t="s">
        <v>77</v>
      </c>
      <c r="AI41" s="41" t="s">
        <v>162</v>
      </c>
      <c r="AJ41" s="41" t="s">
        <v>54</v>
      </c>
      <c r="AK41" s="41" t="s">
        <v>54</v>
      </c>
      <c r="AL41" s="41" t="s">
        <v>164</v>
      </c>
      <c r="AM41" s="45" t="s">
        <v>55</v>
      </c>
      <c r="AN41" s="45" t="s">
        <v>186</v>
      </c>
      <c r="AO41" s="45"/>
      <c r="AP41" s="46"/>
    </row>
    <row r="42" spans="3:42" ht="14.25" customHeight="1" x14ac:dyDescent="0.2">
      <c r="C42" s="40">
        <f>IF($X42=1,COUNTIF($C$10:C41,"&gt;0")+1,"")</f>
        <v>17</v>
      </c>
      <c r="D42" s="41">
        <v>15262332</v>
      </c>
      <c r="E42" s="41" t="s">
        <v>287</v>
      </c>
      <c r="F42" s="42" t="s">
        <v>288</v>
      </c>
      <c r="G42" s="41" t="s">
        <v>288</v>
      </c>
      <c r="H42" s="41" t="s">
        <v>289</v>
      </c>
      <c r="I42" s="41" t="s">
        <v>290</v>
      </c>
      <c r="J42" s="41" t="s">
        <v>56</v>
      </c>
      <c r="K42" s="41" t="s">
        <v>85</v>
      </c>
      <c r="L42" s="43">
        <v>23076</v>
      </c>
      <c r="M42" s="41">
        <v>62</v>
      </c>
      <c r="N42" s="41" t="s">
        <v>291</v>
      </c>
      <c r="O42" s="43">
        <v>46831</v>
      </c>
      <c r="P42" s="41" t="s">
        <v>3</v>
      </c>
      <c r="Q42" s="41"/>
      <c r="R42" s="57">
        <v>45913</v>
      </c>
      <c r="S42" s="58">
        <v>45918</v>
      </c>
      <c r="T42" s="59">
        <f t="shared" si="0"/>
        <v>5</v>
      </c>
      <c r="U42" s="41">
        <v>1</v>
      </c>
      <c r="V42" s="41">
        <v>1</v>
      </c>
      <c r="W42" s="41">
        <v>0</v>
      </c>
      <c r="X42" s="41">
        <v>1</v>
      </c>
      <c r="Y42" s="41">
        <v>0</v>
      </c>
      <c r="Z42" s="41">
        <v>0</v>
      </c>
      <c r="AA42" s="41">
        <v>1</v>
      </c>
      <c r="AB42" s="41"/>
      <c r="AC42" s="43">
        <v>45913</v>
      </c>
      <c r="AD42" s="44">
        <v>0.72916666666424135</v>
      </c>
      <c r="AE42" s="41" t="s">
        <v>91</v>
      </c>
      <c r="AF42" s="43">
        <v>45918</v>
      </c>
      <c r="AG42" s="44">
        <v>0.79513888889050577</v>
      </c>
      <c r="AH42" s="41" t="s">
        <v>81</v>
      </c>
      <c r="AI42" s="41" t="s">
        <v>292</v>
      </c>
      <c r="AJ42" s="41" t="s">
        <v>92</v>
      </c>
      <c r="AK42" s="41"/>
      <c r="AL42" s="41" t="s">
        <v>164</v>
      </c>
      <c r="AM42" s="45" t="s">
        <v>55</v>
      </c>
      <c r="AN42" s="41" t="s">
        <v>293</v>
      </c>
      <c r="AO42" s="45"/>
      <c r="AP42" s="46"/>
    </row>
    <row r="43" spans="3:42" ht="14.25" customHeight="1" x14ac:dyDescent="0.2">
      <c r="C43" s="40" t="str">
        <f>IF($X43=1,COUNTIF($C$10:C42,"&gt;0")+1,"")</f>
        <v/>
      </c>
      <c r="D43" s="41"/>
      <c r="E43" s="41" t="s">
        <v>287</v>
      </c>
      <c r="F43" s="42" t="s">
        <v>294</v>
      </c>
      <c r="G43" s="41" t="s">
        <v>288</v>
      </c>
      <c r="H43" s="41" t="s">
        <v>150</v>
      </c>
      <c r="I43" s="41" t="s">
        <v>295</v>
      </c>
      <c r="J43" s="41" t="s">
        <v>56</v>
      </c>
      <c r="K43" s="41" t="s">
        <v>85</v>
      </c>
      <c r="L43" s="43">
        <v>34931</v>
      </c>
      <c r="M43" s="41">
        <v>30</v>
      </c>
      <c r="N43" s="41" t="s">
        <v>296</v>
      </c>
      <c r="O43" s="43">
        <v>49466</v>
      </c>
      <c r="P43" s="41" t="s">
        <v>3</v>
      </c>
      <c r="Q43" s="41"/>
      <c r="R43" s="57">
        <v>45913</v>
      </c>
      <c r="S43" s="58">
        <v>45918</v>
      </c>
      <c r="T43" s="59">
        <f t="shared" si="0"/>
        <v>5</v>
      </c>
      <c r="U43" s="41">
        <v>1</v>
      </c>
      <c r="V43" s="41">
        <v>1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/>
      <c r="AC43" s="43">
        <v>45913</v>
      </c>
      <c r="AD43" s="44">
        <v>0.72916666666424135</v>
      </c>
      <c r="AE43" s="41" t="s">
        <v>91</v>
      </c>
      <c r="AF43" s="43">
        <v>45918</v>
      </c>
      <c r="AG43" s="44">
        <v>0.79513888889050577</v>
      </c>
      <c r="AH43" s="41" t="s">
        <v>81</v>
      </c>
      <c r="AI43" s="41" t="s">
        <v>292</v>
      </c>
      <c r="AJ43" s="41" t="s">
        <v>54</v>
      </c>
      <c r="AK43" s="41"/>
      <c r="AL43" s="41" t="s">
        <v>164</v>
      </c>
      <c r="AM43" s="45" t="s">
        <v>55</v>
      </c>
      <c r="AN43" s="41" t="s">
        <v>293</v>
      </c>
      <c r="AO43" s="45"/>
      <c r="AP43" s="46"/>
    </row>
    <row r="44" spans="3:42" ht="14.25" customHeight="1" x14ac:dyDescent="0.2">
      <c r="C44" s="40">
        <f>IF($X44=1,COUNTIF($C$10:C43,"&gt;0")+1,"")</f>
        <v>18</v>
      </c>
      <c r="D44" s="41">
        <v>15262333</v>
      </c>
      <c r="E44" s="41" t="s">
        <v>287</v>
      </c>
      <c r="F44" s="42" t="s">
        <v>297</v>
      </c>
      <c r="G44" s="41" t="s">
        <v>288</v>
      </c>
      <c r="H44" s="41" t="s">
        <v>298</v>
      </c>
      <c r="I44" s="41" t="s">
        <v>153</v>
      </c>
      <c r="J44" s="41" t="s">
        <v>56</v>
      </c>
      <c r="K44" s="41" t="s">
        <v>85</v>
      </c>
      <c r="L44" s="43">
        <v>31000</v>
      </c>
      <c r="M44" s="41">
        <v>40</v>
      </c>
      <c r="N44" s="41" t="s">
        <v>299</v>
      </c>
      <c r="O44" s="43">
        <v>49085</v>
      </c>
      <c r="P44" s="41" t="s">
        <v>1</v>
      </c>
      <c r="Q44" s="41"/>
      <c r="R44" s="57">
        <v>45913</v>
      </c>
      <c r="S44" s="58">
        <v>45918</v>
      </c>
      <c r="T44" s="59">
        <f t="shared" si="0"/>
        <v>5</v>
      </c>
      <c r="U44" s="41">
        <v>1</v>
      </c>
      <c r="V44" s="41">
        <v>1</v>
      </c>
      <c r="W44" s="41">
        <v>0</v>
      </c>
      <c r="X44" s="41">
        <v>1</v>
      </c>
      <c r="Y44" s="41">
        <v>1</v>
      </c>
      <c r="Z44" s="41">
        <v>0</v>
      </c>
      <c r="AA44" s="41">
        <v>0</v>
      </c>
      <c r="AB44" s="41"/>
      <c r="AC44" s="43">
        <v>45913</v>
      </c>
      <c r="AD44" s="44">
        <v>0.72916666666424135</v>
      </c>
      <c r="AE44" s="41" t="s">
        <v>91</v>
      </c>
      <c r="AF44" s="43">
        <v>45918</v>
      </c>
      <c r="AG44" s="44">
        <v>0.79513888889050577</v>
      </c>
      <c r="AH44" s="41" t="s">
        <v>81</v>
      </c>
      <c r="AI44" s="41" t="s">
        <v>292</v>
      </c>
      <c r="AJ44" s="41" t="s">
        <v>54</v>
      </c>
      <c r="AK44" s="41" t="s">
        <v>54</v>
      </c>
      <c r="AL44" s="41" t="s">
        <v>164</v>
      </c>
      <c r="AM44" s="45" t="s">
        <v>55</v>
      </c>
      <c r="AN44" s="45" t="s">
        <v>300</v>
      </c>
      <c r="AO44" s="45"/>
      <c r="AP44" s="46"/>
    </row>
    <row r="45" spans="3:42" ht="14.25" customHeight="1" x14ac:dyDescent="0.2">
      <c r="C45" s="40" t="str">
        <f>IF($X45=1,COUNTIF($C$10:C44,"&gt;0")+1,"")</f>
        <v/>
      </c>
      <c r="D45" s="41"/>
      <c r="E45" s="41" t="s">
        <v>287</v>
      </c>
      <c r="F45" s="42" t="s">
        <v>301</v>
      </c>
      <c r="G45" s="41" t="s">
        <v>288</v>
      </c>
      <c r="H45" s="41" t="s">
        <v>302</v>
      </c>
      <c r="I45" s="41" t="s">
        <v>153</v>
      </c>
      <c r="J45" s="41" t="s">
        <v>56</v>
      </c>
      <c r="K45" s="41" t="s">
        <v>85</v>
      </c>
      <c r="L45" s="43">
        <v>41587</v>
      </c>
      <c r="M45" s="41">
        <v>11</v>
      </c>
      <c r="N45" s="41" t="s">
        <v>303</v>
      </c>
      <c r="O45" s="43">
        <v>47314</v>
      </c>
      <c r="P45" s="41" t="s">
        <v>1</v>
      </c>
      <c r="Q45" s="41"/>
      <c r="R45" s="57">
        <v>45913</v>
      </c>
      <c r="S45" s="58">
        <v>45918</v>
      </c>
      <c r="T45" s="59">
        <f t="shared" si="0"/>
        <v>5</v>
      </c>
      <c r="U45" s="41">
        <v>1</v>
      </c>
      <c r="V45" s="41">
        <v>0</v>
      </c>
      <c r="W45" s="41">
        <v>1</v>
      </c>
      <c r="X45" s="41">
        <v>0</v>
      </c>
      <c r="Y45" s="41">
        <v>0</v>
      </c>
      <c r="Z45" s="41">
        <v>0</v>
      </c>
      <c r="AA45" s="41">
        <v>0</v>
      </c>
      <c r="AB45" s="41"/>
      <c r="AC45" s="43">
        <v>45913</v>
      </c>
      <c r="AD45" s="44">
        <v>0.72916666666424135</v>
      </c>
      <c r="AE45" s="41" t="s">
        <v>91</v>
      </c>
      <c r="AF45" s="43">
        <v>45918</v>
      </c>
      <c r="AG45" s="44">
        <v>0.79513888889050577</v>
      </c>
      <c r="AH45" s="41" t="s">
        <v>81</v>
      </c>
      <c r="AI45" s="41" t="s">
        <v>292</v>
      </c>
      <c r="AJ45" s="41" t="s">
        <v>54</v>
      </c>
      <c r="AK45" s="41" t="s">
        <v>54</v>
      </c>
      <c r="AL45" s="41" t="s">
        <v>164</v>
      </c>
      <c r="AM45" s="45" t="s">
        <v>55</v>
      </c>
      <c r="AN45" s="45" t="s">
        <v>300</v>
      </c>
      <c r="AO45" s="45"/>
      <c r="AP45" s="46"/>
    </row>
    <row r="46" spans="3:42" ht="14.25" customHeight="1" x14ac:dyDescent="0.2">
      <c r="C46" s="40">
        <f>IF($X46=1,COUNTIF($C$10:C45,"&gt;0")+1,"")</f>
        <v>19</v>
      </c>
      <c r="D46" s="41">
        <v>15262334</v>
      </c>
      <c r="E46" s="41" t="s">
        <v>304</v>
      </c>
      <c r="F46" s="42" t="s">
        <v>305</v>
      </c>
      <c r="G46" s="41" t="s">
        <v>305</v>
      </c>
      <c r="H46" s="41" t="s">
        <v>306</v>
      </c>
      <c r="I46" s="41" t="s">
        <v>307</v>
      </c>
      <c r="J46" s="41" t="s">
        <v>56</v>
      </c>
      <c r="K46" s="41" t="s">
        <v>52</v>
      </c>
      <c r="L46" s="43">
        <v>19794</v>
      </c>
      <c r="M46" s="41">
        <v>71</v>
      </c>
      <c r="N46" s="41" t="s">
        <v>308</v>
      </c>
      <c r="O46" s="43">
        <v>49414</v>
      </c>
      <c r="P46" s="41" t="s">
        <v>2</v>
      </c>
      <c r="Q46" s="41"/>
      <c r="R46" s="57">
        <v>45913</v>
      </c>
      <c r="S46" s="58">
        <v>45918</v>
      </c>
      <c r="T46" s="59">
        <f t="shared" si="0"/>
        <v>5</v>
      </c>
      <c r="U46" s="41">
        <v>1</v>
      </c>
      <c r="V46" s="41">
        <v>1</v>
      </c>
      <c r="W46" s="41">
        <v>0</v>
      </c>
      <c r="X46" s="41">
        <v>1</v>
      </c>
      <c r="Y46" s="41">
        <v>0</v>
      </c>
      <c r="Z46" s="41">
        <v>1</v>
      </c>
      <c r="AA46" s="41">
        <v>0</v>
      </c>
      <c r="AB46" s="41"/>
      <c r="AC46" s="43">
        <v>45913</v>
      </c>
      <c r="AD46" s="44">
        <v>0.67708333333575865</v>
      </c>
      <c r="AE46" s="41" t="s">
        <v>309</v>
      </c>
      <c r="AF46" s="43" t="s">
        <v>54</v>
      </c>
      <c r="AG46" s="44" t="s">
        <v>54</v>
      </c>
      <c r="AH46" s="41" t="s">
        <v>107</v>
      </c>
      <c r="AI46" s="41" t="s">
        <v>310</v>
      </c>
      <c r="AJ46" s="41" t="s">
        <v>92</v>
      </c>
      <c r="AK46" s="41" t="s">
        <v>54</v>
      </c>
      <c r="AL46" s="41" t="s">
        <v>164</v>
      </c>
      <c r="AM46" s="45" t="s">
        <v>55</v>
      </c>
      <c r="AN46" s="45" t="s">
        <v>300</v>
      </c>
      <c r="AO46" s="45"/>
      <c r="AP46" s="46"/>
    </row>
    <row r="47" spans="3:42" ht="14.25" customHeight="1" x14ac:dyDescent="0.2">
      <c r="C47" s="40" t="str">
        <f>IF($X47=1,COUNTIF($C$10:C46,"&gt;0")+1,"")</f>
        <v/>
      </c>
      <c r="D47" s="41"/>
      <c r="E47" s="41" t="s">
        <v>304</v>
      </c>
      <c r="F47" s="42" t="s">
        <v>311</v>
      </c>
      <c r="G47" s="41" t="s">
        <v>305</v>
      </c>
      <c r="H47" s="41" t="s">
        <v>312</v>
      </c>
      <c r="I47" s="41" t="s">
        <v>307</v>
      </c>
      <c r="J47" s="41" t="s">
        <v>51</v>
      </c>
      <c r="K47" s="41" t="s">
        <v>52</v>
      </c>
      <c r="L47" s="43">
        <v>18957</v>
      </c>
      <c r="M47" s="41">
        <v>73</v>
      </c>
      <c r="N47" s="41" t="s">
        <v>313</v>
      </c>
      <c r="O47" s="43">
        <v>49414</v>
      </c>
      <c r="P47" s="41" t="s">
        <v>2</v>
      </c>
      <c r="Q47" s="41"/>
      <c r="R47" s="57">
        <v>45913</v>
      </c>
      <c r="S47" s="58">
        <v>45918</v>
      </c>
      <c r="T47" s="59">
        <f t="shared" si="0"/>
        <v>5</v>
      </c>
      <c r="U47" s="41">
        <v>1</v>
      </c>
      <c r="V47" s="41">
        <v>1</v>
      </c>
      <c r="W47" s="41">
        <v>0</v>
      </c>
      <c r="X47" s="41">
        <v>0</v>
      </c>
      <c r="Y47" s="41">
        <v>0</v>
      </c>
      <c r="Z47" s="41">
        <v>0</v>
      </c>
      <c r="AA47" s="41">
        <v>0</v>
      </c>
      <c r="AB47" s="41"/>
      <c r="AC47" s="43">
        <v>45913</v>
      </c>
      <c r="AD47" s="44">
        <v>0.67708333333575865</v>
      </c>
      <c r="AE47" s="41" t="s">
        <v>309</v>
      </c>
      <c r="AF47" s="43" t="s">
        <v>54</v>
      </c>
      <c r="AG47" s="44" t="s">
        <v>54</v>
      </c>
      <c r="AH47" s="41" t="s">
        <v>107</v>
      </c>
      <c r="AI47" s="41" t="s">
        <v>310</v>
      </c>
      <c r="AJ47" s="41" t="s">
        <v>54</v>
      </c>
      <c r="AK47" s="41" t="s">
        <v>54</v>
      </c>
      <c r="AL47" s="41" t="s">
        <v>164</v>
      </c>
      <c r="AM47" s="45" t="s">
        <v>55</v>
      </c>
      <c r="AN47" s="45" t="s">
        <v>300</v>
      </c>
      <c r="AO47" s="45"/>
      <c r="AP47" s="46"/>
    </row>
    <row r="48" spans="3:42" ht="14.25" customHeight="1" x14ac:dyDescent="0.2">
      <c r="C48" s="40">
        <f>IF($X48=1,COUNTIF($C$10:C47,"&gt;0")+1,"")</f>
        <v>20</v>
      </c>
      <c r="D48" s="41">
        <v>15262335</v>
      </c>
      <c r="E48" s="41" t="s">
        <v>304</v>
      </c>
      <c r="F48" s="42" t="s">
        <v>314</v>
      </c>
      <c r="G48" s="41" t="s">
        <v>314</v>
      </c>
      <c r="H48" s="41" t="s">
        <v>315</v>
      </c>
      <c r="I48" s="41" t="s">
        <v>114</v>
      </c>
      <c r="J48" s="41" t="s">
        <v>51</v>
      </c>
      <c r="K48" s="41" t="s">
        <v>52</v>
      </c>
      <c r="L48" s="43">
        <v>20884</v>
      </c>
      <c r="M48" s="41">
        <v>68</v>
      </c>
      <c r="N48" s="41" t="s">
        <v>316</v>
      </c>
      <c r="O48" s="43">
        <v>49373</v>
      </c>
      <c r="P48" s="41" t="s">
        <v>2</v>
      </c>
      <c r="Q48" s="41"/>
      <c r="R48" s="57">
        <v>45913</v>
      </c>
      <c r="S48" s="58">
        <v>45918</v>
      </c>
      <c r="T48" s="59">
        <f t="shared" si="0"/>
        <v>5</v>
      </c>
      <c r="U48" s="41">
        <v>1</v>
      </c>
      <c r="V48" s="41">
        <v>1</v>
      </c>
      <c r="W48" s="41">
        <v>0</v>
      </c>
      <c r="X48" s="41">
        <v>1</v>
      </c>
      <c r="Y48" s="41">
        <v>0</v>
      </c>
      <c r="Z48" s="41">
        <v>1</v>
      </c>
      <c r="AA48" s="41">
        <v>0</v>
      </c>
      <c r="AB48" s="41"/>
      <c r="AC48" s="43">
        <v>45913</v>
      </c>
      <c r="AD48" s="44">
        <v>0.63888888889050577</v>
      </c>
      <c r="AE48" s="41" t="s">
        <v>58</v>
      </c>
      <c r="AF48" s="43">
        <v>45918</v>
      </c>
      <c r="AG48" s="44">
        <v>0.72569444444525288</v>
      </c>
      <c r="AH48" s="41" t="s">
        <v>77</v>
      </c>
      <c r="AI48" s="41" t="s">
        <v>310</v>
      </c>
      <c r="AJ48" s="41" t="s">
        <v>54</v>
      </c>
      <c r="AK48" s="41" t="s">
        <v>54</v>
      </c>
      <c r="AL48" s="41" t="s">
        <v>164</v>
      </c>
      <c r="AM48" s="45" t="s">
        <v>55</v>
      </c>
      <c r="AN48" s="45" t="s">
        <v>300</v>
      </c>
      <c r="AO48" s="45"/>
      <c r="AP48" s="46"/>
    </row>
    <row r="49" spans="3:42" ht="14.25" customHeight="1" x14ac:dyDescent="0.2">
      <c r="C49" s="40" t="str">
        <f>IF($X49=1,COUNTIF($C$10:C48,"&gt;0")+1,"")</f>
        <v/>
      </c>
      <c r="D49" s="41"/>
      <c r="E49" s="41" t="s">
        <v>304</v>
      </c>
      <c r="F49" s="42" t="s">
        <v>317</v>
      </c>
      <c r="G49" s="41" t="s">
        <v>314</v>
      </c>
      <c r="H49" s="41" t="s">
        <v>318</v>
      </c>
      <c r="I49" s="41" t="s">
        <v>114</v>
      </c>
      <c r="J49" s="41" t="s">
        <v>56</v>
      </c>
      <c r="K49" s="41" t="s">
        <v>52</v>
      </c>
      <c r="L49" s="43">
        <v>21761</v>
      </c>
      <c r="M49" s="41">
        <v>66</v>
      </c>
      <c r="N49" s="41" t="s">
        <v>319</v>
      </c>
      <c r="O49" s="43">
        <v>49373</v>
      </c>
      <c r="P49" s="41" t="s">
        <v>2</v>
      </c>
      <c r="Q49" s="41"/>
      <c r="R49" s="57">
        <v>45913</v>
      </c>
      <c r="S49" s="58">
        <v>45918</v>
      </c>
      <c r="T49" s="59">
        <f t="shared" si="0"/>
        <v>5</v>
      </c>
      <c r="U49" s="41">
        <v>1</v>
      </c>
      <c r="V49" s="41">
        <v>1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/>
      <c r="AC49" s="43">
        <v>45913</v>
      </c>
      <c r="AD49" s="44">
        <v>0.63888888889050577</v>
      </c>
      <c r="AE49" s="41" t="s">
        <v>58</v>
      </c>
      <c r="AF49" s="43">
        <v>45918</v>
      </c>
      <c r="AG49" s="44">
        <v>0.72569444444525288</v>
      </c>
      <c r="AH49" s="41" t="s">
        <v>77</v>
      </c>
      <c r="AI49" s="41" t="s">
        <v>310</v>
      </c>
      <c r="AJ49" s="41" t="s">
        <v>54</v>
      </c>
      <c r="AK49" s="41" t="s">
        <v>54</v>
      </c>
      <c r="AL49" s="41" t="s">
        <v>164</v>
      </c>
      <c r="AM49" s="45" t="s">
        <v>55</v>
      </c>
      <c r="AN49" s="45" t="s">
        <v>300</v>
      </c>
      <c r="AO49" s="45"/>
      <c r="AP49" s="46"/>
    </row>
    <row r="50" spans="3:42" ht="14.25" customHeight="1" x14ac:dyDescent="0.2">
      <c r="C50" s="40">
        <f>IF($X50=1,COUNTIF($C$10:C49,"&gt;0")+1,"")</f>
        <v>21</v>
      </c>
      <c r="D50" s="41">
        <v>15262336</v>
      </c>
      <c r="E50" s="41" t="s">
        <v>304</v>
      </c>
      <c r="F50" s="42" t="s">
        <v>320</v>
      </c>
      <c r="G50" s="41" t="s">
        <v>320</v>
      </c>
      <c r="H50" s="41" t="s">
        <v>321</v>
      </c>
      <c r="I50" s="41" t="s">
        <v>322</v>
      </c>
      <c r="J50" s="41" t="s">
        <v>56</v>
      </c>
      <c r="K50" s="41" t="s">
        <v>52</v>
      </c>
      <c r="L50" s="43">
        <v>26604</v>
      </c>
      <c r="M50" s="41">
        <v>52</v>
      </c>
      <c r="N50" s="41" t="s">
        <v>323</v>
      </c>
      <c r="O50" s="43">
        <v>46411</v>
      </c>
      <c r="P50" s="41" t="s">
        <v>2</v>
      </c>
      <c r="Q50" s="41"/>
      <c r="R50" s="57">
        <v>45913</v>
      </c>
      <c r="S50" s="58">
        <v>45918</v>
      </c>
      <c r="T50" s="59">
        <f t="shared" si="0"/>
        <v>5</v>
      </c>
      <c r="U50" s="41">
        <v>1</v>
      </c>
      <c r="V50" s="41">
        <v>1</v>
      </c>
      <c r="W50" s="41">
        <v>0</v>
      </c>
      <c r="X50" s="41">
        <v>1</v>
      </c>
      <c r="Y50" s="41">
        <v>0</v>
      </c>
      <c r="Z50" s="41">
        <v>1</v>
      </c>
      <c r="AA50" s="41">
        <v>0</v>
      </c>
      <c r="AB50" s="41"/>
      <c r="AC50" s="43">
        <v>45913</v>
      </c>
      <c r="AD50" s="44">
        <v>0.72569444444525288</v>
      </c>
      <c r="AE50" s="41" t="s">
        <v>148</v>
      </c>
      <c r="AF50" s="43">
        <v>45918</v>
      </c>
      <c r="AG50" s="44">
        <v>0.78472222221898846</v>
      </c>
      <c r="AH50" s="41" t="s">
        <v>147</v>
      </c>
      <c r="AI50" s="41" t="s">
        <v>310</v>
      </c>
      <c r="AJ50" s="41" t="s">
        <v>54</v>
      </c>
      <c r="AK50" s="41" t="s">
        <v>54</v>
      </c>
      <c r="AL50" s="41" t="s">
        <v>164</v>
      </c>
      <c r="AM50" s="45" t="s">
        <v>55</v>
      </c>
      <c r="AN50" s="45" t="s">
        <v>300</v>
      </c>
      <c r="AO50" s="45"/>
      <c r="AP50" s="46"/>
    </row>
    <row r="51" spans="3:42" ht="14.25" customHeight="1" x14ac:dyDescent="0.2">
      <c r="C51" s="40" t="str">
        <f>IF($X51=1,COUNTIF($C$10:C50,"&gt;0")+1,"")</f>
        <v/>
      </c>
      <c r="D51" s="41"/>
      <c r="E51" s="41" t="s">
        <v>304</v>
      </c>
      <c r="F51" s="42" t="s">
        <v>324</v>
      </c>
      <c r="G51" s="41" t="s">
        <v>320</v>
      </c>
      <c r="H51" s="41" t="s">
        <v>325</v>
      </c>
      <c r="I51" s="41" t="s">
        <v>322</v>
      </c>
      <c r="J51" s="41" t="s">
        <v>51</v>
      </c>
      <c r="K51" s="41" t="s">
        <v>52</v>
      </c>
      <c r="L51" s="43">
        <v>26336</v>
      </c>
      <c r="M51" s="41">
        <v>53</v>
      </c>
      <c r="N51" s="41" t="s">
        <v>326</v>
      </c>
      <c r="O51" s="43">
        <v>46411</v>
      </c>
      <c r="P51" s="41" t="s">
        <v>2</v>
      </c>
      <c r="Q51" s="41"/>
      <c r="R51" s="57">
        <v>45913</v>
      </c>
      <c r="S51" s="58">
        <v>45918</v>
      </c>
      <c r="T51" s="59">
        <f t="shared" si="0"/>
        <v>5</v>
      </c>
      <c r="U51" s="41">
        <v>1</v>
      </c>
      <c r="V51" s="41">
        <v>1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/>
      <c r="AC51" s="43">
        <v>45913</v>
      </c>
      <c r="AD51" s="44">
        <v>0.72569444444525288</v>
      </c>
      <c r="AE51" s="41" t="s">
        <v>148</v>
      </c>
      <c r="AF51" s="43">
        <v>45918</v>
      </c>
      <c r="AG51" s="44">
        <v>0.78472222221898846</v>
      </c>
      <c r="AH51" s="41" t="s">
        <v>147</v>
      </c>
      <c r="AI51" s="41" t="s">
        <v>310</v>
      </c>
      <c r="AJ51" s="41" t="s">
        <v>54</v>
      </c>
      <c r="AK51" s="41" t="s">
        <v>54</v>
      </c>
      <c r="AL51" s="41" t="s">
        <v>164</v>
      </c>
      <c r="AM51" s="45" t="s">
        <v>55</v>
      </c>
      <c r="AN51" s="45" t="s">
        <v>300</v>
      </c>
      <c r="AO51" s="45"/>
      <c r="AP51" s="46"/>
    </row>
    <row r="52" spans="3:42" ht="14.25" customHeight="1" x14ac:dyDescent="0.2">
      <c r="C52" s="40">
        <f>IF($X52=1,COUNTIF($C$10:C51,"&gt;0")+1,"")</f>
        <v>22</v>
      </c>
      <c r="D52" s="41">
        <v>15262337</v>
      </c>
      <c r="E52" s="41" t="s">
        <v>327</v>
      </c>
      <c r="F52" s="42" t="s">
        <v>328</v>
      </c>
      <c r="G52" s="41" t="s">
        <v>328</v>
      </c>
      <c r="H52" s="41" t="s">
        <v>329</v>
      </c>
      <c r="I52" s="41" t="s">
        <v>330</v>
      </c>
      <c r="J52" s="41" t="s">
        <v>56</v>
      </c>
      <c r="K52" s="41" t="s">
        <v>52</v>
      </c>
      <c r="L52" s="43">
        <v>27232</v>
      </c>
      <c r="M52" s="41">
        <v>51</v>
      </c>
      <c r="N52" s="41" t="s">
        <v>331</v>
      </c>
      <c r="O52" s="43">
        <v>48692</v>
      </c>
      <c r="P52" s="41" t="s">
        <v>2</v>
      </c>
      <c r="Q52" s="41"/>
      <c r="R52" s="57">
        <v>45913</v>
      </c>
      <c r="S52" s="58">
        <v>45918</v>
      </c>
      <c r="T52" s="59">
        <f t="shared" si="0"/>
        <v>5</v>
      </c>
      <c r="U52" s="41">
        <v>1</v>
      </c>
      <c r="V52" s="41">
        <v>1</v>
      </c>
      <c r="W52" s="41">
        <v>0</v>
      </c>
      <c r="X52" s="41">
        <v>1</v>
      </c>
      <c r="Y52" s="41">
        <v>0</v>
      </c>
      <c r="Z52" s="41">
        <v>1</v>
      </c>
      <c r="AA52" s="41">
        <v>0</v>
      </c>
      <c r="AB52" s="41"/>
      <c r="AC52" s="43">
        <v>45913</v>
      </c>
      <c r="AD52" s="44">
        <v>0.65625</v>
      </c>
      <c r="AE52" s="41" t="s">
        <v>137</v>
      </c>
      <c r="AF52" s="43">
        <v>45918</v>
      </c>
      <c r="AG52" s="44">
        <v>0.34722222221898846</v>
      </c>
      <c r="AH52" s="41" t="s">
        <v>332</v>
      </c>
      <c r="AI52" s="41" t="s">
        <v>333</v>
      </c>
      <c r="AJ52" s="41" t="s">
        <v>54</v>
      </c>
      <c r="AK52" s="41" t="s">
        <v>54</v>
      </c>
      <c r="AL52" s="41" t="s">
        <v>164</v>
      </c>
      <c r="AM52" s="45" t="s">
        <v>55</v>
      </c>
      <c r="AN52" s="45" t="s">
        <v>300</v>
      </c>
      <c r="AO52" s="45"/>
      <c r="AP52" s="46"/>
    </row>
    <row r="53" spans="3:42" ht="14.25" customHeight="1" x14ac:dyDescent="0.2">
      <c r="C53" s="40" t="str">
        <f>IF($X53=1,COUNTIF($C$10:C52,"&gt;0")+1,"")</f>
        <v/>
      </c>
      <c r="D53" s="41"/>
      <c r="E53" s="41" t="s">
        <v>327</v>
      </c>
      <c r="F53" s="42" t="s">
        <v>334</v>
      </c>
      <c r="G53" s="41" t="s">
        <v>328</v>
      </c>
      <c r="H53" s="41" t="s">
        <v>335</v>
      </c>
      <c r="I53" s="41" t="s">
        <v>330</v>
      </c>
      <c r="J53" s="41" t="s">
        <v>51</v>
      </c>
      <c r="K53" s="41" t="s">
        <v>52</v>
      </c>
      <c r="L53" s="43">
        <v>26824</v>
      </c>
      <c r="M53" s="41">
        <v>52</v>
      </c>
      <c r="N53" s="41" t="s">
        <v>336</v>
      </c>
      <c r="O53" s="43">
        <v>47665</v>
      </c>
      <c r="P53" s="41" t="s">
        <v>2</v>
      </c>
      <c r="Q53" s="41"/>
      <c r="R53" s="57">
        <v>45913</v>
      </c>
      <c r="S53" s="58">
        <v>45918</v>
      </c>
      <c r="T53" s="59">
        <f t="shared" si="0"/>
        <v>5</v>
      </c>
      <c r="U53" s="41">
        <v>1</v>
      </c>
      <c r="V53" s="41">
        <v>1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/>
      <c r="AC53" s="43">
        <v>45913</v>
      </c>
      <c r="AD53" s="44">
        <v>0.65625</v>
      </c>
      <c r="AE53" s="41" t="s">
        <v>137</v>
      </c>
      <c r="AF53" s="43">
        <v>45918</v>
      </c>
      <c r="AG53" s="44">
        <v>0.34722222221898846</v>
      </c>
      <c r="AH53" s="41" t="s">
        <v>332</v>
      </c>
      <c r="AI53" s="41" t="s">
        <v>333</v>
      </c>
      <c r="AJ53" s="41" t="s">
        <v>54</v>
      </c>
      <c r="AK53" s="41" t="s">
        <v>54</v>
      </c>
      <c r="AL53" s="41" t="s">
        <v>164</v>
      </c>
      <c r="AM53" s="45" t="s">
        <v>55</v>
      </c>
      <c r="AN53" s="45" t="s">
        <v>300</v>
      </c>
      <c r="AO53" s="45"/>
      <c r="AP53" s="46"/>
    </row>
    <row r="54" spans="3:42" ht="14.25" customHeight="1" x14ac:dyDescent="0.2">
      <c r="C54" s="40">
        <f>IF($X54=1,COUNTIF($C$10:C53,"&gt;0")+1,"")</f>
        <v>23</v>
      </c>
      <c r="D54" s="41">
        <v>15262338</v>
      </c>
      <c r="E54" s="41" t="s">
        <v>327</v>
      </c>
      <c r="F54" s="42" t="s">
        <v>337</v>
      </c>
      <c r="G54" s="41" t="s">
        <v>337</v>
      </c>
      <c r="H54" s="41" t="s">
        <v>338</v>
      </c>
      <c r="I54" s="41" t="s">
        <v>339</v>
      </c>
      <c r="J54" s="41" t="s">
        <v>56</v>
      </c>
      <c r="K54" s="41" t="s">
        <v>52</v>
      </c>
      <c r="L54" s="43">
        <v>23353</v>
      </c>
      <c r="M54" s="41">
        <v>61</v>
      </c>
      <c r="N54" s="41" t="s">
        <v>340</v>
      </c>
      <c r="O54" s="43">
        <v>47673</v>
      </c>
      <c r="P54" s="41" t="s">
        <v>2</v>
      </c>
      <c r="Q54" s="41"/>
      <c r="R54" s="57">
        <v>45913</v>
      </c>
      <c r="S54" s="58">
        <v>45918</v>
      </c>
      <c r="T54" s="59">
        <f t="shared" si="0"/>
        <v>5</v>
      </c>
      <c r="U54" s="41">
        <v>1</v>
      </c>
      <c r="V54" s="41">
        <v>1</v>
      </c>
      <c r="W54" s="41">
        <v>0</v>
      </c>
      <c r="X54" s="41">
        <v>1</v>
      </c>
      <c r="Y54" s="41">
        <v>0</v>
      </c>
      <c r="Z54" s="41">
        <v>1</v>
      </c>
      <c r="AA54" s="41">
        <v>0</v>
      </c>
      <c r="AB54" s="41"/>
      <c r="AC54" s="43">
        <v>45913</v>
      </c>
      <c r="AD54" s="44">
        <v>0.625</v>
      </c>
      <c r="AE54" s="41" t="s">
        <v>57</v>
      </c>
      <c r="AF54" s="43">
        <v>45918</v>
      </c>
      <c r="AG54" s="44">
        <v>0.47916666666424135</v>
      </c>
      <c r="AH54" s="41" t="s">
        <v>67</v>
      </c>
      <c r="AI54" s="41" t="s">
        <v>333</v>
      </c>
      <c r="AJ54" s="41" t="s">
        <v>54</v>
      </c>
      <c r="AK54" s="41" t="s">
        <v>54</v>
      </c>
      <c r="AL54" s="41" t="s">
        <v>164</v>
      </c>
      <c r="AM54" s="45" t="s">
        <v>55</v>
      </c>
      <c r="AN54" s="45" t="s">
        <v>300</v>
      </c>
      <c r="AO54" s="45"/>
      <c r="AP54" s="46"/>
    </row>
    <row r="55" spans="3:42" ht="14.25" customHeight="1" x14ac:dyDescent="0.2">
      <c r="C55" s="40" t="str">
        <f>IF($X55=1,COUNTIF($C$10:C54,"&gt;0")+1,"")</f>
        <v/>
      </c>
      <c r="D55" s="41"/>
      <c r="E55" s="41" t="s">
        <v>327</v>
      </c>
      <c r="F55" s="42" t="s">
        <v>341</v>
      </c>
      <c r="G55" s="41" t="s">
        <v>337</v>
      </c>
      <c r="H55" s="41" t="s">
        <v>342</v>
      </c>
      <c r="I55" s="41" t="s">
        <v>343</v>
      </c>
      <c r="J55" s="41" t="s">
        <v>56</v>
      </c>
      <c r="K55" s="41" t="s">
        <v>52</v>
      </c>
      <c r="L55" s="43">
        <v>26097</v>
      </c>
      <c r="M55" s="41">
        <v>54</v>
      </c>
      <c r="N55" s="41" t="s">
        <v>344</v>
      </c>
      <c r="O55" s="43">
        <v>47441</v>
      </c>
      <c r="P55" s="41" t="s">
        <v>2</v>
      </c>
      <c r="Q55" s="41"/>
      <c r="R55" s="57">
        <v>45913</v>
      </c>
      <c r="S55" s="58">
        <v>45918</v>
      </c>
      <c r="T55" s="59">
        <f t="shared" si="0"/>
        <v>5</v>
      </c>
      <c r="U55" s="41">
        <v>1</v>
      </c>
      <c r="V55" s="41">
        <v>1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/>
      <c r="AC55" s="43">
        <v>45913</v>
      </c>
      <c r="AD55" s="44">
        <v>0.625</v>
      </c>
      <c r="AE55" s="41" t="s">
        <v>57</v>
      </c>
      <c r="AF55" s="43">
        <v>45918</v>
      </c>
      <c r="AG55" s="44">
        <v>0.47916666666424135</v>
      </c>
      <c r="AH55" s="41" t="s">
        <v>67</v>
      </c>
      <c r="AI55" s="41" t="s">
        <v>333</v>
      </c>
      <c r="AJ55" s="41" t="s">
        <v>54</v>
      </c>
      <c r="AK55" s="41" t="s">
        <v>54</v>
      </c>
      <c r="AL55" s="41" t="s">
        <v>164</v>
      </c>
      <c r="AM55" s="45" t="s">
        <v>55</v>
      </c>
      <c r="AN55" s="45" t="s">
        <v>300</v>
      </c>
      <c r="AO55" s="45"/>
      <c r="AP55" s="46"/>
    </row>
    <row r="56" spans="3:42" ht="14.25" customHeight="1" x14ac:dyDescent="0.2">
      <c r="C56" s="40">
        <f>IF($X56=1,COUNTIF($C$10:C55,"&gt;0")+1,"")</f>
        <v>24</v>
      </c>
      <c r="D56" s="41">
        <v>15262339</v>
      </c>
      <c r="E56" s="41" t="s">
        <v>327</v>
      </c>
      <c r="F56" s="42" t="s">
        <v>345</v>
      </c>
      <c r="G56" s="41" t="s">
        <v>337</v>
      </c>
      <c r="H56" s="41" t="s">
        <v>346</v>
      </c>
      <c r="I56" s="41" t="s">
        <v>347</v>
      </c>
      <c r="J56" s="41" t="s">
        <v>51</v>
      </c>
      <c r="K56" s="41" t="s">
        <v>52</v>
      </c>
      <c r="L56" s="43">
        <v>26929</v>
      </c>
      <c r="M56" s="41">
        <v>51</v>
      </c>
      <c r="N56" s="41" t="s">
        <v>348</v>
      </c>
      <c r="O56" s="43">
        <v>49245</v>
      </c>
      <c r="P56" s="41" t="s">
        <v>2</v>
      </c>
      <c r="Q56" s="41"/>
      <c r="R56" s="57">
        <v>45913</v>
      </c>
      <c r="S56" s="58">
        <v>45918</v>
      </c>
      <c r="T56" s="59">
        <f t="shared" si="0"/>
        <v>5</v>
      </c>
      <c r="U56" s="41">
        <v>1</v>
      </c>
      <c r="V56" s="41">
        <v>1</v>
      </c>
      <c r="W56" s="41">
        <v>0</v>
      </c>
      <c r="X56" s="41">
        <v>1</v>
      </c>
      <c r="Y56" s="41">
        <v>0</v>
      </c>
      <c r="Z56" s="41">
        <v>1</v>
      </c>
      <c r="AA56" s="41">
        <v>0</v>
      </c>
      <c r="AB56" s="41"/>
      <c r="AC56" s="43">
        <v>45913</v>
      </c>
      <c r="AD56" s="44">
        <v>0.625</v>
      </c>
      <c r="AE56" s="41" t="s">
        <v>57</v>
      </c>
      <c r="AF56" s="43">
        <v>45918</v>
      </c>
      <c r="AG56" s="44">
        <v>0.47916666666424135</v>
      </c>
      <c r="AH56" s="41" t="s">
        <v>67</v>
      </c>
      <c r="AI56" s="41" t="s">
        <v>333</v>
      </c>
      <c r="AJ56" s="41" t="s">
        <v>54</v>
      </c>
      <c r="AK56" s="41" t="s">
        <v>54</v>
      </c>
      <c r="AL56" s="41" t="s">
        <v>164</v>
      </c>
      <c r="AM56" s="45" t="s">
        <v>55</v>
      </c>
      <c r="AN56" s="45" t="s">
        <v>300</v>
      </c>
      <c r="AO56" s="45"/>
      <c r="AP56" s="46"/>
    </row>
    <row r="57" spans="3:42" ht="14.25" customHeight="1" x14ac:dyDescent="0.2">
      <c r="C57" s="40" t="str">
        <f>IF($X57=1,COUNTIF($C$10:C56,"&gt;0")+1,"")</f>
        <v/>
      </c>
      <c r="D57" s="41"/>
      <c r="E57" s="41" t="s">
        <v>327</v>
      </c>
      <c r="F57" s="42" t="s">
        <v>349</v>
      </c>
      <c r="G57" s="41" t="s">
        <v>337</v>
      </c>
      <c r="H57" s="41" t="s">
        <v>350</v>
      </c>
      <c r="I57" s="41" t="s">
        <v>347</v>
      </c>
      <c r="J57" s="41" t="s">
        <v>56</v>
      </c>
      <c r="K57" s="41" t="s">
        <v>52</v>
      </c>
      <c r="L57" s="43">
        <v>27275</v>
      </c>
      <c r="M57" s="41">
        <v>51</v>
      </c>
      <c r="N57" s="41" t="s">
        <v>351</v>
      </c>
      <c r="O57" s="43">
        <v>47158</v>
      </c>
      <c r="P57" s="41" t="s">
        <v>2</v>
      </c>
      <c r="Q57" s="41"/>
      <c r="R57" s="57">
        <v>45913</v>
      </c>
      <c r="S57" s="58">
        <v>45918</v>
      </c>
      <c r="T57" s="59">
        <f t="shared" si="0"/>
        <v>5</v>
      </c>
      <c r="U57" s="41">
        <v>1</v>
      </c>
      <c r="V57" s="41">
        <v>1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/>
      <c r="AC57" s="43">
        <v>45913</v>
      </c>
      <c r="AD57" s="44">
        <v>0.625</v>
      </c>
      <c r="AE57" s="41" t="s">
        <v>57</v>
      </c>
      <c r="AF57" s="43">
        <v>45918</v>
      </c>
      <c r="AG57" s="44">
        <v>0.47916666666424135</v>
      </c>
      <c r="AH57" s="41" t="s">
        <v>67</v>
      </c>
      <c r="AI57" s="41" t="s">
        <v>333</v>
      </c>
      <c r="AJ57" s="41" t="s">
        <v>54</v>
      </c>
      <c r="AK57" s="41" t="s">
        <v>54</v>
      </c>
      <c r="AL57" s="41" t="s">
        <v>164</v>
      </c>
      <c r="AM57" s="45" t="s">
        <v>55</v>
      </c>
      <c r="AN57" s="45" t="s">
        <v>300</v>
      </c>
      <c r="AO57" s="45"/>
      <c r="AP57" s="46"/>
    </row>
    <row r="58" spans="3:42" ht="14.25" customHeight="1" x14ac:dyDescent="0.2">
      <c r="C58" s="40" t="str">
        <f>IF($X58=1,COUNTIF($C$10:C57,"&gt;0")+1,"")</f>
        <v/>
      </c>
      <c r="D58" s="41"/>
      <c r="E58" s="41" t="s">
        <v>327</v>
      </c>
      <c r="F58" s="42" t="s">
        <v>352</v>
      </c>
      <c r="G58" s="41" t="s">
        <v>337</v>
      </c>
      <c r="H58" s="41" t="s">
        <v>353</v>
      </c>
      <c r="I58" s="41" t="s">
        <v>347</v>
      </c>
      <c r="J58" s="41" t="s">
        <v>51</v>
      </c>
      <c r="K58" s="41" t="s">
        <v>52</v>
      </c>
      <c r="L58" s="43">
        <v>42515</v>
      </c>
      <c r="M58" s="41">
        <v>9</v>
      </c>
      <c r="N58" s="41" t="s">
        <v>354</v>
      </c>
      <c r="O58" s="43">
        <v>47144</v>
      </c>
      <c r="P58" s="41" t="s">
        <v>2</v>
      </c>
      <c r="Q58" s="41"/>
      <c r="R58" s="57">
        <v>45913</v>
      </c>
      <c r="S58" s="58">
        <v>45918</v>
      </c>
      <c r="T58" s="59">
        <f t="shared" si="0"/>
        <v>5</v>
      </c>
      <c r="U58" s="41">
        <v>1</v>
      </c>
      <c r="V58" s="41">
        <v>0</v>
      </c>
      <c r="W58" s="41">
        <v>1</v>
      </c>
      <c r="X58" s="41">
        <v>0</v>
      </c>
      <c r="Y58" s="41">
        <v>0</v>
      </c>
      <c r="Z58" s="41">
        <v>0</v>
      </c>
      <c r="AA58" s="41">
        <v>0</v>
      </c>
      <c r="AB58" s="41"/>
      <c r="AC58" s="43">
        <v>45913</v>
      </c>
      <c r="AD58" s="44">
        <v>0.625</v>
      </c>
      <c r="AE58" s="41" t="s">
        <v>57</v>
      </c>
      <c r="AF58" s="43">
        <v>45918</v>
      </c>
      <c r="AG58" s="44">
        <v>0.47916666666424135</v>
      </c>
      <c r="AH58" s="41" t="s">
        <v>67</v>
      </c>
      <c r="AI58" s="41" t="s">
        <v>333</v>
      </c>
      <c r="AJ58" s="41" t="s">
        <v>54</v>
      </c>
      <c r="AK58" s="41" t="s">
        <v>54</v>
      </c>
      <c r="AL58" s="41" t="s">
        <v>164</v>
      </c>
      <c r="AM58" s="45" t="s">
        <v>55</v>
      </c>
      <c r="AN58" s="45" t="s">
        <v>300</v>
      </c>
      <c r="AO58" s="45"/>
      <c r="AP58" s="46"/>
    </row>
    <row r="59" spans="3:42" ht="14.25" customHeight="1" x14ac:dyDescent="0.2">
      <c r="C59" s="40">
        <f>IF($X59=1,COUNTIF($C$10:C58,"&gt;0")+1,"")</f>
        <v>25</v>
      </c>
      <c r="D59" s="41">
        <v>15262340</v>
      </c>
      <c r="E59" s="41" t="s">
        <v>327</v>
      </c>
      <c r="F59" s="42" t="s">
        <v>355</v>
      </c>
      <c r="G59" s="41" t="s">
        <v>355</v>
      </c>
      <c r="H59" s="41" t="s">
        <v>356</v>
      </c>
      <c r="I59" s="41" t="s">
        <v>357</v>
      </c>
      <c r="J59" s="41" t="s">
        <v>56</v>
      </c>
      <c r="K59" s="41" t="s">
        <v>52</v>
      </c>
      <c r="L59" s="43">
        <v>27135</v>
      </c>
      <c r="M59" s="41">
        <v>51</v>
      </c>
      <c r="N59" s="41" t="s">
        <v>358</v>
      </c>
      <c r="O59" s="43">
        <v>48615</v>
      </c>
      <c r="P59" s="41" t="s">
        <v>2</v>
      </c>
      <c r="Q59" s="41"/>
      <c r="R59" s="57">
        <v>45913</v>
      </c>
      <c r="S59" s="58">
        <v>45918</v>
      </c>
      <c r="T59" s="59">
        <f t="shared" si="0"/>
        <v>5</v>
      </c>
      <c r="U59" s="41">
        <v>1</v>
      </c>
      <c r="V59" s="41">
        <v>1</v>
      </c>
      <c r="W59" s="41">
        <v>0</v>
      </c>
      <c r="X59" s="41">
        <v>1</v>
      </c>
      <c r="Y59" s="41">
        <v>0</v>
      </c>
      <c r="Z59" s="41">
        <v>1</v>
      </c>
      <c r="AA59" s="41">
        <v>0</v>
      </c>
      <c r="AB59" s="41"/>
      <c r="AC59" s="43">
        <v>45913</v>
      </c>
      <c r="AD59" s="44">
        <v>0.45833333333575865</v>
      </c>
      <c r="AE59" s="41" t="s">
        <v>72</v>
      </c>
      <c r="AF59" s="43">
        <v>45918</v>
      </c>
      <c r="AG59" s="44">
        <v>0.375</v>
      </c>
      <c r="AH59" s="41" t="s">
        <v>359</v>
      </c>
      <c r="AI59" s="41" t="s">
        <v>333</v>
      </c>
      <c r="AJ59" s="41" t="s">
        <v>54</v>
      </c>
      <c r="AK59" s="41" t="s">
        <v>54</v>
      </c>
      <c r="AL59" s="41" t="s">
        <v>164</v>
      </c>
      <c r="AM59" s="45" t="s">
        <v>55</v>
      </c>
      <c r="AN59" s="45" t="s">
        <v>300</v>
      </c>
      <c r="AO59" s="45"/>
      <c r="AP59" s="46"/>
    </row>
    <row r="60" spans="3:42" ht="14.25" customHeight="1" x14ac:dyDescent="0.2">
      <c r="C60" s="40" t="str">
        <f>IF($X60=1,COUNTIF($C$10:C59,"&gt;0")+1,"")</f>
        <v/>
      </c>
      <c r="D60" s="41"/>
      <c r="E60" s="41" t="s">
        <v>327</v>
      </c>
      <c r="F60" s="42" t="s">
        <v>360</v>
      </c>
      <c r="G60" s="41" t="s">
        <v>355</v>
      </c>
      <c r="H60" s="41" t="s">
        <v>361</v>
      </c>
      <c r="I60" s="41" t="s">
        <v>357</v>
      </c>
      <c r="J60" s="41" t="s">
        <v>51</v>
      </c>
      <c r="K60" s="41" t="s">
        <v>52</v>
      </c>
      <c r="L60" s="43">
        <v>26966</v>
      </c>
      <c r="M60" s="41">
        <v>51</v>
      </c>
      <c r="N60" s="41" t="s">
        <v>362</v>
      </c>
      <c r="O60" s="43">
        <v>48843</v>
      </c>
      <c r="P60" s="41" t="s">
        <v>2</v>
      </c>
      <c r="Q60" s="41"/>
      <c r="R60" s="57">
        <v>45913</v>
      </c>
      <c r="S60" s="58">
        <v>45918</v>
      </c>
      <c r="T60" s="59">
        <f t="shared" si="0"/>
        <v>5</v>
      </c>
      <c r="U60" s="41">
        <v>1</v>
      </c>
      <c r="V60" s="41">
        <v>1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/>
      <c r="AC60" s="43">
        <v>45913</v>
      </c>
      <c r="AD60" s="44">
        <v>0.45833333333575865</v>
      </c>
      <c r="AE60" s="41" t="s">
        <v>72</v>
      </c>
      <c r="AF60" s="43">
        <v>45918</v>
      </c>
      <c r="AG60" s="44">
        <v>0.375</v>
      </c>
      <c r="AH60" s="41" t="s">
        <v>359</v>
      </c>
      <c r="AI60" s="41" t="s">
        <v>333</v>
      </c>
      <c r="AJ60" s="41" t="s">
        <v>54</v>
      </c>
      <c r="AK60" s="41" t="s">
        <v>54</v>
      </c>
      <c r="AL60" s="41" t="s">
        <v>164</v>
      </c>
      <c r="AM60" s="45" t="s">
        <v>55</v>
      </c>
      <c r="AN60" s="45" t="s">
        <v>300</v>
      </c>
      <c r="AO60" s="45"/>
      <c r="AP60" s="46"/>
    </row>
    <row r="61" spans="3:42" ht="14.25" customHeight="1" x14ac:dyDescent="0.2">
      <c r="C61" s="40">
        <f>IF($X61=1,COUNTIF($C$10:C60,"&gt;0")+1,"")</f>
        <v>26</v>
      </c>
      <c r="D61" s="41">
        <v>15262341</v>
      </c>
      <c r="E61" s="41" t="s">
        <v>327</v>
      </c>
      <c r="F61" s="42" t="s">
        <v>363</v>
      </c>
      <c r="G61" s="41" t="s">
        <v>355</v>
      </c>
      <c r="H61" s="41" t="s">
        <v>364</v>
      </c>
      <c r="I61" s="41" t="s">
        <v>357</v>
      </c>
      <c r="J61" s="41" t="s">
        <v>56</v>
      </c>
      <c r="K61" s="41" t="s">
        <v>52</v>
      </c>
      <c r="L61" s="43">
        <v>40610</v>
      </c>
      <c r="M61" s="41">
        <v>14</v>
      </c>
      <c r="N61" s="41" t="s">
        <v>365</v>
      </c>
      <c r="O61" s="43">
        <v>46461</v>
      </c>
      <c r="P61" s="41" t="s">
        <v>2</v>
      </c>
      <c r="Q61" s="41"/>
      <c r="R61" s="57">
        <v>45913</v>
      </c>
      <c r="S61" s="58">
        <v>45918</v>
      </c>
      <c r="T61" s="59">
        <f t="shared" si="0"/>
        <v>5</v>
      </c>
      <c r="U61" s="41">
        <v>1</v>
      </c>
      <c r="V61" s="41">
        <v>1</v>
      </c>
      <c r="W61" s="41">
        <v>0</v>
      </c>
      <c r="X61" s="41">
        <v>1</v>
      </c>
      <c r="Y61" s="41">
        <v>0</v>
      </c>
      <c r="Z61" s="41">
        <v>1</v>
      </c>
      <c r="AA61" s="41">
        <v>0</v>
      </c>
      <c r="AB61" s="41"/>
      <c r="AC61" s="43">
        <v>45913</v>
      </c>
      <c r="AD61" s="44">
        <v>0.45833333333575865</v>
      </c>
      <c r="AE61" s="41" t="s">
        <v>72</v>
      </c>
      <c r="AF61" s="43">
        <v>45918</v>
      </c>
      <c r="AG61" s="44">
        <v>0.375</v>
      </c>
      <c r="AH61" s="41" t="s">
        <v>359</v>
      </c>
      <c r="AI61" s="41" t="s">
        <v>333</v>
      </c>
      <c r="AJ61" s="41" t="s">
        <v>54</v>
      </c>
      <c r="AK61" s="41" t="s">
        <v>54</v>
      </c>
      <c r="AL61" s="41" t="s">
        <v>164</v>
      </c>
      <c r="AM61" s="45" t="s">
        <v>55</v>
      </c>
      <c r="AN61" s="45" t="s">
        <v>300</v>
      </c>
      <c r="AO61" s="45"/>
      <c r="AP61" s="46"/>
    </row>
    <row r="62" spans="3:42" ht="14.25" customHeight="1" x14ac:dyDescent="0.2">
      <c r="C62" s="40" t="str">
        <f>IF($X62=1,COUNTIF($C$10:C61,"&gt;0")+1,"")</f>
        <v/>
      </c>
      <c r="D62" s="41"/>
      <c r="E62" s="41" t="s">
        <v>327</v>
      </c>
      <c r="F62" s="42" t="s">
        <v>366</v>
      </c>
      <c r="G62" s="41" t="s">
        <v>355</v>
      </c>
      <c r="H62" s="41" t="s">
        <v>367</v>
      </c>
      <c r="I62" s="41" t="s">
        <v>368</v>
      </c>
      <c r="J62" s="41" t="s">
        <v>56</v>
      </c>
      <c r="K62" s="41" t="s">
        <v>64</v>
      </c>
      <c r="L62" s="43">
        <v>31024</v>
      </c>
      <c r="M62" s="41">
        <v>40</v>
      </c>
      <c r="N62" s="41" t="s">
        <v>369</v>
      </c>
      <c r="O62" s="43">
        <v>47069</v>
      </c>
      <c r="P62" s="41" t="s">
        <v>2</v>
      </c>
      <c r="Q62" s="41"/>
      <c r="R62" s="57">
        <v>45913</v>
      </c>
      <c r="S62" s="58">
        <v>45918</v>
      </c>
      <c r="T62" s="59">
        <f t="shared" si="0"/>
        <v>5</v>
      </c>
      <c r="U62" s="41">
        <v>1</v>
      </c>
      <c r="V62" s="41">
        <v>1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/>
      <c r="AC62" s="43">
        <v>45913</v>
      </c>
      <c r="AD62" s="44">
        <v>0.80555555555474712</v>
      </c>
      <c r="AE62" s="41" t="s">
        <v>96</v>
      </c>
      <c r="AF62" s="43">
        <v>45918</v>
      </c>
      <c r="AG62" s="44">
        <v>0.85416666666424135</v>
      </c>
      <c r="AH62" s="41" t="s">
        <v>66</v>
      </c>
      <c r="AI62" s="41" t="s">
        <v>333</v>
      </c>
      <c r="AJ62" s="41" t="s">
        <v>54</v>
      </c>
      <c r="AK62" s="41" t="s">
        <v>54</v>
      </c>
      <c r="AL62" s="41" t="s">
        <v>164</v>
      </c>
      <c r="AM62" s="45" t="s">
        <v>55</v>
      </c>
      <c r="AN62" s="45" t="s">
        <v>300</v>
      </c>
      <c r="AO62" s="45" t="s">
        <v>79</v>
      </c>
      <c r="AP62" s="46"/>
    </row>
    <row r="63" spans="3:42" ht="14.25" customHeight="1" x14ac:dyDescent="0.2">
      <c r="C63" s="40">
        <f>IF($X63=1,COUNTIF($C$10:C62,"&gt;0")+1,"")</f>
        <v>27</v>
      </c>
      <c r="D63" s="41">
        <v>15262343</v>
      </c>
      <c r="E63" s="41" t="s">
        <v>327</v>
      </c>
      <c r="F63" s="42" t="s">
        <v>370</v>
      </c>
      <c r="G63" s="41" t="s">
        <v>370</v>
      </c>
      <c r="H63" s="41" t="s">
        <v>371</v>
      </c>
      <c r="I63" s="41" t="s">
        <v>372</v>
      </c>
      <c r="J63" s="41" t="s">
        <v>51</v>
      </c>
      <c r="K63" s="41" t="s">
        <v>52</v>
      </c>
      <c r="L63" s="43">
        <v>27039</v>
      </c>
      <c r="M63" s="41">
        <v>51</v>
      </c>
      <c r="N63" s="41" t="s">
        <v>373</v>
      </c>
      <c r="O63" s="43">
        <v>49259</v>
      </c>
      <c r="P63" s="41" t="s">
        <v>2</v>
      </c>
      <c r="Q63" s="41"/>
      <c r="R63" s="57">
        <v>45913</v>
      </c>
      <c r="S63" s="58">
        <v>45918</v>
      </c>
      <c r="T63" s="59">
        <f t="shared" si="0"/>
        <v>5</v>
      </c>
      <c r="U63" s="41">
        <v>1</v>
      </c>
      <c r="V63" s="41">
        <v>1</v>
      </c>
      <c r="W63" s="41">
        <v>0</v>
      </c>
      <c r="X63" s="41">
        <v>1</v>
      </c>
      <c r="Y63" s="41">
        <v>0</v>
      </c>
      <c r="Z63" s="41">
        <v>1</v>
      </c>
      <c r="AA63" s="41">
        <v>0</v>
      </c>
      <c r="AB63" s="41"/>
      <c r="AC63" s="43">
        <v>45913</v>
      </c>
      <c r="AD63" s="44">
        <v>0.50694444444525288</v>
      </c>
      <c r="AE63" s="41" t="s">
        <v>65</v>
      </c>
      <c r="AF63" s="43">
        <v>45918</v>
      </c>
      <c r="AG63" s="44">
        <v>0.32986111110949423</v>
      </c>
      <c r="AH63" s="41" t="s">
        <v>374</v>
      </c>
      <c r="AI63" s="41" t="s">
        <v>333</v>
      </c>
      <c r="AJ63" s="41" t="s">
        <v>92</v>
      </c>
      <c r="AK63" s="41" t="s">
        <v>163</v>
      </c>
      <c r="AL63" s="41" t="s">
        <v>164</v>
      </c>
      <c r="AM63" s="45" t="s">
        <v>55</v>
      </c>
      <c r="AN63" s="45" t="s">
        <v>300</v>
      </c>
      <c r="AO63" s="45"/>
      <c r="AP63" s="46"/>
    </row>
    <row r="64" spans="3:42" ht="14.25" customHeight="1" x14ac:dyDescent="0.2">
      <c r="C64" s="40" t="str">
        <f>IF($X64=1,COUNTIF($C$10:C63,"&gt;0")+1,"")</f>
        <v/>
      </c>
      <c r="D64" s="41"/>
      <c r="E64" s="41" t="s">
        <v>327</v>
      </c>
      <c r="F64" s="42" t="s">
        <v>375</v>
      </c>
      <c r="G64" s="41" t="s">
        <v>370</v>
      </c>
      <c r="H64" s="41" t="s">
        <v>376</v>
      </c>
      <c r="I64" s="41" t="s">
        <v>372</v>
      </c>
      <c r="J64" s="41" t="s">
        <v>56</v>
      </c>
      <c r="K64" s="41" t="s">
        <v>52</v>
      </c>
      <c r="L64" s="43">
        <v>26094</v>
      </c>
      <c r="M64" s="41">
        <v>54</v>
      </c>
      <c r="N64" s="41" t="s">
        <v>377</v>
      </c>
      <c r="O64" s="43">
        <v>49259</v>
      </c>
      <c r="P64" s="41" t="s">
        <v>2</v>
      </c>
      <c r="Q64" s="41"/>
      <c r="R64" s="57">
        <v>45913</v>
      </c>
      <c r="S64" s="58">
        <v>45918</v>
      </c>
      <c r="T64" s="59">
        <f t="shared" si="0"/>
        <v>5</v>
      </c>
      <c r="U64" s="41">
        <v>1</v>
      </c>
      <c r="V64" s="41">
        <v>1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/>
      <c r="AC64" s="43">
        <v>45913</v>
      </c>
      <c r="AD64" s="44">
        <v>0.50694444444525288</v>
      </c>
      <c r="AE64" s="41" t="s">
        <v>65</v>
      </c>
      <c r="AF64" s="43">
        <v>45918</v>
      </c>
      <c r="AG64" s="44">
        <v>0.32986111110949423</v>
      </c>
      <c r="AH64" s="41" t="s">
        <v>374</v>
      </c>
      <c r="AI64" s="41" t="s">
        <v>333</v>
      </c>
      <c r="AJ64" s="41" t="s">
        <v>54</v>
      </c>
      <c r="AK64" s="41" t="s">
        <v>54</v>
      </c>
      <c r="AL64" s="41" t="s">
        <v>164</v>
      </c>
      <c r="AM64" s="45" t="s">
        <v>55</v>
      </c>
      <c r="AN64" s="45" t="s">
        <v>165</v>
      </c>
      <c r="AO64" s="45"/>
      <c r="AP64" s="46"/>
    </row>
    <row r="65" spans="3:42" ht="14.25" customHeight="1" x14ac:dyDescent="0.2">
      <c r="C65" s="40">
        <f>IF($X65=1,COUNTIF($C$10:C64,"&gt;0")+1,"")</f>
        <v>28</v>
      </c>
      <c r="D65" s="41">
        <v>15262344</v>
      </c>
      <c r="E65" s="41" t="s">
        <v>327</v>
      </c>
      <c r="F65" s="42" t="s">
        <v>378</v>
      </c>
      <c r="G65" s="41" t="s">
        <v>370</v>
      </c>
      <c r="H65" s="41" t="s">
        <v>379</v>
      </c>
      <c r="I65" s="41" t="s">
        <v>372</v>
      </c>
      <c r="J65" s="41" t="s">
        <v>56</v>
      </c>
      <c r="K65" s="41" t="s">
        <v>52</v>
      </c>
      <c r="L65" s="43">
        <v>37792</v>
      </c>
      <c r="M65" s="41">
        <v>22</v>
      </c>
      <c r="N65" s="41" t="s">
        <v>380</v>
      </c>
      <c r="O65" s="43">
        <v>49163</v>
      </c>
      <c r="P65" s="41" t="s">
        <v>2</v>
      </c>
      <c r="Q65" s="41"/>
      <c r="R65" s="57">
        <v>45913</v>
      </c>
      <c r="S65" s="58">
        <v>45918</v>
      </c>
      <c r="T65" s="59">
        <f t="shared" si="0"/>
        <v>5</v>
      </c>
      <c r="U65" s="41">
        <v>1</v>
      </c>
      <c r="V65" s="41">
        <v>1</v>
      </c>
      <c r="W65" s="41">
        <v>0</v>
      </c>
      <c r="X65" s="41">
        <v>1</v>
      </c>
      <c r="Y65" s="41">
        <v>0</v>
      </c>
      <c r="Z65" s="41">
        <v>1</v>
      </c>
      <c r="AA65" s="41">
        <v>0</v>
      </c>
      <c r="AB65" s="41"/>
      <c r="AC65" s="43">
        <v>45913</v>
      </c>
      <c r="AD65" s="44">
        <v>0.50694444444525288</v>
      </c>
      <c r="AE65" s="41" t="s">
        <v>65</v>
      </c>
      <c r="AF65" s="43">
        <v>45918</v>
      </c>
      <c r="AG65" s="44">
        <v>0.32986111110949423</v>
      </c>
      <c r="AH65" s="41" t="s">
        <v>374</v>
      </c>
      <c r="AI65" s="41" t="s">
        <v>333</v>
      </c>
      <c r="AJ65" s="41" t="s">
        <v>54</v>
      </c>
      <c r="AK65" s="41" t="s">
        <v>54</v>
      </c>
      <c r="AL65" s="41" t="s">
        <v>164</v>
      </c>
      <c r="AM65" s="45" t="s">
        <v>55</v>
      </c>
      <c r="AN65" s="45" t="s">
        <v>300</v>
      </c>
      <c r="AO65" s="45"/>
      <c r="AP65" s="46"/>
    </row>
    <row r="66" spans="3:42" ht="14.25" customHeight="1" x14ac:dyDescent="0.2">
      <c r="C66" s="40" t="str">
        <f>IF($X66=1,COUNTIF($C$10:C65,"&gt;0")+1,"")</f>
        <v/>
      </c>
      <c r="D66" s="41"/>
      <c r="E66" s="41" t="s">
        <v>327</v>
      </c>
      <c r="F66" s="42" t="s">
        <v>381</v>
      </c>
      <c r="G66" s="41" t="s">
        <v>370</v>
      </c>
      <c r="H66" s="41" t="s">
        <v>382</v>
      </c>
      <c r="I66" s="41" t="s">
        <v>372</v>
      </c>
      <c r="J66" s="41" t="s">
        <v>56</v>
      </c>
      <c r="K66" s="41" t="s">
        <v>52</v>
      </c>
      <c r="L66" s="43">
        <v>39507</v>
      </c>
      <c r="M66" s="41">
        <v>17</v>
      </c>
      <c r="N66" s="41" t="s">
        <v>383</v>
      </c>
      <c r="O66" s="43">
        <v>46708</v>
      </c>
      <c r="P66" s="41" t="s">
        <v>2</v>
      </c>
      <c r="Q66" s="41"/>
      <c r="R66" s="57">
        <v>45913</v>
      </c>
      <c r="S66" s="58">
        <v>45918</v>
      </c>
      <c r="T66" s="59">
        <f t="shared" si="0"/>
        <v>5</v>
      </c>
      <c r="U66" s="41">
        <v>1</v>
      </c>
      <c r="V66" s="41">
        <v>1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/>
      <c r="AC66" s="43">
        <v>45913</v>
      </c>
      <c r="AD66" s="44">
        <v>0.50694444444525288</v>
      </c>
      <c r="AE66" s="41" t="s">
        <v>65</v>
      </c>
      <c r="AF66" s="43">
        <v>45918</v>
      </c>
      <c r="AG66" s="44">
        <v>0.32986111110949423</v>
      </c>
      <c r="AH66" s="41" t="s">
        <v>374</v>
      </c>
      <c r="AI66" s="41" t="s">
        <v>333</v>
      </c>
      <c r="AJ66" s="41" t="s">
        <v>54</v>
      </c>
      <c r="AK66" s="41" t="s">
        <v>54</v>
      </c>
      <c r="AL66" s="41" t="s">
        <v>164</v>
      </c>
      <c r="AM66" s="45" t="s">
        <v>55</v>
      </c>
      <c r="AN66" s="45" t="s">
        <v>300</v>
      </c>
      <c r="AO66" s="45"/>
      <c r="AP66" s="46"/>
    </row>
    <row r="67" spans="3:42" ht="14.25" customHeight="1" x14ac:dyDescent="0.2">
      <c r="C67" s="40">
        <f>IF($X67=1,COUNTIF($C$10:C66,"&gt;0")+1,"")</f>
        <v>29</v>
      </c>
      <c r="D67" s="41">
        <v>15262345</v>
      </c>
      <c r="E67" s="41" t="s">
        <v>327</v>
      </c>
      <c r="F67" s="42" t="s">
        <v>384</v>
      </c>
      <c r="G67" s="41" t="s">
        <v>370</v>
      </c>
      <c r="H67" s="41" t="s">
        <v>385</v>
      </c>
      <c r="I67" s="41" t="s">
        <v>372</v>
      </c>
      <c r="J67" s="41" t="s">
        <v>51</v>
      </c>
      <c r="K67" s="41" t="s">
        <v>52</v>
      </c>
      <c r="L67" s="43">
        <v>40128</v>
      </c>
      <c r="M67" s="41">
        <v>15</v>
      </c>
      <c r="N67" s="41" t="s">
        <v>386</v>
      </c>
      <c r="O67" s="43">
        <v>47355</v>
      </c>
      <c r="P67" s="41" t="s">
        <v>3</v>
      </c>
      <c r="Q67" s="41"/>
      <c r="R67" s="57">
        <v>45913</v>
      </c>
      <c r="S67" s="58">
        <v>45918</v>
      </c>
      <c r="T67" s="59">
        <f t="shared" si="0"/>
        <v>5</v>
      </c>
      <c r="U67" s="41">
        <v>1</v>
      </c>
      <c r="V67" s="41">
        <v>1</v>
      </c>
      <c r="W67" s="41">
        <v>0</v>
      </c>
      <c r="X67" s="41">
        <v>1</v>
      </c>
      <c r="Y67" s="41">
        <v>0</v>
      </c>
      <c r="Z67" s="41">
        <v>0</v>
      </c>
      <c r="AA67" s="41">
        <v>1</v>
      </c>
      <c r="AB67" s="41"/>
      <c r="AC67" s="43">
        <v>45913</v>
      </c>
      <c r="AD67" s="44">
        <v>0.50694444444525288</v>
      </c>
      <c r="AE67" s="41" t="s">
        <v>65</v>
      </c>
      <c r="AF67" s="43">
        <v>45918</v>
      </c>
      <c r="AG67" s="44">
        <v>0.32986111110949423</v>
      </c>
      <c r="AH67" s="41" t="s">
        <v>374</v>
      </c>
      <c r="AI67" s="41" t="s">
        <v>333</v>
      </c>
      <c r="AJ67" s="41" t="s">
        <v>54</v>
      </c>
      <c r="AK67" s="41" t="s">
        <v>54</v>
      </c>
      <c r="AL67" s="41" t="s">
        <v>164</v>
      </c>
      <c r="AM67" s="45" t="s">
        <v>55</v>
      </c>
      <c r="AN67" s="45" t="s">
        <v>387</v>
      </c>
      <c r="AO67" s="45"/>
      <c r="AP67" s="46"/>
    </row>
    <row r="68" spans="3:42" ht="14.25" customHeight="1" x14ac:dyDescent="0.2">
      <c r="C68" s="40" t="str">
        <f>IF($X68=1,COUNTIF($C$10:C67,"&gt;0")+1,"")</f>
        <v/>
      </c>
      <c r="D68" s="41"/>
      <c r="E68" s="41" t="s">
        <v>327</v>
      </c>
      <c r="F68" s="42" t="s">
        <v>388</v>
      </c>
      <c r="G68" s="41" t="s">
        <v>370</v>
      </c>
      <c r="H68" s="41" t="s">
        <v>389</v>
      </c>
      <c r="I68" s="41" t="s">
        <v>390</v>
      </c>
      <c r="J68" s="41" t="s">
        <v>56</v>
      </c>
      <c r="K68" s="41" t="s">
        <v>52</v>
      </c>
      <c r="L68" s="43">
        <v>29856</v>
      </c>
      <c r="M68" s="41">
        <v>43</v>
      </c>
      <c r="N68" s="41" t="s">
        <v>391</v>
      </c>
      <c r="O68" s="43">
        <v>46531</v>
      </c>
      <c r="P68" s="41" t="s">
        <v>3</v>
      </c>
      <c r="Q68" s="41"/>
      <c r="R68" s="57">
        <v>45913</v>
      </c>
      <c r="S68" s="58">
        <v>45918</v>
      </c>
      <c r="T68" s="59">
        <f t="shared" si="0"/>
        <v>5</v>
      </c>
      <c r="U68" s="41">
        <v>1</v>
      </c>
      <c r="V68" s="41">
        <v>1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/>
      <c r="AC68" s="43">
        <v>45913</v>
      </c>
      <c r="AD68" s="44">
        <v>0.65625</v>
      </c>
      <c r="AE68" s="41" t="s">
        <v>122</v>
      </c>
      <c r="AF68" s="43">
        <v>45918</v>
      </c>
      <c r="AG68" s="44">
        <v>0.32986111110949423</v>
      </c>
      <c r="AH68" s="41" t="s">
        <v>374</v>
      </c>
      <c r="AI68" s="41" t="s">
        <v>333</v>
      </c>
      <c r="AJ68" s="41" t="s">
        <v>54</v>
      </c>
      <c r="AK68" s="41" t="s">
        <v>54</v>
      </c>
      <c r="AL68" s="41" t="s">
        <v>164</v>
      </c>
      <c r="AM68" s="45" t="s">
        <v>55</v>
      </c>
      <c r="AN68" s="45" t="s">
        <v>387</v>
      </c>
      <c r="AO68" s="45"/>
      <c r="AP68" s="46"/>
    </row>
    <row r="69" spans="3:42" ht="14.25" customHeight="1" x14ac:dyDescent="0.2">
      <c r="C69" s="40">
        <f>IF($X69=1,COUNTIF($C$10:C68,"&gt;0")+1,"")</f>
        <v>30</v>
      </c>
      <c r="D69" s="41">
        <v>15262346</v>
      </c>
      <c r="E69" s="41" t="s">
        <v>327</v>
      </c>
      <c r="F69" s="42" t="s">
        <v>392</v>
      </c>
      <c r="G69" s="41" t="s">
        <v>392</v>
      </c>
      <c r="H69" s="41" t="s">
        <v>393</v>
      </c>
      <c r="I69" s="41" t="s">
        <v>394</v>
      </c>
      <c r="J69" s="41" t="s">
        <v>51</v>
      </c>
      <c r="K69" s="41" t="s">
        <v>52</v>
      </c>
      <c r="L69" s="43">
        <v>27523</v>
      </c>
      <c r="M69" s="41">
        <v>50</v>
      </c>
      <c r="N69" s="41" t="s">
        <v>395</v>
      </c>
      <c r="O69" s="43">
        <v>48227</v>
      </c>
      <c r="P69" s="41" t="s">
        <v>2</v>
      </c>
      <c r="Q69" s="41"/>
      <c r="R69" s="57">
        <v>45913</v>
      </c>
      <c r="S69" s="58">
        <v>45918</v>
      </c>
      <c r="T69" s="59">
        <f t="shared" si="0"/>
        <v>5</v>
      </c>
      <c r="U69" s="41">
        <v>1</v>
      </c>
      <c r="V69" s="41">
        <v>1</v>
      </c>
      <c r="W69" s="41">
        <v>0</v>
      </c>
      <c r="X69" s="41">
        <v>1</v>
      </c>
      <c r="Y69" s="41">
        <v>0</v>
      </c>
      <c r="Z69" s="41">
        <v>1</v>
      </c>
      <c r="AA69" s="41">
        <v>0</v>
      </c>
      <c r="AB69" s="41"/>
      <c r="AC69" s="43">
        <v>45913</v>
      </c>
      <c r="AD69" s="44">
        <v>0.50694444444525288</v>
      </c>
      <c r="AE69" s="41" t="s">
        <v>65</v>
      </c>
      <c r="AF69" s="43">
        <v>45918</v>
      </c>
      <c r="AG69" s="44">
        <v>0.79513888889050577</v>
      </c>
      <c r="AH69" s="41" t="s">
        <v>99</v>
      </c>
      <c r="AI69" s="41" t="s">
        <v>333</v>
      </c>
      <c r="AJ69" s="41" t="s">
        <v>54</v>
      </c>
      <c r="AK69" s="41" t="s">
        <v>54</v>
      </c>
      <c r="AL69" s="41" t="s">
        <v>164</v>
      </c>
      <c r="AM69" s="45" t="s">
        <v>55</v>
      </c>
      <c r="AN69" s="45" t="s">
        <v>300</v>
      </c>
      <c r="AO69" s="45"/>
      <c r="AP69" s="46"/>
    </row>
    <row r="70" spans="3:42" ht="14.25" customHeight="1" x14ac:dyDescent="0.2">
      <c r="C70" s="40" t="str">
        <f>IF($X70=1,COUNTIF($C$10:C69,"&gt;0")+1,"")</f>
        <v/>
      </c>
      <c r="D70" s="41"/>
      <c r="E70" s="41" t="s">
        <v>327</v>
      </c>
      <c r="F70" s="42" t="s">
        <v>396</v>
      </c>
      <c r="G70" s="41" t="s">
        <v>392</v>
      </c>
      <c r="H70" s="41" t="s">
        <v>397</v>
      </c>
      <c r="I70" s="41" t="s">
        <v>394</v>
      </c>
      <c r="J70" s="41" t="s">
        <v>56</v>
      </c>
      <c r="K70" s="41" t="s">
        <v>54</v>
      </c>
      <c r="L70" s="43" t="s">
        <v>54</v>
      </c>
      <c r="M70" s="41" t="s">
        <v>54</v>
      </c>
      <c r="N70" s="41" t="s">
        <v>54</v>
      </c>
      <c r="O70" s="43" t="s">
        <v>54</v>
      </c>
      <c r="P70" s="41" t="s">
        <v>2</v>
      </c>
      <c r="Q70" s="41"/>
      <c r="R70" s="57">
        <v>45913</v>
      </c>
      <c r="S70" s="58">
        <v>45918</v>
      </c>
      <c r="T70" s="59">
        <f t="shared" si="0"/>
        <v>5</v>
      </c>
      <c r="U70" s="41">
        <v>1</v>
      </c>
      <c r="V70" s="41">
        <v>1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/>
      <c r="AC70" s="43">
        <v>45913</v>
      </c>
      <c r="AD70" s="44">
        <v>0.50694444444525288</v>
      </c>
      <c r="AE70" s="41" t="s">
        <v>65</v>
      </c>
      <c r="AF70" s="43">
        <v>45918</v>
      </c>
      <c r="AG70" s="44">
        <v>0.79513888889050577</v>
      </c>
      <c r="AH70" s="41" t="s">
        <v>99</v>
      </c>
      <c r="AI70" s="41" t="s">
        <v>333</v>
      </c>
      <c r="AJ70" s="41" t="s">
        <v>54</v>
      </c>
      <c r="AK70" s="41" t="s">
        <v>54</v>
      </c>
      <c r="AL70" s="41" t="s">
        <v>164</v>
      </c>
      <c r="AM70" s="45" t="s">
        <v>55</v>
      </c>
      <c r="AN70" s="45" t="s">
        <v>300</v>
      </c>
      <c r="AO70" s="45"/>
      <c r="AP70" s="46"/>
    </row>
    <row r="71" spans="3:42" ht="14.25" customHeight="1" x14ac:dyDescent="0.2">
      <c r="C71" s="40">
        <f>IF($X71=1,COUNTIF($C$10:C70,"&gt;0")+1,"")</f>
        <v>31</v>
      </c>
      <c r="D71" s="41">
        <v>15262347</v>
      </c>
      <c r="E71" s="41" t="s">
        <v>327</v>
      </c>
      <c r="F71" s="42" t="s">
        <v>398</v>
      </c>
      <c r="G71" s="41" t="s">
        <v>398</v>
      </c>
      <c r="H71" s="41" t="s">
        <v>399</v>
      </c>
      <c r="I71" s="41" t="s">
        <v>400</v>
      </c>
      <c r="J71" s="41" t="s">
        <v>56</v>
      </c>
      <c r="K71" s="41" t="s">
        <v>52</v>
      </c>
      <c r="L71" s="43">
        <v>17446</v>
      </c>
      <c r="M71" s="41">
        <v>77</v>
      </c>
      <c r="N71" s="41" t="s">
        <v>401</v>
      </c>
      <c r="O71" s="43">
        <v>49112</v>
      </c>
      <c r="P71" s="41" t="s">
        <v>2</v>
      </c>
      <c r="Q71" s="41"/>
      <c r="R71" s="57">
        <v>45913</v>
      </c>
      <c r="S71" s="58">
        <v>45918</v>
      </c>
      <c r="T71" s="59">
        <f t="shared" si="0"/>
        <v>5</v>
      </c>
      <c r="U71" s="41">
        <v>1</v>
      </c>
      <c r="V71" s="41">
        <v>1</v>
      </c>
      <c r="W71" s="41">
        <v>0</v>
      </c>
      <c r="X71" s="41">
        <v>1</v>
      </c>
      <c r="Y71" s="41">
        <v>0</v>
      </c>
      <c r="Z71" s="41">
        <v>1</v>
      </c>
      <c r="AA71" s="41">
        <v>0</v>
      </c>
      <c r="AB71" s="41"/>
      <c r="AC71" s="43">
        <v>45912</v>
      </c>
      <c r="AD71" s="44">
        <v>0.65625</v>
      </c>
      <c r="AE71" s="41" t="s">
        <v>122</v>
      </c>
      <c r="AF71" s="43">
        <v>45919</v>
      </c>
      <c r="AG71" s="44">
        <v>0.92013888889050577</v>
      </c>
      <c r="AH71" s="41" t="s">
        <v>131</v>
      </c>
      <c r="AI71" s="41" t="s">
        <v>333</v>
      </c>
      <c r="AJ71" s="41" t="s">
        <v>54</v>
      </c>
      <c r="AK71" s="41" t="s">
        <v>54</v>
      </c>
      <c r="AL71" s="41" t="s">
        <v>164</v>
      </c>
      <c r="AM71" s="45" t="s">
        <v>55</v>
      </c>
      <c r="AN71" s="45" t="s">
        <v>300</v>
      </c>
      <c r="AO71" s="45"/>
      <c r="AP71" s="46"/>
    </row>
    <row r="72" spans="3:42" ht="14.25" customHeight="1" x14ac:dyDescent="0.2">
      <c r="C72" s="40" t="str">
        <f>IF($X72=1,COUNTIF($C$10:C71,"&gt;0")+1,"")</f>
        <v/>
      </c>
      <c r="D72" s="41"/>
      <c r="E72" s="41" t="s">
        <v>327</v>
      </c>
      <c r="F72" s="42" t="s">
        <v>402</v>
      </c>
      <c r="G72" s="41" t="s">
        <v>398</v>
      </c>
      <c r="H72" s="41" t="s">
        <v>403</v>
      </c>
      <c r="I72" s="41" t="s">
        <v>404</v>
      </c>
      <c r="J72" s="41" t="s">
        <v>56</v>
      </c>
      <c r="K72" s="41" t="s">
        <v>52</v>
      </c>
      <c r="L72" s="43">
        <v>24225</v>
      </c>
      <c r="M72" s="41">
        <v>59</v>
      </c>
      <c r="N72" s="41" t="s">
        <v>405</v>
      </c>
      <c r="O72" s="43">
        <v>47300</v>
      </c>
      <c r="P72" s="41" t="s">
        <v>2</v>
      </c>
      <c r="Q72" s="41"/>
      <c r="R72" s="57">
        <v>45913</v>
      </c>
      <c r="S72" s="58">
        <v>45918</v>
      </c>
      <c r="T72" s="59">
        <f t="shared" si="0"/>
        <v>5</v>
      </c>
      <c r="U72" s="41">
        <v>1</v>
      </c>
      <c r="V72" s="41">
        <v>1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/>
      <c r="AC72" s="43">
        <v>45913</v>
      </c>
      <c r="AD72" s="44">
        <v>0.625</v>
      </c>
      <c r="AE72" s="41" t="s">
        <v>57</v>
      </c>
      <c r="AF72" s="43">
        <v>45918</v>
      </c>
      <c r="AG72" s="44">
        <v>0.65625</v>
      </c>
      <c r="AH72" s="41" t="s">
        <v>135</v>
      </c>
      <c r="AI72" s="41" t="s">
        <v>333</v>
      </c>
      <c r="AJ72" s="41" t="s">
        <v>54</v>
      </c>
      <c r="AK72" s="41" t="s">
        <v>54</v>
      </c>
      <c r="AL72" s="41" t="s">
        <v>164</v>
      </c>
      <c r="AM72" s="45" t="s">
        <v>55</v>
      </c>
      <c r="AN72" s="45" t="s">
        <v>300</v>
      </c>
      <c r="AO72" s="45"/>
      <c r="AP72" s="46"/>
    </row>
    <row r="73" spans="3:42" ht="14.25" customHeight="1" x14ac:dyDescent="0.2">
      <c r="C73" s="40">
        <f>IF($X73=1,COUNTIF($C$10:C72,"&gt;0")+1,"")</f>
        <v>32</v>
      </c>
      <c r="D73" s="41">
        <v>15262348</v>
      </c>
      <c r="E73" s="41" t="s">
        <v>327</v>
      </c>
      <c r="F73" s="42" t="s">
        <v>406</v>
      </c>
      <c r="G73" s="41" t="s">
        <v>398</v>
      </c>
      <c r="H73" s="41" t="s">
        <v>407</v>
      </c>
      <c r="I73" s="41" t="s">
        <v>408</v>
      </c>
      <c r="J73" s="41" t="s">
        <v>51</v>
      </c>
      <c r="K73" s="41" t="s">
        <v>52</v>
      </c>
      <c r="L73" s="43">
        <v>22601</v>
      </c>
      <c r="M73" s="41">
        <v>63</v>
      </c>
      <c r="N73" s="41" t="s">
        <v>409</v>
      </c>
      <c r="O73" s="43">
        <v>47817</v>
      </c>
      <c r="P73" s="41" t="s">
        <v>2</v>
      </c>
      <c r="Q73" s="41"/>
      <c r="R73" s="57">
        <v>45913</v>
      </c>
      <c r="S73" s="58">
        <v>45918</v>
      </c>
      <c r="T73" s="59">
        <f t="shared" si="0"/>
        <v>5</v>
      </c>
      <c r="U73" s="41">
        <v>1</v>
      </c>
      <c r="V73" s="41">
        <v>1</v>
      </c>
      <c r="W73" s="41">
        <v>0</v>
      </c>
      <c r="X73" s="41">
        <v>1</v>
      </c>
      <c r="Y73" s="41">
        <v>0</v>
      </c>
      <c r="Z73" s="41">
        <v>1</v>
      </c>
      <c r="AA73" s="41">
        <v>0</v>
      </c>
      <c r="AB73" s="41"/>
      <c r="AC73" s="43">
        <v>45913</v>
      </c>
      <c r="AD73" s="44">
        <v>0.72569444444525288</v>
      </c>
      <c r="AE73" s="41" t="s">
        <v>148</v>
      </c>
      <c r="AF73" s="43">
        <v>45918</v>
      </c>
      <c r="AG73" s="44">
        <v>0.78472222221898846</v>
      </c>
      <c r="AH73" s="41" t="s">
        <v>147</v>
      </c>
      <c r="AI73" s="41" t="s">
        <v>333</v>
      </c>
      <c r="AJ73" s="41" t="s">
        <v>54</v>
      </c>
      <c r="AK73" s="41" t="s">
        <v>54</v>
      </c>
      <c r="AL73" s="41" t="s">
        <v>164</v>
      </c>
      <c r="AM73" s="45" t="s">
        <v>55</v>
      </c>
      <c r="AN73" s="45" t="s">
        <v>300</v>
      </c>
      <c r="AO73" s="45"/>
      <c r="AP73" s="46"/>
    </row>
    <row r="74" spans="3:42" ht="14.25" customHeight="1" x14ac:dyDescent="0.2">
      <c r="C74" s="40" t="str">
        <f>IF($X74=1,COUNTIF($C$10:C73,"&gt;0")+1,"")</f>
        <v/>
      </c>
      <c r="D74" s="41"/>
      <c r="E74" s="41" t="s">
        <v>327</v>
      </c>
      <c r="F74" s="42" t="s">
        <v>410</v>
      </c>
      <c r="G74" s="41" t="s">
        <v>398</v>
      </c>
      <c r="H74" s="41" t="s">
        <v>411</v>
      </c>
      <c r="I74" s="41" t="s">
        <v>412</v>
      </c>
      <c r="J74" s="41" t="s">
        <v>56</v>
      </c>
      <c r="K74" s="41" t="s">
        <v>52</v>
      </c>
      <c r="L74" s="43">
        <v>19616</v>
      </c>
      <c r="M74" s="41">
        <v>72</v>
      </c>
      <c r="N74" s="41" t="s">
        <v>413</v>
      </c>
      <c r="O74" s="43">
        <v>44993</v>
      </c>
      <c r="P74" s="41" t="s">
        <v>2</v>
      </c>
      <c r="Q74" s="41"/>
      <c r="R74" s="57">
        <v>45913</v>
      </c>
      <c r="S74" s="58">
        <v>45918</v>
      </c>
      <c r="T74" s="59">
        <f t="shared" ref="T74:T137" si="1">S74-R74</f>
        <v>5</v>
      </c>
      <c r="U74" s="41">
        <v>1</v>
      </c>
      <c r="V74" s="41">
        <v>1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/>
      <c r="AC74" s="43">
        <v>45913</v>
      </c>
      <c r="AD74" s="44">
        <v>0.72569444444525288</v>
      </c>
      <c r="AE74" s="41" t="s">
        <v>148</v>
      </c>
      <c r="AF74" s="43">
        <v>45918</v>
      </c>
      <c r="AG74" s="44">
        <v>0.78472222221898846</v>
      </c>
      <c r="AH74" s="41" t="s">
        <v>147</v>
      </c>
      <c r="AI74" s="41" t="s">
        <v>333</v>
      </c>
      <c r="AJ74" s="41" t="s">
        <v>54</v>
      </c>
      <c r="AK74" s="41" t="s">
        <v>54</v>
      </c>
      <c r="AL74" s="41" t="s">
        <v>164</v>
      </c>
      <c r="AM74" s="45" t="s">
        <v>55</v>
      </c>
      <c r="AN74" s="45" t="s">
        <v>300</v>
      </c>
      <c r="AO74" s="45"/>
      <c r="AP74" s="46"/>
    </row>
    <row r="75" spans="3:42" ht="14.25" customHeight="1" x14ac:dyDescent="0.2">
      <c r="C75" s="40">
        <f>IF($X75=1,COUNTIF($C$10:C74,"&gt;0")+1,"")</f>
        <v>33</v>
      </c>
      <c r="D75" s="41">
        <v>15262349</v>
      </c>
      <c r="E75" s="41" t="s">
        <v>327</v>
      </c>
      <c r="F75" s="42" t="s">
        <v>414</v>
      </c>
      <c r="G75" s="41" t="s">
        <v>414</v>
      </c>
      <c r="H75" s="41" t="s">
        <v>415</v>
      </c>
      <c r="I75" s="41" t="s">
        <v>416</v>
      </c>
      <c r="J75" s="41" t="s">
        <v>56</v>
      </c>
      <c r="K75" s="41" t="s">
        <v>52</v>
      </c>
      <c r="L75" s="43">
        <v>25851</v>
      </c>
      <c r="M75" s="41">
        <v>54</v>
      </c>
      <c r="N75" s="41" t="s">
        <v>417</v>
      </c>
      <c r="O75" s="43">
        <v>46487</v>
      </c>
      <c r="P75" s="41" t="s">
        <v>2</v>
      </c>
      <c r="Q75" s="41"/>
      <c r="R75" s="57">
        <v>45913</v>
      </c>
      <c r="S75" s="58">
        <v>45918</v>
      </c>
      <c r="T75" s="59">
        <f t="shared" si="1"/>
        <v>5</v>
      </c>
      <c r="U75" s="41">
        <v>1</v>
      </c>
      <c r="V75" s="41">
        <v>1</v>
      </c>
      <c r="W75" s="41">
        <v>0</v>
      </c>
      <c r="X75" s="41">
        <v>1</v>
      </c>
      <c r="Y75" s="41">
        <v>0</v>
      </c>
      <c r="Z75" s="41">
        <v>1</v>
      </c>
      <c r="AA75" s="41">
        <v>0</v>
      </c>
      <c r="AB75" s="41"/>
      <c r="AC75" s="43" t="s">
        <v>54</v>
      </c>
      <c r="AD75" s="44" t="s">
        <v>54</v>
      </c>
      <c r="AE75" s="41" t="s">
        <v>107</v>
      </c>
      <c r="AF75" s="43">
        <v>45918</v>
      </c>
      <c r="AG75" s="44">
        <v>0.77430555555474712</v>
      </c>
      <c r="AH75" s="41" t="s">
        <v>418</v>
      </c>
      <c r="AI75" s="41" t="s">
        <v>333</v>
      </c>
      <c r="AJ75" s="41" t="s">
        <v>54</v>
      </c>
      <c r="AK75" s="41"/>
      <c r="AL75" s="41" t="s">
        <v>164</v>
      </c>
      <c r="AM75" s="45" t="s">
        <v>55</v>
      </c>
      <c r="AN75" s="45" t="s">
        <v>300</v>
      </c>
      <c r="AO75" s="45"/>
      <c r="AP75" s="46"/>
    </row>
    <row r="76" spans="3:42" ht="14.25" customHeight="1" x14ac:dyDescent="0.2">
      <c r="C76" s="40" t="str">
        <f>IF($X76=1,COUNTIF($C$10:C75,"&gt;0")+1,"")</f>
        <v/>
      </c>
      <c r="D76" s="41"/>
      <c r="E76" s="41" t="s">
        <v>327</v>
      </c>
      <c r="F76" s="42" t="s">
        <v>419</v>
      </c>
      <c r="G76" s="41" t="s">
        <v>414</v>
      </c>
      <c r="H76" s="41" t="s">
        <v>420</v>
      </c>
      <c r="I76" s="41" t="s">
        <v>416</v>
      </c>
      <c r="J76" s="41" t="s">
        <v>51</v>
      </c>
      <c r="K76" s="41" t="s">
        <v>52</v>
      </c>
      <c r="L76" s="43">
        <v>26629</v>
      </c>
      <c r="M76" s="41">
        <v>52</v>
      </c>
      <c r="N76" s="41" t="s">
        <v>421</v>
      </c>
      <c r="O76" s="43">
        <v>47904</v>
      </c>
      <c r="P76" s="41" t="s">
        <v>2</v>
      </c>
      <c r="Q76" s="41"/>
      <c r="R76" s="57">
        <v>45913</v>
      </c>
      <c r="S76" s="58">
        <v>45918</v>
      </c>
      <c r="T76" s="59">
        <f t="shared" si="1"/>
        <v>5</v>
      </c>
      <c r="U76" s="41">
        <v>1</v>
      </c>
      <c r="V76" s="41">
        <v>1</v>
      </c>
      <c r="W76" s="41">
        <v>0</v>
      </c>
      <c r="X76" s="41">
        <v>0</v>
      </c>
      <c r="Y76" s="41">
        <v>0</v>
      </c>
      <c r="Z76" s="41">
        <v>0</v>
      </c>
      <c r="AA76" s="41">
        <v>0</v>
      </c>
      <c r="AB76" s="41"/>
      <c r="AC76" s="43" t="s">
        <v>54</v>
      </c>
      <c r="AD76" s="44" t="s">
        <v>54</v>
      </c>
      <c r="AE76" s="41" t="s">
        <v>107</v>
      </c>
      <c r="AF76" s="43">
        <v>45918</v>
      </c>
      <c r="AG76" s="44">
        <v>0.77430555555474712</v>
      </c>
      <c r="AH76" s="41" t="s">
        <v>418</v>
      </c>
      <c r="AI76" s="41" t="s">
        <v>333</v>
      </c>
      <c r="AJ76" s="41" t="s">
        <v>54</v>
      </c>
      <c r="AK76" s="41"/>
      <c r="AL76" s="41" t="s">
        <v>164</v>
      </c>
      <c r="AM76" s="45" t="s">
        <v>55</v>
      </c>
      <c r="AN76" s="45" t="s">
        <v>300</v>
      </c>
      <c r="AO76" s="45"/>
      <c r="AP76" s="46"/>
    </row>
    <row r="77" spans="3:42" ht="14.25" customHeight="1" x14ac:dyDescent="0.2">
      <c r="C77" s="40">
        <f>IF($X77=1,COUNTIF($C$10:C76,"&gt;0")+1,"")</f>
        <v>34</v>
      </c>
      <c r="D77" s="41">
        <v>15262350</v>
      </c>
      <c r="E77" s="41" t="s">
        <v>327</v>
      </c>
      <c r="F77" s="42" t="s">
        <v>422</v>
      </c>
      <c r="G77" s="41" t="s">
        <v>414</v>
      </c>
      <c r="H77" s="41" t="s">
        <v>423</v>
      </c>
      <c r="I77" s="41" t="s">
        <v>416</v>
      </c>
      <c r="J77" s="41" t="s">
        <v>51</v>
      </c>
      <c r="K77" s="41" t="s">
        <v>52</v>
      </c>
      <c r="L77" s="43">
        <v>38083</v>
      </c>
      <c r="M77" s="41">
        <v>21</v>
      </c>
      <c r="N77" s="41" t="s">
        <v>424</v>
      </c>
      <c r="O77" s="43">
        <v>47867</v>
      </c>
      <c r="P77" s="41" t="s">
        <v>3</v>
      </c>
      <c r="Q77" s="41"/>
      <c r="R77" s="57">
        <v>45913</v>
      </c>
      <c r="S77" s="58">
        <v>45918</v>
      </c>
      <c r="T77" s="59">
        <f t="shared" si="1"/>
        <v>5</v>
      </c>
      <c r="U77" s="41">
        <v>1</v>
      </c>
      <c r="V77" s="41">
        <v>1</v>
      </c>
      <c r="W77" s="41">
        <v>0</v>
      </c>
      <c r="X77" s="41">
        <v>1</v>
      </c>
      <c r="Y77" s="41">
        <v>0</v>
      </c>
      <c r="Z77" s="41">
        <v>0</v>
      </c>
      <c r="AA77" s="41">
        <v>1</v>
      </c>
      <c r="AB77" s="41"/>
      <c r="AC77" s="43" t="s">
        <v>54</v>
      </c>
      <c r="AD77" s="44" t="s">
        <v>54</v>
      </c>
      <c r="AE77" s="41" t="s">
        <v>107</v>
      </c>
      <c r="AF77" s="43">
        <v>45918</v>
      </c>
      <c r="AG77" s="44">
        <v>0.77430555555474712</v>
      </c>
      <c r="AH77" s="41" t="s">
        <v>418</v>
      </c>
      <c r="AI77" s="41" t="s">
        <v>333</v>
      </c>
      <c r="AJ77" s="41" t="s">
        <v>54</v>
      </c>
      <c r="AK77" s="41"/>
      <c r="AL77" s="41" t="s">
        <v>164</v>
      </c>
      <c r="AM77" s="45" t="s">
        <v>55</v>
      </c>
      <c r="AN77" s="45" t="s">
        <v>387</v>
      </c>
      <c r="AO77" s="45"/>
      <c r="AP77" s="46"/>
    </row>
    <row r="78" spans="3:42" ht="14.25" customHeight="1" x14ac:dyDescent="0.2">
      <c r="C78" s="40" t="str">
        <f>IF($X78=1,COUNTIF($C$10:C77,"&gt;0")+1,"")</f>
        <v/>
      </c>
      <c r="D78" s="41"/>
      <c r="E78" s="41" t="s">
        <v>327</v>
      </c>
      <c r="F78" s="42" t="s">
        <v>425</v>
      </c>
      <c r="G78" s="41" t="s">
        <v>414</v>
      </c>
      <c r="H78" s="41" t="s">
        <v>426</v>
      </c>
      <c r="I78" s="41" t="s">
        <v>416</v>
      </c>
      <c r="J78" s="41" t="s">
        <v>56</v>
      </c>
      <c r="K78" s="41" t="s">
        <v>52</v>
      </c>
      <c r="L78" s="43">
        <v>35965</v>
      </c>
      <c r="M78" s="41">
        <v>27</v>
      </c>
      <c r="N78" s="41" t="s">
        <v>427</v>
      </c>
      <c r="O78" s="43">
        <v>49384</v>
      </c>
      <c r="P78" s="41" t="s">
        <v>3</v>
      </c>
      <c r="Q78" s="41"/>
      <c r="R78" s="57">
        <v>45913</v>
      </c>
      <c r="S78" s="58">
        <v>45918</v>
      </c>
      <c r="T78" s="59">
        <f t="shared" si="1"/>
        <v>5</v>
      </c>
      <c r="U78" s="41">
        <v>1</v>
      </c>
      <c r="V78" s="41">
        <v>1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/>
      <c r="AC78" s="43" t="s">
        <v>54</v>
      </c>
      <c r="AD78" s="44" t="s">
        <v>54</v>
      </c>
      <c r="AE78" s="41" t="s">
        <v>107</v>
      </c>
      <c r="AF78" s="43">
        <v>45918</v>
      </c>
      <c r="AG78" s="44">
        <v>0.77430555555474712</v>
      </c>
      <c r="AH78" s="41" t="s">
        <v>418</v>
      </c>
      <c r="AI78" s="41" t="s">
        <v>333</v>
      </c>
      <c r="AJ78" s="41" t="s">
        <v>54</v>
      </c>
      <c r="AK78" s="41"/>
      <c r="AL78" s="41" t="s">
        <v>164</v>
      </c>
      <c r="AM78" s="45" t="s">
        <v>55</v>
      </c>
      <c r="AN78" s="45" t="s">
        <v>387</v>
      </c>
      <c r="AO78" s="45"/>
      <c r="AP78" s="46"/>
    </row>
    <row r="79" spans="3:42" ht="14.25" customHeight="1" x14ac:dyDescent="0.2">
      <c r="C79" s="40">
        <f>IF($X79=1,COUNTIF($C$10:C78,"&gt;0")+1,"")</f>
        <v>35</v>
      </c>
      <c r="D79" s="41">
        <v>15262351</v>
      </c>
      <c r="E79" s="41" t="s">
        <v>327</v>
      </c>
      <c r="F79" s="42" t="s">
        <v>428</v>
      </c>
      <c r="G79" s="41" t="s">
        <v>428</v>
      </c>
      <c r="H79" s="41" t="s">
        <v>429</v>
      </c>
      <c r="I79" s="41" t="s">
        <v>430</v>
      </c>
      <c r="J79" s="41" t="s">
        <v>56</v>
      </c>
      <c r="K79" s="41" t="s">
        <v>64</v>
      </c>
      <c r="L79" s="43">
        <v>28675</v>
      </c>
      <c r="M79" s="41">
        <v>47</v>
      </c>
      <c r="N79" s="41" t="s">
        <v>431</v>
      </c>
      <c r="O79" s="43">
        <v>46622</v>
      </c>
      <c r="P79" s="41" t="s">
        <v>1</v>
      </c>
      <c r="Q79" s="41"/>
      <c r="R79" s="57">
        <v>45913</v>
      </c>
      <c r="S79" s="58">
        <v>45918</v>
      </c>
      <c r="T79" s="59">
        <f t="shared" si="1"/>
        <v>5</v>
      </c>
      <c r="U79" s="41">
        <v>1</v>
      </c>
      <c r="V79" s="41">
        <v>1</v>
      </c>
      <c r="W79" s="41">
        <v>0</v>
      </c>
      <c r="X79" s="41">
        <v>1</v>
      </c>
      <c r="Y79" s="41">
        <v>1</v>
      </c>
      <c r="Z79" s="41">
        <v>0</v>
      </c>
      <c r="AA79" s="41">
        <v>0</v>
      </c>
      <c r="AB79" s="41"/>
      <c r="AC79" s="43">
        <v>45913</v>
      </c>
      <c r="AD79" s="44">
        <v>0.20833333333575865</v>
      </c>
      <c r="AE79" s="41" t="s">
        <v>432</v>
      </c>
      <c r="AF79" s="43">
        <v>45918</v>
      </c>
      <c r="AG79" s="44">
        <v>0.32638888889050577</v>
      </c>
      <c r="AH79" s="41" t="s">
        <v>71</v>
      </c>
      <c r="AI79" s="41" t="s">
        <v>333</v>
      </c>
      <c r="AJ79" s="41" t="s">
        <v>54</v>
      </c>
      <c r="AK79" s="41" t="s">
        <v>54</v>
      </c>
      <c r="AL79" s="41" t="s">
        <v>164</v>
      </c>
      <c r="AM79" s="45" t="s">
        <v>55</v>
      </c>
      <c r="AN79" s="45" t="s">
        <v>300</v>
      </c>
      <c r="AO79" s="45"/>
      <c r="AP79" s="46"/>
    </row>
    <row r="80" spans="3:42" ht="14.25" customHeight="1" x14ac:dyDescent="0.2">
      <c r="C80" s="40" t="str">
        <f>IF($X80=1,COUNTIF($C$10:C79,"&gt;0")+1,"")</f>
        <v/>
      </c>
      <c r="D80" s="41"/>
      <c r="E80" s="41" t="s">
        <v>327</v>
      </c>
      <c r="F80" s="42" t="s">
        <v>433</v>
      </c>
      <c r="G80" s="41" t="s">
        <v>428</v>
      </c>
      <c r="H80" s="41" t="s">
        <v>434</v>
      </c>
      <c r="I80" s="41" t="s">
        <v>430</v>
      </c>
      <c r="J80" s="41" t="s">
        <v>51</v>
      </c>
      <c r="K80" s="41" t="s">
        <v>52</v>
      </c>
      <c r="L80" s="43">
        <v>42392</v>
      </c>
      <c r="M80" s="41">
        <v>9</v>
      </c>
      <c r="N80" s="41" t="s">
        <v>435</v>
      </c>
      <c r="O80" s="43">
        <v>46354</v>
      </c>
      <c r="P80" s="41" t="s">
        <v>1</v>
      </c>
      <c r="Q80" s="41"/>
      <c r="R80" s="57">
        <v>45913</v>
      </c>
      <c r="S80" s="58">
        <v>45918</v>
      </c>
      <c r="T80" s="59">
        <f t="shared" si="1"/>
        <v>5</v>
      </c>
      <c r="U80" s="41">
        <v>1</v>
      </c>
      <c r="V80" s="41">
        <v>0</v>
      </c>
      <c r="W80" s="41">
        <v>1</v>
      </c>
      <c r="X80" s="41">
        <v>0</v>
      </c>
      <c r="Y80" s="41">
        <v>0</v>
      </c>
      <c r="Z80" s="41">
        <v>0</v>
      </c>
      <c r="AA80" s="41">
        <v>0</v>
      </c>
      <c r="AB80" s="41"/>
      <c r="AC80" s="43">
        <v>45913</v>
      </c>
      <c r="AD80" s="44">
        <v>0.20833333333575865</v>
      </c>
      <c r="AE80" s="41" t="s">
        <v>432</v>
      </c>
      <c r="AF80" s="43">
        <v>45918</v>
      </c>
      <c r="AG80" s="44">
        <v>0.32638888889050577</v>
      </c>
      <c r="AH80" s="41" t="s">
        <v>71</v>
      </c>
      <c r="AI80" s="41" t="s">
        <v>333</v>
      </c>
      <c r="AJ80" s="41" t="s">
        <v>54</v>
      </c>
      <c r="AK80" s="41" t="s">
        <v>54</v>
      </c>
      <c r="AL80" s="41" t="s">
        <v>164</v>
      </c>
      <c r="AM80" s="45" t="s">
        <v>55</v>
      </c>
      <c r="AN80" s="45" t="s">
        <v>300</v>
      </c>
      <c r="AO80" s="45"/>
      <c r="AP80" s="46"/>
    </row>
    <row r="81" spans="3:42" ht="14.25" customHeight="1" x14ac:dyDescent="0.2">
      <c r="C81" s="40">
        <f>IF($X81=1,COUNTIF($C$10:C80,"&gt;0")+1,"")</f>
        <v>36</v>
      </c>
      <c r="D81" s="41">
        <v>15262352</v>
      </c>
      <c r="E81" s="41" t="s">
        <v>327</v>
      </c>
      <c r="F81" s="42" t="s">
        <v>436</v>
      </c>
      <c r="G81" s="41" t="s">
        <v>436</v>
      </c>
      <c r="H81" s="41" t="s">
        <v>437</v>
      </c>
      <c r="I81" s="41" t="s">
        <v>438</v>
      </c>
      <c r="J81" s="41" t="s">
        <v>56</v>
      </c>
      <c r="K81" s="41" t="s">
        <v>52</v>
      </c>
      <c r="L81" s="43">
        <v>31565</v>
      </c>
      <c r="M81" s="41">
        <v>39</v>
      </c>
      <c r="N81" s="41" t="s">
        <v>439</v>
      </c>
      <c r="O81" s="43">
        <v>49415</v>
      </c>
      <c r="P81" s="41" t="s">
        <v>2</v>
      </c>
      <c r="Q81" s="41"/>
      <c r="R81" s="57">
        <v>45913</v>
      </c>
      <c r="S81" s="58">
        <v>45918</v>
      </c>
      <c r="T81" s="59">
        <f t="shared" si="1"/>
        <v>5</v>
      </c>
      <c r="U81" s="41">
        <v>1</v>
      </c>
      <c r="V81" s="41">
        <v>1</v>
      </c>
      <c r="W81" s="41">
        <v>0</v>
      </c>
      <c r="X81" s="41">
        <v>1</v>
      </c>
      <c r="Y81" s="41">
        <v>0</v>
      </c>
      <c r="Z81" s="41">
        <v>1</v>
      </c>
      <c r="AA81" s="41">
        <v>0</v>
      </c>
      <c r="AB81" s="41"/>
      <c r="AC81" s="43">
        <v>45913</v>
      </c>
      <c r="AD81" s="44">
        <v>0.50694444444525288</v>
      </c>
      <c r="AE81" s="41" t="s">
        <v>65</v>
      </c>
      <c r="AF81" s="43">
        <v>45918</v>
      </c>
      <c r="AG81" s="44">
        <v>0.85416666666424135</v>
      </c>
      <c r="AH81" s="41" t="s">
        <v>66</v>
      </c>
      <c r="AI81" s="41" t="s">
        <v>333</v>
      </c>
      <c r="AJ81" s="41" t="s">
        <v>54</v>
      </c>
      <c r="AK81" s="41" t="s">
        <v>54</v>
      </c>
      <c r="AL81" s="41" t="s">
        <v>164</v>
      </c>
      <c r="AM81" s="45" t="s">
        <v>55</v>
      </c>
      <c r="AN81" s="45" t="s">
        <v>300</v>
      </c>
      <c r="AO81" s="45"/>
      <c r="AP81" s="46"/>
    </row>
    <row r="82" spans="3:42" ht="14.25" customHeight="1" x14ac:dyDescent="0.2">
      <c r="C82" s="40" t="str">
        <f>IF($X82=1,COUNTIF($C$10:C81,"&gt;0")+1,"")</f>
        <v/>
      </c>
      <c r="D82" s="41"/>
      <c r="E82" s="41" t="s">
        <v>327</v>
      </c>
      <c r="F82" s="42" t="s">
        <v>440</v>
      </c>
      <c r="G82" s="41" t="s">
        <v>436</v>
      </c>
      <c r="H82" s="41" t="s">
        <v>441</v>
      </c>
      <c r="I82" s="41" t="s">
        <v>438</v>
      </c>
      <c r="J82" s="41" t="s">
        <v>51</v>
      </c>
      <c r="K82" s="41" t="s">
        <v>52</v>
      </c>
      <c r="L82" s="43">
        <v>31685</v>
      </c>
      <c r="M82" s="41">
        <v>38</v>
      </c>
      <c r="N82" s="41" t="s">
        <v>442</v>
      </c>
      <c r="O82" s="43">
        <v>49189</v>
      </c>
      <c r="P82" s="41" t="s">
        <v>2</v>
      </c>
      <c r="Q82" s="41"/>
      <c r="R82" s="57">
        <v>45913</v>
      </c>
      <c r="S82" s="58">
        <v>45918</v>
      </c>
      <c r="T82" s="59">
        <f t="shared" si="1"/>
        <v>5</v>
      </c>
      <c r="U82" s="41">
        <v>1</v>
      </c>
      <c r="V82" s="41">
        <v>1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/>
      <c r="AC82" s="43">
        <v>45913</v>
      </c>
      <c r="AD82" s="44">
        <v>0.50694444444525288</v>
      </c>
      <c r="AE82" s="41" t="s">
        <v>65</v>
      </c>
      <c r="AF82" s="43">
        <v>45918</v>
      </c>
      <c r="AG82" s="44">
        <v>0.85416666666424135</v>
      </c>
      <c r="AH82" s="41" t="s">
        <v>66</v>
      </c>
      <c r="AI82" s="41" t="s">
        <v>333</v>
      </c>
      <c r="AJ82" s="41" t="s">
        <v>54</v>
      </c>
      <c r="AK82" s="41" t="s">
        <v>54</v>
      </c>
      <c r="AL82" s="41" t="s">
        <v>164</v>
      </c>
      <c r="AM82" s="45" t="s">
        <v>55</v>
      </c>
      <c r="AN82" s="45" t="s">
        <v>300</v>
      </c>
      <c r="AO82" s="45"/>
      <c r="AP82" s="46"/>
    </row>
    <row r="83" spans="3:42" ht="14.25" customHeight="1" x14ac:dyDescent="0.2">
      <c r="C83" s="40" t="str">
        <f>IF($X83=1,COUNTIF($C$10:C82,"&gt;0")+1,"")</f>
        <v/>
      </c>
      <c r="D83" s="41"/>
      <c r="E83" s="41" t="s">
        <v>327</v>
      </c>
      <c r="F83" s="42" t="s">
        <v>443</v>
      </c>
      <c r="G83" s="41" t="s">
        <v>436</v>
      </c>
      <c r="H83" s="41" t="s">
        <v>444</v>
      </c>
      <c r="I83" s="41" t="s">
        <v>438</v>
      </c>
      <c r="J83" s="41" t="s">
        <v>56</v>
      </c>
      <c r="K83" s="41" t="s">
        <v>52</v>
      </c>
      <c r="L83" s="43">
        <v>44533</v>
      </c>
      <c r="M83" s="41">
        <v>3</v>
      </c>
      <c r="N83" s="41" t="s">
        <v>445</v>
      </c>
      <c r="O83" s="43">
        <v>47463</v>
      </c>
      <c r="P83" s="41" t="s">
        <v>2</v>
      </c>
      <c r="Q83" s="41"/>
      <c r="R83" s="57">
        <v>45913</v>
      </c>
      <c r="S83" s="58">
        <v>45918</v>
      </c>
      <c r="T83" s="59">
        <f t="shared" si="1"/>
        <v>5</v>
      </c>
      <c r="U83" s="41">
        <v>1</v>
      </c>
      <c r="V83" s="41">
        <v>0</v>
      </c>
      <c r="W83" s="41">
        <v>1</v>
      </c>
      <c r="X83" s="41">
        <v>0</v>
      </c>
      <c r="Y83" s="41">
        <v>0</v>
      </c>
      <c r="Z83" s="41">
        <v>0</v>
      </c>
      <c r="AA83" s="41">
        <v>0</v>
      </c>
      <c r="AB83" s="41"/>
      <c r="AC83" s="43">
        <v>45913</v>
      </c>
      <c r="AD83" s="44">
        <v>0.50694444444525288</v>
      </c>
      <c r="AE83" s="41" t="s">
        <v>65</v>
      </c>
      <c r="AF83" s="43">
        <v>45918</v>
      </c>
      <c r="AG83" s="44">
        <v>0.85416666666424135</v>
      </c>
      <c r="AH83" s="41" t="s">
        <v>66</v>
      </c>
      <c r="AI83" s="41" t="s">
        <v>333</v>
      </c>
      <c r="AJ83" s="41" t="s">
        <v>54</v>
      </c>
      <c r="AK83" s="41" t="s">
        <v>54</v>
      </c>
      <c r="AL83" s="41" t="s">
        <v>164</v>
      </c>
      <c r="AM83" s="45" t="s">
        <v>55</v>
      </c>
      <c r="AN83" s="45" t="s">
        <v>300</v>
      </c>
      <c r="AO83" s="45"/>
      <c r="AP83" s="46"/>
    </row>
    <row r="84" spans="3:42" ht="14.25" customHeight="1" x14ac:dyDescent="0.2">
      <c r="C84" s="40">
        <f>IF($X84=1,COUNTIF($C$10:C83,"&gt;0")+1,"")</f>
        <v>37</v>
      </c>
      <c r="D84" s="41">
        <v>15262353</v>
      </c>
      <c r="E84" s="41" t="s">
        <v>327</v>
      </c>
      <c r="F84" s="42" t="s">
        <v>446</v>
      </c>
      <c r="G84" s="41" t="s">
        <v>446</v>
      </c>
      <c r="H84" s="41" t="s">
        <v>447</v>
      </c>
      <c r="I84" s="41" t="s">
        <v>448</v>
      </c>
      <c r="J84" s="41" t="s">
        <v>56</v>
      </c>
      <c r="K84" s="41" t="s">
        <v>52</v>
      </c>
      <c r="L84" s="43">
        <v>26398</v>
      </c>
      <c r="M84" s="41">
        <v>53</v>
      </c>
      <c r="N84" s="41" t="s">
        <v>449</v>
      </c>
      <c r="O84" s="43">
        <v>48139</v>
      </c>
      <c r="P84" s="41" t="s">
        <v>2</v>
      </c>
      <c r="Q84" s="41"/>
      <c r="R84" s="57">
        <v>45913</v>
      </c>
      <c r="S84" s="58">
        <v>45918</v>
      </c>
      <c r="T84" s="59">
        <f t="shared" si="1"/>
        <v>5</v>
      </c>
      <c r="U84" s="41">
        <v>1</v>
      </c>
      <c r="V84" s="41">
        <v>1</v>
      </c>
      <c r="W84" s="41">
        <v>0</v>
      </c>
      <c r="X84" s="41">
        <v>1</v>
      </c>
      <c r="Y84" s="41">
        <v>0</v>
      </c>
      <c r="Z84" s="41">
        <v>1</v>
      </c>
      <c r="AA84" s="41">
        <v>0</v>
      </c>
      <c r="AB84" s="41"/>
      <c r="AC84" s="43">
        <v>45913</v>
      </c>
      <c r="AD84" s="44">
        <v>0.80555555555474712</v>
      </c>
      <c r="AE84" s="41" t="s">
        <v>96</v>
      </c>
      <c r="AF84" s="43">
        <v>45918</v>
      </c>
      <c r="AG84" s="44">
        <v>0.35763888889050577</v>
      </c>
      <c r="AH84" s="41" t="s">
        <v>450</v>
      </c>
      <c r="AI84" s="41" t="s">
        <v>333</v>
      </c>
      <c r="AJ84" s="41" t="s">
        <v>54</v>
      </c>
      <c r="AK84" s="41" t="s">
        <v>54</v>
      </c>
      <c r="AL84" s="41" t="s">
        <v>164</v>
      </c>
      <c r="AM84" s="45" t="s">
        <v>55</v>
      </c>
      <c r="AN84" s="45" t="s">
        <v>300</v>
      </c>
      <c r="AO84" s="45" t="s">
        <v>79</v>
      </c>
      <c r="AP84" s="46"/>
    </row>
    <row r="85" spans="3:42" ht="14.25" customHeight="1" x14ac:dyDescent="0.2">
      <c r="C85" s="40" t="str">
        <f>IF($X85=1,COUNTIF($C$10:C84,"&gt;0")+1,"")</f>
        <v/>
      </c>
      <c r="D85" s="41"/>
      <c r="E85" s="41" t="s">
        <v>327</v>
      </c>
      <c r="F85" s="42" t="s">
        <v>451</v>
      </c>
      <c r="G85" s="41" t="s">
        <v>446</v>
      </c>
      <c r="H85" s="41" t="s">
        <v>452</v>
      </c>
      <c r="I85" s="41" t="s">
        <v>448</v>
      </c>
      <c r="J85" s="41" t="s">
        <v>51</v>
      </c>
      <c r="K85" s="41" t="s">
        <v>52</v>
      </c>
      <c r="L85" s="43">
        <v>23963</v>
      </c>
      <c r="M85" s="41">
        <v>60</v>
      </c>
      <c r="N85" s="41" t="s">
        <v>453</v>
      </c>
      <c r="O85" s="43">
        <v>48139</v>
      </c>
      <c r="P85" s="41" t="s">
        <v>2</v>
      </c>
      <c r="Q85" s="41"/>
      <c r="R85" s="57">
        <v>45913</v>
      </c>
      <c r="S85" s="58">
        <v>45918</v>
      </c>
      <c r="T85" s="59">
        <f t="shared" si="1"/>
        <v>5</v>
      </c>
      <c r="U85" s="41">
        <v>1</v>
      </c>
      <c r="V85" s="41">
        <v>1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/>
      <c r="AC85" s="43">
        <v>45913</v>
      </c>
      <c r="AD85" s="44">
        <v>0.80555555555474712</v>
      </c>
      <c r="AE85" s="41" t="s">
        <v>96</v>
      </c>
      <c r="AF85" s="43">
        <v>45918</v>
      </c>
      <c r="AG85" s="44">
        <v>0.35763888889050577</v>
      </c>
      <c r="AH85" s="41" t="s">
        <v>450</v>
      </c>
      <c r="AI85" s="41" t="s">
        <v>333</v>
      </c>
      <c r="AJ85" s="41" t="s">
        <v>54</v>
      </c>
      <c r="AK85" s="41" t="s">
        <v>54</v>
      </c>
      <c r="AL85" s="41" t="s">
        <v>164</v>
      </c>
      <c r="AM85" s="45" t="s">
        <v>55</v>
      </c>
      <c r="AN85" s="45" t="s">
        <v>300</v>
      </c>
      <c r="AO85" s="45" t="s">
        <v>79</v>
      </c>
      <c r="AP85" s="46"/>
    </row>
    <row r="86" spans="3:42" ht="14.25" customHeight="1" x14ac:dyDescent="0.2">
      <c r="C86" s="40">
        <f>IF($X86=1,COUNTIF($C$10:C85,"&gt;0")+1,"")</f>
        <v>38</v>
      </c>
      <c r="D86" s="41">
        <v>15262354</v>
      </c>
      <c r="E86" s="41" t="s">
        <v>327</v>
      </c>
      <c r="F86" s="42" t="s">
        <v>454</v>
      </c>
      <c r="G86" s="41" t="s">
        <v>446</v>
      </c>
      <c r="H86" s="41" t="s">
        <v>455</v>
      </c>
      <c r="I86" s="41" t="s">
        <v>456</v>
      </c>
      <c r="J86" s="41" t="s">
        <v>56</v>
      </c>
      <c r="K86" s="41" t="s">
        <v>52</v>
      </c>
      <c r="L86" s="43">
        <v>24943</v>
      </c>
      <c r="M86" s="41">
        <v>57</v>
      </c>
      <c r="N86" s="41" t="s">
        <v>457</v>
      </c>
      <c r="O86" s="43">
        <v>49518</v>
      </c>
      <c r="P86" s="41" t="s">
        <v>3</v>
      </c>
      <c r="Q86" s="41"/>
      <c r="R86" s="57">
        <v>45913</v>
      </c>
      <c r="S86" s="58">
        <v>45918</v>
      </c>
      <c r="T86" s="59">
        <f t="shared" si="1"/>
        <v>5</v>
      </c>
      <c r="U86" s="41">
        <v>1</v>
      </c>
      <c r="V86" s="41">
        <v>1</v>
      </c>
      <c r="W86" s="41">
        <v>0</v>
      </c>
      <c r="X86" s="41">
        <v>1</v>
      </c>
      <c r="Y86" s="41">
        <v>0</v>
      </c>
      <c r="Z86" s="41">
        <v>0</v>
      </c>
      <c r="AA86" s="41">
        <v>1</v>
      </c>
      <c r="AB86" s="41"/>
      <c r="AC86" s="43">
        <v>45913</v>
      </c>
      <c r="AD86" s="44">
        <v>0.20833333333575865</v>
      </c>
      <c r="AE86" s="41" t="s">
        <v>432</v>
      </c>
      <c r="AF86" s="43">
        <v>45918</v>
      </c>
      <c r="AG86" s="44">
        <v>0.875</v>
      </c>
      <c r="AH86" s="41" t="s">
        <v>458</v>
      </c>
      <c r="AI86" s="41" t="s">
        <v>333</v>
      </c>
      <c r="AJ86" s="41" t="s">
        <v>54</v>
      </c>
      <c r="AK86" s="41" t="s">
        <v>54</v>
      </c>
      <c r="AL86" s="41" t="s">
        <v>164</v>
      </c>
      <c r="AM86" s="45" t="s">
        <v>55</v>
      </c>
      <c r="AN86" s="45" t="s">
        <v>293</v>
      </c>
      <c r="AO86" s="45"/>
      <c r="AP86" s="46"/>
    </row>
    <row r="87" spans="3:42" ht="14.25" customHeight="1" x14ac:dyDescent="0.2">
      <c r="C87" s="40" t="str">
        <f>IF($X87=1,COUNTIF($C$10:C86,"&gt;0")+1,"")</f>
        <v/>
      </c>
      <c r="D87" s="41"/>
      <c r="E87" s="41" t="s">
        <v>327</v>
      </c>
      <c r="F87" s="42" t="s">
        <v>459</v>
      </c>
      <c r="G87" s="41" t="s">
        <v>446</v>
      </c>
      <c r="H87" s="41" t="s">
        <v>460</v>
      </c>
      <c r="I87" s="41" t="s">
        <v>448</v>
      </c>
      <c r="J87" s="41" t="s">
        <v>56</v>
      </c>
      <c r="K87" s="41" t="s">
        <v>52</v>
      </c>
      <c r="L87" s="43">
        <v>40583</v>
      </c>
      <c r="M87" s="41">
        <v>14</v>
      </c>
      <c r="N87" s="41" t="s">
        <v>461</v>
      </c>
      <c r="O87" s="43">
        <v>46344</v>
      </c>
      <c r="P87" s="41" t="s">
        <v>3</v>
      </c>
      <c r="Q87" s="41"/>
      <c r="R87" s="57">
        <v>45913</v>
      </c>
      <c r="S87" s="58">
        <v>45918</v>
      </c>
      <c r="T87" s="59">
        <f t="shared" si="1"/>
        <v>5</v>
      </c>
      <c r="U87" s="41">
        <v>1</v>
      </c>
      <c r="V87" s="41">
        <v>1</v>
      </c>
      <c r="W87" s="41">
        <v>0</v>
      </c>
      <c r="X87" s="41">
        <v>0</v>
      </c>
      <c r="Y87" s="41">
        <v>0</v>
      </c>
      <c r="Z87" s="41">
        <v>0</v>
      </c>
      <c r="AA87" s="41">
        <v>0</v>
      </c>
      <c r="AB87" s="41"/>
      <c r="AC87" s="43">
        <v>45913</v>
      </c>
      <c r="AD87" s="44">
        <v>0.80555555555474712</v>
      </c>
      <c r="AE87" s="41" t="s">
        <v>96</v>
      </c>
      <c r="AF87" s="43">
        <v>45918</v>
      </c>
      <c r="AG87" s="44">
        <v>0.35763888889050577</v>
      </c>
      <c r="AH87" s="41" t="s">
        <v>450</v>
      </c>
      <c r="AI87" s="41" t="s">
        <v>333</v>
      </c>
      <c r="AJ87" s="41" t="s">
        <v>54</v>
      </c>
      <c r="AK87" s="41" t="s">
        <v>54</v>
      </c>
      <c r="AL87" s="41" t="s">
        <v>164</v>
      </c>
      <c r="AM87" s="45" t="s">
        <v>55</v>
      </c>
      <c r="AN87" s="45" t="s">
        <v>293</v>
      </c>
      <c r="AO87" s="45" t="s">
        <v>79</v>
      </c>
      <c r="AP87" s="46"/>
    </row>
    <row r="88" spans="3:42" ht="14.25" customHeight="1" x14ac:dyDescent="0.2">
      <c r="C88" s="40">
        <f>IF($X88=1,COUNTIF($C$10:C87,"&gt;0")+1,"")</f>
        <v>39</v>
      </c>
      <c r="D88" s="41">
        <v>15262355</v>
      </c>
      <c r="E88" s="41" t="s">
        <v>327</v>
      </c>
      <c r="F88" s="42" t="s">
        <v>462</v>
      </c>
      <c r="G88" s="41" t="s">
        <v>462</v>
      </c>
      <c r="H88" s="41" t="s">
        <v>463</v>
      </c>
      <c r="I88" s="41" t="s">
        <v>464</v>
      </c>
      <c r="J88" s="41" t="s">
        <v>56</v>
      </c>
      <c r="K88" s="41" t="s">
        <v>52</v>
      </c>
      <c r="L88" s="43">
        <v>27563</v>
      </c>
      <c r="M88" s="41">
        <v>50</v>
      </c>
      <c r="N88" s="41" t="s">
        <v>465</v>
      </c>
      <c r="O88" s="43">
        <v>46719</v>
      </c>
      <c r="P88" s="41" t="s">
        <v>3</v>
      </c>
      <c r="Q88" s="41"/>
      <c r="R88" s="57">
        <v>45913</v>
      </c>
      <c r="S88" s="58">
        <v>45918</v>
      </c>
      <c r="T88" s="59">
        <f t="shared" si="1"/>
        <v>5</v>
      </c>
      <c r="U88" s="41">
        <v>1</v>
      </c>
      <c r="V88" s="41">
        <v>1</v>
      </c>
      <c r="W88" s="41">
        <v>0</v>
      </c>
      <c r="X88" s="41">
        <v>1</v>
      </c>
      <c r="Y88" s="41">
        <v>0</v>
      </c>
      <c r="Z88" s="41">
        <v>0</v>
      </c>
      <c r="AA88" s="41">
        <v>1</v>
      </c>
      <c r="AB88" s="41"/>
      <c r="AC88" s="43">
        <v>45912</v>
      </c>
      <c r="AD88" s="44">
        <v>0.65625</v>
      </c>
      <c r="AE88" s="41" t="s">
        <v>122</v>
      </c>
      <c r="AF88" s="43">
        <v>45919</v>
      </c>
      <c r="AG88" s="44">
        <v>0.92013888889050577</v>
      </c>
      <c r="AH88" s="41" t="s">
        <v>131</v>
      </c>
      <c r="AI88" s="41" t="s">
        <v>333</v>
      </c>
      <c r="AJ88" s="41" t="s">
        <v>54</v>
      </c>
      <c r="AK88" s="41"/>
      <c r="AL88" s="41" t="s">
        <v>164</v>
      </c>
      <c r="AM88" s="45" t="s">
        <v>55</v>
      </c>
      <c r="AN88" s="45" t="s">
        <v>387</v>
      </c>
      <c r="AO88" s="45"/>
      <c r="AP88" s="46"/>
    </row>
    <row r="89" spans="3:42" ht="14.25" customHeight="1" x14ac:dyDescent="0.2">
      <c r="C89" s="40" t="str">
        <f>IF($X89=1,COUNTIF($C$10:C88,"&gt;0")+1,"")</f>
        <v/>
      </c>
      <c r="D89" s="41"/>
      <c r="E89" s="41" t="s">
        <v>327</v>
      </c>
      <c r="F89" s="42" t="s">
        <v>466</v>
      </c>
      <c r="G89" s="41" t="s">
        <v>462</v>
      </c>
      <c r="H89" s="41" t="s">
        <v>467</v>
      </c>
      <c r="I89" s="41" t="s">
        <v>468</v>
      </c>
      <c r="J89" s="41" t="s">
        <v>56</v>
      </c>
      <c r="K89" s="41" t="s">
        <v>52</v>
      </c>
      <c r="L89" s="43">
        <v>26932</v>
      </c>
      <c r="M89" s="41">
        <v>51</v>
      </c>
      <c r="N89" s="41" t="s">
        <v>469</v>
      </c>
      <c r="O89" s="43">
        <v>48623</v>
      </c>
      <c r="P89" s="41" t="s">
        <v>3</v>
      </c>
      <c r="Q89" s="41"/>
      <c r="R89" s="57">
        <v>45913</v>
      </c>
      <c r="S89" s="58">
        <v>45918</v>
      </c>
      <c r="T89" s="59">
        <f t="shared" si="1"/>
        <v>5</v>
      </c>
      <c r="U89" s="41">
        <v>1</v>
      </c>
      <c r="V89" s="41">
        <v>1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/>
      <c r="AC89" s="43">
        <v>45913</v>
      </c>
      <c r="AD89" s="44">
        <v>0.65625</v>
      </c>
      <c r="AE89" s="41" t="s">
        <v>137</v>
      </c>
      <c r="AF89" s="43">
        <v>45918</v>
      </c>
      <c r="AG89" s="44">
        <v>0.34722222221898846</v>
      </c>
      <c r="AH89" s="41" t="s">
        <v>332</v>
      </c>
      <c r="AI89" s="41" t="s">
        <v>333</v>
      </c>
      <c r="AJ89" s="41" t="s">
        <v>54</v>
      </c>
      <c r="AK89" s="41" t="s">
        <v>54</v>
      </c>
      <c r="AL89" s="41" t="s">
        <v>164</v>
      </c>
      <c r="AM89" s="45" t="s">
        <v>55</v>
      </c>
      <c r="AN89" s="45" t="s">
        <v>387</v>
      </c>
      <c r="AO89" s="45"/>
      <c r="AP89" s="46"/>
    </row>
    <row r="90" spans="3:42" ht="14.25" customHeight="1" x14ac:dyDescent="0.2">
      <c r="C90" s="40">
        <f>IF($X90=1,COUNTIF($C$10:C89,"&gt;0")+1,"")</f>
        <v>40</v>
      </c>
      <c r="D90" s="41">
        <v>15262356</v>
      </c>
      <c r="E90" s="41" t="s">
        <v>327</v>
      </c>
      <c r="F90" s="42" t="s">
        <v>470</v>
      </c>
      <c r="G90" s="41" t="s">
        <v>470</v>
      </c>
      <c r="H90" s="41" t="s">
        <v>471</v>
      </c>
      <c r="I90" s="41" t="s">
        <v>472</v>
      </c>
      <c r="J90" s="41" t="s">
        <v>56</v>
      </c>
      <c r="K90" s="41" t="s">
        <v>52</v>
      </c>
      <c r="L90" s="43">
        <v>26427</v>
      </c>
      <c r="M90" s="41">
        <v>53</v>
      </c>
      <c r="N90" s="41" t="s">
        <v>473</v>
      </c>
      <c r="O90" s="43">
        <v>47175</v>
      </c>
      <c r="P90" s="41" t="s">
        <v>3</v>
      </c>
      <c r="Q90" s="41"/>
      <c r="R90" s="57">
        <v>45913</v>
      </c>
      <c r="S90" s="58">
        <v>45918</v>
      </c>
      <c r="T90" s="59">
        <f t="shared" si="1"/>
        <v>5</v>
      </c>
      <c r="U90" s="41">
        <v>1</v>
      </c>
      <c r="V90" s="41">
        <v>1</v>
      </c>
      <c r="W90" s="41">
        <v>0</v>
      </c>
      <c r="X90" s="41">
        <v>1</v>
      </c>
      <c r="Y90" s="41">
        <v>0</v>
      </c>
      <c r="Z90" s="41">
        <v>0</v>
      </c>
      <c r="AA90" s="41">
        <v>1</v>
      </c>
      <c r="AB90" s="41"/>
      <c r="AC90" s="43">
        <v>45913</v>
      </c>
      <c r="AD90" s="44">
        <v>0.72916666666424135</v>
      </c>
      <c r="AE90" s="41" t="s">
        <v>91</v>
      </c>
      <c r="AF90" s="43">
        <v>45918</v>
      </c>
      <c r="AG90" s="44">
        <v>0.86805555555474712</v>
      </c>
      <c r="AH90" s="41" t="s">
        <v>474</v>
      </c>
      <c r="AI90" s="41" t="s">
        <v>333</v>
      </c>
      <c r="AJ90" s="41" t="s">
        <v>54</v>
      </c>
      <c r="AK90" s="41"/>
      <c r="AL90" s="41" t="s">
        <v>164</v>
      </c>
      <c r="AM90" s="45" t="s">
        <v>55</v>
      </c>
      <c r="AN90" s="41" t="s">
        <v>293</v>
      </c>
      <c r="AO90" s="45"/>
      <c r="AP90" s="46"/>
    </row>
    <row r="91" spans="3:42" ht="14.25" customHeight="1" x14ac:dyDescent="0.2">
      <c r="C91" s="40" t="str">
        <f>IF($X91=1,COUNTIF($C$10:C90,"&gt;0")+1,"")</f>
        <v/>
      </c>
      <c r="D91" s="41"/>
      <c r="E91" s="41" t="s">
        <v>327</v>
      </c>
      <c r="F91" s="42" t="s">
        <v>475</v>
      </c>
      <c r="G91" s="41" t="s">
        <v>470</v>
      </c>
      <c r="H91" s="41" t="s">
        <v>476</v>
      </c>
      <c r="I91" s="41" t="s">
        <v>472</v>
      </c>
      <c r="J91" s="41" t="s">
        <v>51</v>
      </c>
      <c r="K91" s="41" t="s">
        <v>52</v>
      </c>
      <c r="L91" s="43">
        <v>27038</v>
      </c>
      <c r="M91" s="41">
        <v>51</v>
      </c>
      <c r="N91" s="41" t="s">
        <v>54</v>
      </c>
      <c r="O91" s="43">
        <v>48322</v>
      </c>
      <c r="P91" s="41" t="s">
        <v>3</v>
      </c>
      <c r="Q91" s="41"/>
      <c r="R91" s="57">
        <v>45913</v>
      </c>
      <c r="S91" s="58">
        <v>45918</v>
      </c>
      <c r="T91" s="59">
        <f t="shared" si="1"/>
        <v>5</v>
      </c>
      <c r="U91" s="41">
        <v>1</v>
      </c>
      <c r="V91" s="41">
        <v>1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/>
      <c r="AC91" s="43">
        <v>45913</v>
      </c>
      <c r="AD91" s="44">
        <v>0.72916666666424135</v>
      </c>
      <c r="AE91" s="41" t="s">
        <v>91</v>
      </c>
      <c r="AF91" s="43">
        <v>45918</v>
      </c>
      <c r="AG91" s="44">
        <v>0.86805555555474712</v>
      </c>
      <c r="AH91" s="41" t="s">
        <v>474</v>
      </c>
      <c r="AI91" s="41" t="s">
        <v>333</v>
      </c>
      <c r="AJ91" s="41" t="s">
        <v>54</v>
      </c>
      <c r="AK91" s="41"/>
      <c r="AL91" s="41" t="s">
        <v>164</v>
      </c>
      <c r="AM91" s="45" t="s">
        <v>55</v>
      </c>
      <c r="AN91" s="41" t="s">
        <v>293</v>
      </c>
      <c r="AO91" s="45"/>
      <c r="AP91" s="46"/>
    </row>
    <row r="92" spans="3:42" ht="14.25" customHeight="1" x14ac:dyDescent="0.2">
      <c r="C92" s="40" t="str">
        <f>IF($X92=1,COUNTIF($C$10:C91,"&gt;0")+1,"")</f>
        <v/>
      </c>
      <c r="D92" s="41"/>
      <c r="E92" s="41" t="s">
        <v>327</v>
      </c>
      <c r="F92" s="42" t="s">
        <v>477</v>
      </c>
      <c r="G92" s="41" t="s">
        <v>470</v>
      </c>
      <c r="H92" s="41" t="s">
        <v>478</v>
      </c>
      <c r="I92" s="41" t="s">
        <v>472</v>
      </c>
      <c r="J92" s="41" t="s">
        <v>56</v>
      </c>
      <c r="K92" s="41" t="s">
        <v>52</v>
      </c>
      <c r="L92" s="43">
        <v>42243</v>
      </c>
      <c r="M92" s="41">
        <v>10</v>
      </c>
      <c r="N92" s="41" t="s">
        <v>479</v>
      </c>
      <c r="O92" s="43">
        <v>46488</v>
      </c>
      <c r="P92" s="41" t="s">
        <v>3</v>
      </c>
      <c r="Q92" s="41"/>
      <c r="R92" s="57">
        <v>45913</v>
      </c>
      <c r="S92" s="58">
        <v>45918</v>
      </c>
      <c r="T92" s="59">
        <f t="shared" si="1"/>
        <v>5</v>
      </c>
      <c r="U92" s="41">
        <v>1</v>
      </c>
      <c r="V92" s="41">
        <v>0</v>
      </c>
      <c r="W92" s="41">
        <v>1</v>
      </c>
      <c r="X92" s="41">
        <v>0</v>
      </c>
      <c r="Y92" s="41">
        <v>0</v>
      </c>
      <c r="Z92" s="41">
        <v>0</v>
      </c>
      <c r="AA92" s="41">
        <v>0</v>
      </c>
      <c r="AB92" s="41"/>
      <c r="AC92" s="43">
        <v>45913</v>
      </c>
      <c r="AD92" s="44">
        <v>0.72916666666424135</v>
      </c>
      <c r="AE92" s="41" t="s">
        <v>91</v>
      </c>
      <c r="AF92" s="43">
        <v>45918</v>
      </c>
      <c r="AG92" s="44">
        <v>0.86805555555474712</v>
      </c>
      <c r="AH92" s="41" t="s">
        <v>474</v>
      </c>
      <c r="AI92" s="41" t="s">
        <v>333</v>
      </c>
      <c r="AJ92" s="41" t="s">
        <v>54</v>
      </c>
      <c r="AK92" s="41"/>
      <c r="AL92" s="41" t="s">
        <v>164</v>
      </c>
      <c r="AM92" s="45" t="s">
        <v>55</v>
      </c>
      <c r="AN92" s="41" t="s">
        <v>293</v>
      </c>
      <c r="AO92" s="45"/>
      <c r="AP92" s="46"/>
    </row>
    <row r="93" spans="3:42" ht="14.25" customHeight="1" x14ac:dyDescent="0.2">
      <c r="C93" s="40">
        <f>IF($X93=1,COUNTIF($C$10:C92,"&gt;0")+1,"")</f>
        <v>41</v>
      </c>
      <c r="D93" s="41">
        <v>15262358</v>
      </c>
      <c r="E93" s="41" t="s">
        <v>327</v>
      </c>
      <c r="F93" s="42" t="s">
        <v>480</v>
      </c>
      <c r="G93" s="41" t="s">
        <v>480</v>
      </c>
      <c r="H93" s="41" t="s">
        <v>481</v>
      </c>
      <c r="I93" s="41" t="s">
        <v>482</v>
      </c>
      <c r="J93" s="41" t="s">
        <v>56</v>
      </c>
      <c r="K93" s="41" t="s">
        <v>52</v>
      </c>
      <c r="L93" s="43">
        <v>21208</v>
      </c>
      <c r="M93" s="41">
        <v>67</v>
      </c>
      <c r="N93" s="41" t="s">
        <v>483</v>
      </c>
      <c r="O93" s="43">
        <v>48255</v>
      </c>
      <c r="P93" s="41" t="s">
        <v>3</v>
      </c>
      <c r="Q93" s="41"/>
      <c r="R93" s="57">
        <v>45913</v>
      </c>
      <c r="S93" s="58">
        <v>45918</v>
      </c>
      <c r="T93" s="59">
        <f t="shared" si="1"/>
        <v>5</v>
      </c>
      <c r="U93" s="41">
        <v>1</v>
      </c>
      <c r="V93" s="41">
        <v>1</v>
      </c>
      <c r="W93" s="41">
        <v>0</v>
      </c>
      <c r="X93" s="41">
        <v>1</v>
      </c>
      <c r="Y93" s="41">
        <v>0</v>
      </c>
      <c r="Z93" s="41">
        <v>0</v>
      </c>
      <c r="AA93" s="41">
        <v>1</v>
      </c>
      <c r="AB93" s="41"/>
      <c r="AC93" s="43">
        <v>45913</v>
      </c>
      <c r="AD93" s="44">
        <v>0.20833333333575865</v>
      </c>
      <c r="AE93" s="41" t="s">
        <v>432</v>
      </c>
      <c r="AF93" s="43">
        <v>45918</v>
      </c>
      <c r="AG93" s="44">
        <v>0.875</v>
      </c>
      <c r="AH93" s="41" t="s">
        <v>458</v>
      </c>
      <c r="AI93" s="41" t="s">
        <v>333</v>
      </c>
      <c r="AJ93" s="41" t="s">
        <v>54</v>
      </c>
      <c r="AK93" s="41" t="s">
        <v>54</v>
      </c>
      <c r="AL93" s="41" t="s">
        <v>164</v>
      </c>
      <c r="AM93" s="45" t="s">
        <v>55</v>
      </c>
      <c r="AN93" s="45" t="s">
        <v>293</v>
      </c>
      <c r="AO93" s="45"/>
      <c r="AP93" s="46"/>
    </row>
    <row r="94" spans="3:42" ht="14.25" customHeight="1" x14ac:dyDescent="0.2">
      <c r="C94" s="40" t="str">
        <f>IF($X94=1,COUNTIF($C$10:C93,"&gt;0")+1,"")</f>
        <v/>
      </c>
      <c r="D94" s="41"/>
      <c r="E94" s="41" t="s">
        <v>327</v>
      </c>
      <c r="F94" s="42" t="s">
        <v>484</v>
      </c>
      <c r="G94" s="41" t="s">
        <v>480</v>
      </c>
      <c r="H94" s="41" t="s">
        <v>485</v>
      </c>
      <c r="I94" s="41" t="s">
        <v>472</v>
      </c>
      <c r="J94" s="41" t="s">
        <v>51</v>
      </c>
      <c r="K94" s="41" t="s">
        <v>52</v>
      </c>
      <c r="L94" s="43">
        <v>41106</v>
      </c>
      <c r="M94" s="41">
        <v>13</v>
      </c>
      <c r="N94" s="41" t="s">
        <v>486</v>
      </c>
      <c r="O94" s="43">
        <v>46201</v>
      </c>
      <c r="P94" s="41" t="s">
        <v>3</v>
      </c>
      <c r="Q94" s="41"/>
      <c r="R94" s="57">
        <v>45913</v>
      </c>
      <c r="S94" s="58">
        <v>45918</v>
      </c>
      <c r="T94" s="59">
        <f t="shared" si="1"/>
        <v>5</v>
      </c>
      <c r="U94" s="41">
        <v>1</v>
      </c>
      <c r="V94" s="41">
        <v>1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/>
      <c r="AC94" s="43">
        <v>45913</v>
      </c>
      <c r="AD94" s="44">
        <v>0.72916666666424135</v>
      </c>
      <c r="AE94" s="41" t="s">
        <v>91</v>
      </c>
      <c r="AF94" s="43">
        <v>45918</v>
      </c>
      <c r="AG94" s="44">
        <v>0.86805555555474712</v>
      </c>
      <c r="AH94" s="41" t="s">
        <v>474</v>
      </c>
      <c r="AI94" s="41" t="s">
        <v>333</v>
      </c>
      <c r="AJ94" s="41" t="s">
        <v>54</v>
      </c>
      <c r="AK94" s="41"/>
      <c r="AL94" s="41" t="s">
        <v>164</v>
      </c>
      <c r="AM94" s="45" t="s">
        <v>55</v>
      </c>
      <c r="AN94" s="45" t="s">
        <v>293</v>
      </c>
      <c r="AO94" s="45"/>
      <c r="AP94" s="46"/>
    </row>
    <row r="95" spans="3:42" ht="14.25" customHeight="1" x14ac:dyDescent="0.2">
      <c r="C95" s="40">
        <f>IF($X95=1,COUNTIF($C$10:C94,"&gt;0")+1,"")</f>
        <v>42</v>
      </c>
      <c r="D95" s="41">
        <v>15262359</v>
      </c>
      <c r="E95" s="41" t="s">
        <v>327</v>
      </c>
      <c r="F95" s="42" t="s">
        <v>487</v>
      </c>
      <c r="G95" s="41" t="s">
        <v>487</v>
      </c>
      <c r="H95" s="41" t="s">
        <v>488</v>
      </c>
      <c r="I95" s="41" t="s">
        <v>94</v>
      </c>
      <c r="J95" s="41" t="s">
        <v>56</v>
      </c>
      <c r="K95" s="41" t="s">
        <v>52</v>
      </c>
      <c r="L95" s="43">
        <v>22051</v>
      </c>
      <c r="M95" s="41">
        <v>65</v>
      </c>
      <c r="N95" s="41" t="s">
        <v>489</v>
      </c>
      <c r="O95" s="43">
        <v>47985</v>
      </c>
      <c r="P95" s="41" t="s">
        <v>2</v>
      </c>
      <c r="Q95" s="41"/>
      <c r="R95" s="57">
        <v>45913</v>
      </c>
      <c r="S95" s="58">
        <v>45918</v>
      </c>
      <c r="T95" s="59">
        <f t="shared" si="1"/>
        <v>5</v>
      </c>
      <c r="U95" s="41">
        <v>1</v>
      </c>
      <c r="V95" s="41">
        <v>1</v>
      </c>
      <c r="W95" s="41">
        <v>0</v>
      </c>
      <c r="X95" s="41">
        <v>1</v>
      </c>
      <c r="Y95" s="41">
        <v>0</v>
      </c>
      <c r="Z95" s="41">
        <v>1</v>
      </c>
      <c r="AA95" s="41">
        <v>0</v>
      </c>
      <c r="AB95" s="41"/>
      <c r="AC95" s="43">
        <v>45913</v>
      </c>
      <c r="AD95" s="44">
        <v>0.70486111110949423</v>
      </c>
      <c r="AE95" s="41" t="s">
        <v>97</v>
      </c>
      <c r="AF95" s="43">
        <v>45918</v>
      </c>
      <c r="AG95" s="44">
        <v>0.65625</v>
      </c>
      <c r="AH95" s="41" t="s">
        <v>135</v>
      </c>
      <c r="AI95" s="41" t="s">
        <v>333</v>
      </c>
      <c r="AJ95" s="41" t="s">
        <v>54</v>
      </c>
      <c r="AK95" s="41" t="s">
        <v>54</v>
      </c>
      <c r="AL95" s="41" t="s">
        <v>164</v>
      </c>
      <c r="AM95" s="45" t="s">
        <v>55</v>
      </c>
      <c r="AN95" s="45" t="s">
        <v>300</v>
      </c>
      <c r="AO95" s="45"/>
      <c r="AP95" s="46"/>
    </row>
    <row r="96" spans="3:42" ht="14.25" customHeight="1" x14ac:dyDescent="0.2">
      <c r="C96" s="40" t="str">
        <f>IF($X96=1,COUNTIF($C$10:C95,"&gt;0")+1,"")</f>
        <v/>
      </c>
      <c r="D96" s="41"/>
      <c r="E96" s="41" t="s">
        <v>327</v>
      </c>
      <c r="F96" s="42" t="s">
        <v>490</v>
      </c>
      <c r="G96" s="41" t="s">
        <v>487</v>
      </c>
      <c r="H96" s="41" t="s">
        <v>141</v>
      </c>
      <c r="I96" s="41" t="s">
        <v>94</v>
      </c>
      <c r="J96" s="41" t="s">
        <v>51</v>
      </c>
      <c r="K96" s="41" t="s">
        <v>52</v>
      </c>
      <c r="L96" s="43">
        <v>22449</v>
      </c>
      <c r="M96" s="41">
        <v>64</v>
      </c>
      <c r="N96" s="41" t="s">
        <v>491</v>
      </c>
      <c r="O96" s="43">
        <v>45967</v>
      </c>
      <c r="P96" s="41" t="s">
        <v>2</v>
      </c>
      <c r="Q96" s="41"/>
      <c r="R96" s="57">
        <v>45913</v>
      </c>
      <c r="S96" s="58">
        <v>45918</v>
      </c>
      <c r="T96" s="59">
        <f t="shared" si="1"/>
        <v>5</v>
      </c>
      <c r="U96" s="41">
        <v>1</v>
      </c>
      <c r="V96" s="41">
        <v>1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/>
      <c r="AC96" s="43">
        <v>45913</v>
      </c>
      <c r="AD96" s="44">
        <v>0.70486111110949423</v>
      </c>
      <c r="AE96" s="41" t="s">
        <v>97</v>
      </c>
      <c r="AF96" s="43">
        <v>45918</v>
      </c>
      <c r="AG96" s="44">
        <v>0.65625</v>
      </c>
      <c r="AH96" s="41" t="s">
        <v>135</v>
      </c>
      <c r="AI96" s="41" t="s">
        <v>333</v>
      </c>
      <c r="AJ96" s="41" t="s">
        <v>54</v>
      </c>
      <c r="AK96" s="41" t="s">
        <v>54</v>
      </c>
      <c r="AL96" s="41" t="s">
        <v>164</v>
      </c>
      <c r="AM96" s="45" t="s">
        <v>55</v>
      </c>
      <c r="AN96" s="45" t="s">
        <v>300</v>
      </c>
      <c r="AO96" s="45"/>
      <c r="AP96" s="46"/>
    </row>
    <row r="97" spans="3:42" ht="14.25" customHeight="1" x14ac:dyDescent="0.2">
      <c r="C97" s="40">
        <f>IF($X97=1,COUNTIF($C$10:C96,"&gt;0")+1,"")</f>
        <v>43</v>
      </c>
      <c r="D97" s="41">
        <v>15262360</v>
      </c>
      <c r="E97" s="41" t="s">
        <v>327</v>
      </c>
      <c r="F97" s="42" t="s">
        <v>492</v>
      </c>
      <c r="G97" s="41" t="s">
        <v>492</v>
      </c>
      <c r="H97" s="41" t="s">
        <v>493</v>
      </c>
      <c r="I97" s="41" t="s">
        <v>494</v>
      </c>
      <c r="J97" s="41" t="s">
        <v>51</v>
      </c>
      <c r="K97" s="41" t="s">
        <v>52</v>
      </c>
      <c r="L97" s="43">
        <v>28051</v>
      </c>
      <c r="M97" s="41">
        <v>48</v>
      </c>
      <c r="N97" s="41" t="s">
        <v>495</v>
      </c>
      <c r="O97" s="43">
        <v>46157</v>
      </c>
      <c r="P97" s="41" t="s">
        <v>2</v>
      </c>
      <c r="Q97" s="41"/>
      <c r="R97" s="57">
        <v>45913</v>
      </c>
      <c r="S97" s="58">
        <v>45918</v>
      </c>
      <c r="T97" s="59">
        <f t="shared" si="1"/>
        <v>5</v>
      </c>
      <c r="U97" s="41">
        <v>1</v>
      </c>
      <c r="V97" s="41">
        <v>1</v>
      </c>
      <c r="W97" s="41">
        <v>0</v>
      </c>
      <c r="X97" s="41">
        <v>1</v>
      </c>
      <c r="Y97" s="41">
        <v>0</v>
      </c>
      <c r="Z97" s="41">
        <v>1</v>
      </c>
      <c r="AA97" s="41">
        <v>0</v>
      </c>
      <c r="AB97" s="41"/>
      <c r="AC97" s="43">
        <v>45913</v>
      </c>
      <c r="AD97" s="44">
        <v>0.60069444444525288</v>
      </c>
      <c r="AE97" s="41" t="s">
        <v>83</v>
      </c>
      <c r="AF97" s="43">
        <v>45918</v>
      </c>
      <c r="AG97" s="44">
        <v>0.78472222221898846</v>
      </c>
      <c r="AH97" s="41" t="s">
        <v>147</v>
      </c>
      <c r="AI97" s="41" t="s">
        <v>333</v>
      </c>
      <c r="AJ97" s="41" t="s">
        <v>54</v>
      </c>
      <c r="AK97" s="41" t="s">
        <v>54</v>
      </c>
      <c r="AL97" s="41" t="s">
        <v>164</v>
      </c>
      <c r="AM97" s="45" t="s">
        <v>55</v>
      </c>
      <c r="AN97" s="45" t="s">
        <v>300</v>
      </c>
      <c r="AO97" s="45"/>
      <c r="AP97" s="46"/>
    </row>
    <row r="98" spans="3:42" ht="14.25" customHeight="1" x14ac:dyDescent="0.2">
      <c r="C98" s="40" t="str">
        <f>IF($X98=1,COUNTIF($C$10:C97,"&gt;0")+1,"")</f>
        <v/>
      </c>
      <c r="D98" s="41"/>
      <c r="E98" s="41" t="s">
        <v>327</v>
      </c>
      <c r="F98" s="42" t="s">
        <v>496</v>
      </c>
      <c r="G98" s="41" t="s">
        <v>492</v>
      </c>
      <c r="H98" s="41" t="s">
        <v>497</v>
      </c>
      <c r="I98" s="41" t="s">
        <v>494</v>
      </c>
      <c r="J98" s="41" t="s">
        <v>56</v>
      </c>
      <c r="K98" s="41" t="s">
        <v>52</v>
      </c>
      <c r="L98" s="43">
        <v>28321</v>
      </c>
      <c r="M98" s="41">
        <v>48</v>
      </c>
      <c r="N98" s="41" t="s">
        <v>498</v>
      </c>
      <c r="O98" s="43">
        <v>48218</v>
      </c>
      <c r="P98" s="41" t="s">
        <v>2</v>
      </c>
      <c r="Q98" s="41"/>
      <c r="R98" s="57">
        <v>45913</v>
      </c>
      <c r="S98" s="58">
        <v>45918</v>
      </c>
      <c r="T98" s="59">
        <f t="shared" si="1"/>
        <v>5</v>
      </c>
      <c r="U98" s="41">
        <v>1</v>
      </c>
      <c r="V98" s="41">
        <v>1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/>
      <c r="AC98" s="43">
        <v>45913</v>
      </c>
      <c r="AD98" s="44">
        <v>0.60069444444525288</v>
      </c>
      <c r="AE98" s="41" t="s">
        <v>83</v>
      </c>
      <c r="AF98" s="43">
        <v>45918</v>
      </c>
      <c r="AG98" s="44">
        <v>0.78472222221898846</v>
      </c>
      <c r="AH98" s="41" t="s">
        <v>147</v>
      </c>
      <c r="AI98" s="41" t="s">
        <v>333</v>
      </c>
      <c r="AJ98" s="41" t="s">
        <v>54</v>
      </c>
      <c r="AK98" s="41" t="s">
        <v>54</v>
      </c>
      <c r="AL98" s="41" t="s">
        <v>164</v>
      </c>
      <c r="AM98" s="45" t="s">
        <v>55</v>
      </c>
      <c r="AN98" s="45" t="s">
        <v>300</v>
      </c>
      <c r="AO98" s="45"/>
      <c r="AP98" s="46"/>
    </row>
    <row r="99" spans="3:42" ht="14.25" customHeight="1" x14ac:dyDescent="0.2">
      <c r="C99" s="40">
        <f>IF($X99=1,COUNTIF($C$10:C98,"&gt;0")+1,"")</f>
        <v>44</v>
      </c>
      <c r="D99" s="41">
        <v>15262361</v>
      </c>
      <c r="E99" s="41" t="s">
        <v>327</v>
      </c>
      <c r="F99" s="42" t="s">
        <v>499</v>
      </c>
      <c r="G99" s="41" t="s">
        <v>499</v>
      </c>
      <c r="H99" s="41" t="s">
        <v>500</v>
      </c>
      <c r="I99" s="41" t="s">
        <v>501</v>
      </c>
      <c r="J99" s="41" t="s">
        <v>56</v>
      </c>
      <c r="K99" s="41" t="s">
        <v>52</v>
      </c>
      <c r="L99" s="43">
        <v>24528</v>
      </c>
      <c r="M99" s="41">
        <v>58</v>
      </c>
      <c r="N99" s="41" t="s">
        <v>502</v>
      </c>
      <c r="O99" s="43">
        <v>47228</v>
      </c>
      <c r="P99" s="41" t="s">
        <v>2</v>
      </c>
      <c r="Q99" s="41"/>
      <c r="R99" s="57">
        <v>45913</v>
      </c>
      <c r="S99" s="58">
        <v>45918</v>
      </c>
      <c r="T99" s="59">
        <f t="shared" si="1"/>
        <v>5</v>
      </c>
      <c r="U99" s="41">
        <v>1</v>
      </c>
      <c r="V99" s="41">
        <v>1</v>
      </c>
      <c r="W99" s="41">
        <v>0</v>
      </c>
      <c r="X99" s="41">
        <v>1</v>
      </c>
      <c r="Y99" s="41">
        <v>0</v>
      </c>
      <c r="Z99" s="41">
        <v>1</v>
      </c>
      <c r="AA99" s="41">
        <v>0</v>
      </c>
      <c r="AB99" s="41"/>
      <c r="AC99" s="43">
        <v>45913</v>
      </c>
      <c r="AD99" s="44">
        <v>0.20833333333575865</v>
      </c>
      <c r="AE99" s="41" t="s">
        <v>432</v>
      </c>
      <c r="AF99" s="43">
        <v>45918</v>
      </c>
      <c r="AG99" s="44">
        <v>0.74305555555474712</v>
      </c>
      <c r="AH99" s="41" t="s">
        <v>503</v>
      </c>
      <c r="AI99" s="41" t="s">
        <v>333</v>
      </c>
      <c r="AJ99" s="41" t="s">
        <v>54</v>
      </c>
      <c r="AK99" s="50" t="s">
        <v>504</v>
      </c>
      <c r="AL99" s="41" t="s">
        <v>164</v>
      </c>
      <c r="AM99" s="45" t="s">
        <v>55</v>
      </c>
      <c r="AN99" s="45" t="s">
        <v>300</v>
      </c>
      <c r="AO99" s="45"/>
      <c r="AP99" s="46"/>
    </row>
    <row r="100" spans="3:42" ht="14.25" customHeight="1" x14ac:dyDescent="0.2">
      <c r="C100" s="40" t="str">
        <f>IF($X100=1,COUNTIF($C$10:C99,"&gt;0")+1,"")</f>
        <v/>
      </c>
      <c r="D100" s="41"/>
      <c r="E100" s="41" t="s">
        <v>327</v>
      </c>
      <c r="F100" s="42" t="s">
        <v>505</v>
      </c>
      <c r="G100" s="41" t="s">
        <v>499</v>
      </c>
      <c r="H100" s="41" t="s">
        <v>506</v>
      </c>
      <c r="I100" s="41" t="s">
        <v>507</v>
      </c>
      <c r="J100" s="41" t="s">
        <v>51</v>
      </c>
      <c r="K100" s="41" t="s">
        <v>52</v>
      </c>
      <c r="L100" s="43">
        <v>24561</v>
      </c>
      <c r="M100" s="41">
        <v>58</v>
      </c>
      <c r="N100" s="41" t="s">
        <v>508</v>
      </c>
      <c r="O100" s="43">
        <v>46838</v>
      </c>
      <c r="P100" s="41" t="s">
        <v>2</v>
      </c>
      <c r="Q100" s="41"/>
      <c r="R100" s="57">
        <v>45913</v>
      </c>
      <c r="S100" s="58">
        <v>45918</v>
      </c>
      <c r="T100" s="59">
        <f t="shared" si="1"/>
        <v>5</v>
      </c>
      <c r="U100" s="41">
        <v>1</v>
      </c>
      <c r="V100" s="41">
        <v>1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/>
      <c r="AC100" s="43">
        <v>45913</v>
      </c>
      <c r="AD100" s="44">
        <v>0.20833333333575865</v>
      </c>
      <c r="AE100" s="41" t="s">
        <v>432</v>
      </c>
      <c r="AF100" s="43">
        <v>45918</v>
      </c>
      <c r="AG100" s="44">
        <v>0.74305555555474712</v>
      </c>
      <c r="AH100" s="41" t="s">
        <v>503</v>
      </c>
      <c r="AI100" s="41" t="s">
        <v>333</v>
      </c>
      <c r="AJ100" s="41" t="s">
        <v>54</v>
      </c>
      <c r="AK100" s="50"/>
      <c r="AL100" s="41" t="s">
        <v>164</v>
      </c>
      <c r="AM100" s="45" t="s">
        <v>55</v>
      </c>
      <c r="AN100" s="45" t="s">
        <v>300</v>
      </c>
      <c r="AO100" s="45"/>
      <c r="AP100" s="46"/>
    </row>
    <row r="101" spans="3:42" ht="14.25" customHeight="1" x14ac:dyDescent="0.2">
      <c r="C101" s="40">
        <f>IF($X101=1,COUNTIF($C$10:C100,"&gt;0")+1,"")</f>
        <v>45</v>
      </c>
      <c r="D101" s="41">
        <v>15262362</v>
      </c>
      <c r="E101" s="41" t="s">
        <v>327</v>
      </c>
      <c r="F101" s="42" t="s">
        <v>509</v>
      </c>
      <c r="G101" s="41" t="s">
        <v>509</v>
      </c>
      <c r="H101" s="41" t="s">
        <v>510</v>
      </c>
      <c r="I101" s="41" t="s">
        <v>511</v>
      </c>
      <c r="J101" s="41" t="s">
        <v>56</v>
      </c>
      <c r="K101" s="41" t="s">
        <v>52</v>
      </c>
      <c r="L101" s="43">
        <v>26479</v>
      </c>
      <c r="M101" s="41">
        <v>53</v>
      </c>
      <c r="N101" s="41" t="s">
        <v>512</v>
      </c>
      <c r="O101" s="43">
        <v>47455</v>
      </c>
      <c r="P101" s="41" t="s">
        <v>3</v>
      </c>
      <c r="Q101" s="41"/>
      <c r="R101" s="57">
        <v>45913</v>
      </c>
      <c r="S101" s="58">
        <v>45918</v>
      </c>
      <c r="T101" s="59">
        <f t="shared" si="1"/>
        <v>5</v>
      </c>
      <c r="U101" s="41">
        <v>1</v>
      </c>
      <c r="V101" s="41">
        <v>1</v>
      </c>
      <c r="W101" s="41">
        <v>0</v>
      </c>
      <c r="X101" s="41">
        <v>1</v>
      </c>
      <c r="Y101" s="41">
        <v>0</v>
      </c>
      <c r="Z101" s="41">
        <v>0</v>
      </c>
      <c r="AA101" s="41">
        <v>1</v>
      </c>
      <c r="AB101" s="41"/>
      <c r="AC101" s="43">
        <v>45913</v>
      </c>
      <c r="AD101" s="44">
        <v>0.20833333333575865</v>
      </c>
      <c r="AE101" s="41" t="s">
        <v>432</v>
      </c>
      <c r="AF101" s="43">
        <v>45918</v>
      </c>
      <c r="AG101" s="44">
        <v>0.74305555555474712</v>
      </c>
      <c r="AH101" s="41" t="s">
        <v>503</v>
      </c>
      <c r="AI101" s="41" t="s">
        <v>333</v>
      </c>
      <c r="AJ101" s="41" t="s">
        <v>54</v>
      </c>
      <c r="AK101" s="50" t="s">
        <v>504</v>
      </c>
      <c r="AL101" s="41" t="s">
        <v>164</v>
      </c>
      <c r="AM101" s="45" t="s">
        <v>55</v>
      </c>
      <c r="AN101" s="45" t="s">
        <v>387</v>
      </c>
      <c r="AO101" s="45"/>
      <c r="AP101" s="46"/>
    </row>
    <row r="102" spans="3:42" ht="14.25" customHeight="1" x14ac:dyDescent="0.2">
      <c r="C102" s="40" t="str">
        <f>IF($X102=1,COUNTIF($C$10:C101,"&gt;0")+1,"")</f>
        <v/>
      </c>
      <c r="D102" s="41"/>
      <c r="E102" s="41" t="s">
        <v>327</v>
      </c>
      <c r="F102" s="42" t="s">
        <v>513</v>
      </c>
      <c r="G102" s="41" t="s">
        <v>509</v>
      </c>
      <c r="H102" s="41" t="s">
        <v>514</v>
      </c>
      <c r="I102" s="41" t="s">
        <v>515</v>
      </c>
      <c r="J102" s="41" t="s">
        <v>56</v>
      </c>
      <c r="K102" s="41" t="s">
        <v>52</v>
      </c>
      <c r="L102" s="43">
        <v>22637</v>
      </c>
      <c r="M102" s="41">
        <v>63</v>
      </c>
      <c r="N102" s="41" t="s">
        <v>516</v>
      </c>
      <c r="O102" s="43">
        <v>47306</v>
      </c>
      <c r="P102" s="41" t="s">
        <v>3</v>
      </c>
      <c r="Q102" s="41"/>
      <c r="R102" s="57">
        <v>45913</v>
      </c>
      <c r="S102" s="58">
        <v>45918</v>
      </c>
      <c r="T102" s="59">
        <f t="shared" si="1"/>
        <v>5</v>
      </c>
      <c r="U102" s="41">
        <v>1</v>
      </c>
      <c r="V102" s="41">
        <v>1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/>
      <c r="AC102" s="43">
        <v>45913</v>
      </c>
      <c r="AD102" s="44">
        <v>0.20833333333575865</v>
      </c>
      <c r="AE102" s="41" t="s">
        <v>432</v>
      </c>
      <c r="AF102" s="43">
        <v>45918</v>
      </c>
      <c r="AG102" s="44">
        <v>0.74305555555474712</v>
      </c>
      <c r="AH102" s="41" t="s">
        <v>503</v>
      </c>
      <c r="AI102" s="41" t="s">
        <v>333</v>
      </c>
      <c r="AJ102" s="41" t="s">
        <v>54</v>
      </c>
      <c r="AK102" s="50"/>
      <c r="AL102" s="41" t="s">
        <v>164</v>
      </c>
      <c r="AM102" s="45" t="s">
        <v>55</v>
      </c>
      <c r="AN102" s="45" t="s">
        <v>387</v>
      </c>
      <c r="AO102" s="45"/>
      <c r="AP102" s="46"/>
    </row>
    <row r="103" spans="3:42" ht="14.25" customHeight="1" x14ac:dyDescent="0.2">
      <c r="C103" s="40">
        <f>IF($X103=1,COUNTIF($C$10:C102,"&gt;0")+1,"")</f>
        <v>46</v>
      </c>
      <c r="D103" s="41">
        <v>15262370</v>
      </c>
      <c r="E103" s="41" t="s">
        <v>327</v>
      </c>
      <c r="F103" s="42" t="s">
        <v>517</v>
      </c>
      <c r="G103" s="41" t="s">
        <v>517</v>
      </c>
      <c r="H103" s="41" t="s">
        <v>518</v>
      </c>
      <c r="I103" s="41" t="s">
        <v>519</v>
      </c>
      <c r="J103" s="41" t="s">
        <v>56</v>
      </c>
      <c r="K103" s="41" t="s">
        <v>52</v>
      </c>
      <c r="L103" s="43">
        <v>25451</v>
      </c>
      <c r="M103" s="41">
        <v>56</v>
      </c>
      <c r="N103" s="41" t="s">
        <v>520</v>
      </c>
      <c r="O103" s="43">
        <v>47830</v>
      </c>
      <c r="P103" s="41" t="s">
        <v>2</v>
      </c>
      <c r="Q103" s="41"/>
      <c r="R103" s="57">
        <v>45913</v>
      </c>
      <c r="S103" s="58">
        <v>45918</v>
      </c>
      <c r="T103" s="59">
        <f t="shared" si="1"/>
        <v>5</v>
      </c>
      <c r="U103" s="41">
        <v>1</v>
      </c>
      <c r="V103" s="41">
        <v>1</v>
      </c>
      <c r="W103" s="41">
        <v>0</v>
      </c>
      <c r="X103" s="41">
        <v>1</v>
      </c>
      <c r="Y103" s="41">
        <v>0</v>
      </c>
      <c r="Z103" s="41">
        <v>1</v>
      </c>
      <c r="AA103" s="41">
        <v>0</v>
      </c>
      <c r="AB103" s="41"/>
      <c r="AC103" s="43">
        <v>45913</v>
      </c>
      <c r="AD103" s="44">
        <v>0.69444444444525288</v>
      </c>
      <c r="AE103" s="41" t="s">
        <v>104</v>
      </c>
      <c r="AF103" s="43">
        <v>45918</v>
      </c>
      <c r="AG103" s="44">
        <v>0.74305555555474712</v>
      </c>
      <c r="AH103" s="41" t="s">
        <v>503</v>
      </c>
      <c r="AI103" s="41" t="s">
        <v>333</v>
      </c>
      <c r="AJ103" s="41" t="s">
        <v>54</v>
      </c>
      <c r="AK103" s="50" t="s">
        <v>504</v>
      </c>
      <c r="AL103" s="41" t="s">
        <v>164</v>
      </c>
      <c r="AM103" s="45" t="s">
        <v>55</v>
      </c>
      <c r="AN103" s="45" t="s">
        <v>300</v>
      </c>
      <c r="AO103" s="45"/>
      <c r="AP103" s="46"/>
    </row>
    <row r="104" spans="3:42" ht="14.25" customHeight="1" x14ac:dyDescent="0.2">
      <c r="C104" s="40" t="str">
        <f>IF($X104=1,COUNTIF($C$10:C103,"&gt;0")+1,"")</f>
        <v/>
      </c>
      <c r="D104" s="41"/>
      <c r="E104" s="41" t="s">
        <v>327</v>
      </c>
      <c r="F104" s="42" t="s">
        <v>521</v>
      </c>
      <c r="G104" s="41" t="s">
        <v>517</v>
      </c>
      <c r="H104" s="41" t="s">
        <v>522</v>
      </c>
      <c r="I104" s="41" t="s">
        <v>519</v>
      </c>
      <c r="J104" s="41" t="s">
        <v>51</v>
      </c>
      <c r="K104" s="41" t="s">
        <v>52</v>
      </c>
      <c r="L104" s="43">
        <v>20533</v>
      </c>
      <c r="M104" s="41">
        <v>69</v>
      </c>
      <c r="N104" s="41" t="s">
        <v>523</v>
      </c>
      <c r="O104" s="43">
        <v>47300</v>
      </c>
      <c r="P104" s="41" t="s">
        <v>2</v>
      </c>
      <c r="Q104" s="41"/>
      <c r="R104" s="57">
        <v>45913</v>
      </c>
      <c r="S104" s="58">
        <v>45918</v>
      </c>
      <c r="T104" s="59">
        <f t="shared" si="1"/>
        <v>5</v>
      </c>
      <c r="U104" s="41">
        <v>1</v>
      </c>
      <c r="V104" s="41">
        <v>1</v>
      </c>
      <c r="W104" s="41">
        <v>0</v>
      </c>
      <c r="X104" s="41">
        <v>0</v>
      </c>
      <c r="Y104" s="41">
        <v>0</v>
      </c>
      <c r="Z104" s="41">
        <v>0</v>
      </c>
      <c r="AA104" s="41">
        <v>0</v>
      </c>
      <c r="AB104" s="41"/>
      <c r="AC104" s="43">
        <v>45913</v>
      </c>
      <c r="AD104" s="44">
        <v>0.69444444444525288</v>
      </c>
      <c r="AE104" s="41" t="s">
        <v>104</v>
      </c>
      <c r="AF104" s="43">
        <v>45918</v>
      </c>
      <c r="AG104" s="44">
        <v>0.74305555555474712</v>
      </c>
      <c r="AH104" s="41" t="s">
        <v>503</v>
      </c>
      <c r="AI104" s="41" t="s">
        <v>333</v>
      </c>
      <c r="AJ104" s="41" t="s">
        <v>54</v>
      </c>
      <c r="AK104" s="50" t="s">
        <v>54</v>
      </c>
      <c r="AL104" s="41" t="s">
        <v>164</v>
      </c>
      <c r="AM104" s="45" t="s">
        <v>55</v>
      </c>
      <c r="AN104" s="45" t="s">
        <v>300</v>
      </c>
      <c r="AO104" s="45"/>
      <c r="AP104" s="46"/>
    </row>
    <row r="105" spans="3:42" ht="14.25" customHeight="1" x14ac:dyDescent="0.2">
      <c r="C105" s="40">
        <f>IF($X105=1,COUNTIF($C$10:C104,"&gt;0")+1,"")</f>
        <v>47</v>
      </c>
      <c r="D105" s="41">
        <v>15262371</v>
      </c>
      <c r="E105" s="41" t="s">
        <v>327</v>
      </c>
      <c r="F105" s="42" t="s">
        <v>524</v>
      </c>
      <c r="G105" s="41" t="s">
        <v>524</v>
      </c>
      <c r="H105" s="41" t="s">
        <v>525</v>
      </c>
      <c r="I105" s="41" t="s">
        <v>526</v>
      </c>
      <c r="J105" s="41" t="s">
        <v>51</v>
      </c>
      <c r="K105" s="41" t="s">
        <v>52</v>
      </c>
      <c r="L105" s="43">
        <v>23906</v>
      </c>
      <c r="M105" s="41">
        <v>60</v>
      </c>
      <c r="N105" s="41" t="s">
        <v>527</v>
      </c>
      <c r="O105" s="43">
        <v>48438</v>
      </c>
      <c r="P105" s="41" t="s">
        <v>2</v>
      </c>
      <c r="Q105" s="41"/>
      <c r="R105" s="57">
        <v>45913</v>
      </c>
      <c r="S105" s="58">
        <v>45918</v>
      </c>
      <c r="T105" s="59">
        <f t="shared" si="1"/>
        <v>5</v>
      </c>
      <c r="U105" s="41">
        <v>1</v>
      </c>
      <c r="V105" s="41">
        <v>1</v>
      </c>
      <c r="W105" s="41">
        <v>0</v>
      </c>
      <c r="X105" s="41">
        <v>1</v>
      </c>
      <c r="Y105" s="41">
        <v>0</v>
      </c>
      <c r="Z105" s="41">
        <v>1</v>
      </c>
      <c r="AA105" s="41">
        <v>0</v>
      </c>
      <c r="AB105" s="41"/>
      <c r="AC105" s="43">
        <v>45913</v>
      </c>
      <c r="AD105" s="44">
        <v>0.625</v>
      </c>
      <c r="AE105" s="41" t="s">
        <v>57</v>
      </c>
      <c r="AF105" s="43">
        <v>45918</v>
      </c>
      <c r="AG105" s="44">
        <v>0.47916666666424135</v>
      </c>
      <c r="AH105" s="41" t="s">
        <v>67</v>
      </c>
      <c r="AI105" s="41" t="s">
        <v>333</v>
      </c>
      <c r="AJ105" s="41" t="s">
        <v>54</v>
      </c>
      <c r="AK105" s="41" t="s">
        <v>54</v>
      </c>
      <c r="AL105" s="41" t="s">
        <v>164</v>
      </c>
      <c r="AM105" s="45" t="s">
        <v>55</v>
      </c>
      <c r="AN105" s="45" t="s">
        <v>300</v>
      </c>
      <c r="AO105" s="45"/>
      <c r="AP105" s="46"/>
    </row>
    <row r="106" spans="3:42" ht="14.25" customHeight="1" x14ac:dyDescent="0.2">
      <c r="C106" s="40" t="str">
        <f>IF($X106=1,COUNTIF($C$10:C105,"&gt;0")+1,"")</f>
        <v/>
      </c>
      <c r="D106" s="41"/>
      <c r="E106" s="41" t="s">
        <v>327</v>
      </c>
      <c r="F106" s="42" t="s">
        <v>528</v>
      </c>
      <c r="G106" s="41" t="s">
        <v>524</v>
      </c>
      <c r="H106" s="41" t="s">
        <v>529</v>
      </c>
      <c r="I106" s="41" t="s">
        <v>526</v>
      </c>
      <c r="J106" s="41" t="s">
        <v>56</v>
      </c>
      <c r="K106" s="41" t="s">
        <v>52</v>
      </c>
      <c r="L106" s="43">
        <v>23706</v>
      </c>
      <c r="M106" s="41">
        <v>60</v>
      </c>
      <c r="N106" s="41" t="s">
        <v>530</v>
      </c>
      <c r="O106" s="43">
        <v>48438</v>
      </c>
      <c r="P106" s="41" t="s">
        <v>2</v>
      </c>
      <c r="Q106" s="41"/>
      <c r="R106" s="57">
        <v>45913</v>
      </c>
      <c r="S106" s="58">
        <v>45918</v>
      </c>
      <c r="T106" s="59">
        <f t="shared" si="1"/>
        <v>5</v>
      </c>
      <c r="U106" s="41">
        <v>1</v>
      </c>
      <c r="V106" s="41">
        <v>1</v>
      </c>
      <c r="W106" s="41">
        <v>0</v>
      </c>
      <c r="X106" s="41">
        <v>0</v>
      </c>
      <c r="Y106" s="41">
        <v>0</v>
      </c>
      <c r="Z106" s="41">
        <v>0</v>
      </c>
      <c r="AA106" s="41">
        <v>0</v>
      </c>
      <c r="AB106" s="41"/>
      <c r="AC106" s="43">
        <v>45913</v>
      </c>
      <c r="AD106" s="44">
        <v>0.625</v>
      </c>
      <c r="AE106" s="41" t="s">
        <v>57</v>
      </c>
      <c r="AF106" s="43">
        <v>45918</v>
      </c>
      <c r="AG106" s="44">
        <v>0.47916666666424135</v>
      </c>
      <c r="AH106" s="41" t="s">
        <v>67</v>
      </c>
      <c r="AI106" s="41" t="s">
        <v>333</v>
      </c>
      <c r="AJ106" s="41" t="s">
        <v>54</v>
      </c>
      <c r="AK106" s="41" t="s">
        <v>54</v>
      </c>
      <c r="AL106" s="41" t="s">
        <v>164</v>
      </c>
      <c r="AM106" s="45" t="s">
        <v>55</v>
      </c>
      <c r="AN106" s="45" t="s">
        <v>300</v>
      </c>
      <c r="AO106" s="45"/>
      <c r="AP106" s="46"/>
    </row>
    <row r="107" spans="3:42" ht="14.25" customHeight="1" x14ac:dyDescent="0.2">
      <c r="C107" s="40">
        <f>IF($X107=1,COUNTIF($C$10:C106,"&gt;0")+1,"")</f>
        <v>48</v>
      </c>
      <c r="D107" s="41">
        <v>15262372</v>
      </c>
      <c r="E107" s="41" t="s">
        <v>327</v>
      </c>
      <c r="F107" s="42" t="s">
        <v>531</v>
      </c>
      <c r="G107" s="41" t="s">
        <v>531</v>
      </c>
      <c r="H107" s="41" t="s">
        <v>532</v>
      </c>
      <c r="I107" s="41" t="s">
        <v>533</v>
      </c>
      <c r="J107" s="41" t="s">
        <v>51</v>
      </c>
      <c r="K107" s="41" t="s">
        <v>64</v>
      </c>
      <c r="L107" s="43">
        <v>32217</v>
      </c>
      <c r="M107" s="41">
        <v>37</v>
      </c>
      <c r="N107" s="41" t="s">
        <v>534</v>
      </c>
      <c r="O107" s="43">
        <v>46826</v>
      </c>
      <c r="P107" s="41" t="s">
        <v>2</v>
      </c>
      <c r="Q107" s="41"/>
      <c r="R107" s="57">
        <v>45913</v>
      </c>
      <c r="S107" s="58">
        <v>45918</v>
      </c>
      <c r="T107" s="59">
        <f t="shared" si="1"/>
        <v>5</v>
      </c>
      <c r="U107" s="41">
        <v>1</v>
      </c>
      <c r="V107" s="41">
        <v>1</v>
      </c>
      <c r="W107" s="41">
        <v>0</v>
      </c>
      <c r="X107" s="41">
        <v>1</v>
      </c>
      <c r="Y107" s="41">
        <v>0</v>
      </c>
      <c r="Z107" s="41">
        <v>1</v>
      </c>
      <c r="AA107" s="41">
        <v>0</v>
      </c>
      <c r="AB107" s="41"/>
      <c r="AC107" s="43">
        <v>45912</v>
      </c>
      <c r="AD107" s="44">
        <v>0.625</v>
      </c>
      <c r="AE107" s="41" t="s">
        <v>57</v>
      </c>
      <c r="AF107" s="43">
        <v>45924</v>
      </c>
      <c r="AG107" s="44">
        <v>0.47916666666424135</v>
      </c>
      <c r="AH107" s="41" t="s">
        <v>67</v>
      </c>
      <c r="AI107" s="41" t="s">
        <v>333</v>
      </c>
      <c r="AJ107" s="41" t="s">
        <v>54</v>
      </c>
      <c r="AK107" s="41" t="s">
        <v>54</v>
      </c>
      <c r="AL107" s="41" t="s">
        <v>164</v>
      </c>
      <c r="AM107" s="45" t="s">
        <v>55</v>
      </c>
      <c r="AN107" s="45" t="s">
        <v>300</v>
      </c>
      <c r="AO107" s="45"/>
      <c r="AP107" s="46"/>
    </row>
    <row r="108" spans="3:42" ht="14.25" customHeight="1" x14ac:dyDescent="0.2">
      <c r="C108" s="40" t="str">
        <f>IF($X108=1,COUNTIF($C$10:C107,"&gt;0")+1,"")</f>
        <v/>
      </c>
      <c r="D108" s="41"/>
      <c r="E108" s="41" t="s">
        <v>327</v>
      </c>
      <c r="F108" s="42" t="s">
        <v>535</v>
      </c>
      <c r="G108" s="41" t="s">
        <v>531</v>
      </c>
      <c r="H108" s="41" t="s">
        <v>536</v>
      </c>
      <c r="I108" s="41" t="s">
        <v>537</v>
      </c>
      <c r="J108" s="41" t="s">
        <v>56</v>
      </c>
      <c r="K108" s="41" t="s">
        <v>52</v>
      </c>
      <c r="L108" s="43">
        <v>40155</v>
      </c>
      <c r="M108" s="41">
        <v>15</v>
      </c>
      <c r="N108" s="41" t="s">
        <v>538</v>
      </c>
      <c r="O108" s="43">
        <v>46582</v>
      </c>
      <c r="P108" s="41" t="s">
        <v>2</v>
      </c>
      <c r="Q108" s="41"/>
      <c r="R108" s="57">
        <v>45913</v>
      </c>
      <c r="S108" s="58">
        <v>45918</v>
      </c>
      <c r="T108" s="59">
        <f t="shared" si="1"/>
        <v>5</v>
      </c>
      <c r="U108" s="41">
        <v>1</v>
      </c>
      <c r="V108" s="41">
        <v>1</v>
      </c>
      <c r="W108" s="41">
        <v>0</v>
      </c>
      <c r="X108" s="41">
        <v>0</v>
      </c>
      <c r="Y108" s="41">
        <v>0</v>
      </c>
      <c r="Z108" s="41">
        <v>0</v>
      </c>
      <c r="AA108" s="41">
        <v>0</v>
      </c>
      <c r="AB108" s="41"/>
      <c r="AC108" s="43">
        <v>45913</v>
      </c>
      <c r="AD108" s="44">
        <v>0.81944444444525288</v>
      </c>
      <c r="AE108" s="41" t="s">
        <v>134</v>
      </c>
      <c r="AF108" s="43">
        <v>45918</v>
      </c>
      <c r="AG108" s="44">
        <v>0.80555555555474712</v>
      </c>
      <c r="AH108" s="41" t="s">
        <v>102</v>
      </c>
      <c r="AI108" s="41" t="s">
        <v>333</v>
      </c>
      <c r="AJ108" s="41" t="s">
        <v>54</v>
      </c>
      <c r="AK108" s="41" t="s">
        <v>54</v>
      </c>
      <c r="AL108" s="41" t="s">
        <v>164</v>
      </c>
      <c r="AM108" s="45" t="s">
        <v>55</v>
      </c>
      <c r="AN108" s="45" t="s">
        <v>300</v>
      </c>
      <c r="AO108" s="45" t="s">
        <v>79</v>
      </c>
      <c r="AP108" s="46"/>
    </row>
    <row r="109" spans="3:42" ht="14.25" customHeight="1" x14ac:dyDescent="0.2">
      <c r="C109" s="40">
        <f>IF($X109=1,COUNTIF($C$10:C108,"&gt;0")+1,"")</f>
        <v>49</v>
      </c>
      <c r="D109" s="41">
        <v>15262373</v>
      </c>
      <c r="E109" s="41" t="s">
        <v>327</v>
      </c>
      <c r="F109" s="42" t="s">
        <v>539</v>
      </c>
      <c r="G109" s="41" t="s">
        <v>531</v>
      </c>
      <c r="H109" s="41" t="s">
        <v>540</v>
      </c>
      <c r="I109" s="41" t="s">
        <v>541</v>
      </c>
      <c r="J109" s="41" t="s">
        <v>51</v>
      </c>
      <c r="K109" s="41" t="s">
        <v>52</v>
      </c>
      <c r="L109" s="43"/>
      <c r="M109" s="41"/>
      <c r="N109" s="41" t="s">
        <v>542</v>
      </c>
      <c r="O109" s="43">
        <v>46866</v>
      </c>
      <c r="P109" s="41" t="s">
        <v>3</v>
      </c>
      <c r="Q109" s="41"/>
      <c r="R109" s="57">
        <v>45913</v>
      </c>
      <c r="S109" s="58">
        <v>45918</v>
      </c>
      <c r="T109" s="59">
        <f t="shared" si="1"/>
        <v>5</v>
      </c>
      <c r="U109" s="41">
        <v>1</v>
      </c>
      <c r="V109" s="41">
        <v>1</v>
      </c>
      <c r="W109" s="41">
        <v>0</v>
      </c>
      <c r="X109" s="41">
        <v>1</v>
      </c>
      <c r="Y109" s="41">
        <v>0</v>
      </c>
      <c r="Z109" s="41">
        <v>0</v>
      </c>
      <c r="AA109" s="41">
        <v>1</v>
      </c>
      <c r="AB109" s="41"/>
      <c r="AC109" s="43">
        <v>45913</v>
      </c>
      <c r="AD109" s="44">
        <v>0.62152777778101154</v>
      </c>
      <c r="AE109" s="41" t="s">
        <v>73</v>
      </c>
      <c r="AF109" s="43">
        <v>45918</v>
      </c>
      <c r="AG109" s="44">
        <v>0.32638888889050577</v>
      </c>
      <c r="AH109" s="41" t="s">
        <v>84</v>
      </c>
      <c r="AI109" s="41" t="s">
        <v>333</v>
      </c>
      <c r="AJ109" s="41" t="s">
        <v>54</v>
      </c>
      <c r="AK109" s="41" t="s">
        <v>54</v>
      </c>
      <c r="AL109" s="41" t="s">
        <v>164</v>
      </c>
      <c r="AM109" s="45" t="s">
        <v>55</v>
      </c>
      <c r="AN109" s="45" t="s">
        <v>387</v>
      </c>
      <c r="AO109" s="45"/>
      <c r="AP109" s="46"/>
    </row>
    <row r="110" spans="3:42" ht="14.25" customHeight="1" x14ac:dyDescent="0.2">
      <c r="C110" s="40" t="str">
        <f>IF($X110=1,COUNTIF($C$10:C109,"&gt;0")+1,"")</f>
        <v/>
      </c>
      <c r="D110" s="41"/>
      <c r="E110" s="41" t="s">
        <v>327</v>
      </c>
      <c r="F110" s="42" t="s">
        <v>543</v>
      </c>
      <c r="G110" s="41" t="s">
        <v>531</v>
      </c>
      <c r="H110" s="41" t="s">
        <v>544</v>
      </c>
      <c r="I110" s="41" t="s">
        <v>541</v>
      </c>
      <c r="J110" s="41" t="s">
        <v>56</v>
      </c>
      <c r="K110" s="41" t="s">
        <v>52</v>
      </c>
      <c r="L110" s="43">
        <v>28820</v>
      </c>
      <c r="M110" s="41">
        <v>46</v>
      </c>
      <c r="N110" s="41" t="s">
        <v>545</v>
      </c>
      <c r="O110" s="43">
        <v>46854</v>
      </c>
      <c r="P110" s="41" t="s">
        <v>3</v>
      </c>
      <c r="Q110" s="41"/>
      <c r="R110" s="57">
        <v>45913</v>
      </c>
      <c r="S110" s="58">
        <v>45918</v>
      </c>
      <c r="T110" s="59">
        <f t="shared" si="1"/>
        <v>5</v>
      </c>
      <c r="U110" s="41">
        <v>1</v>
      </c>
      <c r="V110" s="41">
        <v>1</v>
      </c>
      <c r="W110" s="41">
        <v>0</v>
      </c>
      <c r="X110" s="41">
        <v>0</v>
      </c>
      <c r="Y110" s="41">
        <v>0</v>
      </c>
      <c r="Z110" s="41">
        <v>0</v>
      </c>
      <c r="AA110" s="41">
        <v>0</v>
      </c>
      <c r="AB110" s="41"/>
      <c r="AC110" s="43">
        <v>45913</v>
      </c>
      <c r="AD110" s="44">
        <v>0.62152777778101154</v>
      </c>
      <c r="AE110" s="41" t="s">
        <v>73</v>
      </c>
      <c r="AF110" s="43">
        <v>45918</v>
      </c>
      <c r="AG110" s="44">
        <v>0.32638888889050577</v>
      </c>
      <c r="AH110" s="41" t="s">
        <v>84</v>
      </c>
      <c r="AI110" s="41" t="s">
        <v>333</v>
      </c>
      <c r="AJ110" s="41" t="s">
        <v>54</v>
      </c>
      <c r="AK110" s="41" t="s">
        <v>54</v>
      </c>
      <c r="AL110" s="41" t="s">
        <v>164</v>
      </c>
      <c r="AM110" s="45" t="s">
        <v>55</v>
      </c>
      <c r="AN110" s="45" t="s">
        <v>387</v>
      </c>
      <c r="AO110" s="45"/>
      <c r="AP110" s="46"/>
    </row>
    <row r="111" spans="3:42" ht="14.25" customHeight="1" x14ac:dyDescent="0.2">
      <c r="C111" s="40">
        <f>IF($X111=1,COUNTIF($C$10:C110,"&gt;0")+1,"")</f>
        <v>50</v>
      </c>
      <c r="D111" s="41">
        <v>15262374</v>
      </c>
      <c r="E111" s="41" t="s">
        <v>327</v>
      </c>
      <c r="F111" s="42" t="s">
        <v>546</v>
      </c>
      <c r="G111" s="41" t="s">
        <v>546</v>
      </c>
      <c r="H111" s="41" t="s">
        <v>547</v>
      </c>
      <c r="I111" s="41" t="s">
        <v>537</v>
      </c>
      <c r="J111" s="41" t="s">
        <v>56</v>
      </c>
      <c r="K111" s="41" t="s">
        <v>52</v>
      </c>
      <c r="L111" s="43">
        <v>31325</v>
      </c>
      <c r="M111" s="41">
        <v>39</v>
      </c>
      <c r="N111" s="41" t="s">
        <v>548</v>
      </c>
      <c r="O111" s="43">
        <v>49051</v>
      </c>
      <c r="P111" s="41" t="s">
        <v>2</v>
      </c>
      <c r="Q111" s="41"/>
      <c r="R111" s="57">
        <v>45913</v>
      </c>
      <c r="S111" s="58">
        <v>45918</v>
      </c>
      <c r="T111" s="59">
        <f t="shared" si="1"/>
        <v>5</v>
      </c>
      <c r="U111" s="41">
        <v>1</v>
      </c>
      <c r="V111" s="41">
        <v>1</v>
      </c>
      <c r="W111" s="41">
        <v>0</v>
      </c>
      <c r="X111" s="41">
        <v>1</v>
      </c>
      <c r="Y111" s="41">
        <v>0</v>
      </c>
      <c r="Z111" s="41">
        <v>1</v>
      </c>
      <c r="AA111" s="41">
        <v>0</v>
      </c>
      <c r="AB111" s="41"/>
      <c r="AC111" s="43">
        <v>45913</v>
      </c>
      <c r="AD111" s="44">
        <v>0.81944444444525288</v>
      </c>
      <c r="AE111" s="41" t="s">
        <v>134</v>
      </c>
      <c r="AF111" s="43">
        <v>45918</v>
      </c>
      <c r="AG111" s="44">
        <v>0.80555555555474712</v>
      </c>
      <c r="AH111" s="41" t="s">
        <v>102</v>
      </c>
      <c r="AI111" s="41" t="s">
        <v>333</v>
      </c>
      <c r="AJ111" s="41" t="s">
        <v>54</v>
      </c>
      <c r="AK111" s="41" t="s">
        <v>54</v>
      </c>
      <c r="AL111" s="41" t="s">
        <v>164</v>
      </c>
      <c r="AM111" s="45" t="s">
        <v>55</v>
      </c>
      <c r="AN111" s="45" t="s">
        <v>300</v>
      </c>
      <c r="AO111" s="45" t="s">
        <v>79</v>
      </c>
      <c r="AP111" s="46"/>
    </row>
    <row r="112" spans="3:42" ht="14.25" customHeight="1" x14ac:dyDescent="0.2">
      <c r="C112" s="40" t="str">
        <f>IF($X112=1,COUNTIF($C$10:C111,"&gt;0")+1,"")</f>
        <v/>
      </c>
      <c r="D112" s="41"/>
      <c r="E112" s="41" t="s">
        <v>327</v>
      </c>
      <c r="F112" s="42" t="s">
        <v>549</v>
      </c>
      <c r="G112" s="41" t="s">
        <v>546</v>
      </c>
      <c r="H112" s="41" t="s">
        <v>550</v>
      </c>
      <c r="I112" s="41" t="s">
        <v>537</v>
      </c>
      <c r="J112" s="41" t="s">
        <v>51</v>
      </c>
      <c r="K112" s="41" t="s">
        <v>52</v>
      </c>
      <c r="L112" s="43">
        <v>30931</v>
      </c>
      <c r="M112" s="41">
        <v>41</v>
      </c>
      <c r="N112" s="41" t="s">
        <v>551</v>
      </c>
      <c r="O112" s="43">
        <v>46556</v>
      </c>
      <c r="P112" s="41" t="s">
        <v>2</v>
      </c>
      <c r="Q112" s="41"/>
      <c r="R112" s="57">
        <v>45913</v>
      </c>
      <c r="S112" s="58">
        <v>45918</v>
      </c>
      <c r="T112" s="59">
        <f t="shared" si="1"/>
        <v>5</v>
      </c>
      <c r="U112" s="41">
        <v>1</v>
      </c>
      <c r="V112" s="41">
        <v>1</v>
      </c>
      <c r="W112" s="41">
        <v>0</v>
      </c>
      <c r="X112" s="41">
        <v>0</v>
      </c>
      <c r="Y112" s="41">
        <v>0</v>
      </c>
      <c r="Z112" s="41">
        <v>0</v>
      </c>
      <c r="AA112" s="41">
        <v>0</v>
      </c>
      <c r="AB112" s="41"/>
      <c r="AC112" s="43">
        <v>45913</v>
      </c>
      <c r="AD112" s="44">
        <v>0.81944444444525288</v>
      </c>
      <c r="AE112" s="41" t="s">
        <v>134</v>
      </c>
      <c r="AF112" s="43">
        <v>45918</v>
      </c>
      <c r="AG112" s="44">
        <v>0.80555555555474712</v>
      </c>
      <c r="AH112" s="41" t="s">
        <v>102</v>
      </c>
      <c r="AI112" s="41" t="s">
        <v>333</v>
      </c>
      <c r="AJ112" s="41" t="s">
        <v>54</v>
      </c>
      <c r="AK112" s="41" t="s">
        <v>54</v>
      </c>
      <c r="AL112" s="41" t="s">
        <v>164</v>
      </c>
      <c r="AM112" s="45" t="s">
        <v>55</v>
      </c>
      <c r="AN112" s="45" t="s">
        <v>300</v>
      </c>
      <c r="AO112" s="45" t="s">
        <v>79</v>
      </c>
      <c r="AP112" s="46"/>
    </row>
    <row r="113" spans="3:42" ht="14.25" customHeight="1" x14ac:dyDescent="0.2">
      <c r="C113" s="40" t="str">
        <f>IF($X113=1,COUNTIF($C$10:C112,"&gt;0")+1,"")</f>
        <v/>
      </c>
      <c r="D113" s="41"/>
      <c r="E113" s="41" t="s">
        <v>327</v>
      </c>
      <c r="F113" s="42" t="s">
        <v>552</v>
      </c>
      <c r="G113" s="41" t="s">
        <v>546</v>
      </c>
      <c r="H113" s="41" t="s">
        <v>553</v>
      </c>
      <c r="I113" s="41" t="s">
        <v>537</v>
      </c>
      <c r="J113" s="41" t="s">
        <v>51</v>
      </c>
      <c r="K113" s="41" t="s">
        <v>52</v>
      </c>
      <c r="L113" s="43">
        <v>42049</v>
      </c>
      <c r="M113" s="41">
        <v>10</v>
      </c>
      <c r="N113" s="41" t="s">
        <v>554</v>
      </c>
      <c r="O113" s="43">
        <v>46582</v>
      </c>
      <c r="P113" s="41" t="s">
        <v>2</v>
      </c>
      <c r="Q113" s="41"/>
      <c r="R113" s="57">
        <v>45913</v>
      </c>
      <c r="S113" s="58">
        <v>45918</v>
      </c>
      <c r="T113" s="59">
        <f t="shared" si="1"/>
        <v>5</v>
      </c>
      <c r="U113" s="41">
        <v>1</v>
      </c>
      <c r="V113" s="41">
        <v>0</v>
      </c>
      <c r="W113" s="41">
        <v>1</v>
      </c>
      <c r="X113" s="41">
        <v>0</v>
      </c>
      <c r="Y113" s="41">
        <v>0</v>
      </c>
      <c r="Z113" s="41">
        <v>0</v>
      </c>
      <c r="AA113" s="41">
        <v>0</v>
      </c>
      <c r="AB113" s="41"/>
      <c r="AC113" s="43">
        <v>45913</v>
      </c>
      <c r="AD113" s="44">
        <v>0.81944444444525288</v>
      </c>
      <c r="AE113" s="41" t="s">
        <v>134</v>
      </c>
      <c r="AF113" s="43">
        <v>45918</v>
      </c>
      <c r="AG113" s="44">
        <v>0.80555555555474712</v>
      </c>
      <c r="AH113" s="41" t="s">
        <v>102</v>
      </c>
      <c r="AI113" s="41" t="s">
        <v>333</v>
      </c>
      <c r="AJ113" s="41" t="s">
        <v>54</v>
      </c>
      <c r="AK113" s="41" t="s">
        <v>54</v>
      </c>
      <c r="AL113" s="41" t="s">
        <v>164</v>
      </c>
      <c r="AM113" s="45" t="s">
        <v>55</v>
      </c>
      <c r="AN113" s="45" t="s">
        <v>300</v>
      </c>
      <c r="AO113" s="45" t="s">
        <v>79</v>
      </c>
      <c r="AP113" s="46"/>
    </row>
    <row r="114" spans="3:42" ht="14.25" customHeight="1" x14ac:dyDescent="0.2">
      <c r="C114" s="40">
        <f>IF($X114=1,COUNTIF($C$10:C113,"&gt;0")+1,"")</f>
        <v>51</v>
      </c>
      <c r="D114" s="41">
        <v>15262375</v>
      </c>
      <c r="E114" s="41" t="s">
        <v>327</v>
      </c>
      <c r="F114" s="42" t="s">
        <v>555</v>
      </c>
      <c r="G114" s="41" t="s">
        <v>546</v>
      </c>
      <c r="H114" s="41" t="s">
        <v>556</v>
      </c>
      <c r="I114" s="41" t="s">
        <v>537</v>
      </c>
      <c r="J114" s="41" t="s">
        <v>51</v>
      </c>
      <c r="K114" s="41" t="s">
        <v>52</v>
      </c>
      <c r="L114" s="43">
        <v>18065</v>
      </c>
      <c r="M114" s="41">
        <v>76</v>
      </c>
      <c r="N114" s="41" t="s">
        <v>557</v>
      </c>
      <c r="O114" s="43">
        <v>49419</v>
      </c>
      <c r="P114" s="41" t="s">
        <v>3</v>
      </c>
      <c r="Q114" s="41"/>
      <c r="R114" s="57">
        <v>45913</v>
      </c>
      <c r="S114" s="58">
        <v>45918</v>
      </c>
      <c r="T114" s="59">
        <f t="shared" si="1"/>
        <v>5</v>
      </c>
      <c r="U114" s="41">
        <v>1</v>
      </c>
      <c r="V114" s="41">
        <v>1</v>
      </c>
      <c r="W114" s="41">
        <v>0</v>
      </c>
      <c r="X114" s="41">
        <v>1</v>
      </c>
      <c r="Y114" s="41">
        <v>0</v>
      </c>
      <c r="Z114" s="41">
        <v>0</v>
      </c>
      <c r="AA114" s="41">
        <v>1</v>
      </c>
      <c r="AB114" s="41"/>
      <c r="AC114" s="43">
        <v>45913</v>
      </c>
      <c r="AD114" s="44">
        <v>0.625</v>
      </c>
      <c r="AE114" s="41" t="s">
        <v>57</v>
      </c>
      <c r="AF114" s="43">
        <v>45918</v>
      </c>
      <c r="AG114" s="44">
        <v>0.70138888889050577</v>
      </c>
      <c r="AH114" s="41" t="s">
        <v>60</v>
      </c>
      <c r="AI114" s="41" t="s">
        <v>333</v>
      </c>
      <c r="AJ114" s="41" t="s">
        <v>54</v>
      </c>
      <c r="AK114" s="41" t="s">
        <v>54</v>
      </c>
      <c r="AL114" s="41" t="s">
        <v>164</v>
      </c>
      <c r="AM114" s="45" t="s">
        <v>55</v>
      </c>
      <c r="AN114" s="45" t="s">
        <v>387</v>
      </c>
      <c r="AO114" s="45"/>
      <c r="AP114" s="46"/>
    </row>
    <row r="115" spans="3:42" ht="14.25" customHeight="1" x14ac:dyDescent="0.2">
      <c r="C115" s="40" t="str">
        <f>IF($X115=1,COUNTIF($C$10:C114,"&gt;0")+1,"")</f>
        <v/>
      </c>
      <c r="D115" s="41"/>
      <c r="E115" s="41" t="s">
        <v>327</v>
      </c>
      <c r="F115" s="42" t="s">
        <v>558</v>
      </c>
      <c r="G115" s="41" t="s">
        <v>546</v>
      </c>
      <c r="H115" s="41" t="s">
        <v>559</v>
      </c>
      <c r="I115" s="41" t="s">
        <v>537</v>
      </c>
      <c r="J115" s="41" t="s">
        <v>56</v>
      </c>
      <c r="K115" s="41" t="s">
        <v>52</v>
      </c>
      <c r="L115" s="43">
        <v>20713</v>
      </c>
      <c r="M115" s="41">
        <v>69</v>
      </c>
      <c r="N115" s="41" t="s">
        <v>560</v>
      </c>
      <c r="O115" s="43">
        <v>46657</v>
      </c>
      <c r="P115" s="41" t="s">
        <v>3</v>
      </c>
      <c r="Q115" s="41"/>
      <c r="R115" s="57">
        <v>45913</v>
      </c>
      <c r="S115" s="58">
        <v>45918</v>
      </c>
      <c r="T115" s="59">
        <f t="shared" si="1"/>
        <v>5</v>
      </c>
      <c r="U115" s="41">
        <v>1</v>
      </c>
      <c r="V115" s="41">
        <v>1</v>
      </c>
      <c r="W115" s="41">
        <v>0</v>
      </c>
      <c r="X115" s="41">
        <v>0</v>
      </c>
      <c r="Y115" s="41">
        <v>0</v>
      </c>
      <c r="Z115" s="41">
        <v>0</v>
      </c>
      <c r="AA115" s="41">
        <v>0</v>
      </c>
      <c r="AB115" s="41"/>
      <c r="AC115" s="43">
        <v>45913</v>
      </c>
      <c r="AD115" s="44">
        <v>0.625</v>
      </c>
      <c r="AE115" s="41" t="s">
        <v>57</v>
      </c>
      <c r="AF115" s="43">
        <v>45918</v>
      </c>
      <c r="AG115" s="44">
        <v>0.70138888889050577</v>
      </c>
      <c r="AH115" s="41" t="s">
        <v>60</v>
      </c>
      <c r="AI115" s="41" t="s">
        <v>333</v>
      </c>
      <c r="AJ115" s="41" t="s">
        <v>54</v>
      </c>
      <c r="AK115" s="41" t="s">
        <v>54</v>
      </c>
      <c r="AL115" s="41" t="s">
        <v>164</v>
      </c>
      <c r="AM115" s="45" t="s">
        <v>55</v>
      </c>
      <c r="AN115" s="45" t="s">
        <v>387</v>
      </c>
      <c r="AO115" s="45"/>
      <c r="AP115" s="46"/>
    </row>
    <row r="116" spans="3:42" ht="14.25" customHeight="1" x14ac:dyDescent="0.2">
      <c r="C116" s="40">
        <f>IF($X116=1,COUNTIF($C$10:C115,"&gt;0")+1,"")</f>
        <v>52</v>
      </c>
      <c r="D116" s="41">
        <v>15262376</v>
      </c>
      <c r="E116" s="41" t="s">
        <v>327</v>
      </c>
      <c r="F116" s="42" t="s">
        <v>561</v>
      </c>
      <c r="G116" s="41" t="s">
        <v>561</v>
      </c>
      <c r="H116" s="41" t="s">
        <v>562</v>
      </c>
      <c r="I116" s="41" t="s">
        <v>563</v>
      </c>
      <c r="J116" s="41" t="s">
        <v>56</v>
      </c>
      <c r="K116" s="41" t="s">
        <v>52</v>
      </c>
      <c r="L116" s="43">
        <v>25235</v>
      </c>
      <c r="M116" s="41">
        <v>56</v>
      </c>
      <c r="N116" s="41" t="s">
        <v>564</v>
      </c>
      <c r="O116" s="43">
        <v>49379</v>
      </c>
      <c r="P116" s="41" t="s">
        <v>2</v>
      </c>
      <c r="Q116" s="41"/>
      <c r="R116" s="57">
        <v>45913</v>
      </c>
      <c r="S116" s="58">
        <v>45918</v>
      </c>
      <c r="T116" s="59">
        <f t="shared" si="1"/>
        <v>5</v>
      </c>
      <c r="U116" s="41">
        <v>1</v>
      </c>
      <c r="V116" s="41">
        <v>1</v>
      </c>
      <c r="W116" s="41">
        <v>0</v>
      </c>
      <c r="X116" s="41">
        <v>1</v>
      </c>
      <c r="Y116" s="41">
        <v>0</v>
      </c>
      <c r="Z116" s="41">
        <v>1</v>
      </c>
      <c r="AA116" s="41">
        <v>0</v>
      </c>
      <c r="AB116" s="41"/>
      <c r="AC116" s="43">
        <v>45913</v>
      </c>
      <c r="AD116" s="44">
        <v>0.625</v>
      </c>
      <c r="AE116" s="41" t="s">
        <v>57</v>
      </c>
      <c r="AF116" s="43">
        <v>45918</v>
      </c>
      <c r="AG116" s="44">
        <v>0.47916666666424135</v>
      </c>
      <c r="AH116" s="41" t="s">
        <v>565</v>
      </c>
      <c r="AI116" s="41" t="s">
        <v>333</v>
      </c>
      <c r="AJ116" s="41" t="s">
        <v>54</v>
      </c>
      <c r="AK116" s="41" t="s">
        <v>54</v>
      </c>
      <c r="AL116" s="41" t="s">
        <v>164</v>
      </c>
      <c r="AM116" s="45" t="s">
        <v>55</v>
      </c>
      <c r="AN116" s="45" t="s">
        <v>300</v>
      </c>
      <c r="AO116" s="45"/>
      <c r="AP116" s="46"/>
    </row>
    <row r="117" spans="3:42" ht="14.25" customHeight="1" x14ac:dyDescent="0.2">
      <c r="C117" s="40" t="str">
        <f>IF($X117=1,COUNTIF($C$10:C116,"&gt;0")+1,"")</f>
        <v/>
      </c>
      <c r="D117" s="41"/>
      <c r="E117" s="41" t="s">
        <v>327</v>
      </c>
      <c r="F117" s="42" t="s">
        <v>566</v>
      </c>
      <c r="G117" s="41" t="s">
        <v>561</v>
      </c>
      <c r="H117" s="41" t="s">
        <v>567</v>
      </c>
      <c r="I117" s="41" t="s">
        <v>563</v>
      </c>
      <c r="J117" s="41" t="s">
        <v>51</v>
      </c>
      <c r="K117" s="41" t="s">
        <v>52</v>
      </c>
      <c r="L117" s="43">
        <v>24685</v>
      </c>
      <c r="M117" s="41">
        <v>58</v>
      </c>
      <c r="N117" s="41" t="s">
        <v>568</v>
      </c>
      <c r="O117" s="43">
        <v>49358</v>
      </c>
      <c r="P117" s="41" t="s">
        <v>2</v>
      </c>
      <c r="Q117" s="41"/>
      <c r="R117" s="57">
        <v>45913</v>
      </c>
      <c r="S117" s="58">
        <v>45918</v>
      </c>
      <c r="T117" s="59">
        <f t="shared" si="1"/>
        <v>5</v>
      </c>
      <c r="U117" s="41">
        <v>1</v>
      </c>
      <c r="V117" s="41">
        <v>1</v>
      </c>
      <c r="W117" s="41">
        <v>0</v>
      </c>
      <c r="X117" s="41">
        <v>0</v>
      </c>
      <c r="Y117" s="41">
        <v>0</v>
      </c>
      <c r="Z117" s="41">
        <v>0</v>
      </c>
      <c r="AA117" s="41">
        <v>0</v>
      </c>
      <c r="AB117" s="41"/>
      <c r="AC117" s="43">
        <v>45913</v>
      </c>
      <c r="AD117" s="44">
        <v>0.625</v>
      </c>
      <c r="AE117" s="41" t="s">
        <v>57</v>
      </c>
      <c r="AF117" s="43">
        <v>45918</v>
      </c>
      <c r="AG117" s="44">
        <v>0.47916666666424135</v>
      </c>
      <c r="AH117" s="41" t="s">
        <v>565</v>
      </c>
      <c r="AI117" s="41" t="s">
        <v>333</v>
      </c>
      <c r="AJ117" s="41" t="s">
        <v>54</v>
      </c>
      <c r="AK117" s="41" t="s">
        <v>54</v>
      </c>
      <c r="AL117" s="41" t="s">
        <v>164</v>
      </c>
      <c r="AM117" s="45" t="s">
        <v>55</v>
      </c>
      <c r="AN117" s="45" t="s">
        <v>300</v>
      </c>
      <c r="AO117" s="45"/>
      <c r="AP117" s="46"/>
    </row>
    <row r="118" spans="3:42" ht="14.25" customHeight="1" x14ac:dyDescent="0.2">
      <c r="C118" s="40">
        <f>IF($X118=1,COUNTIF($C$10:C117,"&gt;0")+1,"")</f>
        <v>53</v>
      </c>
      <c r="D118" s="41">
        <v>15262377</v>
      </c>
      <c r="E118" s="41" t="s">
        <v>327</v>
      </c>
      <c r="F118" s="42" t="s">
        <v>569</v>
      </c>
      <c r="G118" s="41" t="s">
        <v>569</v>
      </c>
      <c r="H118" s="41" t="s">
        <v>570</v>
      </c>
      <c r="I118" s="41" t="s">
        <v>571</v>
      </c>
      <c r="J118" s="41" t="s">
        <v>56</v>
      </c>
      <c r="K118" s="41" t="s">
        <v>52</v>
      </c>
      <c r="L118" s="43">
        <v>27006</v>
      </c>
      <c r="M118" s="41">
        <v>51</v>
      </c>
      <c r="N118" s="41" t="s">
        <v>572</v>
      </c>
      <c r="O118" s="43">
        <v>48980</v>
      </c>
      <c r="P118" s="41" t="s">
        <v>2</v>
      </c>
      <c r="Q118" s="41"/>
      <c r="R118" s="57">
        <v>45913</v>
      </c>
      <c r="S118" s="58">
        <v>45918</v>
      </c>
      <c r="T118" s="59">
        <f t="shared" si="1"/>
        <v>5</v>
      </c>
      <c r="U118" s="41">
        <v>1</v>
      </c>
      <c r="V118" s="41">
        <v>1</v>
      </c>
      <c r="W118" s="41">
        <v>0</v>
      </c>
      <c r="X118" s="41">
        <v>1</v>
      </c>
      <c r="Y118" s="41">
        <v>0</v>
      </c>
      <c r="Z118" s="41">
        <v>1</v>
      </c>
      <c r="AA118" s="41">
        <v>0</v>
      </c>
      <c r="AB118" s="41"/>
      <c r="AC118" s="43">
        <v>45913</v>
      </c>
      <c r="AD118" s="44">
        <v>0.20833333333575865</v>
      </c>
      <c r="AE118" s="41" t="s">
        <v>432</v>
      </c>
      <c r="AF118" s="43">
        <v>45918</v>
      </c>
      <c r="AG118" s="44">
        <v>0.59722222221898846</v>
      </c>
      <c r="AH118" s="41" t="s">
        <v>573</v>
      </c>
      <c r="AI118" s="41" t="s">
        <v>333</v>
      </c>
      <c r="AJ118" s="41" t="s">
        <v>54</v>
      </c>
      <c r="AK118" s="41" t="s">
        <v>54</v>
      </c>
      <c r="AL118" s="41" t="s">
        <v>164</v>
      </c>
      <c r="AM118" s="45" t="s">
        <v>55</v>
      </c>
      <c r="AN118" s="45" t="s">
        <v>300</v>
      </c>
      <c r="AO118" s="45"/>
      <c r="AP118" s="46"/>
    </row>
    <row r="119" spans="3:42" ht="14.25" customHeight="1" x14ac:dyDescent="0.2">
      <c r="C119" s="40" t="str">
        <f>IF($X119=1,COUNTIF($C$10:C118,"&gt;0")+1,"")</f>
        <v/>
      </c>
      <c r="D119" s="41"/>
      <c r="E119" s="41" t="s">
        <v>327</v>
      </c>
      <c r="F119" s="42" t="s">
        <v>574</v>
      </c>
      <c r="G119" s="41" t="s">
        <v>569</v>
      </c>
      <c r="H119" s="41" t="s">
        <v>575</v>
      </c>
      <c r="I119" s="41" t="s">
        <v>576</v>
      </c>
      <c r="J119" s="41" t="s">
        <v>56</v>
      </c>
      <c r="K119" s="41" t="s">
        <v>52</v>
      </c>
      <c r="L119" s="43">
        <v>25552</v>
      </c>
      <c r="M119" s="41">
        <v>55</v>
      </c>
      <c r="N119" s="41" t="s">
        <v>577</v>
      </c>
      <c r="O119" s="43">
        <v>47008</v>
      </c>
      <c r="P119" s="41" t="s">
        <v>2</v>
      </c>
      <c r="Q119" s="41"/>
      <c r="R119" s="57">
        <v>45913</v>
      </c>
      <c r="S119" s="58">
        <v>45918</v>
      </c>
      <c r="T119" s="59">
        <f t="shared" si="1"/>
        <v>5</v>
      </c>
      <c r="U119" s="41">
        <v>1</v>
      </c>
      <c r="V119" s="41">
        <v>1</v>
      </c>
      <c r="W119" s="41">
        <v>0</v>
      </c>
      <c r="X119" s="41">
        <v>0</v>
      </c>
      <c r="Y119" s="41">
        <v>0</v>
      </c>
      <c r="Z119" s="41">
        <v>0</v>
      </c>
      <c r="AA119" s="41">
        <v>0</v>
      </c>
      <c r="AB119" s="41"/>
      <c r="AC119" s="43">
        <v>45913</v>
      </c>
      <c r="AD119" s="44">
        <v>0.20833333333575865</v>
      </c>
      <c r="AE119" s="41" t="s">
        <v>432</v>
      </c>
      <c r="AF119" s="43">
        <v>45918</v>
      </c>
      <c r="AG119" s="44">
        <v>0.59722222221898846</v>
      </c>
      <c r="AH119" s="41" t="s">
        <v>573</v>
      </c>
      <c r="AI119" s="41" t="s">
        <v>333</v>
      </c>
      <c r="AJ119" s="41" t="s">
        <v>54</v>
      </c>
      <c r="AK119" s="41" t="s">
        <v>54</v>
      </c>
      <c r="AL119" s="41" t="s">
        <v>164</v>
      </c>
      <c r="AM119" s="45" t="s">
        <v>55</v>
      </c>
      <c r="AN119" s="45" t="s">
        <v>300</v>
      </c>
      <c r="AO119" s="45"/>
      <c r="AP119" s="46"/>
    </row>
    <row r="120" spans="3:42" ht="14.25" customHeight="1" x14ac:dyDescent="0.2">
      <c r="C120" s="40">
        <f>IF($X120=1,COUNTIF($C$10:C119,"&gt;0")+1,"")</f>
        <v>54</v>
      </c>
      <c r="D120" s="41">
        <v>15262378</v>
      </c>
      <c r="E120" s="41" t="s">
        <v>327</v>
      </c>
      <c r="F120" s="42" t="s">
        <v>578</v>
      </c>
      <c r="G120" s="41" t="s">
        <v>578</v>
      </c>
      <c r="H120" s="41" t="s">
        <v>579</v>
      </c>
      <c r="I120" s="41" t="s">
        <v>580</v>
      </c>
      <c r="J120" s="41" t="s">
        <v>51</v>
      </c>
      <c r="K120" s="41" t="s">
        <v>52</v>
      </c>
      <c r="L120" s="43">
        <v>23992</v>
      </c>
      <c r="M120" s="41">
        <v>60</v>
      </c>
      <c r="N120" s="41" t="s">
        <v>581</v>
      </c>
      <c r="O120" s="43">
        <v>48815</v>
      </c>
      <c r="P120" s="41" t="s">
        <v>2</v>
      </c>
      <c r="Q120" s="41"/>
      <c r="R120" s="57">
        <v>45913</v>
      </c>
      <c r="S120" s="58">
        <v>45918</v>
      </c>
      <c r="T120" s="59">
        <f t="shared" si="1"/>
        <v>5</v>
      </c>
      <c r="U120" s="41">
        <v>1</v>
      </c>
      <c r="V120" s="41">
        <v>1</v>
      </c>
      <c r="W120" s="41">
        <v>0</v>
      </c>
      <c r="X120" s="41">
        <v>1</v>
      </c>
      <c r="Y120" s="41">
        <v>0</v>
      </c>
      <c r="Z120" s="41">
        <v>1</v>
      </c>
      <c r="AA120" s="41">
        <v>0</v>
      </c>
      <c r="AB120" s="41"/>
      <c r="AC120" s="43">
        <v>45913</v>
      </c>
      <c r="AD120" s="44">
        <v>0.65625</v>
      </c>
      <c r="AE120" s="41" t="s">
        <v>122</v>
      </c>
      <c r="AF120" s="43">
        <v>45918</v>
      </c>
      <c r="AG120" s="44">
        <v>0.53125</v>
      </c>
      <c r="AH120" s="41" t="s">
        <v>74</v>
      </c>
      <c r="AI120" s="41" t="s">
        <v>333</v>
      </c>
      <c r="AJ120" s="41" t="s">
        <v>54</v>
      </c>
      <c r="AK120" s="41" t="s">
        <v>54</v>
      </c>
      <c r="AL120" s="41" t="s">
        <v>164</v>
      </c>
      <c r="AM120" s="45" t="s">
        <v>55</v>
      </c>
      <c r="AN120" s="45" t="s">
        <v>300</v>
      </c>
      <c r="AO120" s="45"/>
      <c r="AP120" s="46"/>
    </row>
    <row r="121" spans="3:42" ht="14.25" customHeight="1" x14ac:dyDescent="0.2">
      <c r="C121" s="40" t="str">
        <f>IF($X121=1,COUNTIF($C$10:C120,"&gt;0")+1,"")</f>
        <v/>
      </c>
      <c r="D121" s="41"/>
      <c r="E121" s="41" t="s">
        <v>327</v>
      </c>
      <c r="F121" s="42" t="s">
        <v>582</v>
      </c>
      <c r="G121" s="41" t="s">
        <v>578</v>
      </c>
      <c r="H121" s="41" t="s">
        <v>583</v>
      </c>
      <c r="I121" s="41" t="s">
        <v>580</v>
      </c>
      <c r="J121" s="41" t="s">
        <v>56</v>
      </c>
      <c r="K121" s="41" t="s">
        <v>52</v>
      </c>
      <c r="L121" s="43">
        <v>24152</v>
      </c>
      <c r="M121" s="41">
        <v>59</v>
      </c>
      <c r="N121" s="41" t="s">
        <v>584</v>
      </c>
      <c r="O121" s="43">
        <v>48815</v>
      </c>
      <c r="P121" s="41" t="s">
        <v>2</v>
      </c>
      <c r="Q121" s="41"/>
      <c r="R121" s="57">
        <v>45913</v>
      </c>
      <c r="S121" s="58">
        <v>45918</v>
      </c>
      <c r="T121" s="59">
        <f t="shared" si="1"/>
        <v>5</v>
      </c>
      <c r="U121" s="41">
        <v>1</v>
      </c>
      <c r="V121" s="41">
        <v>1</v>
      </c>
      <c r="W121" s="41">
        <v>0</v>
      </c>
      <c r="X121" s="41">
        <v>0</v>
      </c>
      <c r="Y121" s="41">
        <v>0</v>
      </c>
      <c r="Z121" s="41">
        <v>0</v>
      </c>
      <c r="AA121" s="41">
        <v>0</v>
      </c>
      <c r="AB121" s="41"/>
      <c r="AC121" s="43">
        <v>45913</v>
      </c>
      <c r="AD121" s="44">
        <v>0.65625</v>
      </c>
      <c r="AE121" s="41" t="s">
        <v>122</v>
      </c>
      <c r="AF121" s="43">
        <v>45918</v>
      </c>
      <c r="AG121" s="44">
        <v>0.53125</v>
      </c>
      <c r="AH121" s="41" t="s">
        <v>74</v>
      </c>
      <c r="AI121" s="41" t="s">
        <v>333</v>
      </c>
      <c r="AJ121" s="41" t="s">
        <v>54</v>
      </c>
      <c r="AK121" s="41" t="s">
        <v>54</v>
      </c>
      <c r="AL121" s="41" t="s">
        <v>164</v>
      </c>
      <c r="AM121" s="45" t="s">
        <v>55</v>
      </c>
      <c r="AN121" s="45" t="s">
        <v>300</v>
      </c>
      <c r="AO121" s="45"/>
      <c r="AP121" s="46"/>
    </row>
    <row r="122" spans="3:42" ht="14.25" customHeight="1" x14ac:dyDescent="0.2">
      <c r="C122" s="40">
        <f>IF($X122=1,COUNTIF($C$10:C121,"&gt;0")+1,"")</f>
        <v>55</v>
      </c>
      <c r="D122" s="41">
        <v>15262379</v>
      </c>
      <c r="E122" s="41" t="s">
        <v>327</v>
      </c>
      <c r="F122" s="42" t="s">
        <v>585</v>
      </c>
      <c r="G122" s="41" t="s">
        <v>585</v>
      </c>
      <c r="H122" s="41" t="s">
        <v>586</v>
      </c>
      <c r="I122" s="41" t="s">
        <v>587</v>
      </c>
      <c r="J122" s="41" t="s">
        <v>51</v>
      </c>
      <c r="K122" s="41" t="s">
        <v>52</v>
      </c>
      <c r="L122" s="43">
        <v>33393</v>
      </c>
      <c r="M122" s="41">
        <v>34</v>
      </c>
      <c r="N122" s="41" t="s">
        <v>588</v>
      </c>
      <c r="O122" s="43">
        <v>47755</v>
      </c>
      <c r="P122" s="41" t="s">
        <v>3</v>
      </c>
      <c r="Q122" s="41"/>
      <c r="R122" s="57">
        <v>45913</v>
      </c>
      <c r="S122" s="58">
        <v>45918</v>
      </c>
      <c r="T122" s="59">
        <f t="shared" si="1"/>
        <v>5</v>
      </c>
      <c r="U122" s="41">
        <v>1</v>
      </c>
      <c r="V122" s="41">
        <v>1</v>
      </c>
      <c r="W122" s="41">
        <v>0</v>
      </c>
      <c r="X122" s="41">
        <v>1</v>
      </c>
      <c r="Y122" s="41">
        <v>0</v>
      </c>
      <c r="Z122" s="41">
        <v>0</v>
      </c>
      <c r="AA122" s="41">
        <v>1</v>
      </c>
      <c r="AB122" s="41"/>
      <c r="AC122" s="43">
        <v>45913</v>
      </c>
      <c r="AD122" s="44">
        <v>0.20833333333575865</v>
      </c>
      <c r="AE122" s="41" t="s">
        <v>432</v>
      </c>
      <c r="AF122" s="43">
        <v>45918</v>
      </c>
      <c r="AG122" s="44">
        <v>0.875</v>
      </c>
      <c r="AH122" s="41" t="s">
        <v>458</v>
      </c>
      <c r="AI122" s="41" t="s">
        <v>333</v>
      </c>
      <c r="AJ122" s="41" t="s">
        <v>54</v>
      </c>
      <c r="AK122" s="41" t="s">
        <v>54</v>
      </c>
      <c r="AL122" s="41" t="s">
        <v>164</v>
      </c>
      <c r="AM122" s="45" t="s">
        <v>55</v>
      </c>
      <c r="AN122" s="45" t="s">
        <v>387</v>
      </c>
      <c r="AO122" s="45"/>
      <c r="AP122" s="46"/>
    </row>
    <row r="123" spans="3:42" ht="14.25" customHeight="1" x14ac:dyDescent="0.2">
      <c r="C123" s="40" t="str">
        <f>IF($X123=1,COUNTIF($C$10:C122,"&gt;0")+1,"")</f>
        <v/>
      </c>
      <c r="D123" s="41"/>
      <c r="E123" s="41" t="s">
        <v>327</v>
      </c>
      <c r="F123" s="42" t="s">
        <v>589</v>
      </c>
      <c r="G123" s="41" t="s">
        <v>585</v>
      </c>
      <c r="H123" s="41" t="s">
        <v>590</v>
      </c>
      <c r="I123" s="41" t="s">
        <v>105</v>
      </c>
      <c r="J123" s="41" t="s">
        <v>51</v>
      </c>
      <c r="K123" s="41" t="s">
        <v>52</v>
      </c>
      <c r="L123" s="43">
        <v>22975</v>
      </c>
      <c r="M123" s="41">
        <v>62</v>
      </c>
      <c r="N123" s="41" t="s">
        <v>591</v>
      </c>
      <c r="O123" s="43">
        <v>47350</v>
      </c>
      <c r="P123" s="41" t="s">
        <v>3</v>
      </c>
      <c r="Q123" s="41"/>
      <c r="R123" s="57">
        <v>45913</v>
      </c>
      <c r="S123" s="58">
        <v>45918</v>
      </c>
      <c r="T123" s="59">
        <f t="shared" si="1"/>
        <v>5</v>
      </c>
      <c r="U123" s="41">
        <v>1</v>
      </c>
      <c r="V123" s="41">
        <v>1</v>
      </c>
      <c r="W123" s="41">
        <v>0</v>
      </c>
      <c r="X123" s="41">
        <v>0</v>
      </c>
      <c r="Y123" s="41">
        <v>0</v>
      </c>
      <c r="Z123" s="41">
        <v>0</v>
      </c>
      <c r="AA123" s="41">
        <v>0</v>
      </c>
      <c r="AB123" s="41"/>
      <c r="AC123" s="43">
        <v>45913</v>
      </c>
      <c r="AD123" s="44">
        <v>0.20833333333575865</v>
      </c>
      <c r="AE123" s="41" t="s">
        <v>432</v>
      </c>
      <c r="AF123" s="43">
        <v>45918</v>
      </c>
      <c r="AG123" s="44">
        <v>0.78472222221898846</v>
      </c>
      <c r="AH123" s="41" t="s">
        <v>147</v>
      </c>
      <c r="AI123" s="41" t="s">
        <v>333</v>
      </c>
      <c r="AJ123" s="41" t="s">
        <v>54</v>
      </c>
      <c r="AK123" s="41" t="s">
        <v>54</v>
      </c>
      <c r="AL123" s="41" t="s">
        <v>164</v>
      </c>
      <c r="AM123" s="45" t="s">
        <v>55</v>
      </c>
      <c r="AN123" s="45" t="s">
        <v>387</v>
      </c>
      <c r="AO123" s="45"/>
      <c r="AP123" s="46"/>
    </row>
    <row r="124" spans="3:42" ht="14.25" customHeight="1" x14ac:dyDescent="0.2">
      <c r="C124" s="40">
        <f>IF($X124=1,COUNTIF($C$10:C123,"&gt;0")+1,"")</f>
        <v>56</v>
      </c>
      <c r="D124" s="41">
        <v>15262380</v>
      </c>
      <c r="E124" s="41" t="s">
        <v>327</v>
      </c>
      <c r="F124" s="42" t="s">
        <v>592</v>
      </c>
      <c r="G124" s="41" t="s">
        <v>592</v>
      </c>
      <c r="H124" s="41" t="s">
        <v>593</v>
      </c>
      <c r="I124" s="41" t="s">
        <v>140</v>
      </c>
      <c r="J124" s="41" t="s">
        <v>51</v>
      </c>
      <c r="K124" s="41" t="s">
        <v>52</v>
      </c>
      <c r="L124" s="43">
        <v>21078</v>
      </c>
      <c r="M124" s="41">
        <v>68</v>
      </c>
      <c r="N124" s="41" t="s">
        <v>594</v>
      </c>
      <c r="O124" s="43">
        <v>46395</v>
      </c>
      <c r="P124" s="41" t="s">
        <v>2</v>
      </c>
      <c r="Q124" s="41"/>
      <c r="R124" s="57">
        <v>45913</v>
      </c>
      <c r="S124" s="58">
        <v>45918</v>
      </c>
      <c r="T124" s="59">
        <f t="shared" si="1"/>
        <v>5</v>
      </c>
      <c r="U124" s="41">
        <v>1</v>
      </c>
      <c r="V124" s="41">
        <v>1</v>
      </c>
      <c r="W124" s="41">
        <v>0</v>
      </c>
      <c r="X124" s="41">
        <v>1</v>
      </c>
      <c r="Y124" s="41">
        <v>0</v>
      </c>
      <c r="Z124" s="41">
        <v>1</v>
      </c>
      <c r="AA124" s="41">
        <v>0</v>
      </c>
      <c r="AB124" s="41"/>
      <c r="AC124" s="43">
        <v>45913</v>
      </c>
      <c r="AD124" s="44">
        <v>0.20833333333575865</v>
      </c>
      <c r="AE124" s="41" t="s">
        <v>432</v>
      </c>
      <c r="AF124" s="43">
        <v>45918</v>
      </c>
      <c r="AG124" s="44">
        <v>0.78472222221898846</v>
      </c>
      <c r="AH124" s="41" t="s">
        <v>147</v>
      </c>
      <c r="AI124" s="41" t="s">
        <v>333</v>
      </c>
      <c r="AJ124" s="41" t="s">
        <v>54</v>
      </c>
      <c r="AK124" s="41" t="s">
        <v>54</v>
      </c>
      <c r="AL124" s="41" t="s">
        <v>164</v>
      </c>
      <c r="AM124" s="45" t="s">
        <v>55</v>
      </c>
      <c r="AN124" s="45" t="s">
        <v>300</v>
      </c>
      <c r="AO124" s="45"/>
      <c r="AP124" s="46"/>
    </row>
    <row r="125" spans="3:42" ht="14.25" customHeight="1" x14ac:dyDescent="0.2">
      <c r="C125" s="40" t="str">
        <f>IF($X125=1,COUNTIF($C$10:C124,"&gt;0")+1,"")</f>
        <v/>
      </c>
      <c r="D125" s="41"/>
      <c r="E125" s="41" t="s">
        <v>327</v>
      </c>
      <c r="F125" s="42" t="s">
        <v>595</v>
      </c>
      <c r="G125" s="41" t="s">
        <v>592</v>
      </c>
      <c r="H125" s="41" t="s">
        <v>596</v>
      </c>
      <c r="I125" s="41" t="s">
        <v>140</v>
      </c>
      <c r="J125" s="41" t="s">
        <v>56</v>
      </c>
      <c r="K125" s="41" t="s">
        <v>52</v>
      </c>
      <c r="L125" s="43">
        <v>23176</v>
      </c>
      <c r="M125" s="41">
        <v>62</v>
      </c>
      <c r="N125" s="41" t="s">
        <v>597</v>
      </c>
      <c r="O125" s="43">
        <v>46395</v>
      </c>
      <c r="P125" s="41" t="s">
        <v>2</v>
      </c>
      <c r="Q125" s="41"/>
      <c r="R125" s="57">
        <v>45913</v>
      </c>
      <c r="S125" s="58">
        <v>45918</v>
      </c>
      <c r="T125" s="59">
        <f t="shared" si="1"/>
        <v>5</v>
      </c>
      <c r="U125" s="41">
        <v>1</v>
      </c>
      <c r="V125" s="41">
        <v>1</v>
      </c>
      <c r="W125" s="41">
        <v>0</v>
      </c>
      <c r="X125" s="41">
        <v>0</v>
      </c>
      <c r="Y125" s="41">
        <v>0</v>
      </c>
      <c r="Z125" s="41">
        <v>0</v>
      </c>
      <c r="AA125" s="41">
        <v>0</v>
      </c>
      <c r="AB125" s="41"/>
      <c r="AC125" s="43">
        <v>45913</v>
      </c>
      <c r="AD125" s="44">
        <v>0.20833333333575865</v>
      </c>
      <c r="AE125" s="41" t="s">
        <v>432</v>
      </c>
      <c r="AF125" s="43">
        <v>45918</v>
      </c>
      <c r="AG125" s="44">
        <v>0.78472222221898846</v>
      </c>
      <c r="AH125" s="41" t="s">
        <v>147</v>
      </c>
      <c r="AI125" s="41" t="s">
        <v>333</v>
      </c>
      <c r="AJ125" s="41" t="s">
        <v>54</v>
      </c>
      <c r="AK125" s="41" t="s">
        <v>54</v>
      </c>
      <c r="AL125" s="41" t="s">
        <v>164</v>
      </c>
      <c r="AM125" s="45" t="s">
        <v>55</v>
      </c>
      <c r="AN125" s="45" t="s">
        <v>300</v>
      </c>
      <c r="AO125" s="45"/>
      <c r="AP125" s="46"/>
    </row>
    <row r="126" spans="3:42" ht="14.25" customHeight="1" x14ac:dyDescent="0.2">
      <c r="C126" s="40">
        <f>IF($X126=1,COUNTIF($C$10:C125,"&gt;0")+1,"")</f>
        <v>57</v>
      </c>
      <c r="D126" s="41">
        <v>15262381</v>
      </c>
      <c r="E126" s="41" t="s">
        <v>327</v>
      </c>
      <c r="F126" s="42" t="s">
        <v>598</v>
      </c>
      <c r="G126" s="41" t="s">
        <v>598</v>
      </c>
      <c r="H126" s="41" t="s">
        <v>599</v>
      </c>
      <c r="I126" s="41" t="s">
        <v>600</v>
      </c>
      <c r="J126" s="41" t="s">
        <v>51</v>
      </c>
      <c r="K126" s="41" t="s">
        <v>52</v>
      </c>
      <c r="L126" s="43">
        <v>23537</v>
      </c>
      <c r="M126" s="41">
        <v>61</v>
      </c>
      <c r="N126" s="41" t="s">
        <v>601</v>
      </c>
      <c r="O126" s="43">
        <v>49468</v>
      </c>
      <c r="P126" s="41" t="s">
        <v>2</v>
      </c>
      <c r="Q126" s="41"/>
      <c r="R126" s="57">
        <v>45913</v>
      </c>
      <c r="S126" s="58">
        <v>45918</v>
      </c>
      <c r="T126" s="59">
        <f t="shared" si="1"/>
        <v>5</v>
      </c>
      <c r="U126" s="41">
        <v>1</v>
      </c>
      <c r="V126" s="41">
        <v>1</v>
      </c>
      <c r="W126" s="41">
        <v>0</v>
      </c>
      <c r="X126" s="41">
        <v>1</v>
      </c>
      <c r="Y126" s="41">
        <v>0</v>
      </c>
      <c r="Z126" s="41">
        <v>1</v>
      </c>
      <c r="AA126" s="41">
        <v>0</v>
      </c>
      <c r="AB126" s="41"/>
      <c r="AC126" s="43">
        <v>45913</v>
      </c>
      <c r="AD126" s="44">
        <v>0.80555555555474712</v>
      </c>
      <c r="AE126" s="41" t="s">
        <v>96</v>
      </c>
      <c r="AF126" s="43">
        <v>45918</v>
      </c>
      <c r="AG126" s="44">
        <v>0.85416666666424135</v>
      </c>
      <c r="AH126" s="41" t="s">
        <v>66</v>
      </c>
      <c r="AI126" s="41" t="s">
        <v>333</v>
      </c>
      <c r="AJ126" s="41" t="s">
        <v>54</v>
      </c>
      <c r="AK126" s="41" t="s">
        <v>54</v>
      </c>
      <c r="AL126" s="41" t="s">
        <v>164</v>
      </c>
      <c r="AM126" s="45" t="s">
        <v>55</v>
      </c>
      <c r="AN126" s="45" t="s">
        <v>300</v>
      </c>
      <c r="AO126" s="45" t="s">
        <v>79</v>
      </c>
      <c r="AP126" s="46"/>
    </row>
    <row r="127" spans="3:42" ht="14.25" customHeight="1" x14ac:dyDescent="0.2">
      <c r="C127" s="40" t="str">
        <f>IF($X127=1,COUNTIF($C$10:C126,"&gt;0")+1,"")</f>
        <v/>
      </c>
      <c r="D127" s="41"/>
      <c r="E127" s="41" t="s">
        <v>327</v>
      </c>
      <c r="F127" s="42" t="s">
        <v>602</v>
      </c>
      <c r="G127" s="41" t="s">
        <v>598</v>
      </c>
      <c r="H127" s="41" t="s">
        <v>603</v>
      </c>
      <c r="I127" s="41" t="s">
        <v>600</v>
      </c>
      <c r="J127" s="41" t="s">
        <v>56</v>
      </c>
      <c r="K127" s="41" t="s">
        <v>52</v>
      </c>
      <c r="L127" s="43">
        <v>26163</v>
      </c>
      <c r="M127" s="41">
        <v>54</v>
      </c>
      <c r="N127" s="41" t="s">
        <v>604</v>
      </c>
      <c r="O127" s="43">
        <v>49462</v>
      </c>
      <c r="P127" s="41" t="s">
        <v>2</v>
      </c>
      <c r="Q127" s="41"/>
      <c r="R127" s="57">
        <v>45913</v>
      </c>
      <c r="S127" s="58">
        <v>45918</v>
      </c>
      <c r="T127" s="59">
        <f t="shared" si="1"/>
        <v>5</v>
      </c>
      <c r="U127" s="41">
        <v>1</v>
      </c>
      <c r="V127" s="41">
        <v>1</v>
      </c>
      <c r="W127" s="41">
        <v>0</v>
      </c>
      <c r="X127" s="41">
        <v>0</v>
      </c>
      <c r="Y127" s="41">
        <v>0</v>
      </c>
      <c r="Z127" s="41">
        <v>0</v>
      </c>
      <c r="AA127" s="41">
        <v>0</v>
      </c>
      <c r="AB127" s="41"/>
      <c r="AC127" s="43">
        <v>45913</v>
      </c>
      <c r="AD127" s="44">
        <v>0.80555555555474712</v>
      </c>
      <c r="AE127" s="41" t="s">
        <v>96</v>
      </c>
      <c r="AF127" s="43">
        <v>45918</v>
      </c>
      <c r="AG127" s="44">
        <v>0.85416666666424135</v>
      </c>
      <c r="AH127" s="41" t="s">
        <v>66</v>
      </c>
      <c r="AI127" s="41" t="s">
        <v>333</v>
      </c>
      <c r="AJ127" s="41" t="s">
        <v>54</v>
      </c>
      <c r="AK127" s="41" t="s">
        <v>54</v>
      </c>
      <c r="AL127" s="41" t="s">
        <v>164</v>
      </c>
      <c r="AM127" s="45" t="s">
        <v>55</v>
      </c>
      <c r="AN127" s="45" t="s">
        <v>300</v>
      </c>
      <c r="AO127" s="45" t="s">
        <v>79</v>
      </c>
      <c r="AP127" s="46"/>
    </row>
    <row r="128" spans="3:42" ht="14.25" customHeight="1" x14ac:dyDescent="0.2">
      <c r="C128" s="40">
        <f>IF($X128=1,COUNTIF($C$10:C127,"&gt;0")+1,"")</f>
        <v>58</v>
      </c>
      <c r="D128" s="41">
        <v>15262382</v>
      </c>
      <c r="E128" s="41" t="s">
        <v>327</v>
      </c>
      <c r="F128" s="42" t="s">
        <v>605</v>
      </c>
      <c r="G128" s="41" t="s">
        <v>605</v>
      </c>
      <c r="H128" s="41" t="s">
        <v>606</v>
      </c>
      <c r="I128" s="41" t="s">
        <v>607</v>
      </c>
      <c r="J128" s="41" t="s">
        <v>51</v>
      </c>
      <c r="K128" s="41" t="s">
        <v>52</v>
      </c>
      <c r="L128" s="43">
        <v>27723</v>
      </c>
      <c r="M128" s="41">
        <v>49</v>
      </c>
      <c r="N128" s="41" t="s">
        <v>608</v>
      </c>
      <c r="O128" s="43">
        <v>48931</v>
      </c>
      <c r="P128" s="41" t="s">
        <v>2</v>
      </c>
      <c r="Q128" s="41"/>
      <c r="R128" s="57">
        <v>45913</v>
      </c>
      <c r="S128" s="58">
        <v>45918</v>
      </c>
      <c r="T128" s="59">
        <f t="shared" si="1"/>
        <v>5</v>
      </c>
      <c r="U128" s="41">
        <v>1</v>
      </c>
      <c r="V128" s="41">
        <v>1</v>
      </c>
      <c r="W128" s="41">
        <v>0</v>
      </c>
      <c r="X128" s="41">
        <v>1</v>
      </c>
      <c r="Y128" s="41">
        <v>0</v>
      </c>
      <c r="Z128" s="41">
        <v>1</v>
      </c>
      <c r="AA128" s="41">
        <v>0</v>
      </c>
      <c r="AB128" s="41"/>
      <c r="AC128" s="43">
        <v>45913</v>
      </c>
      <c r="AD128" s="44">
        <v>0.58680555555474712</v>
      </c>
      <c r="AE128" s="41" t="s">
        <v>53</v>
      </c>
      <c r="AF128" s="43">
        <v>45918</v>
      </c>
      <c r="AG128" s="44">
        <v>0.83680555555474712</v>
      </c>
      <c r="AH128" s="41" t="s">
        <v>103</v>
      </c>
      <c r="AI128" s="41" t="s">
        <v>333</v>
      </c>
      <c r="AJ128" s="41" t="s">
        <v>54</v>
      </c>
      <c r="AK128" s="41" t="s">
        <v>54</v>
      </c>
      <c r="AL128" s="41" t="s">
        <v>164</v>
      </c>
      <c r="AM128" s="45" t="s">
        <v>55</v>
      </c>
      <c r="AN128" s="45" t="s">
        <v>300</v>
      </c>
      <c r="AO128" s="45"/>
      <c r="AP128" s="46"/>
    </row>
    <row r="129" spans="3:42" ht="14.25" customHeight="1" x14ac:dyDescent="0.2">
      <c r="C129" s="40" t="str">
        <f>IF($X129=1,COUNTIF($C$10:C128,"&gt;0")+1,"")</f>
        <v/>
      </c>
      <c r="D129" s="41"/>
      <c r="E129" s="41" t="s">
        <v>327</v>
      </c>
      <c r="F129" s="42" t="s">
        <v>609</v>
      </c>
      <c r="G129" s="41" t="s">
        <v>605</v>
      </c>
      <c r="H129" s="41" t="s">
        <v>610</v>
      </c>
      <c r="I129" s="41" t="s">
        <v>607</v>
      </c>
      <c r="J129" s="41" t="s">
        <v>56</v>
      </c>
      <c r="K129" s="41" t="s">
        <v>52</v>
      </c>
      <c r="L129" s="43">
        <v>27780</v>
      </c>
      <c r="M129" s="41">
        <v>49</v>
      </c>
      <c r="N129" s="41" t="s">
        <v>611</v>
      </c>
      <c r="O129" s="43">
        <v>48223</v>
      </c>
      <c r="P129" s="41" t="s">
        <v>2</v>
      </c>
      <c r="Q129" s="41"/>
      <c r="R129" s="57">
        <v>45913</v>
      </c>
      <c r="S129" s="58">
        <v>45918</v>
      </c>
      <c r="T129" s="59">
        <f t="shared" si="1"/>
        <v>5</v>
      </c>
      <c r="U129" s="41">
        <v>1</v>
      </c>
      <c r="V129" s="41">
        <v>1</v>
      </c>
      <c r="W129" s="41">
        <v>0</v>
      </c>
      <c r="X129" s="41">
        <v>0</v>
      </c>
      <c r="Y129" s="41">
        <v>0</v>
      </c>
      <c r="Z129" s="41">
        <v>0</v>
      </c>
      <c r="AA129" s="41">
        <v>0</v>
      </c>
      <c r="AB129" s="41"/>
      <c r="AC129" s="43">
        <v>45913</v>
      </c>
      <c r="AD129" s="44">
        <v>0.58680555555474712</v>
      </c>
      <c r="AE129" s="41" t="s">
        <v>53</v>
      </c>
      <c r="AF129" s="43">
        <v>45918</v>
      </c>
      <c r="AG129" s="44">
        <v>0.83680555555474712</v>
      </c>
      <c r="AH129" s="41" t="s">
        <v>103</v>
      </c>
      <c r="AI129" s="41" t="s">
        <v>333</v>
      </c>
      <c r="AJ129" s="41" t="s">
        <v>54</v>
      </c>
      <c r="AK129" s="41" t="s">
        <v>54</v>
      </c>
      <c r="AL129" s="41" t="s">
        <v>164</v>
      </c>
      <c r="AM129" s="45" t="s">
        <v>55</v>
      </c>
      <c r="AN129" s="45" t="s">
        <v>300</v>
      </c>
      <c r="AO129" s="45"/>
      <c r="AP129" s="46"/>
    </row>
    <row r="130" spans="3:42" ht="14.25" customHeight="1" x14ac:dyDescent="0.2">
      <c r="C130" s="40">
        <f>IF($X130=1,COUNTIF($C$10:C129,"&gt;0")+1,"")</f>
        <v>59</v>
      </c>
      <c r="D130" s="41">
        <v>15262383</v>
      </c>
      <c r="E130" s="41" t="s">
        <v>327</v>
      </c>
      <c r="F130" s="42" t="s">
        <v>612</v>
      </c>
      <c r="G130" s="41" t="s">
        <v>605</v>
      </c>
      <c r="H130" s="41" t="s">
        <v>613</v>
      </c>
      <c r="I130" s="41" t="s">
        <v>607</v>
      </c>
      <c r="J130" s="41" t="s">
        <v>56</v>
      </c>
      <c r="K130" s="41" t="s">
        <v>52</v>
      </c>
      <c r="L130" s="43">
        <v>39008</v>
      </c>
      <c r="M130" s="41">
        <v>18</v>
      </c>
      <c r="N130" s="41" t="s">
        <v>614</v>
      </c>
      <c r="O130" s="43">
        <v>46320</v>
      </c>
      <c r="P130" s="41" t="s">
        <v>3</v>
      </c>
      <c r="Q130" s="41"/>
      <c r="R130" s="57">
        <v>45913</v>
      </c>
      <c r="S130" s="58">
        <v>45918</v>
      </c>
      <c r="T130" s="59">
        <f t="shared" si="1"/>
        <v>5</v>
      </c>
      <c r="U130" s="41">
        <v>1</v>
      </c>
      <c r="V130" s="41">
        <v>1</v>
      </c>
      <c r="W130" s="41">
        <v>0</v>
      </c>
      <c r="X130" s="41">
        <v>1</v>
      </c>
      <c r="Y130" s="41">
        <v>0</v>
      </c>
      <c r="Z130" s="41">
        <v>0</v>
      </c>
      <c r="AA130" s="41">
        <v>1</v>
      </c>
      <c r="AB130" s="41"/>
      <c r="AC130" s="43">
        <v>45913</v>
      </c>
      <c r="AD130" s="44">
        <v>0.58680555555474712</v>
      </c>
      <c r="AE130" s="41" t="s">
        <v>53</v>
      </c>
      <c r="AF130" s="43">
        <v>45918</v>
      </c>
      <c r="AG130" s="44">
        <v>0.83680555555474712</v>
      </c>
      <c r="AH130" s="41" t="s">
        <v>103</v>
      </c>
      <c r="AI130" s="41" t="s">
        <v>333</v>
      </c>
      <c r="AJ130" s="41" t="s">
        <v>54</v>
      </c>
      <c r="AK130" s="41" t="s">
        <v>54</v>
      </c>
      <c r="AL130" s="41" t="s">
        <v>164</v>
      </c>
      <c r="AM130" s="45" t="s">
        <v>55</v>
      </c>
      <c r="AN130" s="45" t="s">
        <v>293</v>
      </c>
      <c r="AO130" s="45"/>
      <c r="AP130" s="46"/>
    </row>
    <row r="131" spans="3:42" ht="14.25" customHeight="1" x14ac:dyDescent="0.2">
      <c r="C131" s="40" t="str">
        <f>IF($X131=1,COUNTIF($C$10:C130,"&gt;0")+1,"")</f>
        <v/>
      </c>
      <c r="D131" s="41"/>
      <c r="E131" s="41" t="s">
        <v>327</v>
      </c>
      <c r="F131" s="42" t="s">
        <v>615</v>
      </c>
      <c r="G131" s="41" t="s">
        <v>605</v>
      </c>
      <c r="H131" s="41" t="s">
        <v>616</v>
      </c>
      <c r="I131" s="41" t="s">
        <v>617</v>
      </c>
      <c r="J131" s="41" t="s">
        <v>56</v>
      </c>
      <c r="K131" s="41" t="s">
        <v>52</v>
      </c>
      <c r="L131" s="43">
        <v>18629</v>
      </c>
      <c r="M131" s="41">
        <v>74</v>
      </c>
      <c r="N131" s="41" t="s">
        <v>618</v>
      </c>
      <c r="O131" s="43">
        <v>48065</v>
      </c>
      <c r="P131" s="41" t="s">
        <v>3</v>
      </c>
      <c r="Q131" s="41"/>
      <c r="R131" s="57">
        <v>45913</v>
      </c>
      <c r="S131" s="58">
        <v>45918</v>
      </c>
      <c r="T131" s="59">
        <f t="shared" si="1"/>
        <v>5</v>
      </c>
      <c r="U131" s="41">
        <v>1</v>
      </c>
      <c r="V131" s="41">
        <v>1</v>
      </c>
      <c r="W131" s="41">
        <v>0</v>
      </c>
      <c r="X131" s="41">
        <v>0</v>
      </c>
      <c r="Y131" s="41">
        <v>0</v>
      </c>
      <c r="Z131" s="41">
        <v>0</v>
      </c>
      <c r="AA131" s="41">
        <v>0</v>
      </c>
      <c r="AB131" s="41"/>
      <c r="AC131" s="43">
        <v>45913</v>
      </c>
      <c r="AD131" s="44">
        <v>0.58680555555474712</v>
      </c>
      <c r="AE131" s="41" t="s">
        <v>53</v>
      </c>
      <c r="AF131" s="43">
        <v>45918</v>
      </c>
      <c r="AG131" s="44">
        <v>0.83680555555474712</v>
      </c>
      <c r="AH131" s="41" t="s">
        <v>103</v>
      </c>
      <c r="AI131" s="41" t="s">
        <v>333</v>
      </c>
      <c r="AJ131" s="41" t="s">
        <v>54</v>
      </c>
      <c r="AK131" s="41" t="s">
        <v>54</v>
      </c>
      <c r="AL131" s="41" t="s">
        <v>164</v>
      </c>
      <c r="AM131" s="45" t="s">
        <v>55</v>
      </c>
      <c r="AN131" s="45" t="s">
        <v>293</v>
      </c>
      <c r="AO131" s="45"/>
      <c r="AP131" s="46"/>
    </row>
    <row r="132" spans="3:42" ht="14.25" customHeight="1" x14ac:dyDescent="0.2">
      <c r="C132" s="40">
        <f>IF($X132=1,COUNTIF($C$10:C131,"&gt;0")+1,"")</f>
        <v>60</v>
      </c>
      <c r="D132" s="41">
        <v>15262384</v>
      </c>
      <c r="E132" s="41" t="s">
        <v>327</v>
      </c>
      <c r="F132" s="42" t="s">
        <v>619</v>
      </c>
      <c r="G132" s="41" t="s">
        <v>619</v>
      </c>
      <c r="H132" s="41" t="s">
        <v>620</v>
      </c>
      <c r="I132" s="41" t="s">
        <v>621</v>
      </c>
      <c r="J132" s="41" t="s">
        <v>56</v>
      </c>
      <c r="K132" s="41" t="s">
        <v>52</v>
      </c>
      <c r="L132" s="43">
        <v>34951</v>
      </c>
      <c r="M132" s="41">
        <v>30</v>
      </c>
      <c r="N132" s="41" t="s">
        <v>622</v>
      </c>
      <c r="O132" s="43">
        <v>48417</v>
      </c>
      <c r="P132" s="41" t="s">
        <v>2</v>
      </c>
      <c r="Q132" s="41"/>
      <c r="R132" s="57">
        <v>45913</v>
      </c>
      <c r="S132" s="58">
        <v>45918</v>
      </c>
      <c r="T132" s="59">
        <f t="shared" si="1"/>
        <v>5</v>
      </c>
      <c r="U132" s="41">
        <v>1</v>
      </c>
      <c r="V132" s="41">
        <v>1</v>
      </c>
      <c r="W132" s="41">
        <v>0</v>
      </c>
      <c r="X132" s="41">
        <v>1</v>
      </c>
      <c r="Y132" s="41">
        <v>0</v>
      </c>
      <c r="Z132" s="41">
        <v>1</v>
      </c>
      <c r="AA132" s="41">
        <v>0</v>
      </c>
      <c r="AB132" s="41"/>
      <c r="AC132" s="43">
        <v>45913</v>
      </c>
      <c r="AD132" s="44">
        <v>0.65625</v>
      </c>
      <c r="AE132" s="41" t="s">
        <v>137</v>
      </c>
      <c r="AF132" s="43">
        <v>45920</v>
      </c>
      <c r="AG132" s="44">
        <v>0.86111111110949423</v>
      </c>
      <c r="AH132" s="41" t="s">
        <v>116</v>
      </c>
      <c r="AI132" s="41" t="s">
        <v>333</v>
      </c>
      <c r="AJ132" s="41" t="s">
        <v>54</v>
      </c>
      <c r="AK132" s="41" t="s">
        <v>54</v>
      </c>
      <c r="AL132" s="41" t="s">
        <v>164</v>
      </c>
      <c r="AM132" s="45" t="s">
        <v>55</v>
      </c>
      <c r="AN132" s="45" t="s">
        <v>300</v>
      </c>
      <c r="AO132" s="45"/>
      <c r="AP132" s="46"/>
    </row>
    <row r="133" spans="3:42" ht="14.25" customHeight="1" x14ac:dyDescent="0.2">
      <c r="C133" s="40" t="str">
        <f>IF($X133=1,COUNTIF($C$10:C132,"&gt;0")+1,"")</f>
        <v/>
      </c>
      <c r="D133" s="41"/>
      <c r="E133" s="41" t="s">
        <v>327</v>
      </c>
      <c r="F133" s="42" t="s">
        <v>623</v>
      </c>
      <c r="G133" s="41" t="s">
        <v>619</v>
      </c>
      <c r="H133" s="41" t="s">
        <v>624</v>
      </c>
      <c r="I133" s="41" t="s">
        <v>151</v>
      </c>
      <c r="J133" s="41" t="s">
        <v>51</v>
      </c>
      <c r="K133" s="41" t="s">
        <v>52</v>
      </c>
      <c r="L133" s="43">
        <v>33946</v>
      </c>
      <c r="M133" s="41">
        <v>32</v>
      </c>
      <c r="N133" s="41" t="s">
        <v>625</v>
      </c>
      <c r="O133" s="43">
        <v>49063</v>
      </c>
      <c r="P133" s="41" t="s">
        <v>2</v>
      </c>
      <c r="Q133" s="41"/>
      <c r="R133" s="57">
        <v>45913</v>
      </c>
      <c r="S133" s="58">
        <v>45918</v>
      </c>
      <c r="T133" s="59">
        <f t="shared" si="1"/>
        <v>5</v>
      </c>
      <c r="U133" s="41">
        <v>1</v>
      </c>
      <c r="V133" s="41">
        <v>1</v>
      </c>
      <c r="W133" s="41">
        <v>0</v>
      </c>
      <c r="X133" s="41">
        <v>0</v>
      </c>
      <c r="Y133" s="41">
        <v>0</v>
      </c>
      <c r="Z133" s="41">
        <v>0</v>
      </c>
      <c r="AA133" s="41">
        <v>0</v>
      </c>
      <c r="AB133" s="41"/>
      <c r="AC133" s="43">
        <v>45913</v>
      </c>
      <c r="AD133" s="44">
        <v>0.65625</v>
      </c>
      <c r="AE133" s="41" t="s">
        <v>137</v>
      </c>
      <c r="AF133" s="43">
        <v>45920</v>
      </c>
      <c r="AG133" s="44">
        <v>0.86111111110949423</v>
      </c>
      <c r="AH133" s="41" t="s">
        <v>116</v>
      </c>
      <c r="AI133" s="41" t="s">
        <v>333</v>
      </c>
      <c r="AJ133" s="41" t="s">
        <v>54</v>
      </c>
      <c r="AK133" s="41" t="s">
        <v>54</v>
      </c>
      <c r="AL133" s="41" t="s">
        <v>164</v>
      </c>
      <c r="AM133" s="45" t="s">
        <v>55</v>
      </c>
      <c r="AN133" s="45" t="s">
        <v>300</v>
      </c>
      <c r="AO133" s="45"/>
      <c r="AP133" s="46"/>
    </row>
    <row r="134" spans="3:42" ht="14.25" customHeight="1" x14ac:dyDescent="0.2">
      <c r="C134" s="40">
        <f>IF($X134=1,COUNTIF($C$10:C133,"&gt;0")+1,"")</f>
        <v>61</v>
      </c>
      <c r="D134" s="41">
        <v>15262385</v>
      </c>
      <c r="E134" s="41" t="s">
        <v>327</v>
      </c>
      <c r="F134" s="42" t="s">
        <v>626</v>
      </c>
      <c r="G134" s="41" t="s">
        <v>626</v>
      </c>
      <c r="H134" s="41" t="s">
        <v>627</v>
      </c>
      <c r="I134" s="41" t="s">
        <v>628</v>
      </c>
      <c r="J134" s="41" t="s">
        <v>51</v>
      </c>
      <c r="K134" s="41" t="s">
        <v>52</v>
      </c>
      <c r="L134" s="43">
        <v>30346</v>
      </c>
      <c r="M134" s="41">
        <v>42</v>
      </c>
      <c r="N134" s="41" t="s">
        <v>629</v>
      </c>
      <c r="O134" s="43">
        <v>49055</v>
      </c>
      <c r="P134" s="41" t="s">
        <v>2</v>
      </c>
      <c r="Q134" s="41"/>
      <c r="R134" s="57">
        <v>45913</v>
      </c>
      <c r="S134" s="58">
        <v>45918</v>
      </c>
      <c r="T134" s="59">
        <f t="shared" si="1"/>
        <v>5</v>
      </c>
      <c r="U134" s="41">
        <v>1</v>
      </c>
      <c r="V134" s="41">
        <v>1</v>
      </c>
      <c r="W134" s="41">
        <v>0</v>
      </c>
      <c r="X134" s="41">
        <v>1</v>
      </c>
      <c r="Y134" s="41">
        <v>0</v>
      </c>
      <c r="Z134" s="41">
        <v>1</v>
      </c>
      <c r="AA134" s="41">
        <v>0</v>
      </c>
      <c r="AB134" s="41"/>
      <c r="AC134" s="43">
        <v>45913</v>
      </c>
      <c r="AD134" s="44">
        <v>0.44791666666424135</v>
      </c>
      <c r="AE134" s="41" t="s">
        <v>630</v>
      </c>
      <c r="AF134" s="43">
        <v>45918</v>
      </c>
      <c r="AG134" s="44">
        <v>0.81944444444525288</v>
      </c>
      <c r="AH134" s="41" t="s">
        <v>95</v>
      </c>
      <c r="AI134" s="41" t="s">
        <v>333</v>
      </c>
      <c r="AJ134" s="41" t="s">
        <v>54</v>
      </c>
      <c r="AK134" s="41" t="s">
        <v>54</v>
      </c>
      <c r="AL134" s="41" t="s">
        <v>164</v>
      </c>
      <c r="AM134" s="45" t="s">
        <v>55</v>
      </c>
      <c r="AN134" s="45" t="s">
        <v>300</v>
      </c>
      <c r="AO134" s="45"/>
      <c r="AP134" s="46"/>
    </row>
    <row r="135" spans="3:42" ht="14.25" customHeight="1" x14ac:dyDescent="0.2">
      <c r="C135" s="40" t="str">
        <f>IF($X135=1,COUNTIF($C$10:C134,"&gt;0")+1,"")</f>
        <v/>
      </c>
      <c r="D135" s="41"/>
      <c r="E135" s="41" t="s">
        <v>327</v>
      </c>
      <c r="F135" s="42" t="s">
        <v>631</v>
      </c>
      <c r="G135" s="41" t="s">
        <v>626</v>
      </c>
      <c r="H135" s="41" t="s">
        <v>632</v>
      </c>
      <c r="I135" s="41" t="s">
        <v>621</v>
      </c>
      <c r="J135" s="41" t="s">
        <v>51</v>
      </c>
      <c r="K135" s="41" t="s">
        <v>52</v>
      </c>
      <c r="L135" s="43">
        <v>35597</v>
      </c>
      <c r="M135" s="41">
        <v>28</v>
      </c>
      <c r="N135" s="41" t="s">
        <v>633</v>
      </c>
      <c r="O135" s="43">
        <v>46346</v>
      </c>
      <c r="P135" s="41" t="s">
        <v>2</v>
      </c>
      <c r="Q135" s="41"/>
      <c r="R135" s="57">
        <v>45913</v>
      </c>
      <c r="S135" s="58">
        <v>45918</v>
      </c>
      <c r="T135" s="59">
        <f t="shared" si="1"/>
        <v>5</v>
      </c>
      <c r="U135" s="41">
        <v>1</v>
      </c>
      <c r="V135" s="41">
        <v>1</v>
      </c>
      <c r="W135" s="41">
        <v>0</v>
      </c>
      <c r="X135" s="41">
        <v>0</v>
      </c>
      <c r="Y135" s="41">
        <v>0</v>
      </c>
      <c r="Z135" s="41">
        <v>0</v>
      </c>
      <c r="AA135" s="41">
        <v>0</v>
      </c>
      <c r="AB135" s="41"/>
      <c r="AC135" s="43">
        <v>45913</v>
      </c>
      <c r="AD135" s="44">
        <v>0.65625</v>
      </c>
      <c r="AE135" s="41" t="s">
        <v>634</v>
      </c>
      <c r="AF135" s="43">
        <v>45920</v>
      </c>
      <c r="AG135" s="44">
        <v>0.86111111110949423</v>
      </c>
      <c r="AH135" s="41" t="s">
        <v>116</v>
      </c>
      <c r="AI135" s="41" t="s">
        <v>333</v>
      </c>
      <c r="AJ135" s="41" t="s">
        <v>54</v>
      </c>
      <c r="AK135" s="41" t="s">
        <v>54</v>
      </c>
      <c r="AL135" s="41" t="s">
        <v>164</v>
      </c>
      <c r="AM135" s="45" t="s">
        <v>55</v>
      </c>
      <c r="AN135" s="45" t="s">
        <v>300</v>
      </c>
      <c r="AO135" s="45"/>
      <c r="AP135" s="46"/>
    </row>
    <row r="136" spans="3:42" ht="14.25" customHeight="1" x14ac:dyDescent="0.2">
      <c r="C136" s="40">
        <f>IF($X136=1,COUNTIF($C$10:C135,"&gt;0")+1,"")</f>
        <v>62</v>
      </c>
      <c r="D136" s="41">
        <v>15262386</v>
      </c>
      <c r="E136" s="41" t="s">
        <v>327</v>
      </c>
      <c r="F136" s="42" t="s">
        <v>635</v>
      </c>
      <c r="G136" s="41" t="s">
        <v>635</v>
      </c>
      <c r="H136" s="41" t="s">
        <v>636</v>
      </c>
      <c r="I136" s="41" t="s">
        <v>637</v>
      </c>
      <c r="J136" s="41" t="s">
        <v>51</v>
      </c>
      <c r="K136" s="41" t="s">
        <v>52</v>
      </c>
      <c r="L136" s="43">
        <v>33331</v>
      </c>
      <c r="M136" s="41">
        <v>34</v>
      </c>
      <c r="N136" s="41" t="s">
        <v>638</v>
      </c>
      <c r="O136" s="43">
        <v>46612</v>
      </c>
      <c r="P136" s="41" t="s">
        <v>2</v>
      </c>
      <c r="Q136" s="41"/>
      <c r="R136" s="57">
        <v>45913</v>
      </c>
      <c r="S136" s="58">
        <v>45918</v>
      </c>
      <c r="T136" s="59">
        <f t="shared" si="1"/>
        <v>5</v>
      </c>
      <c r="U136" s="41">
        <v>1</v>
      </c>
      <c r="V136" s="41">
        <v>1</v>
      </c>
      <c r="W136" s="41">
        <v>0</v>
      </c>
      <c r="X136" s="41">
        <v>1</v>
      </c>
      <c r="Y136" s="41">
        <v>0</v>
      </c>
      <c r="Z136" s="41">
        <v>1</v>
      </c>
      <c r="AA136" s="41">
        <v>0</v>
      </c>
      <c r="AB136" s="41"/>
      <c r="AC136" s="43">
        <v>45913</v>
      </c>
      <c r="AD136" s="44">
        <v>0.69097222221898846</v>
      </c>
      <c r="AE136" s="41" t="s">
        <v>138</v>
      </c>
      <c r="AF136" s="43">
        <v>45918</v>
      </c>
      <c r="AG136" s="44">
        <v>0.28819444444525288</v>
      </c>
      <c r="AH136" s="41" t="s">
        <v>61</v>
      </c>
      <c r="AI136" s="41" t="s">
        <v>333</v>
      </c>
      <c r="AJ136" s="41" t="s">
        <v>54</v>
      </c>
      <c r="AK136" s="41" t="s">
        <v>54</v>
      </c>
      <c r="AL136" s="41" t="s">
        <v>164</v>
      </c>
      <c r="AM136" s="45" t="s">
        <v>55</v>
      </c>
      <c r="AN136" s="45" t="s">
        <v>300</v>
      </c>
      <c r="AO136" s="45"/>
      <c r="AP136" s="46"/>
    </row>
    <row r="137" spans="3:42" ht="14.25" customHeight="1" x14ac:dyDescent="0.2">
      <c r="C137" s="40" t="str">
        <f>IF($X137=1,COUNTIF($C$10:C136,"&gt;0")+1,"")</f>
        <v/>
      </c>
      <c r="D137" s="41"/>
      <c r="E137" s="41" t="s">
        <v>327</v>
      </c>
      <c r="F137" s="42" t="s">
        <v>639</v>
      </c>
      <c r="G137" s="41" t="s">
        <v>635</v>
      </c>
      <c r="H137" s="41" t="s">
        <v>640</v>
      </c>
      <c r="I137" s="41" t="s">
        <v>641</v>
      </c>
      <c r="J137" s="41" t="s">
        <v>56</v>
      </c>
      <c r="K137" s="41" t="s">
        <v>52</v>
      </c>
      <c r="L137" s="43">
        <v>34951</v>
      </c>
      <c r="M137" s="41">
        <v>30</v>
      </c>
      <c r="N137" s="41" t="s">
        <v>642</v>
      </c>
      <c r="O137" s="43">
        <v>49426</v>
      </c>
      <c r="P137" s="41" t="s">
        <v>2</v>
      </c>
      <c r="Q137" s="41"/>
      <c r="R137" s="57">
        <v>45913</v>
      </c>
      <c r="S137" s="58">
        <v>45918</v>
      </c>
      <c r="T137" s="59">
        <f t="shared" si="1"/>
        <v>5</v>
      </c>
      <c r="U137" s="41">
        <v>1</v>
      </c>
      <c r="V137" s="41">
        <v>1</v>
      </c>
      <c r="W137" s="41">
        <v>0</v>
      </c>
      <c r="X137" s="41">
        <v>0</v>
      </c>
      <c r="Y137" s="41">
        <v>0</v>
      </c>
      <c r="Z137" s="41">
        <v>0</v>
      </c>
      <c r="AA137" s="41">
        <v>0</v>
      </c>
      <c r="AB137" s="41"/>
      <c r="AC137" s="43">
        <v>45913</v>
      </c>
      <c r="AD137" s="44">
        <v>0.69097222221898846</v>
      </c>
      <c r="AE137" s="41" t="s">
        <v>138</v>
      </c>
      <c r="AF137" s="43">
        <v>45918</v>
      </c>
      <c r="AG137" s="44">
        <v>0.28819444444525288</v>
      </c>
      <c r="AH137" s="41" t="s">
        <v>61</v>
      </c>
      <c r="AI137" s="41" t="s">
        <v>333</v>
      </c>
      <c r="AJ137" s="41" t="s">
        <v>54</v>
      </c>
      <c r="AK137" s="41" t="s">
        <v>54</v>
      </c>
      <c r="AL137" s="41" t="s">
        <v>164</v>
      </c>
      <c r="AM137" s="45" t="s">
        <v>55</v>
      </c>
      <c r="AN137" s="45" t="s">
        <v>300</v>
      </c>
      <c r="AO137" s="45"/>
      <c r="AP137" s="46"/>
    </row>
    <row r="138" spans="3:42" ht="14.25" customHeight="1" x14ac:dyDescent="0.2">
      <c r="C138" s="40">
        <f>IF($X138=1,COUNTIF($C$10:C137,"&gt;0")+1,"")</f>
        <v>63</v>
      </c>
      <c r="D138" s="41">
        <v>15262387</v>
      </c>
      <c r="E138" s="41" t="s">
        <v>327</v>
      </c>
      <c r="F138" s="42" t="s">
        <v>643</v>
      </c>
      <c r="G138" s="41" t="s">
        <v>643</v>
      </c>
      <c r="H138" s="41" t="s">
        <v>644</v>
      </c>
      <c r="I138" s="41" t="s">
        <v>621</v>
      </c>
      <c r="J138" s="41" t="s">
        <v>51</v>
      </c>
      <c r="K138" s="41" t="s">
        <v>52</v>
      </c>
      <c r="L138" s="43">
        <v>24413</v>
      </c>
      <c r="M138" s="41">
        <v>58</v>
      </c>
      <c r="N138" s="41" t="s">
        <v>645</v>
      </c>
      <c r="O138" s="43">
        <v>46454</v>
      </c>
      <c r="P138" s="41" t="s">
        <v>2</v>
      </c>
      <c r="Q138" s="41"/>
      <c r="R138" s="57">
        <v>45913</v>
      </c>
      <c r="S138" s="58">
        <v>45918</v>
      </c>
      <c r="T138" s="59">
        <f t="shared" ref="T138:T201" si="2">S138-R138</f>
        <v>5</v>
      </c>
      <c r="U138" s="41">
        <v>1</v>
      </c>
      <c r="V138" s="41">
        <v>1</v>
      </c>
      <c r="W138" s="41">
        <v>0</v>
      </c>
      <c r="X138" s="41">
        <v>1</v>
      </c>
      <c r="Y138" s="41">
        <v>0</v>
      </c>
      <c r="Z138" s="41">
        <v>1</v>
      </c>
      <c r="AA138" s="41">
        <v>0</v>
      </c>
      <c r="AB138" s="41"/>
      <c r="AC138" s="43">
        <v>45913</v>
      </c>
      <c r="AD138" s="44">
        <v>0.65625</v>
      </c>
      <c r="AE138" s="41" t="s">
        <v>634</v>
      </c>
      <c r="AF138" s="43">
        <v>45920</v>
      </c>
      <c r="AG138" s="44">
        <v>0.86111111110949423</v>
      </c>
      <c r="AH138" s="41" t="s">
        <v>116</v>
      </c>
      <c r="AI138" s="41" t="s">
        <v>333</v>
      </c>
      <c r="AJ138" s="41" t="s">
        <v>54</v>
      </c>
      <c r="AK138" s="41" t="s">
        <v>54</v>
      </c>
      <c r="AL138" s="41" t="s">
        <v>164</v>
      </c>
      <c r="AM138" s="45" t="s">
        <v>55</v>
      </c>
      <c r="AN138" s="45" t="s">
        <v>300</v>
      </c>
      <c r="AO138" s="45"/>
      <c r="AP138" s="46"/>
    </row>
    <row r="139" spans="3:42" ht="14.25" customHeight="1" x14ac:dyDescent="0.2">
      <c r="C139" s="40" t="str">
        <f>IF($X139=1,COUNTIF($C$10:C138,"&gt;0")+1,"")</f>
        <v/>
      </c>
      <c r="D139" s="41"/>
      <c r="E139" s="41" t="s">
        <v>327</v>
      </c>
      <c r="F139" s="42" t="s">
        <v>646</v>
      </c>
      <c r="G139" s="41" t="s">
        <v>643</v>
      </c>
      <c r="H139" s="41" t="s">
        <v>647</v>
      </c>
      <c r="I139" s="41" t="s">
        <v>621</v>
      </c>
      <c r="J139" s="41" t="s">
        <v>56</v>
      </c>
      <c r="K139" s="41" t="s">
        <v>52</v>
      </c>
      <c r="L139" s="43">
        <v>25962</v>
      </c>
      <c r="M139" s="41">
        <v>54</v>
      </c>
      <c r="N139" s="41" t="s">
        <v>648</v>
      </c>
      <c r="O139" s="43">
        <v>46454</v>
      </c>
      <c r="P139" s="41" t="s">
        <v>2</v>
      </c>
      <c r="Q139" s="41"/>
      <c r="R139" s="57">
        <v>45913</v>
      </c>
      <c r="S139" s="58">
        <v>45918</v>
      </c>
      <c r="T139" s="59">
        <f t="shared" si="2"/>
        <v>5</v>
      </c>
      <c r="U139" s="41">
        <v>1</v>
      </c>
      <c r="V139" s="41">
        <v>1</v>
      </c>
      <c r="W139" s="41">
        <v>0</v>
      </c>
      <c r="X139" s="41">
        <v>0</v>
      </c>
      <c r="Y139" s="41">
        <v>0</v>
      </c>
      <c r="Z139" s="41">
        <v>0</v>
      </c>
      <c r="AA139" s="41">
        <v>0</v>
      </c>
      <c r="AB139" s="41"/>
      <c r="AC139" s="43">
        <v>45913</v>
      </c>
      <c r="AD139" s="44">
        <v>0.65625</v>
      </c>
      <c r="AE139" s="41" t="s">
        <v>634</v>
      </c>
      <c r="AF139" s="43">
        <v>45920</v>
      </c>
      <c r="AG139" s="44">
        <v>0.86111111110949423</v>
      </c>
      <c r="AH139" s="41" t="s">
        <v>116</v>
      </c>
      <c r="AI139" s="41" t="s">
        <v>333</v>
      </c>
      <c r="AJ139" s="41" t="s">
        <v>54</v>
      </c>
      <c r="AK139" s="41" t="s">
        <v>54</v>
      </c>
      <c r="AL139" s="41" t="s">
        <v>164</v>
      </c>
      <c r="AM139" s="45" t="s">
        <v>55</v>
      </c>
      <c r="AN139" s="45" t="s">
        <v>300</v>
      </c>
      <c r="AO139" s="45"/>
      <c r="AP139" s="46"/>
    </row>
    <row r="140" spans="3:42" ht="14.25" customHeight="1" x14ac:dyDescent="0.2">
      <c r="C140" s="40">
        <f>IF($X140=1,COUNTIF($C$10:C139,"&gt;0")+1,"")</f>
        <v>64</v>
      </c>
      <c r="D140" s="41">
        <v>15262388</v>
      </c>
      <c r="E140" s="41" t="s">
        <v>327</v>
      </c>
      <c r="F140" s="42" t="s">
        <v>649</v>
      </c>
      <c r="G140" s="41" t="s">
        <v>649</v>
      </c>
      <c r="H140" s="41" t="s">
        <v>650</v>
      </c>
      <c r="I140" s="41" t="s">
        <v>651</v>
      </c>
      <c r="J140" s="41" t="s">
        <v>56</v>
      </c>
      <c r="K140" s="41" t="s">
        <v>52</v>
      </c>
      <c r="L140" s="43">
        <v>21926</v>
      </c>
      <c r="M140" s="41">
        <v>65</v>
      </c>
      <c r="N140" s="41" t="s">
        <v>652</v>
      </c>
      <c r="O140" s="43">
        <v>46736</v>
      </c>
      <c r="P140" s="41" t="s">
        <v>3</v>
      </c>
      <c r="Q140" s="41"/>
      <c r="R140" s="57">
        <v>45913</v>
      </c>
      <c r="S140" s="58">
        <v>45918</v>
      </c>
      <c r="T140" s="59">
        <f t="shared" si="2"/>
        <v>5</v>
      </c>
      <c r="U140" s="41">
        <v>1</v>
      </c>
      <c r="V140" s="41">
        <v>1</v>
      </c>
      <c r="W140" s="41">
        <v>0</v>
      </c>
      <c r="X140" s="41">
        <v>1</v>
      </c>
      <c r="Y140" s="41">
        <v>0</v>
      </c>
      <c r="Z140" s="41">
        <v>0</v>
      </c>
      <c r="AA140" s="41">
        <v>1</v>
      </c>
      <c r="AB140" s="41"/>
      <c r="AC140" s="43">
        <v>45913</v>
      </c>
      <c r="AD140" s="44">
        <v>0.65625</v>
      </c>
      <c r="AE140" s="41" t="s">
        <v>137</v>
      </c>
      <c r="AF140" s="43">
        <v>45918</v>
      </c>
      <c r="AG140" s="44">
        <v>0.35416666666424135</v>
      </c>
      <c r="AH140" s="41" t="s">
        <v>110</v>
      </c>
      <c r="AI140" s="41" t="s">
        <v>333</v>
      </c>
      <c r="AJ140" s="41" t="s">
        <v>54</v>
      </c>
      <c r="AK140" s="41" t="s">
        <v>54</v>
      </c>
      <c r="AL140" s="41" t="s">
        <v>164</v>
      </c>
      <c r="AM140" s="45" t="s">
        <v>55</v>
      </c>
      <c r="AN140" s="45" t="s">
        <v>387</v>
      </c>
      <c r="AO140" s="45"/>
      <c r="AP140" s="46"/>
    </row>
    <row r="141" spans="3:42" ht="14.25" customHeight="1" x14ac:dyDescent="0.2">
      <c r="C141" s="40" t="str">
        <f>IF($X141=1,COUNTIF($C$10:C140,"&gt;0")+1,"")</f>
        <v/>
      </c>
      <c r="D141" s="41"/>
      <c r="E141" s="41" t="s">
        <v>327</v>
      </c>
      <c r="F141" s="42" t="s">
        <v>653</v>
      </c>
      <c r="G141" s="41" t="s">
        <v>649</v>
      </c>
      <c r="H141" s="41" t="s">
        <v>654</v>
      </c>
      <c r="I141" s="41" t="s">
        <v>655</v>
      </c>
      <c r="J141" s="41" t="s">
        <v>56</v>
      </c>
      <c r="K141" s="41" t="s">
        <v>52</v>
      </c>
      <c r="L141" s="43">
        <v>25514</v>
      </c>
      <c r="M141" s="41">
        <v>55</v>
      </c>
      <c r="N141" s="41" t="s">
        <v>656</v>
      </c>
      <c r="O141" s="43">
        <v>49063</v>
      </c>
      <c r="P141" s="41" t="s">
        <v>3</v>
      </c>
      <c r="Q141" s="41"/>
      <c r="R141" s="57">
        <v>45913</v>
      </c>
      <c r="S141" s="58">
        <v>45918</v>
      </c>
      <c r="T141" s="59">
        <f t="shared" si="2"/>
        <v>5</v>
      </c>
      <c r="U141" s="41">
        <v>1</v>
      </c>
      <c r="V141" s="41">
        <v>1</v>
      </c>
      <c r="W141" s="41">
        <v>0</v>
      </c>
      <c r="X141" s="41">
        <v>0</v>
      </c>
      <c r="Y141" s="41">
        <v>0</v>
      </c>
      <c r="Z141" s="41">
        <v>0</v>
      </c>
      <c r="AA141" s="41">
        <v>0</v>
      </c>
      <c r="AB141" s="41"/>
      <c r="AC141" s="43">
        <v>45913</v>
      </c>
      <c r="AD141" s="44">
        <v>0.44791666666424135</v>
      </c>
      <c r="AE141" s="41" t="s">
        <v>630</v>
      </c>
      <c r="AF141" s="43">
        <v>45918</v>
      </c>
      <c r="AG141" s="44">
        <v>0.81944444444525288</v>
      </c>
      <c r="AH141" s="41" t="s">
        <v>95</v>
      </c>
      <c r="AI141" s="41" t="s">
        <v>333</v>
      </c>
      <c r="AJ141" s="41" t="s">
        <v>54</v>
      </c>
      <c r="AK141" s="41" t="s">
        <v>54</v>
      </c>
      <c r="AL141" s="41" t="s">
        <v>164</v>
      </c>
      <c r="AM141" s="45" t="s">
        <v>55</v>
      </c>
      <c r="AN141" s="45" t="s">
        <v>387</v>
      </c>
      <c r="AO141" s="45"/>
      <c r="AP141" s="46"/>
    </row>
    <row r="142" spans="3:42" ht="14.25" customHeight="1" x14ac:dyDescent="0.2">
      <c r="C142" s="40">
        <f>IF($X142=1,COUNTIF($C$10:C141,"&gt;0")+1,"")</f>
        <v>65</v>
      </c>
      <c r="D142" s="41">
        <v>15262390</v>
      </c>
      <c r="E142" s="41" t="s">
        <v>327</v>
      </c>
      <c r="F142" s="42" t="s">
        <v>657</v>
      </c>
      <c r="G142" s="41" t="s">
        <v>657</v>
      </c>
      <c r="H142" s="41" t="s">
        <v>658</v>
      </c>
      <c r="I142" s="41" t="s">
        <v>659</v>
      </c>
      <c r="J142" s="41" t="s">
        <v>56</v>
      </c>
      <c r="K142" s="41" t="s">
        <v>52</v>
      </c>
      <c r="L142" s="43">
        <v>26207</v>
      </c>
      <c r="M142" s="41">
        <v>53</v>
      </c>
      <c r="N142" s="41" t="s">
        <v>660</v>
      </c>
      <c r="O142" s="43">
        <v>48012</v>
      </c>
      <c r="P142" s="41" t="s">
        <v>3</v>
      </c>
      <c r="Q142" s="41"/>
      <c r="R142" s="57">
        <v>45913</v>
      </c>
      <c r="S142" s="58">
        <v>45918</v>
      </c>
      <c r="T142" s="59">
        <f t="shared" si="2"/>
        <v>5</v>
      </c>
      <c r="U142" s="41">
        <v>1</v>
      </c>
      <c r="V142" s="41">
        <v>1</v>
      </c>
      <c r="W142" s="41">
        <v>0</v>
      </c>
      <c r="X142" s="41">
        <v>1</v>
      </c>
      <c r="Y142" s="41">
        <v>0</v>
      </c>
      <c r="Z142" s="41">
        <v>0</v>
      </c>
      <c r="AA142" s="41">
        <v>1</v>
      </c>
      <c r="AB142" s="41"/>
      <c r="AC142" s="43">
        <v>45913</v>
      </c>
      <c r="AD142" s="44">
        <v>0.65625</v>
      </c>
      <c r="AE142" s="41" t="s">
        <v>122</v>
      </c>
      <c r="AF142" s="43">
        <v>45918</v>
      </c>
      <c r="AG142" s="44">
        <v>0.85416666666424135</v>
      </c>
      <c r="AH142" s="41" t="s">
        <v>124</v>
      </c>
      <c r="AI142" s="41" t="s">
        <v>333</v>
      </c>
      <c r="AJ142" s="41" t="s">
        <v>54</v>
      </c>
      <c r="AK142" s="41" t="s">
        <v>54</v>
      </c>
      <c r="AL142" s="41" t="s">
        <v>164</v>
      </c>
      <c r="AM142" s="45" t="s">
        <v>55</v>
      </c>
      <c r="AN142" s="45" t="s">
        <v>387</v>
      </c>
      <c r="AO142" s="45"/>
      <c r="AP142" s="46"/>
    </row>
    <row r="143" spans="3:42" ht="14.25" customHeight="1" x14ac:dyDescent="0.2">
      <c r="C143" s="40" t="str">
        <f>IF($X143=1,COUNTIF($C$10:C142,"&gt;0")+1,"")</f>
        <v/>
      </c>
      <c r="D143" s="41"/>
      <c r="E143" s="41" t="s">
        <v>327</v>
      </c>
      <c r="F143" s="42" t="s">
        <v>661</v>
      </c>
      <c r="G143" s="41" t="s">
        <v>657</v>
      </c>
      <c r="H143" s="41" t="s">
        <v>662</v>
      </c>
      <c r="I143" s="41" t="s">
        <v>663</v>
      </c>
      <c r="J143" s="41" t="s">
        <v>56</v>
      </c>
      <c r="K143" s="41" t="s">
        <v>52</v>
      </c>
      <c r="L143" s="43">
        <v>34723</v>
      </c>
      <c r="M143" s="41">
        <v>30</v>
      </c>
      <c r="N143" s="41" t="s">
        <v>664</v>
      </c>
      <c r="O143" s="43">
        <v>49286</v>
      </c>
      <c r="P143" s="41" t="s">
        <v>3</v>
      </c>
      <c r="Q143" s="41"/>
      <c r="R143" s="57">
        <v>45913</v>
      </c>
      <c r="S143" s="58">
        <v>45918</v>
      </c>
      <c r="T143" s="59">
        <f t="shared" si="2"/>
        <v>5</v>
      </c>
      <c r="U143" s="41">
        <v>1</v>
      </c>
      <c r="V143" s="41">
        <v>1</v>
      </c>
      <c r="W143" s="41">
        <v>0</v>
      </c>
      <c r="X143" s="41">
        <v>0</v>
      </c>
      <c r="Y143" s="41">
        <v>0</v>
      </c>
      <c r="Z143" s="41">
        <v>0</v>
      </c>
      <c r="AA143" s="41">
        <v>0</v>
      </c>
      <c r="AB143" s="41"/>
      <c r="AC143" s="43">
        <v>45913</v>
      </c>
      <c r="AD143" s="44">
        <v>0.65625</v>
      </c>
      <c r="AE143" s="41" t="s">
        <v>122</v>
      </c>
      <c r="AF143" s="43">
        <v>45918</v>
      </c>
      <c r="AG143" s="44">
        <v>0.85416666666424135</v>
      </c>
      <c r="AH143" s="41" t="s">
        <v>124</v>
      </c>
      <c r="AI143" s="41" t="s">
        <v>333</v>
      </c>
      <c r="AJ143" s="41" t="s">
        <v>54</v>
      </c>
      <c r="AK143" s="41" t="s">
        <v>54</v>
      </c>
      <c r="AL143" s="41" t="s">
        <v>164</v>
      </c>
      <c r="AM143" s="45" t="s">
        <v>55</v>
      </c>
      <c r="AN143" s="45" t="s">
        <v>387</v>
      </c>
      <c r="AO143" s="45"/>
      <c r="AP143" s="46"/>
    </row>
    <row r="144" spans="3:42" ht="14.25" customHeight="1" x14ac:dyDescent="0.2">
      <c r="C144" s="40">
        <f>IF($X144=1,COUNTIF($C$10:C143,"&gt;0")+1,"")</f>
        <v>66</v>
      </c>
      <c r="D144" s="41">
        <v>15262391</v>
      </c>
      <c r="E144" s="41" t="s">
        <v>665</v>
      </c>
      <c r="F144" s="42" t="s">
        <v>666</v>
      </c>
      <c r="G144" s="41" t="s">
        <v>666</v>
      </c>
      <c r="H144" s="41" t="s">
        <v>667</v>
      </c>
      <c r="I144" s="41" t="s">
        <v>668</v>
      </c>
      <c r="J144" s="41" t="s">
        <v>56</v>
      </c>
      <c r="K144" s="41" t="s">
        <v>52</v>
      </c>
      <c r="L144" s="43">
        <v>32780</v>
      </c>
      <c r="M144" s="41">
        <v>35</v>
      </c>
      <c r="N144" s="41" t="s">
        <v>669</v>
      </c>
      <c r="O144" s="43">
        <v>47072</v>
      </c>
      <c r="P144" s="41" t="s">
        <v>3</v>
      </c>
      <c r="Q144" s="41"/>
      <c r="R144" s="57">
        <v>45913</v>
      </c>
      <c r="S144" s="58">
        <v>45918</v>
      </c>
      <c r="T144" s="59">
        <f t="shared" si="2"/>
        <v>5</v>
      </c>
      <c r="U144" s="41">
        <v>1</v>
      </c>
      <c r="V144" s="41">
        <v>1</v>
      </c>
      <c r="W144" s="41">
        <v>0</v>
      </c>
      <c r="X144" s="41">
        <v>1</v>
      </c>
      <c r="Y144" s="41">
        <v>0</v>
      </c>
      <c r="Z144" s="41">
        <v>0</v>
      </c>
      <c r="AA144" s="41">
        <v>1</v>
      </c>
      <c r="AB144" s="41"/>
      <c r="AC144" s="43">
        <v>45913</v>
      </c>
      <c r="AD144" s="44">
        <v>0.64583333333575865</v>
      </c>
      <c r="AE144" s="41" t="s">
        <v>76</v>
      </c>
      <c r="AF144" s="43">
        <v>45918</v>
      </c>
      <c r="AG144" s="44">
        <v>0.72569444444525288</v>
      </c>
      <c r="AH144" s="41" t="s">
        <v>77</v>
      </c>
      <c r="AI144" s="41" t="s">
        <v>670</v>
      </c>
      <c r="AJ144" s="41" t="s">
        <v>54</v>
      </c>
      <c r="AK144" s="41" t="s">
        <v>54</v>
      </c>
      <c r="AL144" s="41" t="s">
        <v>164</v>
      </c>
      <c r="AM144" s="45" t="s">
        <v>55</v>
      </c>
      <c r="AN144" s="45" t="s">
        <v>293</v>
      </c>
      <c r="AO144" s="45"/>
      <c r="AP144" s="46"/>
    </row>
    <row r="145" spans="3:42" ht="14.25" customHeight="1" x14ac:dyDescent="0.2">
      <c r="C145" s="40" t="str">
        <f>IF($X145=1,COUNTIF($C$10:C144,"&gt;0")+1,"")</f>
        <v/>
      </c>
      <c r="D145" s="41"/>
      <c r="E145" s="41" t="s">
        <v>665</v>
      </c>
      <c r="F145" s="42" t="s">
        <v>671</v>
      </c>
      <c r="G145" s="41" t="s">
        <v>666</v>
      </c>
      <c r="H145" s="41" t="s">
        <v>672</v>
      </c>
      <c r="I145" s="41" t="s">
        <v>673</v>
      </c>
      <c r="J145" s="41" t="s">
        <v>56</v>
      </c>
      <c r="K145" s="41" t="s">
        <v>52</v>
      </c>
      <c r="L145" s="43">
        <v>31877</v>
      </c>
      <c r="M145" s="41">
        <v>38</v>
      </c>
      <c r="N145" s="41" t="s">
        <v>674</v>
      </c>
      <c r="O145" s="43">
        <v>47867</v>
      </c>
      <c r="P145" s="41" t="s">
        <v>3</v>
      </c>
      <c r="Q145" s="41"/>
      <c r="R145" s="57">
        <v>45913</v>
      </c>
      <c r="S145" s="58">
        <v>45918</v>
      </c>
      <c r="T145" s="59">
        <f t="shared" si="2"/>
        <v>5</v>
      </c>
      <c r="U145" s="41">
        <v>1</v>
      </c>
      <c r="V145" s="41">
        <v>1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/>
      <c r="AC145" s="43">
        <v>45913</v>
      </c>
      <c r="AD145" s="44">
        <v>0.64583333333575865</v>
      </c>
      <c r="AE145" s="41" t="s">
        <v>76</v>
      </c>
      <c r="AF145" s="43">
        <v>45918</v>
      </c>
      <c r="AG145" s="44">
        <v>0.72569444444525288</v>
      </c>
      <c r="AH145" s="41" t="s">
        <v>77</v>
      </c>
      <c r="AI145" s="41" t="s">
        <v>670</v>
      </c>
      <c r="AJ145" s="41" t="s">
        <v>54</v>
      </c>
      <c r="AK145" s="41" t="s">
        <v>54</v>
      </c>
      <c r="AL145" s="41" t="s">
        <v>164</v>
      </c>
      <c r="AM145" s="45" t="s">
        <v>55</v>
      </c>
      <c r="AN145" s="45" t="s">
        <v>293</v>
      </c>
      <c r="AO145" s="45"/>
      <c r="AP145" s="46"/>
    </row>
    <row r="146" spans="3:42" ht="14.25" customHeight="1" x14ac:dyDescent="0.2">
      <c r="C146" s="40">
        <f>IF($X146=1,COUNTIF($C$10:C145,"&gt;0")+1,"")</f>
        <v>67</v>
      </c>
      <c r="D146" s="41">
        <v>15262392</v>
      </c>
      <c r="E146" s="41" t="s">
        <v>665</v>
      </c>
      <c r="F146" s="42" t="s">
        <v>675</v>
      </c>
      <c r="G146" s="41" t="s">
        <v>675</v>
      </c>
      <c r="H146" s="41" t="s">
        <v>676</v>
      </c>
      <c r="I146" s="41" t="s">
        <v>677</v>
      </c>
      <c r="J146" s="41" t="s">
        <v>51</v>
      </c>
      <c r="K146" s="41" t="s">
        <v>52</v>
      </c>
      <c r="L146" s="43">
        <v>24265</v>
      </c>
      <c r="M146" s="41">
        <v>59</v>
      </c>
      <c r="N146" s="41" t="s">
        <v>678</v>
      </c>
      <c r="O146" s="43">
        <v>47394</v>
      </c>
      <c r="P146" s="41" t="s">
        <v>3</v>
      </c>
      <c r="Q146" s="41"/>
      <c r="R146" s="57">
        <v>45913</v>
      </c>
      <c r="S146" s="58">
        <v>45918</v>
      </c>
      <c r="T146" s="59">
        <f t="shared" si="2"/>
        <v>5</v>
      </c>
      <c r="U146" s="41">
        <v>1</v>
      </c>
      <c r="V146" s="41">
        <v>1</v>
      </c>
      <c r="W146" s="41">
        <v>0</v>
      </c>
      <c r="X146" s="41">
        <v>1</v>
      </c>
      <c r="Y146" s="41">
        <v>0</v>
      </c>
      <c r="Z146" s="41">
        <v>0</v>
      </c>
      <c r="AA146" s="41">
        <v>1</v>
      </c>
      <c r="AB146" s="41"/>
      <c r="AC146" s="43">
        <v>45912</v>
      </c>
      <c r="AD146" s="44">
        <v>0.18055555555474712</v>
      </c>
      <c r="AE146" s="41" t="s">
        <v>59</v>
      </c>
      <c r="AF146" s="43" t="s">
        <v>54</v>
      </c>
      <c r="AG146" s="44" t="s">
        <v>54</v>
      </c>
      <c r="AH146" s="41" t="s">
        <v>107</v>
      </c>
      <c r="AI146" s="41" t="s">
        <v>670</v>
      </c>
      <c r="AJ146" s="41" t="s">
        <v>54</v>
      </c>
      <c r="AK146" s="41"/>
      <c r="AL146" s="41" t="s">
        <v>164</v>
      </c>
      <c r="AM146" s="45" t="s">
        <v>55</v>
      </c>
      <c r="AN146" s="45" t="s">
        <v>387</v>
      </c>
      <c r="AO146" s="45"/>
      <c r="AP146" s="46"/>
    </row>
    <row r="147" spans="3:42" ht="14.25" customHeight="1" x14ac:dyDescent="0.2">
      <c r="C147" s="40" t="str">
        <f>IF($X147=1,COUNTIF($C$10:C146,"&gt;0")+1,"")</f>
        <v/>
      </c>
      <c r="D147" s="41"/>
      <c r="E147" s="41" t="s">
        <v>665</v>
      </c>
      <c r="F147" s="42" t="s">
        <v>679</v>
      </c>
      <c r="G147" s="41" t="s">
        <v>675</v>
      </c>
      <c r="H147" s="41" t="s">
        <v>680</v>
      </c>
      <c r="I147" s="41" t="s">
        <v>681</v>
      </c>
      <c r="J147" s="41" t="s">
        <v>56</v>
      </c>
      <c r="K147" s="41" t="s">
        <v>52</v>
      </c>
      <c r="L147" s="43">
        <v>26098</v>
      </c>
      <c r="M147" s="41">
        <v>54</v>
      </c>
      <c r="N147" s="41" t="s">
        <v>682</v>
      </c>
      <c r="O147" s="43">
        <v>48342</v>
      </c>
      <c r="P147" s="41" t="s">
        <v>3</v>
      </c>
      <c r="Q147" s="41"/>
      <c r="R147" s="57">
        <v>45913</v>
      </c>
      <c r="S147" s="58">
        <v>45918</v>
      </c>
      <c r="T147" s="59">
        <f t="shared" si="2"/>
        <v>5</v>
      </c>
      <c r="U147" s="41">
        <v>1</v>
      </c>
      <c r="V147" s="41">
        <v>1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/>
      <c r="AC147" s="43">
        <v>45911</v>
      </c>
      <c r="AD147" s="44">
        <v>0.625</v>
      </c>
      <c r="AE147" s="41" t="s">
        <v>57</v>
      </c>
      <c r="AF147" s="43">
        <v>45918</v>
      </c>
      <c r="AG147" s="44">
        <v>0.70138888889050577</v>
      </c>
      <c r="AH147" s="41" t="s">
        <v>60</v>
      </c>
      <c r="AI147" s="41" t="s">
        <v>670</v>
      </c>
      <c r="AJ147" s="41" t="s">
        <v>54</v>
      </c>
      <c r="AK147" s="41"/>
      <c r="AL147" s="41" t="s">
        <v>164</v>
      </c>
      <c r="AM147" s="45" t="s">
        <v>55</v>
      </c>
      <c r="AN147" s="45" t="s">
        <v>387</v>
      </c>
      <c r="AO147" s="45"/>
      <c r="AP147" s="46"/>
    </row>
    <row r="148" spans="3:42" ht="14.25" customHeight="1" x14ac:dyDescent="0.2">
      <c r="C148" s="40">
        <f>IF($X148=1,COUNTIF($C$10:C147,"&gt;0")+1,"")</f>
        <v>68</v>
      </c>
      <c r="D148" s="41">
        <v>15262393</v>
      </c>
      <c r="E148" s="41" t="s">
        <v>665</v>
      </c>
      <c r="F148" s="42" t="s">
        <v>683</v>
      </c>
      <c r="G148" s="41" t="s">
        <v>683</v>
      </c>
      <c r="H148" s="41" t="s">
        <v>684</v>
      </c>
      <c r="I148" s="41" t="s">
        <v>685</v>
      </c>
      <c r="J148" s="41" t="s">
        <v>51</v>
      </c>
      <c r="K148" s="41" t="s">
        <v>52</v>
      </c>
      <c r="L148" s="43">
        <v>34100</v>
      </c>
      <c r="M148" s="41">
        <v>32</v>
      </c>
      <c r="N148" s="41" t="s">
        <v>686</v>
      </c>
      <c r="O148" s="43">
        <v>47858</v>
      </c>
      <c r="P148" s="41" t="s">
        <v>2</v>
      </c>
      <c r="Q148" s="41"/>
      <c r="R148" s="57">
        <v>45913</v>
      </c>
      <c r="S148" s="58">
        <v>45918</v>
      </c>
      <c r="T148" s="59">
        <f t="shared" si="2"/>
        <v>5</v>
      </c>
      <c r="U148" s="41">
        <v>1</v>
      </c>
      <c r="V148" s="41">
        <v>1</v>
      </c>
      <c r="W148" s="41">
        <v>0</v>
      </c>
      <c r="X148" s="41">
        <v>1</v>
      </c>
      <c r="Y148" s="41">
        <v>0</v>
      </c>
      <c r="Z148" s="41">
        <v>1</v>
      </c>
      <c r="AA148" s="41">
        <v>0</v>
      </c>
      <c r="AB148" s="41"/>
      <c r="AC148" s="43">
        <v>45911</v>
      </c>
      <c r="AD148" s="44">
        <v>0.63888888889050577</v>
      </c>
      <c r="AE148" s="41" t="s">
        <v>58</v>
      </c>
      <c r="AF148" s="43">
        <v>45918</v>
      </c>
      <c r="AG148" s="44">
        <v>0.68402777778101154</v>
      </c>
      <c r="AH148" s="41" t="s">
        <v>75</v>
      </c>
      <c r="AI148" s="41" t="s">
        <v>670</v>
      </c>
      <c r="AJ148" s="41" t="s">
        <v>54</v>
      </c>
      <c r="AK148" s="41" t="s">
        <v>54</v>
      </c>
      <c r="AL148" s="41" t="s">
        <v>164</v>
      </c>
      <c r="AM148" s="45" t="s">
        <v>55</v>
      </c>
      <c r="AN148" s="45" t="s">
        <v>300</v>
      </c>
      <c r="AO148" s="45"/>
      <c r="AP148" s="46"/>
    </row>
    <row r="149" spans="3:42" ht="14.25" customHeight="1" x14ac:dyDescent="0.2">
      <c r="C149" s="40" t="str">
        <f>IF($X149=1,COUNTIF($C$10:C148,"&gt;0")+1,"")</f>
        <v/>
      </c>
      <c r="D149" s="41"/>
      <c r="E149" s="41" t="s">
        <v>665</v>
      </c>
      <c r="F149" s="42" t="s">
        <v>687</v>
      </c>
      <c r="G149" s="41" t="s">
        <v>683</v>
      </c>
      <c r="H149" s="41" t="s">
        <v>688</v>
      </c>
      <c r="I149" s="41" t="s">
        <v>689</v>
      </c>
      <c r="J149" s="41" t="s">
        <v>56</v>
      </c>
      <c r="K149" s="41" t="s">
        <v>52</v>
      </c>
      <c r="L149" s="43">
        <v>35997</v>
      </c>
      <c r="M149" s="41">
        <v>27</v>
      </c>
      <c r="N149" s="41" t="s">
        <v>690</v>
      </c>
      <c r="O149" s="43">
        <v>49111</v>
      </c>
      <c r="P149" s="41" t="s">
        <v>2</v>
      </c>
      <c r="Q149" s="41"/>
      <c r="R149" s="57">
        <v>45913</v>
      </c>
      <c r="S149" s="58">
        <v>45918</v>
      </c>
      <c r="T149" s="59">
        <f t="shared" si="2"/>
        <v>5</v>
      </c>
      <c r="U149" s="41">
        <v>1</v>
      </c>
      <c r="V149" s="41">
        <v>1</v>
      </c>
      <c r="W149" s="41">
        <v>0</v>
      </c>
      <c r="X149" s="41">
        <v>0</v>
      </c>
      <c r="Y149" s="41">
        <v>0</v>
      </c>
      <c r="Z149" s="41">
        <v>0</v>
      </c>
      <c r="AA149" s="41">
        <v>0</v>
      </c>
      <c r="AB149" s="41"/>
      <c r="AC149" s="43">
        <v>45911</v>
      </c>
      <c r="AD149" s="44">
        <v>0.63888888889050577</v>
      </c>
      <c r="AE149" s="41" t="s">
        <v>58</v>
      </c>
      <c r="AF149" s="43">
        <v>45918</v>
      </c>
      <c r="AG149" s="44">
        <v>0.68402777778101154</v>
      </c>
      <c r="AH149" s="41" t="s">
        <v>75</v>
      </c>
      <c r="AI149" s="41" t="s">
        <v>670</v>
      </c>
      <c r="AJ149" s="41" t="s">
        <v>54</v>
      </c>
      <c r="AK149" s="41" t="s">
        <v>54</v>
      </c>
      <c r="AL149" s="41" t="s">
        <v>164</v>
      </c>
      <c r="AM149" s="45" t="s">
        <v>55</v>
      </c>
      <c r="AN149" s="45" t="s">
        <v>300</v>
      </c>
      <c r="AO149" s="45"/>
      <c r="AP149" s="46"/>
    </row>
    <row r="150" spans="3:42" ht="14.25" customHeight="1" x14ac:dyDescent="0.2">
      <c r="C150" s="40">
        <f>IF($X150=1,COUNTIF($C$10:C149,"&gt;0")+1,"")</f>
        <v>69</v>
      </c>
      <c r="D150" s="41">
        <v>15262394</v>
      </c>
      <c r="E150" s="41" t="s">
        <v>665</v>
      </c>
      <c r="F150" s="42" t="s">
        <v>691</v>
      </c>
      <c r="G150" s="41" t="s">
        <v>691</v>
      </c>
      <c r="H150" s="41" t="s">
        <v>133</v>
      </c>
      <c r="I150" s="41" t="s">
        <v>681</v>
      </c>
      <c r="J150" s="41" t="s">
        <v>51</v>
      </c>
      <c r="K150" s="41" t="s">
        <v>52</v>
      </c>
      <c r="L150" s="43">
        <v>33486</v>
      </c>
      <c r="M150" s="41">
        <v>34</v>
      </c>
      <c r="N150" s="41" t="s">
        <v>692</v>
      </c>
      <c r="O150" s="43">
        <v>45897</v>
      </c>
      <c r="P150" s="41" t="s">
        <v>2</v>
      </c>
      <c r="Q150" s="41"/>
      <c r="R150" s="57">
        <v>45913</v>
      </c>
      <c r="S150" s="58">
        <v>45918</v>
      </c>
      <c r="T150" s="59">
        <f t="shared" si="2"/>
        <v>5</v>
      </c>
      <c r="U150" s="41">
        <v>1</v>
      </c>
      <c r="V150" s="41">
        <v>1</v>
      </c>
      <c r="W150" s="41">
        <v>0</v>
      </c>
      <c r="X150" s="41">
        <v>1</v>
      </c>
      <c r="Y150" s="41">
        <v>0</v>
      </c>
      <c r="Z150" s="41">
        <v>1</v>
      </c>
      <c r="AA150" s="41">
        <v>0</v>
      </c>
      <c r="AB150" s="41"/>
      <c r="AC150" s="43">
        <v>45911</v>
      </c>
      <c r="AD150" s="44">
        <v>0.625</v>
      </c>
      <c r="AE150" s="41" t="s">
        <v>57</v>
      </c>
      <c r="AF150" s="43">
        <v>45918</v>
      </c>
      <c r="AG150" s="44">
        <v>0.70138888889050577</v>
      </c>
      <c r="AH150" s="41" t="s">
        <v>60</v>
      </c>
      <c r="AI150" s="41" t="s">
        <v>670</v>
      </c>
      <c r="AJ150" s="41" t="s">
        <v>54</v>
      </c>
      <c r="AK150" s="41" t="s">
        <v>54</v>
      </c>
      <c r="AL150" s="41" t="s">
        <v>164</v>
      </c>
      <c r="AM150" s="45" t="s">
        <v>55</v>
      </c>
      <c r="AN150" s="45" t="s">
        <v>300</v>
      </c>
      <c r="AO150" s="45"/>
      <c r="AP150" s="46"/>
    </row>
    <row r="151" spans="3:42" ht="14.25" customHeight="1" x14ac:dyDescent="0.2">
      <c r="C151" s="40" t="str">
        <f>IF($X151=1,COUNTIF($C$10:C150,"&gt;0")+1,"")</f>
        <v/>
      </c>
      <c r="D151" s="41"/>
      <c r="E151" s="41" t="s">
        <v>665</v>
      </c>
      <c r="F151" s="42" t="s">
        <v>693</v>
      </c>
      <c r="G151" s="41" t="s">
        <v>691</v>
      </c>
      <c r="H151" s="41" t="s">
        <v>694</v>
      </c>
      <c r="I151" s="41" t="s">
        <v>695</v>
      </c>
      <c r="J151" s="41" t="s">
        <v>56</v>
      </c>
      <c r="K151" s="41" t="s">
        <v>52</v>
      </c>
      <c r="L151" s="43">
        <v>36425</v>
      </c>
      <c r="M151" s="41">
        <v>25</v>
      </c>
      <c r="N151" s="41" t="s">
        <v>696</v>
      </c>
      <c r="O151" s="43">
        <v>46085</v>
      </c>
      <c r="P151" s="41" t="s">
        <v>2</v>
      </c>
      <c r="Q151" s="41"/>
      <c r="R151" s="57">
        <v>45913</v>
      </c>
      <c r="S151" s="58">
        <v>45918</v>
      </c>
      <c r="T151" s="59">
        <f t="shared" si="2"/>
        <v>5</v>
      </c>
      <c r="U151" s="41">
        <v>1</v>
      </c>
      <c r="V151" s="41">
        <v>1</v>
      </c>
      <c r="W151" s="41">
        <v>0</v>
      </c>
      <c r="X151" s="41">
        <v>0</v>
      </c>
      <c r="Y151" s="41">
        <v>0</v>
      </c>
      <c r="Z151" s="41">
        <v>0</v>
      </c>
      <c r="AA151" s="41">
        <v>0</v>
      </c>
      <c r="AB151" s="41"/>
      <c r="AC151" s="43">
        <v>45911</v>
      </c>
      <c r="AD151" s="44">
        <v>0.625</v>
      </c>
      <c r="AE151" s="41" t="s">
        <v>57</v>
      </c>
      <c r="AF151" s="43">
        <v>45918</v>
      </c>
      <c r="AG151" s="44">
        <v>0.70138888889050577</v>
      </c>
      <c r="AH151" s="41" t="s">
        <v>60</v>
      </c>
      <c r="AI151" s="41" t="s">
        <v>670</v>
      </c>
      <c r="AJ151" s="41" t="s">
        <v>54</v>
      </c>
      <c r="AK151" s="41" t="s">
        <v>54</v>
      </c>
      <c r="AL151" s="41" t="s">
        <v>164</v>
      </c>
      <c r="AM151" s="45" t="s">
        <v>55</v>
      </c>
      <c r="AN151" s="45" t="s">
        <v>300</v>
      </c>
      <c r="AO151" s="45"/>
      <c r="AP151" s="46"/>
    </row>
    <row r="152" spans="3:42" ht="14.25" customHeight="1" x14ac:dyDescent="0.2">
      <c r="C152" s="40">
        <f>IF($X152=1,COUNTIF($C$10:C151,"&gt;0")+1,"")</f>
        <v>70</v>
      </c>
      <c r="D152" s="41">
        <v>15262395</v>
      </c>
      <c r="E152" s="41" t="s">
        <v>665</v>
      </c>
      <c r="F152" s="42" t="s">
        <v>697</v>
      </c>
      <c r="G152" s="41" t="s">
        <v>697</v>
      </c>
      <c r="H152" s="41" t="s">
        <v>698</v>
      </c>
      <c r="I152" s="41" t="s">
        <v>699</v>
      </c>
      <c r="J152" s="41" t="s">
        <v>56</v>
      </c>
      <c r="K152" s="41" t="s">
        <v>700</v>
      </c>
      <c r="L152" s="43">
        <v>26378</v>
      </c>
      <c r="M152" s="41">
        <v>53</v>
      </c>
      <c r="N152" s="41" t="s">
        <v>701</v>
      </c>
      <c r="O152" s="43">
        <v>48031</v>
      </c>
      <c r="P152" s="41" t="s">
        <v>3</v>
      </c>
      <c r="Q152" s="41"/>
      <c r="R152" s="57">
        <v>45913</v>
      </c>
      <c r="S152" s="58">
        <v>45918</v>
      </c>
      <c r="T152" s="59">
        <f t="shared" si="2"/>
        <v>5</v>
      </c>
      <c r="U152" s="41">
        <v>1</v>
      </c>
      <c r="V152" s="41">
        <v>1</v>
      </c>
      <c r="W152" s="41">
        <v>0</v>
      </c>
      <c r="X152" s="41">
        <v>1</v>
      </c>
      <c r="Y152" s="41">
        <v>0</v>
      </c>
      <c r="Z152" s="41">
        <v>0</v>
      </c>
      <c r="AA152" s="41">
        <v>1</v>
      </c>
      <c r="AB152" s="41"/>
      <c r="AC152" s="43">
        <v>45905</v>
      </c>
      <c r="AD152" s="44">
        <v>0.70138888889050577</v>
      </c>
      <c r="AE152" s="41" t="s">
        <v>149</v>
      </c>
      <c r="AF152" s="43">
        <v>45918</v>
      </c>
      <c r="AG152" s="44">
        <v>0.38888888889050577</v>
      </c>
      <c r="AH152" s="41" t="s">
        <v>702</v>
      </c>
      <c r="AI152" s="41" t="s">
        <v>670</v>
      </c>
      <c r="AJ152" s="41" t="s">
        <v>54</v>
      </c>
      <c r="AK152" s="41" t="s">
        <v>54</v>
      </c>
      <c r="AL152" s="41" t="s">
        <v>164</v>
      </c>
      <c r="AM152" s="45" t="s">
        <v>55</v>
      </c>
      <c r="AN152" s="45" t="s">
        <v>387</v>
      </c>
      <c r="AO152" s="45"/>
      <c r="AP152" s="46"/>
    </row>
    <row r="153" spans="3:42" ht="14.25" customHeight="1" x14ac:dyDescent="0.2">
      <c r="C153" s="40" t="str">
        <f>IF($X153=1,COUNTIF($C$10:C152,"&gt;0")+1,"")</f>
        <v/>
      </c>
      <c r="D153" s="41"/>
      <c r="E153" s="41" t="s">
        <v>665</v>
      </c>
      <c r="F153" s="42" t="s">
        <v>703</v>
      </c>
      <c r="G153" s="41" t="s">
        <v>697</v>
      </c>
      <c r="H153" s="41" t="s">
        <v>704</v>
      </c>
      <c r="I153" s="41" t="s">
        <v>705</v>
      </c>
      <c r="J153" s="41" t="s">
        <v>51</v>
      </c>
      <c r="K153" s="41" t="s">
        <v>52</v>
      </c>
      <c r="L153" s="43">
        <v>24738</v>
      </c>
      <c r="M153" s="41">
        <v>57</v>
      </c>
      <c r="N153" s="41" t="s">
        <v>706</v>
      </c>
      <c r="O153" s="43">
        <v>49143</v>
      </c>
      <c r="P153" s="41" t="s">
        <v>3</v>
      </c>
      <c r="Q153" s="41"/>
      <c r="R153" s="57">
        <v>45913</v>
      </c>
      <c r="S153" s="58">
        <v>45918</v>
      </c>
      <c r="T153" s="59">
        <f t="shared" si="2"/>
        <v>5</v>
      </c>
      <c r="U153" s="41">
        <v>1</v>
      </c>
      <c r="V153" s="41">
        <v>1</v>
      </c>
      <c r="W153" s="41">
        <v>0</v>
      </c>
      <c r="X153" s="41">
        <v>0</v>
      </c>
      <c r="Y153" s="41">
        <v>0</v>
      </c>
      <c r="Z153" s="41">
        <v>0</v>
      </c>
      <c r="AA153" s="41">
        <v>0</v>
      </c>
      <c r="AB153" s="41"/>
      <c r="AC153" s="43">
        <v>45905</v>
      </c>
      <c r="AD153" s="44">
        <v>0.70138888889050577</v>
      </c>
      <c r="AE153" s="41" t="s">
        <v>149</v>
      </c>
      <c r="AF153" s="43">
        <v>45918</v>
      </c>
      <c r="AG153" s="44">
        <v>0.38888888889050577</v>
      </c>
      <c r="AH153" s="41" t="s">
        <v>702</v>
      </c>
      <c r="AI153" s="41" t="s">
        <v>670</v>
      </c>
      <c r="AJ153" s="41" t="s">
        <v>54</v>
      </c>
      <c r="AK153" s="41" t="s">
        <v>54</v>
      </c>
      <c r="AL153" s="41" t="s">
        <v>164</v>
      </c>
      <c r="AM153" s="45" t="s">
        <v>55</v>
      </c>
      <c r="AN153" s="45" t="s">
        <v>387</v>
      </c>
      <c r="AO153" s="45"/>
      <c r="AP153" s="46"/>
    </row>
    <row r="154" spans="3:42" ht="14.25" customHeight="1" x14ac:dyDescent="0.2">
      <c r="C154" s="40">
        <f>IF($X154=1,COUNTIF($C$10:C153,"&gt;0")+1,"")</f>
        <v>71</v>
      </c>
      <c r="D154" s="41">
        <v>15262396</v>
      </c>
      <c r="E154" s="41" t="s">
        <v>665</v>
      </c>
      <c r="F154" s="42" t="s">
        <v>707</v>
      </c>
      <c r="G154" s="41" t="s">
        <v>707</v>
      </c>
      <c r="H154" s="41" t="s">
        <v>708</v>
      </c>
      <c r="I154" s="41" t="s">
        <v>123</v>
      </c>
      <c r="J154" s="41" t="s">
        <v>56</v>
      </c>
      <c r="K154" s="41" t="s">
        <v>52</v>
      </c>
      <c r="L154" s="43">
        <v>22926</v>
      </c>
      <c r="M154" s="41">
        <v>62</v>
      </c>
      <c r="N154" s="41" t="s">
        <v>709</v>
      </c>
      <c r="O154" s="43">
        <v>48134</v>
      </c>
      <c r="P154" s="41" t="s">
        <v>3</v>
      </c>
      <c r="Q154" s="41"/>
      <c r="R154" s="57">
        <v>45913</v>
      </c>
      <c r="S154" s="58">
        <v>45918</v>
      </c>
      <c r="T154" s="59">
        <f t="shared" si="2"/>
        <v>5</v>
      </c>
      <c r="U154" s="41">
        <v>1</v>
      </c>
      <c r="V154" s="41">
        <v>1</v>
      </c>
      <c r="W154" s="41">
        <v>0</v>
      </c>
      <c r="X154" s="41">
        <v>1</v>
      </c>
      <c r="Y154" s="41">
        <v>0</v>
      </c>
      <c r="Z154" s="41">
        <v>0</v>
      </c>
      <c r="AA154" s="41">
        <v>1</v>
      </c>
      <c r="AB154" s="41"/>
      <c r="AC154" s="43">
        <v>45910</v>
      </c>
      <c r="AD154" s="44">
        <v>0.20138888889050577</v>
      </c>
      <c r="AE154" s="41" t="s">
        <v>710</v>
      </c>
      <c r="AF154" s="43">
        <v>45924</v>
      </c>
      <c r="AG154" s="44">
        <v>0.92013888889050577</v>
      </c>
      <c r="AH154" s="41" t="s">
        <v>131</v>
      </c>
      <c r="AI154" s="41" t="s">
        <v>670</v>
      </c>
      <c r="AJ154" s="41" t="s">
        <v>54</v>
      </c>
      <c r="AK154" s="41" t="s">
        <v>54</v>
      </c>
      <c r="AL154" s="41" t="s">
        <v>164</v>
      </c>
      <c r="AM154" s="45" t="s">
        <v>55</v>
      </c>
      <c r="AN154" s="45" t="s">
        <v>387</v>
      </c>
      <c r="AO154" s="45"/>
      <c r="AP154" s="46"/>
    </row>
    <row r="155" spans="3:42" ht="14.25" customHeight="1" x14ac:dyDescent="0.2">
      <c r="C155" s="40" t="str">
        <f>IF($X155=1,COUNTIF($C$10:C154,"&gt;0")+1,"")</f>
        <v/>
      </c>
      <c r="D155" s="41"/>
      <c r="E155" s="41" t="s">
        <v>665</v>
      </c>
      <c r="F155" s="42" t="s">
        <v>711</v>
      </c>
      <c r="G155" s="41" t="s">
        <v>707</v>
      </c>
      <c r="H155" s="41" t="s">
        <v>712</v>
      </c>
      <c r="I155" s="41" t="s">
        <v>142</v>
      </c>
      <c r="J155" s="41" t="s">
        <v>56</v>
      </c>
      <c r="K155" s="41" t="s">
        <v>52</v>
      </c>
      <c r="L155" s="43">
        <v>27943</v>
      </c>
      <c r="M155" s="41">
        <v>49</v>
      </c>
      <c r="N155" s="41" t="s">
        <v>713</v>
      </c>
      <c r="O155" s="43">
        <v>49141</v>
      </c>
      <c r="P155" s="41" t="s">
        <v>3</v>
      </c>
      <c r="Q155" s="41"/>
      <c r="R155" s="57">
        <v>45913</v>
      </c>
      <c r="S155" s="58">
        <v>45918</v>
      </c>
      <c r="T155" s="59">
        <f t="shared" si="2"/>
        <v>5</v>
      </c>
      <c r="U155" s="41">
        <v>1</v>
      </c>
      <c r="V155" s="41">
        <v>1</v>
      </c>
      <c r="W155" s="41">
        <v>0</v>
      </c>
      <c r="X155" s="41">
        <v>0</v>
      </c>
      <c r="Y155" s="41">
        <v>0</v>
      </c>
      <c r="Z155" s="41">
        <v>0</v>
      </c>
      <c r="AA155" s="41">
        <v>0</v>
      </c>
      <c r="AB155" s="41"/>
      <c r="AC155" s="43">
        <v>45908</v>
      </c>
      <c r="AD155" s="44">
        <v>0.70138888889050577</v>
      </c>
      <c r="AE155" s="41" t="s">
        <v>149</v>
      </c>
      <c r="AF155" s="43">
        <v>45924</v>
      </c>
      <c r="AG155" s="44">
        <v>0.38888888889050577</v>
      </c>
      <c r="AH155" s="41" t="s">
        <v>702</v>
      </c>
      <c r="AI155" s="41" t="s">
        <v>670</v>
      </c>
      <c r="AJ155" s="41" t="s">
        <v>54</v>
      </c>
      <c r="AK155" s="41" t="s">
        <v>54</v>
      </c>
      <c r="AL155" s="41" t="s">
        <v>164</v>
      </c>
      <c r="AM155" s="45" t="s">
        <v>55</v>
      </c>
      <c r="AN155" s="45" t="s">
        <v>387</v>
      </c>
      <c r="AO155" s="45"/>
      <c r="AP155" s="46"/>
    </row>
    <row r="156" spans="3:42" ht="14.25" customHeight="1" x14ac:dyDescent="0.2">
      <c r="C156" s="40">
        <f>IF($X156=1,COUNTIF($C$10:C155,"&gt;0")+1,"")</f>
        <v>72</v>
      </c>
      <c r="D156" s="41">
        <v>15262397</v>
      </c>
      <c r="E156" s="41" t="s">
        <v>665</v>
      </c>
      <c r="F156" s="42" t="s">
        <v>714</v>
      </c>
      <c r="G156" s="41" t="s">
        <v>714</v>
      </c>
      <c r="H156" s="41" t="s">
        <v>715</v>
      </c>
      <c r="I156" s="41" t="s">
        <v>307</v>
      </c>
      <c r="J156" s="41" t="s">
        <v>56</v>
      </c>
      <c r="K156" s="41" t="s">
        <v>52</v>
      </c>
      <c r="L156" s="43">
        <v>23519</v>
      </c>
      <c r="M156" s="41">
        <v>61</v>
      </c>
      <c r="N156" s="41" t="s">
        <v>716</v>
      </c>
      <c r="O156" s="43">
        <v>48549</v>
      </c>
      <c r="P156" s="41" t="s">
        <v>2</v>
      </c>
      <c r="Q156" s="41"/>
      <c r="R156" s="57">
        <v>45913</v>
      </c>
      <c r="S156" s="58">
        <v>45918</v>
      </c>
      <c r="T156" s="59">
        <f t="shared" si="2"/>
        <v>5</v>
      </c>
      <c r="U156" s="41">
        <v>1</v>
      </c>
      <c r="V156" s="41">
        <v>1</v>
      </c>
      <c r="W156" s="41">
        <v>0</v>
      </c>
      <c r="X156" s="41">
        <v>1</v>
      </c>
      <c r="Y156" s="41">
        <v>0</v>
      </c>
      <c r="Z156" s="41">
        <v>1</v>
      </c>
      <c r="AA156" s="41">
        <v>0</v>
      </c>
      <c r="AB156" s="41"/>
      <c r="AC156" s="43">
        <v>45903</v>
      </c>
      <c r="AD156" s="44">
        <v>0.70138888889050577</v>
      </c>
      <c r="AE156" s="41" t="s">
        <v>717</v>
      </c>
      <c r="AF156" s="43">
        <v>45918</v>
      </c>
      <c r="AG156" s="44">
        <v>0.87847222221898846</v>
      </c>
      <c r="AH156" s="41" t="s">
        <v>718</v>
      </c>
      <c r="AI156" s="41" t="s">
        <v>670</v>
      </c>
      <c r="AJ156" s="41" t="s">
        <v>54</v>
      </c>
      <c r="AK156" s="41" t="s">
        <v>54</v>
      </c>
      <c r="AL156" s="41" t="s">
        <v>164</v>
      </c>
      <c r="AM156" s="45" t="s">
        <v>55</v>
      </c>
      <c r="AN156" s="45" t="s">
        <v>300</v>
      </c>
      <c r="AO156" s="45"/>
      <c r="AP156" s="46"/>
    </row>
    <row r="157" spans="3:42" ht="14.25" customHeight="1" x14ac:dyDescent="0.2">
      <c r="C157" s="40" t="str">
        <f>IF($X157=1,COUNTIF($C$10:C156,"&gt;0")+1,"")</f>
        <v/>
      </c>
      <c r="D157" s="41"/>
      <c r="E157" s="41" t="s">
        <v>665</v>
      </c>
      <c r="F157" s="42" t="s">
        <v>719</v>
      </c>
      <c r="G157" s="41" t="s">
        <v>714</v>
      </c>
      <c r="H157" s="41" t="s">
        <v>720</v>
      </c>
      <c r="I157" s="41" t="s">
        <v>307</v>
      </c>
      <c r="J157" s="41" t="s">
        <v>51</v>
      </c>
      <c r="K157" s="41" t="s">
        <v>52</v>
      </c>
      <c r="L157" s="43">
        <v>22296</v>
      </c>
      <c r="M157" s="41">
        <v>64</v>
      </c>
      <c r="N157" s="41" t="s">
        <v>721</v>
      </c>
      <c r="O157" s="43">
        <v>48549</v>
      </c>
      <c r="P157" s="41" t="s">
        <v>2</v>
      </c>
      <c r="Q157" s="41"/>
      <c r="R157" s="57">
        <v>45913</v>
      </c>
      <c r="S157" s="58">
        <v>45918</v>
      </c>
      <c r="T157" s="59">
        <f t="shared" si="2"/>
        <v>5</v>
      </c>
      <c r="U157" s="41">
        <v>1</v>
      </c>
      <c r="V157" s="41">
        <v>1</v>
      </c>
      <c r="W157" s="41">
        <v>0</v>
      </c>
      <c r="X157" s="41">
        <v>0</v>
      </c>
      <c r="Y157" s="41">
        <v>0</v>
      </c>
      <c r="Z157" s="41">
        <v>0</v>
      </c>
      <c r="AA157" s="41">
        <v>0</v>
      </c>
      <c r="AB157" s="41"/>
      <c r="AC157" s="43">
        <v>45903</v>
      </c>
      <c r="AD157" s="44">
        <v>0.70138888889050577</v>
      </c>
      <c r="AE157" s="41" t="s">
        <v>717</v>
      </c>
      <c r="AF157" s="43">
        <v>45918</v>
      </c>
      <c r="AG157" s="44">
        <v>0.87847222221898846</v>
      </c>
      <c r="AH157" s="41" t="s">
        <v>718</v>
      </c>
      <c r="AI157" s="41" t="s">
        <v>670</v>
      </c>
      <c r="AJ157" s="41" t="s">
        <v>54</v>
      </c>
      <c r="AK157" s="41" t="s">
        <v>54</v>
      </c>
      <c r="AL157" s="41" t="s">
        <v>164</v>
      </c>
      <c r="AM157" s="45" t="s">
        <v>55</v>
      </c>
      <c r="AN157" s="45" t="s">
        <v>300</v>
      </c>
      <c r="AO157" s="45"/>
      <c r="AP157" s="46"/>
    </row>
    <row r="158" spans="3:42" ht="14.25" customHeight="1" x14ac:dyDescent="0.2">
      <c r="C158" s="40">
        <f>IF($X158=1,COUNTIF($C$10:C157,"&gt;0")+1,"")</f>
        <v>73</v>
      </c>
      <c r="D158" s="41">
        <v>15262398</v>
      </c>
      <c r="E158" s="41" t="s">
        <v>665</v>
      </c>
      <c r="F158" s="42" t="s">
        <v>722</v>
      </c>
      <c r="G158" s="41" t="s">
        <v>722</v>
      </c>
      <c r="H158" s="41" t="s">
        <v>723</v>
      </c>
      <c r="I158" s="41" t="s">
        <v>307</v>
      </c>
      <c r="J158" s="41" t="s">
        <v>56</v>
      </c>
      <c r="K158" s="41" t="s">
        <v>52</v>
      </c>
      <c r="L158" s="43">
        <v>27099</v>
      </c>
      <c r="M158" s="41">
        <v>51</v>
      </c>
      <c r="N158" s="41" t="s">
        <v>724</v>
      </c>
      <c r="O158" s="43">
        <v>49097</v>
      </c>
      <c r="P158" s="41" t="s">
        <v>3</v>
      </c>
      <c r="Q158" s="41"/>
      <c r="R158" s="57">
        <v>45913</v>
      </c>
      <c r="S158" s="58">
        <v>45918</v>
      </c>
      <c r="T158" s="59">
        <f t="shared" si="2"/>
        <v>5</v>
      </c>
      <c r="U158" s="41">
        <v>1</v>
      </c>
      <c r="V158" s="41">
        <v>1</v>
      </c>
      <c r="W158" s="41">
        <v>0</v>
      </c>
      <c r="X158" s="41">
        <v>1</v>
      </c>
      <c r="Y158" s="41">
        <v>0</v>
      </c>
      <c r="Z158" s="41">
        <v>0</v>
      </c>
      <c r="AA158" s="41">
        <v>1</v>
      </c>
      <c r="AB158" s="41"/>
      <c r="AC158" s="43">
        <v>45909</v>
      </c>
      <c r="AD158" s="44">
        <v>0.62152777778101154</v>
      </c>
      <c r="AE158" s="41" t="s">
        <v>73</v>
      </c>
      <c r="AF158" s="43">
        <v>45928</v>
      </c>
      <c r="AG158" s="44">
        <v>0.52777777778101154</v>
      </c>
      <c r="AH158" s="41" t="s">
        <v>101</v>
      </c>
      <c r="AI158" s="41" t="s">
        <v>670</v>
      </c>
      <c r="AJ158" s="41" t="s">
        <v>54</v>
      </c>
      <c r="AK158" s="41" t="s">
        <v>54</v>
      </c>
      <c r="AL158" s="41" t="s">
        <v>164</v>
      </c>
      <c r="AM158" s="45" t="s">
        <v>55</v>
      </c>
      <c r="AN158" s="45" t="s">
        <v>387</v>
      </c>
      <c r="AO158" s="45"/>
      <c r="AP158" s="46"/>
    </row>
    <row r="159" spans="3:42" ht="14.25" customHeight="1" x14ac:dyDescent="0.2">
      <c r="C159" s="40" t="str">
        <f>IF($X159=1,COUNTIF($C$10:C158,"&gt;0")+1,"")</f>
        <v/>
      </c>
      <c r="D159" s="41"/>
      <c r="E159" s="41" t="s">
        <v>665</v>
      </c>
      <c r="F159" s="42" t="s">
        <v>725</v>
      </c>
      <c r="G159" s="41" t="s">
        <v>722</v>
      </c>
      <c r="H159" s="41" t="s">
        <v>726</v>
      </c>
      <c r="I159" s="41" t="s">
        <v>727</v>
      </c>
      <c r="J159" s="41" t="s">
        <v>56</v>
      </c>
      <c r="K159" s="41" t="s">
        <v>52</v>
      </c>
      <c r="L159" s="43">
        <v>26093</v>
      </c>
      <c r="M159" s="41">
        <v>54</v>
      </c>
      <c r="N159" s="41" t="s">
        <v>728</v>
      </c>
      <c r="O159" s="43">
        <v>47478</v>
      </c>
      <c r="P159" s="41" t="s">
        <v>3</v>
      </c>
      <c r="Q159" s="41"/>
      <c r="R159" s="57">
        <v>45913</v>
      </c>
      <c r="S159" s="58">
        <v>45918</v>
      </c>
      <c r="T159" s="59">
        <f t="shared" si="2"/>
        <v>5</v>
      </c>
      <c r="U159" s="41">
        <v>1</v>
      </c>
      <c r="V159" s="41">
        <v>1</v>
      </c>
      <c r="W159" s="41">
        <v>0</v>
      </c>
      <c r="X159" s="41">
        <v>0</v>
      </c>
      <c r="Y159" s="41">
        <v>0</v>
      </c>
      <c r="Z159" s="41">
        <v>0</v>
      </c>
      <c r="AA159" s="41">
        <v>0</v>
      </c>
      <c r="AB159" s="41"/>
      <c r="AC159" s="43">
        <v>45913</v>
      </c>
      <c r="AD159" s="44">
        <v>0.62152777778101154</v>
      </c>
      <c r="AE159" s="41" t="s">
        <v>73</v>
      </c>
      <c r="AF159" s="43">
        <v>45921</v>
      </c>
      <c r="AG159" s="44">
        <v>0.52777777778101154</v>
      </c>
      <c r="AH159" s="41" t="s">
        <v>101</v>
      </c>
      <c r="AI159" s="41" t="s">
        <v>670</v>
      </c>
      <c r="AJ159" s="41" t="s">
        <v>54</v>
      </c>
      <c r="AK159" s="41" t="s">
        <v>54</v>
      </c>
      <c r="AL159" s="41" t="s">
        <v>164</v>
      </c>
      <c r="AM159" s="45" t="s">
        <v>55</v>
      </c>
      <c r="AN159" s="45" t="s">
        <v>387</v>
      </c>
      <c r="AO159" s="45"/>
      <c r="AP159" s="46"/>
    </row>
    <row r="160" spans="3:42" ht="14.25" customHeight="1" x14ac:dyDescent="0.2">
      <c r="C160" s="40">
        <f>IF($X160=1,COUNTIF($C$10:C159,"&gt;0")+1,"")</f>
        <v>74</v>
      </c>
      <c r="D160" s="41">
        <v>15262399</v>
      </c>
      <c r="E160" s="41" t="s">
        <v>665</v>
      </c>
      <c r="F160" s="42" t="s">
        <v>729</v>
      </c>
      <c r="G160" s="41" t="s">
        <v>729</v>
      </c>
      <c r="H160" s="41" t="s">
        <v>730</v>
      </c>
      <c r="I160" s="41" t="s">
        <v>731</v>
      </c>
      <c r="J160" s="41" t="s">
        <v>56</v>
      </c>
      <c r="K160" s="41" t="s">
        <v>52</v>
      </c>
      <c r="L160" s="43">
        <v>36102</v>
      </c>
      <c r="M160" s="41">
        <v>26</v>
      </c>
      <c r="N160" s="41" t="s">
        <v>732</v>
      </c>
      <c r="O160" s="43">
        <v>49175</v>
      </c>
      <c r="P160" s="41" t="s">
        <v>2</v>
      </c>
      <c r="Q160" s="41"/>
      <c r="R160" s="57">
        <v>45913</v>
      </c>
      <c r="S160" s="58">
        <v>45918</v>
      </c>
      <c r="T160" s="59">
        <f t="shared" si="2"/>
        <v>5</v>
      </c>
      <c r="U160" s="41">
        <v>1</v>
      </c>
      <c r="V160" s="41">
        <v>1</v>
      </c>
      <c r="W160" s="41">
        <v>0</v>
      </c>
      <c r="X160" s="41">
        <v>1</v>
      </c>
      <c r="Y160" s="41">
        <v>0</v>
      </c>
      <c r="Z160" s="41">
        <v>1</v>
      </c>
      <c r="AA160" s="41">
        <v>0</v>
      </c>
      <c r="AB160" s="41"/>
      <c r="AC160" s="43">
        <v>45913</v>
      </c>
      <c r="AD160" s="44">
        <v>0.58680555555474712</v>
      </c>
      <c r="AE160" s="41" t="s">
        <v>53</v>
      </c>
      <c r="AF160" s="43">
        <v>45918</v>
      </c>
      <c r="AG160" s="44">
        <v>0.83680555555474712</v>
      </c>
      <c r="AH160" s="41" t="s">
        <v>103</v>
      </c>
      <c r="AI160" s="41" t="s">
        <v>670</v>
      </c>
      <c r="AJ160" s="41" t="s">
        <v>54</v>
      </c>
      <c r="AK160" s="41" t="s">
        <v>54</v>
      </c>
      <c r="AL160" s="41" t="s">
        <v>164</v>
      </c>
      <c r="AM160" s="45" t="s">
        <v>55</v>
      </c>
      <c r="AN160" s="45" t="s">
        <v>300</v>
      </c>
      <c r="AO160" s="45"/>
      <c r="AP160" s="46"/>
    </row>
    <row r="161" spans="3:42" ht="14.25" customHeight="1" x14ac:dyDescent="0.2">
      <c r="C161" s="40" t="str">
        <f>IF($X161=1,COUNTIF($C$10:C160,"&gt;0")+1,"")</f>
        <v/>
      </c>
      <c r="D161" s="41"/>
      <c r="E161" s="41" t="s">
        <v>665</v>
      </c>
      <c r="F161" s="42" t="s">
        <v>733</v>
      </c>
      <c r="G161" s="41" t="s">
        <v>729</v>
      </c>
      <c r="H161" s="41" t="s">
        <v>734</v>
      </c>
      <c r="I161" s="41" t="s">
        <v>731</v>
      </c>
      <c r="J161" s="41" t="s">
        <v>51</v>
      </c>
      <c r="K161" s="41" t="s">
        <v>52</v>
      </c>
      <c r="L161" s="43">
        <v>35858</v>
      </c>
      <c r="M161" s="41">
        <v>27</v>
      </c>
      <c r="N161" s="41" t="s">
        <v>735</v>
      </c>
      <c r="O161" s="43">
        <v>46502</v>
      </c>
      <c r="P161" s="41" t="s">
        <v>2</v>
      </c>
      <c r="Q161" s="41"/>
      <c r="R161" s="57">
        <v>45913</v>
      </c>
      <c r="S161" s="58">
        <v>45918</v>
      </c>
      <c r="T161" s="59">
        <f t="shared" si="2"/>
        <v>5</v>
      </c>
      <c r="U161" s="41">
        <v>1</v>
      </c>
      <c r="V161" s="41">
        <v>1</v>
      </c>
      <c r="W161" s="41">
        <v>0</v>
      </c>
      <c r="X161" s="41">
        <v>0</v>
      </c>
      <c r="Y161" s="41">
        <v>0</v>
      </c>
      <c r="Z161" s="41">
        <v>0</v>
      </c>
      <c r="AA161" s="41">
        <v>0</v>
      </c>
      <c r="AB161" s="41"/>
      <c r="AC161" s="43">
        <v>45913</v>
      </c>
      <c r="AD161" s="44">
        <v>0.58680555555474712</v>
      </c>
      <c r="AE161" s="41" t="s">
        <v>53</v>
      </c>
      <c r="AF161" s="43">
        <v>45918</v>
      </c>
      <c r="AG161" s="44">
        <v>0.83680555555474712</v>
      </c>
      <c r="AH161" s="41" t="s">
        <v>103</v>
      </c>
      <c r="AI161" s="41" t="s">
        <v>670</v>
      </c>
      <c r="AJ161" s="41" t="s">
        <v>54</v>
      </c>
      <c r="AK161" s="41" t="s">
        <v>54</v>
      </c>
      <c r="AL161" s="41" t="s">
        <v>164</v>
      </c>
      <c r="AM161" s="45" t="s">
        <v>55</v>
      </c>
      <c r="AN161" s="45" t="s">
        <v>300</v>
      </c>
      <c r="AO161" s="45"/>
      <c r="AP161" s="46"/>
    </row>
    <row r="162" spans="3:42" ht="14.25" customHeight="1" x14ac:dyDescent="0.2">
      <c r="C162" s="40">
        <f>IF($X162=1,COUNTIF($C$10:C161,"&gt;0")+1,"")</f>
        <v>75</v>
      </c>
      <c r="D162" s="41">
        <v>15262400</v>
      </c>
      <c r="E162" s="41" t="s">
        <v>665</v>
      </c>
      <c r="F162" s="42" t="s">
        <v>736</v>
      </c>
      <c r="G162" s="41" t="s">
        <v>729</v>
      </c>
      <c r="H162" s="41" t="s">
        <v>737</v>
      </c>
      <c r="I162" s="41" t="s">
        <v>738</v>
      </c>
      <c r="J162" s="41" t="s">
        <v>56</v>
      </c>
      <c r="K162" s="41" t="s">
        <v>52</v>
      </c>
      <c r="L162" s="43">
        <v>30261</v>
      </c>
      <c r="M162" s="41">
        <v>42</v>
      </c>
      <c r="N162" s="41" t="s">
        <v>739</v>
      </c>
      <c r="O162" s="43">
        <v>46151</v>
      </c>
      <c r="P162" s="41" t="s">
        <v>3</v>
      </c>
      <c r="Q162" s="41"/>
      <c r="R162" s="57">
        <v>45913</v>
      </c>
      <c r="S162" s="58">
        <v>45918</v>
      </c>
      <c r="T162" s="59">
        <f t="shared" si="2"/>
        <v>5</v>
      </c>
      <c r="U162" s="41">
        <v>1</v>
      </c>
      <c r="V162" s="41">
        <v>1</v>
      </c>
      <c r="W162" s="41">
        <v>0</v>
      </c>
      <c r="X162" s="41">
        <v>1</v>
      </c>
      <c r="Y162" s="41">
        <v>0</v>
      </c>
      <c r="Z162" s="41">
        <v>0</v>
      </c>
      <c r="AA162" s="41">
        <v>1</v>
      </c>
      <c r="AB162" s="41"/>
      <c r="AC162" s="43">
        <v>45913</v>
      </c>
      <c r="AD162" s="44">
        <v>0.58680555555474712</v>
      </c>
      <c r="AE162" s="41" t="s">
        <v>53</v>
      </c>
      <c r="AF162" s="43">
        <v>45918</v>
      </c>
      <c r="AG162" s="44">
        <v>0.83680555555474712</v>
      </c>
      <c r="AH162" s="41" t="s">
        <v>103</v>
      </c>
      <c r="AI162" s="41" t="s">
        <v>670</v>
      </c>
      <c r="AJ162" s="41" t="s">
        <v>54</v>
      </c>
      <c r="AK162" s="41" t="s">
        <v>54</v>
      </c>
      <c r="AL162" s="41" t="s">
        <v>164</v>
      </c>
      <c r="AM162" s="45" t="s">
        <v>55</v>
      </c>
      <c r="AN162" s="45" t="s">
        <v>387</v>
      </c>
      <c r="AO162" s="45"/>
      <c r="AP162" s="46"/>
    </row>
    <row r="163" spans="3:42" ht="14.25" customHeight="1" x14ac:dyDescent="0.2">
      <c r="C163" s="40" t="str">
        <f>IF($X163=1,COUNTIF($C$10:C162,"&gt;0")+1,"")</f>
        <v/>
      </c>
      <c r="D163" s="41"/>
      <c r="E163" s="41" t="s">
        <v>665</v>
      </c>
      <c r="F163" s="42" t="s">
        <v>740</v>
      </c>
      <c r="G163" s="41" t="s">
        <v>729</v>
      </c>
      <c r="H163" s="41" t="s">
        <v>741</v>
      </c>
      <c r="I163" s="41" t="s">
        <v>742</v>
      </c>
      <c r="J163" s="41" t="s">
        <v>56</v>
      </c>
      <c r="K163" s="41" t="s">
        <v>52</v>
      </c>
      <c r="L163" s="43">
        <v>22743</v>
      </c>
      <c r="M163" s="41">
        <v>63</v>
      </c>
      <c r="N163" s="41" t="s">
        <v>743</v>
      </c>
      <c r="O163" s="43">
        <v>48918</v>
      </c>
      <c r="P163" s="41" t="s">
        <v>3</v>
      </c>
      <c r="Q163" s="41"/>
      <c r="R163" s="57">
        <v>45913</v>
      </c>
      <c r="S163" s="58">
        <v>45918</v>
      </c>
      <c r="T163" s="59">
        <f t="shared" si="2"/>
        <v>5</v>
      </c>
      <c r="U163" s="41">
        <v>1</v>
      </c>
      <c r="V163" s="41">
        <v>1</v>
      </c>
      <c r="W163" s="41">
        <v>0</v>
      </c>
      <c r="X163" s="41">
        <v>0</v>
      </c>
      <c r="Y163" s="41">
        <v>0</v>
      </c>
      <c r="Z163" s="41">
        <v>0</v>
      </c>
      <c r="AA163" s="41">
        <v>0</v>
      </c>
      <c r="AB163" s="41"/>
      <c r="AC163" s="43">
        <v>45913</v>
      </c>
      <c r="AD163" s="44">
        <v>0.58680555555474712</v>
      </c>
      <c r="AE163" s="41" t="s">
        <v>53</v>
      </c>
      <c r="AF163" s="43">
        <v>45918</v>
      </c>
      <c r="AG163" s="44">
        <v>0.83680555555474712</v>
      </c>
      <c r="AH163" s="41" t="s">
        <v>103</v>
      </c>
      <c r="AI163" s="41" t="s">
        <v>670</v>
      </c>
      <c r="AJ163" s="41" t="s">
        <v>54</v>
      </c>
      <c r="AK163" s="41" t="s">
        <v>54</v>
      </c>
      <c r="AL163" s="41" t="s">
        <v>164</v>
      </c>
      <c r="AM163" s="45" t="s">
        <v>55</v>
      </c>
      <c r="AN163" s="45" t="s">
        <v>387</v>
      </c>
      <c r="AO163" s="45"/>
      <c r="AP163" s="46"/>
    </row>
    <row r="164" spans="3:42" ht="14.25" customHeight="1" x14ac:dyDescent="0.2">
      <c r="C164" s="40">
        <f>IF($X164=1,COUNTIF($C$10:C163,"&gt;0")+1,"")</f>
        <v>76</v>
      </c>
      <c r="D164" s="41">
        <v>15262401</v>
      </c>
      <c r="E164" s="41" t="s">
        <v>665</v>
      </c>
      <c r="F164" s="42" t="s">
        <v>744</v>
      </c>
      <c r="G164" s="41" t="s">
        <v>744</v>
      </c>
      <c r="H164" s="41" t="s">
        <v>745</v>
      </c>
      <c r="I164" s="41" t="s">
        <v>80</v>
      </c>
      <c r="J164" s="41" t="s">
        <v>56</v>
      </c>
      <c r="K164" s="41" t="s">
        <v>52</v>
      </c>
      <c r="L164" s="43">
        <v>26381</v>
      </c>
      <c r="M164" s="41">
        <v>53</v>
      </c>
      <c r="N164" s="41" t="s">
        <v>746</v>
      </c>
      <c r="O164" s="43">
        <v>47282</v>
      </c>
      <c r="P164" s="41" t="s">
        <v>2</v>
      </c>
      <c r="Q164" s="41"/>
      <c r="R164" s="57">
        <v>45913</v>
      </c>
      <c r="S164" s="58">
        <v>45918</v>
      </c>
      <c r="T164" s="59">
        <f t="shared" si="2"/>
        <v>5</v>
      </c>
      <c r="U164" s="41">
        <v>1</v>
      </c>
      <c r="V164" s="41">
        <v>1</v>
      </c>
      <c r="W164" s="41">
        <v>0</v>
      </c>
      <c r="X164" s="41">
        <v>1</v>
      </c>
      <c r="Y164" s="41">
        <v>0</v>
      </c>
      <c r="Z164" s="41">
        <v>1</v>
      </c>
      <c r="AA164" s="41">
        <v>0</v>
      </c>
      <c r="AB164" s="41"/>
      <c r="AC164" s="43">
        <v>45913</v>
      </c>
      <c r="AD164" s="44">
        <v>0.67708333333575865</v>
      </c>
      <c r="AE164" s="41" t="s">
        <v>309</v>
      </c>
      <c r="AF164" s="43">
        <v>45918</v>
      </c>
      <c r="AG164" s="44">
        <v>0.44444444444525288</v>
      </c>
      <c r="AH164" s="41" t="s">
        <v>747</v>
      </c>
      <c r="AI164" s="41" t="s">
        <v>670</v>
      </c>
      <c r="AJ164" s="41" t="s">
        <v>54</v>
      </c>
      <c r="AK164" s="41" t="s">
        <v>54</v>
      </c>
      <c r="AL164" s="41" t="s">
        <v>164</v>
      </c>
      <c r="AM164" s="45" t="s">
        <v>55</v>
      </c>
      <c r="AN164" s="45" t="s">
        <v>300</v>
      </c>
      <c r="AO164" s="45"/>
      <c r="AP164" s="46"/>
    </row>
    <row r="165" spans="3:42" ht="14.25" customHeight="1" x14ac:dyDescent="0.2">
      <c r="C165" s="40" t="str">
        <f>IF($X165=1,COUNTIF($C$10:C164,"&gt;0")+1,"")</f>
        <v/>
      </c>
      <c r="D165" s="41"/>
      <c r="E165" s="41" t="s">
        <v>665</v>
      </c>
      <c r="F165" s="42" t="s">
        <v>748</v>
      </c>
      <c r="G165" s="41" t="s">
        <v>744</v>
      </c>
      <c r="H165" s="41" t="s">
        <v>749</v>
      </c>
      <c r="I165" s="41" t="s">
        <v>80</v>
      </c>
      <c r="J165" s="41" t="s">
        <v>51</v>
      </c>
      <c r="K165" s="41" t="s">
        <v>52</v>
      </c>
      <c r="L165" s="43">
        <v>27351</v>
      </c>
      <c r="M165" s="41">
        <v>50</v>
      </c>
      <c r="N165" s="41" t="s">
        <v>750</v>
      </c>
      <c r="O165" s="43">
        <v>47282</v>
      </c>
      <c r="P165" s="41" t="s">
        <v>2</v>
      </c>
      <c r="Q165" s="41"/>
      <c r="R165" s="57">
        <v>45913</v>
      </c>
      <c r="S165" s="58">
        <v>45918</v>
      </c>
      <c r="T165" s="59">
        <f t="shared" si="2"/>
        <v>5</v>
      </c>
      <c r="U165" s="41">
        <v>1</v>
      </c>
      <c r="V165" s="41">
        <v>1</v>
      </c>
      <c r="W165" s="41">
        <v>0</v>
      </c>
      <c r="X165" s="41">
        <v>0</v>
      </c>
      <c r="Y165" s="41">
        <v>0</v>
      </c>
      <c r="Z165" s="41">
        <v>0</v>
      </c>
      <c r="AA165" s="41">
        <v>0</v>
      </c>
      <c r="AB165" s="41"/>
      <c r="AC165" s="43">
        <v>45913</v>
      </c>
      <c r="AD165" s="44">
        <v>0.67708333333575865</v>
      </c>
      <c r="AE165" s="41" t="s">
        <v>309</v>
      </c>
      <c r="AF165" s="43">
        <v>45918</v>
      </c>
      <c r="AG165" s="44">
        <v>0.44444444444525288</v>
      </c>
      <c r="AH165" s="41" t="s">
        <v>747</v>
      </c>
      <c r="AI165" s="41" t="s">
        <v>670</v>
      </c>
      <c r="AJ165" s="41" t="s">
        <v>54</v>
      </c>
      <c r="AK165" s="41" t="s">
        <v>54</v>
      </c>
      <c r="AL165" s="41" t="s">
        <v>164</v>
      </c>
      <c r="AM165" s="45" t="s">
        <v>55</v>
      </c>
      <c r="AN165" s="45" t="s">
        <v>300</v>
      </c>
      <c r="AO165" s="45"/>
      <c r="AP165" s="46"/>
    </row>
    <row r="166" spans="3:42" ht="14.25" customHeight="1" x14ac:dyDescent="0.2">
      <c r="C166" s="40">
        <f>IF($X166=1,COUNTIF($C$10:C165,"&gt;0")+1,"")</f>
        <v>77</v>
      </c>
      <c r="D166" s="41">
        <v>15262402</v>
      </c>
      <c r="E166" s="41" t="s">
        <v>665</v>
      </c>
      <c r="F166" s="42" t="s">
        <v>751</v>
      </c>
      <c r="G166" s="41" t="s">
        <v>751</v>
      </c>
      <c r="H166" s="41" t="s">
        <v>752</v>
      </c>
      <c r="I166" s="41" t="s">
        <v>753</v>
      </c>
      <c r="J166" s="41" t="s">
        <v>51</v>
      </c>
      <c r="K166" s="41" t="s">
        <v>214</v>
      </c>
      <c r="L166" s="43">
        <v>30810</v>
      </c>
      <c r="M166" s="41">
        <v>41</v>
      </c>
      <c r="N166" s="41" t="s">
        <v>754</v>
      </c>
      <c r="O166" s="43">
        <v>47422</v>
      </c>
      <c r="P166" s="41" t="s">
        <v>3</v>
      </c>
      <c r="Q166" s="41"/>
      <c r="R166" s="57">
        <v>45913</v>
      </c>
      <c r="S166" s="58">
        <v>45918</v>
      </c>
      <c r="T166" s="59">
        <f t="shared" si="2"/>
        <v>5</v>
      </c>
      <c r="U166" s="41">
        <v>1</v>
      </c>
      <c r="V166" s="41">
        <v>1</v>
      </c>
      <c r="W166" s="41">
        <v>0</v>
      </c>
      <c r="X166" s="41">
        <v>1</v>
      </c>
      <c r="Y166" s="41">
        <v>0</v>
      </c>
      <c r="Z166" s="41">
        <v>0</v>
      </c>
      <c r="AA166" s="41">
        <v>1</v>
      </c>
      <c r="AB166" s="41"/>
      <c r="AC166" s="43">
        <v>45912</v>
      </c>
      <c r="AD166" s="44">
        <v>0.65625</v>
      </c>
      <c r="AE166" s="41" t="s">
        <v>122</v>
      </c>
      <c r="AF166" s="43">
        <v>45918</v>
      </c>
      <c r="AG166" s="44">
        <v>0.53125</v>
      </c>
      <c r="AH166" s="41" t="s">
        <v>74</v>
      </c>
      <c r="AI166" s="41" t="s">
        <v>670</v>
      </c>
      <c r="AJ166" s="41" t="s">
        <v>54</v>
      </c>
      <c r="AK166" s="41" t="s">
        <v>54</v>
      </c>
      <c r="AL166" s="41" t="s">
        <v>164</v>
      </c>
      <c r="AM166" s="45" t="s">
        <v>55</v>
      </c>
      <c r="AN166" s="45" t="s">
        <v>293</v>
      </c>
      <c r="AO166" s="45"/>
      <c r="AP166" s="46"/>
    </row>
    <row r="167" spans="3:42" ht="14.25" customHeight="1" x14ac:dyDescent="0.2">
      <c r="C167" s="40" t="str">
        <f>IF($X167=1,COUNTIF($C$10:C166,"&gt;0")+1,"")</f>
        <v/>
      </c>
      <c r="D167" s="41"/>
      <c r="E167" s="41" t="s">
        <v>665</v>
      </c>
      <c r="F167" s="42" t="s">
        <v>755</v>
      </c>
      <c r="G167" s="41" t="s">
        <v>751</v>
      </c>
      <c r="H167" s="41" t="s">
        <v>756</v>
      </c>
      <c r="I167" s="41" t="s">
        <v>757</v>
      </c>
      <c r="J167" s="41" t="s">
        <v>51</v>
      </c>
      <c r="K167" s="41" t="s">
        <v>52</v>
      </c>
      <c r="L167" s="43">
        <v>38120</v>
      </c>
      <c r="M167" s="41">
        <v>21</v>
      </c>
      <c r="N167" s="41" t="s">
        <v>54</v>
      </c>
      <c r="O167" s="43" t="s">
        <v>54</v>
      </c>
      <c r="P167" s="41" t="s">
        <v>3</v>
      </c>
      <c r="Q167" s="41"/>
      <c r="R167" s="57">
        <v>45913</v>
      </c>
      <c r="S167" s="58">
        <v>45918</v>
      </c>
      <c r="T167" s="59">
        <f t="shared" si="2"/>
        <v>5</v>
      </c>
      <c r="U167" s="41">
        <v>1</v>
      </c>
      <c r="V167" s="41">
        <v>1</v>
      </c>
      <c r="W167" s="41">
        <v>0</v>
      </c>
      <c r="X167" s="41">
        <v>0</v>
      </c>
      <c r="Y167" s="41">
        <v>0</v>
      </c>
      <c r="Z167" s="41">
        <v>0</v>
      </c>
      <c r="AA167" s="41">
        <v>0</v>
      </c>
      <c r="AB167" s="41"/>
      <c r="AC167" s="47">
        <v>45913</v>
      </c>
      <c r="AD167" s="48">
        <v>0.48263888889050577</v>
      </c>
      <c r="AE167" s="49" t="s">
        <v>758</v>
      </c>
      <c r="AF167" s="47">
        <v>45918</v>
      </c>
      <c r="AG167" s="48">
        <v>0.54513888889050577</v>
      </c>
      <c r="AH167" s="49" t="s">
        <v>139</v>
      </c>
      <c r="AI167" s="41" t="s">
        <v>670</v>
      </c>
      <c r="AJ167" s="41" t="s">
        <v>54</v>
      </c>
      <c r="AK167" s="41" t="s">
        <v>54</v>
      </c>
      <c r="AL167" s="41" t="s">
        <v>164</v>
      </c>
      <c r="AM167" s="45" t="s">
        <v>55</v>
      </c>
      <c r="AN167" s="45" t="s">
        <v>293</v>
      </c>
      <c r="AO167" s="45"/>
      <c r="AP167" s="46"/>
    </row>
    <row r="168" spans="3:42" ht="14.25" customHeight="1" x14ac:dyDescent="0.2">
      <c r="C168" s="40">
        <f>IF($X168=1,COUNTIF($C$10:C167,"&gt;0")+1,"")</f>
        <v>78</v>
      </c>
      <c r="D168" s="41">
        <v>15262403</v>
      </c>
      <c r="E168" s="41" t="s">
        <v>665</v>
      </c>
      <c r="F168" s="42" t="s">
        <v>759</v>
      </c>
      <c r="G168" s="41" t="s">
        <v>759</v>
      </c>
      <c r="H168" s="41" t="s">
        <v>760</v>
      </c>
      <c r="I168" s="41" t="s">
        <v>761</v>
      </c>
      <c r="J168" s="41" t="s">
        <v>51</v>
      </c>
      <c r="K168" s="41" t="s">
        <v>52</v>
      </c>
      <c r="L168" s="43">
        <v>22177</v>
      </c>
      <c r="M168" s="41">
        <v>65</v>
      </c>
      <c r="N168" s="41" t="s">
        <v>762</v>
      </c>
      <c r="O168" s="43">
        <v>46187</v>
      </c>
      <c r="P168" s="41" t="s">
        <v>2</v>
      </c>
      <c r="Q168" s="41"/>
      <c r="R168" s="57">
        <v>45913</v>
      </c>
      <c r="S168" s="58">
        <v>45918</v>
      </c>
      <c r="T168" s="59">
        <f t="shared" si="2"/>
        <v>5</v>
      </c>
      <c r="U168" s="41">
        <v>1</v>
      </c>
      <c r="V168" s="41">
        <v>1</v>
      </c>
      <c r="W168" s="41">
        <v>0</v>
      </c>
      <c r="X168" s="41">
        <v>1</v>
      </c>
      <c r="Y168" s="41">
        <v>0</v>
      </c>
      <c r="Z168" s="41">
        <v>1</v>
      </c>
      <c r="AA168" s="41">
        <v>0</v>
      </c>
      <c r="AB168" s="41"/>
      <c r="AC168" s="43">
        <v>45913</v>
      </c>
      <c r="AD168" s="44">
        <v>0.67708333333575865</v>
      </c>
      <c r="AE168" s="41" t="s">
        <v>309</v>
      </c>
      <c r="AF168" s="43">
        <v>45918</v>
      </c>
      <c r="AG168" s="44">
        <v>0.34722222221898846</v>
      </c>
      <c r="AH168" s="41" t="s">
        <v>332</v>
      </c>
      <c r="AI168" s="41" t="s">
        <v>670</v>
      </c>
      <c r="AJ168" s="41" t="s">
        <v>54</v>
      </c>
      <c r="AK168" s="41" t="s">
        <v>54</v>
      </c>
      <c r="AL168" s="41" t="s">
        <v>164</v>
      </c>
      <c r="AM168" s="45" t="s">
        <v>55</v>
      </c>
      <c r="AN168" s="45" t="s">
        <v>300</v>
      </c>
      <c r="AO168" s="45"/>
      <c r="AP168" s="46"/>
    </row>
    <row r="169" spans="3:42" ht="14.25" customHeight="1" x14ac:dyDescent="0.2">
      <c r="C169" s="40" t="str">
        <f>IF($X169=1,COUNTIF($C$10:C168,"&gt;0")+1,"")</f>
        <v/>
      </c>
      <c r="D169" s="41"/>
      <c r="E169" s="41" t="s">
        <v>665</v>
      </c>
      <c r="F169" s="42" t="s">
        <v>763</v>
      </c>
      <c r="G169" s="41" t="s">
        <v>759</v>
      </c>
      <c r="H169" s="41" t="s">
        <v>764</v>
      </c>
      <c r="I169" s="41" t="s">
        <v>765</v>
      </c>
      <c r="J169" s="41" t="s">
        <v>56</v>
      </c>
      <c r="K169" s="41" t="s">
        <v>52</v>
      </c>
      <c r="L169" s="43">
        <v>23015</v>
      </c>
      <c r="M169" s="41">
        <v>62</v>
      </c>
      <c r="N169" s="41" t="s">
        <v>766</v>
      </c>
      <c r="O169" s="43">
        <v>49505</v>
      </c>
      <c r="P169" s="41" t="s">
        <v>2</v>
      </c>
      <c r="Q169" s="41"/>
      <c r="R169" s="57">
        <v>45913</v>
      </c>
      <c r="S169" s="58">
        <v>45918</v>
      </c>
      <c r="T169" s="59">
        <f t="shared" si="2"/>
        <v>5</v>
      </c>
      <c r="U169" s="41">
        <v>1</v>
      </c>
      <c r="V169" s="41">
        <v>1</v>
      </c>
      <c r="W169" s="41">
        <v>0</v>
      </c>
      <c r="X169" s="41">
        <v>0</v>
      </c>
      <c r="Y169" s="41">
        <v>0</v>
      </c>
      <c r="Z169" s="41">
        <v>0</v>
      </c>
      <c r="AA169" s="41">
        <v>0</v>
      </c>
      <c r="AB169" s="41"/>
      <c r="AC169" s="43">
        <v>45913</v>
      </c>
      <c r="AD169" s="44">
        <v>0.67708333333575865</v>
      </c>
      <c r="AE169" s="41" t="s">
        <v>309</v>
      </c>
      <c r="AF169" s="43">
        <v>45918</v>
      </c>
      <c r="AG169" s="44">
        <v>0.34722222221898846</v>
      </c>
      <c r="AH169" s="41" t="s">
        <v>332</v>
      </c>
      <c r="AI169" s="41" t="s">
        <v>670</v>
      </c>
      <c r="AJ169" s="41" t="s">
        <v>54</v>
      </c>
      <c r="AK169" s="41" t="s">
        <v>54</v>
      </c>
      <c r="AL169" s="41" t="s">
        <v>164</v>
      </c>
      <c r="AM169" s="45" t="s">
        <v>55</v>
      </c>
      <c r="AN169" s="45" t="s">
        <v>300</v>
      </c>
      <c r="AO169" s="45"/>
      <c r="AP169" s="46"/>
    </row>
    <row r="170" spans="3:42" ht="14.25" customHeight="1" x14ac:dyDescent="0.2">
      <c r="C170" s="40">
        <f>IF($X170=1,COUNTIF($C$10:C169,"&gt;0")+1,"")</f>
        <v>79</v>
      </c>
      <c r="D170" s="41">
        <v>15262404</v>
      </c>
      <c r="E170" s="41" t="s">
        <v>665</v>
      </c>
      <c r="F170" s="42" t="s">
        <v>767</v>
      </c>
      <c r="G170" s="41" t="s">
        <v>767</v>
      </c>
      <c r="H170" s="41" t="s">
        <v>768</v>
      </c>
      <c r="I170" s="41" t="s">
        <v>769</v>
      </c>
      <c r="J170" s="41" t="s">
        <v>51</v>
      </c>
      <c r="K170" s="41" t="s">
        <v>52</v>
      </c>
      <c r="L170" s="43">
        <v>23986</v>
      </c>
      <c r="M170" s="41">
        <v>60</v>
      </c>
      <c r="N170" s="41" t="s">
        <v>770</v>
      </c>
      <c r="O170" s="43">
        <v>49296</v>
      </c>
      <c r="P170" s="41" t="s">
        <v>2</v>
      </c>
      <c r="Q170" s="41"/>
      <c r="R170" s="57">
        <v>45913</v>
      </c>
      <c r="S170" s="58">
        <v>45918</v>
      </c>
      <c r="T170" s="59">
        <f t="shared" si="2"/>
        <v>5</v>
      </c>
      <c r="U170" s="41">
        <v>1</v>
      </c>
      <c r="V170" s="41">
        <v>1</v>
      </c>
      <c r="W170" s="41">
        <v>0</v>
      </c>
      <c r="X170" s="41">
        <v>1</v>
      </c>
      <c r="Y170" s="41">
        <v>0</v>
      </c>
      <c r="Z170" s="41">
        <v>1</v>
      </c>
      <c r="AA170" s="41">
        <v>0</v>
      </c>
      <c r="AB170" s="41"/>
      <c r="AC170" s="43">
        <v>45913</v>
      </c>
      <c r="AD170" s="44">
        <v>0.67708333333575865</v>
      </c>
      <c r="AE170" s="41" t="s">
        <v>309</v>
      </c>
      <c r="AF170" s="43">
        <v>45920</v>
      </c>
      <c r="AG170" s="44">
        <v>0.86111111110949423</v>
      </c>
      <c r="AH170" s="41" t="s">
        <v>116</v>
      </c>
      <c r="AI170" s="41" t="s">
        <v>670</v>
      </c>
      <c r="AJ170" s="41" t="s">
        <v>92</v>
      </c>
      <c r="AK170" s="41" t="s">
        <v>163</v>
      </c>
      <c r="AL170" s="41" t="s">
        <v>164</v>
      </c>
      <c r="AM170" s="45" t="s">
        <v>55</v>
      </c>
      <c r="AN170" s="45" t="s">
        <v>165</v>
      </c>
      <c r="AO170" s="45"/>
      <c r="AP170" s="46"/>
    </row>
    <row r="171" spans="3:42" ht="14.25" customHeight="1" x14ac:dyDescent="0.2">
      <c r="C171" s="40" t="str">
        <f>IF($X171=1,COUNTIF($C$10:C170,"&gt;0")+1,"")</f>
        <v/>
      </c>
      <c r="D171" s="41"/>
      <c r="E171" s="41" t="s">
        <v>665</v>
      </c>
      <c r="F171" s="42" t="s">
        <v>771</v>
      </c>
      <c r="G171" s="41" t="s">
        <v>767</v>
      </c>
      <c r="H171" s="41" t="s">
        <v>772</v>
      </c>
      <c r="I171" s="41" t="s">
        <v>769</v>
      </c>
      <c r="J171" s="41" t="s">
        <v>56</v>
      </c>
      <c r="K171" s="41" t="s">
        <v>52</v>
      </c>
      <c r="L171" s="43">
        <v>24810</v>
      </c>
      <c r="M171" s="41">
        <v>57</v>
      </c>
      <c r="N171" s="41" t="s">
        <v>773</v>
      </c>
      <c r="O171" s="43">
        <v>48760</v>
      </c>
      <c r="P171" s="41" t="s">
        <v>2</v>
      </c>
      <c r="Q171" s="41"/>
      <c r="R171" s="57">
        <v>45913</v>
      </c>
      <c r="S171" s="58">
        <v>45918</v>
      </c>
      <c r="T171" s="59">
        <f t="shared" si="2"/>
        <v>5</v>
      </c>
      <c r="U171" s="41">
        <v>1</v>
      </c>
      <c r="V171" s="41">
        <v>1</v>
      </c>
      <c r="W171" s="41">
        <v>0</v>
      </c>
      <c r="X171" s="41">
        <v>0</v>
      </c>
      <c r="Y171" s="41">
        <v>0</v>
      </c>
      <c r="Z171" s="41">
        <v>0</v>
      </c>
      <c r="AA171" s="41">
        <v>0</v>
      </c>
      <c r="AB171" s="41"/>
      <c r="AC171" s="43">
        <v>45913</v>
      </c>
      <c r="AD171" s="44">
        <v>0.67708333333575865</v>
      </c>
      <c r="AE171" s="41" t="s">
        <v>309</v>
      </c>
      <c r="AF171" s="43">
        <v>45920</v>
      </c>
      <c r="AG171" s="44">
        <v>0.86111111110949423</v>
      </c>
      <c r="AH171" s="41" t="s">
        <v>116</v>
      </c>
      <c r="AI171" s="41" t="s">
        <v>670</v>
      </c>
      <c r="AJ171" s="41" t="s">
        <v>54</v>
      </c>
      <c r="AK171" s="41" t="s">
        <v>54</v>
      </c>
      <c r="AL171" s="41" t="s">
        <v>164</v>
      </c>
      <c r="AM171" s="45" t="s">
        <v>55</v>
      </c>
      <c r="AN171" s="45" t="s">
        <v>165</v>
      </c>
      <c r="AO171" s="45"/>
      <c r="AP171" s="46"/>
    </row>
    <row r="172" spans="3:42" ht="14.25" customHeight="1" x14ac:dyDescent="0.2">
      <c r="C172" s="40">
        <f>IF($X172=1,COUNTIF($C$10:C171,"&gt;0")+1,"")</f>
        <v>80</v>
      </c>
      <c r="D172" s="41">
        <v>15262405</v>
      </c>
      <c r="E172" s="41" t="s">
        <v>665</v>
      </c>
      <c r="F172" s="42" t="s">
        <v>774</v>
      </c>
      <c r="G172" s="41" t="s">
        <v>767</v>
      </c>
      <c r="H172" s="41" t="s">
        <v>775</v>
      </c>
      <c r="I172" s="41" t="s">
        <v>769</v>
      </c>
      <c r="J172" s="41" t="s">
        <v>51</v>
      </c>
      <c r="K172" s="41" t="s">
        <v>52</v>
      </c>
      <c r="L172" s="43">
        <v>35727</v>
      </c>
      <c r="M172" s="41">
        <v>27</v>
      </c>
      <c r="N172" s="41" t="s">
        <v>776</v>
      </c>
      <c r="O172" s="43">
        <v>46992</v>
      </c>
      <c r="P172" s="41" t="s">
        <v>1</v>
      </c>
      <c r="Q172" s="41"/>
      <c r="R172" s="57">
        <v>45913</v>
      </c>
      <c r="S172" s="58">
        <v>45918</v>
      </c>
      <c r="T172" s="59">
        <f t="shared" si="2"/>
        <v>5</v>
      </c>
      <c r="U172" s="41">
        <v>1</v>
      </c>
      <c r="V172" s="41">
        <v>1</v>
      </c>
      <c r="W172" s="41">
        <v>0</v>
      </c>
      <c r="X172" s="41">
        <v>1</v>
      </c>
      <c r="Y172" s="41">
        <v>1</v>
      </c>
      <c r="Z172" s="41">
        <v>0</v>
      </c>
      <c r="AA172" s="41">
        <v>0</v>
      </c>
      <c r="AB172" s="41"/>
      <c r="AC172" s="43">
        <v>45913</v>
      </c>
      <c r="AD172" s="44">
        <v>0.70486111110949423</v>
      </c>
      <c r="AE172" s="41" t="s">
        <v>777</v>
      </c>
      <c r="AF172" s="43">
        <v>45918</v>
      </c>
      <c r="AG172" s="44">
        <v>0.85069444444525288</v>
      </c>
      <c r="AH172" s="41" t="s">
        <v>119</v>
      </c>
      <c r="AI172" s="41" t="s">
        <v>670</v>
      </c>
      <c r="AJ172" s="41" t="s">
        <v>54</v>
      </c>
      <c r="AK172" s="41" t="s">
        <v>54</v>
      </c>
      <c r="AL172" s="41" t="s">
        <v>164</v>
      </c>
      <c r="AM172" s="45" t="s">
        <v>55</v>
      </c>
      <c r="AN172" s="45" t="s">
        <v>165</v>
      </c>
      <c r="AO172" s="45"/>
      <c r="AP172" s="46"/>
    </row>
    <row r="173" spans="3:42" ht="14.25" customHeight="1" x14ac:dyDescent="0.2">
      <c r="C173" s="40">
        <f>IF($X173=1,COUNTIF($C$10:C172,"&gt;0")+1,"")</f>
        <v>81</v>
      </c>
      <c r="D173" s="41">
        <v>15262406</v>
      </c>
      <c r="E173" s="41" t="s">
        <v>665</v>
      </c>
      <c r="F173" s="42" t="s">
        <v>778</v>
      </c>
      <c r="G173" s="41" t="s">
        <v>778</v>
      </c>
      <c r="H173" s="41" t="s">
        <v>779</v>
      </c>
      <c r="I173" s="41" t="s">
        <v>780</v>
      </c>
      <c r="J173" s="41" t="s">
        <v>51</v>
      </c>
      <c r="K173" s="41" t="s">
        <v>52</v>
      </c>
      <c r="L173" s="43">
        <v>25411</v>
      </c>
      <c r="M173" s="41">
        <v>56</v>
      </c>
      <c r="N173" s="41" t="s">
        <v>781</v>
      </c>
      <c r="O173" s="43">
        <v>48605</v>
      </c>
      <c r="P173" s="41" t="s">
        <v>2</v>
      </c>
      <c r="Q173" s="41"/>
      <c r="R173" s="57">
        <v>45913</v>
      </c>
      <c r="S173" s="58">
        <v>45918</v>
      </c>
      <c r="T173" s="59">
        <f t="shared" si="2"/>
        <v>5</v>
      </c>
      <c r="U173" s="41">
        <v>1</v>
      </c>
      <c r="V173" s="41">
        <v>1</v>
      </c>
      <c r="W173" s="41">
        <v>0</v>
      </c>
      <c r="X173" s="41">
        <v>1</v>
      </c>
      <c r="Y173" s="41">
        <v>0</v>
      </c>
      <c r="Z173" s="41">
        <v>1</v>
      </c>
      <c r="AA173" s="41">
        <v>0</v>
      </c>
      <c r="AB173" s="41"/>
      <c r="AC173" s="43">
        <v>45912</v>
      </c>
      <c r="AD173" s="44">
        <v>0.52777777778101154</v>
      </c>
      <c r="AE173" s="41" t="s">
        <v>782</v>
      </c>
      <c r="AF173" s="43">
        <v>45918</v>
      </c>
      <c r="AG173" s="44">
        <v>0.56944444444525288</v>
      </c>
      <c r="AH173" s="41" t="s">
        <v>88</v>
      </c>
      <c r="AI173" s="41" t="s">
        <v>670</v>
      </c>
      <c r="AJ173" s="41" t="s">
        <v>54</v>
      </c>
      <c r="AK173" s="41" t="s">
        <v>54</v>
      </c>
      <c r="AL173" s="41" t="s">
        <v>164</v>
      </c>
      <c r="AM173" s="45" t="s">
        <v>55</v>
      </c>
      <c r="AN173" s="45" t="s">
        <v>300</v>
      </c>
      <c r="AO173" s="45"/>
      <c r="AP173" s="46"/>
    </row>
    <row r="174" spans="3:42" ht="14.25" customHeight="1" x14ac:dyDescent="0.2">
      <c r="C174" s="40" t="str">
        <f>IF($X174=1,COUNTIF($C$10:C173,"&gt;0")+1,"")</f>
        <v/>
      </c>
      <c r="D174" s="41"/>
      <c r="E174" s="41" t="s">
        <v>665</v>
      </c>
      <c r="F174" s="42" t="s">
        <v>783</v>
      </c>
      <c r="G174" s="41" t="s">
        <v>778</v>
      </c>
      <c r="H174" s="41" t="s">
        <v>784</v>
      </c>
      <c r="I174" s="41" t="s">
        <v>780</v>
      </c>
      <c r="J174" s="41" t="s">
        <v>56</v>
      </c>
      <c r="K174" s="41" t="s">
        <v>52</v>
      </c>
      <c r="L174" s="43">
        <v>25849</v>
      </c>
      <c r="M174" s="41">
        <v>54</v>
      </c>
      <c r="N174" s="41" t="s">
        <v>785</v>
      </c>
      <c r="O174" s="43">
        <v>45855</v>
      </c>
      <c r="P174" s="41" t="s">
        <v>2</v>
      </c>
      <c r="Q174" s="41"/>
      <c r="R174" s="57">
        <v>45913</v>
      </c>
      <c r="S174" s="58">
        <v>45918</v>
      </c>
      <c r="T174" s="59">
        <f t="shared" si="2"/>
        <v>5</v>
      </c>
      <c r="U174" s="41">
        <v>1</v>
      </c>
      <c r="V174" s="41">
        <v>1</v>
      </c>
      <c r="W174" s="41">
        <v>0</v>
      </c>
      <c r="X174" s="41">
        <v>0</v>
      </c>
      <c r="Y174" s="41">
        <v>0</v>
      </c>
      <c r="Z174" s="41">
        <v>0</v>
      </c>
      <c r="AA174" s="41">
        <v>0</v>
      </c>
      <c r="AB174" s="41"/>
      <c r="AC174" s="43">
        <v>45912</v>
      </c>
      <c r="AD174" s="44">
        <v>0.52777777778101154</v>
      </c>
      <c r="AE174" s="41" t="s">
        <v>782</v>
      </c>
      <c r="AF174" s="43">
        <v>45918</v>
      </c>
      <c r="AG174" s="44">
        <v>0.56944444444525288</v>
      </c>
      <c r="AH174" s="41" t="s">
        <v>88</v>
      </c>
      <c r="AI174" s="41" t="s">
        <v>670</v>
      </c>
      <c r="AJ174" s="41" t="s">
        <v>54</v>
      </c>
      <c r="AK174" s="41" t="s">
        <v>54</v>
      </c>
      <c r="AL174" s="41" t="s">
        <v>164</v>
      </c>
      <c r="AM174" s="45" t="s">
        <v>55</v>
      </c>
      <c r="AN174" s="45" t="s">
        <v>300</v>
      </c>
      <c r="AO174" s="45"/>
      <c r="AP174" s="46"/>
    </row>
    <row r="175" spans="3:42" ht="14.25" customHeight="1" x14ac:dyDescent="0.2">
      <c r="C175" s="40">
        <f>IF($X175=1,COUNTIF($C$10:C174,"&gt;0")+1,"")</f>
        <v>82</v>
      </c>
      <c r="D175" s="41">
        <v>15262407</v>
      </c>
      <c r="E175" s="41" t="s">
        <v>665</v>
      </c>
      <c r="F175" s="42" t="s">
        <v>786</v>
      </c>
      <c r="G175" s="41" t="s">
        <v>786</v>
      </c>
      <c r="H175" s="41" t="s">
        <v>779</v>
      </c>
      <c r="I175" s="41" t="s">
        <v>787</v>
      </c>
      <c r="J175" s="41" t="s">
        <v>51</v>
      </c>
      <c r="K175" s="41" t="s">
        <v>52</v>
      </c>
      <c r="L175" s="43">
        <v>30908</v>
      </c>
      <c r="M175" s="41">
        <v>41</v>
      </c>
      <c r="N175" s="41" t="s">
        <v>788</v>
      </c>
      <c r="O175" s="43">
        <v>49037</v>
      </c>
      <c r="P175" s="41" t="s">
        <v>1</v>
      </c>
      <c r="Q175" s="41"/>
      <c r="R175" s="57">
        <v>45913</v>
      </c>
      <c r="S175" s="58">
        <v>45918</v>
      </c>
      <c r="T175" s="59">
        <f t="shared" si="2"/>
        <v>5</v>
      </c>
      <c r="U175" s="41">
        <v>1</v>
      </c>
      <c r="V175" s="41">
        <v>1</v>
      </c>
      <c r="W175" s="41">
        <v>0</v>
      </c>
      <c r="X175" s="41">
        <v>1</v>
      </c>
      <c r="Y175" s="41">
        <v>1</v>
      </c>
      <c r="Z175" s="41">
        <v>0</v>
      </c>
      <c r="AA175" s="41">
        <v>0</v>
      </c>
      <c r="AB175" s="41"/>
      <c r="AC175" s="43">
        <v>45912</v>
      </c>
      <c r="AD175" s="44">
        <v>0.52777777778101154</v>
      </c>
      <c r="AE175" s="41" t="s">
        <v>782</v>
      </c>
      <c r="AF175" s="43">
        <v>45918</v>
      </c>
      <c r="AG175" s="44">
        <v>0.83680555555474712</v>
      </c>
      <c r="AH175" s="41" t="s">
        <v>103</v>
      </c>
      <c r="AI175" s="41" t="s">
        <v>670</v>
      </c>
      <c r="AJ175" s="41" t="s">
        <v>54</v>
      </c>
      <c r="AK175" s="41" t="s">
        <v>54</v>
      </c>
      <c r="AL175" s="41" t="s">
        <v>164</v>
      </c>
      <c r="AM175" s="45" t="s">
        <v>55</v>
      </c>
      <c r="AN175" s="45" t="s">
        <v>300</v>
      </c>
      <c r="AO175" s="45"/>
      <c r="AP175" s="46"/>
    </row>
    <row r="176" spans="3:42" ht="14.25" customHeight="1" x14ac:dyDescent="0.2">
      <c r="C176" s="40">
        <f>IF($X176=1,COUNTIF($C$10:C175,"&gt;0")+1,"")</f>
        <v>83</v>
      </c>
      <c r="D176" s="41">
        <v>15262408</v>
      </c>
      <c r="E176" s="41" t="s">
        <v>665</v>
      </c>
      <c r="F176" s="42" t="s">
        <v>789</v>
      </c>
      <c r="G176" s="41" t="s">
        <v>789</v>
      </c>
      <c r="H176" s="41" t="s">
        <v>790</v>
      </c>
      <c r="I176" s="41" t="s">
        <v>791</v>
      </c>
      <c r="J176" s="41" t="s">
        <v>51</v>
      </c>
      <c r="K176" s="41" t="s">
        <v>52</v>
      </c>
      <c r="L176" s="43">
        <v>32303</v>
      </c>
      <c r="M176" s="41">
        <v>37</v>
      </c>
      <c r="N176" s="41" t="s">
        <v>792</v>
      </c>
      <c r="O176" s="43">
        <v>46762</v>
      </c>
      <c r="P176" s="41" t="s">
        <v>3</v>
      </c>
      <c r="Q176" s="41"/>
      <c r="R176" s="57">
        <v>45913</v>
      </c>
      <c r="S176" s="58">
        <v>45918</v>
      </c>
      <c r="T176" s="59">
        <f t="shared" si="2"/>
        <v>5</v>
      </c>
      <c r="U176" s="41">
        <v>1</v>
      </c>
      <c r="V176" s="41">
        <v>1</v>
      </c>
      <c r="W176" s="41">
        <v>0</v>
      </c>
      <c r="X176" s="41">
        <v>1</v>
      </c>
      <c r="Y176" s="41">
        <v>0</v>
      </c>
      <c r="Z176" s="41">
        <v>0</v>
      </c>
      <c r="AA176" s="41">
        <v>1</v>
      </c>
      <c r="AB176" s="41"/>
      <c r="AC176" s="43">
        <v>45913</v>
      </c>
      <c r="AD176" s="44">
        <v>0.68402777778101154</v>
      </c>
      <c r="AE176" s="41" t="s">
        <v>793</v>
      </c>
      <c r="AF176" s="43">
        <v>45918</v>
      </c>
      <c r="AG176" s="44">
        <v>0.86111111110949423</v>
      </c>
      <c r="AH176" s="41" t="s">
        <v>116</v>
      </c>
      <c r="AI176" s="41" t="s">
        <v>670</v>
      </c>
      <c r="AJ176" s="41" t="s">
        <v>54</v>
      </c>
      <c r="AK176" s="41" t="s">
        <v>54</v>
      </c>
      <c r="AL176" s="41" t="s">
        <v>164</v>
      </c>
      <c r="AM176" s="45" t="s">
        <v>55</v>
      </c>
      <c r="AN176" s="45" t="s">
        <v>293</v>
      </c>
      <c r="AO176" s="45"/>
      <c r="AP176" s="46"/>
    </row>
    <row r="177" spans="3:42" ht="14.25" customHeight="1" x14ac:dyDescent="0.2">
      <c r="C177" s="40" t="str">
        <f>IF($X177=1,COUNTIF($C$10:C176,"&gt;0")+1,"")</f>
        <v/>
      </c>
      <c r="D177" s="41"/>
      <c r="E177" s="41" t="s">
        <v>665</v>
      </c>
      <c r="F177" s="42" t="s">
        <v>794</v>
      </c>
      <c r="G177" s="41" t="s">
        <v>789</v>
      </c>
      <c r="H177" s="41" t="s">
        <v>795</v>
      </c>
      <c r="I177" s="41" t="s">
        <v>796</v>
      </c>
      <c r="J177" s="41" t="s">
        <v>51</v>
      </c>
      <c r="K177" s="41" t="s">
        <v>52</v>
      </c>
      <c r="L177" s="43">
        <v>19266</v>
      </c>
      <c r="M177" s="41">
        <v>72</v>
      </c>
      <c r="N177" s="41" t="s">
        <v>797</v>
      </c>
      <c r="O177" s="43">
        <v>46290</v>
      </c>
      <c r="P177" s="41" t="s">
        <v>3</v>
      </c>
      <c r="Q177" s="41"/>
      <c r="R177" s="57">
        <v>45913</v>
      </c>
      <c r="S177" s="58">
        <v>45918</v>
      </c>
      <c r="T177" s="59">
        <f t="shared" si="2"/>
        <v>5</v>
      </c>
      <c r="U177" s="41">
        <v>1</v>
      </c>
      <c r="V177" s="41">
        <v>1</v>
      </c>
      <c r="W177" s="41">
        <v>0</v>
      </c>
      <c r="X177" s="41">
        <v>0</v>
      </c>
      <c r="Y177" s="41">
        <v>0</v>
      </c>
      <c r="Z177" s="41">
        <v>0</v>
      </c>
      <c r="AA177" s="41">
        <v>0</v>
      </c>
      <c r="AB177" s="41"/>
      <c r="AC177" s="43">
        <v>45913</v>
      </c>
      <c r="AD177" s="44">
        <v>0.68402777778101154</v>
      </c>
      <c r="AE177" s="41" t="s">
        <v>793</v>
      </c>
      <c r="AF177" s="43">
        <v>45918</v>
      </c>
      <c r="AG177" s="44">
        <v>0.86111111110949423</v>
      </c>
      <c r="AH177" s="41" t="s">
        <v>116</v>
      </c>
      <c r="AI177" s="41" t="s">
        <v>670</v>
      </c>
      <c r="AJ177" s="41" t="s">
        <v>54</v>
      </c>
      <c r="AK177" s="41" t="s">
        <v>54</v>
      </c>
      <c r="AL177" s="41" t="s">
        <v>164</v>
      </c>
      <c r="AM177" s="45" t="s">
        <v>55</v>
      </c>
      <c r="AN177" s="45" t="s">
        <v>293</v>
      </c>
      <c r="AO177" s="45"/>
      <c r="AP177" s="46"/>
    </row>
    <row r="178" spans="3:42" ht="14.25" customHeight="1" x14ac:dyDescent="0.2">
      <c r="C178" s="40">
        <f>IF($X178=1,COUNTIF($C$10:C177,"&gt;0")+1,"")</f>
        <v>84</v>
      </c>
      <c r="D178" s="41">
        <v>15262409</v>
      </c>
      <c r="E178" s="41" t="s">
        <v>665</v>
      </c>
      <c r="F178" s="42" t="s">
        <v>798</v>
      </c>
      <c r="G178" s="41" t="s">
        <v>789</v>
      </c>
      <c r="H178" s="41" t="s">
        <v>799</v>
      </c>
      <c r="I178" s="41" t="s">
        <v>791</v>
      </c>
      <c r="J178" s="41" t="s">
        <v>56</v>
      </c>
      <c r="K178" s="41" t="s">
        <v>52</v>
      </c>
      <c r="L178" s="43">
        <v>19215</v>
      </c>
      <c r="M178" s="41">
        <v>73</v>
      </c>
      <c r="N178" s="41" t="s">
        <v>800</v>
      </c>
      <c r="O178" s="43">
        <v>47254</v>
      </c>
      <c r="P178" s="41" t="s">
        <v>2</v>
      </c>
      <c r="Q178" s="41"/>
      <c r="R178" s="57">
        <v>45913</v>
      </c>
      <c r="S178" s="58">
        <v>45918</v>
      </c>
      <c r="T178" s="59">
        <f t="shared" si="2"/>
        <v>5</v>
      </c>
      <c r="U178" s="41">
        <v>1</v>
      </c>
      <c r="V178" s="41">
        <v>1</v>
      </c>
      <c r="W178" s="41">
        <v>0</v>
      </c>
      <c r="X178" s="41">
        <v>1</v>
      </c>
      <c r="Y178" s="41">
        <v>0</v>
      </c>
      <c r="Z178" s="41">
        <v>1</v>
      </c>
      <c r="AA178" s="41">
        <v>0</v>
      </c>
      <c r="AB178" s="41"/>
      <c r="AC178" s="43">
        <v>45913</v>
      </c>
      <c r="AD178" s="44">
        <v>0.68402777778101154</v>
      </c>
      <c r="AE178" s="41" t="s">
        <v>793</v>
      </c>
      <c r="AF178" s="43">
        <v>45918</v>
      </c>
      <c r="AG178" s="44">
        <v>0.86111111110949423</v>
      </c>
      <c r="AH178" s="41" t="s">
        <v>116</v>
      </c>
      <c r="AI178" s="41" t="s">
        <v>670</v>
      </c>
      <c r="AJ178" s="41" t="s">
        <v>54</v>
      </c>
      <c r="AK178" s="41" t="s">
        <v>54</v>
      </c>
      <c r="AL178" s="41" t="s">
        <v>164</v>
      </c>
      <c r="AM178" s="45" t="s">
        <v>55</v>
      </c>
      <c r="AN178" s="45" t="s">
        <v>300</v>
      </c>
      <c r="AO178" s="45"/>
      <c r="AP178" s="46"/>
    </row>
    <row r="179" spans="3:42" ht="14.25" customHeight="1" x14ac:dyDescent="0.2">
      <c r="C179" s="40" t="str">
        <f>IF($X179=1,COUNTIF($C$10:C178,"&gt;0")+1,"")</f>
        <v/>
      </c>
      <c r="D179" s="41"/>
      <c r="E179" s="41" t="s">
        <v>665</v>
      </c>
      <c r="F179" s="42" t="s">
        <v>801</v>
      </c>
      <c r="G179" s="41" t="s">
        <v>789</v>
      </c>
      <c r="H179" s="41" t="s">
        <v>802</v>
      </c>
      <c r="I179" s="41" t="s">
        <v>780</v>
      </c>
      <c r="J179" s="41" t="s">
        <v>56</v>
      </c>
      <c r="K179" s="41" t="s">
        <v>52</v>
      </c>
      <c r="L179" s="43">
        <v>34777</v>
      </c>
      <c r="M179" s="41">
        <v>30</v>
      </c>
      <c r="N179" s="41" t="s">
        <v>803</v>
      </c>
      <c r="O179" s="43">
        <v>49028</v>
      </c>
      <c r="P179" s="41" t="s">
        <v>2</v>
      </c>
      <c r="Q179" s="41"/>
      <c r="R179" s="57">
        <v>45913</v>
      </c>
      <c r="S179" s="58">
        <v>45918</v>
      </c>
      <c r="T179" s="59">
        <f t="shared" si="2"/>
        <v>5</v>
      </c>
      <c r="U179" s="41">
        <v>1</v>
      </c>
      <c r="V179" s="41">
        <v>1</v>
      </c>
      <c r="W179" s="41">
        <v>0</v>
      </c>
      <c r="X179" s="41">
        <v>0</v>
      </c>
      <c r="Y179" s="41">
        <v>0</v>
      </c>
      <c r="Z179" s="41">
        <v>0</v>
      </c>
      <c r="AA179" s="41">
        <v>0</v>
      </c>
      <c r="AB179" s="41"/>
      <c r="AC179" s="43">
        <v>45912</v>
      </c>
      <c r="AD179" s="44">
        <v>0.52777777778101154</v>
      </c>
      <c r="AE179" s="41" t="s">
        <v>782</v>
      </c>
      <c r="AF179" s="43">
        <v>45918</v>
      </c>
      <c r="AG179" s="44">
        <v>0.56944444444525288</v>
      </c>
      <c r="AH179" s="41" t="s">
        <v>88</v>
      </c>
      <c r="AI179" s="41" t="s">
        <v>670</v>
      </c>
      <c r="AJ179" s="41" t="s">
        <v>54</v>
      </c>
      <c r="AK179" s="41" t="s">
        <v>54</v>
      </c>
      <c r="AL179" s="41" t="s">
        <v>164</v>
      </c>
      <c r="AM179" s="45" t="s">
        <v>55</v>
      </c>
      <c r="AN179" s="45" t="s">
        <v>300</v>
      </c>
      <c r="AO179" s="45"/>
      <c r="AP179" s="46"/>
    </row>
    <row r="180" spans="3:42" ht="14.25" customHeight="1" x14ac:dyDescent="0.2">
      <c r="C180" s="40">
        <f>IF($X180=1,COUNTIF($C$10:C179,"&gt;0")+1,"")</f>
        <v>85</v>
      </c>
      <c r="D180" s="41">
        <v>15262410</v>
      </c>
      <c r="E180" s="41" t="s">
        <v>665</v>
      </c>
      <c r="F180" s="42" t="s">
        <v>804</v>
      </c>
      <c r="G180" s="41" t="s">
        <v>804</v>
      </c>
      <c r="H180" s="41" t="s">
        <v>805</v>
      </c>
      <c r="I180" s="41" t="s">
        <v>806</v>
      </c>
      <c r="J180" s="41" t="s">
        <v>56</v>
      </c>
      <c r="K180" s="41" t="s">
        <v>52</v>
      </c>
      <c r="L180" s="43">
        <v>25435</v>
      </c>
      <c r="M180" s="41">
        <v>56</v>
      </c>
      <c r="N180" s="41" t="s">
        <v>807</v>
      </c>
      <c r="O180" s="43">
        <v>49023</v>
      </c>
      <c r="P180" s="41" t="s">
        <v>2</v>
      </c>
      <c r="Q180" s="41"/>
      <c r="R180" s="57">
        <v>45913</v>
      </c>
      <c r="S180" s="58">
        <v>45918</v>
      </c>
      <c r="T180" s="59">
        <f t="shared" si="2"/>
        <v>5</v>
      </c>
      <c r="U180" s="41">
        <v>1</v>
      </c>
      <c r="V180" s="41">
        <v>1</v>
      </c>
      <c r="W180" s="41">
        <v>0</v>
      </c>
      <c r="X180" s="41">
        <v>1</v>
      </c>
      <c r="Y180" s="41">
        <v>0</v>
      </c>
      <c r="Z180" s="41">
        <v>1</v>
      </c>
      <c r="AA180" s="41">
        <v>0</v>
      </c>
      <c r="AB180" s="41"/>
      <c r="AC180" s="43">
        <v>45913</v>
      </c>
      <c r="AD180" s="44">
        <v>0.45833333333575865</v>
      </c>
      <c r="AE180" s="41" t="s">
        <v>72</v>
      </c>
      <c r="AF180" s="43">
        <v>45918</v>
      </c>
      <c r="AG180" s="44">
        <v>0.44444444444525288</v>
      </c>
      <c r="AH180" s="41" t="s">
        <v>747</v>
      </c>
      <c r="AI180" s="41" t="s">
        <v>670</v>
      </c>
      <c r="AJ180" s="41" t="s">
        <v>54</v>
      </c>
      <c r="AK180" s="41" t="s">
        <v>54</v>
      </c>
      <c r="AL180" s="41" t="s">
        <v>164</v>
      </c>
      <c r="AM180" s="45" t="s">
        <v>55</v>
      </c>
      <c r="AN180" s="45" t="s">
        <v>300</v>
      </c>
      <c r="AO180" s="45"/>
      <c r="AP180" s="46"/>
    </row>
    <row r="181" spans="3:42" ht="14.25" customHeight="1" x14ac:dyDescent="0.2">
      <c r="C181" s="40" t="str">
        <f>IF($X181=1,COUNTIF($C$10:C180,"&gt;0")+1,"")</f>
        <v/>
      </c>
      <c r="D181" s="41"/>
      <c r="E181" s="41" t="s">
        <v>665</v>
      </c>
      <c r="F181" s="42" t="s">
        <v>808</v>
      </c>
      <c r="G181" s="41" t="s">
        <v>804</v>
      </c>
      <c r="H181" s="41" t="s">
        <v>809</v>
      </c>
      <c r="I181" s="41" t="s">
        <v>806</v>
      </c>
      <c r="J181" s="41" t="s">
        <v>56</v>
      </c>
      <c r="K181" s="41" t="s">
        <v>52</v>
      </c>
      <c r="L181" s="43">
        <v>40744</v>
      </c>
      <c r="M181" s="41">
        <v>14</v>
      </c>
      <c r="N181" s="41" t="s">
        <v>810</v>
      </c>
      <c r="O181" s="43">
        <v>46466</v>
      </c>
      <c r="P181" s="41" t="s">
        <v>2</v>
      </c>
      <c r="Q181" s="41"/>
      <c r="R181" s="57">
        <v>45913</v>
      </c>
      <c r="S181" s="58">
        <v>45918</v>
      </c>
      <c r="T181" s="59">
        <f t="shared" si="2"/>
        <v>5</v>
      </c>
      <c r="U181" s="41">
        <v>1</v>
      </c>
      <c r="V181" s="41">
        <v>1</v>
      </c>
      <c r="W181" s="41">
        <v>0</v>
      </c>
      <c r="X181" s="41">
        <v>0</v>
      </c>
      <c r="Y181" s="41">
        <v>0</v>
      </c>
      <c r="Z181" s="41">
        <v>0</v>
      </c>
      <c r="AA181" s="41">
        <v>0</v>
      </c>
      <c r="AB181" s="41"/>
      <c r="AC181" s="43">
        <v>45913</v>
      </c>
      <c r="AD181" s="44">
        <v>0.45833333333575865</v>
      </c>
      <c r="AE181" s="41" t="s">
        <v>72</v>
      </c>
      <c r="AF181" s="43">
        <v>45918</v>
      </c>
      <c r="AG181" s="44">
        <v>0.44444444444525288</v>
      </c>
      <c r="AH181" s="41" t="s">
        <v>747</v>
      </c>
      <c r="AI181" s="41" t="s">
        <v>670</v>
      </c>
      <c r="AJ181" s="41" t="s">
        <v>54</v>
      </c>
      <c r="AK181" s="41" t="s">
        <v>54</v>
      </c>
      <c r="AL181" s="41" t="s">
        <v>164</v>
      </c>
      <c r="AM181" s="45" t="s">
        <v>55</v>
      </c>
      <c r="AN181" s="45" t="s">
        <v>300</v>
      </c>
      <c r="AO181" s="45"/>
      <c r="AP181" s="46"/>
    </row>
    <row r="182" spans="3:42" ht="14.25" customHeight="1" x14ac:dyDescent="0.2">
      <c r="C182" s="40">
        <f>IF($X182=1,COUNTIF($C$10:C181,"&gt;0")+1,"")</f>
        <v>86</v>
      </c>
      <c r="D182" s="41">
        <v>15262411</v>
      </c>
      <c r="E182" s="41" t="s">
        <v>665</v>
      </c>
      <c r="F182" s="42" t="s">
        <v>811</v>
      </c>
      <c r="G182" s="41" t="s">
        <v>811</v>
      </c>
      <c r="H182" s="41" t="s">
        <v>812</v>
      </c>
      <c r="I182" s="41" t="s">
        <v>141</v>
      </c>
      <c r="J182" s="41" t="s">
        <v>56</v>
      </c>
      <c r="K182" s="41" t="s">
        <v>52</v>
      </c>
      <c r="L182" s="43">
        <v>29086</v>
      </c>
      <c r="M182" s="41">
        <v>46</v>
      </c>
      <c r="N182" s="41" t="s">
        <v>813</v>
      </c>
      <c r="O182" s="43">
        <v>47014</v>
      </c>
      <c r="P182" s="41" t="s">
        <v>3</v>
      </c>
      <c r="Q182" s="41"/>
      <c r="R182" s="57">
        <v>45913</v>
      </c>
      <c r="S182" s="58">
        <v>45918</v>
      </c>
      <c r="T182" s="59">
        <f t="shared" si="2"/>
        <v>5</v>
      </c>
      <c r="U182" s="41">
        <v>1</v>
      </c>
      <c r="V182" s="41">
        <v>1</v>
      </c>
      <c r="W182" s="41">
        <v>0</v>
      </c>
      <c r="X182" s="41">
        <v>1</v>
      </c>
      <c r="Y182" s="41">
        <v>0</v>
      </c>
      <c r="Z182" s="41">
        <v>0</v>
      </c>
      <c r="AA182" s="41">
        <v>1</v>
      </c>
      <c r="AB182" s="41"/>
      <c r="AC182" s="43">
        <v>45913</v>
      </c>
      <c r="AD182" s="44">
        <v>0.30555555555474712</v>
      </c>
      <c r="AE182" s="41" t="s">
        <v>108</v>
      </c>
      <c r="AF182" s="43">
        <v>45918</v>
      </c>
      <c r="AG182" s="44">
        <v>0.79513888889050577</v>
      </c>
      <c r="AH182" s="41" t="s">
        <v>99</v>
      </c>
      <c r="AI182" s="41" t="s">
        <v>670</v>
      </c>
      <c r="AJ182" s="41" t="s">
        <v>54</v>
      </c>
      <c r="AK182" s="41" t="s">
        <v>54</v>
      </c>
      <c r="AL182" s="41" t="s">
        <v>164</v>
      </c>
      <c r="AM182" s="45" t="s">
        <v>55</v>
      </c>
      <c r="AN182" s="45" t="s">
        <v>387</v>
      </c>
      <c r="AO182" s="45"/>
      <c r="AP182" s="46"/>
    </row>
    <row r="183" spans="3:42" ht="14.25" customHeight="1" x14ac:dyDescent="0.2">
      <c r="C183" s="40" t="str">
        <f>IF($X183=1,COUNTIF($C$10:C182,"&gt;0")+1,"")</f>
        <v/>
      </c>
      <c r="D183" s="41"/>
      <c r="E183" s="41" t="s">
        <v>665</v>
      </c>
      <c r="F183" s="42" t="s">
        <v>814</v>
      </c>
      <c r="G183" s="41" t="s">
        <v>811</v>
      </c>
      <c r="H183" s="41" t="s">
        <v>815</v>
      </c>
      <c r="I183" s="41" t="s">
        <v>141</v>
      </c>
      <c r="J183" s="41" t="s">
        <v>51</v>
      </c>
      <c r="K183" s="41" t="s">
        <v>52</v>
      </c>
      <c r="L183" s="43">
        <v>28165</v>
      </c>
      <c r="M183" s="41">
        <v>48</v>
      </c>
      <c r="N183" s="41" t="s">
        <v>816</v>
      </c>
      <c r="O183" s="43">
        <v>46993</v>
      </c>
      <c r="P183" s="41" t="s">
        <v>3</v>
      </c>
      <c r="Q183" s="41"/>
      <c r="R183" s="57">
        <v>45913</v>
      </c>
      <c r="S183" s="58">
        <v>45918</v>
      </c>
      <c r="T183" s="59">
        <f t="shared" si="2"/>
        <v>5</v>
      </c>
      <c r="U183" s="41">
        <v>1</v>
      </c>
      <c r="V183" s="41">
        <v>1</v>
      </c>
      <c r="W183" s="41">
        <v>0</v>
      </c>
      <c r="X183" s="41">
        <v>0</v>
      </c>
      <c r="Y183" s="41">
        <v>0</v>
      </c>
      <c r="Z183" s="41">
        <v>0</v>
      </c>
      <c r="AA183" s="41">
        <v>0</v>
      </c>
      <c r="AB183" s="41"/>
      <c r="AC183" s="43">
        <v>45913</v>
      </c>
      <c r="AD183" s="44">
        <v>0.30555555555474712</v>
      </c>
      <c r="AE183" s="41" t="s">
        <v>108</v>
      </c>
      <c r="AF183" s="43">
        <v>45918</v>
      </c>
      <c r="AG183" s="44">
        <v>0.79513888889050577</v>
      </c>
      <c r="AH183" s="41" t="s">
        <v>99</v>
      </c>
      <c r="AI183" s="41" t="s">
        <v>670</v>
      </c>
      <c r="AJ183" s="41" t="s">
        <v>54</v>
      </c>
      <c r="AK183" s="41" t="s">
        <v>54</v>
      </c>
      <c r="AL183" s="41" t="s">
        <v>164</v>
      </c>
      <c r="AM183" s="45" t="s">
        <v>55</v>
      </c>
      <c r="AN183" s="45" t="s">
        <v>387</v>
      </c>
      <c r="AO183" s="45"/>
      <c r="AP183" s="46"/>
    </row>
    <row r="184" spans="3:42" ht="14.25" customHeight="1" x14ac:dyDescent="0.2">
      <c r="C184" s="40">
        <f>IF($X184=1,COUNTIF($C$10:C183,"&gt;0")+1,"")</f>
        <v>87</v>
      </c>
      <c r="D184" s="41">
        <v>15262412</v>
      </c>
      <c r="E184" s="41" t="s">
        <v>665</v>
      </c>
      <c r="F184" s="42" t="s">
        <v>817</v>
      </c>
      <c r="G184" s="41" t="s">
        <v>811</v>
      </c>
      <c r="H184" s="41" t="s">
        <v>818</v>
      </c>
      <c r="I184" s="41" t="s">
        <v>141</v>
      </c>
      <c r="J184" s="41" t="s">
        <v>51</v>
      </c>
      <c r="K184" s="41" t="s">
        <v>52</v>
      </c>
      <c r="L184" s="43">
        <v>39748</v>
      </c>
      <c r="M184" s="41">
        <v>16</v>
      </c>
      <c r="N184" s="41" t="s">
        <v>819</v>
      </c>
      <c r="O184" s="43">
        <v>46813</v>
      </c>
      <c r="P184" s="41" t="s">
        <v>3</v>
      </c>
      <c r="Q184" s="41"/>
      <c r="R184" s="57">
        <v>45913</v>
      </c>
      <c r="S184" s="58">
        <v>45918</v>
      </c>
      <c r="T184" s="59">
        <f t="shared" si="2"/>
        <v>5</v>
      </c>
      <c r="U184" s="41">
        <v>1</v>
      </c>
      <c r="V184" s="41">
        <v>1</v>
      </c>
      <c r="W184" s="41">
        <v>0</v>
      </c>
      <c r="X184" s="41">
        <v>1</v>
      </c>
      <c r="Y184" s="41">
        <v>0</v>
      </c>
      <c r="Z184" s="41">
        <v>0</v>
      </c>
      <c r="AA184" s="41">
        <v>1</v>
      </c>
      <c r="AB184" s="41"/>
      <c r="AC184" s="43">
        <v>45913</v>
      </c>
      <c r="AD184" s="44">
        <v>0.30555555555474712</v>
      </c>
      <c r="AE184" s="41" t="s">
        <v>108</v>
      </c>
      <c r="AF184" s="43">
        <v>45918</v>
      </c>
      <c r="AG184" s="44">
        <v>0.79513888889050577</v>
      </c>
      <c r="AH184" s="41" t="s">
        <v>99</v>
      </c>
      <c r="AI184" s="41" t="s">
        <v>670</v>
      </c>
      <c r="AJ184" s="41" t="s">
        <v>54</v>
      </c>
      <c r="AK184" s="41" t="s">
        <v>54</v>
      </c>
      <c r="AL184" s="41" t="s">
        <v>164</v>
      </c>
      <c r="AM184" s="45" t="s">
        <v>55</v>
      </c>
      <c r="AN184" s="70" t="s">
        <v>293</v>
      </c>
      <c r="AO184" s="71"/>
      <c r="AP184" s="46"/>
    </row>
    <row r="185" spans="3:42" ht="14.25" customHeight="1" x14ac:dyDescent="0.2">
      <c r="C185" s="40" t="str">
        <f>IF($X185=1,COUNTIF($C$10:C184,"&gt;0")+1,"")</f>
        <v/>
      </c>
      <c r="D185" s="41"/>
      <c r="E185" s="41" t="s">
        <v>665</v>
      </c>
      <c r="F185" s="42" t="s">
        <v>820</v>
      </c>
      <c r="G185" s="41" t="s">
        <v>811</v>
      </c>
      <c r="H185" s="41" t="s">
        <v>821</v>
      </c>
      <c r="I185" s="41" t="s">
        <v>144</v>
      </c>
      <c r="J185" s="41" t="s">
        <v>56</v>
      </c>
      <c r="K185" s="41" t="s">
        <v>52</v>
      </c>
      <c r="L185" s="43">
        <v>36084</v>
      </c>
      <c r="M185" s="41">
        <v>26</v>
      </c>
      <c r="N185" s="41" t="s">
        <v>822</v>
      </c>
      <c r="O185" s="43">
        <v>48160</v>
      </c>
      <c r="P185" s="41" t="s">
        <v>3</v>
      </c>
      <c r="Q185" s="41"/>
      <c r="R185" s="57">
        <v>45913</v>
      </c>
      <c r="S185" s="58">
        <v>45918</v>
      </c>
      <c r="T185" s="59">
        <f t="shared" si="2"/>
        <v>5</v>
      </c>
      <c r="U185" s="41">
        <v>1</v>
      </c>
      <c r="V185" s="41">
        <v>1</v>
      </c>
      <c r="W185" s="41">
        <v>0</v>
      </c>
      <c r="X185" s="41">
        <v>0</v>
      </c>
      <c r="Y185" s="41">
        <v>0</v>
      </c>
      <c r="Z185" s="41">
        <v>0</v>
      </c>
      <c r="AA185" s="41">
        <v>0</v>
      </c>
      <c r="AB185" s="41"/>
      <c r="AC185" s="43">
        <v>45913</v>
      </c>
      <c r="AD185" s="44">
        <v>0.70486111110949423</v>
      </c>
      <c r="AE185" s="41" t="s">
        <v>777</v>
      </c>
      <c r="AF185" s="43">
        <v>45918</v>
      </c>
      <c r="AG185" s="44">
        <v>0.85069444444525288</v>
      </c>
      <c r="AH185" s="41" t="s">
        <v>119</v>
      </c>
      <c r="AI185" s="41" t="s">
        <v>670</v>
      </c>
      <c r="AJ185" s="41" t="s">
        <v>54</v>
      </c>
      <c r="AK185" s="41" t="s">
        <v>54</v>
      </c>
      <c r="AL185" s="41" t="s">
        <v>164</v>
      </c>
      <c r="AM185" s="45" t="s">
        <v>55</v>
      </c>
      <c r="AN185" s="70" t="s">
        <v>293</v>
      </c>
      <c r="AO185" s="71"/>
      <c r="AP185" s="46"/>
    </row>
    <row r="186" spans="3:42" ht="14.25" customHeight="1" x14ac:dyDescent="0.2">
      <c r="C186" s="40">
        <f>IF($X186=1,COUNTIF($C$10:C185,"&gt;0")+1,"")</f>
        <v>88</v>
      </c>
      <c r="D186" s="41">
        <v>15262413</v>
      </c>
      <c r="E186" s="41" t="s">
        <v>665</v>
      </c>
      <c r="F186" s="42" t="s">
        <v>823</v>
      </c>
      <c r="G186" s="41" t="s">
        <v>823</v>
      </c>
      <c r="H186" s="41" t="s">
        <v>824</v>
      </c>
      <c r="I186" s="41" t="s">
        <v>825</v>
      </c>
      <c r="J186" s="41" t="s">
        <v>56</v>
      </c>
      <c r="K186" s="41" t="s">
        <v>52</v>
      </c>
      <c r="L186" s="43">
        <v>25238</v>
      </c>
      <c r="M186" s="41">
        <v>56</v>
      </c>
      <c r="N186" s="41" t="s">
        <v>826</v>
      </c>
      <c r="O186" s="43">
        <v>47294</v>
      </c>
      <c r="P186" s="41" t="s">
        <v>3</v>
      </c>
      <c r="Q186" s="41"/>
      <c r="R186" s="57">
        <v>45913</v>
      </c>
      <c r="S186" s="58">
        <v>45918</v>
      </c>
      <c r="T186" s="59">
        <f t="shared" si="2"/>
        <v>5</v>
      </c>
      <c r="U186" s="41">
        <v>1</v>
      </c>
      <c r="V186" s="41">
        <v>1</v>
      </c>
      <c r="W186" s="41">
        <v>0</v>
      </c>
      <c r="X186" s="41">
        <v>1</v>
      </c>
      <c r="Y186" s="41">
        <v>0</v>
      </c>
      <c r="Z186" s="41">
        <v>0</v>
      </c>
      <c r="AA186" s="41">
        <v>1</v>
      </c>
      <c r="AB186" s="41"/>
      <c r="AC186" s="43">
        <v>45913</v>
      </c>
      <c r="AD186" s="44">
        <v>0.67708333333575865</v>
      </c>
      <c r="AE186" s="41" t="s">
        <v>309</v>
      </c>
      <c r="AF186" s="43">
        <v>45918</v>
      </c>
      <c r="AG186" s="44">
        <v>0.80208333333575865</v>
      </c>
      <c r="AH186" s="41" t="s">
        <v>69</v>
      </c>
      <c r="AI186" s="41" t="s">
        <v>670</v>
      </c>
      <c r="AJ186" s="41" t="s">
        <v>54</v>
      </c>
      <c r="AK186" s="41" t="s">
        <v>54</v>
      </c>
      <c r="AL186" s="41" t="s">
        <v>164</v>
      </c>
      <c r="AM186" s="45" t="s">
        <v>55</v>
      </c>
      <c r="AN186" s="45" t="s">
        <v>387</v>
      </c>
      <c r="AO186" s="45"/>
      <c r="AP186" s="46"/>
    </row>
    <row r="187" spans="3:42" ht="14.25" customHeight="1" x14ac:dyDescent="0.2">
      <c r="C187" s="40" t="str">
        <f>IF($X187=1,COUNTIF($C$10:C186,"&gt;0")+1,"")</f>
        <v/>
      </c>
      <c r="D187" s="41"/>
      <c r="E187" s="41" t="s">
        <v>665</v>
      </c>
      <c r="F187" s="42" t="s">
        <v>827</v>
      </c>
      <c r="G187" s="41" t="s">
        <v>823</v>
      </c>
      <c r="H187" s="41" t="s">
        <v>828</v>
      </c>
      <c r="I187" s="41" t="s">
        <v>825</v>
      </c>
      <c r="J187" s="41" t="s">
        <v>51</v>
      </c>
      <c r="K187" s="41" t="s">
        <v>52</v>
      </c>
      <c r="L187" s="43">
        <v>23861</v>
      </c>
      <c r="M187" s="41">
        <v>60</v>
      </c>
      <c r="N187" s="41" t="s">
        <v>829</v>
      </c>
      <c r="O187" s="43">
        <v>47294</v>
      </c>
      <c r="P187" s="41" t="s">
        <v>3</v>
      </c>
      <c r="Q187" s="41"/>
      <c r="R187" s="57">
        <v>45913</v>
      </c>
      <c r="S187" s="58">
        <v>45918</v>
      </c>
      <c r="T187" s="59">
        <f t="shared" si="2"/>
        <v>5</v>
      </c>
      <c r="U187" s="41">
        <v>1</v>
      </c>
      <c r="V187" s="41">
        <v>1</v>
      </c>
      <c r="W187" s="41">
        <v>0</v>
      </c>
      <c r="X187" s="41">
        <v>0</v>
      </c>
      <c r="Y187" s="41">
        <v>0</v>
      </c>
      <c r="Z187" s="41">
        <v>0</v>
      </c>
      <c r="AA187" s="41">
        <v>0</v>
      </c>
      <c r="AB187" s="41"/>
      <c r="AC187" s="43">
        <v>45913</v>
      </c>
      <c r="AD187" s="44">
        <v>0.67708333333575865</v>
      </c>
      <c r="AE187" s="41" t="s">
        <v>309</v>
      </c>
      <c r="AF187" s="43">
        <v>45918</v>
      </c>
      <c r="AG187" s="44">
        <v>0.80208333333575865</v>
      </c>
      <c r="AH187" s="41" t="s">
        <v>69</v>
      </c>
      <c r="AI187" s="41" t="s">
        <v>670</v>
      </c>
      <c r="AJ187" s="41" t="s">
        <v>54</v>
      </c>
      <c r="AK187" s="41" t="s">
        <v>54</v>
      </c>
      <c r="AL187" s="41" t="s">
        <v>164</v>
      </c>
      <c r="AM187" s="45" t="s">
        <v>55</v>
      </c>
      <c r="AN187" s="45" t="s">
        <v>387</v>
      </c>
      <c r="AO187" s="45"/>
      <c r="AP187" s="46"/>
    </row>
    <row r="188" spans="3:42" ht="14.25" customHeight="1" x14ac:dyDescent="0.2">
      <c r="C188" s="40">
        <f>IF($X188=1,COUNTIF($C$10:C187,"&gt;0")+1,"")</f>
        <v>89</v>
      </c>
      <c r="D188" s="41">
        <v>15262414</v>
      </c>
      <c r="E188" s="41" t="s">
        <v>665</v>
      </c>
      <c r="F188" s="42" t="s">
        <v>830</v>
      </c>
      <c r="G188" s="41" t="s">
        <v>830</v>
      </c>
      <c r="H188" s="41" t="s">
        <v>831</v>
      </c>
      <c r="I188" s="41" t="s">
        <v>832</v>
      </c>
      <c r="J188" s="41" t="s">
        <v>56</v>
      </c>
      <c r="K188" s="41" t="s">
        <v>52</v>
      </c>
      <c r="L188" s="43">
        <v>25336</v>
      </c>
      <c r="M188" s="41">
        <v>56</v>
      </c>
      <c r="N188" s="41" t="s">
        <v>833</v>
      </c>
      <c r="O188" s="43">
        <v>46759</v>
      </c>
      <c r="P188" s="41" t="s">
        <v>2</v>
      </c>
      <c r="Q188" s="41"/>
      <c r="R188" s="57">
        <v>45913</v>
      </c>
      <c r="S188" s="58">
        <v>45918</v>
      </c>
      <c r="T188" s="59">
        <f t="shared" si="2"/>
        <v>5</v>
      </c>
      <c r="U188" s="41">
        <v>1</v>
      </c>
      <c r="V188" s="41">
        <v>1</v>
      </c>
      <c r="W188" s="41">
        <v>0</v>
      </c>
      <c r="X188" s="41">
        <v>1</v>
      </c>
      <c r="Y188" s="41">
        <v>0</v>
      </c>
      <c r="Z188" s="41">
        <v>1</v>
      </c>
      <c r="AA188" s="41">
        <v>0</v>
      </c>
      <c r="AB188" s="41"/>
      <c r="AC188" s="43">
        <v>45913</v>
      </c>
      <c r="AD188" s="44">
        <v>0.73611111110949423</v>
      </c>
      <c r="AE188" s="41" t="s">
        <v>834</v>
      </c>
      <c r="AF188" s="43">
        <v>45918</v>
      </c>
      <c r="AG188" s="44">
        <v>0.34722222221898846</v>
      </c>
      <c r="AH188" s="41" t="s">
        <v>332</v>
      </c>
      <c r="AI188" s="41" t="s">
        <v>670</v>
      </c>
      <c r="AJ188" s="41" t="s">
        <v>54</v>
      </c>
      <c r="AK188" s="41" t="s">
        <v>54</v>
      </c>
      <c r="AL188" s="41" t="s">
        <v>164</v>
      </c>
      <c r="AM188" s="45" t="s">
        <v>55</v>
      </c>
      <c r="AN188" s="45" t="s">
        <v>300</v>
      </c>
      <c r="AO188" s="45"/>
      <c r="AP188" s="46"/>
    </row>
    <row r="189" spans="3:42" ht="14.25" customHeight="1" x14ac:dyDescent="0.2">
      <c r="C189" s="40" t="str">
        <f>IF($X189=1,COUNTIF($C$10:C188,"&gt;0")+1,"")</f>
        <v/>
      </c>
      <c r="D189" s="41"/>
      <c r="E189" s="41" t="s">
        <v>665</v>
      </c>
      <c r="F189" s="42" t="s">
        <v>835</v>
      </c>
      <c r="G189" s="41" t="s">
        <v>830</v>
      </c>
      <c r="H189" s="41" t="s">
        <v>836</v>
      </c>
      <c r="I189" s="41" t="s">
        <v>832</v>
      </c>
      <c r="J189" s="41" t="s">
        <v>51</v>
      </c>
      <c r="K189" s="41" t="s">
        <v>52</v>
      </c>
      <c r="L189" s="43">
        <v>25327</v>
      </c>
      <c r="M189" s="41">
        <v>56</v>
      </c>
      <c r="N189" s="41" t="s">
        <v>837</v>
      </c>
      <c r="O189" s="43">
        <v>46759</v>
      </c>
      <c r="P189" s="41" t="s">
        <v>2</v>
      </c>
      <c r="Q189" s="41"/>
      <c r="R189" s="57">
        <v>45913</v>
      </c>
      <c r="S189" s="58">
        <v>45918</v>
      </c>
      <c r="T189" s="59">
        <f t="shared" si="2"/>
        <v>5</v>
      </c>
      <c r="U189" s="41">
        <v>1</v>
      </c>
      <c r="V189" s="41">
        <v>1</v>
      </c>
      <c r="W189" s="41">
        <v>0</v>
      </c>
      <c r="X189" s="41">
        <v>0</v>
      </c>
      <c r="Y189" s="41">
        <v>0</v>
      </c>
      <c r="Z189" s="41">
        <v>0</v>
      </c>
      <c r="AA189" s="41">
        <v>0</v>
      </c>
      <c r="AB189" s="41"/>
      <c r="AC189" s="43">
        <v>45913</v>
      </c>
      <c r="AD189" s="44">
        <v>0.73611111110949423</v>
      </c>
      <c r="AE189" s="41" t="s">
        <v>834</v>
      </c>
      <c r="AF189" s="43">
        <v>45918</v>
      </c>
      <c r="AG189" s="44">
        <v>0.34722222221898846</v>
      </c>
      <c r="AH189" s="41" t="s">
        <v>332</v>
      </c>
      <c r="AI189" s="41" t="s">
        <v>670</v>
      </c>
      <c r="AJ189" s="41" t="s">
        <v>54</v>
      </c>
      <c r="AK189" s="41" t="s">
        <v>54</v>
      </c>
      <c r="AL189" s="41" t="s">
        <v>164</v>
      </c>
      <c r="AM189" s="45" t="s">
        <v>55</v>
      </c>
      <c r="AN189" s="45" t="s">
        <v>300</v>
      </c>
      <c r="AO189" s="45"/>
      <c r="AP189" s="46"/>
    </row>
    <row r="190" spans="3:42" ht="14.25" customHeight="1" x14ac:dyDescent="0.2">
      <c r="C190" s="40">
        <f>IF($X190=1,COUNTIF($C$10:C189,"&gt;0")+1,"")</f>
        <v>90</v>
      </c>
      <c r="D190" s="41">
        <v>15262415</v>
      </c>
      <c r="E190" s="41" t="s">
        <v>665</v>
      </c>
      <c r="F190" s="42" t="s">
        <v>838</v>
      </c>
      <c r="G190" s="41" t="s">
        <v>838</v>
      </c>
      <c r="H190" s="41" t="s">
        <v>839</v>
      </c>
      <c r="I190" s="41" t="s">
        <v>307</v>
      </c>
      <c r="J190" s="41" t="s">
        <v>56</v>
      </c>
      <c r="K190" s="41" t="s">
        <v>52</v>
      </c>
      <c r="L190" s="43">
        <v>22250</v>
      </c>
      <c r="M190" s="41">
        <v>64</v>
      </c>
      <c r="N190" s="41" t="s">
        <v>840</v>
      </c>
      <c r="O190" s="43">
        <v>49456</v>
      </c>
      <c r="P190" s="41" t="s">
        <v>3</v>
      </c>
      <c r="Q190" s="41"/>
      <c r="R190" s="57">
        <v>45913</v>
      </c>
      <c r="S190" s="58">
        <v>45918</v>
      </c>
      <c r="T190" s="59">
        <f t="shared" si="2"/>
        <v>5</v>
      </c>
      <c r="U190" s="41">
        <v>1</v>
      </c>
      <c r="V190" s="41">
        <v>1</v>
      </c>
      <c r="W190" s="41">
        <v>0</v>
      </c>
      <c r="X190" s="41">
        <v>1</v>
      </c>
      <c r="Y190" s="41">
        <v>0</v>
      </c>
      <c r="Z190" s="41">
        <v>0</v>
      </c>
      <c r="AA190" s="41">
        <v>1</v>
      </c>
      <c r="AB190" s="41"/>
      <c r="AC190" s="43">
        <v>45906</v>
      </c>
      <c r="AD190" s="44">
        <v>0.74305555555474712</v>
      </c>
      <c r="AE190" s="41" t="s">
        <v>146</v>
      </c>
      <c r="AF190" s="43">
        <v>45918</v>
      </c>
      <c r="AG190" s="44">
        <v>0.60416666666424135</v>
      </c>
      <c r="AH190" s="41" t="s">
        <v>152</v>
      </c>
      <c r="AI190" s="41" t="s">
        <v>670</v>
      </c>
      <c r="AJ190" s="41" t="s">
        <v>54</v>
      </c>
      <c r="AK190" s="41" t="s">
        <v>54</v>
      </c>
      <c r="AL190" s="41" t="s">
        <v>164</v>
      </c>
      <c r="AM190" s="45" t="s">
        <v>55</v>
      </c>
      <c r="AN190" s="45" t="s">
        <v>387</v>
      </c>
      <c r="AO190" s="45"/>
      <c r="AP190" s="46"/>
    </row>
    <row r="191" spans="3:42" ht="14.25" customHeight="1" x14ac:dyDescent="0.2">
      <c r="C191" s="40" t="str">
        <f>IF($X191=1,COUNTIF($C$10:C190,"&gt;0")+1,"")</f>
        <v/>
      </c>
      <c r="D191" s="41"/>
      <c r="E191" s="41" t="s">
        <v>665</v>
      </c>
      <c r="F191" s="42" t="s">
        <v>841</v>
      </c>
      <c r="G191" s="41" t="s">
        <v>838</v>
      </c>
      <c r="H191" s="41" t="s">
        <v>842</v>
      </c>
      <c r="I191" s="41" t="s">
        <v>130</v>
      </c>
      <c r="J191" s="41" t="s">
        <v>56</v>
      </c>
      <c r="K191" s="41" t="s">
        <v>52</v>
      </c>
      <c r="L191" s="43">
        <v>23179</v>
      </c>
      <c r="M191" s="41">
        <v>62</v>
      </c>
      <c r="N191" s="41" t="s">
        <v>843</v>
      </c>
      <c r="O191" s="43">
        <v>48592</v>
      </c>
      <c r="P191" s="41" t="s">
        <v>3</v>
      </c>
      <c r="Q191" s="41"/>
      <c r="R191" s="57">
        <v>45913</v>
      </c>
      <c r="S191" s="58">
        <v>45918</v>
      </c>
      <c r="T191" s="59">
        <f t="shared" si="2"/>
        <v>5</v>
      </c>
      <c r="U191" s="41">
        <v>1</v>
      </c>
      <c r="V191" s="41">
        <v>1</v>
      </c>
      <c r="W191" s="41">
        <v>0</v>
      </c>
      <c r="X191" s="41">
        <v>0</v>
      </c>
      <c r="Y191" s="41">
        <v>0</v>
      </c>
      <c r="Z191" s="41">
        <v>0</v>
      </c>
      <c r="AA191" s="41">
        <v>0</v>
      </c>
      <c r="AB191" s="41"/>
      <c r="AC191" s="43">
        <v>45913</v>
      </c>
      <c r="AD191" s="44">
        <v>0.20833333333575865</v>
      </c>
      <c r="AE191" s="41" t="s">
        <v>118</v>
      </c>
      <c r="AF191" s="43">
        <v>45921</v>
      </c>
      <c r="AG191" s="44">
        <v>0.60416666666424135</v>
      </c>
      <c r="AH191" s="41" t="s">
        <v>152</v>
      </c>
      <c r="AI191" s="41" t="s">
        <v>670</v>
      </c>
      <c r="AJ191" s="41" t="s">
        <v>54</v>
      </c>
      <c r="AK191" s="41" t="s">
        <v>54</v>
      </c>
      <c r="AL191" s="41" t="s">
        <v>164</v>
      </c>
      <c r="AM191" s="45" t="s">
        <v>55</v>
      </c>
      <c r="AN191" s="45" t="s">
        <v>387</v>
      </c>
      <c r="AO191" s="45"/>
      <c r="AP191" s="46"/>
    </row>
    <row r="192" spans="3:42" ht="14.25" customHeight="1" x14ac:dyDescent="0.2">
      <c r="C192" s="40">
        <f>IF($X192=1,COUNTIF($C$10:C191,"&gt;0")+1,"")</f>
        <v>91</v>
      </c>
      <c r="D192" s="41">
        <v>15262416</v>
      </c>
      <c r="E192" s="41" t="s">
        <v>665</v>
      </c>
      <c r="F192" s="42" t="s">
        <v>844</v>
      </c>
      <c r="G192" s="41" t="s">
        <v>838</v>
      </c>
      <c r="H192" s="41" t="s">
        <v>845</v>
      </c>
      <c r="I192" s="41" t="s">
        <v>307</v>
      </c>
      <c r="J192" s="41" t="s">
        <v>56</v>
      </c>
      <c r="K192" s="41" t="s">
        <v>52</v>
      </c>
      <c r="L192" s="43">
        <v>33483</v>
      </c>
      <c r="M192" s="41">
        <v>34</v>
      </c>
      <c r="N192" s="41" t="s">
        <v>846</v>
      </c>
      <c r="O192" s="43">
        <v>48343</v>
      </c>
      <c r="P192" s="41" t="s">
        <v>3</v>
      </c>
      <c r="Q192" s="41"/>
      <c r="R192" s="57">
        <v>45913</v>
      </c>
      <c r="S192" s="58">
        <v>45918</v>
      </c>
      <c r="T192" s="59">
        <f t="shared" si="2"/>
        <v>5</v>
      </c>
      <c r="U192" s="41">
        <v>1</v>
      </c>
      <c r="V192" s="41">
        <v>1</v>
      </c>
      <c r="W192" s="41">
        <v>0</v>
      </c>
      <c r="X192" s="41">
        <v>1</v>
      </c>
      <c r="Y192" s="41">
        <v>0</v>
      </c>
      <c r="Z192" s="41">
        <v>0</v>
      </c>
      <c r="AA192" s="41">
        <v>1</v>
      </c>
      <c r="AB192" s="41"/>
      <c r="AC192" s="43">
        <v>45906</v>
      </c>
      <c r="AD192" s="44">
        <v>0.74305555555474712</v>
      </c>
      <c r="AE192" s="41" t="s">
        <v>146</v>
      </c>
      <c r="AF192" s="43">
        <v>45918</v>
      </c>
      <c r="AG192" s="44">
        <v>0.60416666666424135</v>
      </c>
      <c r="AH192" s="41" t="s">
        <v>152</v>
      </c>
      <c r="AI192" s="41" t="s">
        <v>670</v>
      </c>
      <c r="AJ192" s="41" t="s">
        <v>54</v>
      </c>
      <c r="AK192" s="41" t="s">
        <v>54</v>
      </c>
      <c r="AL192" s="41" t="s">
        <v>164</v>
      </c>
      <c r="AM192" s="45" t="s">
        <v>55</v>
      </c>
      <c r="AN192" s="45" t="s">
        <v>293</v>
      </c>
      <c r="AO192" s="45"/>
      <c r="AP192" s="46"/>
    </row>
    <row r="193" spans="3:42" ht="14.25" customHeight="1" x14ac:dyDescent="0.2">
      <c r="C193" s="40" t="str">
        <f>IF($X193=1,COUNTIF($C$10:C192,"&gt;0")+1,"")</f>
        <v/>
      </c>
      <c r="D193" s="41"/>
      <c r="E193" s="41" t="s">
        <v>665</v>
      </c>
      <c r="F193" s="42" t="s">
        <v>847</v>
      </c>
      <c r="G193" s="41" t="s">
        <v>838</v>
      </c>
      <c r="H193" s="41" t="s">
        <v>848</v>
      </c>
      <c r="I193" s="41" t="s">
        <v>307</v>
      </c>
      <c r="J193" s="41" t="s">
        <v>51</v>
      </c>
      <c r="K193" s="41" t="s">
        <v>52</v>
      </c>
      <c r="L193" s="43">
        <v>34236</v>
      </c>
      <c r="M193" s="41">
        <v>31</v>
      </c>
      <c r="N193" s="41" t="s">
        <v>849</v>
      </c>
      <c r="O193" s="43">
        <v>48840</v>
      </c>
      <c r="P193" s="41" t="s">
        <v>3</v>
      </c>
      <c r="Q193" s="41"/>
      <c r="R193" s="57">
        <v>45913</v>
      </c>
      <c r="S193" s="58">
        <v>45918</v>
      </c>
      <c r="T193" s="59">
        <f t="shared" si="2"/>
        <v>5</v>
      </c>
      <c r="U193" s="41">
        <v>1</v>
      </c>
      <c r="V193" s="41">
        <v>1</v>
      </c>
      <c r="W193" s="41">
        <v>0</v>
      </c>
      <c r="X193" s="41">
        <v>0</v>
      </c>
      <c r="Y193" s="41">
        <v>0</v>
      </c>
      <c r="Z193" s="41">
        <v>0</v>
      </c>
      <c r="AA193" s="41">
        <v>0</v>
      </c>
      <c r="AB193" s="41"/>
      <c r="AC193" s="43">
        <v>45906</v>
      </c>
      <c r="AD193" s="44">
        <v>0.74305555555474712</v>
      </c>
      <c r="AE193" s="41" t="s">
        <v>146</v>
      </c>
      <c r="AF193" s="43">
        <v>45918</v>
      </c>
      <c r="AG193" s="44">
        <v>0.60416666666424135</v>
      </c>
      <c r="AH193" s="41" t="s">
        <v>152</v>
      </c>
      <c r="AI193" s="41" t="s">
        <v>670</v>
      </c>
      <c r="AJ193" s="41" t="s">
        <v>54</v>
      </c>
      <c r="AK193" s="41" t="s">
        <v>54</v>
      </c>
      <c r="AL193" s="41" t="s">
        <v>164</v>
      </c>
      <c r="AM193" s="45" t="s">
        <v>55</v>
      </c>
      <c r="AN193" s="45" t="s">
        <v>293</v>
      </c>
      <c r="AO193" s="45"/>
      <c r="AP193" s="46"/>
    </row>
    <row r="194" spans="3:42" ht="14.25" customHeight="1" x14ac:dyDescent="0.2">
      <c r="C194" s="40">
        <f>IF($X194=1,COUNTIF($C$10:C193,"&gt;0")+1,"")</f>
        <v>92</v>
      </c>
      <c r="D194" s="41">
        <v>15262417</v>
      </c>
      <c r="E194" s="41" t="s">
        <v>665</v>
      </c>
      <c r="F194" s="42" t="s">
        <v>850</v>
      </c>
      <c r="G194" s="41" t="s">
        <v>850</v>
      </c>
      <c r="H194" s="41" t="s">
        <v>851</v>
      </c>
      <c r="I194" s="41" t="s">
        <v>852</v>
      </c>
      <c r="J194" s="41" t="s">
        <v>56</v>
      </c>
      <c r="K194" s="41" t="s">
        <v>52</v>
      </c>
      <c r="L194" s="43">
        <v>18005</v>
      </c>
      <c r="M194" s="41">
        <v>76</v>
      </c>
      <c r="N194" s="41" t="s">
        <v>853</v>
      </c>
      <c r="O194" s="43">
        <v>49403</v>
      </c>
      <c r="P194" s="41" t="s">
        <v>3</v>
      </c>
      <c r="Q194" s="41"/>
      <c r="R194" s="57">
        <v>45913</v>
      </c>
      <c r="S194" s="58">
        <v>45918</v>
      </c>
      <c r="T194" s="59">
        <f t="shared" si="2"/>
        <v>5</v>
      </c>
      <c r="U194" s="41">
        <v>1</v>
      </c>
      <c r="V194" s="41">
        <v>1</v>
      </c>
      <c r="W194" s="41">
        <v>0</v>
      </c>
      <c r="X194" s="41">
        <v>1</v>
      </c>
      <c r="Y194" s="41">
        <v>0</v>
      </c>
      <c r="Z194" s="41">
        <v>0</v>
      </c>
      <c r="AA194" s="41">
        <v>1</v>
      </c>
      <c r="AB194" s="41"/>
      <c r="AC194" s="43">
        <v>45913</v>
      </c>
      <c r="AD194" s="44">
        <v>0.1875</v>
      </c>
      <c r="AE194" s="41" t="s">
        <v>98</v>
      </c>
      <c r="AF194" s="43">
        <v>45918</v>
      </c>
      <c r="AG194" s="44">
        <v>0.79513888889050577</v>
      </c>
      <c r="AH194" s="41" t="s">
        <v>99</v>
      </c>
      <c r="AI194" s="41" t="s">
        <v>670</v>
      </c>
      <c r="AJ194" s="41" t="s">
        <v>54</v>
      </c>
      <c r="AK194" s="41" t="s">
        <v>54</v>
      </c>
      <c r="AL194" s="41" t="s">
        <v>164</v>
      </c>
      <c r="AM194" s="45" t="s">
        <v>55</v>
      </c>
      <c r="AN194" s="45" t="s">
        <v>387</v>
      </c>
      <c r="AO194" s="45"/>
      <c r="AP194" s="46"/>
    </row>
    <row r="195" spans="3:42" ht="14.25" customHeight="1" x14ac:dyDescent="0.2">
      <c r="C195" s="40" t="str">
        <f>IF($X195=1,COUNTIF($C$10:C194,"&gt;0")+1,"")</f>
        <v/>
      </c>
      <c r="D195" s="41"/>
      <c r="E195" s="41" t="s">
        <v>665</v>
      </c>
      <c r="F195" s="42" t="s">
        <v>854</v>
      </c>
      <c r="G195" s="41" t="s">
        <v>850</v>
      </c>
      <c r="H195" s="41" t="s">
        <v>855</v>
      </c>
      <c r="I195" s="41" t="s">
        <v>856</v>
      </c>
      <c r="J195" s="41" t="s">
        <v>56</v>
      </c>
      <c r="K195" s="41" t="s">
        <v>52</v>
      </c>
      <c r="L195" s="43">
        <v>21652</v>
      </c>
      <c r="M195" s="41">
        <v>66</v>
      </c>
      <c r="N195" s="41" t="s">
        <v>857</v>
      </c>
      <c r="O195" s="43">
        <v>47838</v>
      </c>
      <c r="P195" s="41" t="s">
        <v>3</v>
      </c>
      <c r="Q195" s="41"/>
      <c r="R195" s="57">
        <v>45913</v>
      </c>
      <c r="S195" s="58">
        <v>45918</v>
      </c>
      <c r="T195" s="59">
        <f t="shared" si="2"/>
        <v>5</v>
      </c>
      <c r="U195" s="41">
        <v>1</v>
      </c>
      <c r="V195" s="41">
        <v>1</v>
      </c>
      <c r="W195" s="41">
        <v>0</v>
      </c>
      <c r="X195" s="41">
        <v>0</v>
      </c>
      <c r="Y195" s="41">
        <v>0</v>
      </c>
      <c r="Z195" s="41">
        <v>0</v>
      </c>
      <c r="AA195" s="41">
        <v>0</v>
      </c>
      <c r="AB195" s="41"/>
      <c r="AC195" s="43">
        <v>45913</v>
      </c>
      <c r="AD195" s="44">
        <v>0.1875</v>
      </c>
      <c r="AE195" s="41" t="s">
        <v>98</v>
      </c>
      <c r="AF195" s="43">
        <v>45918</v>
      </c>
      <c r="AG195" s="44">
        <v>0.79513888889050577</v>
      </c>
      <c r="AH195" s="41" t="s">
        <v>99</v>
      </c>
      <c r="AI195" s="41" t="s">
        <v>670</v>
      </c>
      <c r="AJ195" s="41" t="s">
        <v>54</v>
      </c>
      <c r="AK195" s="41" t="s">
        <v>54</v>
      </c>
      <c r="AL195" s="41" t="s">
        <v>164</v>
      </c>
      <c r="AM195" s="45" t="s">
        <v>55</v>
      </c>
      <c r="AN195" s="45" t="s">
        <v>387</v>
      </c>
      <c r="AO195" s="45"/>
      <c r="AP195" s="46"/>
    </row>
    <row r="196" spans="3:42" ht="14.25" customHeight="1" x14ac:dyDescent="0.2">
      <c r="C196" s="40">
        <f>IF($X196=1,COUNTIF($C$10:C195,"&gt;0")+1,"")</f>
        <v>93</v>
      </c>
      <c r="D196" s="41">
        <v>15262418</v>
      </c>
      <c r="E196" s="41" t="s">
        <v>665</v>
      </c>
      <c r="F196" s="42" t="s">
        <v>858</v>
      </c>
      <c r="G196" s="41" t="s">
        <v>858</v>
      </c>
      <c r="H196" s="41" t="s">
        <v>859</v>
      </c>
      <c r="I196" s="41" t="s">
        <v>860</v>
      </c>
      <c r="J196" s="41" t="s">
        <v>56</v>
      </c>
      <c r="K196" s="41" t="s">
        <v>52</v>
      </c>
      <c r="L196" s="43">
        <v>28202</v>
      </c>
      <c r="M196" s="41">
        <v>48</v>
      </c>
      <c r="N196" s="41" t="s">
        <v>861</v>
      </c>
      <c r="O196" s="43">
        <v>48672</v>
      </c>
      <c r="P196" s="41" t="s">
        <v>2</v>
      </c>
      <c r="Q196" s="41"/>
      <c r="R196" s="57">
        <v>45913</v>
      </c>
      <c r="S196" s="58">
        <v>45918</v>
      </c>
      <c r="T196" s="59">
        <f t="shared" si="2"/>
        <v>5</v>
      </c>
      <c r="U196" s="41">
        <v>1</v>
      </c>
      <c r="V196" s="41">
        <v>1</v>
      </c>
      <c r="W196" s="41">
        <v>0</v>
      </c>
      <c r="X196" s="41">
        <v>1</v>
      </c>
      <c r="Y196" s="41">
        <v>0</v>
      </c>
      <c r="Z196" s="41">
        <v>1</v>
      </c>
      <c r="AA196" s="41">
        <v>0</v>
      </c>
      <c r="AB196" s="41"/>
      <c r="AC196" s="43">
        <v>45913</v>
      </c>
      <c r="AD196" s="44">
        <v>0.1875</v>
      </c>
      <c r="AE196" s="41" t="s">
        <v>68</v>
      </c>
      <c r="AF196" s="43">
        <v>45918</v>
      </c>
      <c r="AG196" s="44">
        <v>0.80208333333575865</v>
      </c>
      <c r="AH196" s="41" t="s">
        <v>69</v>
      </c>
      <c r="AI196" s="41" t="s">
        <v>670</v>
      </c>
      <c r="AJ196" s="41" t="s">
        <v>54</v>
      </c>
      <c r="AK196" s="41" t="s">
        <v>54</v>
      </c>
      <c r="AL196" s="41" t="s">
        <v>164</v>
      </c>
      <c r="AM196" s="45" t="s">
        <v>55</v>
      </c>
      <c r="AN196" s="45" t="s">
        <v>300</v>
      </c>
      <c r="AO196" s="45"/>
      <c r="AP196" s="46"/>
    </row>
    <row r="197" spans="3:42" ht="14.25" customHeight="1" x14ac:dyDescent="0.2">
      <c r="C197" s="40" t="str">
        <f>IF($X197=1,COUNTIF($C$10:C196,"&gt;0")+1,"")</f>
        <v/>
      </c>
      <c r="D197" s="41"/>
      <c r="E197" s="41" t="s">
        <v>665</v>
      </c>
      <c r="F197" s="42" t="s">
        <v>862</v>
      </c>
      <c r="G197" s="41" t="s">
        <v>858</v>
      </c>
      <c r="H197" s="41" t="s">
        <v>129</v>
      </c>
      <c r="I197" s="41" t="s">
        <v>860</v>
      </c>
      <c r="J197" s="41" t="s">
        <v>51</v>
      </c>
      <c r="K197" s="41" t="s">
        <v>52</v>
      </c>
      <c r="L197" s="43">
        <v>20897</v>
      </c>
      <c r="M197" s="41">
        <v>68</v>
      </c>
      <c r="N197" s="41" t="s">
        <v>863</v>
      </c>
      <c r="O197" s="43">
        <v>46396</v>
      </c>
      <c r="P197" s="41" t="s">
        <v>2</v>
      </c>
      <c r="Q197" s="41"/>
      <c r="R197" s="57">
        <v>45913</v>
      </c>
      <c r="S197" s="58">
        <v>45918</v>
      </c>
      <c r="T197" s="59">
        <f t="shared" si="2"/>
        <v>5</v>
      </c>
      <c r="U197" s="41">
        <v>1</v>
      </c>
      <c r="V197" s="41">
        <v>1</v>
      </c>
      <c r="W197" s="41">
        <v>0</v>
      </c>
      <c r="X197" s="41">
        <v>0</v>
      </c>
      <c r="Y197" s="41">
        <v>0</v>
      </c>
      <c r="Z197" s="41">
        <v>0</v>
      </c>
      <c r="AA197" s="41">
        <v>0</v>
      </c>
      <c r="AB197" s="41"/>
      <c r="AC197" s="43">
        <v>45913</v>
      </c>
      <c r="AD197" s="44">
        <v>0.1875</v>
      </c>
      <c r="AE197" s="41" t="s">
        <v>68</v>
      </c>
      <c r="AF197" s="43">
        <v>45918</v>
      </c>
      <c r="AG197" s="44">
        <v>0.80208333333575865</v>
      </c>
      <c r="AH197" s="41" t="s">
        <v>69</v>
      </c>
      <c r="AI197" s="41" t="s">
        <v>670</v>
      </c>
      <c r="AJ197" s="41" t="s">
        <v>54</v>
      </c>
      <c r="AK197" s="41" t="s">
        <v>54</v>
      </c>
      <c r="AL197" s="41" t="s">
        <v>164</v>
      </c>
      <c r="AM197" s="45" t="s">
        <v>55</v>
      </c>
      <c r="AN197" s="45" t="s">
        <v>300</v>
      </c>
      <c r="AO197" s="45"/>
      <c r="AP197" s="46"/>
    </row>
    <row r="198" spans="3:42" ht="14.25" customHeight="1" x14ac:dyDescent="0.2">
      <c r="C198" s="40">
        <f>IF($X198=1,COUNTIF($C$10:C197,"&gt;0")+1,"")</f>
        <v>94</v>
      </c>
      <c r="D198" s="41">
        <v>15262419</v>
      </c>
      <c r="E198" s="41" t="s">
        <v>665</v>
      </c>
      <c r="F198" s="42" t="s">
        <v>864</v>
      </c>
      <c r="G198" s="41" t="s">
        <v>858</v>
      </c>
      <c r="H198" s="41" t="s">
        <v>865</v>
      </c>
      <c r="I198" s="41" t="s">
        <v>866</v>
      </c>
      <c r="J198" s="41" t="s">
        <v>51</v>
      </c>
      <c r="K198" s="41" t="s">
        <v>64</v>
      </c>
      <c r="L198" s="43">
        <v>17434</v>
      </c>
      <c r="M198" s="41">
        <v>77</v>
      </c>
      <c r="N198" s="41" t="s">
        <v>867</v>
      </c>
      <c r="O198" s="43">
        <v>46964</v>
      </c>
      <c r="P198" s="41" t="s">
        <v>1</v>
      </c>
      <c r="Q198" s="41"/>
      <c r="R198" s="57">
        <v>45913</v>
      </c>
      <c r="S198" s="58">
        <v>45918</v>
      </c>
      <c r="T198" s="59">
        <f t="shared" si="2"/>
        <v>5</v>
      </c>
      <c r="U198" s="41">
        <v>1</v>
      </c>
      <c r="V198" s="41">
        <v>1</v>
      </c>
      <c r="W198" s="41">
        <v>0</v>
      </c>
      <c r="X198" s="41">
        <v>1</v>
      </c>
      <c r="Y198" s="41">
        <v>1</v>
      </c>
      <c r="Z198" s="41">
        <v>0</v>
      </c>
      <c r="AA198" s="41">
        <v>0</v>
      </c>
      <c r="AB198" s="41"/>
      <c r="AC198" s="43">
        <v>45913</v>
      </c>
      <c r="AD198" s="44">
        <v>0.1875</v>
      </c>
      <c r="AE198" s="41" t="s">
        <v>68</v>
      </c>
      <c r="AF198" s="43">
        <v>45918</v>
      </c>
      <c r="AG198" s="44">
        <v>0.80208333333575865</v>
      </c>
      <c r="AH198" s="41" t="s">
        <v>69</v>
      </c>
      <c r="AI198" s="41" t="s">
        <v>670</v>
      </c>
      <c r="AJ198" s="41" t="s">
        <v>54</v>
      </c>
      <c r="AK198" s="41" t="s">
        <v>54</v>
      </c>
      <c r="AL198" s="41" t="s">
        <v>164</v>
      </c>
      <c r="AM198" s="45" t="s">
        <v>55</v>
      </c>
      <c r="AN198" s="45" t="s">
        <v>300</v>
      </c>
      <c r="AO198" s="45"/>
      <c r="AP198" s="46"/>
    </row>
    <row r="199" spans="3:42" ht="14.25" customHeight="1" x14ac:dyDescent="0.2">
      <c r="C199" s="40">
        <f>IF($X199=1,COUNTIF($C$10:C198,"&gt;0")+1,"")</f>
        <v>95</v>
      </c>
      <c r="D199" s="41">
        <v>15262420</v>
      </c>
      <c r="E199" s="41" t="s">
        <v>665</v>
      </c>
      <c r="F199" s="42" t="s">
        <v>868</v>
      </c>
      <c r="G199" s="41" t="s">
        <v>868</v>
      </c>
      <c r="H199" s="41" t="s">
        <v>869</v>
      </c>
      <c r="I199" s="41" t="s">
        <v>870</v>
      </c>
      <c r="J199" s="41" t="s">
        <v>56</v>
      </c>
      <c r="K199" s="41" t="s">
        <v>52</v>
      </c>
      <c r="L199" s="43">
        <v>19871</v>
      </c>
      <c r="M199" s="41">
        <v>71</v>
      </c>
      <c r="N199" s="41" t="s">
        <v>871</v>
      </c>
      <c r="O199" s="43">
        <v>48351</v>
      </c>
      <c r="P199" s="41" t="s">
        <v>3</v>
      </c>
      <c r="Q199" s="41"/>
      <c r="R199" s="57">
        <v>45913</v>
      </c>
      <c r="S199" s="58">
        <v>45918</v>
      </c>
      <c r="T199" s="59">
        <f t="shared" si="2"/>
        <v>5</v>
      </c>
      <c r="U199" s="41">
        <v>1</v>
      </c>
      <c r="V199" s="41">
        <v>1</v>
      </c>
      <c r="W199" s="41">
        <v>0</v>
      </c>
      <c r="X199" s="41">
        <v>1</v>
      </c>
      <c r="Y199" s="41">
        <v>0</v>
      </c>
      <c r="Z199" s="41">
        <v>0</v>
      </c>
      <c r="AA199" s="41">
        <v>1</v>
      </c>
      <c r="AB199" s="41"/>
      <c r="AC199" s="43">
        <v>45913</v>
      </c>
      <c r="AD199" s="44">
        <v>0.20833333333575865</v>
      </c>
      <c r="AE199" s="41" t="s">
        <v>432</v>
      </c>
      <c r="AF199" s="43">
        <v>45918</v>
      </c>
      <c r="AG199" s="44">
        <v>0.875</v>
      </c>
      <c r="AH199" s="41" t="s">
        <v>458</v>
      </c>
      <c r="AI199" s="41" t="s">
        <v>670</v>
      </c>
      <c r="AJ199" s="41" t="s">
        <v>54</v>
      </c>
      <c r="AK199" s="41" t="s">
        <v>54</v>
      </c>
      <c r="AL199" s="41" t="s">
        <v>164</v>
      </c>
      <c r="AM199" s="45" t="s">
        <v>55</v>
      </c>
      <c r="AN199" s="45" t="s">
        <v>387</v>
      </c>
      <c r="AO199" s="45"/>
      <c r="AP199" s="46"/>
    </row>
    <row r="200" spans="3:42" ht="14.25" customHeight="1" x14ac:dyDescent="0.2">
      <c r="C200" s="40" t="str">
        <f>IF($X200=1,COUNTIF($C$10:C199,"&gt;0")+1,"")</f>
        <v/>
      </c>
      <c r="D200" s="41"/>
      <c r="E200" s="41" t="s">
        <v>665</v>
      </c>
      <c r="F200" s="42" t="s">
        <v>872</v>
      </c>
      <c r="G200" s="41" t="s">
        <v>868</v>
      </c>
      <c r="H200" s="41" t="s">
        <v>873</v>
      </c>
      <c r="I200" s="41" t="s">
        <v>874</v>
      </c>
      <c r="J200" s="41" t="s">
        <v>56</v>
      </c>
      <c r="K200" s="41" t="s">
        <v>52</v>
      </c>
      <c r="L200" s="43">
        <v>17190</v>
      </c>
      <c r="M200" s="41">
        <v>78</v>
      </c>
      <c r="N200" s="41" t="s">
        <v>875</v>
      </c>
      <c r="O200" s="43">
        <v>48423</v>
      </c>
      <c r="P200" s="41" t="s">
        <v>3</v>
      </c>
      <c r="Q200" s="41"/>
      <c r="R200" s="57">
        <v>45913</v>
      </c>
      <c r="S200" s="58">
        <v>45918</v>
      </c>
      <c r="T200" s="59">
        <f t="shared" si="2"/>
        <v>5</v>
      </c>
      <c r="U200" s="41">
        <v>1</v>
      </c>
      <c r="V200" s="41">
        <v>1</v>
      </c>
      <c r="W200" s="41">
        <v>0</v>
      </c>
      <c r="X200" s="41">
        <v>0</v>
      </c>
      <c r="Y200" s="41">
        <v>0</v>
      </c>
      <c r="Z200" s="41">
        <v>0</v>
      </c>
      <c r="AA200" s="41">
        <v>0</v>
      </c>
      <c r="AB200" s="41"/>
      <c r="AC200" s="43">
        <v>45913</v>
      </c>
      <c r="AD200" s="44">
        <v>0.73611111110949423</v>
      </c>
      <c r="AE200" s="41" t="s">
        <v>834</v>
      </c>
      <c r="AF200" s="43">
        <v>45918</v>
      </c>
      <c r="AG200" s="44">
        <v>0.70138888889050577</v>
      </c>
      <c r="AH200" s="41" t="s">
        <v>60</v>
      </c>
      <c r="AI200" s="41" t="s">
        <v>670</v>
      </c>
      <c r="AJ200" s="41" t="s">
        <v>54</v>
      </c>
      <c r="AK200" s="41" t="s">
        <v>54</v>
      </c>
      <c r="AL200" s="41" t="s">
        <v>164</v>
      </c>
      <c r="AM200" s="45" t="s">
        <v>55</v>
      </c>
      <c r="AN200" s="45" t="s">
        <v>387</v>
      </c>
      <c r="AO200" s="45"/>
      <c r="AP200" s="46"/>
    </row>
    <row r="201" spans="3:42" ht="14.25" customHeight="1" x14ac:dyDescent="0.2">
      <c r="C201" s="40">
        <f>IF($X201=1,COUNTIF($C$10:C200,"&gt;0")+1,"")</f>
        <v>96</v>
      </c>
      <c r="D201" s="41">
        <v>15262422</v>
      </c>
      <c r="E201" s="41" t="s">
        <v>665</v>
      </c>
      <c r="F201" s="42" t="s">
        <v>876</v>
      </c>
      <c r="G201" s="41" t="s">
        <v>876</v>
      </c>
      <c r="H201" s="41" t="s">
        <v>106</v>
      </c>
      <c r="I201" s="41" t="s">
        <v>877</v>
      </c>
      <c r="J201" s="41" t="s">
        <v>51</v>
      </c>
      <c r="K201" s="41" t="s">
        <v>52</v>
      </c>
      <c r="L201" s="43">
        <v>21882</v>
      </c>
      <c r="M201" s="41">
        <v>65</v>
      </c>
      <c r="N201" s="41" t="s">
        <v>878</v>
      </c>
      <c r="O201" s="43">
        <v>48091</v>
      </c>
      <c r="P201" s="41" t="s">
        <v>2</v>
      </c>
      <c r="Q201" s="41"/>
      <c r="R201" s="57">
        <v>45913</v>
      </c>
      <c r="S201" s="58">
        <v>45918</v>
      </c>
      <c r="T201" s="59">
        <f t="shared" si="2"/>
        <v>5</v>
      </c>
      <c r="U201" s="41">
        <v>1</v>
      </c>
      <c r="V201" s="41">
        <v>1</v>
      </c>
      <c r="W201" s="41">
        <v>0</v>
      </c>
      <c r="X201" s="41">
        <v>1</v>
      </c>
      <c r="Y201" s="41">
        <v>0</v>
      </c>
      <c r="Z201" s="41">
        <v>1</v>
      </c>
      <c r="AA201" s="41">
        <v>0</v>
      </c>
      <c r="AB201" s="41"/>
      <c r="AC201" s="43">
        <v>45913</v>
      </c>
      <c r="AD201" s="44">
        <v>0.73611111110949423</v>
      </c>
      <c r="AE201" s="41" t="s">
        <v>834</v>
      </c>
      <c r="AF201" s="43">
        <v>45918</v>
      </c>
      <c r="AG201" s="44">
        <v>0.70138888889050577</v>
      </c>
      <c r="AH201" s="41" t="s">
        <v>60</v>
      </c>
      <c r="AI201" s="41" t="s">
        <v>670</v>
      </c>
      <c r="AJ201" s="41" t="s">
        <v>54</v>
      </c>
      <c r="AK201" s="41" t="s">
        <v>54</v>
      </c>
      <c r="AL201" s="41" t="s">
        <v>164</v>
      </c>
      <c r="AM201" s="45" t="s">
        <v>55</v>
      </c>
      <c r="AN201" s="45" t="s">
        <v>300</v>
      </c>
      <c r="AO201" s="45"/>
      <c r="AP201" s="46"/>
    </row>
    <row r="202" spans="3:42" ht="14.25" customHeight="1" x14ac:dyDescent="0.2">
      <c r="C202" s="40" t="str">
        <f>IF($X202=1,COUNTIF($C$10:C201,"&gt;0")+1,"")</f>
        <v/>
      </c>
      <c r="D202" s="41"/>
      <c r="E202" s="41" t="s">
        <v>665</v>
      </c>
      <c r="F202" s="42" t="s">
        <v>879</v>
      </c>
      <c r="G202" s="41" t="s">
        <v>876</v>
      </c>
      <c r="H202" s="41" t="s">
        <v>880</v>
      </c>
      <c r="I202" s="41" t="s">
        <v>881</v>
      </c>
      <c r="J202" s="41" t="s">
        <v>56</v>
      </c>
      <c r="K202" s="41" t="s">
        <v>52</v>
      </c>
      <c r="L202" s="43">
        <v>24883</v>
      </c>
      <c r="M202" s="41">
        <v>57</v>
      </c>
      <c r="N202" s="41" t="s">
        <v>882</v>
      </c>
      <c r="O202" s="43">
        <v>48091</v>
      </c>
      <c r="P202" s="41" t="s">
        <v>2</v>
      </c>
      <c r="Q202" s="41"/>
      <c r="R202" s="57">
        <v>45913</v>
      </c>
      <c r="S202" s="58">
        <v>45918</v>
      </c>
      <c r="T202" s="59">
        <f t="shared" ref="T202:T265" si="3">S202-R202</f>
        <v>5</v>
      </c>
      <c r="U202" s="41">
        <v>1</v>
      </c>
      <c r="V202" s="41">
        <v>1</v>
      </c>
      <c r="W202" s="41">
        <v>0</v>
      </c>
      <c r="X202" s="41">
        <v>0</v>
      </c>
      <c r="Y202" s="41">
        <v>0</v>
      </c>
      <c r="Z202" s="41">
        <v>0</v>
      </c>
      <c r="AA202" s="41">
        <v>0</v>
      </c>
      <c r="AB202" s="41"/>
      <c r="AC202" s="43">
        <v>45913</v>
      </c>
      <c r="AD202" s="44">
        <v>0.73611111110949423</v>
      </c>
      <c r="AE202" s="41" t="s">
        <v>834</v>
      </c>
      <c r="AF202" s="43">
        <v>45918</v>
      </c>
      <c r="AG202" s="44">
        <v>0.70138888889050577</v>
      </c>
      <c r="AH202" s="41" t="s">
        <v>60</v>
      </c>
      <c r="AI202" s="41" t="s">
        <v>670</v>
      </c>
      <c r="AJ202" s="41" t="s">
        <v>54</v>
      </c>
      <c r="AK202" s="41" t="s">
        <v>54</v>
      </c>
      <c r="AL202" s="41" t="s">
        <v>164</v>
      </c>
      <c r="AM202" s="45" t="s">
        <v>55</v>
      </c>
      <c r="AN202" s="45" t="s">
        <v>300</v>
      </c>
      <c r="AO202" s="45"/>
      <c r="AP202" s="46"/>
    </row>
    <row r="203" spans="3:42" ht="14.25" customHeight="1" x14ac:dyDescent="0.2">
      <c r="C203" s="40">
        <f>IF($X203=1,COUNTIF($C$10:C202,"&gt;0")+1,"")</f>
        <v>97</v>
      </c>
      <c r="D203" s="41">
        <v>15262423</v>
      </c>
      <c r="E203" s="41" t="s">
        <v>665</v>
      </c>
      <c r="F203" s="42" t="s">
        <v>883</v>
      </c>
      <c r="G203" s="41" t="s">
        <v>883</v>
      </c>
      <c r="H203" s="41" t="s">
        <v>884</v>
      </c>
      <c r="I203" s="41" t="s">
        <v>143</v>
      </c>
      <c r="J203" s="41" t="s">
        <v>51</v>
      </c>
      <c r="K203" s="41" t="s">
        <v>52</v>
      </c>
      <c r="L203" s="43">
        <v>18224</v>
      </c>
      <c r="M203" s="41">
        <v>75</v>
      </c>
      <c r="N203" s="41" t="s">
        <v>54</v>
      </c>
      <c r="O203" s="43" t="s">
        <v>54</v>
      </c>
      <c r="P203" s="41" t="s">
        <v>3</v>
      </c>
      <c r="Q203" s="41"/>
      <c r="R203" s="57">
        <v>45913</v>
      </c>
      <c r="S203" s="58">
        <v>45918</v>
      </c>
      <c r="T203" s="59">
        <f t="shared" si="3"/>
        <v>5</v>
      </c>
      <c r="U203" s="41">
        <v>1</v>
      </c>
      <c r="V203" s="41">
        <v>1</v>
      </c>
      <c r="W203" s="41">
        <v>0</v>
      </c>
      <c r="X203" s="41">
        <v>1</v>
      </c>
      <c r="Y203" s="41">
        <v>0</v>
      </c>
      <c r="Z203" s="41">
        <v>0</v>
      </c>
      <c r="AA203" s="41">
        <v>1</v>
      </c>
      <c r="AB203" s="41"/>
      <c r="AC203" s="43">
        <v>45911</v>
      </c>
      <c r="AD203" s="44"/>
      <c r="AE203" s="41" t="s">
        <v>107</v>
      </c>
      <c r="AF203" s="43">
        <v>45920</v>
      </c>
      <c r="AG203" s="44"/>
      <c r="AH203" s="41" t="s">
        <v>107</v>
      </c>
      <c r="AI203" s="41" t="s">
        <v>670</v>
      </c>
      <c r="AJ203" s="41" t="s">
        <v>54</v>
      </c>
      <c r="AK203" s="41" t="s">
        <v>54</v>
      </c>
      <c r="AL203" s="41" t="s">
        <v>164</v>
      </c>
      <c r="AM203" s="45" t="s">
        <v>55</v>
      </c>
      <c r="AN203" s="45" t="s">
        <v>387</v>
      </c>
      <c r="AO203" s="45"/>
      <c r="AP203" s="46"/>
    </row>
    <row r="204" spans="3:42" ht="14.25" customHeight="1" x14ac:dyDescent="0.2">
      <c r="C204" s="40" t="str">
        <f>IF($X204=1,COUNTIF($C$10:C203,"&gt;0")+1,"")</f>
        <v/>
      </c>
      <c r="D204" s="41"/>
      <c r="E204" s="41" t="s">
        <v>665</v>
      </c>
      <c r="F204" s="42" t="s">
        <v>885</v>
      </c>
      <c r="G204" s="41" t="s">
        <v>883</v>
      </c>
      <c r="H204" s="41" t="s">
        <v>886</v>
      </c>
      <c r="I204" s="41" t="s">
        <v>887</v>
      </c>
      <c r="J204" s="41" t="s">
        <v>51</v>
      </c>
      <c r="K204" s="41" t="s">
        <v>52</v>
      </c>
      <c r="L204" s="43">
        <v>22031</v>
      </c>
      <c r="M204" s="41">
        <v>65</v>
      </c>
      <c r="N204" s="41" t="s">
        <v>54</v>
      </c>
      <c r="O204" s="43" t="s">
        <v>54</v>
      </c>
      <c r="P204" s="41" t="s">
        <v>3</v>
      </c>
      <c r="Q204" s="41"/>
      <c r="R204" s="57">
        <v>45913</v>
      </c>
      <c r="S204" s="58">
        <v>45918</v>
      </c>
      <c r="T204" s="59">
        <f t="shared" si="3"/>
        <v>5</v>
      </c>
      <c r="U204" s="41">
        <v>1</v>
      </c>
      <c r="V204" s="41">
        <v>1</v>
      </c>
      <c r="W204" s="41">
        <v>0</v>
      </c>
      <c r="X204" s="41">
        <v>0</v>
      </c>
      <c r="Y204" s="41">
        <v>0</v>
      </c>
      <c r="Z204" s="41">
        <v>0</v>
      </c>
      <c r="AA204" s="41">
        <v>0</v>
      </c>
      <c r="AB204" s="41"/>
      <c r="AC204" s="43">
        <v>45913</v>
      </c>
      <c r="AD204" s="44">
        <v>0.45833333333575865</v>
      </c>
      <c r="AE204" s="41" t="s">
        <v>72</v>
      </c>
      <c r="AF204" s="43" t="s">
        <v>54</v>
      </c>
      <c r="AG204" s="44" t="s">
        <v>54</v>
      </c>
      <c r="AH204" s="41" t="s">
        <v>107</v>
      </c>
      <c r="AI204" s="41" t="s">
        <v>670</v>
      </c>
      <c r="AJ204" s="41" t="s">
        <v>54</v>
      </c>
      <c r="AK204" s="41" t="s">
        <v>54</v>
      </c>
      <c r="AL204" s="41" t="s">
        <v>164</v>
      </c>
      <c r="AM204" s="45" t="s">
        <v>55</v>
      </c>
      <c r="AN204" s="45" t="s">
        <v>387</v>
      </c>
      <c r="AO204" s="45"/>
      <c r="AP204" s="46"/>
    </row>
    <row r="205" spans="3:42" ht="14.25" customHeight="1" x14ac:dyDescent="0.2">
      <c r="C205" s="40">
        <f>IF($X205=1,COUNTIF($C$10:C204,"&gt;0")+1,"")</f>
        <v>98</v>
      </c>
      <c r="D205" s="41">
        <v>15262424</v>
      </c>
      <c r="E205" s="41" t="s">
        <v>665</v>
      </c>
      <c r="F205" s="42" t="s">
        <v>888</v>
      </c>
      <c r="G205" s="41" t="s">
        <v>888</v>
      </c>
      <c r="H205" s="41" t="s">
        <v>889</v>
      </c>
      <c r="I205" s="41" t="s">
        <v>890</v>
      </c>
      <c r="J205" s="41" t="s">
        <v>56</v>
      </c>
      <c r="K205" s="41" t="s">
        <v>52</v>
      </c>
      <c r="L205" s="43">
        <v>28195</v>
      </c>
      <c r="M205" s="41">
        <v>48</v>
      </c>
      <c r="N205" s="41" t="s">
        <v>891</v>
      </c>
      <c r="O205" s="43">
        <v>46832</v>
      </c>
      <c r="P205" s="41" t="s">
        <v>3</v>
      </c>
      <c r="Q205" s="41"/>
      <c r="R205" s="57">
        <v>45913</v>
      </c>
      <c r="S205" s="58">
        <v>45918</v>
      </c>
      <c r="T205" s="59">
        <f t="shared" si="3"/>
        <v>5</v>
      </c>
      <c r="U205" s="41">
        <v>1</v>
      </c>
      <c r="V205" s="41">
        <v>1</v>
      </c>
      <c r="W205" s="41">
        <v>0</v>
      </c>
      <c r="X205" s="41">
        <v>1</v>
      </c>
      <c r="Y205" s="41">
        <v>0</v>
      </c>
      <c r="Z205" s="41">
        <v>0</v>
      </c>
      <c r="AA205" s="41">
        <v>1</v>
      </c>
      <c r="AB205" s="41"/>
      <c r="AC205" s="43">
        <v>45913</v>
      </c>
      <c r="AD205" s="44">
        <v>0.62152777778101154</v>
      </c>
      <c r="AE205" s="41" t="s">
        <v>73</v>
      </c>
      <c r="AF205" s="43">
        <v>45921</v>
      </c>
      <c r="AG205" s="44">
        <v>0.52777777778101154</v>
      </c>
      <c r="AH205" s="41" t="s">
        <v>101</v>
      </c>
      <c r="AI205" s="41" t="s">
        <v>670</v>
      </c>
      <c r="AJ205" s="41" t="s">
        <v>54</v>
      </c>
      <c r="AK205" s="41" t="s">
        <v>54</v>
      </c>
      <c r="AL205" s="41" t="s">
        <v>164</v>
      </c>
      <c r="AM205" s="45" t="s">
        <v>55</v>
      </c>
      <c r="AN205" s="45" t="s">
        <v>387</v>
      </c>
      <c r="AO205" s="45"/>
      <c r="AP205" s="46"/>
    </row>
    <row r="206" spans="3:42" ht="14.25" customHeight="1" x14ac:dyDescent="0.2">
      <c r="C206" s="40" t="str">
        <f>IF($X206=1,COUNTIF($C$10:C205,"&gt;0")+1,"")</f>
        <v/>
      </c>
      <c r="D206" s="41"/>
      <c r="E206" s="41" t="s">
        <v>665</v>
      </c>
      <c r="F206" s="42" t="s">
        <v>892</v>
      </c>
      <c r="G206" s="41" t="s">
        <v>888</v>
      </c>
      <c r="H206" s="41" t="s">
        <v>893</v>
      </c>
      <c r="I206" s="41" t="s">
        <v>894</v>
      </c>
      <c r="J206" s="41" t="s">
        <v>56</v>
      </c>
      <c r="K206" s="41" t="s">
        <v>52</v>
      </c>
      <c r="L206" s="43">
        <v>21374</v>
      </c>
      <c r="M206" s="41">
        <v>67</v>
      </c>
      <c r="N206" s="41" t="s">
        <v>895</v>
      </c>
      <c r="O206" s="43">
        <v>48072</v>
      </c>
      <c r="P206" s="41" t="s">
        <v>3</v>
      </c>
      <c r="Q206" s="41"/>
      <c r="R206" s="57">
        <v>45913</v>
      </c>
      <c r="S206" s="58">
        <v>45918</v>
      </c>
      <c r="T206" s="59">
        <f t="shared" si="3"/>
        <v>5</v>
      </c>
      <c r="U206" s="41">
        <v>1</v>
      </c>
      <c r="V206" s="41">
        <v>1</v>
      </c>
      <c r="W206" s="41">
        <v>0</v>
      </c>
      <c r="X206" s="41">
        <v>0</v>
      </c>
      <c r="Y206" s="41">
        <v>0</v>
      </c>
      <c r="Z206" s="41">
        <v>0</v>
      </c>
      <c r="AA206" s="41">
        <v>0</v>
      </c>
      <c r="AB206" s="41"/>
      <c r="AC206" s="43">
        <v>45913</v>
      </c>
      <c r="AD206" s="44">
        <v>0.45833333333575865</v>
      </c>
      <c r="AE206" s="41" t="s">
        <v>72</v>
      </c>
      <c r="AF206" s="43">
        <v>45918</v>
      </c>
      <c r="AG206" s="44">
        <v>0.5</v>
      </c>
      <c r="AH206" s="41" t="s">
        <v>145</v>
      </c>
      <c r="AI206" s="41" t="s">
        <v>670</v>
      </c>
      <c r="AJ206" s="41" t="s">
        <v>54</v>
      </c>
      <c r="AK206" s="41" t="s">
        <v>54</v>
      </c>
      <c r="AL206" s="41" t="s">
        <v>164</v>
      </c>
      <c r="AM206" s="45" t="s">
        <v>55</v>
      </c>
      <c r="AN206" s="45" t="s">
        <v>387</v>
      </c>
      <c r="AO206" s="45"/>
      <c r="AP206" s="46"/>
    </row>
    <row r="207" spans="3:42" ht="14.25" customHeight="1" x14ac:dyDescent="0.2">
      <c r="C207" s="40">
        <f>IF($X207=1,COUNTIF($C$10:C206,"&gt;0")+1,"")</f>
        <v>99</v>
      </c>
      <c r="D207" s="41">
        <v>15262425</v>
      </c>
      <c r="E207" s="41" t="s">
        <v>665</v>
      </c>
      <c r="F207" s="42" t="s">
        <v>896</v>
      </c>
      <c r="G207" s="41" t="s">
        <v>896</v>
      </c>
      <c r="H207" s="41" t="s">
        <v>897</v>
      </c>
      <c r="I207" s="41" t="s">
        <v>121</v>
      </c>
      <c r="J207" s="41" t="s">
        <v>51</v>
      </c>
      <c r="K207" s="41" t="s">
        <v>85</v>
      </c>
      <c r="L207" s="43">
        <v>34024</v>
      </c>
      <c r="M207" s="41">
        <v>32</v>
      </c>
      <c r="N207" s="41" t="s">
        <v>898</v>
      </c>
      <c r="O207" s="43">
        <v>48682</v>
      </c>
      <c r="P207" s="41" t="s">
        <v>2</v>
      </c>
      <c r="Q207" s="41"/>
      <c r="R207" s="57">
        <v>45913</v>
      </c>
      <c r="S207" s="58">
        <v>45918</v>
      </c>
      <c r="T207" s="59">
        <f t="shared" si="3"/>
        <v>5</v>
      </c>
      <c r="U207" s="41">
        <v>1</v>
      </c>
      <c r="V207" s="41">
        <v>1</v>
      </c>
      <c r="W207" s="41">
        <v>0</v>
      </c>
      <c r="X207" s="41">
        <v>1</v>
      </c>
      <c r="Y207" s="41">
        <v>0</v>
      </c>
      <c r="Z207" s="41">
        <v>1</v>
      </c>
      <c r="AA207" s="41">
        <v>0</v>
      </c>
      <c r="AB207" s="41"/>
      <c r="AC207" s="43">
        <v>45913</v>
      </c>
      <c r="AD207" s="44">
        <v>0.98958333333575865</v>
      </c>
      <c r="AE207" s="41" t="s">
        <v>899</v>
      </c>
      <c r="AF207" s="43">
        <v>45920</v>
      </c>
      <c r="AG207" s="44">
        <v>0.86458333333575865</v>
      </c>
      <c r="AH207" s="41" t="s">
        <v>87</v>
      </c>
      <c r="AI207" s="41" t="s">
        <v>670</v>
      </c>
      <c r="AJ207" s="41" t="s">
        <v>54</v>
      </c>
      <c r="AK207" s="41" t="s">
        <v>54</v>
      </c>
      <c r="AL207" s="41" t="s">
        <v>164</v>
      </c>
      <c r="AM207" s="45" t="s">
        <v>55</v>
      </c>
      <c r="AN207" s="45" t="s">
        <v>300</v>
      </c>
      <c r="AO207" s="45" t="s">
        <v>79</v>
      </c>
      <c r="AP207" s="46"/>
    </row>
    <row r="208" spans="3:42" ht="14.25" customHeight="1" x14ac:dyDescent="0.2">
      <c r="C208" s="40" t="str">
        <f>IF($X208=1,COUNTIF($C$10:C207,"&gt;0")+1,"")</f>
        <v/>
      </c>
      <c r="D208" s="41"/>
      <c r="E208" s="41" t="s">
        <v>665</v>
      </c>
      <c r="F208" s="42" t="s">
        <v>900</v>
      </c>
      <c r="G208" s="41" t="s">
        <v>896</v>
      </c>
      <c r="H208" s="41" t="s">
        <v>901</v>
      </c>
      <c r="I208" s="41" t="s">
        <v>902</v>
      </c>
      <c r="J208" s="41" t="s">
        <v>56</v>
      </c>
      <c r="K208" s="41" t="s">
        <v>85</v>
      </c>
      <c r="L208" s="43">
        <v>35578</v>
      </c>
      <c r="M208" s="41">
        <v>28</v>
      </c>
      <c r="N208" s="41" t="s">
        <v>903</v>
      </c>
      <c r="O208" s="43">
        <v>46589</v>
      </c>
      <c r="P208" s="41" t="s">
        <v>2</v>
      </c>
      <c r="Q208" s="41"/>
      <c r="R208" s="57">
        <v>45913</v>
      </c>
      <c r="S208" s="58">
        <v>45918</v>
      </c>
      <c r="T208" s="59">
        <f t="shared" si="3"/>
        <v>5</v>
      </c>
      <c r="U208" s="41">
        <v>1</v>
      </c>
      <c r="V208" s="41">
        <v>1</v>
      </c>
      <c r="W208" s="41">
        <v>0</v>
      </c>
      <c r="X208" s="41">
        <v>0</v>
      </c>
      <c r="Y208" s="41">
        <v>0</v>
      </c>
      <c r="Z208" s="41">
        <v>0</v>
      </c>
      <c r="AA208" s="41">
        <v>0</v>
      </c>
      <c r="AB208" s="41"/>
      <c r="AC208" s="43">
        <v>45913</v>
      </c>
      <c r="AD208" s="44">
        <v>0.98958333333575865</v>
      </c>
      <c r="AE208" s="41" t="s">
        <v>899</v>
      </c>
      <c r="AF208" s="43">
        <v>45920</v>
      </c>
      <c r="AG208" s="44">
        <v>0.86458333333575865</v>
      </c>
      <c r="AH208" s="41" t="s">
        <v>87</v>
      </c>
      <c r="AI208" s="41" t="s">
        <v>670</v>
      </c>
      <c r="AJ208" s="41" t="s">
        <v>54</v>
      </c>
      <c r="AK208" s="41" t="s">
        <v>54</v>
      </c>
      <c r="AL208" s="41" t="s">
        <v>164</v>
      </c>
      <c r="AM208" s="45" t="s">
        <v>55</v>
      </c>
      <c r="AN208" s="45" t="s">
        <v>300</v>
      </c>
      <c r="AO208" s="45" t="s">
        <v>79</v>
      </c>
      <c r="AP208" s="46"/>
    </row>
    <row r="209" spans="3:42" ht="14.25" customHeight="1" x14ac:dyDescent="0.2">
      <c r="C209" s="40">
        <f>IF($X209=1,COUNTIF($C$10:C208,"&gt;0")+1,"")</f>
        <v>100</v>
      </c>
      <c r="D209" s="41">
        <v>15262426</v>
      </c>
      <c r="E209" s="41" t="s">
        <v>665</v>
      </c>
      <c r="F209" s="42" t="s">
        <v>904</v>
      </c>
      <c r="G209" s="41" t="s">
        <v>904</v>
      </c>
      <c r="H209" s="41" t="s">
        <v>905</v>
      </c>
      <c r="I209" s="41" t="s">
        <v>123</v>
      </c>
      <c r="J209" s="41" t="s">
        <v>56</v>
      </c>
      <c r="K209" s="41" t="s">
        <v>52</v>
      </c>
      <c r="L209" s="43">
        <v>18641</v>
      </c>
      <c r="M209" s="41">
        <v>74</v>
      </c>
      <c r="N209" s="41" t="s">
        <v>906</v>
      </c>
      <c r="O209" s="43">
        <v>46115</v>
      </c>
      <c r="P209" s="41" t="s">
        <v>3</v>
      </c>
      <c r="Q209" s="41"/>
      <c r="R209" s="57">
        <v>45913</v>
      </c>
      <c r="S209" s="58">
        <v>45918</v>
      </c>
      <c r="T209" s="59">
        <f t="shared" si="3"/>
        <v>5</v>
      </c>
      <c r="U209" s="41">
        <v>1</v>
      </c>
      <c r="V209" s="41">
        <v>1</v>
      </c>
      <c r="W209" s="41">
        <v>0</v>
      </c>
      <c r="X209" s="41">
        <v>1</v>
      </c>
      <c r="Y209" s="41">
        <v>0</v>
      </c>
      <c r="Z209" s="41">
        <v>0</v>
      </c>
      <c r="AA209" s="41">
        <v>1</v>
      </c>
      <c r="AB209" s="41"/>
      <c r="AC209" s="43">
        <v>45913</v>
      </c>
      <c r="AD209" s="44">
        <v>0.65625</v>
      </c>
      <c r="AE209" s="41" t="s">
        <v>122</v>
      </c>
      <c r="AF209" s="43">
        <v>45925</v>
      </c>
      <c r="AG209" s="44">
        <v>0.53125</v>
      </c>
      <c r="AH209" s="41" t="s">
        <v>74</v>
      </c>
      <c r="AI209" s="41" t="s">
        <v>670</v>
      </c>
      <c r="AJ209" s="41" t="s">
        <v>54</v>
      </c>
      <c r="AK209" s="41" t="s">
        <v>54</v>
      </c>
      <c r="AL209" s="41" t="s">
        <v>164</v>
      </c>
      <c r="AM209" s="45" t="s">
        <v>55</v>
      </c>
      <c r="AN209" s="45" t="s">
        <v>387</v>
      </c>
      <c r="AO209" s="45"/>
      <c r="AP209" s="46"/>
    </row>
    <row r="210" spans="3:42" ht="14.25" customHeight="1" x14ac:dyDescent="0.2">
      <c r="C210" s="40" t="str">
        <f>IF($X210=1,COUNTIF($C$10:C209,"&gt;0")+1,"")</f>
        <v/>
      </c>
      <c r="D210" s="41"/>
      <c r="E210" s="41" t="s">
        <v>665</v>
      </c>
      <c r="F210" s="42" t="s">
        <v>907</v>
      </c>
      <c r="G210" s="41" t="s">
        <v>904</v>
      </c>
      <c r="H210" s="41" t="s">
        <v>908</v>
      </c>
      <c r="I210" s="41" t="s">
        <v>123</v>
      </c>
      <c r="J210" s="41" t="s">
        <v>56</v>
      </c>
      <c r="K210" s="41" t="s">
        <v>52</v>
      </c>
      <c r="L210" s="43">
        <v>19704</v>
      </c>
      <c r="M210" s="41">
        <v>71</v>
      </c>
      <c r="N210" s="41" t="s">
        <v>909</v>
      </c>
      <c r="O210" s="43">
        <v>49291</v>
      </c>
      <c r="P210" s="41" t="s">
        <v>3</v>
      </c>
      <c r="Q210" s="41"/>
      <c r="R210" s="57">
        <v>45913</v>
      </c>
      <c r="S210" s="58">
        <v>45918</v>
      </c>
      <c r="T210" s="59">
        <f t="shared" si="3"/>
        <v>5</v>
      </c>
      <c r="U210" s="41">
        <v>1</v>
      </c>
      <c r="V210" s="41">
        <v>1</v>
      </c>
      <c r="W210" s="41">
        <v>0</v>
      </c>
      <c r="X210" s="41">
        <v>0</v>
      </c>
      <c r="Y210" s="41">
        <v>0</v>
      </c>
      <c r="Z210" s="41">
        <v>0</v>
      </c>
      <c r="AA210" s="41">
        <v>0</v>
      </c>
      <c r="AB210" s="41"/>
      <c r="AC210" s="43">
        <v>45907</v>
      </c>
      <c r="AD210" s="44">
        <v>0.73611111110949423</v>
      </c>
      <c r="AE210" s="41" t="s">
        <v>127</v>
      </c>
      <c r="AF210" s="43">
        <v>45930</v>
      </c>
      <c r="AG210" s="44">
        <v>0.43402777778101154</v>
      </c>
      <c r="AH210" s="41" t="s">
        <v>128</v>
      </c>
      <c r="AI210" s="41" t="s">
        <v>670</v>
      </c>
      <c r="AJ210" s="41" t="s">
        <v>54</v>
      </c>
      <c r="AK210" s="41" t="s">
        <v>54</v>
      </c>
      <c r="AL210" s="41" t="s">
        <v>164</v>
      </c>
      <c r="AM210" s="45" t="s">
        <v>55</v>
      </c>
      <c r="AN210" s="45" t="s">
        <v>387</v>
      </c>
      <c r="AO210" s="45"/>
      <c r="AP210" s="46"/>
    </row>
    <row r="211" spans="3:42" ht="14.25" customHeight="1" x14ac:dyDescent="0.2">
      <c r="C211" s="40">
        <f>IF($X211=1,COUNTIF($C$10:C210,"&gt;0")+1,"")</f>
        <v>101</v>
      </c>
      <c r="D211" s="41">
        <v>15262427</v>
      </c>
      <c r="E211" s="41" t="s">
        <v>665</v>
      </c>
      <c r="F211" s="42" t="s">
        <v>910</v>
      </c>
      <c r="G211" s="41" t="s">
        <v>910</v>
      </c>
      <c r="H211" s="41" t="s">
        <v>911</v>
      </c>
      <c r="I211" s="41" t="s">
        <v>912</v>
      </c>
      <c r="J211" s="41" t="s">
        <v>56</v>
      </c>
      <c r="K211" s="41" t="s">
        <v>52</v>
      </c>
      <c r="L211" s="43">
        <v>19609</v>
      </c>
      <c r="M211" s="41">
        <v>72</v>
      </c>
      <c r="N211" s="41" t="s">
        <v>913</v>
      </c>
      <c r="O211" s="43">
        <v>46291</v>
      </c>
      <c r="P211" s="41" t="s">
        <v>3</v>
      </c>
      <c r="Q211" s="41"/>
      <c r="R211" s="57">
        <v>45913</v>
      </c>
      <c r="S211" s="58">
        <v>45918</v>
      </c>
      <c r="T211" s="59">
        <f t="shared" si="3"/>
        <v>5</v>
      </c>
      <c r="U211" s="41">
        <v>1</v>
      </c>
      <c r="V211" s="41">
        <v>1</v>
      </c>
      <c r="W211" s="41">
        <v>0</v>
      </c>
      <c r="X211" s="41">
        <v>1</v>
      </c>
      <c r="Y211" s="41">
        <v>0</v>
      </c>
      <c r="Z211" s="41">
        <v>0</v>
      </c>
      <c r="AA211" s="41">
        <v>1</v>
      </c>
      <c r="AB211" s="41"/>
      <c r="AC211" s="43">
        <v>45913</v>
      </c>
      <c r="AD211" s="44">
        <v>0.45833333333575865</v>
      </c>
      <c r="AE211" s="41" t="s">
        <v>72</v>
      </c>
      <c r="AF211" s="43">
        <v>45918</v>
      </c>
      <c r="AG211" s="44">
        <v>0.5</v>
      </c>
      <c r="AH211" s="41" t="s">
        <v>145</v>
      </c>
      <c r="AI211" s="41" t="s">
        <v>670</v>
      </c>
      <c r="AJ211" s="41" t="s">
        <v>54</v>
      </c>
      <c r="AK211" s="41" t="s">
        <v>54</v>
      </c>
      <c r="AL211" s="41" t="s">
        <v>164</v>
      </c>
      <c r="AM211" s="45" t="s">
        <v>55</v>
      </c>
      <c r="AN211" s="45" t="s">
        <v>387</v>
      </c>
      <c r="AO211" s="45"/>
      <c r="AP211" s="46"/>
    </row>
    <row r="212" spans="3:42" ht="14.25" customHeight="1" x14ac:dyDescent="0.2">
      <c r="C212" s="40" t="str">
        <f>IF($X212=1,COUNTIF($C$10:C211,"&gt;0")+1,"")</f>
        <v/>
      </c>
      <c r="D212" s="41"/>
      <c r="E212" s="41" t="s">
        <v>665</v>
      </c>
      <c r="F212" s="42" t="s">
        <v>914</v>
      </c>
      <c r="G212" s="41" t="s">
        <v>910</v>
      </c>
      <c r="H212" s="41" t="s">
        <v>915</v>
      </c>
      <c r="I212" s="41" t="s">
        <v>339</v>
      </c>
      <c r="J212" s="41" t="s">
        <v>56</v>
      </c>
      <c r="K212" s="41" t="s">
        <v>52</v>
      </c>
      <c r="L212" s="43">
        <v>30158</v>
      </c>
      <c r="M212" s="41">
        <v>43</v>
      </c>
      <c r="N212" s="41" t="s">
        <v>916</v>
      </c>
      <c r="O212" s="43">
        <v>49220</v>
      </c>
      <c r="P212" s="41" t="s">
        <v>3</v>
      </c>
      <c r="Q212" s="41"/>
      <c r="R212" s="57">
        <v>45913</v>
      </c>
      <c r="S212" s="58">
        <v>45918</v>
      </c>
      <c r="T212" s="59">
        <f t="shared" si="3"/>
        <v>5</v>
      </c>
      <c r="U212" s="41">
        <v>1</v>
      </c>
      <c r="V212" s="41">
        <v>1</v>
      </c>
      <c r="W212" s="41">
        <v>0</v>
      </c>
      <c r="X212" s="41">
        <v>0</v>
      </c>
      <c r="Y212" s="41">
        <v>0</v>
      </c>
      <c r="Z212" s="41">
        <v>0</v>
      </c>
      <c r="AA212" s="41">
        <v>0</v>
      </c>
      <c r="AB212" s="41"/>
      <c r="AC212" s="43">
        <v>45913</v>
      </c>
      <c r="AD212" s="44">
        <v>0.45833333333575865</v>
      </c>
      <c r="AE212" s="41" t="s">
        <v>72</v>
      </c>
      <c r="AF212" s="43">
        <v>45918</v>
      </c>
      <c r="AG212" s="44">
        <v>0.5</v>
      </c>
      <c r="AH212" s="41" t="s">
        <v>145</v>
      </c>
      <c r="AI212" s="41" t="s">
        <v>670</v>
      </c>
      <c r="AJ212" s="41" t="s">
        <v>54</v>
      </c>
      <c r="AK212" s="41" t="s">
        <v>54</v>
      </c>
      <c r="AL212" s="41" t="s">
        <v>164</v>
      </c>
      <c r="AM212" s="45" t="s">
        <v>55</v>
      </c>
      <c r="AN212" s="45" t="s">
        <v>387</v>
      </c>
      <c r="AO212" s="45"/>
      <c r="AP212" s="46"/>
    </row>
    <row r="213" spans="3:42" ht="14.25" customHeight="1" x14ac:dyDescent="0.2">
      <c r="C213" s="40">
        <f>IF($X213=1,COUNTIF($C$10:C212,"&gt;0")+1,"")</f>
        <v>102</v>
      </c>
      <c r="D213" s="41">
        <v>15262428</v>
      </c>
      <c r="E213" s="41" t="s">
        <v>665</v>
      </c>
      <c r="F213" s="42" t="s">
        <v>917</v>
      </c>
      <c r="G213" s="41" t="s">
        <v>917</v>
      </c>
      <c r="H213" s="41" t="s">
        <v>918</v>
      </c>
      <c r="I213" s="41" t="s">
        <v>919</v>
      </c>
      <c r="J213" s="41" t="s">
        <v>56</v>
      </c>
      <c r="K213" s="41" t="s">
        <v>52</v>
      </c>
      <c r="L213" s="43">
        <v>25171</v>
      </c>
      <c r="M213" s="41">
        <v>56</v>
      </c>
      <c r="N213" s="41" t="s">
        <v>920</v>
      </c>
      <c r="O213" s="43">
        <v>47238</v>
      </c>
      <c r="P213" s="41" t="s">
        <v>2</v>
      </c>
      <c r="Q213" s="41"/>
      <c r="R213" s="57">
        <v>45913</v>
      </c>
      <c r="S213" s="58">
        <v>45918</v>
      </c>
      <c r="T213" s="59">
        <f t="shared" si="3"/>
        <v>5</v>
      </c>
      <c r="U213" s="41">
        <v>1</v>
      </c>
      <c r="V213" s="41">
        <v>1</v>
      </c>
      <c r="W213" s="41">
        <v>0</v>
      </c>
      <c r="X213" s="41">
        <v>1</v>
      </c>
      <c r="Y213" s="41">
        <v>0</v>
      </c>
      <c r="Z213" s="41">
        <v>1</v>
      </c>
      <c r="AA213" s="41">
        <v>0</v>
      </c>
      <c r="AB213" s="41"/>
      <c r="AC213" s="43">
        <v>45913</v>
      </c>
      <c r="AD213" s="44">
        <v>0.45833333333575865</v>
      </c>
      <c r="AE213" s="41" t="s">
        <v>72</v>
      </c>
      <c r="AF213" s="43">
        <v>45918</v>
      </c>
      <c r="AG213" s="44">
        <v>0.5</v>
      </c>
      <c r="AH213" s="41" t="s">
        <v>145</v>
      </c>
      <c r="AI213" s="41" t="s">
        <v>670</v>
      </c>
      <c r="AJ213" s="41" t="s">
        <v>54</v>
      </c>
      <c r="AK213" s="41" t="s">
        <v>54</v>
      </c>
      <c r="AL213" s="41" t="s">
        <v>164</v>
      </c>
      <c r="AM213" s="45" t="s">
        <v>55</v>
      </c>
      <c r="AN213" s="45" t="s">
        <v>300</v>
      </c>
      <c r="AO213" s="45"/>
      <c r="AP213" s="46"/>
    </row>
    <row r="214" spans="3:42" ht="14.25" customHeight="1" x14ac:dyDescent="0.2">
      <c r="C214" s="40" t="str">
        <f>IF($X214=1,COUNTIF($C$10:C213,"&gt;0")+1,"")</f>
        <v/>
      </c>
      <c r="D214" s="41"/>
      <c r="E214" s="41" t="s">
        <v>665</v>
      </c>
      <c r="F214" s="42" t="s">
        <v>921</v>
      </c>
      <c r="G214" s="41" t="s">
        <v>917</v>
      </c>
      <c r="H214" s="41" t="s">
        <v>922</v>
      </c>
      <c r="I214" s="41" t="s">
        <v>923</v>
      </c>
      <c r="J214" s="41" t="s">
        <v>56</v>
      </c>
      <c r="K214" s="41" t="s">
        <v>52</v>
      </c>
      <c r="L214" s="43">
        <v>21947</v>
      </c>
      <c r="M214" s="41">
        <v>65</v>
      </c>
      <c r="N214" s="41" t="s">
        <v>924</v>
      </c>
      <c r="O214" s="43">
        <v>46720</v>
      </c>
      <c r="P214" s="41" t="s">
        <v>2</v>
      </c>
      <c r="Q214" s="41"/>
      <c r="R214" s="57">
        <v>45913</v>
      </c>
      <c r="S214" s="58">
        <v>45918</v>
      </c>
      <c r="T214" s="59">
        <f t="shared" si="3"/>
        <v>5</v>
      </c>
      <c r="U214" s="41">
        <v>1</v>
      </c>
      <c r="V214" s="41">
        <v>1</v>
      </c>
      <c r="W214" s="41">
        <v>0</v>
      </c>
      <c r="X214" s="41">
        <v>0</v>
      </c>
      <c r="Y214" s="41">
        <v>0</v>
      </c>
      <c r="Z214" s="41">
        <v>0</v>
      </c>
      <c r="AA214" s="41">
        <v>0</v>
      </c>
      <c r="AB214" s="41"/>
      <c r="AC214" s="43">
        <v>45913</v>
      </c>
      <c r="AD214" s="44">
        <v>0.45833333333575865</v>
      </c>
      <c r="AE214" s="41" t="s">
        <v>72</v>
      </c>
      <c r="AF214" s="43">
        <v>45918</v>
      </c>
      <c r="AG214" s="44">
        <v>0.5</v>
      </c>
      <c r="AH214" s="41" t="s">
        <v>145</v>
      </c>
      <c r="AI214" s="41" t="s">
        <v>670</v>
      </c>
      <c r="AJ214" s="41" t="s">
        <v>54</v>
      </c>
      <c r="AK214" s="41" t="s">
        <v>54</v>
      </c>
      <c r="AL214" s="41" t="s">
        <v>164</v>
      </c>
      <c r="AM214" s="45" t="s">
        <v>55</v>
      </c>
      <c r="AN214" s="45" t="s">
        <v>300</v>
      </c>
      <c r="AO214" s="45"/>
      <c r="AP214" s="46"/>
    </row>
    <row r="215" spans="3:42" ht="14.25" customHeight="1" x14ac:dyDescent="0.2">
      <c r="C215" s="40">
        <f>IF($X215=1,COUNTIF($C$10:C214,"&gt;0")+1,"")</f>
        <v>103</v>
      </c>
      <c r="D215" s="41">
        <v>15262429</v>
      </c>
      <c r="E215" s="41" t="s">
        <v>665</v>
      </c>
      <c r="F215" s="42" t="s">
        <v>925</v>
      </c>
      <c r="G215" s="41" t="s">
        <v>925</v>
      </c>
      <c r="H215" s="41" t="s">
        <v>926</v>
      </c>
      <c r="I215" s="41" t="s">
        <v>927</v>
      </c>
      <c r="J215" s="41" t="s">
        <v>56</v>
      </c>
      <c r="K215" s="41" t="s">
        <v>52</v>
      </c>
      <c r="L215" s="43">
        <v>25314</v>
      </c>
      <c r="M215" s="41">
        <v>56</v>
      </c>
      <c r="N215" s="41" t="s">
        <v>928</v>
      </c>
      <c r="O215" s="43">
        <v>46605</v>
      </c>
      <c r="P215" s="41" t="s">
        <v>2</v>
      </c>
      <c r="Q215" s="41"/>
      <c r="R215" s="57">
        <v>45913</v>
      </c>
      <c r="S215" s="58">
        <v>45918</v>
      </c>
      <c r="T215" s="59">
        <f t="shared" si="3"/>
        <v>5</v>
      </c>
      <c r="U215" s="41">
        <v>1</v>
      </c>
      <c r="V215" s="41">
        <v>1</v>
      </c>
      <c r="W215" s="41">
        <v>0</v>
      </c>
      <c r="X215" s="41">
        <v>1</v>
      </c>
      <c r="Y215" s="41">
        <v>0</v>
      </c>
      <c r="Z215" s="41">
        <v>1</v>
      </c>
      <c r="AA215" s="41">
        <v>0</v>
      </c>
      <c r="AB215" s="41"/>
      <c r="AC215" s="43">
        <v>45913</v>
      </c>
      <c r="AD215" s="44">
        <v>0.67708333333575865</v>
      </c>
      <c r="AE215" s="41" t="s">
        <v>309</v>
      </c>
      <c r="AF215" s="43">
        <v>45918</v>
      </c>
      <c r="AG215" s="44">
        <v>0.52777777778101154</v>
      </c>
      <c r="AH215" s="41" t="s">
        <v>101</v>
      </c>
      <c r="AI215" s="41" t="s">
        <v>670</v>
      </c>
      <c r="AJ215" s="41" t="s">
        <v>54</v>
      </c>
      <c r="AK215" s="41" t="s">
        <v>54</v>
      </c>
      <c r="AL215" s="41" t="s">
        <v>164</v>
      </c>
      <c r="AM215" s="45" t="s">
        <v>55</v>
      </c>
      <c r="AN215" s="45" t="s">
        <v>300</v>
      </c>
      <c r="AO215" s="45"/>
      <c r="AP215" s="46"/>
    </row>
    <row r="216" spans="3:42" ht="14.25" customHeight="1" x14ac:dyDescent="0.2">
      <c r="C216" s="40" t="str">
        <f>IF($X216=1,COUNTIF($C$10:C215,"&gt;0")+1,"")</f>
        <v/>
      </c>
      <c r="D216" s="41"/>
      <c r="E216" s="41" t="s">
        <v>665</v>
      </c>
      <c r="F216" s="42" t="s">
        <v>929</v>
      </c>
      <c r="G216" s="41" t="s">
        <v>925</v>
      </c>
      <c r="H216" s="41" t="s">
        <v>930</v>
      </c>
      <c r="I216" s="41" t="s">
        <v>931</v>
      </c>
      <c r="J216" s="41" t="s">
        <v>56</v>
      </c>
      <c r="K216" s="41" t="s">
        <v>52</v>
      </c>
      <c r="L216" s="43">
        <v>25393</v>
      </c>
      <c r="M216" s="41">
        <v>56</v>
      </c>
      <c r="N216" s="41" t="s">
        <v>932</v>
      </c>
      <c r="O216" s="43">
        <v>48484</v>
      </c>
      <c r="P216" s="41" t="s">
        <v>2</v>
      </c>
      <c r="Q216" s="41"/>
      <c r="R216" s="57">
        <v>45913</v>
      </c>
      <c r="S216" s="58">
        <v>45918</v>
      </c>
      <c r="T216" s="59">
        <f t="shared" si="3"/>
        <v>5</v>
      </c>
      <c r="U216" s="41">
        <v>1</v>
      </c>
      <c r="V216" s="41">
        <v>1</v>
      </c>
      <c r="W216" s="41">
        <v>0</v>
      </c>
      <c r="X216" s="41">
        <v>0</v>
      </c>
      <c r="Y216" s="41">
        <v>0</v>
      </c>
      <c r="Z216" s="41">
        <v>0</v>
      </c>
      <c r="AA216" s="41">
        <v>0</v>
      </c>
      <c r="AB216" s="41"/>
      <c r="AC216" s="43">
        <v>45913</v>
      </c>
      <c r="AD216" s="44">
        <v>0.67708333333575865</v>
      </c>
      <c r="AE216" s="41" t="s">
        <v>309</v>
      </c>
      <c r="AF216" s="43">
        <v>45918</v>
      </c>
      <c r="AG216" s="44">
        <v>0.52777777778101154</v>
      </c>
      <c r="AH216" s="41" t="s">
        <v>101</v>
      </c>
      <c r="AI216" s="41" t="s">
        <v>670</v>
      </c>
      <c r="AJ216" s="41" t="s">
        <v>54</v>
      </c>
      <c r="AK216" s="41" t="s">
        <v>54</v>
      </c>
      <c r="AL216" s="41" t="s">
        <v>164</v>
      </c>
      <c r="AM216" s="45" t="s">
        <v>55</v>
      </c>
      <c r="AN216" s="45" t="s">
        <v>300</v>
      </c>
      <c r="AO216" s="45"/>
      <c r="AP216" s="46"/>
    </row>
    <row r="217" spans="3:42" ht="14.25" customHeight="1" x14ac:dyDescent="0.2">
      <c r="C217" s="40">
        <f>IF($X217=1,COUNTIF($C$10:C216,"&gt;0")+1,"")</f>
        <v>104</v>
      </c>
      <c r="D217" s="41">
        <v>15262430</v>
      </c>
      <c r="E217" s="41" t="s">
        <v>933</v>
      </c>
      <c r="F217" s="42" t="s">
        <v>934</v>
      </c>
      <c r="G217" s="41" t="s">
        <v>934</v>
      </c>
      <c r="H217" s="41" t="s">
        <v>935</v>
      </c>
      <c r="I217" s="41" t="s">
        <v>936</v>
      </c>
      <c r="J217" s="41" t="s">
        <v>51</v>
      </c>
      <c r="K217" s="41" t="s">
        <v>85</v>
      </c>
      <c r="L217" s="43">
        <v>22703</v>
      </c>
      <c r="M217" s="41">
        <v>63</v>
      </c>
      <c r="N217" s="41" t="s">
        <v>937</v>
      </c>
      <c r="O217" s="43">
        <v>48946</v>
      </c>
      <c r="P217" s="41" t="s">
        <v>3</v>
      </c>
      <c r="Q217" s="41"/>
      <c r="R217" s="57">
        <v>45913</v>
      </c>
      <c r="S217" s="58">
        <v>45918</v>
      </c>
      <c r="T217" s="59">
        <f t="shared" si="3"/>
        <v>5</v>
      </c>
      <c r="U217" s="41">
        <v>1</v>
      </c>
      <c r="V217" s="41">
        <v>1</v>
      </c>
      <c r="W217" s="41">
        <v>0</v>
      </c>
      <c r="X217" s="41">
        <v>1</v>
      </c>
      <c r="Y217" s="41">
        <v>0</v>
      </c>
      <c r="Z217" s="41">
        <v>0</v>
      </c>
      <c r="AA217" s="41">
        <v>1</v>
      </c>
      <c r="AB217" s="41"/>
      <c r="AC217" s="43">
        <v>45913</v>
      </c>
      <c r="AD217" s="44">
        <v>0.56944444444525288</v>
      </c>
      <c r="AE217" s="41" t="s">
        <v>938</v>
      </c>
      <c r="AF217" s="43">
        <v>45918</v>
      </c>
      <c r="AG217" s="44">
        <v>0.86458333333575865</v>
      </c>
      <c r="AH217" s="41" t="s">
        <v>87</v>
      </c>
      <c r="AI217" s="41" t="s">
        <v>939</v>
      </c>
      <c r="AJ217" s="41" t="s">
        <v>54</v>
      </c>
      <c r="AK217" s="41" t="s">
        <v>54</v>
      </c>
      <c r="AL217" s="41" t="s">
        <v>164</v>
      </c>
      <c r="AM217" s="45" t="s">
        <v>55</v>
      </c>
      <c r="AN217" s="45" t="s">
        <v>387</v>
      </c>
      <c r="AO217" s="45"/>
      <c r="AP217" s="46"/>
    </row>
    <row r="218" spans="3:42" ht="14.25" customHeight="1" x14ac:dyDescent="0.2">
      <c r="C218" s="40" t="str">
        <f>IF($X218=1,COUNTIF($C$10:C217,"&gt;0")+1,"")</f>
        <v/>
      </c>
      <c r="D218" s="41"/>
      <c r="E218" s="41" t="s">
        <v>933</v>
      </c>
      <c r="F218" s="42" t="s">
        <v>940</v>
      </c>
      <c r="G218" s="41" t="s">
        <v>934</v>
      </c>
      <c r="H218" s="41" t="s">
        <v>941</v>
      </c>
      <c r="I218" s="41" t="s">
        <v>942</v>
      </c>
      <c r="J218" s="41" t="s">
        <v>56</v>
      </c>
      <c r="K218" s="41" t="s">
        <v>85</v>
      </c>
      <c r="L218" s="43">
        <v>24869</v>
      </c>
      <c r="M218" s="41">
        <v>57</v>
      </c>
      <c r="N218" s="41" t="s">
        <v>943</v>
      </c>
      <c r="O218" s="43">
        <v>46398</v>
      </c>
      <c r="P218" s="41" t="s">
        <v>3</v>
      </c>
      <c r="Q218" s="41"/>
      <c r="R218" s="57">
        <v>45913</v>
      </c>
      <c r="S218" s="58">
        <v>45918</v>
      </c>
      <c r="T218" s="59">
        <f t="shared" si="3"/>
        <v>5</v>
      </c>
      <c r="U218" s="41">
        <v>1</v>
      </c>
      <c r="V218" s="41">
        <v>1</v>
      </c>
      <c r="W218" s="41">
        <v>0</v>
      </c>
      <c r="X218" s="41">
        <v>0</v>
      </c>
      <c r="Y218" s="41">
        <v>0</v>
      </c>
      <c r="Z218" s="41">
        <v>0</v>
      </c>
      <c r="AA218" s="41">
        <v>0</v>
      </c>
      <c r="AB218" s="41"/>
      <c r="AC218" s="43">
        <v>45913</v>
      </c>
      <c r="AD218" s="44">
        <v>0.56944444444525288</v>
      </c>
      <c r="AE218" s="41" t="s">
        <v>938</v>
      </c>
      <c r="AF218" s="43">
        <v>45918</v>
      </c>
      <c r="AG218" s="44">
        <v>0.86458333333575865</v>
      </c>
      <c r="AH218" s="41" t="s">
        <v>87</v>
      </c>
      <c r="AI218" s="41" t="s">
        <v>939</v>
      </c>
      <c r="AJ218" s="41" t="s">
        <v>54</v>
      </c>
      <c r="AK218" s="41" t="s">
        <v>54</v>
      </c>
      <c r="AL218" s="41" t="s">
        <v>164</v>
      </c>
      <c r="AM218" s="45" t="s">
        <v>55</v>
      </c>
      <c r="AN218" s="45" t="s">
        <v>387</v>
      </c>
      <c r="AO218" s="45"/>
      <c r="AP218" s="46"/>
    </row>
    <row r="219" spans="3:42" ht="14.25" customHeight="1" x14ac:dyDescent="0.2">
      <c r="C219" s="40">
        <f>IF($X219=1,COUNTIF($C$10:C218,"&gt;0")+1,"")</f>
        <v>105</v>
      </c>
      <c r="D219" s="41">
        <v>15262431</v>
      </c>
      <c r="E219" s="41" t="s">
        <v>933</v>
      </c>
      <c r="F219" s="42" t="s">
        <v>944</v>
      </c>
      <c r="G219" s="41" t="s">
        <v>944</v>
      </c>
      <c r="H219" s="41" t="s">
        <v>945</v>
      </c>
      <c r="I219" s="41" t="s">
        <v>946</v>
      </c>
      <c r="J219" s="41" t="s">
        <v>56</v>
      </c>
      <c r="K219" s="41" t="s">
        <v>85</v>
      </c>
      <c r="L219" s="43">
        <v>23788</v>
      </c>
      <c r="M219" s="41">
        <v>60</v>
      </c>
      <c r="N219" s="41" t="s">
        <v>947</v>
      </c>
      <c r="O219" s="43">
        <v>47115</v>
      </c>
      <c r="P219" s="41" t="s">
        <v>2</v>
      </c>
      <c r="Q219" s="41"/>
      <c r="R219" s="57">
        <v>45913</v>
      </c>
      <c r="S219" s="58">
        <v>45918</v>
      </c>
      <c r="T219" s="59">
        <f t="shared" si="3"/>
        <v>5</v>
      </c>
      <c r="U219" s="41">
        <v>1</v>
      </c>
      <c r="V219" s="41">
        <v>1</v>
      </c>
      <c r="W219" s="41">
        <v>0</v>
      </c>
      <c r="X219" s="41">
        <v>1</v>
      </c>
      <c r="Y219" s="41">
        <v>0</v>
      </c>
      <c r="Z219" s="41">
        <v>1</v>
      </c>
      <c r="AA219" s="41">
        <v>0</v>
      </c>
      <c r="AB219" s="41"/>
      <c r="AC219" s="43">
        <v>45913</v>
      </c>
      <c r="AD219" s="44">
        <v>0.78125</v>
      </c>
      <c r="AE219" s="41" t="s">
        <v>86</v>
      </c>
      <c r="AF219" s="43">
        <v>45918</v>
      </c>
      <c r="AG219" s="44">
        <v>0.75347222221898846</v>
      </c>
      <c r="AH219" s="41" t="s">
        <v>948</v>
      </c>
      <c r="AI219" s="41" t="s">
        <v>939</v>
      </c>
      <c r="AJ219" s="41" t="s">
        <v>54</v>
      </c>
      <c r="AK219" s="41" t="s">
        <v>54</v>
      </c>
      <c r="AL219" s="41" t="s">
        <v>164</v>
      </c>
      <c r="AM219" s="45" t="s">
        <v>55</v>
      </c>
      <c r="AN219" s="45" t="s">
        <v>300</v>
      </c>
      <c r="AO219" s="45" t="s">
        <v>79</v>
      </c>
      <c r="AP219" s="46"/>
    </row>
    <row r="220" spans="3:42" ht="14.25" customHeight="1" x14ac:dyDescent="0.2">
      <c r="C220" s="40" t="str">
        <f>IF($X220=1,COUNTIF($C$10:C219,"&gt;0")+1,"")</f>
        <v/>
      </c>
      <c r="D220" s="41"/>
      <c r="E220" s="41" t="s">
        <v>933</v>
      </c>
      <c r="F220" s="42" t="s">
        <v>949</v>
      </c>
      <c r="G220" s="41" t="s">
        <v>944</v>
      </c>
      <c r="H220" s="41" t="s">
        <v>950</v>
      </c>
      <c r="I220" s="41" t="s">
        <v>946</v>
      </c>
      <c r="J220" s="41" t="s">
        <v>51</v>
      </c>
      <c r="K220" s="41" t="s">
        <v>85</v>
      </c>
      <c r="L220" s="43">
        <v>21675</v>
      </c>
      <c r="M220" s="41">
        <v>66</v>
      </c>
      <c r="N220" s="41" t="s">
        <v>951</v>
      </c>
      <c r="O220" s="43">
        <v>47283</v>
      </c>
      <c r="P220" s="41" t="s">
        <v>2</v>
      </c>
      <c r="Q220" s="41"/>
      <c r="R220" s="57">
        <v>45913</v>
      </c>
      <c r="S220" s="58">
        <v>45918</v>
      </c>
      <c r="T220" s="59">
        <f t="shared" si="3"/>
        <v>5</v>
      </c>
      <c r="U220" s="41">
        <v>1</v>
      </c>
      <c r="V220" s="41">
        <v>1</v>
      </c>
      <c r="W220" s="41">
        <v>0</v>
      </c>
      <c r="X220" s="41">
        <v>0</v>
      </c>
      <c r="Y220" s="41">
        <v>0</v>
      </c>
      <c r="Z220" s="41">
        <v>0</v>
      </c>
      <c r="AA220" s="41">
        <v>0</v>
      </c>
      <c r="AB220" s="41"/>
      <c r="AC220" s="43">
        <v>45913</v>
      </c>
      <c r="AD220" s="44">
        <v>0.78125</v>
      </c>
      <c r="AE220" s="41" t="s">
        <v>86</v>
      </c>
      <c r="AF220" s="43">
        <v>45918</v>
      </c>
      <c r="AG220" s="44">
        <v>0.75347222221898846</v>
      </c>
      <c r="AH220" s="41" t="s">
        <v>948</v>
      </c>
      <c r="AI220" s="41" t="s">
        <v>939</v>
      </c>
      <c r="AJ220" s="41" t="s">
        <v>54</v>
      </c>
      <c r="AK220" s="41" t="s">
        <v>54</v>
      </c>
      <c r="AL220" s="41" t="s">
        <v>164</v>
      </c>
      <c r="AM220" s="45" t="s">
        <v>55</v>
      </c>
      <c r="AN220" s="45" t="s">
        <v>300</v>
      </c>
      <c r="AO220" s="45" t="s">
        <v>79</v>
      </c>
      <c r="AP220" s="46"/>
    </row>
    <row r="221" spans="3:42" ht="14.25" customHeight="1" x14ac:dyDescent="0.2">
      <c r="C221" s="40">
        <f>IF($X221=1,COUNTIF($C$10:C220,"&gt;0")+1,"")</f>
        <v>106</v>
      </c>
      <c r="D221" s="41">
        <v>15262432</v>
      </c>
      <c r="E221" s="41" t="s">
        <v>933</v>
      </c>
      <c r="F221" s="42" t="s">
        <v>952</v>
      </c>
      <c r="G221" s="41" t="s">
        <v>952</v>
      </c>
      <c r="H221" s="41" t="s">
        <v>953</v>
      </c>
      <c r="I221" s="41" t="s">
        <v>78</v>
      </c>
      <c r="J221" s="41" t="s">
        <v>51</v>
      </c>
      <c r="K221" s="41" t="s">
        <v>85</v>
      </c>
      <c r="L221" s="43">
        <v>28450</v>
      </c>
      <c r="M221" s="41">
        <v>47</v>
      </c>
      <c r="N221" s="41" t="s">
        <v>954</v>
      </c>
      <c r="O221" s="43">
        <v>49326</v>
      </c>
      <c r="P221" s="41" t="s">
        <v>1</v>
      </c>
      <c r="Q221" s="41"/>
      <c r="R221" s="57">
        <v>45913</v>
      </c>
      <c r="S221" s="58">
        <v>45918</v>
      </c>
      <c r="T221" s="59">
        <f t="shared" si="3"/>
        <v>5</v>
      </c>
      <c r="U221" s="41">
        <v>1</v>
      </c>
      <c r="V221" s="41">
        <v>1</v>
      </c>
      <c r="W221" s="41">
        <v>0</v>
      </c>
      <c r="X221" s="41">
        <v>1</v>
      </c>
      <c r="Y221" s="41">
        <v>1</v>
      </c>
      <c r="Z221" s="41">
        <v>0</v>
      </c>
      <c r="AA221" s="41">
        <v>0</v>
      </c>
      <c r="AB221" s="41"/>
      <c r="AC221" s="43">
        <v>45913</v>
      </c>
      <c r="AD221" s="44">
        <v>0.72916666666424135</v>
      </c>
      <c r="AE221" s="41" t="s">
        <v>91</v>
      </c>
      <c r="AF221" s="43">
        <v>45918</v>
      </c>
      <c r="AG221" s="44">
        <v>0.79513888889050577</v>
      </c>
      <c r="AH221" s="41" t="s">
        <v>81</v>
      </c>
      <c r="AI221" s="41" t="s">
        <v>939</v>
      </c>
      <c r="AJ221" s="41" t="s">
        <v>54</v>
      </c>
      <c r="AK221" s="41" t="s">
        <v>54</v>
      </c>
      <c r="AL221" s="41" t="s">
        <v>164</v>
      </c>
      <c r="AM221" s="45" t="s">
        <v>55</v>
      </c>
      <c r="AN221" s="45" t="s">
        <v>300</v>
      </c>
      <c r="AO221" s="45"/>
      <c r="AP221" s="46"/>
    </row>
    <row r="222" spans="3:42" ht="14.25" customHeight="1" x14ac:dyDescent="0.2">
      <c r="C222" s="40">
        <f>IF($X222=1,COUNTIF($C$10:C221,"&gt;0")+1,"")</f>
        <v>107</v>
      </c>
      <c r="D222" s="41">
        <v>15262433</v>
      </c>
      <c r="E222" s="41" t="s">
        <v>933</v>
      </c>
      <c r="F222" s="42" t="s">
        <v>955</v>
      </c>
      <c r="G222" s="41" t="s">
        <v>955</v>
      </c>
      <c r="H222" s="41" t="s">
        <v>120</v>
      </c>
      <c r="I222" s="41" t="s">
        <v>956</v>
      </c>
      <c r="J222" s="41" t="s">
        <v>51</v>
      </c>
      <c r="K222" s="41" t="s">
        <v>85</v>
      </c>
      <c r="L222" s="43">
        <v>30539</v>
      </c>
      <c r="M222" s="41">
        <v>42</v>
      </c>
      <c r="N222" s="41" t="s">
        <v>957</v>
      </c>
      <c r="O222" s="43">
        <v>46050</v>
      </c>
      <c r="P222" s="41" t="s">
        <v>3</v>
      </c>
      <c r="Q222" s="41"/>
      <c r="R222" s="57">
        <v>45913</v>
      </c>
      <c r="S222" s="58">
        <v>45918</v>
      </c>
      <c r="T222" s="59">
        <f t="shared" si="3"/>
        <v>5</v>
      </c>
      <c r="U222" s="41">
        <v>1</v>
      </c>
      <c r="V222" s="41">
        <v>1</v>
      </c>
      <c r="W222" s="41">
        <v>0</v>
      </c>
      <c r="X222" s="41">
        <v>1</v>
      </c>
      <c r="Y222" s="41">
        <v>0</v>
      </c>
      <c r="Z222" s="41">
        <v>0</v>
      </c>
      <c r="AA222" s="41">
        <v>1</v>
      </c>
      <c r="AB222" s="41"/>
      <c r="AC222" s="43">
        <v>45913</v>
      </c>
      <c r="AD222" s="44">
        <v>0.78125</v>
      </c>
      <c r="AE222" s="41" t="s">
        <v>86</v>
      </c>
      <c r="AF222" s="43">
        <v>45918</v>
      </c>
      <c r="AG222" s="44">
        <v>0.86458333333575865</v>
      </c>
      <c r="AH222" s="41" t="s">
        <v>87</v>
      </c>
      <c r="AI222" s="41" t="s">
        <v>939</v>
      </c>
      <c r="AJ222" s="41" t="s">
        <v>54</v>
      </c>
      <c r="AK222" s="41" t="s">
        <v>54</v>
      </c>
      <c r="AL222" s="41" t="s">
        <v>164</v>
      </c>
      <c r="AM222" s="45" t="s">
        <v>55</v>
      </c>
      <c r="AN222" s="45" t="s">
        <v>387</v>
      </c>
      <c r="AO222" s="45" t="s">
        <v>79</v>
      </c>
      <c r="AP222" s="46"/>
    </row>
    <row r="223" spans="3:42" ht="14.25" customHeight="1" x14ac:dyDescent="0.2">
      <c r="C223" s="40" t="str">
        <f>IF($X223=1,COUNTIF($C$10:C222,"&gt;0")+1,"")</f>
        <v/>
      </c>
      <c r="D223" s="41"/>
      <c r="E223" s="41" t="s">
        <v>933</v>
      </c>
      <c r="F223" s="42" t="s">
        <v>958</v>
      </c>
      <c r="G223" s="41" t="s">
        <v>955</v>
      </c>
      <c r="H223" s="41" t="s">
        <v>959</v>
      </c>
      <c r="I223" s="41" t="s">
        <v>960</v>
      </c>
      <c r="J223" s="41" t="s">
        <v>51</v>
      </c>
      <c r="K223" s="41" t="s">
        <v>85</v>
      </c>
      <c r="L223" s="43">
        <v>25208</v>
      </c>
      <c r="M223" s="41">
        <v>56</v>
      </c>
      <c r="N223" s="41" t="s">
        <v>961</v>
      </c>
      <c r="O223" s="43">
        <v>46568</v>
      </c>
      <c r="P223" s="41" t="s">
        <v>3</v>
      </c>
      <c r="Q223" s="41"/>
      <c r="R223" s="57">
        <v>45913</v>
      </c>
      <c r="S223" s="58">
        <v>45918</v>
      </c>
      <c r="T223" s="59">
        <f t="shared" si="3"/>
        <v>5</v>
      </c>
      <c r="U223" s="41">
        <v>1</v>
      </c>
      <c r="V223" s="41">
        <v>1</v>
      </c>
      <c r="W223" s="41">
        <v>0</v>
      </c>
      <c r="X223" s="41">
        <v>0</v>
      </c>
      <c r="Y223" s="41">
        <v>0</v>
      </c>
      <c r="Z223" s="41">
        <v>0</v>
      </c>
      <c r="AA223" s="41">
        <v>0</v>
      </c>
      <c r="AB223" s="41"/>
      <c r="AC223" s="43">
        <v>45913</v>
      </c>
      <c r="AD223" s="44">
        <v>0.78125</v>
      </c>
      <c r="AE223" s="41" t="s">
        <v>86</v>
      </c>
      <c r="AF223" s="43">
        <v>45918</v>
      </c>
      <c r="AG223" s="44">
        <v>0.86458333333575865</v>
      </c>
      <c r="AH223" s="41" t="s">
        <v>87</v>
      </c>
      <c r="AI223" s="41" t="s">
        <v>939</v>
      </c>
      <c r="AJ223" s="41" t="s">
        <v>54</v>
      </c>
      <c r="AK223" s="41" t="s">
        <v>54</v>
      </c>
      <c r="AL223" s="41" t="s">
        <v>164</v>
      </c>
      <c r="AM223" s="45" t="s">
        <v>55</v>
      </c>
      <c r="AN223" s="45" t="s">
        <v>387</v>
      </c>
      <c r="AO223" s="45" t="s">
        <v>79</v>
      </c>
      <c r="AP223" s="46"/>
    </row>
    <row r="224" spans="3:42" ht="14.25" customHeight="1" x14ac:dyDescent="0.2">
      <c r="C224" s="40">
        <f>IF($X224=1,COUNTIF($C$10:C223,"&gt;0")+1,"")</f>
        <v>108</v>
      </c>
      <c r="D224" s="41">
        <v>15262434</v>
      </c>
      <c r="E224" s="41" t="s">
        <v>933</v>
      </c>
      <c r="F224" s="42" t="s">
        <v>962</v>
      </c>
      <c r="G224" s="41" t="s">
        <v>962</v>
      </c>
      <c r="H224" s="41" t="s">
        <v>963</v>
      </c>
      <c r="I224" s="41" t="s">
        <v>964</v>
      </c>
      <c r="J224" s="41" t="s">
        <v>56</v>
      </c>
      <c r="K224" s="41" t="s">
        <v>85</v>
      </c>
      <c r="L224" s="43">
        <v>25572</v>
      </c>
      <c r="M224" s="41">
        <v>55</v>
      </c>
      <c r="N224" s="41" t="s">
        <v>965</v>
      </c>
      <c r="O224" s="43">
        <v>46855</v>
      </c>
      <c r="P224" s="41" t="s">
        <v>2</v>
      </c>
      <c r="Q224" s="41"/>
      <c r="R224" s="57">
        <v>45913</v>
      </c>
      <c r="S224" s="58">
        <v>45918</v>
      </c>
      <c r="T224" s="59">
        <f t="shared" si="3"/>
        <v>5</v>
      </c>
      <c r="U224" s="41">
        <v>1</v>
      </c>
      <c r="V224" s="41">
        <v>1</v>
      </c>
      <c r="W224" s="41">
        <v>0</v>
      </c>
      <c r="X224" s="41">
        <v>1</v>
      </c>
      <c r="Y224" s="41">
        <v>0</v>
      </c>
      <c r="Z224" s="41">
        <v>1</v>
      </c>
      <c r="AA224" s="41">
        <v>0</v>
      </c>
      <c r="AB224" s="41"/>
      <c r="AC224" s="43">
        <v>45913</v>
      </c>
      <c r="AD224" s="44">
        <v>0.78125</v>
      </c>
      <c r="AE224" s="41" t="s">
        <v>86</v>
      </c>
      <c r="AF224" s="43">
        <v>45918</v>
      </c>
      <c r="AG224" s="44">
        <v>0.34722222221898846</v>
      </c>
      <c r="AH224" s="41" t="s">
        <v>332</v>
      </c>
      <c r="AI224" s="41" t="s">
        <v>939</v>
      </c>
      <c r="AJ224" s="41" t="s">
        <v>54</v>
      </c>
      <c r="AK224" s="41" t="s">
        <v>54</v>
      </c>
      <c r="AL224" s="41" t="s">
        <v>164</v>
      </c>
      <c r="AM224" s="45" t="s">
        <v>55</v>
      </c>
      <c r="AN224" s="45" t="s">
        <v>300</v>
      </c>
      <c r="AO224" s="45" t="s">
        <v>79</v>
      </c>
      <c r="AP224" s="46"/>
    </row>
    <row r="225" spans="3:42" ht="14.25" customHeight="1" x14ac:dyDescent="0.2">
      <c r="C225" s="40" t="str">
        <f>IF($X225=1,COUNTIF($C$10:C224,"&gt;0")+1,"")</f>
        <v/>
      </c>
      <c r="D225" s="41"/>
      <c r="E225" s="41" t="s">
        <v>933</v>
      </c>
      <c r="F225" s="42" t="s">
        <v>966</v>
      </c>
      <c r="G225" s="41" t="s">
        <v>962</v>
      </c>
      <c r="H225" s="41" t="s">
        <v>967</v>
      </c>
      <c r="I225" s="41" t="s">
        <v>968</v>
      </c>
      <c r="J225" s="41" t="s">
        <v>56</v>
      </c>
      <c r="K225" s="41" t="s">
        <v>85</v>
      </c>
      <c r="L225" s="43">
        <v>39904</v>
      </c>
      <c r="M225" s="41">
        <v>16</v>
      </c>
      <c r="N225" s="41" t="s">
        <v>969</v>
      </c>
      <c r="O225" s="43">
        <v>46981</v>
      </c>
      <c r="P225" s="41" t="s">
        <v>2</v>
      </c>
      <c r="Q225" s="41"/>
      <c r="R225" s="57">
        <v>45913</v>
      </c>
      <c r="S225" s="58">
        <v>45918</v>
      </c>
      <c r="T225" s="59">
        <f t="shared" si="3"/>
        <v>5</v>
      </c>
      <c r="U225" s="41">
        <v>1</v>
      </c>
      <c r="V225" s="41">
        <v>1</v>
      </c>
      <c r="W225" s="41">
        <v>0</v>
      </c>
      <c r="X225" s="41">
        <v>0</v>
      </c>
      <c r="Y225" s="41">
        <v>0</v>
      </c>
      <c r="Z225" s="41">
        <v>0</v>
      </c>
      <c r="AA225" s="41">
        <v>0</v>
      </c>
      <c r="AB225" s="41"/>
      <c r="AC225" s="43">
        <v>45913</v>
      </c>
      <c r="AD225" s="44">
        <v>0.78125</v>
      </c>
      <c r="AE225" s="41" t="s">
        <v>86</v>
      </c>
      <c r="AF225" s="43">
        <v>45918</v>
      </c>
      <c r="AG225" s="44">
        <v>0.34722222221898846</v>
      </c>
      <c r="AH225" s="41" t="s">
        <v>332</v>
      </c>
      <c r="AI225" s="41" t="s">
        <v>939</v>
      </c>
      <c r="AJ225" s="41" t="s">
        <v>54</v>
      </c>
      <c r="AK225" s="41" t="s">
        <v>54</v>
      </c>
      <c r="AL225" s="41" t="s">
        <v>164</v>
      </c>
      <c r="AM225" s="45" t="s">
        <v>55</v>
      </c>
      <c r="AN225" s="45" t="s">
        <v>300</v>
      </c>
      <c r="AO225" s="45" t="s">
        <v>79</v>
      </c>
      <c r="AP225" s="46"/>
    </row>
    <row r="226" spans="3:42" ht="14.25" customHeight="1" x14ac:dyDescent="0.2">
      <c r="C226" s="40">
        <f>IF($X226=1,COUNTIF($C$10:C225,"&gt;0")+1,"")</f>
        <v>109</v>
      </c>
      <c r="D226" s="41">
        <v>15262435</v>
      </c>
      <c r="E226" s="41" t="s">
        <v>933</v>
      </c>
      <c r="F226" s="42" t="s">
        <v>970</v>
      </c>
      <c r="G226" s="41" t="s">
        <v>970</v>
      </c>
      <c r="H226" s="41" t="s">
        <v>971</v>
      </c>
      <c r="I226" s="41" t="s">
        <v>972</v>
      </c>
      <c r="J226" s="41" t="s">
        <v>56</v>
      </c>
      <c r="K226" s="41" t="s">
        <v>85</v>
      </c>
      <c r="L226" s="43">
        <v>26836</v>
      </c>
      <c r="M226" s="41">
        <v>52</v>
      </c>
      <c r="N226" s="41" t="s">
        <v>973</v>
      </c>
      <c r="O226" s="43">
        <v>46538</v>
      </c>
      <c r="P226" s="41" t="s">
        <v>3</v>
      </c>
      <c r="Q226" s="41"/>
      <c r="R226" s="57">
        <v>45913</v>
      </c>
      <c r="S226" s="58">
        <v>45918</v>
      </c>
      <c r="T226" s="59">
        <f t="shared" si="3"/>
        <v>5</v>
      </c>
      <c r="U226" s="41">
        <v>1</v>
      </c>
      <c r="V226" s="41">
        <v>1</v>
      </c>
      <c r="W226" s="41">
        <v>0</v>
      </c>
      <c r="X226" s="41">
        <v>1</v>
      </c>
      <c r="Y226" s="41">
        <v>0</v>
      </c>
      <c r="Z226" s="41">
        <v>0</v>
      </c>
      <c r="AA226" s="41">
        <v>1</v>
      </c>
      <c r="AB226" s="41"/>
      <c r="AC226" s="43">
        <v>45913</v>
      </c>
      <c r="AD226" s="44">
        <v>0.72916666666424135</v>
      </c>
      <c r="AE226" s="41" t="s">
        <v>91</v>
      </c>
      <c r="AF226" s="43">
        <v>45918</v>
      </c>
      <c r="AG226" s="44">
        <v>0.85416666666424135</v>
      </c>
      <c r="AH226" s="41" t="s">
        <v>66</v>
      </c>
      <c r="AI226" s="41" t="s">
        <v>939</v>
      </c>
      <c r="AJ226" s="41" t="s">
        <v>54</v>
      </c>
      <c r="AK226" s="41" t="s">
        <v>54</v>
      </c>
      <c r="AL226" s="41" t="s">
        <v>164</v>
      </c>
      <c r="AM226" s="45" t="s">
        <v>55</v>
      </c>
      <c r="AN226" s="45" t="s">
        <v>387</v>
      </c>
      <c r="AO226" s="45"/>
      <c r="AP226" s="46"/>
    </row>
    <row r="227" spans="3:42" ht="14.25" customHeight="1" x14ac:dyDescent="0.2">
      <c r="C227" s="40" t="str">
        <f>IF($X227=1,COUNTIF($C$10:C226,"&gt;0")+1,"")</f>
        <v/>
      </c>
      <c r="D227" s="41"/>
      <c r="E227" s="41" t="s">
        <v>933</v>
      </c>
      <c r="F227" s="42" t="s">
        <v>974</v>
      </c>
      <c r="G227" s="41" t="s">
        <v>970</v>
      </c>
      <c r="H227" s="41" t="s">
        <v>975</v>
      </c>
      <c r="I227" s="41" t="s">
        <v>976</v>
      </c>
      <c r="J227" s="41" t="s">
        <v>56</v>
      </c>
      <c r="K227" s="41" t="s">
        <v>52</v>
      </c>
      <c r="L227" s="43">
        <v>27218</v>
      </c>
      <c r="M227" s="41">
        <v>51</v>
      </c>
      <c r="N227" s="41" t="s">
        <v>977</v>
      </c>
      <c r="O227" s="43">
        <v>47883</v>
      </c>
      <c r="P227" s="41" t="s">
        <v>3</v>
      </c>
      <c r="Q227" s="41"/>
      <c r="R227" s="57">
        <v>45913</v>
      </c>
      <c r="S227" s="58">
        <v>45918</v>
      </c>
      <c r="T227" s="59">
        <f t="shared" si="3"/>
        <v>5</v>
      </c>
      <c r="U227" s="41">
        <v>1</v>
      </c>
      <c r="V227" s="41">
        <v>1</v>
      </c>
      <c r="W227" s="41">
        <v>0</v>
      </c>
      <c r="X227" s="41">
        <v>0</v>
      </c>
      <c r="Y227" s="41">
        <v>0</v>
      </c>
      <c r="Z227" s="41">
        <v>0</v>
      </c>
      <c r="AA227" s="41">
        <v>0</v>
      </c>
      <c r="AB227" s="41"/>
      <c r="AC227" s="43">
        <v>45913</v>
      </c>
      <c r="AD227" s="44">
        <v>0.25694444444525288</v>
      </c>
      <c r="AE227" s="41" t="s">
        <v>82</v>
      </c>
      <c r="AF227" s="43">
        <v>45918</v>
      </c>
      <c r="AG227" s="44">
        <v>0.87847222221898846</v>
      </c>
      <c r="AH227" s="41" t="s">
        <v>718</v>
      </c>
      <c r="AI227" s="41" t="s">
        <v>939</v>
      </c>
      <c r="AJ227" s="41" t="s">
        <v>54</v>
      </c>
      <c r="AK227" s="41" t="s">
        <v>54</v>
      </c>
      <c r="AL227" s="41" t="s">
        <v>164</v>
      </c>
      <c r="AM227" s="45" t="s">
        <v>55</v>
      </c>
      <c r="AN227" s="45" t="s">
        <v>387</v>
      </c>
      <c r="AO227" s="45"/>
      <c r="AP227" s="46"/>
    </row>
    <row r="228" spans="3:42" ht="14.25" customHeight="1" x14ac:dyDescent="0.2">
      <c r="C228" s="40">
        <f>IF($X228=1,COUNTIF($C$10:C227,"&gt;0")+1,"")</f>
        <v>110</v>
      </c>
      <c r="D228" s="41">
        <v>15262436</v>
      </c>
      <c r="E228" s="41" t="s">
        <v>933</v>
      </c>
      <c r="F228" s="42" t="s">
        <v>978</v>
      </c>
      <c r="G228" s="41" t="s">
        <v>978</v>
      </c>
      <c r="H228" s="41" t="s">
        <v>979</v>
      </c>
      <c r="I228" s="41" t="s">
        <v>980</v>
      </c>
      <c r="J228" s="41" t="s">
        <v>56</v>
      </c>
      <c r="K228" s="41" t="s">
        <v>85</v>
      </c>
      <c r="L228" s="43">
        <v>25931</v>
      </c>
      <c r="M228" s="41">
        <v>54</v>
      </c>
      <c r="N228" s="41" t="s">
        <v>981</v>
      </c>
      <c r="O228" s="43">
        <v>49311</v>
      </c>
      <c r="P228" s="41" t="s">
        <v>3</v>
      </c>
      <c r="Q228" s="41"/>
      <c r="R228" s="57">
        <v>45913</v>
      </c>
      <c r="S228" s="58">
        <v>45918</v>
      </c>
      <c r="T228" s="59">
        <f t="shared" si="3"/>
        <v>5</v>
      </c>
      <c r="U228" s="41">
        <v>1</v>
      </c>
      <c r="V228" s="41">
        <v>1</v>
      </c>
      <c r="W228" s="41">
        <v>0</v>
      </c>
      <c r="X228" s="41">
        <v>1</v>
      </c>
      <c r="Y228" s="41">
        <v>0</v>
      </c>
      <c r="Z228" s="41">
        <v>0</v>
      </c>
      <c r="AA228" s="41">
        <v>1</v>
      </c>
      <c r="AB228" s="41"/>
      <c r="AC228" s="43">
        <v>45911</v>
      </c>
      <c r="AD228" s="44">
        <v>0.67013888889050577</v>
      </c>
      <c r="AE228" s="41" t="s">
        <v>70</v>
      </c>
      <c r="AF228" s="43">
        <v>45918</v>
      </c>
      <c r="AG228" s="44">
        <v>0.63194444444525288</v>
      </c>
      <c r="AH228" s="41" t="s">
        <v>982</v>
      </c>
      <c r="AI228" s="41" t="s">
        <v>939</v>
      </c>
      <c r="AJ228" s="41" t="s">
        <v>54</v>
      </c>
      <c r="AK228" s="41" t="s">
        <v>54</v>
      </c>
      <c r="AL228" s="41" t="s">
        <v>164</v>
      </c>
      <c r="AM228" s="45" t="s">
        <v>55</v>
      </c>
      <c r="AN228" s="70" t="s">
        <v>293</v>
      </c>
      <c r="AO228" s="71"/>
      <c r="AP228" s="46"/>
    </row>
    <row r="229" spans="3:42" ht="14.25" customHeight="1" x14ac:dyDescent="0.2">
      <c r="C229" s="40" t="str">
        <f>IF($X229=1,COUNTIF($C$10:C228,"&gt;0")+1,"")</f>
        <v/>
      </c>
      <c r="D229" s="41"/>
      <c r="E229" s="41" t="s">
        <v>933</v>
      </c>
      <c r="F229" s="42" t="s">
        <v>983</v>
      </c>
      <c r="G229" s="41" t="s">
        <v>978</v>
      </c>
      <c r="H229" s="41" t="s">
        <v>984</v>
      </c>
      <c r="I229" s="41" t="s">
        <v>980</v>
      </c>
      <c r="J229" s="41" t="s">
        <v>56</v>
      </c>
      <c r="K229" s="41" t="s">
        <v>85</v>
      </c>
      <c r="L229" s="43">
        <v>36751</v>
      </c>
      <c r="M229" s="41">
        <v>25</v>
      </c>
      <c r="N229" s="41" t="s">
        <v>985</v>
      </c>
      <c r="O229" s="43">
        <v>48584</v>
      </c>
      <c r="P229" s="41" t="s">
        <v>3</v>
      </c>
      <c r="Q229" s="41"/>
      <c r="R229" s="57">
        <v>45913</v>
      </c>
      <c r="S229" s="58">
        <v>45918</v>
      </c>
      <c r="T229" s="59">
        <f t="shared" si="3"/>
        <v>5</v>
      </c>
      <c r="U229" s="41">
        <v>1</v>
      </c>
      <c r="V229" s="41">
        <v>1</v>
      </c>
      <c r="W229" s="41">
        <v>0</v>
      </c>
      <c r="X229" s="41">
        <v>0</v>
      </c>
      <c r="Y229" s="41">
        <v>0</v>
      </c>
      <c r="Z229" s="41">
        <v>0</v>
      </c>
      <c r="AA229" s="41">
        <v>0</v>
      </c>
      <c r="AB229" s="41"/>
      <c r="AC229" s="43">
        <v>45911</v>
      </c>
      <c r="AD229" s="44">
        <v>0.67013888889050577</v>
      </c>
      <c r="AE229" s="41" t="s">
        <v>70</v>
      </c>
      <c r="AF229" s="43">
        <v>45918</v>
      </c>
      <c r="AG229" s="44">
        <v>0.63194444444525288</v>
      </c>
      <c r="AH229" s="41" t="s">
        <v>982</v>
      </c>
      <c r="AI229" s="41" t="s">
        <v>939</v>
      </c>
      <c r="AJ229" s="41" t="s">
        <v>54</v>
      </c>
      <c r="AK229" s="41" t="s">
        <v>54</v>
      </c>
      <c r="AL229" s="41" t="s">
        <v>164</v>
      </c>
      <c r="AM229" s="45" t="s">
        <v>55</v>
      </c>
      <c r="AN229" s="45" t="s">
        <v>293</v>
      </c>
      <c r="AO229" s="45"/>
      <c r="AP229" s="46"/>
    </row>
    <row r="230" spans="3:42" ht="14.25" customHeight="1" x14ac:dyDescent="0.2">
      <c r="C230" s="40">
        <f>IF($X230=1,COUNTIF($C$10:C229,"&gt;0")+1,"")</f>
        <v>111</v>
      </c>
      <c r="D230" s="41">
        <v>15262437</v>
      </c>
      <c r="E230" s="41" t="s">
        <v>933</v>
      </c>
      <c r="F230" s="42" t="s">
        <v>986</v>
      </c>
      <c r="G230" s="41" t="s">
        <v>978</v>
      </c>
      <c r="H230" s="41" t="s">
        <v>987</v>
      </c>
      <c r="I230" s="41" t="s">
        <v>980</v>
      </c>
      <c r="J230" s="41" t="s">
        <v>56</v>
      </c>
      <c r="K230" s="41" t="s">
        <v>85</v>
      </c>
      <c r="L230" s="43">
        <v>37426</v>
      </c>
      <c r="M230" s="41">
        <v>23</v>
      </c>
      <c r="N230" s="41" t="s">
        <v>988</v>
      </c>
      <c r="O230" s="43">
        <v>48458</v>
      </c>
      <c r="P230" s="41" t="s">
        <v>3</v>
      </c>
      <c r="Q230" s="41"/>
      <c r="R230" s="57">
        <v>45913</v>
      </c>
      <c r="S230" s="58">
        <v>45918</v>
      </c>
      <c r="T230" s="59">
        <f t="shared" si="3"/>
        <v>5</v>
      </c>
      <c r="U230" s="41">
        <v>1</v>
      </c>
      <c r="V230" s="41">
        <v>1</v>
      </c>
      <c r="W230" s="41">
        <v>0</v>
      </c>
      <c r="X230" s="41">
        <v>1</v>
      </c>
      <c r="Y230" s="41">
        <v>0</v>
      </c>
      <c r="Z230" s="41">
        <v>0</v>
      </c>
      <c r="AA230" s="41">
        <v>1</v>
      </c>
      <c r="AB230" s="41"/>
      <c r="AC230" s="43">
        <v>45911</v>
      </c>
      <c r="AD230" s="44">
        <v>0.67013888889050577</v>
      </c>
      <c r="AE230" s="41" t="s">
        <v>70</v>
      </c>
      <c r="AF230" s="43">
        <v>45918</v>
      </c>
      <c r="AG230" s="44">
        <v>0.63194444444525288</v>
      </c>
      <c r="AH230" s="41" t="s">
        <v>982</v>
      </c>
      <c r="AI230" s="41" t="s">
        <v>939</v>
      </c>
      <c r="AJ230" s="41" t="s">
        <v>54</v>
      </c>
      <c r="AK230" s="41" t="s">
        <v>54</v>
      </c>
      <c r="AL230" s="41" t="s">
        <v>164</v>
      </c>
      <c r="AM230" s="45" t="s">
        <v>55</v>
      </c>
      <c r="AN230" s="70" t="s">
        <v>293</v>
      </c>
      <c r="AO230" s="71"/>
      <c r="AP230" s="46"/>
    </row>
    <row r="231" spans="3:42" ht="14.25" customHeight="1" x14ac:dyDescent="0.2">
      <c r="C231" s="40" t="str">
        <f>IF($X231=1,COUNTIF($C$10:C230,"&gt;0")+1,"")</f>
        <v/>
      </c>
      <c r="D231" s="41"/>
      <c r="E231" s="41" t="s">
        <v>933</v>
      </c>
      <c r="F231" s="42" t="s">
        <v>989</v>
      </c>
      <c r="G231" s="41" t="s">
        <v>978</v>
      </c>
      <c r="H231" s="41" t="s">
        <v>990</v>
      </c>
      <c r="I231" s="41" t="s">
        <v>991</v>
      </c>
      <c r="J231" s="41" t="s">
        <v>56</v>
      </c>
      <c r="K231" s="41" t="s">
        <v>85</v>
      </c>
      <c r="L231" s="43">
        <v>36041</v>
      </c>
      <c r="M231" s="41">
        <v>27</v>
      </c>
      <c r="N231" s="41" t="s">
        <v>992</v>
      </c>
      <c r="O231" s="43">
        <v>49352</v>
      </c>
      <c r="P231" s="41" t="s">
        <v>3</v>
      </c>
      <c r="Q231" s="41"/>
      <c r="R231" s="57">
        <v>45913</v>
      </c>
      <c r="S231" s="58">
        <v>45918</v>
      </c>
      <c r="T231" s="59">
        <f t="shared" si="3"/>
        <v>5</v>
      </c>
      <c r="U231" s="41">
        <v>1</v>
      </c>
      <c r="V231" s="41">
        <v>1</v>
      </c>
      <c r="W231" s="41">
        <v>0</v>
      </c>
      <c r="X231" s="41">
        <v>0</v>
      </c>
      <c r="Y231" s="41">
        <v>0</v>
      </c>
      <c r="Z231" s="41">
        <v>0</v>
      </c>
      <c r="AA231" s="41">
        <v>0</v>
      </c>
      <c r="AB231" s="41"/>
      <c r="AC231" s="43">
        <v>45911</v>
      </c>
      <c r="AD231" s="44">
        <v>0.67013888889050577</v>
      </c>
      <c r="AE231" s="41" t="s">
        <v>70</v>
      </c>
      <c r="AF231" s="43">
        <v>45918</v>
      </c>
      <c r="AG231" s="44">
        <v>0.63194444444525288</v>
      </c>
      <c r="AH231" s="41" t="s">
        <v>982</v>
      </c>
      <c r="AI231" s="41" t="s">
        <v>939</v>
      </c>
      <c r="AJ231" s="41" t="s">
        <v>54</v>
      </c>
      <c r="AK231" s="41" t="s">
        <v>54</v>
      </c>
      <c r="AL231" s="41" t="s">
        <v>164</v>
      </c>
      <c r="AM231" s="45" t="s">
        <v>55</v>
      </c>
      <c r="AN231" s="45" t="s">
        <v>293</v>
      </c>
      <c r="AO231" s="45"/>
      <c r="AP231" s="46"/>
    </row>
    <row r="232" spans="3:42" ht="14.25" customHeight="1" x14ac:dyDescent="0.2">
      <c r="C232" s="40">
        <f>IF($X232=1,COUNTIF($C$10:C231,"&gt;0")+1,"")</f>
        <v>112</v>
      </c>
      <c r="D232" s="41">
        <v>15262438</v>
      </c>
      <c r="E232" s="41" t="s">
        <v>933</v>
      </c>
      <c r="F232" s="42" t="s">
        <v>993</v>
      </c>
      <c r="G232" s="41" t="s">
        <v>993</v>
      </c>
      <c r="H232" s="41" t="s">
        <v>994</v>
      </c>
      <c r="I232" s="41" t="s">
        <v>995</v>
      </c>
      <c r="J232" s="41" t="s">
        <v>51</v>
      </c>
      <c r="K232" s="41" t="s">
        <v>85</v>
      </c>
      <c r="L232" s="43">
        <v>32327</v>
      </c>
      <c r="M232" s="41">
        <v>37</v>
      </c>
      <c r="N232" s="41" t="s">
        <v>996</v>
      </c>
      <c r="O232" s="43">
        <v>49238</v>
      </c>
      <c r="P232" s="41" t="s">
        <v>2</v>
      </c>
      <c r="Q232" s="41"/>
      <c r="R232" s="57">
        <v>45913</v>
      </c>
      <c r="S232" s="58">
        <v>45918</v>
      </c>
      <c r="T232" s="59">
        <f t="shared" si="3"/>
        <v>5</v>
      </c>
      <c r="U232" s="41">
        <v>1</v>
      </c>
      <c r="V232" s="41">
        <v>1</v>
      </c>
      <c r="W232" s="41">
        <v>0</v>
      </c>
      <c r="X232" s="41">
        <v>1</v>
      </c>
      <c r="Y232" s="41">
        <v>0</v>
      </c>
      <c r="Z232" s="41">
        <v>1</v>
      </c>
      <c r="AA232" s="41">
        <v>0</v>
      </c>
      <c r="AB232" s="41"/>
      <c r="AC232" s="43">
        <v>45913</v>
      </c>
      <c r="AD232" s="44">
        <v>0.77083333333575865</v>
      </c>
      <c r="AE232" s="41" t="s">
        <v>997</v>
      </c>
      <c r="AF232" s="43">
        <v>45918</v>
      </c>
      <c r="AG232" s="44">
        <v>0.86458333333575865</v>
      </c>
      <c r="AH232" s="41" t="s">
        <v>87</v>
      </c>
      <c r="AI232" s="41" t="s">
        <v>939</v>
      </c>
      <c r="AJ232" s="41" t="s">
        <v>54</v>
      </c>
      <c r="AK232" s="41"/>
      <c r="AL232" s="41" t="s">
        <v>164</v>
      </c>
      <c r="AM232" s="45" t="s">
        <v>55</v>
      </c>
      <c r="AN232" s="45" t="s">
        <v>300</v>
      </c>
      <c r="AO232" s="45"/>
      <c r="AP232" s="46"/>
    </row>
    <row r="233" spans="3:42" ht="14.25" customHeight="1" x14ac:dyDescent="0.2">
      <c r="C233" s="40" t="str">
        <f>IF($X233=1,COUNTIF($C$10:C232,"&gt;0")+1,"")</f>
        <v/>
      </c>
      <c r="D233" s="41"/>
      <c r="E233" s="41" t="s">
        <v>933</v>
      </c>
      <c r="F233" s="42" t="s">
        <v>998</v>
      </c>
      <c r="G233" s="41" t="s">
        <v>993</v>
      </c>
      <c r="H233" s="41" t="s">
        <v>999</v>
      </c>
      <c r="I233" s="41" t="s">
        <v>994</v>
      </c>
      <c r="J233" s="41" t="s">
        <v>56</v>
      </c>
      <c r="K233" s="41" t="s">
        <v>85</v>
      </c>
      <c r="L233" s="43">
        <v>32661</v>
      </c>
      <c r="M233" s="41">
        <v>36</v>
      </c>
      <c r="N233" s="41" t="s">
        <v>1000</v>
      </c>
      <c r="O233" s="43">
        <v>47965</v>
      </c>
      <c r="P233" s="41" t="s">
        <v>2</v>
      </c>
      <c r="Q233" s="41"/>
      <c r="R233" s="57">
        <v>45913</v>
      </c>
      <c r="S233" s="58">
        <v>45918</v>
      </c>
      <c r="T233" s="59">
        <f t="shared" si="3"/>
        <v>5</v>
      </c>
      <c r="U233" s="41">
        <v>1</v>
      </c>
      <c r="V233" s="41">
        <v>1</v>
      </c>
      <c r="W233" s="41">
        <v>0</v>
      </c>
      <c r="X233" s="41">
        <v>0</v>
      </c>
      <c r="Y233" s="41">
        <v>0</v>
      </c>
      <c r="Z233" s="41">
        <v>0</v>
      </c>
      <c r="AA233" s="41">
        <v>0</v>
      </c>
      <c r="AB233" s="41"/>
      <c r="AC233" s="43">
        <v>45913</v>
      </c>
      <c r="AD233" s="44">
        <v>0.77083333333575865</v>
      </c>
      <c r="AE233" s="41" t="s">
        <v>997</v>
      </c>
      <c r="AF233" s="43">
        <v>45918</v>
      </c>
      <c r="AG233" s="44">
        <v>0.86458333333575865</v>
      </c>
      <c r="AH233" s="41" t="s">
        <v>87</v>
      </c>
      <c r="AI233" s="41" t="s">
        <v>939</v>
      </c>
      <c r="AJ233" s="41" t="s">
        <v>54</v>
      </c>
      <c r="AK233" s="41" t="s">
        <v>54</v>
      </c>
      <c r="AL233" s="41" t="s">
        <v>164</v>
      </c>
      <c r="AM233" s="45" t="s">
        <v>55</v>
      </c>
      <c r="AN233" s="45" t="s">
        <v>300</v>
      </c>
      <c r="AO233" s="45"/>
      <c r="AP233" s="46"/>
    </row>
    <row r="234" spans="3:42" ht="14.25" customHeight="1" x14ac:dyDescent="0.2">
      <c r="C234" s="40" t="str">
        <f>IF($X234=1,COUNTIF($C$10:C233,"&gt;0")+1,"")</f>
        <v/>
      </c>
      <c r="D234" s="41"/>
      <c r="E234" s="41" t="s">
        <v>933</v>
      </c>
      <c r="F234" s="42" t="s">
        <v>1001</v>
      </c>
      <c r="G234" s="41" t="s">
        <v>993</v>
      </c>
      <c r="H234" s="41" t="s">
        <v>1002</v>
      </c>
      <c r="I234" s="41" t="s">
        <v>1003</v>
      </c>
      <c r="J234" s="41" t="s">
        <v>56</v>
      </c>
      <c r="K234" s="41" t="s">
        <v>85</v>
      </c>
      <c r="L234" s="43">
        <v>43896</v>
      </c>
      <c r="M234" s="41">
        <v>5</v>
      </c>
      <c r="N234" s="41" t="s">
        <v>1004</v>
      </c>
      <c r="O234" s="43">
        <v>46139</v>
      </c>
      <c r="P234" s="41" t="s">
        <v>2</v>
      </c>
      <c r="Q234" s="41"/>
      <c r="R234" s="57">
        <v>45913</v>
      </c>
      <c r="S234" s="58">
        <v>45918</v>
      </c>
      <c r="T234" s="59">
        <f t="shared" si="3"/>
        <v>5</v>
      </c>
      <c r="U234" s="41">
        <v>1</v>
      </c>
      <c r="V234" s="41">
        <v>0</v>
      </c>
      <c r="W234" s="41">
        <v>1</v>
      </c>
      <c r="X234" s="41">
        <v>0</v>
      </c>
      <c r="Y234" s="41">
        <v>0</v>
      </c>
      <c r="Z234" s="41">
        <v>0</v>
      </c>
      <c r="AA234" s="41">
        <v>0</v>
      </c>
      <c r="AB234" s="41"/>
      <c r="AC234" s="43">
        <v>45913</v>
      </c>
      <c r="AD234" s="44">
        <v>0.77083333333575865</v>
      </c>
      <c r="AE234" s="41" t="s">
        <v>997</v>
      </c>
      <c r="AF234" s="43">
        <v>45918</v>
      </c>
      <c r="AG234" s="44">
        <v>0.86458333333575865</v>
      </c>
      <c r="AH234" s="41" t="s">
        <v>87</v>
      </c>
      <c r="AI234" s="41" t="s">
        <v>939</v>
      </c>
      <c r="AJ234" s="41" t="s">
        <v>54</v>
      </c>
      <c r="AK234" s="41" t="s">
        <v>54</v>
      </c>
      <c r="AL234" s="41" t="s">
        <v>164</v>
      </c>
      <c r="AM234" s="45" t="s">
        <v>55</v>
      </c>
      <c r="AN234" s="45" t="s">
        <v>300</v>
      </c>
      <c r="AO234" s="45"/>
      <c r="AP234" s="46"/>
    </row>
    <row r="235" spans="3:42" ht="14.25" customHeight="1" x14ac:dyDescent="0.2">
      <c r="C235" s="40" t="str">
        <f>IF($X235=1,COUNTIF($C$10:C234,"&gt;0")+1,"")</f>
        <v/>
      </c>
      <c r="D235" s="41"/>
      <c r="E235" s="41" t="s">
        <v>933</v>
      </c>
      <c r="F235" s="42" t="s">
        <v>1005</v>
      </c>
      <c r="G235" s="41" t="s">
        <v>993</v>
      </c>
      <c r="H235" s="41" t="s">
        <v>1006</v>
      </c>
      <c r="I235" s="41" t="s">
        <v>1003</v>
      </c>
      <c r="J235" s="41" t="s">
        <v>51</v>
      </c>
      <c r="K235" s="41" t="s">
        <v>85</v>
      </c>
      <c r="L235" s="43">
        <v>45342</v>
      </c>
      <c r="M235" s="41">
        <v>1</v>
      </c>
      <c r="N235" s="41" t="s">
        <v>1007</v>
      </c>
      <c r="O235" s="43">
        <v>47412</v>
      </c>
      <c r="P235" s="41" t="s">
        <v>2</v>
      </c>
      <c r="Q235" s="41"/>
      <c r="R235" s="57">
        <v>45913</v>
      </c>
      <c r="S235" s="58">
        <v>45918</v>
      </c>
      <c r="T235" s="59">
        <f t="shared" si="3"/>
        <v>5</v>
      </c>
      <c r="U235" s="41">
        <v>0</v>
      </c>
      <c r="V235" s="41">
        <v>0</v>
      </c>
      <c r="W235" s="41">
        <v>0</v>
      </c>
      <c r="X235" s="41">
        <v>0</v>
      </c>
      <c r="Y235" s="41">
        <v>0</v>
      </c>
      <c r="Z235" s="41">
        <v>0</v>
      </c>
      <c r="AA235" s="41">
        <v>0</v>
      </c>
      <c r="AB235" s="41"/>
      <c r="AC235" s="43">
        <v>45913</v>
      </c>
      <c r="AD235" s="44">
        <v>0.77083333333575865</v>
      </c>
      <c r="AE235" s="41" t="s">
        <v>997</v>
      </c>
      <c r="AF235" s="43">
        <v>45918</v>
      </c>
      <c r="AG235" s="44">
        <v>0.86458333333575865</v>
      </c>
      <c r="AH235" s="41" t="s">
        <v>87</v>
      </c>
      <c r="AI235" s="41" t="s">
        <v>939</v>
      </c>
      <c r="AJ235" s="41" t="s">
        <v>54</v>
      </c>
      <c r="AK235" s="41" t="s">
        <v>54</v>
      </c>
      <c r="AL235" s="41" t="s">
        <v>164</v>
      </c>
      <c r="AM235" s="45" t="s">
        <v>55</v>
      </c>
      <c r="AN235" s="45" t="s">
        <v>300</v>
      </c>
      <c r="AO235" s="45"/>
      <c r="AP235" s="46"/>
    </row>
    <row r="236" spans="3:42" ht="14.25" customHeight="1" x14ac:dyDescent="0.2">
      <c r="C236" s="40">
        <f>IF($X236=1,COUNTIF($C$10:C235,"&gt;0")+1,"")</f>
        <v>113</v>
      </c>
      <c r="D236" s="41">
        <v>15262439</v>
      </c>
      <c r="E236" s="41" t="s">
        <v>933</v>
      </c>
      <c r="F236" s="42" t="s">
        <v>1008</v>
      </c>
      <c r="G236" s="41" t="s">
        <v>1008</v>
      </c>
      <c r="H236" s="41" t="s">
        <v>1009</v>
      </c>
      <c r="I236" s="41" t="s">
        <v>1010</v>
      </c>
      <c r="J236" s="41" t="s">
        <v>51</v>
      </c>
      <c r="K236" s="41" t="s">
        <v>85</v>
      </c>
      <c r="L236" s="43">
        <v>33787</v>
      </c>
      <c r="M236" s="41">
        <v>33</v>
      </c>
      <c r="N236" s="41" t="s">
        <v>1011</v>
      </c>
      <c r="O236" s="43">
        <v>47301</v>
      </c>
      <c r="P236" s="41" t="s">
        <v>3</v>
      </c>
      <c r="Q236" s="41"/>
      <c r="R236" s="57">
        <v>45913</v>
      </c>
      <c r="S236" s="58">
        <v>45918</v>
      </c>
      <c r="T236" s="59">
        <f t="shared" si="3"/>
        <v>5</v>
      </c>
      <c r="U236" s="41">
        <v>1</v>
      </c>
      <c r="V236" s="41">
        <v>1</v>
      </c>
      <c r="W236" s="41">
        <v>0</v>
      </c>
      <c r="X236" s="41">
        <v>1</v>
      </c>
      <c r="Y236" s="41">
        <v>0</v>
      </c>
      <c r="Z236" s="41">
        <v>0</v>
      </c>
      <c r="AA236" s="41">
        <v>1</v>
      </c>
      <c r="AB236" s="41"/>
      <c r="AC236" s="43">
        <v>45913</v>
      </c>
      <c r="AD236" s="44">
        <v>0.78125</v>
      </c>
      <c r="AE236" s="41" t="s">
        <v>86</v>
      </c>
      <c r="AF236" s="43">
        <v>45918</v>
      </c>
      <c r="AG236" s="44">
        <v>0.86458333333575865</v>
      </c>
      <c r="AH236" s="41" t="s">
        <v>87</v>
      </c>
      <c r="AI236" s="41" t="s">
        <v>939</v>
      </c>
      <c r="AJ236" s="41" t="s">
        <v>54</v>
      </c>
      <c r="AK236" s="41" t="s">
        <v>54</v>
      </c>
      <c r="AL236" s="41" t="s">
        <v>164</v>
      </c>
      <c r="AM236" s="45" t="s">
        <v>55</v>
      </c>
      <c r="AN236" s="45" t="s">
        <v>387</v>
      </c>
      <c r="AO236" s="45" t="s">
        <v>79</v>
      </c>
      <c r="AP236" s="46"/>
    </row>
    <row r="237" spans="3:42" ht="14.25" customHeight="1" x14ac:dyDescent="0.2">
      <c r="C237" s="40" t="str">
        <f>IF($X237=1,COUNTIF($C$10:C236,"&gt;0")+1,"")</f>
        <v/>
      </c>
      <c r="D237" s="41"/>
      <c r="E237" s="41" t="s">
        <v>933</v>
      </c>
      <c r="F237" s="42" t="s">
        <v>1012</v>
      </c>
      <c r="G237" s="41" t="s">
        <v>1008</v>
      </c>
      <c r="H237" s="41" t="s">
        <v>1013</v>
      </c>
      <c r="I237" s="41" t="s">
        <v>1014</v>
      </c>
      <c r="J237" s="41" t="s">
        <v>51</v>
      </c>
      <c r="K237" s="41" t="s">
        <v>85</v>
      </c>
      <c r="L237" s="43">
        <v>27181</v>
      </c>
      <c r="M237" s="41">
        <v>51</v>
      </c>
      <c r="N237" s="41" t="s">
        <v>1015</v>
      </c>
      <c r="O237" s="43">
        <v>46215</v>
      </c>
      <c r="P237" s="41" t="s">
        <v>3</v>
      </c>
      <c r="Q237" s="41"/>
      <c r="R237" s="57">
        <v>45913</v>
      </c>
      <c r="S237" s="58">
        <v>45918</v>
      </c>
      <c r="T237" s="59">
        <f t="shared" si="3"/>
        <v>5</v>
      </c>
      <c r="U237" s="41">
        <v>1</v>
      </c>
      <c r="V237" s="41">
        <v>1</v>
      </c>
      <c r="W237" s="41">
        <v>0</v>
      </c>
      <c r="X237" s="41">
        <v>0</v>
      </c>
      <c r="Y237" s="41">
        <v>0</v>
      </c>
      <c r="Z237" s="41">
        <v>0</v>
      </c>
      <c r="AA237" s="41">
        <v>0</v>
      </c>
      <c r="AB237" s="41"/>
      <c r="AC237" s="43">
        <v>45913</v>
      </c>
      <c r="AD237" s="44">
        <v>0.78125</v>
      </c>
      <c r="AE237" s="41" t="s">
        <v>86</v>
      </c>
      <c r="AF237" s="43">
        <v>45918</v>
      </c>
      <c r="AG237" s="44">
        <v>0.86458333333575865</v>
      </c>
      <c r="AH237" s="41" t="s">
        <v>87</v>
      </c>
      <c r="AI237" s="41" t="s">
        <v>939</v>
      </c>
      <c r="AJ237" s="41" t="s">
        <v>54</v>
      </c>
      <c r="AK237" s="41" t="s">
        <v>54</v>
      </c>
      <c r="AL237" s="41" t="s">
        <v>164</v>
      </c>
      <c r="AM237" s="45" t="s">
        <v>55</v>
      </c>
      <c r="AN237" s="45" t="s">
        <v>387</v>
      </c>
      <c r="AO237" s="45" t="s">
        <v>79</v>
      </c>
      <c r="AP237" s="46"/>
    </row>
    <row r="238" spans="3:42" ht="14.25" customHeight="1" x14ac:dyDescent="0.2">
      <c r="C238" s="40">
        <f>IF($X238=1,COUNTIF($C$10:C237,"&gt;0")+1,"")</f>
        <v>114</v>
      </c>
      <c r="D238" s="41">
        <v>15262440</v>
      </c>
      <c r="E238" s="41" t="s">
        <v>933</v>
      </c>
      <c r="F238" s="42" t="s">
        <v>1016</v>
      </c>
      <c r="G238" s="41" t="s">
        <v>1016</v>
      </c>
      <c r="H238" s="41" t="s">
        <v>1017</v>
      </c>
      <c r="I238" s="41" t="s">
        <v>1018</v>
      </c>
      <c r="J238" s="41" t="s">
        <v>56</v>
      </c>
      <c r="K238" s="41" t="s">
        <v>85</v>
      </c>
      <c r="L238" s="43">
        <v>25015</v>
      </c>
      <c r="M238" s="41">
        <v>57</v>
      </c>
      <c r="N238" s="41" t="s">
        <v>1019</v>
      </c>
      <c r="O238" s="43">
        <v>48882</v>
      </c>
      <c r="P238" s="41" t="s">
        <v>3</v>
      </c>
      <c r="Q238" s="41"/>
      <c r="R238" s="57">
        <v>45913</v>
      </c>
      <c r="S238" s="58">
        <v>45918</v>
      </c>
      <c r="T238" s="59">
        <f t="shared" si="3"/>
        <v>5</v>
      </c>
      <c r="U238" s="41">
        <v>1</v>
      </c>
      <c r="V238" s="41">
        <v>1</v>
      </c>
      <c r="W238" s="41">
        <v>0</v>
      </c>
      <c r="X238" s="41">
        <v>1</v>
      </c>
      <c r="Y238" s="41">
        <v>0</v>
      </c>
      <c r="Z238" s="41">
        <v>0</v>
      </c>
      <c r="AA238" s="41">
        <v>1</v>
      </c>
      <c r="AB238" s="41"/>
      <c r="AC238" s="43">
        <v>45911</v>
      </c>
      <c r="AD238" s="44">
        <v>0.67013888889050577</v>
      </c>
      <c r="AE238" s="41" t="s">
        <v>70</v>
      </c>
      <c r="AF238" s="43">
        <v>45918</v>
      </c>
      <c r="AG238" s="44">
        <v>0.63194444444525288</v>
      </c>
      <c r="AH238" s="41" t="s">
        <v>982</v>
      </c>
      <c r="AI238" s="41" t="s">
        <v>939</v>
      </c>
      <c r="AJ238" s="41" t="s">
        <v>54</v>
      </c>
      <c r="AK238" s="41" t="s">
        <v>54</v>
      </c>
      <c r="AL238" s="41" t="s">
        <v>164</v>
      </c>
      <c r="AM238" s="45" t="s">
        <v>55</v>
      </c>
      <c r="AN238" s="70" t="s">
        <v>293</v>
      </c>
      <c r="AO238" s="71"/>
      <c r="AP238" s="46"/>
    </row>
    <row r="239" spans="3:42" ht="14.25" customHeight="1" x14ac:dyDescent="0.2">
      <c r="C239" s="40" t="str">
        <f>IF($X239=1,COUNTIF($C$10:C238,"&gt;0")+1,"")</f>
        <v/>
      </c>
      <c r="D239" s="41"/>
      <c r="E239" s="41" t="s">
        <v>933</v>
      </c>
      <c r="F239" s="42" t="s">
        <v>1020</v>
      </c>
      <c r="G239" s="41" t="s">
        <v>1016</v>
      </c>
      <c r="H239" s="41" t="s">
        <v>1021</v>
      </c>
      <c r="I239" s="41" t="s">
        <v>1018</v>
      </c>
      <c r="J239" s="41" t="s">
        <v>51</v>
      </c>
      <c r="K239" s="41" t="s">
        <v>85</v>
      </c>
      <c r="L239" s="43">
        <v>36877</v>
      </c>
      <c r="M239" s="41">
        <v>24</v>
      </c>
      <c r="N239" s="41" t="s">
        <v>1022</v>
      </c>
      <c r="O239" s="43">
        <v>48599</v>
      </c>
      <c r="P239" s="41" t="s">
        <v>3</v>
      </c>
      <c r="Q239" s="41"/>
      <c r="R239" s="57">
        <v>45913</v>
      </c>
      <c r="S239" s="58">
        <v>45918</v>
      </c>
      <c r="T239" s="59">
        <f t="shared" si="3"/>
        <v>5</v>
      </c>
      <c r="U239" s="41">
        <v>1</v>
      </c>
      <c r="V239" s="41">
        <v>1</v>
      </c>
      <c r="W239" s="41">
        <v>0</v>
      </c>
      <c r="X239" s="41">
        <v>0</v>
      </c>
      <c r="Y239" s="41">
        <v>0</v>
      </c>
      <c r="Z239" s="41">
        <v>0</v>
      </c>
      <c r="AA239" s="41">
        <v>0</v>
      </c>
      <c r="AB239" s="41"/>
      <c r="AC239" s="43">
        <v>45911</v>
      </c>
      <c r="AD239" s="44">
        <v>0.67013888889050577</v>
      </c>
      <c r="AE239" s="41" t="s">
        <v>70</v>
      </c>
      <c r="AF239" s="43">
        <v>45918</v>
      </c>
      <c r="AG239" s="44">
        <v>0.63194444444525288</v>
      </c>
      <c r="AH239" s="41" t="s">
        <v>982</v>
      </c>
      <c r="AI239" s="41" t="s">
        <v>939</v>
      </c>
      <c r="AJ239" s="41" t="s">
        <v>54</v>
      </c>
      <c r="AK239" s="41" t="s">
        <v>54</v>
      </c>
      <c r="AL239" s="41" t="s">
        <v>164</v>
      </c>
      <c r="AM239" s="45" t="s">
        <v>55</v>
      </c>
      <c r="AN239" s="45" t="s">
        <v>293</v>
      </c>
      <c r="AO239" s="45"/>
      <c r="AP239" s="46"/>
    </row>
    <row r="240" spans="3:42" ht="14.25" customHeight="1" x14ac:dyDescent="0.2">
      <c r="C240" s="40">
        <f>IF($X240=1,COUNTIF($C$10:C239,"&gt;0")+1,"")</f>
        <v>115</v>
      </c>
      <c r="D240" s="41">
        <v>15262441</v>
      </c>
      <c r="E240" s="41" t="s">
        <v>933</v>
      </c>
      <c r="F240" s="42" t="s">
        <v>1023</v>
      </c>
      <c r="G240" s="41" t="s">
        <v>1023</v>
      </c>
      <c r="H240" s="41" t="s">
        <v>1024</v>
      </c>
      <c r="I240" s="41" t="s">
        <v>1025</v>
      </c>
      <c r="J240" s="41" t="s">
        <v>51</v>
      </c>
      <c r="K240" s="41" t="s">
        <v>85</v>
      </c>
      <c r="L240" s="43">
        <v>23938</v>
      </c>
      <c r="M240" s="41">
        <v>60</v>
      </c>
      <c r="N240" s="41" t="s">
        <v>1026</v>
      </c>
      <c r="O240" s="43">
        <v>49066</v>
      </c>
      <c r="P240" s="41" t="s">
        <v>3</v>
      </c>
      <c r="Q240" s="41"/>
      <c r="R240" s="57">
        <v>45913</v>
      </c>
      <c r="S240" s="58">
        <v>45918</v>
      </c>
      <c r="T240" s="59">
        <f t="shared" si="3"/>
        <v>5</v>
      </c>
      <c r="U240" s="41">
        <v>1</v>
      </c>
      <c r="V240" s="41">
        <v>1</v>
      </c>
      <c r="W240" s="41">
        <v>0</v>
      </c>
      <c r="X240" s="41">
        <v>1</v>
      </c>
      <c r="Y240" s="41">
        <v>0</v>
      </c>
      <c r="Z240" s="41">
        <v>0</v>
      </c>
      <c r="AA240" s="41">
        <v>1</v>
      </c>
      <c r="AB240" s="41"/>
      <c r="AC240" s="43" t="s">
        <v>54</v>
      </c>
      <c r="AD240" s="44" t="s">
        <v>54</v>
      </c>
      <c r="AE240" s="41" t="s">
        <v>107</v>
      </c>
      <c r="AF240" s="43" t="s">
        <v>54</v>
      </c>
      <c r="AG240" s="44" t="s">
        <v>54</v>
      </c>
      <c r="AH240" s="41" t="s">
        <v>107</v>
      </c>
      <c r="AI240" s="41" t="s">
        <v>939</v>
      </c>
      <c r="AJ240" s="41" t="s">
        <v>54</v>
      </c>
      <c r="AK240" s="41"/>
      <c r="AL240" s="41" t="s">
        <v>164</v>
      </c>
      <c r="AM240" s="45" t="s">
        <v>55</v>
      </c>
      <c r="AN240" s="45" t="s">
        <v>387</v>
      </c>
      <c r="AO240" s="45"/>
      <c r="AP240" s="46"/>
    </row>
    <row r="241" spans="3:42" ht="14.25" customHeight="1" x14ac:dyDescent="0.2">
      <c r="C241" s="40" t="str">
        <f>IF($X241=1,COUNTIF($C$10:C240,"&gt;0")+1,"")</f>
        <v/>
      </c>
      <c r="D241" s="41"/>
      <c r="E241" s="41" t="s">
        <v>933</v>
      </c>
      <c r="F241" s="42" t="s">
        <v>1027</v>
      </c>
      <c r="G241" s="41" t="s">
        <v>1023</v>
      </c>
      <c r="H241" s="41" t="s">
        <v>1028</v>
      </c>
      <c r="I241" s="41" t="s">
        <v>1029</v>
      </c>
      <c r="J241" s="41" t="s">
        <v>51</v>
      </c>
      <c r="K241" s="41" t="s">
        <v>700</v>
      </c>
      <c r="L241" s="43">
        <v>22303</v>
      </c>
      <c r="M241" s="41">
        <v>64</v>
      </c>
      <c r="N241" s="41" t="s">
        <v>1030</v>
      </c>
      <c r="O241" s="43">
        <v>47171</v>
      </c>
      <c r="P241" s="41" t="s">
        <v>3</v>
      </c>
      <c r="Q241" s="41"/>
      <c r="R241" s="57">
        <v>45913</v>
      </c>
      <c r="S241" s="58">
        <v>45918</v>
      </c>
      <c r="T241" s="59">
        <f t="shared" si="3"/>
        <v>5</v>
      </c>
      <c r="U241" s="41">
        <v>1</v>
      </c>
      <c r="V241" s="41">
        <v>1</v>
      </c>
      <c r="W241" s="41">
        <v>0</v>
      </c>
      <c r="X241" s="41">
        <v>0</v>
      </c>
      <c r="Y241" s="41">
        <v>0</v>
      </c>
      <c r="Z241" s="41">
        <v>0</v>
      </c>
      <c r="AA241" s="41">
        <v>0</v>
      </c>
      <c r="AB241" s="41"/>
      <c r="AC241" s="43" t="s">
        <v>54</v>
      </c>
      <c r="AD241" s="44" t="s">
        <v>54</v>
      </c>
      <c r="AE241" s="41" t="s">
        <v>107</v>
      </c>
      <c r="AF241" s="43" t="s">
        <v>54</v>
      </c>
      <c r="AG241" s="44" t="s">
        <v>54</v>
      </c>
      <c r="AH241" s="41" t="s">
        <v>107</v>
      </c>
      <c r="AI241" s="41" t="s">
        <v>939</v>
      </c>
      <c r="AJ241" s="41" t="s">
        <v>54</v>
      </c>
      <c r="AK241" s="41"/>
      <c r="AL241" s="41" t="s">
        <v>164</v>
      </c>
      <c r="AM241" s="45" t="s">
        <v>55</v>
      </c>
      <c r="AN241" s="45" t="s">
        <v>387</v>
      </c>
      <c r="AO241" s="45"/>
      <c r="AP241" s="46"/>
    </row>
    <row r="242" spans="3:42" ht="14.25" customHeight="1" x14ac:dyDescent="0.2">
      <c r="C242" s="40">
        <f>IF($X242=1,COUNTIF($C$10:C241,"&gt;0")+1,"")</f>
        <v>116</v>
      </c>
      <c r="D242" s="41">
        <v>15262442</v>
      </c>
      <c r="E242" s="41" t="s">
        <v>933</v>
      </c>
      <c r="F242" s="42" t="s">
        <v>1031</v>
      </c>
      <c r="G242" s="41" t="s">
        <v>1023</v>
      </c>
      <c r="H242" s="41" t="s">
        <v>1032</v>
      </c>
      <c r="I242" s="41" t="s">
        <v>1025</v>
      </c>
      <c r="J242" s="41" t="s">
        <v>51</v>
      </c>
      <c r="K242" s="41" t="s">
        <v>700</v>
      </c>
      <c r="L242" s="43">
        <v>21642</v>
      </c>
      <c r="M242" s="41">
        <v>66</v>
      </c>
      <c r="N242" s="41" t="s">
        <v>1033</v>
      </c>
      <c r="O242" s="43">
        <v>46456</v>
      </c>
      <c r="P242" s="41" t="s">
        <v>2</v>
      </c>
      <c r="Q242" s="41"/>
      <c r="R242" s="57">
        <v>45913</v>
      </c>
      <c r="S242" s="58">
        <v>45918</v>
      </c>
      <c r="T242" s="59">
        <f t="shared" si="3"/>
        <v>5</v>
      </c>
      <c r="U242" s="41">
        <v>1</v>
      </c>
      <c r="V242" s="41">
        <v>1</v>
      </c>
      <c r="W242" s="41">
        <v>0</v>
      </c>
      <c r="X242" s="41">
        <v>1</v>
      </c>
      <c r="Y242" s="41">
        <v>0</v>
      </c>
      <c r="Z242" s="41">
        <v>1</v>
      </c>
      <c r="AA242" s="41">
        <v>0</v>
      </c>
      <c r="AB242" s="41"/>
      <c r="AC242" s="43" t="s">
        <v>54</v>
      </c>
      <c r="AD242" s="44" t="s">
        <v>54</v>
      </c>
      <c r="AE242" s="41" t="s">
        <v>107</v>
      </c>
      <c r="AF242" s="43" t="s">
        <v>54</v>
      </c>
      <c r="AG242" s="44" t="s">
        <v>54</v>
      </c>
      <c r="AH242" s="41" t="s">
        <v>107</v>
      </c>
      <c r="AI242" s="41" t="s">
        <v>939</v>
      </c>
      <c r="AJ242" s="41" t="s">
        <v>54</v>
      </c>
      <c r="AK242" s="41"/>
      <c r="AL242" s="41" t="s">
        <v>164</v>
      </c>
      <c r="AM242" s="45" t="s">
        <v>55</v>
      </c>
      <c r="AN242" s="45" t="s">
        <v>300</v>
      </c>
      <c r="AO242" s="45"/>
      <c r="AP242" s="46"/>
    </row>
    <row r="243" spans="3:42" ht="14.25" customHeight="1" x14ac:dyDescent="0.2">
      <c r="C243" s="40" t="str">
        <f>IF($X243=1,COUNTIF($C$10:C242,"&gt;0")+1,"")</f>
        <v/>
      </c>
      <c r="D243" s="41"/>
      <c r="E243" s="41" t="s">
        <v>933</v>
      </c>
      <c r="F243" s="42" t="s">
        <v>1034</v>
      </c>
      <c r="G243" s="41" t="s">
        <v>1023</v>
      </c>
      <c r="H243" s="41" t="s">
        <v>1035</v>
      </c>
      <c r="I243" s="41" t="s">
        <v>1036</v>
      </c>
      <c r="J243" s="41" t="s">
        <v>56</v>
      </c>
      <c r="K243" s="41" t="s">
        <v>700</v>
      </c>
      <c r="L243" s="43">
        <v>24191</v>
      </c>
      <c r="M243" s="41">
        <v>59</v>
      </c>
      <c r="N243" s="41" t="s">
        <v>1037</v>
      </c>
      <c r="O243" s="43">
        <v>46456</v>
      </c>
      <c r="P243" s="41" t="s">
        <v>2</v>
      </c>
      <c r="Q243" s="41"/>
      <c r="R243" s="57">
        <v>45913</v>
      </c>
      <c r="S243" s="58">
        <v>45918</v>
      </c>
      <c r="T243" s="59">
        <f t="shared" si="3"/>
        <v>5</v>
      </c>
      <c r="U243" s="41">
        <v>1</v>
      </c>
      <c r="V243" s="41">
        <v>1</v>
      </c>
      <c r="W243" s="41">
        <v>0</v>
      </c>
      <c r="X243" s="41">
        <v>0</v>
      </c>
      <c r="Y243" s="41">
        <v>0</v>
      </c>
      <c r="Z243" s="41">
        <v>0</v>
      </c>
      <c r="AA243" s="41">
        <v>0</v>
      </c>
      <c r="AB243" s="41"/>
      <c r="AC243" s="43" t="s">
        <v>54</v>
      </c>
      <c r="AD243" s="44" t="s">
        <v>54</v>
      </c>
      <c r="AE243" s="41" t="s">
        <v>107</v>
      </c>
      <c r="AF243" s="43" t="s">
        <v>54</v>
      </c>
      <c r="AG243" s="44" t="s">
        <v>54</v>
      </c>
      <c r="AH243" s="41" t="s">
        <v>107</v>
      </c>
      <c r="AI243" s="41" t="s">
        <v>939</v>
      </c>
      <c r="AJ243" s="41" t="s">
        <v>54</v>
      </c>
      <c r="AK243" s="41"/>
      <c r="AL243" s="41" t="s">
        <v>164</v>
      </c>
      <c r="AM243" s="45" t="s">
        <v>55</v>
      </c>
      <c r="AN243" s="45" t="s">
        <v>300</v>
      </c>
      <c r="AO243" s="45"/>
      <c r="AP243" s="46"/>
    </row>
    <row r="244" spans="3:42" ht="14.25" customHeight="1" x14ac:dyDescent="0.2">
      <c r="C244" s="40">
        <f>IF($X244=1,COUNTIF($C$10:C243,"&gt;0")+1,"")</f>
        <v>117</v>
      </c>
      <c r="D244" s="41">
        <v>15262443</v>
      </c>
      <c r="E244" s="41" t="s">
        <v>933</v>
      </c>
      <c r="F244" s="42" t="s">
        <v>1038</v>
      </c>
      <c r="G244" s="41" t="s">
        <v>1023</v>
      </c>
      <c r="H244" s="41" t="s">
        <v>1039</v>
      </c>
      <c r="I244" s="41" t="s">
        <v>1025</v>
      </c>
      <c r="J244" s="41" t="s">
        <v>51</v>
      </c>
      <c r="K244" s="41" t="s">
        <v>700</v>
      </c>
      <c r="L244" s="43">
        <v>23093</v>
      </c>
      <c r="M244" s="41">
        <v>62</v>
      </c>
      <c r="N244" s="41" t="s">
        <v>1040</v>
      </c>
      <c r="O244" s="43">
        <v>46109</v>
      </c>
      <c r="P244" s="41" t="s">
        <v>2</v>
      </c>
      <c r="Q244" s="41"/>
      <c r="R244" s="57">
        <v>45913</v>
      </c>
      <c r="S244" s="58">
        <v>45918</v>
      </c>
      <c r="T244" s="59">
        <f t="shared" si="3"/>
        <v>5</v>
      </c>
      <c r="U244" s="41">
        <v>1</v>
      </c>
      <c r="V244" s="41">
        <v>1</v>
      </c>
      <c r="W244" s="41">
        <v>0</v>
      </c>
      <c r="X244" s="41">
        <v>1</v>
      </c>
      <c r="Y244" s="41">
        <v>0</v>
      </c>
      <c r="Z244" s="41">
        <v>1</v>
      </c>
      <c r="AA244" s="41">
        <v>0</v>
      </c>
      <c r="AB244" s="41"/>
      <c r="AC244" s="43" t="s">
        <v>54</v>
      </c>
      <c r="AD244" s="44" t="s">
        <v>54</v>
      </c>
      <c r="AE244" s="41" t="s">
        <v>107</v>
      </c>
      <c r="AF244" s="43" t="s">
        <v>54</v>
      </c>
      <c r="AG244" s="44" t="s">
        <v>54</v>
      </c>
      <c r="AH244" s="41" t="s">
        <v>107</v>
      </c>
      <c r="AI244" s="41" t="s">
        <v>939</v>
      </c>
      <c r="AJ244" s="41" t="s">
        <v>54</v>
      </c>
      <c r="AK244" s="41"/>
      <c r="AL244" s="41" t="s">
        <v>164</v>
      </c>
      <c r="AM244" s="45" t="s">
        <v>55</v>
      </c>
      <c r="AN244" s="45" t="s">
        <v>300</v>
      </c>
      <c r="AO244" s="45"/>
      <c r="AP244" s="46"/>
    </row>
    <row r="245" spans="3:42" ht="14.25" customHeight="1" x14ac:dyDescent="0.2">
      <c r="C245" s="40" t="str">
        <f>IF($X245=1,COUNTIF($C$10:C244,"&gt;0")+1,"")</f>
        <v/>
      </c>
      <c r="D245" s="41"/>
      <c r="E245" s="41" t="s">
        <v>933</v>
      </c>
      <c r="F245" s="42" t="s">
        <v>1041</v>
      </c>
      <c r="G245" s="41" t="s">
        <v>1023</v>
      </c>
      <c r="H245" s="41" t="s">
        <v>1042</v>
      </c>
      <c r="I245" s="41" t="s">
        <v>1043</v>
      </c>
      <c r="J245" s="41" t="s">
        <v>56</v>
      </c>
      <c r="K245" s="41" t="s">
        <v>700</v>
      </c>
      <c r="L245" s="43">
        <v>23658</v>
      </c>
      <c r="M245" s="41">
        <v>60</v>
      </c>
      <c r="N245" s="41" t="s">
        <v>1044</v>
      </c>
      <c r="O245" s="43">
        <v>48912</v>
      </c>
      <c r="P245" s="41" t="s">
        <v>2</v>
      </c>
      <c r="Q245" s="41"/>
      <c r="R245" s="57">
        <v>45913</v>
      </c>
      <c r="S245" s="58">
        <v>45918</v>
      </c>
      <c r="T245" s="59">
        <f t="shared" si="3"/>
        <v>5</v>
      </c>
      <c r="U245" s="41">
        <v>1</v>
      </c>
      <c r="V245" s="41">
        <v>1</v>
      </c>
      <c r="W245" s="41">
        <v>0</v>
      </c>
      <c r="X245" s="41">
        <v>0</v>
      </c>
      <c r="Y245" s="41">
        <v>0</v>
      </c>
      <c r="Z245" s="41">
        <v>0</v>
      </c>
      <c r="AA245" s="41">
        <v>0</v>
      </c>
      <c r="AB245" s="41"/>
      <c r="AC245" s="43" t="s">
        <v>54</v>
      </c>
      <c r="AD245" s="44" t="s">
        <v>54</v>
      </c>
      <c r="AE245" s="41" t="s">
        <v>107</v>
      </c>
      <c r="AF245" s="43" t="s">
        <v>54</v>
      </c>
      <c r="AG245" s="44" t="s">
        <v>54</v>
      </c>
      <c r="AH245" s="41" t="s">
        <v>107</v>
      </c>
      <c r="AI245" s="41" t="s">
        <v>939</v>
      </c>
      <c r="AJ245" s="41" t="s">
        <v>54</v>
      </c>
      <c r="AK245" s="41"/>
      <c r="AL245" s="41" t="s">
        <v>164</v>
      </c>
      <c r="AM245" s="45" t="s">
        <v>55</v>
      </c>
      <c r="AN245" s="45" t="s">
        <v>300</v>
      </c>
      <c r="AO245" s="45"/>
      <c r="AP245" s="46"/>
    </row>
    <row r="246" spans="3:42" ht="14.25" customHeight="1" x14ac:dyDescent="0.2">
      <c r="C246" s="40">
        <f>IF($X246=1,COUNTIF($C$10:C245,"&gt;0")+1,"")</f>
        <v>118</v>
      </c>
      <c r="D246" s="41">
        <v>15262444</v>
      </c>
      <c r="E246" s="41" t="s">
        <v>933</v>
      </c>
      <c r="F246" s="42" t="s">
        <v>1045</v>
      </c>
      <c r="G246" s="41" t="s">
        <v>1045</v>
      </c>
      <c r="H246" s="41" t="s">
        <v>112</v>
      </c>
      <c r="I246" s="41" t="s">
        <v>1046</v>
      </c>
      <c r="J246" s="41" t="s">
        <v>56</v>
      </c>
      <c r="K246" s="41" t="s">
        <v>85</v>
      </c>
      <c r="L246" s="43">
        <v>23980</v>
      </c>
      <c r="M246" s="41">
        <v>60</v>
      </c>
      <c r="N246" s="41" t="s">
        <v>1047</v>
      </c>
      <c r="O246" s="43">
        <v>48519</v>
      </c>
      <c r="P246" s="41" t="s">
        <v>2</v>
      </c>
      <c r="Q246" s="41"/>
      <c r="R246" s="57">
        <v>45913</v>
      </c>
      <c r="S246" s="58">
        <v>45918</v>
      </c>
      <c r="T246" s="59">
        <f t="shared" si="3"/>
        <v>5</v>
      </c>
      <c r="U246" s="41">
        <v>1</v>
      </c>
      <c r="V246" s="41">
        <v>1</v>
      </c>
      <c r="W246" s="41">
        <v>0</v>
      </c>
      <c r="X246" s="41">
        <v>1</v>
      </c>
      <c r="Y246" s="41">
        <v>0</v>
      </c>
      <c r="Z246" s="41">
        <v>1</v>
      </c>
      <c r="AA246" s="41">
        <v>0</v>
      </c>
      <c r="AB246" s="41"/>
      <c r="AC246" s="43">
        <v>45913</v>
      </c>
      <c r="AD246" s="44">
        <v>0.72916666666424135</v>
      </c>
      <c r="AE246" s="41" t="s">
        <v>91</v>
      </c>
      <c r="AF246" s="43">
        <v>45918</v>
      </c>
      <c r="AG246" s="44">
        <v>0.85416666666424135</v>
      </c>
      <c r="AH246" s="41" t="s">
        <v>66</v>
      </c>
      <c r="AI246" s="41" t="s">
        <v>939</v>
      </c>
      <c r="AJ246" s="41" t="s">
        <v>54</v>
      </c>
      <c r="AK246" s="41" t="s">
        <v>54</v>
      </c>
      <c r="AL246" s="41" t="s">
        <v>164</v>
      </c>
      <c r="AM246" s="45" t="s">
        <v>55</v>
      </c>
      <c r="AN246" s="45" t="s">
        <v>300</v>
      </c>
      <c r="AO246" s="45"/>
      <c r="AP246" s="46"/>
    </row>
    <row r="247" spans="3:42" ht="14.25" customHeight="1" x14ac:dyDescent="0.2">
      <c r="C247" s="40" t="str">
        <f>IF($X247=1,COUNTIF($C$10:C246,"&gt;0")+1,"")</f>
        <v/>
      </c>
      <c r="D247" s="41"/>
      <c r="E247" s="41" t="s">
        <v>933</v>
      </c>
      <c r="F247" s="42" t="s">
        <v>1048</v>
      </c>
      <c r="G247" s="41" t="s">
        <v>1045</v>
      </c>
      <c r="H247" s="41" t="s">
        <v>1049</v>
      </c>
      <c r="I247" s="41" t="s">
        <v>1046</v>
      </c>
      <c r="J247" s="41" t="s">
        <v>51</v>
      </c>
      <c r="K247" s="41" t="s">
        <v>85</v>
      </c>
      <c r="L247" s="43">
        <v>23336</v>
      </c>
      <c r="M247" s="41">
        <v>61</v>
      </c>
      <c r="N247" s="41" t="s">
        <v>1050</v>
      </c>
      <c r="O247" s="43">
        <v>47428</v>
      </c>
      <c r="P247" s="41" t="s">
        <v>2</v>
      </c>
      <c r="Q247" s="41"/>
      <c r="R247" s="57">
        <v>45913</v>
      </c>
      <c r="S247" s="58">
        <v>45918</v>
      </c>
      <c r="T247" s="59">
        <f t="shared" si="3"/>
        <v>5</v>
      </c>
      <c r="U247" s="41">
        <v>1</v>
      </c>
      <c r="V247" s="41">
        <v>1</v>
      </c>
      <c r="W247" s="41">
        <v>0</v>
      </c>
      <c r="X247" s="41">
        <v>0</v>
      </c>
      <c r="Y247" s="41">
        <v>0</v>
      </c>
      <c r="Z247" s="41">
        <v>0</v>
      </c>
      <c r="AA247" s="41">
        <v>0</v>
      </c>
      <c r="AB247" s="41"/>
      <c r="AC247" s="43">
        <v>45913</v>
      </c>
      <c r="AD247" s="44">
        <v>0.72916666666424135</v>
      </c>
      <c r="AE247" s="41" t="s">
        <v>91</v>
      </c>
      <c r="AF247" s="43">
        <v>45918</v>
      </c>
      <c r="AG247" s="44">
        <v>0.85416666666424135</v>
      </c>
      <c r="AH247" s="41" t="s">
        <v>66</v>
      </c>
      <c r="AI247" s="41" t="s">
        <v>939</v>
      </c>
      <c r="AJ247" s="41" t="s">
        <v>54</v>
      </c>
      <c r="AK247" s="41" t="s">
        <v>54</v>
      </c>
      <c r="AL247" s="41" t="s">
        <v>164</v>
      </c>
      <c r="AM247" s="45" t="s">
        <v>55</v>
      </c>
      <c r="AN247" s="45" t="s">
        <v>300</v>
      </c>
      <c r="AO247" s="45"/>
      <c r="AP247" s="46"/>
    </row>
    <row r="248" spans="3:42" ht="14.25" customHeight="1" x14ac:dyDescent="0.2">
      <c r="C248" s="40">
        <f>IF($X248=1,COUNTIF($C$10:C247,"&gt;0")+1,"")</f>
        <v>119</v>
      </c>
      <c r="D248" s="41">
        <v>15262445</v>
      </c>
      <c r="E248" s="41" t="s">
        <v>933</v>
      </c>
      <c r="F248" s="42" t="s">
        <v>1051</v>
      </c>
      <c r="G248" s="41" t="s">
        <v>1045</v>
      </c>
      <c r="H248" s="41" t="s">
        <v>1052</v>
      </c>
      <c r="I248" s="41" t="s">
        <v>1046</v>
      </c>
      <c r="J248" s="41" t="s">
        <v>56</v>
      </c>
      <c r="K248" s="41" t="s">
        <v>85</v>
      </c>
      <c r="L248" s="43">
        <v>35657</v>
      </c>
      <c r="M248" s="41">
        <v>28</v>
      </c>
      <c r="N248" s="41" t="s">
        <v>1053</v>
      </c>
      <c r="O248" s="43">
        <v>48498</v>
      </c>
      <c r="P248" s="41" t="s">
        <v>2</v>
      </c>
      <c r="Q248" s="41"/>
      <c r="R248" s="57">
        <v>45913</v>
      </c>
      <c r="S248" s="58">
        <v>45918</v>
      </c>
      <c r="T248" s="59">
        <f t="shared" si="3"/>
        <v>5</v>
      </c>
      <c r="U248" s="41">
        <v>1</v>
      </c>
      <c r="V248" s="41">
        <v>1</v>
      </c>
      <c r="W248" s="41">
        <v>0</v>
      </c>
      <c r="X248" s="41">
        <v>1</v>
      </c>
      <c r="Y248" s="41">
        <v>0</v>
      </c>
      <c r="Z248" s="41">
        <v>1</v>
      </c>
      <c r="AA248" s="41">
        <v>0</v>
      </c>
      <c r="AB248" s="41"/>
      <c r="AC248" s="43">
        <v>45913</v>
      </c>
      <c r="AD248" s="44">
        <v>0.72916666666424135</v>
      </c>
      <c r="AE248" s="41" t="s">
        <v>91</v>
      </c>
      <c r="AF248" s="43">
        <v>45918</v>
      </c>
      <c r="AG248" s="44">
        <v>0.85416666666424135</v>
      </c>
      <c r="AH248" s="41" t="s">
        <v>66</v>
      </c>
      <c r="AI248" s="41" t="s">
        <v>939</v>
      </c>
      <c r="AJ248" s="41" t="s">
        <v>54</v>
      </c>
      <c r="AK248" s="41" t="s">
        <v>54</v>
      </c>
      <c r="AL248" s="41" t="s">
        <v>164</v>
      </c>
      <c r="AM248" s="45" t="s">
        <v>55</v>
      </c>
      <c r="AN248" s="45" t="s">
        <v>300</v>
      </c>
      <c r="AO248" s="45"/>
      <c r="AP248" s="46"/>
    </row>
    <row r="249" spans="3:42" ht="14.25" customHeight="1" x14ac:dyDescent="0.2">
      <c r="C249" s="40" t="str">
        <f>IF($X249=1,COUNTIF($C$10:C248,"&gt;0")+1,"")</f>
        <v/>
      </c>
      <c r="D249" s="41"/>
      <c r="E249" s="41" t="s">
        <v>933</v>
      </c>
      <c r="F249" s="42" t="s">
        <v>1054</v>
      </c>
      <c r="G249" s="41" t="s">
        <v>1045</v>
      </c>
      <c r="H249" s="41" t="s">
        <v>1055</v>
      </c>
      <c r="I249" s="41" t="s">
        <v>1056</v>
      </c>
      <c r="J249" s="41" t="s">
        <v>56</v>
      </c>
      <c r="K249" s="41" t="s">
        <v>85</v>
      </c>
      <c r="L249" s="43">
        <v>35387</v>
      </c>
      <c r="M249" s="41">
        <v>28</v>
      </c>
      <c r="N249" s="41" t="s">
        <v>1057</v>
      </c>
      <c r="O249" s="43">
        <v>46721</v>
      </c>
      <c r="P249" s="41" t="s">
        <v>2</v>
      </c>
      <c r="Q249" s="41"/>
      <c r="R249" s="57">
        <v>45913</v>
      </c>
      <c r="S249" s="58">
        <v>45918</v>
      </c>
      <c r="T249" s="59">
        <f t="shared" si="3"/>
        <v>5</v>
      </c>
      <c r="U249" s="41">
        <v>1</v>
      </c>
      <c r="V249" s="41">
        <v>1</v>
      </c>
      <c r="W249" s="41">
        <v>0</v>
      </c>
      <c r="X249" s="41">
        <v>0</v>
      </c>
      <c r="Y249" s="41">
        <v>0</v>
      </c>
      <c r="Z249" s="41">
        <v>0</v>
      </c>
      <c r="AA249" s="41">
        <v>0</v>
      </c>
      <c r="AB249" s="41"/>
      <c r="AC249" s="43">
        <v>45913</v>
      </c>
      <c r="AD249" s="44">
        <v>0.72916666666424135</v>
      </c>
      <c r="AE249" s="41" t="s">
        <v>91</v>
      </c>
      <c r="AF249" s="43">
        <v>45918</v>
      </c>
      <c r="AG249" s="44">
        <v>0.85416666666424135</v>
      </c>
      <c r="AH249" s="41" t="s">
        <v>66</v>
      </c>
      <c r="AI249" s="41" t="s">
        <v>939</v>
      </c>
      <c r="AJ249" s="41" t="s">
        <v>54</v>
      </c>
      <c r="AK249" s="41" t="s">
        <v>54</v>
      </c>
      <c r="AL249" s="41" t="s">
        <v>164</v>
      </c>
      <c r="AM249" s="45" t="s">
        <v>55</v>
      </c>
      <c r="AN249" s="45" t="s">
        <v>300</v>
      </c>
      <c r="AO249" s="45"/>
      <c r="AP249" s="46"/>
    </row>
    <row r="250" spans="3:42" ht="14.25" customHeight="1" x14ac:dyDescent="0.2">
      <c r="C250" s="40">
        <f>IF($X250=1,COUNTIF($C$10:C249,"&gt;0")+1,"")</f>
        <v>120</v>
      </c>
      <c r="D250" s="41">
        <v>15262446</v>
      </c>
      <c r="E250" s="41" t="s">
        <v>1058</v>
      </c>
      <c r="F250" s="42" t="s">
        <v>1059</v>
      </c>
      <c r="G250" s="41" t="s">
        <v>1059</v>
      </c>
      <c r="H250" s="41" t="s">
        <v>1060</v>
      </c>
      <c r="I250" s="41" t="s">
        <v>1061</v>
      </c>
      <c r="J250" s="41" t="s">
        <v>51</v>
      </c>
      <c r="K250" s="41" t="s">
        <v>85</v>
      </c>
      <c r="L250" s="43">
        <v>24548</v>
      </c>
      <c r="M250" s="41">
        <v>58</v>
      </c>
      <c r="N250" s="41" t="s">
        <v>1062</v>
      </c>
      <c r="O250" s="43">
        <v>49118</v>
      </c>
      <c r="P250" s="41" t="s">
        <v>2</v>
      </c>
      <c r="Q250" s="41"/>
      <c r="R250" s="57">
        <v>45913</v>
      </c>
      <c r="S250" s="58">
        <v>45918</v>
      </c>
      <c r="T250" s="59">
        <f t="shared" si="3"/>
        <v>5</v>
      </c>
      <c r="U250" s="41">
        <v>1</v>
      </c>
      <c r="V250" s="41">
        <v>1</v>
      </c>
      <c r="W250" s="41">
        <v>0</v>
      </c>
      <c r="X250" s="41">
        <v>1</v>
      </c>
      <c r="Y250" s="41">
        <v>0</v>
      </c>
      <c r="Z250" s="41">
        <v>1</v>
      </c>
      <c r="AA250" s="41">
        <v>0</v>
      </c>
      <c r="AB250" s="41"/>
      <c r="AC250" s="43">
        <v>45913</v>
      </c>
      <c r="AD250" s="44">
        <v>0.72916666666424135</v>
      </c>
      <c r="AE250" s="41" t="s">
        <v>91</v>
      </c>
      <c r="AF250" s="43">
        <v>45918</v>
      </c>
      <c r="AG250" s="44">
        <v>0.79513888889050577</v>
      </c>
      <c r="AH250" s="41" t="s">
        <v>81</v>
      </c>
      <c r="AI250" s="41" t="s">
        <v>1063</v>
      </c>
      <c r="AJ250" s="41" t="s">
        <v>92</v>
      </c>
      <c r="AK250" s="41" t="s">
        <v>54</v>
      </c>
      <c r="AL250" s="41" t="s">
        <v>164</v>
      </c>
      <c r="AM250" s="45" t="s">
        <v>55</v>
      </c>
      <c r="AN250" s="45" t="s">
        <v>300</v>
      </c>
      <c r="AO250" s="45"/>
      <c r="AP250" s="46"/>
    </row>
    <row r="251" spans="3:42" ht="14.25" customHeight="1" x14ac:dyDescent="0.2">
      <c r="C251" s="40" t="str">
        <f>IF($X251=1,COUNTIF($C$10:C250,"&gt;0")+1,"")</f>
        <v/>
      </c>
      <c r="D251" s="41"/>
      <c r="E251" s="41" t="s">
        <v>1058</v>
      </c>
      <c r="F251" s="42" t="s">
        <v>1064</v>
      </c>
      <c r="G251" s="41" t="s">
        <v>1059</v>
      </c>
      <c r="H251" s="41" t="s">
        <v>1065</v>
      </c>
      <c r="I251" s="41" t="s">
        <v>1066</v>
      </c>
      <c r="J251" s="41" t="s">
        <v>56</v>
      </c>
      <c r="K251" s="41" t="s">
        <v>85</v>
      </c>
      <c r="L251" s="43">
        <v>26582</v>
      </c>
      <c r="M251" s="41">
        <v>52</v>
      </c>
      <c r="N251" s="41" t="s">
        <v>1067</v>
      </c>
      <c r="O251" s="43">
        <v>49406</v>
      </c>
      <c r="P251" s="41" t="s">
        <v>2</v>
      </c>
      <c r="Q251" s="41"/>
      <c r="R251" s="57">
        <v>45913</v>
      </c>
      <c r="S251" s="58">
        <v>45918</v>
      </c>
      <c r="T251" s="59">
        <f t="shared" si="3"/>
        <v>5</v>
      </c>
      <c r="U251" s="41">
        <v>1</v>
      </c>
      <c r="V251" s="41">
        <v>1</v>
      </c>
      <c r="W251" s="41">
        <v>0</v>
      </c>
      <c r="X251" s="41">
        <v>0</v>
      </c>
      <c r="Y251" s="41">
        <v>0</v>
      </c>
      <c r="Z251" s="41">
        <v>0</v>
      </c>
      <c r="AA251" s="41">
        <v>0</v>
      </c>
      <c r="AB251" s="41"/>
      <c r="AC251" s="43">
        <v>45913</v>
      </c>
      <c r="AD251" s="44">
        <v>0.72916666666424135</v>
      </c>
      <c r="AE251" s="41" t="s">
        <v>91</v>
      </c>
      <c r="AF251" s="43">
        <v>45918</v>
      </c>
      <c r="AG251" s="44">
        <v>0.79513888889050577</v>
      </c>
      <c r="AH251" s="41" t="s">
        <v>81</v>
      </c>
      <c r="AI251" s="41" t="s">
        <v>1063</v>
      </c>
      <c r="AJ251" s="41" t="s">
        <v>54</v>
      </c>
      <c r="AK251" s="41" t="s">
        <v>54</v>
      </c>
      <c r="AL251" s="41" t="s">
        <v>164</v>
      </c>
      <c r="AM251" s="45" t="s">
        <v>55</v>
      </c>
      <c r="AN251" s="45" t="s">
        <v>300</v>
      </c>
      <c r="AO251" s="45"/>
      <c r="AP251" s="46"/>
    </row>
    <row r="252" spans="3:42" ht="14.25" customHeight="1" x14ac:dyDescent="0.2">
      <c r="C252" s="40">
        <f>IF($X252=1,COUNTIF($C$10:C251,"&gt;0")+1,"")</f>
        <v>121</v>
      </c>
      <c r="D252" s="41">
        <v>15262447</v>
      </c>
      <c r="E252" s="41" t="s">
        <v>1068</v>
      </c>
      <c r="F252" s="42" t="s">
        <v>1069</v>
      </c>
      <c r="G252" s="41" t="s">
        <v>1069</v>
      </c>
      <c r="H252" s="41" t="s">
        <v>1070</v>
      </c>
      <c r="I252" s="41" t="s">
        <v>1071</v>
      </c>
      <c r="J252" s="41" t="s">
        <v>51</v>
      </c>
      <c r="K252" s="41" t="s">
        <v>52</v>
      </c>
      <c r="L252" s="43">
        <v>29637</v>
      </c>
      <c r="M252" s="41">
        <v>44</v>
      </c>
      <c r="N252" s="41" t="s">
        <v>1072</v>
      </c>
      <c r="O252" s="43">
        <v>48257</v>
      </c>
      <c r="P252" s="41" t="s">
        <v>2</v>
      </c>
      <c r="Q252" s="41"/>
      <c r="R252" s="57">
        <v>45913</v>
      </c>
      <c r="S252" s="58">
        <v>45918</v>
      </c>
      <c r="T252" s="59">
        <f t="shared" si="3"/>
        <v>5</v>
      </c>
      <c r="U252" s="41">
        <v>1</v>
      </c>
      <c r="V252" s="41">
        <v>1</v>
      </c>
      <c r="W252" s="41">
        <v>0</v>
      </c>
      <c r="X252" s="41">
        <v>1</v>
      </c>
      <c r="Y252" s="41">
        <v>0</v>
      </c>
      <c r="Z252" s="41">
        <v>1</v>
      </c>
      <c r="AA252" s="41">
        <v>0</v>
      </c>
      <c r="AB252" s="41"/>
      <c r="AC252" s="43">
        <v>45913</v>
      </c>
      <c r="AD252" s="44">
        <v>0.45833333333575865</v>
      </c>
      <c r="AE252" s="41" t="s">
        <v>72</v>
      </c>
      <c r="AF252" s="43">
        <v>45918</v>
      </c>
      <c r="AG252" s="44">
        <v>2.4305555554747116E-2</v>
      </c>
      <c r="AH252" s="41" t="s">
        <v>1073</v>
      </c>
      <c r="AI252" s="41" t="s">
        <v>1074</v>
      </c>
      <c r="AJ252" s="41" t="s">
        <v>54</v>
      </c>
      <c r="AK252" s="41" t="s">
        <v>54</v>
      </c>
      <c r="AL252" s="41" t="s">
        <v>164</v>
      </c>
      <c r="AM252" s="45" t="s">
        <v>55</v>
      </c>
      <c r="AN252" s="45" t="s">
        <v>170</v>
      </c>
      <c r="AO252" s="45"/>
      <c r="AP252" s="46"/>
    </row>
    <row r="253" spans="3:42" ht="14.25" customHeight="1" x14ac:dyDescent="0.2">
      <c r="C253" s="40" t="str">
        <f>IF($X253=1,COUNTIF($C$10:C252,"&gt;0")+1,"")</f>
        <v/>
      </c>
      <c r="D253" s="41"/>
      <c r="E253" s="41" t="s">
        <v>1068</v>
      </c>
      <c r="F253" s="42" t="s">
        <v>1075</v>
      </c>
      <c r="G253" s="41" t="s">
        <v>1069</v>
      </c>
      <c r="H253" s="41" t="s">
        <v>1076</v>
      </c>
      <c r="I253" s="41" t="s">
        <v>1071</v>
      </c>
      <c r="J253" s="41" t="s">
        <v>56</v>
      </c>
      <c r="K253" s="41" t="s">
        <v>52</v>
      </c>
      <c r="L253" s="43">
        <v>29789</v>
      </c>
      <c r="M253" s="41">
        <v>44</v>
      </c>
      <c r="N253" s="41" t="s">
        <v>1077</v>
      </c>
      <c r="O253" s="43">
        <v>46423</v>
      </c>
      <c r="P253" s="41" t="s">
        <v>2</v>
      </c>
      <c r="Q253" s="41"/>
      <c r="R253" s="57">
        <v>45913</v>
      </c>
      <c r="S253" s="58">
        <v>45918</v>
      </c>
      <c r="T253" s="59">
        <f t="shared" si="3"/>
        <v>5</v>
      </c>
      <c r="U253" s="41">
        <v>1</v>
      </c>
      <c r="V253" s="41">
        <v>1</v>
      </c>
      <c r="W253" s="41">
        <v>0</v>
      </c>
      <c r="X253" s="41">
        <v>0</v>
      </c>
      <c r="Y253" s="41">
        <v>0</v>
      </c>
      <c r="Z253" s="41">
        <v>0</v>
      </c>
      <c r="AA253" s="41">
        <v>0</v>
      </c>
      <c r="AB253" s="41"/>
      <c r="AC253" s="43">
        <v>45913</v>
      </c>
      <c r="AD253" s="44">
        <v>0.45833333333575865</v>
      </c>
      <c r="AE253" s="41" t="s">
        <v>72</v>
      </c>
      <c r="AF253" s="43">
        <v>45918</v>
      </c>
      <c r="AG253" s="44">
        <v>0.5</v>
      </c>
      <c r="AH253" s="41" t="s">
        <v>145</v>
      </c>
      <c r="AI253" s="41" t="s">
        <v>1074</v>
      </c>
      <c r="AJ253" s="41" t="s">
        <v>54</v>
      </c>
      <c r="AK253" s="41" t="s">
        <v>54</v>
      </c>
      <c r="AL253" s="41" t="s">
        <v>164</v>
      </c>
      <c r="AM253" s="45" t="s">
        <v>55</v>
      </c>
      <c r="AN253" s="45" t="s">
        <v>170</v>
      </c>
      <c r="AO253" s="45"/>
      <c r="AP253" s="46"/>
    </row>
    <row r="254" spans="3:42" ht="14.25" customHeight="1" x14ac:dyDescent="0.2">
      <c r="C254" s="40">
        <f>IF($X254=1,COUNTIF($C$10:C253,"&gt;0")+1,"")</f>
        <v>122</v>
      </c>
      <c r="D254" s="41">
        <v>15262448</v>
      </c>
      <c r="E254" s="41" t="s">
        <v>1068</v>
      </c>
      <c r="F254" s="42" t="s">
        <v>1078</v>
      </c>
      <c r="G254" s="41" t="s">
        <v>1078</v>
      </c>
      <c r="H254" s="41" t="s">
        <v>1079</v>
      </c>
      <c r="I254" s="41" t="s">
        <v>1080</v>
      </c>
      <c r="J254" s="41" t="s">
        <v>56</v>
      </c>
      <c r="K254" s="41" t="s">
        <v>52</v>
      </c>
      <c r="L254" s="43">
        <v>25043</v>
      </c>
      <c r="M254" s="41">
        <v>57</v>
      </c>
      <c r="N254" s="41" t="s">
        <v>1081</v>
      </c>
      <c r="O254" s="43">
        <v>47113</v>
      </c>
      <c r="P254" s="41" t="s">
        <v>3</v>
      </c>
      <c r="Q254" s="41"/>
      <c r="R254" s="57">
        <v>45913</v>
      </c>
      <c r="S254" s="58">
        <v>45918</v>
      </c>
      <c r="T254" s="59">
        <f t="shared" si="3"/>
        <v>5</v>
      </c>
      <c r="U254" s="41">
        <v>1</v>
      </c>
      <c r="V254" s="41">
        <v>1</v>
      </c>
      <c r="W254" s="41">
        <v>0</v>
      </c>
      <c r="X254" s="41">
        <v>1</v>
      </c>
      <c r="Y254" s="41">
        <v>0</v>
      </c>
      <c r="Z254" s="41">
        <v>0</v>
      </c>
      <c r="AA254" s="41">
        <v>1</v>
      </c>
      <c r="AB254" s="41"/>
      <c r="AC254" s="43">
        <v>45913</v>
      </c>
      <c r="AD254" s="44">
        <v>0.45833333333575865</v>
      </c>
      <c r="AE254" s="41" t="s">
        <v>72</v>
      </c>
      <c r="AF254" s="43">
        <v>45918</v>
      </c>
      <c r="AG254" s="44">
        <v>0.5</v>
      </c>
      <c r="AH254" s="41" t="s">
        <v>145</v>
      </c>
      <c r="AI254" s="41" t="s">
        <v>1074</v>
      </c>
      <c r="AJ254" s="41" t="s">
        <v>54</v>
      </c>
      <c r="AK254" s="41" t="s">
        <v>54</v>
      </c>
      <c r="AL254" s="41" t="s">
        <v>164</v>
      </c>
      <c r="AM254" s="45" t="s">
        <v>55</v>
      </c>
      <c r="AN254" s="45" t="s">
        <v>186</v>
      </c>
      <c r="AO254" s="45"/>
      <c r="AP254" s="46"/>
    </row>
    <row r="255" spans="3:42" ht="14.25" customHeight="1" x14ac:dyDescent="0.2">
      <c r="C255" s="40" t="str">
        <f>IF($X255=1,COUNTIF($C$10:C254,"&gt;0")+1,"")</f>
        <v/>
      </c>
      <c r="D255" s="41"/>
      <c r="E255" s="41" t="s">
        <v>1068</v>
      </c>
      <c r="F255" s="42" t="s">
        <v>1082</v>
      </c>
      <c r="G255" s="41" t="s">
        <v>1078</v>
      </c>
      <c r="H255" s="41" t="s">
        <v>1083</v>
      </c>
      <c r="I255" s="41" t="s">
        <v>677</v>
      </c>
      <c r="J255" s="41" t="s">
        <v>56</v>
      </c>
      <c r="K255" s="41" t="s">
        <v>52</v>
      </c>
      <c r="L255" s="43">
        <v>26377</v>
      </c>
      <c r="M255" s="41">
        <v>53</v>
      </c>
      <c r="N255" s="41" t="s">
        <v>1084</v>
      </c>
      <c r="O255" s="43">
        <v>46215</v>
      </c>
      <c r="P255" s="41" t="s">
        <v>3</v>
      </c>
      <c r="Q255" s="41"/>
      <c r="R255" s="57">
        <v>45913</v>
      </c>
      <c r="S255" s="58">
        <v>45918</v>
      </c>
      <c r="T255" s="59">
        <f t="shared" si="3"/>
        <v>5</v>
      </c>
      <c r="U255" s="41">
        <v>1</v>
      </c>
      <c r="V255" s="41">
        <v>1</v>
      </c>
      <c r="W255" s="41">
        <v>0</v>
      </c>
      <c r="X255" s="41">
        <v>0</v>
      </c>
      <c r="Y255" s="41">
        <v>0</v>
      </c>
      <c r="Z255" s="41">
        <v>0</v>
      </c>
      <c r="AA255" s="41">
        <v>0</v>
      </c>
      <c r="AB255" s="41"/>
      <c r="AC255" s="43">
        <v>45913</v>
      </c>
      <c r="AD255" s="44">
        <v>0.63888888889050577</v>
      </c>
      <c r="AE255" s="41" t="s">
        <v>58</v>
      </c>
      <c r="AF255" s="43">
        <v>45918</v>
      </c>
      <c r="AG255" s="44">
        <v>0.42708333333575865</v>
      </c>
      <c r="AH255" s="41" t="s">
        <v>93</v>
      </c>
      <c r="AI255" s="41" t="s">
        <v>1074</v>
      </c>
      <c r="AJ255" s="41" t="s">
        <v>54</v>
      </c>
      <c r="AK255" s="41" t="s">
        <v>54</v>
      </c>
      <c r="AL255" s="41" t="s">
        <v>164</v>
      </c>
      <c r="AM255" s="45" t="s">
        <v>55</v>
      </c>
      <c r="AN255" s="45" t="s">
        <v>186</v>
      </c>
      <c r="AO255" s="45"/>
      <c r="AP255" s="46"/>
    </row>
    <row r="256" spans="3:42" ht="14.25" customHeight="1" x14ac:dyDescent="0.2">
      <c r="C256" s="40">
        <f>IF($X256=1,COUNTIF($C$10:C255,"&gt;0")+1,"")</f>
        <v>123</v>
      </c>
      <c r="D256" s="41">
        <v>15262449</v>
      </c>
      <c r="E256" s="41" t="s">
        <v>1068</v>
      </c>
      <c r="F256" s="42" t="s">
        <v>1085</v>
      </c>
      <c r="G256" s="41" t="s">
        <v>1085</v>
      </c>
      <c r="H256" s="41" t="s">
        <v>1086</v>
      </c>
      <c r="I256" s="41" t="s">
        <v>1087</v>
      </c>
      <c r="J256" s="41" t="s">
        <v>51</v>
      </c>
      <c r="K256" s="41" t="s">
        <v>85</v>
      </c>
      <c r="L256" s="43">
        <v>23979</v>
      </c>
      <c r="M256" s="41">
        <v>60</v>
      </c>
      <c r="N256" s="41" t="s">
        <v>1088</v>
      </c>
      <c r="O256" s="43">
        <v>48994</v>
      </c>
      <c r="P256" s="41" t="s">
        <v>3</v>
      </c>
      <c r="Q256" s="41"/>
      <c r="R256" s="57">
        <v>45913</v>
      </c>
      <c r="S256" s="58">
        <v>45918</v>
      </c>
      <c r="T256" s="59">
        <f t="shared" si="3"/>
        <v>5</v>
      </c>
      <c r="U256" s="41">
        <v>1</v>
      </c>
      <c r="V256" s="41">
        <v>1</v>
      </c>
      <c r="W256" s="41">
        <v>0</v>
      </c>
      <c r="X256" s="41">
        <v>1</v>
      </c>
      <c r="Y256" s="41">
        <v>0</v>
      </c>
      <c r="Z256" s="41">
        <v>0</v>
      </c>
      <c r="AA256" s="41">
        <v>1</v>
      </c>
      <c r="AB256" s="41"/>
      <c r="AC256" s="43">
        <v>45913</v>
      </c>
      <c r="AD256" s="44">
        <v>0.78125</v>
      </c>
      <c r="AE256" s="41" t="s">
        <v>86</v>
      </c>
      <c r="AF256" s="43">
        <v>45918</v>
      </c>
      <c r="AG256" s="44">
        <v>0.86458333333575865</v>
      </c>
      <c r="AH256" s="41" t="s">
        <v>87</v>
      </c>
      <c r="AI256" s="41" t="s">
        <v>1074</v>
      </c>
      <c r="AJ256" s="41" t="s">
        <v>54</v>
      </c>
      <c r="AK256" s="41" t="s">
        <v>54</v>
      </c>
      <c r="AL256" s="41" t="s">
        <v>164</v>
      </c>
      <c r="AM256" s="45" t="s">
        <v>55</v>
      </c>
      <c r="AN256" s="45" t="s">
        <v>186</v>
      </c>
      <c r="AO256" s="45" t="s">
        <v>79</v>
      </c>
      <c r="AP256" s="46"/>
    </row>
    <row r="257" spans="3:42" ht="14.25" customHeight="1" x14ac:dyDescent="0.2">
      <c r="C257" s="40" t="str">
        <f>IF($X257=1,COUNTIF($C$10:C256,"&gt;0")+1,"")</f>
        <v/>
      </c>
      <c r="D257" s="41"/>
      <c r="E257" s="41" t="s">
        <v>1068</v>
      </c>
      <c r="F257" s="42" t="s">
        <v>1089</v>
      </c>
      <c r="G257" s="41" t="s">
        <v>1085</v>
      </c>
      <c r="H257" s="41" t="s">
        <v>1090</v>
      </c>
      <c r="I257" s="41" t="s">
        <v>1091</v>
      </c>
      <c r="J257" s="41" t="s">
        <v>51</v>
      </c>
      <c r="K257" s="41" t="s">
        <v>85</v>
      </c>
      <c r="L257" s="43">
        <v>28523</v>
      </c>
      <c r="M257" s="41">
        <v>47</v>
      </c>
      <c r="N257" s="41" t="s">
        <v>1092</v>
      </c>
      <c r="O257" s="43">
        <v>48812</v>
      </c>
      <c r="P257" s="41" t="s">
        <v>3</v>
      </c>
      <c r="Q257" s="41"/>
      <c r="R257" s="57">
        <v>45913</v>
      </c>
      <c r="S257" s="58">
        <v>45918</v>
      </c>
      <c r="T257" s="59">
        <f t="shared" si="3"/>
        <v>5</v>
      </c>
      <c r="U257" s="41">
        <v>1</v>
      </c>
      <c r="V257" s="41">
        <v>1</v>
      </c>
      <c r="W257" s="41">
        <v>0</v>
      </c>
      <c r="X257" s="41">
        <v>0</v>
      </c>
      <c r="Y257" s="41">
        <v>0</v>
      </c>
      <c r="Z257" s="41">
        <v>0</v>
      </c>
      <c r="AA257" s="41">
        <v>0</v>
      </c>
      <c r="AB257" s="41"/>
      <c r="AC257" s="43">
        <v>45913</v>
      </c>
      <c r="AD257" s="44">
        <v>0.5625</v>
      </c>
      <c r="AE257" s="41" t="s">
        <v>1093</v>
      </c>
      <c r="AF257" s="43">
        <v>45918</v>
      </c>
      <c r="AG257" s="44">
        <v>0.73958333333575865</v>
      </c>
      <c r="AH257" s="41" t="s">
        <v>111</v>
      </c>
      <c r="AI257" s="41" t="s">
        <v>1074</v>
      </c>
      <c r="AJ257" s="41" t="s">
        <v>54</v>
      </c>
      <c r="AK257" s="41"/>
      <c r="AL257" s="41" t="s">
        <v>164</v>
      </c>
      <c r="AM257" s="45" t="s">
        <v>55</v>
      </c>
      <c r="AN257" s="45" t="s">
        <v>186</v>
      </c>
      <c r="AO257" s="45"/>
      <c r="AP257" s="46"/>
    </row>
    <row r="258" spans="3:42" ht="14.25" customHeight="1" x14ac:dyDescent="0.2">
      <c r="C258" s="40">
        <f>IF($X258=1,COUNTIF($C$10:C257,"&gt;0")+1,"")</f>
        <v>124</v>
      </c>
      <c r="D258" s="41">
        <v>15262450</v>
      </c>
      <c r="E258" s="41" t="s">
        <v>1068</v>
      </c>
      <c r="F258" s="42" t="s">
        <v>1094</v>
      </c>
      <c r="G258" s="41" t="s">
        <v>1094</v>
      </c>
      <c r="H258" s="41" t="s">
        <v>1095</v>
      </c>
      <c r="I258" s="41" t="s">
        <v>1096</v>
      </c>
      <c r="J258" s="41" t="s">
        <v>56</v>
      </c>
      <c r="K258" s="41" t="s">
        <v>52</v>
      </c>
      <c r="L258" s="43">
        <v>30769</v>
      </c>
      <c r="M258" s="41">
        <v>41</v>
      </c>
      <c r="N258" s="41" t="s">
        <v>1097</v>
      </c>
      <c r="O258" s="43">
        <v>48976</v>
      </c>
      <c r="P258" s="41" t="s">
        <v>2</v>
      </c>
      <c r="Q258" s="41"/>
      <c r="R258" s="57">
        <v>45913</v>
      </c>
      <c r="S258" s="58">
        <v>45918</v>
      </c>
      <c r="T258" s="59">
        <f t="shared" si="3"/>
        <v>5</v>
      </c>
      <c r="U258" s="41">
        <v>1</v>
      </c>
      <c r="V258" s="41">
        <v>1</v>
      </c>
      <c r="W258" s="41">
        <v>0</v>
      </c>
      <c r="X258" s="41">
        <v>1</v>
      </c>
      <c r="Y258" s="41">
        <v>0</v>
      </c>
      <c r="Z258" s="41">
        <v>1</v>
      </c>
      <c r="AA258" s="41">
        <v>0</v>
      </c>
      <c r="AB258" s="41"/>
      <c r="AC258" s="43">
        <v>45913</v>
      </c>
      <c r="AD258" s="44">
        <v>0.63888888889050577</v>
      </c>
      <c r="AE258" s="41" t="s">
        <v>58</v>
      </c>
      <c r="AF258" s="43">
        <v>45918</v>
      </c>
      <c r="AG258" s="44">
        <v>0.81944444444525288</v>
      </c>
      <c r="AH258" s="41" t="s">
        <v>95</v>
      </c>
      <c r="AI258" s="41" t="s">
        <v>1074</v>
      </c>
      <c r="AJ258" s="41" t="s">
        <v>54</v>
      </c>
      <c r="AK258" s="41" t="s">
        <v>54</v>
      </c>
      <c r="AL258" s="41" t="s">
        <v>164</v>
      </c>
      <c r="AM258" s="45" t="s">
        <v>55</v>
      </c>
      <c r="AN258" s="45" t="s">
        <v>170</v>
      </c>
      <c r="AO258" s="45"/>
      <c r="AP258" s="46"/>
    </row>
    <row r="259" spans="3:42" ht="14.25" customHeight="1" x14ac:dyDescent="0.2">
      <c r="C259" s="40" t="str">
        <f>IF($X259=1,COUNTIF($C$10:C258,"&gt;0")+1,"")</f>
        <v/>
      </c>
      <c r="D259" s="41"/>
      <c r="E259" s="41" t="s">
        <v>1068</v>
      </c>
      <c r="F259" s="42" t="s">
        <v>1098</v>
      </c>
      <c r="G259" s="41" t="s">
        <v>1094</v>
      </c>
      <c r="H259" s="41" t="s">
        <v>1099</v>
      </c>
      <c r="I259" s="41" t="s">
        <v>1100</v>
      </c>
      <c r="J259" s="41" t="s">
        <v>56</v>
      </c>
      <c r="K259" s="41" t="s">
        <v>85</v>
      </c>
      <c r="L259" s="43">
        <v>30815</v>
      </c>
      <c r="M259" s="41">
        <v>41</v>
      </c>
      <c r="N259" s="41" t="s">
        <v>1101</v>
      </c>
      <c r="O259" s="43">
        <v>46574</v>
      </c>
      <c r="P259" s="41" t="s">
        <v>2</v>
      </c>
      <c r="Q259" s="41"/>
      <c r="R259" s="57">
        <v>45913</v>
      </c>
      <c r="S259" s="58">
        <v>45918</v>
      </c>
      <c r="T259" s="59">
        <f t="shared" si="3"/>
        <v>5</v>
      </c>
      <c r="U259" s="41">
        <v>1</v>
      </c>
      <c r="V259" s="41">
        <v>1</v>
      </c>
      <c r="W259" s="41">
        <v>0</v>
      </c>
      <c r="X259" s="41">
        <v>0</v>
      </c>
      <c r="Y259" s="41">
        <v>0</v>
      </c>
      <c r="Z259" s="41">
        <v>0</v>
      </c>
      <c r="AA259" s="41">
        <v>0</v>
      </c>
      <c r="AB259" s="41"/>
      <c r="AC259" s="43">
        <v>45913</v>
      </c>
      <c r="AD259" s="44">
        <v>0.67013888889050577</v>
      </c>
      <c r="AE259" s="41" t="s">
        <v>70</v>
      </c>
      <c r="AF259" s="43">
        <v>45918</v>
      </c>
      <c r="AG259" s="44">
        <v>0.73958333333575865</v>
      </c>
      <c r="AH259" s="41" t="s">
        <v>111</v>
      </c>
      <c r="AI259" s="41" t="s">
        <v>1074</v>
      </c>
      <c r="AJ259" s="41" t="s">
        <v>54</v>
      </c>
      <c r="AK259" s="41" t="s">
        <v>54</v>
      </c>
      <c r="AL259" s="41" t="s">
        <v>164</v>
      </c>
      <c r="AM259" s="45" t="s">
        <v>55</v>
      </c>
      <c r="AN259" s="45" t="s">
        <v>170</v>
      </c>
      <c r="AO259" s="45"/>
      <c r="AP259" s="46"/>
    </row>
    <row r="260" spans="3:42" ht="14.25" customHeight="1" x14ac:dyDescent="0.2">
      <c r="C260" s="40">
        <f>IF($X260=1,COUNTIF($C$10:C259,"&gt;0")+1,"")</f>
        <v>125</v>
      </c>
      <c r="D260" s="41">
        <v>15262451</v>
      </c>
      <c r="E260" s="41" t="s">
        <v>1068</v>
      </c>
      <c r="F260" s="42" t="s">
        <v>1102</v>
      </c>
      <c r="G260" s="41" t="s">
        <v>1102</v>
      </c>
      <c r="H260" s="41" t="s">
        <v>1103</v>
      </c>
      <c r="I260" s="41" t="s">
        <v>1104</v>
      </c>
      <c r="J260" s="41" t="s">
        <v>51</v>
      </c>
      <c r="K260" s="41" t="s">
        <v>85</v>
      </c>
      <c r="L260" s="43">
        <v>30643</v>
      </c>
      <c r="M260" s="41">
        <v>41</v>
      </c>
      <c r="N260" s="41" t="s">
        <v>1105</v>
      </c>
      <c r="O260" s="43">
        <v>48473</v>
      </c>
      <c r="P260" s="41" t="s">
        <v>3</v>
      </c>
      <c r="Q260" s="41"/>
      <c r="R260" s="57">
        <v>45913</v>
      </c>
      <c r="S260" s="58">
        <v>45918</v>
      </c>
      <c r="T260" s="59">
        <f t="shared" si="3"/>
        <v>5</v>
      </c>
      <c r="U260" s="41">
        <v>1</v>
      </c>
      <c r="V260" s="41">
        <v>1</v>
      </c>
      <c r="W260" s="41">
        <v>0</v>
      </c>
      <c r="X260" s="41">
        <v>1</v>
      </c>
      <c r="Y260" s="41">
        <v>0</v>
      </c>
      <c r="Z260" s="41">
        <v>0</v>
      </c>
      <c r="AA260" s="41">
        <v>1</v>
      </c>
      <c r="AB260" s="41"/>
      <c r="AC260" s="43">
        <v>45913</v>
      </c>
      <c r="AD260" s="44">
        <v>0.70486111110949423</v>
      </c>
      <c r="AE260" s="41" t="s">
        <v>777</v>
      </c>
      <c r="AF260" s="43">
        <v>45918</v>
      </c>
      <c r="AG260" s="44">
        <v>0.39930555555474712</v>
      </c>
      <c r="AH260" s="41" t="s">
        <v>1106</v>
      </c>
      <c r="AI260" s="41" t="s">
        <v>1074</v>
      </c>
      <c r="AJ260" s="41" t="s">
        <v>54</v>
      </c>
      <c r="AK260" s="41" t="s">
        <v>54</v>
      </c>
      <c r="AL260" s="41" t="s">
        <v>164</v>
      </c>
      <c r="AM260" s="45" t="s">
        <v>55</v>
      </c>
      <c r="AN260" s="45" t="s">
        <v>186</v>
      </c>
      <c r="AO260" s="45"/>
      <c r="AP260" s="46"/>
    </row>
    <row r="261" spans="3:42" ht="14.25" customHeight="1" x14ac:dyDescent="0.2">
      <c r="C261" s="40" t="str">
        <f>IF($X261=1,COUNTIF($C$10:C260,"&gt;0")+1,"")</f>
        <v/>
      </c>
      <c r="D261" s="41"/>
      <c r="E261" s="41" t="s">
        <v>1068</v>
      </c>
      <c r="F261" s="42" t="s">
        <v>1107</v>
      </c>
      <c r="G261" s="41" t="s">
        <v>1102</v>
      </c>
      <c r="H261" s="41" t="s">
        <v>1108</v>
      </c>
      <c r="I261" s="41" t="s">
        <v>1109</v>
      </c>
      <c r="J261" s="41" t="s">
        <v>51</v>
      </c>
      <c r="K261" s="41" t="s">
        <v>52</v>
      </c>
      <c r="L261" s="43">
        <v>27892</v>
      </c>
      <c r="M261" s="41">
        <v>49</v>
      </c>
      <c r="N261" s="41" t="s">
        <v>1110</v>
      </c>
      <c r="O261" s="43">
        <v>47862</v>
      </c>
      <c r="P261" s="41" t="s">
        <v>3</v>
      </c>
      <c r="Q261" s="41"/>
      <c r="R261" s="57">
        <v>45913</v>
      </c>
      <c r="S261" s="58">
        <v>45918</v>
      </c>
      <c r="T261" s="59">
        <f t="shared" si="3"/>
        <v>5</v>
      </c>
      <c r="U261" s="41">
        <v>1</v>
      </c>
      <c r="V261" s="41">
        <v>1</v>
      </c>
      <c r="W261" s="41">
        <v>0</v>
      </c>
      <c r="X261" s="41">
        <v>0</v>
      </c>
      <c r="Y261" s="41">
        <v>0</v>
      </c>
      <c r="Z261" s="41">
        <v>0</v>
      </c>
      <c r="AA261" s="41">
        <v>0</v>
      </c>
      <c r="AB261" s="41"/>
      <c r="AC261" s="43">
        <v>45913</v>
      </c>
      <c r="AD261" s="44">
        <v>0.63888888889050577</v>
      </c>
      <c r="AE261" s="41" t="s">
        <v>58</v>
      </c>
      <c r="AF261" s="43">
        <v>45918</v>
      </c>
      <c r="AG261" s="44">
        <v>0.81944444444525288</v>
      </c>
      <c r="AH261" s="41" t="s">
        <v>95</v>
      </c>
      <c r="AI261" s="41" t="s">
        <v>1074</v>
      </c>
      <c r="AJ261" s="41" t="s">
        <v>54</v>
      </c>
      <c r="AK261" s="41" t="s">
        <v>54</v>
      </c>
      <c r="AL261" s="41" t="s">
        <v>164</v>
      </c>
      <c r="AM261" s="45" t="s">
        <v>55</v>
      </c>
      <c r="AN261" s="45" t="s">
        <v>186</v>
      </c>
      <c r="AO261" s="45"/>
      <c r="AP261" s="46"/>
    </row>
    <row r="262" spans="3:42" ht="14.25" customHeight="1" x14ac:dyDescent="0.2">
      <c r="C262" s="40">
        <f>IF($X262=1,COUNTIF($C$10:C261,"&gt;0")+1,"")</f>
        <v>126</v>
      </c>
      <c r="D262" s="41">
        <v>15262452</v>
      </c>
      <c r="E262" s="41" t="s">
        <v>1068</v>
      </c>
      <c r="F262" s="42" t="s">
        <v>1111</v>
      </c>
      <c r="G262" s="41" t="s">
        <v>1111</v>
      </c>
      <c r="H262" s="41" t="s">
        <v>1112</v>
      </c>
      <c r="I262" s="41" t="s">
        <v>1113</v>
      </c>
      <c r="J262" s="41" t="s">
        <v>51</v>
      </c>
      <c r="K262" s="41" t="s">
        <v>85</v>
      </c>
      <c r="L262" s="43">
        <v>25776</v>
      </c>
      <c r="M262" s="41">
        <v>55</v>
      </c>
      <c r="N262" s="41" t="s">
        <v>1114</v>
      </c>
      <c r="O262" s="43">
        <v>48675</v>
      </c>
      <c r="P262" s="41" t="s">
        <v>2</v>
      </c>
      <c r="Q262" s="41"/>
      <c r="R262" s="57">
        <v>45913</v>
      </c>
      <c r="S262" s="58">
        <v>45918</v>
      </c>
      <c r="T262" s="59">
        <f t="shared" si="3"/>
        <v>5</v>
      </c>
      <c r="U262" s="41">
        <v>1</v>
      </c>
      <c r="V262" s="41">
        <v>1</v>
      </c>
      <c r="W262" s="41">
        <v>0</v>
      </c>
      <c r="X262" s="41">
        <v>1</v>
      </c>
      <c r="Y262" s="41">
        <v>0</v>
      </c>
      <c r="Z262" s="41">
        <v>1</v>
      </c>
      <c r="AA262" s="41">
        <v>0</v>
      </c>
      <c r="AB262" s="41"/>
      <c r="AC262" s="43">
        <v>45913</v>
      </c>
      <c r="AD262" s="44">
        <v>0.77083333333575865</v>
      </c>
      <c r="AE262" s="41" t="s">
        <v>997</v>
      </c>
      <c r="AF262" s="43">
        <v>45918</v>
      </c>
      <c r="AG262" s="44">
        <v>0.86458333333575865</v>
      </c>
      <c r="AH262" s="41" t="s">
        <v>87</v>
      </c>
      <c r="AI262" s="41" t="s">
        <v>1074</v>
      </c>
      <c r="AJ262" s="41" t="s">
        <v>92</v>
      </c>
      <c r="AK262" s="41" t="s">
        <v>163</v>
      </c>
      <c r="AL262" s="41" t="s">
        <v>164</v>
      </c>
      <c r="AM262" s="45" t="s">
        <v>55</v>
      </c>
      <c r="AN262" s="45" t="s">
        <v>165</v>
      </c>
      <c r="AO262" s="45"/>
      <c r="AP262" s="46"/>
    </row>
    <row r="263" spans="3:42" ht="14.25" customHeight="1" x14ac:dyDescent="0.2">
      <c r="C263" s="40" t="str">
        <f>IF($X263=1,COUNTIF($C$10:C262,"&gt;0")+1,"")</f>
        <v/>
      </c>
      <c r="D263" s="41"/>
      <c r="E263" s="41" t="s">
        <v>1068</v>
      </c>
      <c r="F263" s="42" t="s">
        <v>1115</v>
      </c>
      <c r="G263" s="41" t="s">
        <v>1111</v>
      </c>
      <c r="H263" s="41" t="s">
        <v>1116</v>
      </c>
      <c r="I263" s="41" t="s">
        <v>1113</v>
      </c>
      <c r="J263" s="41" t="s">
        <v>56</v>
      </c>
      <c r="K263" s="41" t="s">
        <v>85</v>
      </c>
      <c r="L263" s="43">
        <v>25033</v>
      </c>
      <c r="M263" s="41">
        <v>57</v>
      </c>
      <c r="N263" s="41" t="s">
        <v>1117</v>
      </c>
      <c r="O263" s="43">
        <v>48675</v>
      </c>
      <c r="P263" s="41" t="s">
        <v>2</v>
      </c>
      <c r="Q263" s="41"/>
      <c r="R263" s="57">
        <v>45913</v>
      </c>
      <c r="S263" s="58">
        <v>45918</v>
      </c>
      <c r="T263" s="59">
        <f t="shared" si="3"/>
        <v>5</v>
      </c>
      <c r="U263" s="41">
        <v>1</v>
      </c>
      <c r="V263" s="41">
        <v>1</v>
      </c>
      <c r="W263" s="41">
        <v>0</v>
      </c>
      <c r="X263" s="41">
        <v>0</v>
      </c>
      <c r="Y263" s="41">
        <v>0</v>
      </c>
      <c r="Z263" s="41">
        <v>0</v>
      </c>
      <c r="AA263" s="41">
        <v>0</v>
      </c>
      <c r="AB263" s="41"/>
      <c r="AC263" s="43">
        <v>45913</v>
      </c>
      <c r="AD263" s="44">
        <v>0.77083333333575865</v>
      </c>
      <c r="AE263" s="41" t="s">
        <v>997</v>
      </c>
      <c r="AF263" s="43">
        <v>45918</v>
      </c>
      <c r="AG263" s="44">
        <v>0.86458333333575865</v>
      </c>
      <c r="AH263" s="41" t="s">
        <v>87</v>
      </c>
      <c r="AI263" s="41" t="s">
        <v>1074</v>
      </c>
      <c r="AJ263" s="41" t="s">
        <v>54</v>
      </c>
      <c r="AK263" s="41" t="s">
        <v>54</v>
      </c>
      <c r="AL263" s="41" t="s">
        <v>164</v>
      </c>
      <c r="AM263" s="45" t="s">
        <v>55</v>
      </c>
      <c r="AN263" s="45" t="s">
        <v>165</v>
      </c>
      <c r="AO263" s="45"/>
      <c r="AP263" s="46"/>
    </row>
    <row r="264" spans="3:42" ht="14.25" customHeight="1" x14ac:dyDescent="0.2">
      <c r="C264" s="40">
        <f>IF($X264=1,COUNTIF($C$10:C263,"&gt;0")+1,"")</f>
        <v>127</v>
      </c>
      <c r="D264" s="41">
        <v>15262455</v>
      </c>
      <c r="E264" s="41" t="s">
        <v>1068</v>
      </c>
      <c r="F264" s="42" t="s">
        <v>1118</v>
      </c>
      <c r="G264" s="41" t="s">
        <v>1118</v>
      </c>
      <c r="H264" s="41" t="s">
        <v>1119</v>
      </c>
      <c r="I264" s="41" t="s">
        <v>1120</v>
      </c>
      <c r="J264" s="41" t="s">
        <v>51</v>
      </c>
      <c r="K264" s="41" t="s">
        <v>85</v>
      </c>
      <c r="L264" s="43">
        <v>29719</v>
      </c>
      <c r="M264" s="41">
        <v>44</v>
      </c>
      <c r="N264" s="41" t="s">
        <v>1121</v>
      </c>
      <c r="O264" s="43">
        <v>48604</v>
      </c>
      <c r="P264" s="41" t="s">
        <v>3</v>
      </c>
      <c r="Q264" s="41"/>
      <c r="R264" s="57">
        <v>45913</v>
      </c>
      <c r="S264" s="58">
        <v>45918</v>
      </c>
      <c r="T264" s="59">
        <f t="shared" si="3"/>
        <v>5</v>
      </c>
      <c r="U264" s="41">
        <v>1</v>
      </c>
      <c r="V264" s="41">
        <v>1</v>
      </c>
      <c r="W264" s="41">
        <v>0</v>
      </c>
      <c r="X264" s="41">
        <v>1</v>
      </c>
      <c r="Y264" s="41">
        <v>0</v>
      </c>
      <c r="Z264" s="41">
        <v>0</v>
      </c>
      <c r="AA264" s="41">
        <v>1</v>
      </c>
      <c r="AB264" s="41"/>
      <c r="AC264" s="43">
        <v>45913</v>
      </c>
      <c r="AD264" s="44">
        <v>0.78125</v>
      </c>
      <c r="AE264" s="41" t="s">
        <v>86</v>
      </c>
      <c r="AF264" s="43">
        <v>45918</v>
      </c>
      <c r="AG264" s="44">
        <v>0.86458333333575865</v>
      </c>
      <c r="AH264" s="41" t="s">
        <v>87</v>
      </c>
      <c r="AI264" s="41" t="s">
        <v>1074</v>
      </c>
      <c r="AJ264" s="41" t="s">
        <v>54</v>
      </c>
      <c r="AK264" s="41" t="s">
        <v>54</v>
      </c>
      <c r="AL264" s="41" t="s">
        <v>164</v>
      </c>
      <c r="AM264" s="45" t="s">
        <v>55</v>
      </c>
      <c r="AN264" s="45" t="s">
        <v>186</v>
      </c>
      <c r="AO264" s="45" t="s">
        <v>79</v>
      </c>
      <c r="AP264" s="46"/>
    </row>
    <row r="265" spans="3:42" ht="14.25" customHeight="1" x14ac:dyDescent="0.2">
      <c r="C265" s="40" t="str">
        <f>IF($X265=1,COUNTIF($C$10:C264,"&gt;0")+1,"")</f>
        <v/>
      </c>
      <c r="D265" s="41"/>
      <c r="E265" s="41" t="s">
        <v>1068</v>
      </c>
      <c r="F265" s="42" t="s">
        <v>1122</v>
      </c>
      <c r="G265" s="41" t="s">
        <v>1118</v>
      </c>
      <c r="H265" s="41" t="s">
        <v>1123</v>
      </c>
      <c r="I265" s="41" t="s">
        <v>1120</v>
      </c>
      <c r="J265" s="41" t="s">
        <v>56</v>
      </c>
      <c r="K265" s="41" t="s">
        <v>85</v>
      </c>
      <c r="L265" s="43">
        <v>29939</v>
      </c>
      <c r="M265" s="41">
        <v>43</v>
      </c>
      <c r="N265" s="41" t="s">
        <v>1124</v>
      </c>
      <c r="O265" s="43">
        <v>48604</v>
      </c>
      <c r="P265" s="41" t="s">
        <v>3</v>
      </c>
      <c r="Q265" s="41"/>
      <c r="R265" s="57">
        <v>45913</v>
      </c>
      <c r="S265" s="58">
        <v>45918</v>
      </c>
      <c r="T265" s="59">
        <f t="shared" si="3"/>
        <v>5</v>
      </c>
      <c r="U265" s="41">
        <v>1</v>
      </c>
      <c r="V265" s="41">
        <v>1</v>
      </c>
      <c r="W265" s="41">
        <v>0</v>
      </c>
      <c r="X265" s="41">
        <v>0</v>
      </c>
      <c r="Y265" s="41">
        <v>0</v>
      </c>
      <c r="Z265" s="41">
        <v>0</v>
      </c>
      <c r="AA265" s="41">
        <v>0</v>
      </c>
      <c r="AB265" s="41"/>
      <c r="AC265" s="43">
        <v>45913</v>
      </c>
      <c r="AD265" s="44">
        <v>0.78125</v>
      </c>
      <c r="AE265" s="41" t="s">
        <v>86</v>
      </c>
      <c r="AF265" s="43">
        <v>45918</v>
      </c>
      <c r="AG265" s="44">
        <v>0.86458333333575865</v>
      </c>
      <c r="AH265" s="41" t="s">
        <v>87</v>
      </c>
      <c r="AI265" s="41" t="s">
        <v>1074</v>
      </c>
      <c r="AJ265" s="41" t="s">
        <v>54</v>
      </c>
      <c r="AK265" s="41" t="s">
        <v>54</v>
      </c>
      <c r="AL265" s="41" t="s">
        <v>164</v>
      </c>
      <c r="AM265" s="45" t="s">
        <v>55</v>
      </c>
      <c r="AN265" s="45" t="s">
        <v>186</v>
      </c>
      <c r="AO265" s="45" t="s">
        <v>79</v>
      </c>
      <c r="AP265" s="46"/>
    </row>
    <row r="266" spans="3:42" ht="14.25" customHeight="1" x14ac:dyDescent="0.2">
      <c r="C266" s="40" t="str">
        <f>IF($X266=1,COUNTIF($C$10:C265,"&gt;0")+1,"")</f>
        <v/>
      </c>
      <c r="D266" s="41"/>
      <c r="E266" s="41" t="s">
        <v>1068</v>
      </c>
      <c r="F266" s="42" t="s">
        <v>1125</v>
      </c>
      <c r="G266" s="41" t="s">
        <v>1118</v>
      </c>
      <c r="H266" s="41" t="s">
        <v>1126</v>
      </c>
      <c r="I266" s="41" t="s">
        <v>1120</v>
      </c>
      <c r="J266" s="41" t="s">
        <v>51</v>
      </c>
      <c r="K266" s="41" t="s">
        <v>85</v>
      </c>
      <c r="L266" s="43">
        <v>42313</v>
      </c>
      <c r="M266" s="41">
        <v>9</v>
      </c>
      <c r="N266" s="41" t="s">
        <v>1127</v>
      </c>
      <c r="O266" s="43">
        <v>46777</v>
      </c>
      <c r="P266" s="41" t="s">
        <v>3</v>
      </c>
      <c r="Q266" s="41"/>
      <c r="R266" s="57">
        <v>45913</v>
      </c>
      <c r="S266" s="58">
        <v>45918</v>
      </c>
      <c r="T266" s="59">
        <f t="shared" ref="T266:T317" si="4">S266-R266</f>
        <v>5</v>
      </c>
      <c r="U266" s="41">
        <v>1</v>
      </c>
      <c r="V266" s="41">
        <v>0</v>
      </c>
      <c r="W266" s="41">
        <v>1</v>
      </c>
      <c r="X266" s="41">
        <v>0</v>
      </c>
      <c r="Y266" s="41">
        <v>0</v>
      </c>
      <c r="Z266" s="41">
        <v>0</v>
      </c>
      <c r="AA266" s="41">
        <v>0</v>
      </c>
      <c r="AB266" s="41"/>
      <c r="AC266" s="43">
        <v>45913</v>
      </c>
      <c r="AD266" s="44">
        <v>0.78125</v>
      </c>
      <c r="AE266" s="41" t="s">
        <v>86</v>
      </c>
      <c r="AF266" s="43">
        <v>45918</v>
      </c>
      <c r="AG266" s="44">
        <v>0.86458333333575865</v>
      </c>
      <c r="AH266" s="41" t="s">
        <v>87</v>
      </c>
      <c r="AI266" s="41" t="s">
        <v>1074</v>
      </c>
      <c r="AJ266" s="41" t="s">
        <v>54</v>
      </c>
      <c r="AK266" s="41" t="s">
        <v>54</v>
      </c>
      <c r="AL266" s="41" t="s">
        <v>164</v>
      </c>
      <c r="AM266" s="45" t="s">
        <v>55</v>
      </c>
      <c r="AN266" s="45" t="s">
        <v>186</v>
      </c>
      <c r="AO266" s="45" t="s">
        <v>79</v>
      </c>
      <c r="AP266" s="46"/>
    </row>
    <row r="267" spans="3:42" ht="14.25" customHeight="1" x14ac:dyDescent="0.2">
      <c r="C267" s="40">
        <f>IF($X267=1,COUNTIF($C$10:C266,"&gt;0")+1,"")</f>
        <v>128</v>
      </c>
      <c r="D267" s="41">
        <v>15262456</v>
      </c>
      <c r="E267" s="41" t="s">
        <v>1068</v>
      </c>
      <c r="F267" s="42" t="s">
        <v>1128</v>
      </c>
      <c r="G267" s="41" t="s">
        <v>1128</v>
      </c>
      <c r="H267" s="41" t="s">
        <v>1129</v>
      </c>
      <c r="I267" s="41" t="s">
        <v>1120</v>
      </c>
      <c r="J267" s="41" t="s">
        <v>51</v>
      </c>
      <c r="K267" s="41" t="s">
        <v>85</v>
      </c>
      <c r="L267" s="43">
        <v>40312</v>
      </c>
      <c r="M267" s="41">
        <v>15</v>
      </c>
      <c r="N267" s="41" t="s">
        <v>1130</v>
      </c>
      <c r="O267" s="43">
        <v>46777</v>
      </c>
      <c r="P267" s="41" t="s">
        <v>3</v>
      </c>
      <c r="Q267" s="41"/>
      <c r="R267" s="57">
        <v>45913</v>
      </c>
      <c r="S267" s="58">
        <v>45918</v>
      </c>
      <c r="T267" s="59">
        <f t="shared" si="4"/>
        <v>5</v>
      </c>
      <c r="U267" s="41">
        <v>1</v>
      </c>
      <c r="V267" s="41">
        <v>1</v>
      </c>
      <c r="W267" s="41">
        <v>0</v>
      </c>
      <c r="X267" s="41">
        <v>1</v>
      </c>
      <c r="Y267" s="41">
        <v>0</v>
      </c>
      <c r="Z267" s="41">
        <v>0</v>
      </c>
      <c r="AA267" s="41">
        <v>1</v>
      </c>
      <c r="AB267" s="41"/>
      <c r="AC267" s="43">
        <v>45913</v>
      </c>
      <c r="AD267" s="44">
        <v>0.78125</v>
      </c>
      <c r="AE267" s="41" t="s">
        <v>86</v>
      </c>
      <c r="AF267" s="43">
        <v>45918</v>
      </c>
      <c r="AG267" s="44">
        <v>0.86458333333575865</v>
      </c>
      <c r="AH267" s="41" t="s">
        <v>87</v>
      </c>
      <c r="AI267" s="41" t="s">
        <v>1074</v>
      </c>
      <c r="AJ267" s="41" t="s">
        <v>54</v>
      </c>
      <c r="AK267" s="41" t="s">
        <v>54</v>
      </c>
      <c r="AL267" s="41" t="s">
        <v>164</v>
      </c>
      <c r="AM267" s="45" t="s">
        <v>55</v>
      </c>
      <c r="AN267" s="45" t="s">
        <v>186</v>
      </c>
      <c r="AO267" s="45" t="s">
        <v>79</v>
      </c>
      <c r="AP267" s="46"/>
    </row>
    <row r="268" spans="3:42" ht="14.25" customHeight="1" x14ac:dyDescent="0.2">
      <c r="C268" s="40" t="str">
        <f>IF($X268=1,COUNTIF($C$10:C267,"&gt;0")+1,"")</f>
        <v/>
      </c>
      <c r="D268" s="41"/>
      <c r="E268" s="41" t="s">
        <v>1068</v>
      </c>
      <c r="F268" s="42" t="s">
        <v>1131</v>
      </c>
      <c r="G268" s="41" t="s">
        <v>1128</v>
      </c>
      <c r="H268" s="41" t="s">
        <v>1132</v>
      </c>
      <c r="I268" s="41" t="s">
        <v>1133</v>
      </c>
      <c r="J268" s="41" t="s">
        <v>51</v>
      </c>
      <c r="K268" s="41" t="s">
        <v>214</v>
      </c>
      <c r="L268" s="43">
        <v>32737</v>
      </c>
      <c r="M268" s="41">
        <v>36</v>
      </c>
      <c r="N268" s="41" t="s">
        <v>1134</v>
      </c>
      <c r="O268" s="43">
        <v>49003</v>
      </c>
      <c r="P268" s="41" t="s">
        <v>3</v>
      </c>
      <c r="Q268" s="41"/>
      <c r="R268" s="57">
        <v>45913</v>
      </c>
      <c r="S268" s="58">
        <v>45918</v>
      </c>
      <c r="T268" s="59">
        <f t="shared" si="4"/>
        <v>5</v>
      </c>
      <c r="U268" s="41">
        <v>1</v>
      </c>
      <c r="V268" s="41">
        <v>1</v>
      </c>
      <c r="W268" s="41">
        <v>0</v>
      </c>
      <c r="X268" s="41">
        <v>0</v>
      </c>
      <c r="Y268" s="41">
        <v>0</v>
      </c>
      <c r="Z268" s="41">
        <v>0</v>
      </c>
      <c r="AA268" s="41">
        <v>0</v>
      </c>
      <c r="AB268" s="41"/>
      <c r="AC268" s="43">
        <v>45913</v>
      </c>
      <c r="AD268" s="44">
        <v>0.78125</v>
      </c>
      <c r="AE268" s="41" t="s">
        <v>86</v>
      </c>
      <c r="AF268" s="43">
        <v>45918</v>
      </c>
      <c r="AG268" s="44">
        <v>0.86458333333575865</v>
      </c>
      <c r="AH268" s="41" t="s">
        <v>87</v>
      </c>
      <c r="AI268" s="41" t="s">
        <v>1074</v>
      </c>
      <c r="AJ268" s="41" t="s">
        <v>54</v>
      </c>
      <c r="AK268" s="41" t="s">
        <v>54</v>
      </c>
      <c r="AL268" s="41" t="s">
        <v>164</v>
      </c>
      <c r="AM268" s="45" t="s">
        <v>55</v>
      </c>
      <c r="AN268" s="45" t="s">
        <v>186</v>
      </c>
      <c r="AO268" s="45" t="s">
        <v>79</v>
      </c>
      <c r="AP268" s="46"/>
    </row>
    <row r="269" spans="3:42" ht="14.25" customHeight="1" x14ac:dyDescent="0.2">
      <c r="C269" s="40">
        <f>IF($X269=1,COUNTIF($C$10:C268,"&gt;0")+1,"")</f>
        <v>129</v>
      </c>
      <c r="D269" s="41">
        <v>15262457</v>
      </c>
      <c r="E269" s="41" t="s">
        <v>1068</v>
      </c>
      <c r="F269" s="42" t="s">
        <v>1135</v>
      </c>
      <c r="G269" s="41" t="s">
        <v>1135</v>
      </c>
      <c r="H269" s="41" t="s">
        <v>1136</v>
      </c>
      <c r="I269" s="41" t="s">
        <v>1137</v>
      </c>
      <c r="J269" s="41" t="s">
        <v>51</v>
      </c>
      <c r="K269" s="41" t="s">
        <v>85</v>
      </c>
      <c r="L269" s="43">
        <v>29211</v>
      </c>
      <c r="M269" s="41">
        <v>45</v>
      </c>
      <c r="N269" s="41" t="s">
        <v>1138</v>
      </c>
      <c r="O269" s="43">
        <v>48963</v>
      </c>
      <c r="P269" s="41" t="s">
        <v>2</v>
      </c>
      <c r="Q269" s="41"/>
      <c r="R269" s="57">
        <v>45913</v>
      </c>
      <c r="S269" s="58">
        <v>45918</v>
      </c>
      <c r="T269" s="59">
        <f t="shared" si="4"/>
        <v>5</v>
      </c>
      <c r="U269" s="41">
        <v>1</v>
      </c>
      <c r="V269" s="41">
        <v>1</v>
      </c>
      <c r="W269" s="41">
        <v>0</v>
      </c>
      <c r="X269" s="41">
        <v>1</v>
      </c>
      <c r="Y269" s="41">
        <v>0</v>
      </c>
      <c r="Z269" s="41">
        <v>1</v>
      </c>
      <c r="AA269" s="41">
        <v>0</v>
      </c>
      <c r="AB269" s="41"/>
      <c r="AC269" s="43">
        <v>45913</v>
      </c>
      <c r="AD269" s="44">
        <v>0.78125</v>
      </c>
      <c r="AE269" s="41" t="s">
        <v>86</v>
      </c>
      <c r="AF269" s="43">
        <v>45918</v>
      </c>
      <c r="AG269" s="44">
        <v>0.86458333333575865</v>
      </c>
      <c r="AH269" s="41" t="s">
        <v>87</v>
      </c>
      <c r="AI269" s="41" t="s">
        <v>1074</v>
      </c>
      <c r="AJ269" s="41" t="s">
        <v>54</v>
      </c>
      <c r="AK269" s="41" t="s">
        <v>54</v>
      </c>
      <c r="AL269" s="41" t="s">
        <v>164</v>
      </c>
      <c r="AM269" s="45" t="s">
        <v>55</v>
      </c>
      <c r="AN269" s="45" t="s">
        <v>170</v>
      </c>
      <c r="AO269" s="45" t="s">
        <v>79</v>
      </c>
      <c r="AP269" s="46"/>
    </row>
    <row r="270" spans="3:42" ht="14.25" customHeight="1" x14ac:dyDescent="0.2">
      <c r="C270" s="40" t="str">
        <f>IF($X270=1,COUNTIF($C$10:C269,"&gt;0")+1,"")</f>
        <v/>
      </c>
      <c r="D270" s="41"/>
      <c r="E270" s="41" t="s">
        <v>1068</v>
      </c>
      <c r="F270" s="42" t="s">
        <v>1139</v>
      </c>
      <c r="G270" s="41" t="s">
        <v>1135</v>
      </c>
      <c r="H270" s="41" t="s">
        <v>1140</v>
      </c>
      <c r="I270" s="41" t="s">
        <v>1137</v>
      </c>
      <c r="J270" s="41" t="s">
        <v>56</v>
      </c>
      <c r="K270" s="41" t="s">
        <v>85</v>
      </c>
      <c r="L270" s="43">
        <v>30824</v>
      </c>
      <c r="M270" s="41">
        <v>41</v>
      </c>
      <c r="N270" s="41" t="s">
        <v>1141</v>
      </c>
      <c r="O270" s="43">
        <v>48966</v>
      </c>
      <c r="P270" s="41" t="s">
        <v>2</v>
      </c>
      <c r="Q270" s="41"/>
      <c r="R270" s="57">
        <v>45913</v>
      </c>
      <c r="S270" s="58">
        <v>45918</v>
      </c>
      <c r="T270" s="59">
        <f t="shared" si="4"/>
        <v>5</v>
      </c>
      <c r="U270" s="41">
        <v>1</v>
      </c>
      <c r="V270" s="41">
        <v>1</v>
      </c>
      <c r="W270" s="41">
        <v>0</v>
      </c>
      <c r="X270" s="41">
        <v>0</v>
      </c>
      <c r="Y270" s="41">
        <v>0</v>
      </c>
      <c r="Z270" s="41">
        <v>0</v>
      </c>
      <c r="AA270" s="41">
        <v>0</v>
      </c>
      <c r="AB270" s="41"/>
      <c r="AC270" s="43">
        <v>45913</v>
      </c>
      <c r="AD270" s="44">
        <v>0.78125</v>
      </c>
      <c r="AE270" s="41" t="s">
        <v>86</v>
      </c>
      <c r="AF270" s="43">
        <v>45918</v>
      </c>
      <c r="AG270" s="44">
        <v>0.86458333333575865</v>
      </c>
      <c r="AH270" s="41" t="s">
        <v>87</v>
      </c>
      <c r="AI270" s="41" t="s">
        <v>1074</v>
      </c>
      <c r="AJ270" s="41" t="s">
        <v>54</v>
      </c>
      <c r="AK270" s="41" t="s">
        <v>54</v>
      </c>
      <c r="AL270" s="41" t="s">
        <v>164</v>
      </c>
      <c r="AM270" s="45" t="s">
        <v>55</v>
      </c>
      <c r="AN270" s="45" t="s">
        <v>170</v>
      </c>
      <c r="AO270" s="45" t="s">
        <v>79</v>
      </c>
      <c r="AP270" s="46"/>
    </row>
    <row r="271" spans="3:42" ht="14.25" customHeight="1" x14ac:dyDescent="0.2">
      <c r="C271" s="40">
        <f>IF($X271=1,COUNTIF($C$10:C270,"&gt;0")+1,"")</f>
        <v>130</v>
      </c>
      <c r="D271" s="41">
        <v>15262458</v>
      </c>
      <c r="E271" s="41" t="s">
        <v>1068</v>
      </c>
      <c r="F271" s="42" t="s">
        <v>1142</v>
      </c>
      <c r="G271" s="41" t="s">
        <v>1142</v>
      </c>
      <c r="H271" s="41" t="s">
        <v>1143</v>
      </c>
      <c r="I271" s="41" t="s">
        <v>1144</v>
      </c>
      <c r="J271" s="41" t="s">
        <v>51</v>
      </c>
      <c r="K271" s="41" t="s">
        <v>85</v>
      </c>
      <c r="L271" s="43">
        <v>25384</v>
      </c>
      <c r="M271" s="41">
        <v>56</v>
      </c>
      <c r="N271" s="41" t="s">
        <v>1145</v>
      </c>
      <c r="O271" s="43">
        <v>45866</v>
      </c>
      <c r="P271" s="41" t="s">
        <v>2</v>
      </c>
      <c r="Q271" s="41"/>
      <c r="R271" s="57">
        <v>45913</v>
      </c>
      <c r="S271" s="58">
        <v>45918</v>
      </c>
      <c r="T271" s="59">
        <f t="shared" si="4"/>
        <v>5</v>
      </c>
      <c r="U271" s="41">
        <v>1</v>
      </c>
      <c r="V271" s="41">
        <v>1</v>
      </c>
      <c r="W271" s="41">
        <v>0</v>
      </c>
      <c r="X271" s="41">
        <v>1</v>
      </c>
      <c r="Y271" s="41">
        <v>0</v>
      </c>
      <c r="Z271" s="41">
        <v>1</v>
      </c>
      <c r="AA271" s="41">
        <v>0</v>
      </c>
      <c r="AB271" s="41"/>
      <c r="AC271" s="43">
        <v>45913</v>
      </c>
      <c r="AD271" s="44">
        <v>0.78125</v>
      </c>
      <c r="AE271" s="41" t="s">
        <v>86</v>
      </c>
      <c r="AF271" s="43">
        <v>45918</v>
      </c>
      <c r="AG271" s="44">
        <v>0.86458333333575865</v>
      </c>
      <c r="AH271" s="41" t="s">
        <v>87</v>
      </c>
      <c r="AI271" s="41" t="s">
        <v>1074</v>
      </c>
      <c r="AJ271" s="41" t="s">
        <v>54</v>
      </c>
      <c r="AK271" s="41" t="s">
        <v>54</v>
      </c>
      <c r="AL271" s="41" t="s">
        <v>164</v>
      </c>
      <c r="AM271" s="45" t="s">
        <v>55</v>
      </c>
      <c r="AN271" s="45" t="s">
        <v>170</v>
      </c>
      <c r="AO271" s="45" t="s">
        <v>79</v>
      </c>
      <c r="AP271" s="46"/>
    </row>
    <row r="272" spans="3:42" ht="14.25" customHeight="1" x14ac:dyDescent="0.2">
      <c r="C272" s="40" t="str">
        <f>IF($X272=1,COUNTIF($C$10:C271,"&gt;0")+1,"")</f>
        <v/>
      </c>
      <c r="D272" s="41"/>
      <c r="E272" s="41" t="s">
        <v>1068</v>
      </c>
      <c r="F272" s="42" t="s">
        <v>1146</v>
      </c>
      <c r="G272" s="41" t="s">
        <v>1142</v>
      </c>
      <c r="H272" s="41" t="s">
        <v>1147</v>
      </c>
      <c r="I272" s="41" t="s">
        <v>1144</v>
      </c>
      <c r="J272" s="41" t="s">
        <v>56</v>
      </c>
      <c r="K272" s="41" t="s">
        <v>85</v>
      </c>
      <c r="L272" s="43">
        <v>26433</v>
      </c>
      <c r="M272" s="41">
        <v>53</v>
      </c>
      <c r="N272" s="41" t="s">
        <v>1148</v>
      </c>
      <c r="O272" s="43" t="s">
        <v>54</v>
      </c>
      <c r="P272" s="41" t="s">
        <v>2</v>
      </c>
      <c r="Q272" s="41"/>
      <c r="R272" s="57">
        <v>45913</v>
      </c>
      <c r="S272" s="58">
        <v>45918</v>
      </c>
      <c r="T272" s="59">
        <f t="shared" si="4"/>
        <v>5</v>
      </c>
      <c r="U272" s="41">
        <v>1</v>
      </c>
      <c r="V272" s="41">
        <v>1</v>
      </c>
      <c r="W272" s="41">
        <v>0</v>
      </c>
      <c r="X272" s="41">
        <v>0</v>
      </c>
      <c r="Y272" s="41">
        <v>0</v>
      </c>
      <c r="Z272" s="41">
        <v>0</v>
      </c>
      <c r="AA272" s="41">
        <v>0</v>
      </c>
      <c r="AB272" s="41"/>
      <c r="AC272" s="43">
        <v>45913</v>
      </c>
      <c r="AD272" s="44">
        <v>0.78125</v>
      </c>
      <c r="AE272" s="41" t="s">
        <v>86</v>
      </c>
      <c r="AF272" s="43">
        <v>45918</v>
      </c>
      <c r="AG272" s="44">
        <v>0.86458333333575865</v>
      </c>
      <c r="AH272" s="41" t="s">
        <v>87</v>
      </c>
      <c r="AI272" s="41" t="s">
        <v>1074</v>
      </c>
      <c r="AJ272" s="41" t="s">
        <v>54</v>
      </c>
      <c r="AK272" s="41" t="s">
        <v>54</v>
      </c>
      <c r="AL272" s="41" t="s">
        <v>164</v>
      </c>
      <c r="AM272" s="45" t="s">
        <v>55</v>
      </c>
      <c r="AN272" s="45" t="s">
        <v>170</v>
      </c>
      <c r="AO272" s="45" t="s">
        <v>79</v>
      </c>
      <c r="AP272" s="46"/>
    </row>
    <row r="273" spans="3:42" ht="14.25" customHeight="1" x14ac:dyDescent="0.2">
      <c r="C273" s="40">
        <f>IF($X273=1,COUNTIF($C$10:C272,"&gt;0")+1,"")</f>
        <v>131</v>
      </c>
      <c r="D273" s="41">
        <v>15262459</v>
      </c>
      <c r="E273" s="41" t="s">
        <v>1068</v>
      </c>
      <c r="F273" s="42" t="s">
        <v>1149</v>
      </c>
      <c r="G273" s="41" t="s">
        <v>1149</v>
      </c>
      <c r="H273" s="41" t="s">
        <v>1150</v>
      </c>
      <c r="I273" s="41" t="s">
        <v>1151</v>
      </c>
      <c r="J273" s="41" t="s">
        <v>51</v>
      </c>
      <c r="K273" s="41" t="s">
        <v>85</v>
      </c>
      <c r="L273" s="43">
        <v>32277</v>
      </c>
      <c r="M273" s="41">
        <v>37</v>
      </c>
      <c r="N273" s="41" t="s">
        <v>1152</v>
      </c>
      <c r="O273" s="43">
        <v>49088</v>
      </c>
      <c r="P273" s="41" t="s">
        <v>2</v>
      </c>
      <c r="Q273" s="41"/>
      <c r="R273" s="57">
        <v>45913</v>
      </c>
      <c r="S273" s="58">
        <v>45918</v>
      </c>
      <c r="T273" s="59">
        <f t="shared" si="4"/>
        <v>5</v>
      </c>
      <c r="U273" s="41">
        <v>1</v>
      </c>
      <c r="V273" s="41">
        <v>1</v>
      </c>
      <c r="W273" s="41">
        <v>0</v>
      </c>
      <c r="X273" s="41">
        <v>1</v>
      </c>
      <c r="Y273" s="41">
        <v>0</v>
      </c>
      <c r="Z273" s="41">
        <v>1</v>
      </c>
      <c r="AA273" s="41">
        <v>0</v>
      </c>
      <c r="AB273" s="41"/>
      <c r="AC273" s="43">
        <v>45913</v>
      </c>
      <c r="AD273" s="44">
        <v>0.67013888889050577</v>
      </c>
      <c r="AE273" s="41" t="s">
        <v>70</v>
      </c>
      <c r="AF273" s="43">
        <v>45918</v>
      </c>
      <c r="AG273" s="44">
        <v>0.73958333333575865</v>
      </c>
      <c r="AH273" s="41" t="s">
        <v>111</v>
      </c>
      <c r="AI273" s="41" t="s">
        <v>1074</v>
      </c>
      <c r="AJ273" s="41" t="s">
        <v>54</v>
      </c>
      <c r="AK273" s="41" t="s">
        <v>54</v>
      </c>
      <c r="AL273" s="41" t="s">
        <v>164</v>
      </c>
      <c r="AM273" s="45" t="s">
        <v>55</v>
      </c>
      <c r="AN273" s="45" t="s">
        <v>170</v>
      </c>
      <c r="AO273" s="45"/>
      <c r="AP273" s="46"/>
    </row>
    <row r="274" spans="3:42" ht="14.25" customHeight="1" x14ac:dyDescent="0.2">
      <c r="C274" s="40" t="str">
        <f>IF($X274=1,COUNTIF($C$10:C273,"&gt;0")+1,"")</f>
        <v/>
      </c>
      <c r="D274" s="41"/>
      <c r="E274" s="41" t="s">
        <v>1068</v>
      </c>
      <c r="F274" s="42" t="s">
        <v>1153</v>
      </c>
      <c r="G274" s="41" t="s">
        <v>1149</v>
      </c>
      <c r="H274" s="41" t="s">
        <v>1154</v>
      </c>
      <c r="I274" s="41" t="s">
        <v>1155</v>
      </c>
      <c r="J274" s="41" t="s">
        <v>56</v>
      </c>
      <c r="K274" s="41" t="s">
        <v>214</v>
      </c>
      <c r="L274" s="43">
        <v>36047</v>
      </c>
      <c r="M274" s="41">
        <v>27</v>
      </c>
      <c r="N274" s="41" t="s">
        <v>1156</v>
      </c>
      <c r="O274" s="43">
        <v>46361</v>
      </c>
      <c r="P274" s="41" t="s">
        <v>2</v>
      </c>
      <c r="Q274" s="41"/>
      <c r="R274" s="57">
        <v>45913</v>
      </c>
      <c r="S274" s="58">
        <v>45918</v>
      </c>
      <c r="T274" s="59">
        <f t="shared" si="4"/>
        <v>5</v>
      </c>
      <c r="U274" s="41">
        <v>1</v>
      </c>
      <c r="V274" s="41">
        <v>1</v>
      </c>
      <c r="W274" s="41">
        <v>0</v>
      </c>
      <c r="X274" s="41">
        <v>0</v>
      </c>
      <c r="Y274" s="41">
        <v>0</v>
      </c>
      <c r="Z274" s="41">
        <v>0</v>
      </c>
      <c r="AA274" s="41">
        <v>0</v>
      </c>
      <c r="AB274" s="41"/>
      <c r="AC274" s="43">
        <v>45913</v>
      </c>
      <c r="AD274" s="44">
        <v>0.67013888889050577</v>
      </c>
      <c r="AE274" s="41" t="s">
        <v>70</v>
      </c>
      <c r="AF274" s="43">
        <v>45918</v>
      </c>
      <c r="AG274" s="44">
        <v>0.73958333333575865</v>
      </c>
      <c r="AH274" s="41" t="s">
        <v>111</v>
      </c>
      <c r="AI274" s="41" t="s">
        <v>1074</v>
      </c>
      <c r="AJ274" s="41" t="s">
        <v>54</v>
      </c>
      <c r="AK274" s="41" t="s">
        <v>54</v>
      </c>
      <c r="AL274" s="41" t="s">
        <v>164</v>
      </c>
      <c r="AM274" s="45" t="s">
        <v>55</v>
      </c>
      <c r="AN274" s="45" t="s">
        <v>170</v>
      </c>
      <c r="AO274" s="45"/>
      <c r="AP274" s="46"/>
    </row>
    <row r="275" spans="3:42" ht="14.25" customHeight="1" x14ac:dyDescent="0.2">
      <c r="C275" s="40">
        <f>IF($X275=1,COUNTIF($C$10:C274,"&gt;0")+1,"")</f>
        <v>132</v>
      </c>
      <c r="D275" s="41">
        <v>15262460</v>
      </c>
      <c r="E275" s="41" t="s">
        <v>1157</v>
      </c>
      <c r="F275" s="42" t="s">
        <v>1158</v>
      </c>
      <c r="G275" s="41" t="s">
        <v>1158</v>
      </c>
      <c r="H275" s="41" t="s">
        <v>1159</v>
      </c>
      <c r="I275" s="41" t="s">
        <v>1160</v>
      </c>
      <c r="J275" s="41" t="s">
        <v>51</v>
      </c>
      <c r="K275" s="41" t="s">
        <v>85</v>
      </c>
      <c r="L275" s="43">
        <v>24828</v>
      </c>
      <c r="M275" s="41">
        <v>57</v>
      </c>
      <c r="N275" s="41" t="s">
        <v>1161</v>
      </c>
      <c r="O275" s="43">
        <v>46883</v>
      </c>
      <c r="P275" s="41" t="s">
        <v>2</v>
      </c>
      <c r="Q275" s="41"/>
      <c r="R275" s="57">
        <v>45913</v>
      </c>
      <c r="S275" s="58">
        <v>45918</v>
      </c>
      <c r="T275" s="59">
        <f t="shared" si="4"/>
        <v>5</v>
      </c>
      <c r="U275" s="41">
        <v>1</v>
      </c>
      <c r="V275" s="41">
        <v>1</v>
      </c>
      <c r="W275" s="41">
        <v>0</v>
      </c>
      <c r="X275" s="41">
        <v>1</v>
      </c>
      <c r="Y275" s="41">
        <v>0</v>
      </c>
      <c r="Z275" s="41">
        <v>1</v>
      </c>
      <c r="AA275" s="41">
        <v>0</v>
      </c>
      <c r="AB275" s="41"/>
      <c r="AC275" s="43">
        <v>45913</v>
      </c>
      <c r="AD275" s="44">
        <v>0.78125</v>
      </c>
      <c r="AE275" s="41" t="s">
        <v>86</v>
      </c>
      <c r="AF275" s="43">
        <v>45918</v>
      </c>
      <c r="AG275" s="44">
        <v>0.86458333333575865</v>
      </c>
      <c r="AH275" s="41" t="s">
        <v>87</v>
      </c>
      <c r="AI275" s="41" t="s">
        <v>1162</v>
      </c>
      <c r="AJ275" s="41" t="s">
        <v>54</v>
      </c>
      <c r="AK275" s="41" t="s">
        <v>54</v>
      </c>
      <c r="AL275" s="41" t="s">
        <v>164</v>
      </c>
      <c r="AM275" s="45" t="s">
        <v>55</v>
      </c>
      <c r="AN275" s="45" t="s">
        <v>300</v>
      </c>
      <c r="AO275" s="45" t="s">
        <v>79</v>
      </c>
      <c r="AP275" s="46"/>
    </row>
    <row r="276" spans="3:42" ht="14.25" customHeight="1" x14ac:dyDescent="0.2">
      <c r="C276" s="40" t="str">
        <f>IF($X276=1,COUNTIF($C$10:C275,"&gt;0")+1,"")</f>
        <v/>
      </c>
      <c r="D276" s="41"/>
      <c r="E276" s="41" t="s">
        <v>1157</v>
      </c>
      <c r="F276" s="42" t="s">
        <v>1163</v>
      </c>
      <c r="G276" s="41" t="s">
        <v>1158</v>
      </c>
      <c r="H276" s="41" t="s">
        <v>112</v>
      </c>
      <c r="I276" s="41" t="s">
        <v>1160</v>
      </c>
      <c r="J276" s="41" t="s">
        <v>56</v>
      </c>
      <c r="K276" s="41" t="s">
        <v>85</v>
      </c>
      <c r="L276" s="43">
        <v>25705</v>
      </c>
      <c r="M276" s="41">
        <v>55</v>
      </c>
      <c r="N276" s="41" t="s">
        <v>1164</v>
      </c>
      <c r="O276" s="43">
        <v>46883</v>
      </c>
      <c r="P276" s="41" t="s">
        <v>2</v>
      </c>
      <c r="Q276" s="41"/>
      <c r="R276" s="57">
        <v>45913</v>
      </c>
      <c r="S276" s="58">
        <v>45918</v>
      </c>
      <c r="T276" s="59">
        <f t="shared" si="4"/>
        <v>5</v>
      </c>
      <c r="U276" s="41">
        <v>1</v>
      </c>
      <c r="V276" s="41">
        <v>1</v>
      </c>
      <c r="W276" s="41">
        <v>0</v>
      </c>
      <c r="X276" s="41">
        <v>0</v>
      </c>
      <c r="Y276" s="41">
        <v>0</v>
      </c>
      <c r="Z276" s="41">
        <v>0</v>
      </c>
      <c r="AA276" s="41">
        <v>0</v>
      </c>
      <c r="AB276" s="41"/>
      <c r="AC276" s="43">
        <v>45913</v>
      </c>
      <c r="AD276" s="44">
        <v>0.78125</v>
      </c>
      <c r="AE276" s="41" t="s">
        <v>86</v>
      </c>
      <c r="AF276" s="43">
        <v>45918</v>
      </c>
      <c r="AG276" s="44">
        <v>0.86458333333575865</v>
      </c>
      <c r="AH276" s="41" t="s">
        <v>87</v>
      </c>
      <c r="AI276" s="41" t="s">
        <v>1162</v>
      </c>
      <c r="AJ276" s="41" t="s">
        <v>54</v>
      </c>
      <c r="AK276" s="41" t="s">
        <v>54</v>
      </c>
      <c r="AL276" s="41" t="s">
        <v>164</v>
      </c>
      <c r="AM276" s="45" t="s">
        <v>55</v>
      </c>
      <c r="AN276" s="45" t="s">
        <v>300</v>
      </c>
      <c r="AO276" s="45" t="s">
        <v>79</v>
      </c>
      <c r="AP276" s="46"/>
    </row>
    <row r="277" spans="3:42" ht="14.25" customHeight="1" x14ac:dyDescent="0.2">
      <c r="C277" s="40">
        <f>IF($X277=1,COUNTIF($C$10:C276,"&gt;0")+1,"")</f>
        <v>133</v>
      </c>
      <c r="D277" s="41">
        <v>15262461</v>
      </c>
      <c r="E277" s="41" t="s">
        <v>1157</v>
      </c>
      <c r="F277" s="42" t="s">
        <v>1165</v>
      </c>
      <c r="G277" s="41" t="s">
        <v>1165</v>
      </c>
      <c r="H277" s="41" t="s">
        <v>1166</v>
      </c>
      <c r="I277" s="41" t="s">
        <v>1167</v>
      </c>
      <c r="J277" s="41" t="s">
        <v>56</v>
      </c>
      <c r="K277" s="41" t="s">
        <v>85</v>
      </c>
      <c r="L277" s="43">
        <v>27314</v>
      </c>
      <c r="M277" s="41">
        <v>50</v>
      </c>
      <c r="N277" s="41" t="s">
        <v>1168</v>
      </c>
      <c r="O277" s="43">
        <v>46761</v>
      </c>
      <c r="P277" s="41" t="s">
        <v>2</v>
      </c>
      <c r="Q277" s="41"/>
      <c r="R277" s="57">
        <v>45913</v>
      </c>
      <c r="S277" s="58">
        <v>45918</v>
      </c>
      <c r="T277" s="59">
        <f t="shared" si="4"/>
        <v>5</v>
      </c>
      <c r="U277" s="41">
        <v>1</v>
      </c>
      <c r="V277" s="41">
        <v>1</v>
      </c>
      <c r="W277" s="41">
        <v>0</v>
      </c>
      <c r="X277" s="41">
        <v>1</v>
      </c>
      <c r="Y277" s="41">
        <v>0</v>
      </c>
      <c r="Z277" s="41">
        <v>1</v>
      </c>
      <c r="AA277" s="41">
        <v>0</v>
      </c>
      <c r="AB277" s="41"/>
      <c r="AC277" s="43">
        <v>45913</v>
      </c>
      <c r="AD277" s="44">
        <v>0.67013888889050577</v>
      </c>
      <c r="AE277" s="41" t="s">
        <v>70</v>
      </c>
      <c r="AF277" s="43">
        <v>45918</v>
      </c>
      <c r="AG277" s="44">
        <v>0.79513888889050577</v>
      </c>
      <c r="AH277" s="41" t="s">
        <v>81</v>
      </c>
      <c r="AI277" s="41" t="s">
        <v>1162</v>
      </c>
      <c r="AJ277" s="41" t="s">
        <v>54</v>
      </c>
      <c r="AK277" s="41" t="s">
        <v>54</v>
      </c>
      <c r="AL277" s="41" t="s">
        <v>164</v>
      </c>
      <c r="AM277" s="45" t="s">
        <v>55</v>
      </c>
      <c r="AN277" s="45" t="s">
        <v>300</v>
      </c>
      <c r="AO277" s="45"/>
      <c r="AP277" s="46"/>
    </row>
    <row r="278" spans="3:42" ht="14.25" customHeight="1" x14ac:dyDescent="0.2">
      <c r="C278" s="40" t="str">
        <f>IF($X278=1,COUNTIF($C$10:C277,"&gt;0")+1,"")</f>
        <v/>
      </c>
      <c r="D278" s="41"/>
      <c r="E278" s="41" t="s">
        <v>1157</v>
      </c>
      <c r="F278" s="42" t="s">
        <v>1169</v>
      </c>
      <c r="G278" s="41" t="s">
        <v>1165</v>
      </c>
      <c r="H278" s="41" t="s">
        <v>1170</v>
      </c>
      <c r="I278" s="41" t="s">
        <v>1167</v>
      </c>
      <c r="J278" s="41" t="s">
        <v>51</v>
      </c>
      <c r="K278" s="41" t="s">
        <v>85</v>
      </c>
      <c r="L278" s="43">
        <v>25792</v>
      </c>
      <c r="M278" s="41">
        <v>55</v>
      </c>
      <c r="N278" s="41" t="s">
        <v>1171</v>
      </c>
      <c r="O278" s="43">
        <v>46760</v>
      </c>
      <c r="P278" s="41" t="s">
        <v>2</v>
      </c>
      <c r="Q278" s="41"/>
      <c r="R278" s="57">
        <v>45913</v>
      </c>
      <c r="S278" s="58">
        <v>45918</v>
      </c>
      <c r="T278" s="59">
        <f t="shared" si="4"/>
        <v>5</v>
      </c>
      <c r="U278" s="41">
        <v>1</v>
      </c>
      <c r="V278" s="41">
        <v>1</v>
      </c>
      <c r="W278" s="41">
        <v>0</v>
      </c>
      <c r="X278" s="41">
        <v>0</v>
      </c>
      <c r="Y278" s="41">
        <v>0</v>
      </c>
      <c r="Z278" s="41">
        <v>0</v>
      </c>
      <c r="AA278" s="41">
        <v>0</v>
      </c>
      <c r="AB278" s="41"/>
      <c r="AC278" s="43">
        <v>45913</v>
      </c>
      <c r="AD278" s="44">
        <v>0.67013888889050577</v>
      </c>
      <c r="AE278" s="41" t="s">
        <v>70</v>
      </c>
      <c r="AF278" s="43">
        <v>45918</v>
      </c>
      <c r="AG278" s="44">
        <v>0.79513888889050577</v>
      </c>
      <c r="AH278" s="41" t="s">
        <v>81</v>
      </c>
      <c r="AI278" s="41" t="s">
        <v>1162</v>
      </c>
      <c r="AJ278" s="41" t="s">
        <v>54</v>
      </c>
      <c r="AK278" s="41" t="s">
        <v>54</v>
      </c>
      <c r="AL278" s="41" t="s">
        <v>164</v>
      </c>
      <c r="AM278" s="45" t="s">
        <v>55</v>
      </c>
      <c r="AN278" s="45" t="s">
        <v>300</v>
      </c>
      <c r="AO278" s="45"/>
      <c r="AP278" s="46"/>
    </row>
    <row r="279" spans="3:42" ht="14.25" customHeight="1" x14ac:dyDescent="0.2">
      <c r="C279" s="40">
        <f>IF($X279=1,COUNTIF($C$10:C278,"&gt;0")+1,"")</f>
        <v>134</v>
      </c>
      <c r="D279" s="41">
        <v>15262462</v>
      </c>
      <c r="E279" s="41" t="s">
        <v>1157</v>
      </c>
      <c r="F279" s="42" t="s">
        <v>1172</v>
      </c>
      <c r="G279" s="41" t="s">
        <v>1172</v>
      </c>
      <c r="H279" s="41" t="s">
        <v>1173</v>
      </c>
      <c r="I279" s="41" t="s">
        <v>1174</v>
      </c>
      <c r="J279" s="41" t="s">
        <v>56</v>
      </c>
      <c r="K279" s="41" t="s">
        <v>214</v>
      </c>
      <c r="L279" s="43">
        <v>28996</v>
      </c>
      <c r="M279" s="41">
        <v>46</v>
      </c>
      <c r="N279" s="41" t="s">
        <v>1175</v>
      </c>
      <c r="O279" s="43">
        <v>48984</v>
      </c>
      <c r="P279" s="41" t="s">
        <v>3</v>
      </c>
      <c r="Q279" s="41"/>
      <c r="R279" s="57">
        <v>45913</v>
      </c>
      <c r="S279" s="58">
        <v>45918</v>
      </c>
      <c r="T279" s="59">
        <f t="shared" si="4"/>
        <v>5</v>
      </c>
      <c r="U279" s="41">
        <v>1</v>
      </c>
      <c r="V279" s="41">
        <v>1</v>
      </c>
      <c r="W279" s="41">
        <v>0</v>
      </c>
      <c r="X279" s="41">
        <v>1</v>
      </c>
      <c r="Y279" s="41">
        <v>0</v>
      </c>
      <c r="Z279" s="41">
        <v>0</v>
      </c>
      <c r="AA279" s="41">
        <v>1</v>
      </c>
      <c r="AB279" s="41"/>
      <c r="AC279" s="43">
        <v>45913</v>
      </c>
      <c r="AD279" s="44">
        <v>0.78125</v>
      </c>
      <c r="AE279" s="41" t="s">
        <v>86</v>
      </c>
      <c r="AF279" s="43">
        <v>45918</v>
      </c>
      <c r="AG279" s="44">
        <v>0.86458333333575865</v>
      </c>
      <c r="AH279" s="41" t="s">
        <v>87</v>
      </c>
      <c r="AI279" s="41" t="s">
        <v>1162</v>
      </c>
      <c r="AJ279" s="41" t="s">
        <v>54</v>
      </c>
      <c r="AK279" s="41" t="s">
        <v>54</v>
      </c>
      <c r="AL279" s="41" t="s">
        <v>164</v>
      </c>
      <c r="AM279" s="45" t="s">
        <v>55</v>
      </c>
      <c r="AN279" s="45" t="s">
        <v>387</v>
      </c>
      <c r="AO279" s="45" t="s">
        <v>79</v>
      </c>
      <c r="AP279" s="46"/>
    </row>
    <row r="280" spans="3:42" ht="14.25" customHeight="1" x14ac:dyDescent="0.2">
      <c r="C280" s="40" t="str">
        <f>IF($X280=1,COUNTIF($C$10:C279,"&gt;0")+1,"")</f>
        <v/>
      </c>
      <c r="D280" s="41"/>
      <c r="E280" s="41" t="s">
        <v>1157</v>
      </c>
      <c r="F280" s="42" t="s">
        <v>1176</v>
      </c>
      <c r="G280" s="41" t="s">
        <v>1172</v>
      </c>
      <c r="H280" s="41" t="s">
        <v>1177</v>
      </c>
      <c r="I280" s="41" t="s">
        <v>1178</v>
      </c>
      <c r="J280" s="41" t="s">
        <v>56</v>
      </c>
      <c r="K280" s="41" t="s">
        <v>214</v>
      </c>
      <c r="L280" s="43">
        <v>33051</v>
      </c>
      <c r="M280" s="41">
        <v>35</v>
      </c>
      <c r="N280" s="41" t="s">
        <v>1179</v>
      </c>
      <c r="O280" s="43">
        <v>47162</v>
      </c>
      <c r="P280" s="41" t="s">
        <v>3</v>
      </c>
      <c r="Q280" s="41"/>
      <c r="R280" s="57">
        <v>45913</v>
      </c>
      <c r="S280" s="58">
        <v>45918</v>
      </c>
      <c r="T280" s="59">
        <f t="shared" si="4"/>
        <v>5</v>
      </c>
      <c r="U280" s="41">
        <v>1</v>
      </c>
      <c r="V280" s="41">
        <v>1</v>
      </c>
      <c r="W280" s="41">
        <v>0</v>
      </c>
      <c r="X280" s="41">
        <v>0</v>
      </c>
      <c r="Y280" s="41">
        <v>0</v>
      </c>
      <c r="Z280" s="41">
        <v>0</v>
      </c>
      <c r="AA280" s="41">
        <v>0</v>
      </c>
      <c r="AB280" s="41"/>
      <c r="AC280" s="43">
        <v>45913</v>
      </c>
      <c r="AD280" s="44">
        <v>0.78125</v>
      </c>
      <c r="AE280" s="41" t="s">
        <v>86</v>
      </c>
      <c r="AF280" s="43">
        <v>45918</v>
      </c>
      <c r="AG280" s="44">
        <v>0.86458333333575865</v>
      </c>
      <c r="AH280" s="41" t="s">
        <v>87</v>
      </c>
      <c r="AI280" s="41" t="s">
        <v>1162</v>
      </c>
      <c r="AJ280" s="41" t="s">
        <v>54</v>
      </c>
      <c r="AK280" s="41" t="s">
        <v>54</v>
      </c>
      <c r="AL280" s="41" t="s">
        <v>164</v>
      </c>
      <c r="AM280" s="45" t="s">
        <v>55</v>
      </c>
      <c r="AN280" s="45" t="s">
        <v>387</v>
      </c>
      <c r="AO280" s="45" t="s">
        <v>79</v>
      </c>
      <c r="AP280" s="46"/>
    </row>
    <row r="281" spans="3:42" ht="14.25" customHeight="1" x14ac:dyDescent="0.2">
      <c r="C281" s="40">
        <f>IF($X281=1,COUNTIF($C$10:C280,"&gt;0")+1,"")</f>
        <v>135</v>
      </c>
      <c r="D281" s="41">
        <v>15262463</v>
      </c>
      <c r="E281" s="41" t="s">
        <v>1157</v>
      </c>
      <c r="F281" s="42" t="s">
        <v>1180</v>
      </c>
      <c r="G281" s="41" t="s">
        <v>1180</v>
      </c>
      <c r="H281" s="41" t="s">
        <v>1181</v>
      </c>
      <c r="I281" s="41" t="s">
        <v>1182</v>
      </c>
      <c r="J281" s="41" t="s">
        <v>56</v>
      </c>
      <c r="K281" s="41" t="s">
        <v>85</v>
      </c>
      <c r="L281" s="43">
        <v>28314</v>
      </c>
      <c r="M281" s="41">
        <v>48</v>
      </c>
      <c r="N281" s="41" t="s">
        <v>1183</v>
      </c>
      <c r="O281" s="43">
        <v>48962</v>
      </c>
      <c r="P281" s="41" t="s">
        <v>2</v>
      </c>
      <c r="Q281" s="41"/>
      <c r="R281" s="57">
        <v>45913</v>
      </c>
      <c r="S281" s="58">
        <v>45918</v>
      </c>
      <c r="T281" s="59">
        <f t="shared" si="4"/>
        <v>5</v>
      </c>
      <c r="U281" s="41">
        <v>1</v>
      </c>
      <c r="V281" s="41">
        <v>1</v>
      </c>
      <c r="W281" s="41">
        <v>0</v>
      </c>
      <c r="X281" s="41">
        <v>1</v>
      </c>
      <c r="Y281" s="41">
        <v>0</v>
      </c>
      <c r="Z281" s="41">
        <v>1</v>
      </c>
      <c r="AA281" s="41">
        <v>0</v>
      </c>
      <c r="AB281" s="41"/>
      <c r="AC281" s="43">
        <v>45912</v>
      </c>
      <c r="AD281" s="44">
        <v>0.78125</v>
      </c>
      <c r="AE281" s="41" t="s">
        <v>86</v>
      </c>
      <c r="AF281" s="43">
        <v>45918</v>
      </c>
      <c r="AG281" s="44">
        <v>0.86458333333575865</v>
      </c>
      <c r="AH281" s="41" t="s">
        <v>87</v>
      </c>
      <c r="AI281" s="41" t="s">
        <v>1162</v>
      </c>
      <c r="AJ281" s="41" t="s">
        <v>54</v>
      </c>
      <c r="AK281" s="41" t="s">
        <v>54</v>
      </c>
      <c r="AL281" s="41" t="s">
        <v>164</v>
      </c>
      <c r="AM281" s="45" t="s">
        <v>55</v>
      </c>
      <c r="AN281" s="45" t="s">
        <v>300</v>
      </c>
      <c r="AO281" s="45"/>
      <c r="AP281" s="46"/>
    </row>
    <row r="282" spans="3:42" ht="14.25" customHeight="1" x14ac:dyDescent="0.2">
      <c r="C282" s="40" t="str">
        <f>IF($X282=1,COUNTIF($C$10:C281,"&gt;0")+1,"")</f>
        <v/>
      </c>
      <c r="D282" s="41"/>
      <c r="E282" s="41" t="s">
        <v>1157</v>
      </c>
      <c r="F282" s="42" t="s">
        <v>1184</v>
      </c>
      <c r="G282" s="41" t="s">
        <v>1180</v>
      </c>
      <c r="H282" s="41" t="s">
        <v>1185</v>
      </c>
      <c r="I282" s="41" t="s">
        <v>1186</v>
      </c>
      <c r="J282" s="41" t="s">
        <v>56</v>
      </c>
      <c r="K282" s="41" t="s">
        <v>52</v>
      </c>
      <c r="L282" s="43">
        <v>24100</v>
      </c>
      <c r="M282" s="41">
        <v>59</v>
      </c>
      <c r="N282" s="41" t="s">
        <v>1187</v>
      </c>
      <c r="O282" s="43">
        <v>49435</v>
      </c>
      <c r="P282" s="41" t="s">
        <v>2</v>
      </c>
      <c r="Q282" s="41"/>
      <c r="R282" s="57">
        <v>45913</v>
      </c>
      <c r="S282" s="58">
        <v>45918</v>
      </c>
      <c r="T282" s="59">
        <f t="shared" si="4"/>
        <v>5</v>
      </c>
      <c r="U282" s="41">
        <v>1</v>
      </c>
      <c r="V282" s="41">
        <v>1</v>
      </c>
      <c r="W282" s="41">
        <v>0</v>
      </c>
      <c r="X282" s="41">
        <v>0</v>
      </c>
      <c r="Y282" s="41">
        <v>0</v>
      </c>
      <c r="Z282" s="41">
        <v>0</v>
      </c>
      <c r="AA282" s="41">
        <v>0</v>
      </c>
      <c r="AB282" s="41"/>
      <c r="AC282" s="43">
        <v>45913</v>
      </c>
      <c r="AD282" s="44">
        <v>0.64583333333575865</v>
      </c>
      <c r="AE282" s="41" t="s">
        <v>76</v>
      </c>
      <c r="AF282" s="43">
        <v>45918</v>
      </c>
      <c r="AG282" s="44">
        <v>0.72569444444525288</v>
      </c>
      <c r="AH282" s="41" t="s">
        <v>77</v>
      </c>
      <c r="AI282" s="41" t="s">
        <v>1162</v>
      </c>
      <c r="AJ282" s="41" t="s">
        <v>54</v>
      </c>
      <c r="AK282" s="41" t="s">
        <v>54</v>
      </c>
      <c r="AL282" s="41" t="s">
        <v>164</v>
      </c>
      <c r="AM282" s="45" t="s">
        <v>55</v>
      </c>
      <c r="AN282" s="45" t="s">
        <v>300</v>
      </c>
      <c r="AO282" s="45"/>
      <c r="AP282" s="46"/>
    </row>
    <row r="283" spans="3:42" ht="14.25" customHeight="1" x14ac:dyDescent="0.2">
      <c r="C283" s="40">
        <f>IF($X283=1,COUNTIF($C$10:C282,"&gt;0")+1,"")</f>
        <v>136</v>
      </c>
      <c r="D283" s="41">
        <v>15262464</v>
      </c>
      <c r="E283" s="41" t="s">
        <v>1157</v>
      </c>
      <c r="F283" s="42" t="s">
        <v>1188</v>
      </c>
      <c r="G283" s="41" t="s">
        <v>1188</v>
      </c>
      <c r="H283" s="41" t="s">
        <v>1189</v>
      </c>
      <c r="I283" s="41" t="s">
        <v>1190</v>
      </c>
      <c r="J283" s="41" t="s">
        <v>56</v>
      </c>
      <c r="K283" s="41" t="s">
        <v>85</v>
      </c>
      <c r="L283" s="43">
        <v>24252</v>
      </c>
      <c r="M283" s="41">
        <v>59</v>
      </c>
      <c r="N283" s="41" t="s">
        <v>1191</v>
      </c>
      <c r="O283" s="43">
        <v>49373</v>
      </c>
      <c r="P283" s="41" t="s">
        <v>2</v>
      </c>
      <c r="Q283" s="41"/>
      <c r="R283" s="57">
        <v>45913</v>
      </c>
      <c r="S283" s="58">
        <v>45918</v>
      </c>
      <c r="T283" s="59">
        <f t="shared" si="4"/>
        <v>5</v>
      </c>
      <c r="U283" s="41">
        <v>1</v>
      </c>
      <c r="V283" s="41">
        <v>1</v>
      </c>
      <c r="W283" s="41">
        <v>0</v>
      </c>
      <c r="X283" s="41">
        <v>1</v>
      </c>
      <c r="Y283" s="41">
        <v>0</v>
      </c>
      <c r="Z283" s="41">
        <v>1</v>
      </c>
      <c r="AA283" s="41">
        <v>0</v>
      </c>
      <c r="AB283" s="41"/>
      <c r="AC283" s="43">
        <v>45913</v>
      </c>
      <c r="AD283" s="44">
        <v>0.45486111110949423</v>
      </c>
      <c r="AE283" s="41" t="s">
        <v>1192</v>
      </c>
      <c r="AF283" s="43">
        <v>45918</v>
      </c>
      <c r="AG283" s="44">
        <v>0.86458333333575865</v>
      </c>
      <c r="AH283" s="41" t="s">
        <v>87</v>
      </c>
      <c r="AI283" s="41" t="s">
        <v>1162</v>
      </c>
      <c r="AJ283" s="41" t="s">
        <v>92</v>
      </c>
      <c r="AK283" s="41" t="s">
        <v>54</v>
      </c>
      <c r="AL283" s="41" t="s">
        <v>164</v>
      </c>
      <c r="AM283" s="45" t="s">
        <v>55</v>
      </c>
      <c r="AN283" s="45" t="s">
        <v>300</v>
      </c>
      <c r="AO283" s="45"/>
      <c r="AP283" s="46"/>
    </row>
    <row r="284" spans="3:42" ht="14.25" customHeight="1" x14ac:dyDescent="0.2">
      <c r="C284" s="40" t="str">
        <f>IF($X284=1,COUNTIF($C$10:C283,"&gt;0")+1,"")</f>
        <v/>
      </c>
      <c r="D284" s="41"/>
      <c r="E284" s="41" t="s">
        <v>1157</v>
      </c>
      <c r="F284" s="42" t="s">
        <v>1193</v>
      </c>
      <c r="G284" s="41" t="s">
        <v>1188</v>
      </c>
      <c r="H284" s="41" t="s">
        <v>1194</v>
      </c>
      <c r="I284" s="41" t="s">
        <v>1190</v>
      </c>
      <c r="J284" s="41" t="s">
        <v>51</v>
      </c>
      <c r="K284" s="41" t="s">
        <v>85</v>
      </c>
      <c r="L284" s="43">
        <v>23340</v>
      </c>
      <c r="M284" s="41">
        <v>61</v>
      </c>
      <c r="N284" s="41" t="s">
        <v>1195</v>
      </c>
      <c r="O284" s="43">
        <v>45892</v>
      </c>
      <c r="P284" s="41" t="s">
        <v>2</v>
      </c>
      <c r="Q284" s="41"/>
      <c r="R284" s="57">
        <v>45913</v>
      </c>
      <c r="S284" s="58">
        <v>45918</v>
      </c>
      <c r="T284" s="59">
        <f t="shared" si="4"/>
        <v>5</v>
      </c>
      <c r="U284" s="41">
        <v>1</v>
      </c>
      <c r="V284" s="41">
        <v>1</v>
      </c>
      <c r="W284" s="41">
        <v>0</v>
      </c>
      <c r="X284" s="41">
        <v>0</v>
      </c>
      <c r="Y284" s="41">
        <v>0</v>
      </c>
      <c r="Z284" s="41">
        <v>0</v>
      </c>
      <c r="AA284" s="41">
        <v>0</v>
      </c>
      <c r="AB284" s="41"/>
      <c r="AC284" s="43">
        <v>45913</v>
      </c>
      <c r="AD284" s="44">
        <v>0.45486111110949423</v>
      </c>
      <c r="AE284" s="41" t="s">
        <v>1192</v>
      </c>
      <c r="AF284" s="43">
        <v>45918</v>
      </c>
      <c r="AG284" s="44">
        <v>0.86458333333575865</v>
      </c>
      <c r="AH284" s="41" t="s">
        <v>87</v>
      </c>
      <c r="AI284" s="41" t="s">
        <v>1162</v>
      </c>
      <c r="AJ284" s="41" t="s">
        <v>54</v>
      </c>
      <c r="AK284" s="41" t="s">
        <v>54</v>
      </c>
      <c r="AL284" s="41" t="s">
        <v>164</v>
      </c>
      <c r="AM284" s="45" t="s">
        <v>55</v>
      </c>
      <c r="AN284" s="45" t="s">
        <v>300</v>
      </c>
      <c r="AO284" s="45"/>
      <c r="AP284" s="46"/>
    </row>
    <row r="285" spans="3:42" ht="14.25" customHeight="1" x14ac:dyDescent="0.2">
      <c r="C285" s="40">
        <f>IF($X285=1,COUNTIF($C$10:C284,"&gt;0")+1,"")</f>
        <v>137</v>
      </c>
      <c r="D285" s="41">
        <v>15262465</v>
      </c>
      <c r="E285" s="41" t="s">
        <v>1157</v>
      </c>
      <c r="F285" s="42" t="s">
        <v>1196</v>
      </c>
      <c r="G285" s="41" t="s">
        <v>1196</v>
      </c>
      <c r="H285" s="41" t="s">
        <v>1197</v>
      </c>
      <c r="I285" s="41" t="s">
        <v>1198</v>
      </c>
      <c r="J285" s="41" t="s">
        <v>56</v>
      </c>
      <c r="K285" s="41" t="s">
        <v>85</v>
      </c>
      <c r="L285" s="43">
        <v>25948</v>
      </c>
      <c r="M285" s="41">
        <v>54</v>
      </c>
      <c r="N285" s="41" t="s">
        <v>1199</v>
      </c>
      <c r="O285" s="43">
        <v>49508</v>
      </c>
      <c r="P285" s="41" t="s">
        <v>3</v>
      </c>
      <c r="Q285" s="41" t="s">
        <v>25</v>
      </c>
      <c r="R285" s="62">
        <v>45912</v>
      </c>
      <c r="S285" s="60">
        <v>45919</v>
      </c>
      <c r="T285" s="61">
        <f t="shared" si="4"/>
        <v>7</v>
      </c>
      <c r="U285" s="41">
        <v>1</v>
      </c>
      <c r="V285" s="41">
        <v>1</v>
      </c>
      <c r="W285" s="41">
        <v>0</v>
      </c>
      <c r="X285" s="41">
        <v>1</v>
      </c>
      <c r="Y285" s="41">
        <v>0</v>
      </c>
      <c r="Z285" s="41">
        <v>0</v>
      </c>
      <c r="AA285" s="41">
        <v>1</v>
      </c>
      <c r="AB285" s="41"/>
      <c r="AC285" s="43">
        <v>45912</v>
      </c>
      <c r="AD285" s="44">
        <v>0.78125</v>
      </c>
      <c r="AE285" s="41" t="s">
        <v>86</v>
      </c>
      <c r="AF285" s="43">
        <v>45919</v>
      </c>
      <c r="AG285" s="44">
        <v>0.86458333333575865</v>
      </c>
      <c r="AH285" s="41" t="s">
        <v>87</v>
      </c>
      <c r="AI285" s="41" t="s">
        <v>1162</v>
      </c>
      <c r="AJ285" s="41" t="s">
        <v>54</v>
      </c>
      <c r="AK285" s="41"/>
      <c r="AL285" s="41" t="s">
        <v>164</v>
      </c>
      <c r="AM285" s="45" t="s">
        <v>55</v>
      </c>
      <c r="AN285" s="45" t="s">
        <v>293</v>
      </c>
      <c r="AO285" s="45"/>
      <c r="AP285" s="46"/>
    </row>
    <row r="286" spans="3:42" ht="14.25" customHeight="1" x14ac:dyDescent="0.2">
      <c r="C286" s="40" t="str">
        <f>IF($X286=1,COUNTIF($C$10:C285,"&gt;0")+1,"")</f>
        <v/>
      </c>
      <c r="D286" s="41"/>
      <c r="E286" s="41" t="s">
        <v>1157</v>
      </c>
      <c r="F286" s="42" t="s">
        <v>1200</v>
      </c>
      <c r="G286" s="41" t="s">
        <v>1196</v>
      </c>
      <c r="H286" s="41" t="s">
        <v>1201</v>
      </c>
      <c r="I286" s="41" t="s">
        <v>1198</v>
      </c>
      <c r="J286" s="41" t="s">
        <v>51</v>
      </c>
      <c r="K286" s="41" t="s">
        <v>85</v>
      </c>
      <c r="L286" s="43">
        <v>33942</v>
      </c>
      <c r="M286" s="41">
        <v>32</v>
      </c>
      <c r="N286" s="41" t="s">
        <v>1202</v>
      </c>
      <c r="O286" s="43">
        <v>49221</v>
      </c>
      <c r="P286" s="41" t="s">
        <v>3</v>
      </c>
      <c r="Q286" s="41" t="s">
        <v>25</v>
      </c>
      <c r="R286" s="62">
        <v>45912</v>
      </c>
      <c r="S286" s="60">
        <v>45919</v>
      </c>
      <c r="T286" s="61">
        <f t="shared" si="4"/>
        <v>7</v>
      </c>
      <c r="U286" s="41">
        <v>1</v>
      </c>
      <c r="V286" s="41">
        <v>1</v>
      </c>
      <c r="W286" s="41">
        <v>0</v>
      </c>
      <c r="X286" s="41">
        <v>0</v>
      </c>
      <c r="Y286" s="41">
        <v>0</v>
      </c>
      <c r="Z286" s="41">
        <v>0</v>
      </c>
      <c r="AA286" s="41">
        <v>0</v>
      </c>
      <c r="AB286" s="41"/>
      <c r="AC286" s="43">
        <v>45912</v>
      </c>
      <c r="AD286" s="44">
        <v>0.78125</v>
      </c>
      <c r="AE286" s="41" t="s">
        <v>86</v>
      </c>
      <c r="AF286" s="43">
        <v>45919</v>
      </c>
      <c r="AG286" s="44">
        <v>0.86458333333575865</v>
      </c>
      <c r="AH286" s="41" t="s">
        <v>87</v>
      </c>
      <c r="AI286" s="41" t="s">
        <v>1162</v>
      </c>
      <c r="AJ286" s="41" t="s">
        <v>54</v>
      </c>
      <c r="AK286" s="41"/>
      <c r="AL286" s="41" t="s">
        <v>164</v>
      </c>
      <c r="AM286" s="45" t="s">
        <v>55</v>
      </c>
      <c r="AN286" s="45" t="s">
        <v>293</v>
      </c>
      <c r="AO286" s="45"/>
      <c r="AP286" s="46"/>
    </row>
    <row r="287" spans="3:42" ht="14.25" customHeight="1" x14ac:dyDescent="0.2">
      <c r="C287" s="40">
        <f>IF($X287=1,COUNTIF($C$10:C286,"&gt;0")+1,"")</f>
        <v>138</v>
      </c>
      <c r="D287" s="41">
        <v>15262466</v>
      </c>
      <c r="E287" s="41" t="s">
        <v>1203</v>
      </c>
      <c r="F287" s="42" t="s">
        <v>1204</v>
      </c>
      <c r="G287" s="41" t="s">
        <v>1204</v>
      </c>
      <c r="H287" s="41" t="s">
        <v>1205</v>
      </c>
      <c r="I287" s="41" t="s">
        <v>1206</v>
      </c>
      <c r="J287" s="41" t="s">
        <v>51</v>
      </c>
      <c r="K287" s="41" t="s">
        <v>214</v>
      </c>
      <c r="L287" s="43">
        <v>33019</v>
      </c>
      <c r="M287" s="41">
        <v>35</v>
      </c>
      <c r="N287" s="41" t="s">
        <v>1207</v>
      </c>
      <c r="O287" s="43">
        <v>46725</v>
      </c>
      <c r="P287" s="41" t="s">
        <v>2</v>
      </c>
      <c r="Q287" s="41"/>
      <c r="R287" s="57">
        <v>45913</v>
      </c>
      <c r="S287" s="58">
        <v>45918</v>
      </c>
      <c r="T287" s="59">
        <f t="shared" si="4"/>
        <v>5</v>
      </c>
      <c r="U287" s="41">
        <v>1</v>
      </c>
      <c r="V287" s="41">
        <v>1</v>
      </c>
      <c r="W287" s="41">
        <v>0</v>
      </c>
      <c r="X287" s="41">
        <v>1</v>
      </c>
      <c r="Y287" s="41">
        <v>0</v>
      </c>
      <c r="Z287" s="41">
        <v>1</v>
      </c>
      <c r="AA287" s="41">
        <v>0</v>
      </c>
      <c r="AB287" s="41"/>
      <c r="AC287" s="43">
        <v>45913</v>
      </c>
      <c r="AD287" s="44">
        <v>0.36111111110949423</v>
      </c>
      <c r="AE287" s="41" t="s">
        <v>1208</v>
      </c>
      <c r="AF287" s="43">
        <v>45918</v>
      </c>
      <c r="AG287" s="44">
        <v>0.73958333333575865</v>
      </c>
      <c r="AH287" s="41" t="s">
        <v>111</v>
      </c>
      <c r="AI287" s="41" t="s">
        <v>1209</v>
      </c>
      <c r="AJ287" s="41" t="s">
        <v>54</v>
      </c>
      <c r="AK287" s="41" t="s">
        <v>54</v>
      </c>
      <c r="AL287" s="41" t="s">
        <v>164</v>
      </c>
      <c r="AM287" s="45" t="s">
        <v>55</v>
      </c>
      <c r="AN287" s="45" t="s">
        <v>300</v>
      </c>
      <c r="AO287" s="45"/>
      <c r="AP287" s="46"/>
    </row>
    <row r="288" spans="3:42" ht="14.25" customHeight="1" x14ac:dyDescent="0.2">
      <c r="C288" s="40" t="str">
        <f>IF($X288=1,COUNTIF($C$10:C287,"&gt;0")+1,"")</f>
        <v/>
      </c>
      <c r="D288" s="41"/>
      <c r="E288" s="41" t="s">
        <v>1203</v>
      </c>
      <c r="F288" s="42" t="s">
        <v>1210</v>
      </c>
      <c r="G288" s="41" t="s">
        <v>1204</v>
      </c>
      <c r="H288" s="41" t="s">
        <v>1211</v>
      </c>
      <c r="I288" s="41" t="s">
        <v>1212</v>
      </c>
      <c r="J288" s="41" t="s">
        <v>56</v>
      </c>
      <c r="K288" s="41" t="s">
        <v>214</v>
      </c>
      <c r="L288" s="43">
        <v>33844</v>
      </c>
      <c r="M288" s="41">
        <v>33</v>
      </c>
      <c r="N288" s="41" t="s">
        <v>1213</v>
      </c>
      <c r="O288" s="43">
        <v>47323</v>
      </c>
      <c r="P288" s="41" t="s">
        <v>2</v>
      </c>
      <c r="Q288" s="41"/>
      <c r="R288" s="57">
        <v>45913</v>
      </c>
      <c r="S288" s="58">
        <v>45918</v>
      </c>
      <c r="T288" s="59">
        <f t="shared" si="4"/>
        <v>5</v>
      </c>
      <c r="U288" s="41">
        <v>1</v>
      </c>
      <c r="V288" s="41">
        <v>1</v>
      </c>
      <c r="W288" s="41">
        <v>0</v>
      </c>
      <c r="X288" s="41">
        <v>0</v>
      </c>
      <c r="Y288" s="41">
        <v>0</v>
      </c>
      <c r="Z288" s="41">
        <v>0</v>
      </c>
      <c r="AA288" s="41">
        <v>0</v>
      </c>
      <c r="AB288" s="41"/>
      <c r="AC288" s="43">
        <v>45913</v>
      </c>
      <c r="AD288" s="44">
        <v>0.36111111110949423</v>
      </c>
      <c r="AE288" s="41" t="s">
        <v>1208</v>
      </c>
      <c r="AF288" s="43">
        <v>45918</v>
      </c>
      <c r="AG288" s="44">
        <v>0.73958333333575865</v>
      </c>
      <c r="AH288" s="41" t="s">
        <v>111</v>
      </c>
      <c r="AI288" s="41" t="s">
        <v>1209</v>
      </c>
      <c r="AJ288" s="41" t="s">
        <v>54</v>
      </c>
      <c r="AK288" s="41" t="s">
        <v>54</v>
      </c>
      <c r="AL288" s="41" t="s">
        <v>164</v>
      </c>
      <c r="AM288" s="45" t="s">
        <v>55</v>
      </c>
      <c r="AN288" s="45" t="s">
        <v>300</v>
      </c>
      <c r="AO288" s="45"/>
      <c r="AP288" s="46"/>
    </row>
    <row r="289" spans="3:42" ht="14.25" customHeight="1" x14ac:dyDescent="0.2">
      <c r="C289" s="40">
        <f>IF($X289=1,COUNTIF($C$10:C288,"&gt;0")+1,"")</f>
        <v>139</v>
      </c>
      <c r="D289" s="41">
        <v>15262467</v>
      </c>
      <c r="E289" s="41" t="s">
        <v>1203</v>
      </c>
      <c r="F289" s="42" t="s">
        <v>1214</v>
      </c>
      <c r="G289" s="41" t="s">
        <v>1214</v>
      </c>
      <c r="H289" s="41" t="s">
        <v>1215</v>
      </c>
      <c r="I289" s="41" t="s">
        <v>1216</v>
      </c>
      <c r="J289" s="41" t="s">
        <v>56</v>
      </c>
      <c r="K289" s="41" t="s">
        <v>85</v>
      </c>
      <c r="L289" s="43">
        <v>33634</v>
      </c>
      <c r="M289" s="41">
        <v>33</v>
      </c>
      <c r="N289" s="41" t="s">
        <v>1217</v>
      </c>
      <c r="O289" s="43">
        <v>48652</v>
      </c>
      <c r="P289" s="41" t="s">
        <v>2</v>
      </c>
      <c r="Q289" s="41"/>
      <c r="R289" s="57">
        <v>45913</v>
      </c>
      <c r="S289" s="58">
        <v>45918</v>
      </c>
      <c r="T289" s="59">
        <f t="shared" si="4"/>
        <v>5</v>
      </c>
      <c r="U289" s="41">
        <v>1</v>
      </c>
      <c r="V289" s="41">
        <v>1</v>
      </c>
      <c r="W289" s="41">
        <v>0</v>
      </c>
      <c r="X289" s="41">
        <v>1</v>
      </c>
      <c r="Y289" s="41">
        <v>0</v>
      </c>
      <c r="Z289" s="41">
        <v>1</v>
      </c>
      <c r="AA289" s="41">
        <v>0</v>
      </c>
      <c r="AB289" s="41"/>
      <c r="AC289" s="43">
        <v>45913</v>
      </c>
      <c r="AD289" s="44">
        <v>0.72222222221898846</v>
      </c>
      <c r="AE289" s="41" t="s">
        <v>211</v>
      </c>
      <c r="AF289" s="43">
        <v>45918</v>
      </c>
      <c r="AG289" s="44">
        <v>0.86458333333575865</v>
      </c>
      <c r="AH289" s="41" t="s">
        <v>1218</v>
      </c>
      <c r="AI289" s="41" t="s">
        <v>1209</v>
      </c>
      <c r="AJ289" s="41" t="s">
        <v>54</v>
      </c>
      <c r="AK289" s="41" t="s">
        <v>54</v>
      </c>
      <c r="AL289" s="41" t="s">
        <v>164</v>
      </c>
      <c r="AM289" s="45" t="s">
        <v>55</v>
      </c>
      <c r="AN289" s="45" t="s">
        <v>300</v>
      </c>
      <c r="AO289" s="45"/>
      <c r="AP289" s="46"/>
    </row>
    <row r="290" spans="3:42" ht="14.25" customHeight="1" x14ac:dyDescent="0.2">
      <c r="C290" s="40" t="str">
        <f>IF($X290=1,COUNTIF($C$10:C289,"&gt;0")+1,"")</f>
        <v/>
      </c>
      <c r="D290" s="41"/>
      <c r="E290" s="41" t="s">
        <v>1203</v>
      </c>
      <c r="F290" s="42" t="s">
        <v>1219</v>
      </c>
      <c r="G290" s="41" t="s">
        <v>1214</v>
      </c>
      <c r="H290" s="41" t="s">
        <v>1220</v>
      </c>
      <c r="I290" s="41" t="s">
        <v>1216</v>
      </c>
      <c r="J290" s="41" t="s">
        <v>51</v>
      </c>
      <c r="K290" s="41" t="s">
        <v>85</v>
      </c>
      <c r="L290" s="43">
        <v>32217</v>
      </c>
      <c r="M290" s="41">
        <v>37</v>
      </c>
      <c r="N290" s="41" t="s">
        <v>1221</v>
      </c>
      <c r="O290" s="43">
        <v>48556</v>
      </c>
      <c r="P290" s="41" t="s">
        <v>2</v>
      </c>
      <c r="Q290" s="41"/>
      <c r="R290" s="57">
        <v>45913</v>
      </c>
      <c r="S290" s="58">
        <v>45918</v>
      </c>
      <c r="T290" s="59">
        <f t="shared" si="4"/>
        <v>5</v>
      </c>
      <c r="U290" s="41">
        <v>1</v>
      </c>
      <c r="V290" s="41">
        <v>1</v>
      </c>
      <c r="W290" s="41">
        <v>0</v>
      </c>
      <c r="X290" s="41">
        <v>0</v>
      </c>
      <c r="Y290" s="41">
        <v>0</v>
      </c>
      <c r="Z290" s="41">
        <v>0</v>
      </c>
      <c r="AA290" s="41">
        <v>0</v>
      </c>
      <c r="AB290" s="41"/>
      <c r="AC290" s="43">
        <v>45913</v>
      </c>
      <c r="AD290" s="44">
        <v>0.72222222221898846</v>
      </c>
      <c r="AE290" s="41" t="s">
        <v>211</v>
      </c>
      <c r="AF290" s="43">
        <v>45918</v>
      </c>
      <c r="AG290" s="44">
        <v>0.86458333333575865</v>
      </c>
      <c r="AH290" s="41" t="s">
        <v>1218</v>
      </c>
      <c r="AI290" s="41" t="s">
        <v>1209</v>
      </c>
      <c r="AJ290" s="41" t="s">
        <v>92</v>
      </c>
      <c r="AK290" s="41" t="s">
        <v>54</v>
      </c>
      <c r="AL290" s="41" t="s">
        <v>164</v>
      </c>
      <c r="AM290" s="45" t="s">
        <v>55</v>
      </c>
      <c r="AN290" s="45" t="s">
        <v>300</v>
      </c>
      <c r="AO290" s="45"/>
      <c r="AP290" s="46"/>
    </row>
    <row r="291" spans="3:42" ht="14.25" customHeight="1" x14ac:dyDescent="0.2">
      <c r="C291" s="40">
        <f>IF($X291=1,COUNTIF($C$10:C290,"&gt;0")+1,"")</f>
        <v>140</v>
      </c>
      <c r="D291" s="41">
        <v>15262468</v>
      </c>
      <c r="E291" s="41" t="s">
        <v>1203</v>
      </c>
      <c r="F291" s="42" t="s">
        <v>1222</v>
      </c>
      <c r="G291" s="41" t="s">
        <v>1222</v>
      </c>
      <c r="H291" s="41" t="s">
        <v>1223</v>
      </c>
      <c r="I291" s="41" t="s">
        <v>1224</v>
      </c>
      <c r="J291" s="41" t="s">
        <v>51</v>
      </c>
      <c r="K291" s="41" t="s">
        <v>85</v>
      </c>
      <c r="L291" s="43">
        <v>32502</v>
      </c>
      <c r="M291" s="41">
        <v>36</v>
      </c>
      <c r="N291" s="41" t="s">
        <v>1225</v>
      </c>
      <c r="O291" s="43">
        <v>48701</v>
      </c>
      <c r="P291" s="41" t="s">
        <v>2</v>
      </c>
      <c r="Q291" s="41"/>
      <c r="R291" s="57">
        <v>45913</v>
      </c>
      <c r="S291" s="58">
        <v>45918</v>
      </c>
      <c r="T291" s="59">
        <f t="shared" si="4"/>
        <v>5</v>
      </c>
      <c r="U291" s="41">
        <v>1</v>
      </c>
      <c r="V291" s="41">
        <v>1</v>
      </c>
      <c r="W291" s="41">
        <v>0</v>
      </c>
      <c r="X291" s="41">
        <v>1</v>
      </c>
      <c r="Y291" s="41">
        <v>0</v>
      </c>
      <c r="Z291" s="41">
        <v>1</v>
      </c>
      <c r="AA291" s="41">
        <v>0</v>
      </c>
      <c r="AB291" s="41"/>
      <c r="AC291" s="43">
        <v>45913</v>
      </c>
      <c r="AD291" s="44">
        <v>0.78125</v>
      </c>
      <c r="AE291" s="41" t="s">
        <v>86</v>
      </c>
      <c r="AF291" s="43">
        <v>45918</v>
      </c>
      <c r="AG291" s="44">
        <v>0.56597222221898846</v>
      </c>
      <c r="AH291" s="41" t="s">
        <v>90</v>
      </c>
      <c r="AI291" s="41" t="s">
        <v>1209</v>
      </c>
      <c r="AJ291" s="41" t="s">
        <v>54</v>
      </c>
      <c r="AK291" s="41" t="s">
        <v>54</v>
      </c>
      <c r="AL291" s="41" t="s">
        <v>164</v>
      </c>
      <c r="AM291" s="45" t="s">
        <v>55</v>
      </c>
      <c r="AN291" s="45" t="s">
        <v>300</v>
      </c>
      <c r="AO291" s="45" t="s">
        <v>79</v>
      </c>
      <c r="AP291" s="46"/>
    </row>
    <row r="292" spans="3:42" ht="14.25" customHeight="1" x14ac:dyDescent="0.2">
      <c r="C292" s="40" t="str">
        <f>IF($X292=1,COUNTIF($C$10:C291,"&gt;0")+1,"")</f>
        <v/>
      </c>
      <c r="D292" s="41"/>
      <c r="E292" s="41" t="s">
        <v>1203</v>
      </c>
      <c r="F292" s="42" t="s">
        <v>1226</v>
      </c>
      <c r="G292" s="41" t="s">
        <v>1222</v>
      </c>
      <c r="H292" s="41" t="s">
        <v>1227</v>
      </c>
      <c r="I292" s="41" t="s">
        <v>1228</v>
      </c>
      <c r="J292" s="41" t="s">
        <v>51</v>
      </c>
      <c r="K292" s="41" t="s">
        <v>85</v>
      </c>
      <c r="L292" s="43">
        <v>32088</v>
      </c>
      <c r="M292" s="41">
        <v>37</v>
      </c>
      <c r="N292" s="41" t="s">
        <v>1229</v>
      </c>
      <c r="O292" s="43">
        <v>49497</v>
      </c>
      <c r="P292" s="41" t="s">
        <v>2</v>
      </c>
      <c r="Q292" s="41"/>
      <c r="R292" s="57">
        <v>45913</v>
      </c>
      <c r="S292" s="58">
        <v>45918</v>
      </c>
      <c r="T292" s="59">
        <f t="shared" si="4"/>
        <v>5</v>
      </c>
      <c r="U292" s="41">
        <v>1</v>
      </c>
      <c r="V292" s="41">
        <v>1</v>
      </c>
      <c r="W292" s="41">
        <v>0</v>
      </c>
      <c r="X292" s="41">
        <v>0</v>
      </c>
      <c r="Y292" s="41">
        <v>0</v>
      </c>
      <c r="Z292" s="41">
        <v>0</v>
      </c>
      <c r="AA292" s="41">
        <v>0</v>
      </c>
      <c r="AB292" s="41"/>
      <c r="AC292" s="43">
        <v>45913</v>
      </c>
      <c r="AD292" s="44">
        <v>0.72222222221898846</v>
      </c>
      <c r="AE292" s="41" t="s">
        <v>211</v>
      </c>
      <c r="AF292" s="43">
        <v>45918</v>
      </c>
      <c r="AG292" s="44">
        <v>0.78125</v>
      </c>
      <c r="AH292" s="41" t="s">
        <v>109</v>
      </c>
      <c r="AI292" s="41" t="s">
        <v>1209</v>
      </c>
      <c r="AJ292" s="41" t="s">
        <v>54</v>
      </c>
      <c r="AK292" s="41" t="s">
        <v>54</v>
      </c>
      <c r="AL292" s="41" t="s">
        <v>164</v>
      </c>
      <c r="AM292" s="45" t="s">
        <v>55</v>
      </c>
      <c r="AN292" s="45" t="s">
        <v>300</v>
      </c>
      <c r="AO292" s="45"/>
      <c r="AP292" s="46"/>
    </row>
    <row r="293" spans="3:42" ht="14.25" customHeight="1" x14ac:dyDescent="0.2">
      <c r="C293" s="40">
        <f>IF($X293=1,COUNTIF($C$10:C292,"&gt;0")+1,"")</f>
        <v>141</v>
      </c>
      <c r="D293" s="41">
        <v>15262469</v>
      </c>
      <c r="E293" s="41" t="s">
        <v>1203</v>
      </c>
      <c r="F293" s="42" t="s">
        <v>1230</v>
      </c>
      <c r="G293" s="41" t="s">
        <v>1230</v>
      </c>
      <c r="H293" s="41" t="s">
        <v>1231</v>
      </c>
      <c r="I293" s="41" t="s">
        <v>1232</v>
      </c>
      <c r="J293" s="41" t="s">
        <v>51</v>
      </c>
      <c r="K293" s="41" t="s">
        <v>85</v>
      </c>
      <c r="L293" s="43">
        <v>32256</v>
      </c>
      <c r="M293" s="41">
        <v>37</v>
      </c>
      <c r="N293" s="41" t="s">
        <v>1233</v>
      </c>
      <c r="O293" s="43">
        <v>48234</v>
      </c>
      <c r="P293" s="41" t="s">
        <v>2</v>
      </c>
      <c r="Q293" s="41"/>
      <c r="R293" s="57">
        <v>45913</v>
      </c>
      <c r="S293" s="58">
        <v>45918</v>
      </c>
      <c r="T293" s="59">
        <f t="shared" si="4"/>
        <v>5</v>
      </c>
      <c r="U293" s="41">
        <v>1</v>
      </c>
      <c r="V293" s="41">
        <v>1</v>
      </c>
      <c r="W293" s="41">
        <v>0</v>
      </c>
      <c r="X293" s="41">
        <v>1</v>
      </c>
      <c r="Y293" s="41">
        <v>0</v>
      </c>
      <c r="Z293" s="41">
        <v>1</v>
      </c>
      <c r="AA293" s="41">
        <v>0</v>
      </c>
      <c r="AB293" s="41"/>
      <c r="AC293" s="43">
        <v>45913</v>
      </c>
      <c r="AD293" s="44">
        <v>0.72222222221898846</v>
      </c>
      <c r="AE293" s="41" t="s">
        <v>211</v>
      </c>
      <c r="AF293" s="43">
        <v>45918</v>
      </c>
      <c r="AG293" s="44">
        <v>0.78125</v>
      </c>
      <c r="AH293" s="41" t="s">
        <v>109</v>
      </c>
      <c r="AI293" s="41" t="s">
        <v>1209</v>
      </c>
      <c r="AJ293" s="41" t="s">
        <v>54</v>
      </c>
      <c r="AK293" s="41" t="s">
        <v>54</v>
      </c>
      <c r="AL293" s="41" t="s">
        <v>164</v>
      </c>
      <c r="AM293" s="45" t="s">
        <v>55</v>
      </c>
      <c r="AN293" s="45" t="s">
        <v>300</v>
      </c>
      <c r="AO293" s="45"/>
      <c r="AP293" s="46"/>
    </row>
    <row r="294" spans="3:42" ht="14.25" customHeight="1" x14ac:dyDescent="0.2">
      <c r="C294" s="40" t="str">
        <f>IF($X294=1,COUNTIF($C$10:C293,"&gt;0")+1,"")</f>
        <v/>
      </c>
      <c r="D294" s="41"/>
      <c r="E294" s="41" t="s">
        <v>1203</v>
      </c>
      <c r="F294" s="42" t="s">
        <v>1234</v>
      </c>
      <c r="G294" s="41" t="s">
        <v>1230</v>
      </c>
      <c r="H294" s="41" t="s">
        <v>1235</v>
      </c>
      <c r="I294" s="41" t="s">
        <v>1232</v>
      </c>
      <c r="J294" s="41" t="s">
        <v>56</v>
      </c>
      <c r="K294" s="41" t="s">
        <v>85</v>
      </c>
      <c r="L294" s="43">
        <v>31799</v>
      </c>
      <c r="M294" s="41">
        <v>38</v>
      </c>
      <c r="N294" s="41" t="s">
        <v>1236</v>
      </c>
      <c r="O294" s="43">
        <v>48703</v>
      </c>
      <c r="P294" s="41" t="s">
        <v>2</v>
      </c>
      <c r="Q294" s="41"/>
      <c r="R294" s="57">
        <v>45913</v>
      </c>
      <c r="S294" s="58">
        <v>45918</v>
      </c>
      <c r="T294" s="59">
        <f t="shared" si="4"/>
        <v>5</v>
      </c>
      <c r="U294" s="41">
        <v>1</v>
      </c>
      <c r="V294" s="41">
        <v>1</v>
      </c>
      <c r="W294" s="41">
        <v>0</v>
      </c>
      <c r="X294" s="41">
        <v>0</v>
      </c>
      <c r="Y294" s="41">
        <v>0</v>
      </c>
      <c r="Z294" s="41">
        <v>0</v>
      </c>
      <c r="AA294" s="41">
        <v>0</v>
      </c>
      <c r="AB294" s="41"/>
      <c r="AC294" s="43">
        <v>45913</v>
      </c>
      <c r="AD294" s="44">
        <v>0.72222222221898846</v>
      </c>
      <c r="AE294" s="41" t="s">
        <v>211</v>
      </c>
      <c r="AF294" s="43">
        <v>45918</v>
      </c>
      <c r="AG294" s="44">
        <v>0.78125</v>
      </c>
      <c r="AH294" s="41" t="s">
        <v>109</v>
      </c>
      <c r="AI294" s="41" t="s">
        <v>1209</v>
      </c>
      <c r="AJ294" s="41" t="s">
        <v>54</v>
      </c>
      <c r="AK294" s="41" t="s">
        <v>54</v>
      </c>
      <c r="AL294" s="41" t="s">
        <v>164</v>
      </c>
      <c r="AM294" s="45" t="s">
        <v>55</v>
      </c>
      <c r="AN294" s="45" t="s">
        <v>300</v>
      </c>
      <c r="AO294" s="45"/>
      <c r="AP294" s="46"/>
    </row>
    <row r="295" spans="3:42" ht="14.25" customHeight="1" x14ac:dyDescent="0.2">
      <c r="C295" s="40">
        <f>IF($X295=1,COUNTIF($C$10:C294,"&gt;0")+1,"")</f>
        <v>142</v>
      </c>
      <c r="D295" s="41">
        <v>15262470</v>
      </c>
      <c r="E295" s="41" t="s">
        <v>1203</v>
      </c>
      <c r="F295" s="42" t="s">
        <v>1237</v>
      </c>
      <c r="G295" s="41" t="s">
        <v>1237</v>
      </c>
      <c r="H295" s="41" t="s">
        <v>1238</v>
      </c>
      <c r="I295" s="41" t="s">
        <v>1239</v>
      </c>
      <c r="J295" s="41" t="s">
        <v>56</v>
      </c>
      <c r="K295" s="41" t="s">
        <v>85</v>
      </c>
      <c r="L295" s="43">
        <v>31488</v>
      </c>
      <c r="M295" s="41">
        <v>39</v>
      </c>
      <c r="N295" s="41" t="s">
        <v>1240</v>
      </c>
      <c r="O295" s="43">
        <v>49036</v>
      </c>
      <c r="P295" s="41" t="s">
        <v>2</v>
      </c>
      <c r="Q295" s="41"/>
      <c r="R295" s="57">
        <v>45913</v>
      </c>
      <c r="S295" s="58">
        <v>45918</v>
      </c>
      <c r="T295" s="59">
        <f t="shared" si="4"/>
        <v>5</v>
      </c>
      <c r="U295" s="41">
        <v>1</v>
      </c>
      <c r="V295" s="41">
        <v>1</v>
      </c>
      <c r="W295" s="41">
        <v>0</v>
      </c>
      <c r="X295" s="41">
        <v>1</v>
      </c>
      <c r="Y295" s="41">
        <v>0</v>
      </c>
      <c r="Z295" s="41">
        <v>1</v>
      </c>
      <c r="AA295" s="41">
        <v>0</v>
      </c>
      <c r="AB295" s="41"/>
      <c r="AC295" s="43">
        <v>45914</v>
      </c>
      <c r="AD295" s="44">
        <v>0.28819444444525288</v>
      </c>
      <c r="AE295" s="41" t="s">
        <v>1241</v>
      </c>
      <c r="AF295" s="43">
        <v>45918</v>
      </c>
      <c r="AG295" s="44">
        <v>0.86458333333575865</v>
      </c>
      <c r="AH295" s="41" t="s">
        <v>1218</v>
      </c>
      <c r="AI295" s="41" t="s">
        <v>1209</v>
      </c>
      <c r="AJ295" s="41" t="s">
        <v>54</v>
      </c>
      <c r="AK295" s="41" t="s">
        <v>54</v>
      </c>
      <c r="AL295" s="41" t="s">
        <v>164</v>
      </c>
      <c r="AM295" s="45" t="s">
        <v>55</v>
      </c>
      <c r="AN295" s="45" t="s">
        <v>300</v>
      </c>
      <c r="AO295" s="45"/>
      <c r="AP295" s="46"/>
    </row>
    <row r="296" spans="3:42" ht="14.25" customHeight="1" x14ac:dyDescent="0.2">
      <c r="C296" s="40" t="str">
        <f>IF($X296=1,COUNTIF($C$10:C295,"&gt;0")+1,"")</f>
        <v/>
      </c>
      <c r="D296" s="41"/>
      <c r="E296" s="41" t="s">
        <v>1203</v>
      </c>
      <c r="F296" s="42" t="s">
        <v>1242</v>
      </c>
      <c r="G296" s="41" t="s">
        <v>1237</v>
      </c>
      <c r="H296" s="41" t="s">
        <v>136</v>
      </c>
      <c r="I296" s="41" t="s">
        <v>1239</v>
      </c>
      <c r="J296" s="41" t="s">
        <v>51</v>
      </c>
      <c r="K296" s="41" t="s">
        <v>85</v>
      </c>
      <c r="L296" s="43">
        <v>31540</v>
      </c>
      <c r="M296" s="41">
        <v>39</v>
      </c>
      <c r="N296" s="41" t="s">
        <v>1243</v>
      </c>
      <c r="O296" s="43">
        <v>49036</v>
      </c>
      <c r="P296" s="41" t="s">
        <v>2</v>
      </c>
      <c r="Q296" s="41"/>
      <c r="R296" s="57">
        <v>45913</v>
      </c>
      <c r="S296" s="58">
        <v>45918</v>
      </c>
      <c r="T296" s="59">
        <f t="shared" si="4"/>
        <v>5</v>
      </c>
      <c r="U296" s="41">
        <v>1</v>
      </c>
      <c r="V296" s="41">
        <v>1</v>
      </c>
      <c r="W296" s="41">
        <v>0</v>
      </c>
      <c r="X296" s="41">
        <v>0</v>
      </c>
      <c r="Y296" s="41">
        <v>0</v>
      </c>
      <c r="Z296" s="41">
        <v>0</v>
      </c>
      <c r="AA296" s="41">
        <v>0</v>
      </c>
      <c r="AB296" s="41"/>
      <c r="AC296" s="43">
        <v>45914</v>
      </c>
      <c r="AD296" s="44">
        <v>0.28819444444525288</v>
      </c>
      <c r="AE296" s="41" t="s">
        <v>1241</v>
      </c>
      <c r="AF296" s="43">
        <v>45918</v>
      </c>
      <c r="AG296" s="44">
        <v>0.86458333333575865</v>
      </c>
      <c r="AH296" s="41" t="s">
        <v>1218</v>
      </c>
      <c r="AI296" s="41" t="s">
        <v>1209</v>
      </c>
      <c r="AJ296" s="41" t="s">
        <v>54</v>
      </c>
      <c r="AK296" s="41" t="s">
        <v>54</v>
      </c>
      <c r="AL296" s="41" t="s">
        <v>164</v>
      </c>
      <c r="AM296" s="45" t="s">
        <v>55</v>
      </c>
      <c r="AN296" s="45" t="s">
        <v>300</v>
      </c>
      <c r="AO296" s="45"/>
      <c r="AP296" s="46"/>
    </row>
    <row r="297" spans="3:42" ht="14.25" customHeight="1" x14ac:dyDescent="0.2">
      <c r="C297" s="40">
        <f>IF($X297=1,COUNTIF($C$10:C296,"&gt;0")+1,"")</f>
        <v>143</v>
      </c>
      <c r="D297" s="41">
        <v>15262471</v>
      </c>
      <c r="E297" s="41" t="s">
        <v>1203</v>
      </c>
      <c r="F297" s="42" t="s">
        <v>1244</v>
      </c>
      <c r="G297" s="41" t="s">
        <v>1244</v>
      </c>
      <c r="H297" s="41" t="s">
        <v>1245</v>
      </c>
      <c r="I297" s="41" t="s">
        <v>1246</v>
      </c>
      <c r="J297" s="41" t="s">
        <v>51</v>
      </c>
      <c r="K297" s="41" t="s">
        <v>214</v>
      </c>
      <c r="L297" s="43">
        <v>32397</v>
      </c>
      <c r="M297" s="41">
        <v>37</v>
      </c>
      <c r="N297" s="41" t="s">
        <v>1247</v>
      </c>
      <c r="O297" s="43">
        <v>47805</v>
      </c>
      <c r="P297" s="41" t="s">
        <v>2</v>
      </c>
      <c r="Q297" s="41"/>
      <c r="R297" s="57">
        <v>45913</v>
      </c>
      <c r="S297" s="58">
        <v>45918</v>
      </c>
      <c r="T297" s="59">
        <f t="shared" si="4"/>
        <v>5</v>
      </c>
      <c r="U297" s="41">
        <v>1</v>
      </c>
      <c r="V297" s="41">
        <v>1</v>
      </c>
      <c r="W297" s="41">
        <v>0</v>
      </c>
      <c r="X297" s="41">
        <v>1</v>
      </c>
      <c r="Y297" s="41">
        <v>0</v>
      </c>
      <c r="Z297" s="41">
        <v>1</v>
      </c>
      <c r="AA297" s="41">
        <v>0</v>
      </c>
      <c r="AB297" s="41"/>
      <c r="AC297" s="43">
        <v>45913</v>
      </c>
      <c r="AD297" s="44">
        <v>0.72222222221898846</v>
      </c>
      <c r="AE297" s="41" t="s">
        <v>211</v>
      </c>
      <c r="AF297" s="43">
        <v>45918</v>
      </c>
      <c r="AG297" s="44">
        <v>0.86458333333575865</v>
      </c>
      <c r="AH297" s="41" t="s">
        <v>87</v>
      </c>
      <c r="AI297" s="41" t="s">
        <v>1209</v>
      </c>
      <c r="AJ297" s="41" t="s">
        <v>54</v>
      </c>
      <c r="AK297" s="41" t="s">
        <v>54</v>
      </c>
      <c r="AL297" s="41" t="s">
        <v>164</v>
      </c>
      <c r="AM297" s="45" t="s">
        <v>55</v>
      </c>
      <c r="AN297" s="45" t="s">
        <v>300</v>
      </c>
      <c r="AO297" s="45"/>
      <c r="AP297" s="46"/>
    </row>
    <row r="298" spans="3:42" ht="14.25" customHeight="1" x14ac:dyDescent="0.2">
      <c r="C298" s="40" t="str">
        <f>IF($X298=1,COUNTIF($C$10:C297,"&gt;0")+1,"")</f>
        <v/>
      </c>
      <c r="D298" s="41"/>
      <c r="E298" s="41" t="s">
        <v>1203</v>
      </c>
      <c r="F298" s="42" t="s">
        <v>1248</v>
      </c>
      <c r="G298" s="41" t="s">
        <v>1244</v>
      </c>
      <c r="H298" s="41" t="s">
        <v>1249</v>
      </c>
      <c r="I298" s="41" t="s">
        <v>1246</v>
      </c>
      <c r="J298" s="41" t="s">
        <v>56</v>
      </c>
      <c r="K298" s="41" t="s">
        <v>85</v>
      </c>
      <c r="L298" s="43">
        <v>34063</v>
      </c>
      <c r="M298" s="41">
        <v>32</v>
      </c>
      <c r="N298" s="41" t="s">
        <v>1250</v>
      </c>
      <c r="O298" s="43">
        <v>49366</v>
      </c>
      <c r="P298" s="41" t="s">
        <v>2</v>
      </c>
      <c r="Q298" s="41"/>
      <c r="R298" s="57">
        <v>45913</v>
      </c>
      <c r="S298" s="58">
        <v>45918</v>
      </c>
      <c r="T298" s="59">
        <f t="shared" si="4"/>
        <v>5</v>
      </c>
      <c r="U298" s="41">
        <v>1</v>
      </c>
      <c r="V298" s="41">
        <v>1</v>
      </c>
      <c r="W298" s="41">
        <v>0</v>
      </c>
      <c r="X298" s="41">
        <v>0</v>
      </c>
      <c r="Y298" s="41">
        <v>0</v>
      </c>
      <c r="Z298" s="41">
        <v>0</v>
      </c>
      <c r="AA298" s="41">
        <v>0</v>
      </c>
      <c r="AB298" s="41"/>
      <c r="AC298" s="43">
        <v>45913</v>
      </c>
      <c r="AD298" s="44">
        <v>0.72222222221898846</v>
      </c>
      <c r="AE298" s="41" t="s">
        <v>211</v>
      </c>
      <c r="AF298" s="43">
        <v>45918</v>
      </c>
      <c r="AG298" s="44">
        <v>0.86458333333575865</v>
      </c>
      <c r="AH298" s="41" t="s">
        <v>87</v>
      </c>
      <c r="AI298" s="41" t="s">
        <v>1209</v>
      </c>
      <c r="AJ298" s="41" t="s">
        <v>54</v>
      </c>
      <c r="AK298" s="41" t="s">
        <v>54</v>
      </c>
      <c r="AL298" s="41" t="s">
        <v>164</v>
      </c>
      <c r="AM298" s="45" t="s">
        <v>55</v>
      </c>
      <c r="AN298" s="45" t="s">
        <v>300</v>
      </c>
      <c r="AO298" s="45"/>
      <c r="AP298" s="46"/>
    </row>
    <row r="299" spans="3:42" ht="14.25" customHeight="1" x14ac:dyDescent="0.2">
      <c r="C299" s="40">
        <f>IF($X299=1,COUNTIF($C$10:C298,"&gt;0")+1,"")</f>
        <v>144</v>
      </c>
      <c r="D299" s="41">
        <v>15262472</v>
      </c>
      <c r="E299" s="41" t="s">
        <v>1251</v>
      </c>
      <c r="F299" s="42" t="s">
        <v>1252</v>
      </c>
      <c r="G299" s="41" t="s">
        <v>1252</v>
      </c>
      <c r="H299" s="41" t="s">
        <v>1253</v>
      </c>
      <c r="I299" s="41" t="s">
        <v>129</v>
      </c>
      <c r="J299" s="41" t="s">
        <v>56</v>
      </c>
      <c r="K299" s="41" t="s">
        <v>52</v>
      </c>
      <c r="L299" s="43">
        <v>16280</v>
      </c>
      <c r="M299" s="41">
        <v>81</v>
      </c>
      <c r="N299" s="41" t="s">
        <v>1254</v>
      </c>
      <c r="O299" s="43">
        <v>48001</v>
      </c>
      <c r="P299" s="41" t="s">
        <v>2</v>
      </c>
      <c r="Q299" s="41"/>
      <c r="R299" s="57">
        <v>45913</v>
      </c>
      <c r="S299" s="58">
        <v>45918</v>
      </c>
      <c r="T299" s="59">
        <f t="shared" si="4"/>
        <v>5</v>
      </c>
      <c r="U299" s="41">
        <v>1</v>
      </c>
      <c r="V299" s="41">
        <v>1</v>
      </c>
      <c r="W299" s="41">
        <v>0</v>
      </c>
      <c r="X299" s="41">
        <v>1</v>
      </c>
      <c r="Y299" s="41">
        <v>0</v>
      </c>
      <c r="Z299" s="41">
        <v>1</v>
      </c>
      <c r="AA299" s="41">
        <v>0</v>
      </c>
      <c r="AB299" s="41"/>
      <c r="AC299" s="43">
        <v>45913</v>
      </c>
      <c r="AD299" s="44">
        <v>0.20833333333575865</v>
      </c>
      <c r="AE299" s="41" t="s">
        <v>432</v>
      </c>
      <c r="AF299" s="43">
        <v>45918</v>
      </c>
      <c r="AG299" s="44">
        <v>0.875</v>
      </c>
      <c r="AH299" s="41" t="s">
        <v>458</v>
      </c>
      <c r="AI299" s="41" t="s">
        <v>1255</v>
      </c>
      <c r="AJ299" s="41" t="s">
        <v>54</v>
      </c>
      <c r="AK299" s="41" t="s">
        <v>54</v>
      </c>
      <c r="AL299" s="41" t="s">
        <v>164</v>
      </c>
      <c r="AM299" s="45" t="s">
        <v>55</v>
      </c>
      <c r="AN299" s="45" t="s">
        <v>300</v>
      </c>
      <c r="AO299" s="45"/>
      <c r="AP299" s="46"/>
    </row>
    <row r="300" spans="3:42" ht="14.25" customHeight="1" x14ac:dyDescent="0.2">
      <c r="C300" s="40" t="str">
        <f>IF($X300=1,COUNTIF($C$10:C299,"&gt;0")+1,"")</f>
        <v/>
      </c>
      <c r="D300" s="41"/>
      <c r="E300" s="41" t="s">
        <v>1251</v>
      </c>
      <c r="F300" s="42" t="s">
        <v>1256</v>
      </c>
      <c r="G300" s="41" t="s">
        <v>1252</v>
      </c>
      <c r="H300" s="41" t="s">
        <v>1257</v>
      </c>
      <c r="I300" s="41" t="s">
        <v>125</v>
      </c>
      <c r="J300" s="41" t="s">
        <v>56</v>
      </c>
      <c r="K300" s="41" t="s">
        <v>52</v>
      </c>
      <c r="L300" s="43">
        <v>26532</v>
      </c>
      <c r="M300" s="41">
        <v>53</v>
      </c>
      <c r="N300" s="41" t="s">
        <v>1258</v>
      </c>
      <c r="O300" s="43">
        <v>47891</v>
      </c>
      <c r="P300" s="41" t="s">
        <v>2</v>
      </c>
      <c r="Q300" s="41"/>
      <c r="R300" s="57">
        <v>45913</v>
      </c>
      <c r="S300" s="58">
        <v>45918</v>
      </c>
      <c r="T300" s="59">
        <f t="shared" si="4"/>
        <v>5</v>
      </c>
      <c r="U300" s="41">
        <v>1</v>
      </c>
      <c r="V300" s="41">
        <v>1</v>
      </c>
      <c r="W300" s="41">
        <v>0</v>
      </c>
      <c r="X300" s="41">
        <v>0</v>
      </c>
      <c r="Y300" s="41">
        <v>0</v>
      </c>
      <c r="Z300" s="41">
        <v>0</v>
      </c>
      <c r="AA300" s="41">
        <v>0</v>
      </c>
      <c r="AB300" s="41"/>
      <c r="AC300" s="43">
        <v>45913</v>
      </c>
      <c r="AD300" s="44">
        <v>0.20833333333575865</v>
      </c>
      <c r="AE300" s="41" t="s">
        <v>432</v>
      </c>
      <c r="AF300" s="43">
        <v>45918</v>
      </c>
      <c r="AG300" s="44">
        <v>0.875</v>
      </c>
      <c r="AH300" s="41" t="s">
        <v>458</v>
      </c>
      <c r="AI300" s="41" t="s">
        <v>1255</v>
      </c>
      <c r="AJ300" s="41" t="s">
        <v>54</v>
      </c>
      <c r="AK300" s="41" t="s">
        <v>54</v>
      </c>
      <c r="AL300" s="41" t="s">
        <v>164</v>
      </c>
      <c r="AM300" s="45" t="s">
        <v>55</v>
      </c>
      <c r="AN300" s="45" t="s">
        <v>300</v>
      </c>
      <c r="AO300" s="45"/>
      <c r="AP300" s="46"/>
    </row>
    <row r="301" spans="3:42" ht="14.25" customHeight="1" x14ac:dyDescent="0.2">
      <c r="C301" s="40">
        <f>IF($X301=1,COUNTIF($C$10:C300,"&gt;0")+1,"")</f>
        <v>145</v>
      </c>
      <c r="D301" s="41">
        <v>15262473</v>
      </c>
      <c r="E301" s="41" t="s">
        <v>1251</v>
      </c>
      <c r="F301" s="42" t="s">
        <v>1259</v>
      </c>
      <c r="G301" s="41" t="s">
        <v>1259</v>
      </c>
      <c r="H301" s="41" t="s">
        <v>1260</v>
      </c>
      <c r="I301" s="41" t="s">
        <v>1261</v>
      </c>
      <c r="J301" s="41" t="s">
        <v>51</v>
      </c>
      <c r="K301" s="41" t="s">
        <v>52</v>
      </c>
      <c r="L301" s="43">
        <v>35382</v>
      </c>
      <c r="M301" s="41">
        <v>28</v>
      </c>
      <c r="N301" s="41" t="s">
        <v>1262</v>
      </c>
      <c r="O301" s="43">
        <v>48595</v>
      </c>
      <c r="P301" s="41" t="s">
        <v>2</v>
      </c>
      <c r="Q301" s="41"/>
      <c r="R301" s="57">
        <v>45913</v>
      </c>
      <c r="S301" s="58">
        <v>45918</v>
      </c>
      <c r="T301" s="59">
        <f t="shared" si="4"/>
        <v>5</v>
      </c>
      <c r="U301" s="41">
        <v>1</v>
      </c>
      <c r="V301" s="41">
        <v>1</v>
      </c>
      <c r="W301" s="41">
        <v>0</v>
      </c>
      <c r="X301" s="41">
        <v>1</v>
      </c>
      <c r="Y301" s="41">
        <v>0</v>
      </c>
      <c r="Z301" s="41">
        <v>1</v>
      </c>
      <c r="AA301" s="41">
        <v>0</v>
      </c>
      <c r="AB301" s="41"/>
      <c r="AC301" s="43">
        <v>45913</v>
      </c>
      <c r="AD301" s="44">
        <v>0.20833333333575865</v>
      </c>
      <c r="AE301" s="41" t="s">
        <v>432</v>
      </c>
      <c r="AF301" s="43">
        <v>45918</v>
      </c>
      <c r="AG301" s="44">
        <v>0.875</v>
      </c>
      <c r="AH301" s="41" t="s">
        <v>458</v>
      </c>
      <c r="AI301" s="41" t="s">
        <v>1255</v>
      </c>
      <c r="AJ301" s="41" t="s">
        <v>54</v>
      </c>
      <c r="AK301" s="41" t="s">
        <v>54</v>
      </c>
      <c r="AL301" s="41" t="s">
        <v>164</v>
      </c>
      <c r="AM301" s="45" t="s">
        <v>55</v>
      </c>
      <c r="AN301" s="45" t="s">
        <v>300</v>
      </c>
      <c r="AO301" s="45"/>
      <c r="AP301" s="46"/>
    </row>
    <row r="302" spans="3:42" ht="14.25" customHeight="1" x14ac:dyDescent="0.2">
      <c r="C302" s="40" t="str">
        <f>IF($X302=1,COUNTIF($C$10:C301,"&gt;0")+1,"")</f>
        <v/>
      </c>
      <c r="D302" s="41"/>
      <c r="E302" s="41" t="s">
        <v>1251</v>
      </c>
      <c r="F302" s="42" t="s">
        <v>1263</v>
      </c>
      <c r="G302" s="41" t="s">
        <v>1259</v>
      </c>
      <c r="H302" s="41" t="s">
        <v>1264</v>
      </c>
      <c r="I302" s="41" t="s">
        <v>1265</v>
      </c>
      <c r="J302" s="41" t="s">
        <v>56</v>
      </c>
      <c r="K302" s="41" t="s">
        <v>52</v>
      </c>
      <c r="L302" s="43">
        <v>35249</v>
      </c>
      <c r="M302" s="41">
        <v>29</v>
      </c>
      <c r="N302" s="41" t="s">
        <v>1266</v>
      </c>
      <c r="O302" s="43">
        <v>48952</v>
      </c>
      <c r="P302" s="41" t="s">
        <v>2</v>
      </c>
      <c r="Q302" s="41"/>
      <c r="R302" s="57">
        <v>45913</v>
      </c>
      <c r="S302" s="58">
        <v>45918</v>
      </c>
      <c r="T302" s="59">
        <f t="shared" si="4"/>
        <v>5</v>
      </c>
      <c r="U302" s="41">
        <v>1</v>
      </c>
      <c r="V302" s="41">
        <v>1</v>
      </c>
      <c r="W302" s="41">
        <v>0</v>
      </c>
      <c r="X302" s="41">
        <v>0</v>
      </c>
      <c r="Y302" s="41">
        <v>0</v>
      </c>
      <c r="Z302" s="41">
        <v>0</v>
      </c>
      <c r="AA302" s="41">
        <v>0</v>
      </c>
      <c r="AB302" s="41"/>
      <c r="AC302" s="43">
        <v>45913</v>
      </c>
      <c r="AD302" s="44">
        <v>0.20833333333575865</v>
      </c>
      <c r="AE302" s="41" t="s">
        <v>432</v>
      </c>
      <c r="AF302" s="43">
        <v>45918</v>
      </c>
      <c r="AG302" s="44">
        <v>0.875</v>
      </c>
      <c r="AH302" s="41" t="s">
        <v>458</v>
      </c>
      <c r="AI302" s="41" t="s">
        <v>1255</v>
      </c>
      <c r="AJ302" s="41" t="s">
        <v>54</v>
      </c>
      <c r="AK302" s="41" t="s">
        <v>54</v>
      </c>
      <c r="AL302" s="41" t="s">
        <v>164</v>
      </c>
      <c r="AM302" s="45" t="s">
        <v>55</v>
      </c>
      <c r="AN302" s="45" t="s">
        <v>300</v>
      </c>
      <c r="AO302" s="45"/>
      <c r="AP302" s="46"/>
    </row>
    <row r="303" spans="3:42" ht="14.25" customHeight="1" x14ac:dyDescent="0.2">
      <c r="C303" s="40">
        <f>IF($X303=1,COUNTIF($C$10:C302,"&gt;0")+1,"")</f>
        <v>146</v>
      </c>
      <c r="D303" s="41">
        <v>15262474</v>
      </c>
      <c r="E303" s="41" t="s">
        <v>1251</v>
      </c>
      <c r="F303" s="42" t="s">
        <v>1267</v>
      </c>
      <c r="G303" s="41" t="s">
        <v>1267</v>
      </c>
      <c r="H303" s="41" t="s">
        <v>1268</v>
      </c>
      <c r="I303" s="41" t="s">
        <v>1269</v>
      </c>
      <c r="J303" s="41" t="s">
        <v>56</v>
      </c>
      <c r="K303" s="41" t="s">
        <v>52</v>
      </c>
      <c r="L303" s="43">
        <v>25509</v>
      </c>
      <c r="M303" s="41">
        <v>55</v>
      </c>
      <c r="N303" s="41" t="s">
        <v>1270</v>
      </c>
      <c r="O303" s="43">
        <v>48134</v>
      </c>
      <c r="P303" s="41" t="s">
        <v>2</v>
      </c>
      <c r="Q303" s="41"/>
      <c r="R303" s="57">
        <v>45913</v>
      </c>
      <c r="S303" s="58">
        <v>45918</v>
      </c>
      <c r="T303" s="59">
        <f t="shared" si="4"/>
        <v>5</v>
      </c>
      <c r="U303" s="41">
        <v>1</v>
      </c>
      <c r="V303" s="41">
        <v>1</v>
      </c>
      <c r="W303" s="41">
        <v>0</v>
      </c>
      <c r="X303" s="41">
        <v>1</v>
      </c>
      <c r="Y303" s="41">
        <v>0</v>
      </c>
      <c r="Z303" s="41">
        <v>1</v>
      </c>
      <c r="AA303" s="41">
        <v>0</v>
      </c>
      <c r="AB303" s="41"/>
      <c r="AC303" s="43">
        <v>45913</v>
      </c>
      <c r="AD303" s="44">
        <v>0.20833333333575865</v>
      </c>
      <c r="AE303" s="41" t="s">
        <v>432</v>
      </c>
      <c r="AF303" s="43">
        <v>45918</v>
      </c>
      <c r="AG303" s="44">
        <v>0.55902777778101154</v>
      </c>
      <c r="AH303" s="41" t="s">
        <v>1271</v>
      </c>
      <c r="AI303" s="41" t="s">
        <v>1255</v>
      </c>
      <c r="AJ303" s="41" t="s">
        <v>54</v>
      </c>
      <c r="AK303" s="41" t="s">
        <v>54</v>
      </c>
      <c r="AL303" s="41" t="s">
        <v>164</v>
      </c>
      <c r="AM303" s="45" t="s">
        <v>55</v>
      </c>
      <c r="AN303" s="45" t="s">
        <v>300</v>
      </c>
      <c r="AO303" s="45"/>
      <c r="AP303" s="46"/>
    </row>
    <row r="304" spans="3:42" ht="14.25" customHeight="1" x14ac:dyDescent="0.2">
      <c r="C304" s="40" t="str">
        <f>IF($X304=1,COUNTIF($C$10:C303,"&gt;0")+1,"")</f>
        <v/>
      </c>
      <c r="D304" s="41"/>
      <c r="E304" s="41" t="s">
        <v>1251</v>
      </c>
      <c r="F304" s="42" t="s">
        <v>1272</v>
      </c>
      <c r="G304" s="41" t="s">
        <v>1267</v>
      </c>
      <c r="H304" s="41" t="s">
        <v>1273</v>
      </c>
      <c r="I304" s="41" t="s">
        <v>1274</v>
      </c>
      <c r="J304" s="41" t="s">
        <v>51</v>
      </c>
      <c r="K304" s="41" t="s">
        <v>52</v>
      </c>
      <c r="L304" s="43">
        <v>21562</v>
      </c>
      <c r="M304" s="41">
        <v>66</v>
      </c>
      <c r="N304" s="41" t="s">
        <v>1275</v>
      </c>
      <c r="O304" s="43">
        <v>49252</v>
      </c>
      <c r="P304" s="41" t="s">
        <v>2</v>
      </c>
      <c r="Q304" s="41"/>
      <c r="R304" s="57">
        <v>45913</v>
      </c>
      <c r="S304" s="58">
        <v>45918</v>
      </c>
      <c r="T304" s="59">
        <f t="shared" si="4"/>
        <v>5</v>
      </c>
      <c r="U304" s="41">
        <v>1</v>
      </c>
      <c r="V304" s="41">
        <v>1</v>
      </c>
      <c r="W304" s="41">
        <v>0</v>
      </c>
      <c r="X304" s="41">
        <v>0</v>
      </c>
      <c r="Y304" s="41">
        <v>0</v>
      </c>
      <c r="Z304" s="41">
        <v>0</v>
      </c>
      <c r="AA304" s="41">
        <v>0</v>
      </c>
      <c r="AB304" s="41"/>
      <c r="AC304" s="43">
        <v>45913</v>
      </c>
      <c r="AD304" s="44">
        <v>0.20833333333575865</v>
      </c>
      <c r="AE304" s="41" t="s">
        <v>432</v>
      </c>
      <c r="AF304" s="43">
        <v>45918</v>
      </c>
      <c r="AG304" s="44">
        <v>0.55902777778101154</v>
      </c>
      <c r="AH304" s="41" t="s">
        <v>1271</v>
      </c>
      <c r="AI304" s="41" t="s">
        <v>1255</v>
      </c>
      <c r="AJ304" s="41" t="s">
        <v>54</v>
      </c>
      <c r="AK304" s="41" t="s">
        <v>54</v>
      </c>
      <c r="AL304" s="41" t="s">
        <v>164</v>
      </c>
      <c r="AM304" s="45" t="s">
        <v>55</v>
      </c>
      <c r="AN304" s="45" t="s">
        <v>300</v>
      </c>
      <c r="AO304" s="45"/>
      <c r="AP304" s="46"/>
    </row>
    <row r="305" spans="3:42" ht="14.25" customHeight="1" x14ac:dyDescent="0.2">
      <c r="C305" s="40">
        <f>IF($X305=1,COUNTIF($C$10:C304,"&gt;0")+1,"")</f>
        <v>147</v>
      </c>
      <c r="D305" s="41">
        <v>15262475</v>
      </c>
      <c r="E305" s="41" t="s">
        <v>1251</v>
      </c>
      <c r="F305" s="42" t="s">
        <v>1276</v>
      </c>
      <c r="G305" s="41" t="s">
        <v>1276</v>
      </c>
      <c r="H305" s="41" t="s">
        <v>115</v>
      </c>
      <c r="I305" s="41" t="s">
        <v>1277</v>
      </c>
      <c r="J305" s="41" t="s">
        <v>51</v>
      </c>
      <c r="K305" s="41" t="s">
        <v>52</v>
      </c>
      <c r="L305" s="43">
        <v>19793</v>
      </c>
      <c r="M305" s="41">
        <v>71</v>
      </c>
      <c r="N305" s="41" t="s">
        <v>1278</v>
      </c>
      <c r="O305" s="43">
        <v>47320</v>
      </c>
      <c r="P305" s="41" t="s">
        <v>2</v>
      </c>
      <c r="Q305" s="41"/>
      <c r="R305" s="57">
        <v>45913</v>
      </c>
      <c r="S305" s="58">
        <v>45918</v>
      </c>
      <c r="T305" s="59">
        <f t="shared" si="4"/>
        <v>5</v>
      </c>
      <c r="U305" s="41">
        <v>1</v>
      </c>
      <c r="V305" s="41">
        <v>1</v>
      </c>
      <c r="W305" s="41">
        <v>0</v>
      </c>
      <c r="X305" s="41">
        <v>1</v>
      </c>
      <c r="Y305" s="41">
        <v>0</v>
      </c>
      <c r="Z305" s="41">
        <v>1</v>
      </c>
      <c r="AA305" s="41">
        <v>0</v>
      </c>
      <c r="AB305" s="41"/>
      <c r="AC305" s="43">
        <v>45913</v>
      </c>
      <c r="AD305" s="44">
        <v>0.73263888889050577</v>
      </c>
      <c r="AE305" s="41" t="s">
        <v>1279</v>
      </c>
      <c r="AF305" s="43">
        <v>45918</v>
      </c>
      <c r="AG305" s="44">
        <v>0.875</v>
      </c>
      <c r="AH305" s="41" t="s">
        <v>458</v>
      </c>
      <c r="AI305" s="41" t="s">
        <v>1255</v>
      </c>
      <c r="AJ305" s="41" t="s">
        <v>92</v>
      </c>
      <c r="AK305" s="41" t="s">
        <v>163</v>
      </c>
      <c r="AL305" s="41" t="s">
        <v>164</v>
      </c>
      <c r="AM305" s="45" t="s">
        <v>55</v>
      </c>
      <c r="AN305" s="45" t="s">
        <v>165</v>
      </c>
      <c r="AO305" s="45"/>
      <c r="AP305" s="46"/>
    </row>
    <row r="306" spans="3:42" ht="14.25" customHeight="1" x14ac:dyDescent="0.2">
      <c r="C306" s="40" t="str">
        <f>IF($X306=1,COUNTIF($C$10:C305,"&gt;0")+1,"")</f>
        <v/>
      </c>
      <c r="D306" s="41"/>
      <c r="E306" s="41" t="s">
        <v>1251</v>
      </c>
      <c r="F306" s="42" t="s">
        <v>1280</v>
      </c>
      <c r="G306" s="41" t="s">
        <v>1276</v>
      </c>
      <c r="H306" s="41" t="s">
        <v>1281</v>
      </c>
      <c r="I306" s="41" t="s">
        <v>1277</v>
      </c>
      <c r="J306" s="41" t="s">
        <v>56</v>
      </c>
      <c r="K306" s="41" t="s">
        <v>52</v>
      </c>
      <c r="L306" s="43">
        <v>26226</v>
      </c>
      <c r="M306" s="41">
        <v>53</v>
      </c>
      <c r="N306" s="41" t="s">
        <v>1282</v>
      </c>
      <c r="O306" s="43">
        <v>48595</v>
      </c>
      <c r="P306" s="41" t="s">
        <v>2</v>
      </c>
      <c r="Q306" s="41"/>
      <c r="R306" s="57">
        <v>45913</v>
      </c>
      <c r="S306" s="58">
        <v>45918</v>
      </c>
      <c r="T306" s="59">
        <f t="shared" si="4"/>
        <v>5</v>
      </c>
      <c r="U306" s="41">
        <v>1</v>
      </c>
      <c r="V306" s="41">
        <v>1</v>
      </c>
      <c r="W306" s="41">
        <v>0</v>
      </c>
      <c r="X306" s="41">
        <v>0</v>
      </c>
      <c r="Y306" s="41">
        <v>0</v>
      </c>
      <c r="Z306" s="41">
        <v>0</v>
      </c>
      <c r="AA306" s="41">
        <v>0</v>
      </c>
      <c r="AB306" s="41"/>
      <c r="AC306" s="43">
        <v>45913</v>
      </c>
      <c r="AD306" s="44">
        <v>0.73263888889050577</v>
      </c>
      <c r="AE306" s="41" t="s">
        <v>1279</v>
      </c>
      <c r="AF306" s="43">
        <v>45918</v>
      </c>
      <c r="AG306" s="44">
        <v>0.875</v>
      </c>
      <c r="AH306" s="41" t="s">
        <v>458</v>
      </c>
      <c r="AI306" s="41" t="s">
        <v>1255</v>
      </c>
      <c r="AJ306" s="41" t="s">
        <v>54</v>
      </c>
      <c r="AK306" s="41" t="s">
        <v>54</v>
      </c>
      <c r="AL306" s="41" t="s">
        <v>164</v>
      </c>
      <c r="AM306" s="45" t="s">
        <v>55</v>
      </c>
      <c r="AN306" s="45" t="s">
        <v>165</v>
      </c>
      <c r="AO306" s="45"/>
      <c r="AP306" s="46"/>
    </row>
    <row r="307" spans="3:42" ht="14.25" customHeight="1" x14ac:dyDescent="0.2">
      <c r="C307" s="40">
        <f>IF($X307=1,COUNTIF($C$10:C306,"&gt;0")+1,"")</f>
        <v>148</v>
      </c>
      <c r="D307" s="41">
        <v>15262476</v>
      </c>
      <c r="E307" s="41" t="s">
        <v>1283</v>
      </c>
      <c r="F307" s="42" t="s">
        <v>1284</v>
      </c>
      <c r="G307" s="41" t="s">
        <v>1284</v>
      </c>
      <c r="H307" s="41" t="s">
        <v>100</v>
      </c>
      <c r="I307" s="41" t="s">
        <v>1285</v>
      </c>
      <c r="J307" s="41" t="s">
        <v>56</v>
      </c>
      <c r="K307" s="41" t="s">
        <v>85</v>
      </c>
      <c r="L307" s="43">
        <v>22468</v>
      </c>
      <c r="M307" s="41">
        <v>64</v>
      </c>
      <c r="N307" s="41" t="s">
        <v>1286</v>
      </c>
      <c r="O307" s="43">
        <v>48924</v>
      </c>
      <c r="P307" s="41" t="s">
        <v>2</v>
      </c>
      <c r="Q307" s="41"/>
      <c r="R307" s="57">
        <v>45913</v>
      </c>
      <c r="S307" s="58">
        <v>45918</v>
      </c>
      <c r="T307" s="59">
        <f t="shared" si="4"/>
        <v>5</v>
      </c>
      <c r="U307" s="41">
        <v>1</v>
      </c>
      <c r="V307" s="41">
        <v>1</v>
      </c>
      <c r="W307" s="41">
        <v>0</v>
      </c>
      <c r="X307" s="41">
        <v>1</v>
      </c>
      <c r="Y307" s="41">
        <v>0</v>
      </c>
      <c r="Z307" s="41">
        <v>1</v>
      </c>
      <c r="AA307" s="41">
        <v>0</v>
      </c>
      <c r="AB307" s="41"/>
      <c r="AC307" s="43">
        <v>45913</v>
      </c>
      <c r="AD307" s="44">
        <v>0.24305555555474712</v>
      </c>
      <c r="AE307" s="41" t="s">
        <v>1287</v>
      </c>
      <c r="AF307" s="43">
        <v>45918</v>
      </c>
      <c r="AG307" s="44">
        <v>0.86458333333575865</v>
      </c>
      <c r="AH307" s="41" t="s">
        <v>87</v>
      </c>
      <c r="AI307" s="41" t="s">
        <v>1288</v>
      </c>
      <c r="AJ307" s="41" t="s">
        <v>54</v>
      </c>
      <c r="AK307" s="50" t="s">
        <v>1289</v>
      </c>
      <c r="AL307" s="41" t="s">
        <v>164</v>
      </c>
      <c r="AM307" s="45" t="s">
        <v>55</v>
      </c>
      <c r="AN307" s="45" t="s">
        <v>300</v>
      </c>
      <c r="AO307" s="45"/>
      <c r="AP307" s="46"/>
    </row>
    <row r="308" spans="3:42" ht="14.25" customHeight="1" x14ac:dyDescent="0.2">
      <c r="C308" s="40" t="str">
        <f>IF($X308=1,COUNTIF($C$10:C307,"&gt;0")+1,"")</f>
        <v/>
      </c>
      <c r="D308" s="41"/>
      <c r="E308" s="41" t="s">
        <v>1283</v>
      </c>
      <c r="F308" s="42" t="s">
        <v>1290</v>
      </c>
      <c r="G308" s="41" t="s">
        <v>1284</v>
      </c>
      <c r="H308" s="41" t="s">
        <v>1291</v>
      </c>
      <c r="I308" s="41" t="s">
        <v>1285</v>
      </c>
      <c r="J308" s="41" t="s">
        <v>51</v>
      </c>
      <c r="K308" s="41" t="s">
        <v>85</v>
      </c>
      <c r="L308" s="43">
        <v>22918</v>
      </c>
      <c r="M308" s="41">
        <v>62</v>
      </c>
      <c r="N308" s="41" t="s">
        <v>1292</v>
      </c>
      <c r="O308" s="43">
        <v>49156</v>
      </c>
      <c r="P308" s="41" t="s">
        <v>2</v>
      </c>
      <c r="Q308" s="41"/>
      <c r="R308" s="57">
        <v>45913</v>
      </c>
      <c r="S308" s="58">
        <v>45918</v>
      </c>
      <c r="T308" s="59">
        <f t="shared" si="4"/>
        <v>5</v>
      </c>
      <c r="U308" s="41">
        <v>1</v>
      </c>
      <c r="V308" s="41">
        <v>1</v>
      </c>
      <c r="W308" s="41">
        <v>0</v>
      </c>
      <c r="X308" s="41">
        <v>0</v>
      </c>
      <c r="Y308" s="41">
        <v>0</v>
      </c>
      <c r="Z308" s="41">
        <v>0</v>
      </c>
      <c r="AA308" s="41">
        <v>0</v>
      </c>
      <c r="AB308" s="41"/>
      <c r="AC308" s="43">
        <v>45913</v>
      </c>
      <c r="AD308" s="44">
        <v>0.24305555555474712</v>
      </c>
      <c r="AE308" s="41" t="s">
        <v>1287</v>
      </c>
      <c r="AF308" s="43">
        <v>45918</v>
      </c>
      <c r="AG308" s="44">
        <v>0.86458333333575865</v>
      </c>
      <c r="AH308" s="41" t="s">
        <v>87</v>
      </c>
      <c r="AI308" s="41" t="s">
        <v>1288</v>
      </c>
      <c r="AJ308" s="41" t="s">
        <v>54</v>
      </c>
      <c r="AK308" s="50" t="s">
        <v>54</v>
      </c>
      <c r="AL308" s="41" t="s">
        <v>164</v>
      </c>
      <c r="AM308" s="45" t="s">
        <v>55</v>
      </c>
      <c r="AN308" s="45" t="s">
        <v>300</v>
      </c>
      <c r="AO308" s="45"/>
      <c r="AP308" s="46"/>
    </row>
    <row r="309" spans="3:42" ht="14.25" customHeight="1" x14ac:dyDescent="0.2">
      <c r="C309" s="40">
        <f>IF($X309=1,COUNTIF($C$10:C308,"&gt;0")+1,"")</f>
        <v>149</v>
      </c>
      <c r="D309" s="41">
        <v>15262477</v>
      </c>
      <c r="E309" s="41" t="s">
        <v>1283</v>
      </c>
      <c r="F309" s="42" t="s">
        <v>1293</v>
      </c>
      <c r="G309" s="41" t="s">
        <v>1293</v>
      </c>
      <c r="H309" s="41" t="s">
        <v>1294</v>
      </c>
      <c r="I309" s="41" t="s">
        <v>1295</v>
      </c>
      <c r="J309" s="41" t="s">
        <v>51</v>
      </c>
      <c r="K309" s="41" t="s">
        <v>85</v>
      </c>
      <c r="L309" s="43">
        <v>33017</v>
      </c>
      <c r="M309" s="41">
        <v>35</v>
      </c>
      <c r="N309" s="41" t="s">
        <v>1296</v>
      </c>
      <c r="O309" s="43">
        <v>48709</v>
      </c>
      <c r="P309" s="41" t="s">
        <v>2</v>
      </c>
      <c r="Q309" s="41"/>
      <c r="R309" s="57">
        <v>45913</v>
      </c>
      <c r="S309" s="58">
        <v>45918</v>
      </c>
      <c r="T309" s="59">
        <f t="shared" si="4"/>
        <v>5</v>
      </c>
      <c r="U309" s="41">
        <v>1</v>
      </c>
      <c r="V309" s="41">
        <v>1</v>
      </c>
      <c r="W309" s="41">
        <v>0</v>
      </c>
      <c r="X309" s="41">
        <v>1</v>
      </c>
      <c r="Y309" s="41">
        <v>0</v>
      </c>
      <c r="Z309" s="41">
        <v>1</v>
      </c>
      <c r="AA309" s="41">
        <v>0</v>
      </c>
      <c r="AB309" s="41"/>
      <c r="AC309" s="43">
        <v>45913</v>
      </c>
      <c r="AD309" s="44">
        <v>0.24305555555474712</v>
      </c>
      <c r="AE309" s="41" t="s">
        <v>1287</v>
      </c>
      <c r="AF309" s="43">
        <v>45918</v>
      </c>
      <c r="AG309" s="44">
        <v>0.86458333333575865</v>
      </c>
      <c r="AH309" s="41" t="s">
        <v>87</v>
      </c>
      <c r="AI309" s="41" t="s">
        <v>1288</v>
      </c>
      <c r="AJ309" s="41" t="s">
        <v>54</v>
      </c>
      <c r="AK309" s="50" t="s">
        <v>1297</v>
      </c>
      <c r="AL309" s="41" t="s">
        <v>164</v>
      </c>
      <c r="AM309" s="45" t="s">
        <v>55</v>
      </c>
      <c r="AN309" s="45" t="s">
        <v>300</v>
      </c>
      <c r="AO309" s="45"/>
      <c r="AP309" s="46"/>
    </row>
    <row r="310" spans="3:42" ht="14.25" customHeight="1" x14ac:dyDescent="0.2">
      <c r="C310" s="40" t="str">
        <f>IF($X310=1,COUNTIF($C$10:C309,"&gt;0")+1,"")</f>
        <v/>
      </c>
      <c r="D310" s="41"/>
      <c r="E310" s="41" t="s">
        <v>1283</v>
      </c>
      <c r="F310" s="42" t="s">
        <v>1298</v>
      </c>
      <c r="G310" s="41" t="s">
        <v>1293</v>
      </c>
      <c r="H310" s="41" t="s">
        <v>1299</v>
      </c>
      <c r="I310" s="41" t="s">
        <v>1300</v>
      </c>
      <c r="J310" s="41" t="s">
        <v>56</v>
      </c>
      <c r="K310" s="41" t="s">
        <v>85</v>
      </c>
      <c r="L310" s="43">
        <v>34310</v>
      </c>
      <c r="M310" s="41">
        <v>31</v>
      </c>
      <c r="N310" s="41" t="s">
        <v>1301</v>
      </c>
      <c r="O310" s="43">
        <v>48935</v>
      </c>
      <c r="P310" s="41" t="s">
        <v>2</v>
      </c>
      <c r="Q310" s="41"/>
      <c r="R310" s="57">
        <v>45913</v>
      </c>
      <c r="S310" s="58">
        <v>45918</v>
      </c>
      <c r="T310" s="59">
        <f t="shared" si="4"/>
        <v>5</v>
      </c>
      <c r="U310" s="41">
        <v>1</v>
      </c>
      <c r="V310" s="41">
        <v>1</v>
      </c>
      <c r="W310" s="41">
        <v>0</v>
      </c>
      <c r="X310" s="41">
        <v>0</v>
      </c>
      <c r="Y310" s="41">
        <v>0</v>
      </c>
      <c r="Z310" s="41">
        <v>0</v>
      </c>
      <c r="AA310" s="41">
        <v>0</v>
      </c>
      <c r="AB310" s="41"/>
      <c r="AC310" s="43">
        <v>45913</v>
      </c>
      <c r="AD310" s="44">
        <v>0.24305555555474712</v>
      </c>
      <c r="AE310" s="41" t="s">
        <v>1287</v>
      </c>
      <c r="AF310" s="43">
        <v>45918</v>
      </c>
      <c r="AG310" s="44">
        <v>0.86458333333575865</v>
      </c>
      <c r="AH310" s="41" t="s">
        <v>87</v>
      </c>
      <c r="AI310" s="41" t="s">
        <v>1288</v>
      </c>
      <c r="AJ310" s="41" t="s">
        <v>54</v>
      </c>
      <c r="AK310" s="50" t="s">
        <v>54</v>
      </c>
      <c r="AL310" s="41" t="s">
        <v>164</v>
      </c>
      <c r="AM310" s="45" t="s">
        <v>55</v>
      </c>
      <c r="AN310" s="45" t="s">
        <v>300</v>
      </c>
      <c r="AO310" s="45"/>
      <c r="AP310" s="46"/>
    </row>
    <row r="311" spans="3:42" ht="14.25" customHeight="1" x14ac:dyDescent="0.2">
      <c r="C311" s="40" t="str">
        <f>IF($X311=1,COUNTIF($C$10:C310,"&gt;0")+1,"")</f>
        <v/>
      </c>
      <c r="D311" s="41"/>
      <c r="E311" s="41" t="s">
        <v>1283</v>
      </c>
      <c r="F311" s="42" t="s">
        <v>1302</v>
      </c>
      <c r="G311" s="41" t="s">
        <v>1293</v>
      </c>
      <c r="H311" s="41" t="s">
        <v>1303</v>
      </c>
      <c r="I311" s="41" t="s">
        <v>1295</v>
      </c>
      <c r="J311" s="41" t="s">
        <v>51</v>
      </c>
      <c r="K311" s="41" t="s">
        <v>85</v>
      </c>
      <c r="L311" s="43">
        <v>45541</v>
      </c>
      <c r="M311" s="41">
        <v>1</v>
      </c>
      <c r="N311" s="41" t="s">
        <v>1304</v>
      </c>
      <c r="O311" s="43">
        <v>47519</v>
      </c>
      <c r="P311" s="41" t="s">
        <v>2</v>
      </c>
      <c r="Q311" s="41"/>
      <c r="R311" s="57">
        <v>45913</v>
      </c>
      <c r="S311" s="58">
        <v>45918</v>
      </c>
      <c r="T311" s="59">
        <f t="shared" si="4"/>
        <v>5</v>
      </c>
      <c r="U311" s="41">
        <v>0</v>
      </c>
      <c r="V311" s="41">
        <v>0</v>
      </c>
      <c r="W311" s="41">
        <v>0</v>
      </c>
      <c r="X311" s="41">
        <v>0</v>
      </c>
      <c r="Y311" s="41">
        <v>0</v>
      </c>
      <c r="Z311" s="41">
        <v>0</v>
      </c>
      <c r="AA311" s="41">
        <v>0</v>
      </c>
      <c r="AB311" s="41"/>
      <c r="AC311" s="43">
        <v>45913</v>
      </c>
      <c r="AD311" s="44">
        <v>0.24305555555474712</v>
      </c>
      <c r="AE311" s="41" t="s">
        <v>1287</v>
      </c>
      <c r="AF311" s="43">
        <v>45918</v>
      </c>
      <c r="AG311" s="44">
        <v>0.86458333333575865</v>
      </c>
      <c r="AH311" s="41" t="s">
        <v>87</v>
      </c>
      <c r="AI311" s="41" t="s">
        <v>1288</v>
      </c>
      <c r="AJ311" s="41" t="s">
        <v>54</v>
      </c>
      <c r="AK311" s="50" t="s">
        <v>54</v>
      </c>
      <c r="AL311" s="41" t="s">
        <v>164</v>
      </c>
      <c r="AM311" s="45" t="s">
        <v>55</v>
      </c>
      <c r="AN311" s="45" t="s">
        <v>300</v>
      </c>
      <c r="AO311" s="45"/>
      <c r="AP311" s="46"/>
    </row>
    <row r="312" spans="3:42" ht="14.25" customHeight="1" x14ac:dyDescent="0.2">
      <c r="C312" s="40">
        <f>IF($X312=1,COUNTIF($C$10:C311,"&gt;0")+1,"")</f>
        <v>150</v>
      </c>
      <c r="D312" s="41">
        <v>15262478</v>
      </c>
      <c r="E312" s="41" t="s">
        <v>1283</v>
      </c>
      <c r="F312" s="42" t="s">
        <v>1305</v>
      </c>
      <c r="G312" s="41" t="s">
        <v>1305</v>
      </c>
      <c r="H312" s="41" t="s">
        <v>1306</v>
      </c>
      <c r="I312" s="41" t="s">
        <v>1307</v>
      </c>
      <c r="J312" s="41" t="s">
        <v>51</v>
      </c>
      <c r="K312" s="41" t="s">
        <v>85</v>
      </c>
      <c r="L312" s="43">
        <v>31447</v>
      </c>
      <c r="M312" s="41">
        <v>39</v>
      </c>
      <c r="N312" s="41" t="s">
        <v>1308</v>
      </c>
      <c r="O312" s="43">
        <v>46166</v>
      </c>
      <c r="P312" s="41" t="s">
        <v>3</v>
      </c>
      <c r="Q312" s="41"/>
      <c r="R312" s="57">
        <v>45913</v>
      </c>
      <c r="S312" s="58">
        <v>45918</v>
      </c>
      <c r="T312" s="59">
        <f t="shared" si="4"/>
        <v>5</v>
      </c>
      <c r="U312" s="41">
        <v>1</v>
      </c>
      <c r="V312" s="41">
        <v>1</v>
      </c>
      <c r="W312" s="41">
        <v>0</v>
      </c>
      <c r="X312" s="41">
        <v>1</v>
      </c>
      <c r="Y312" s="41">
        <v>0</v>
      </c>
      <c r="Z312" s="41">
        <v>0</v>
      </c>
      <c r="AA312" s="41">
        <v>1</v>
      </c>
      <c r="AB312" s="41"/>
      <c r="AC312" s="43">
        <v>45913</v>
      </c>
      <c r="AD312" s="44">
        <v>0.67013888889050577</v>
      </c>
      <c r="AE312" s="41" t="s">
        <v>70</v>
      </c>
      <c r="AF312" s="43">
        <v>45918</v>
      </c>
      <c r="AG312" s="44">
        <v>0.87847222221898846</v>
      </c>
      <c r="AH312" s="41" t="s">
        <v>1309</v>
      </c>
      <c r="AI312" s="41" t="s">
        <v>1288</v>
      </c>
      <c r="AJ312" s="41" t="s">
        <v>54</v>
      </c>
      <c r="AK312" s="41" t="s">
        <v>54</v>
      </c>
      <c r="AL312" s="41" t="s">
        <v>164</v>
      </c>
      <c r="AM312" s="45" t="s">
        <v>55</v>
      </c>
      <c r="AN312" s="45" t="s">
        <v>387</v>
      </c>
      <c r="AO312" s="45"/>
      <c r="AP312" s="46"/>
    </row>
    <row r="313" spans="3:42" ht="14.25" customHeight="1" x14ac:dyDescent="0.2">
      <c r="C313" s="40" t="str">
        <f>IF($X313=1,COUNTIF($C$10:C312,"&gt;0")+1,"")</f>
        <v/>
      </c>
      <c r="D313" s="41"/>
      <c r="E313" s="41" t="s">
        <v>1283</v>
      </c>
      <c r="F313" s="42" t="s">
        <v>1310</v>
      </c>
      <c r="G313" s="41" t="s">
        <v>1305</v>
      </c>
      <c r="H313" s="41" t="s">
        <v>1311</v>
      </c>
      <c r="I313" s="41" t="s">
        <v>1312</v>
      </c>
      <c r="J313" s="41" t="s">
        <v>51</v>
      </c>
      <c r="K313" s="41" t="s">
        <v>85</v>
      </c>
      <c r="L313" s="43">
        <v>32363</v>
      </c>
      <c r="M313" s="41">
        <v>37</v>
      </c>
      <c r="N313" s="41" t="s">
        <v>1313</v>
      </c>
      <c r="O313" s="43">
        <v>46650</v>
      </c>
      <c r="P313" s="41" t="s">
        <v>3</v>
      </c>
      <c r="Q313" s="41"/>
      <c r="R313" s="57">
        <v>45913</v>
      </c>
      <c r="S313" s="58">
        <v>45918</v>
      </c>
      <c r="T313" s="59">
        <f t="shared" si="4"/>
        <v>5</v>
      </c>
      <c r="U313" s="41">
        <v>1</v>
      </c>
      <c r="V313" s="41">
        <v>1</v>
      </c>
      <c r="W313" s="41">
        <v>0</v>
      </c>
      <c r="X313" s="41">
        <v>0</v>
      </c>
      <c r="Y313" s="41">
        <v>0</v>
      </c>
      <c r="Z313" s="41">
        <v>0</v>
      </c>
      <c r="AA313" s="41">
        <v>0</v>
      </c>
      <c r="AB313" s="41"/>
      <c r="AC313" s="43">
        <v>45913</v>
      </c>
      <c r="AD313" s="44">
        <v>0.67013888889050577</v>
      </c>
      <c r="AE313" s="41" t="s">
        <v>70</v>
      </c>
      <c r="AF313" s="43">
        <v>45918</v>
      </c>
      <c r="AG313" s="44">
        <v>0.87847222221898846</v>
      </c>
      <c r="AH313" s="41" t="s">
        <v>1309</v>
      </c>
      <c r="AI313" s="41" t="s">
        <v>1288</v>
      </c>
      <c r="AJ313" s="41" t="s">
        <v>54</v>
      </c>
      <c r="AK313" s="41" t="s">
        <v>54</v>
      </c>
      <c r="AL313" s="41" t="s">
        <v>164</v>
      </c>
      <c r="AM313" s="45" t="s">
        <v>55</v>
      </c>
      <c r="AN313" s="45" t="s">
        <v>387</v>
      </c>
      <c r="AO313" s="45"/>
      <c r="AP313" s="46"/>
    </row>
    <row r="314" spans="3:42" ht="14.25" customHeight="1" x14ac:dyDescent="0.2">
      <c r="C314" s="40">
        <f>IF($X314=1,COUNTIF($C$10:C313,"&gt;0")+1,"")</f>
        <v>151</v>
      </c>
      <c r="D314" s="41">
        <v>15262479</v>
      </c>
      <c r="E314" s="41" t="s">
        <v>1283</v>
      </c>
      <c r="F314" s="42" t="s">
        <v>1314</v>
      </c>
      <c r="G314" s="41" t="s">
        <v>1314</v>
      </c>
      <c r="H314" s="41" t="s">
        <v>1315</v>
      </c>
      <c r="I314" s="41" t="s">
        <v>1316</v>
      </c>
      <c r="J314" s="41" t="s">
        <v>56</v>
      </c>
      <c r="K314" s="41" t="s">
        <v>132</v>
      </c>
      <c r="L314" s="43">
        <v>28754</v>
      </c>
      <c r="M314" s="41">
        <v>46</v>
      </c>
      <c r="N314" s="41" t="s">
        <v>1317</v>
      </c>
      <c r="O314" s="43">
        <v>47115</v>
      </c>
      <c r="P314" s="41" t="s">
        <v>2</v>
      </c>
      <c r="Q314" s="41"/>
      <c r="R314" s="57">
        <v>45913</v>
      </c>
      <c r="S314" s="58">
        <v>45918</v>
      </c>
      <c r="T314" s="59">
        <f t="shared" si="4"/>
        <v>5</v>
      </c>
      <c r="U314" s="41">
        <v>1</v>
      </c>
      <c r="V314" s="41">
        <v>1</v>
      </c>
      <c r="W314" s="41">
        <v>0</v>
      </c>
      <c r="X314" s="41">
        <v>1</v>
      </c>
      <c r="Y314" s="41">
        <v>0</v>
      </c>
      <c r="Z314" s="41">
        <v>1</v>
      </c>
      <c r="AA314" s="41">
        <v>0</v>
      </c>
      <c r="AB314" s="41"/>
      <c r="AC314" s="43">
        <v>45910</v>
      </c>
      <c r="AD314" s="44">
        <v>0.67013888889050577</v>
      </c>
      <c r="AE314" s="41" t="s">
        <v>70</v>
      </c>
      <c r="AF314" s="43">
        <v>45918</v>
      </c>
      <c r="AG314" s="44">
        <v>0.73958333333575865</v>
      </c>
      <c r="AH314" s="41" t="s">
        <v>111</v>
      </c>
      <c r="AI314" s="41" t="s">
        <v>1288</v>
      </c>
      <c r="AJ314" s="41" t="s">
        <v>54</v>
      </c>
      <c r="AK314" s="41" t="s">
        <v>54</v>
      </c>
      <c r="AL314" s="41" t="s">
        <v>164</v>
      </c>
      <c r="AM314" s="45" t="s">
        <v>55</v>
      </c>
      <c r="AN314" s="45" t="s">
        <v>300</v>
      </c>
      <c r="AO314" s="45"/>
      <c r="AP314" s="46"/>
    </row>
    <row r="315" spans="3:42" ht="14.25" customHeight="1" x14ac:dyDescent="0.2">
      <c r="C315" s="40" t="str">
        <f>IF($X315=1,COUNTIF($C$10:C314,"&gt;0")+1,"")</f>
        <v/>
      </c>
      <c r="D315" s="41"/>
      <c r="E315" s="41" t="s">
        <v>1283</v>
      </c>
      <c r="F315" s="42" t="s">
        <v>1318</v>
      </c>
      <c r="G315" s="41" t="s">
        <v>1314</v>
      </c>
      <c r="H315" s="41" t="s">
        <v>1319</v>
      </c>
      <c r="I315" s="41" t="s">
        <v>1320</v>
      </c>
      <c r="J315" s="41" t="s">
        <v>51</v>
      </c>
      <c r="K315" s="41" t="s">
        <v>132</v>
      </c>
      <c r="L315" s="43">
        <v>28743</v>
      </c>
      <c r="M315" s="41">
        <v>47</v>
      </c>
      <c r="N315" s="41" t="s">
        <v>1321</v>
      </c>
      <c r="O315" s="43">
        <v>48336</v>
      </c>
      <c r="P315" s="41" t="s">
        <v>2</v>
      </c>
      <c r="Q315" s="41"/>
      <c r="R315" s="57">
        <v>45913</v>
      </c>
      <c r="S315" s="58">
        <v>45918</v>
      </c>
      <c r="T315" s="59">
        <f t="shared" si="4"/>
        <v>5</v>
      </c>
      <c r="U315" s="41">
        <v>1</v>
      </c>
      <c r="V315" s="41">
        <v>1</v>
      </c>
      <c r="W315" s="41">
        <v>0</v>
      </c>
      <c r="X315" s="41">
        <v>0</v>
      </c>
      <c r="Y315" s="41">
        <v>0</v>
      </c>
      <c r="Z315" s="41">
        <v>0</v>
      </c>
      <c r="AA315" s="41">
        <v>0</v>
      </c>
      <c r="AB315" s="41"/>
      <c r="AC315" s="43">
        <v>45910</v>
      </c>
      <c r="AD315" s="44">
        <v>0.67013888889050577</v>
      </c>
      <c r="AE315" s="41" t="s">
        <v>70</v>
      </c>
      <c r="AF315" s="43">
        <v>45918</v>
      </c>
      <c r="AG315" s="44">
        <v>0.73958333333575865</v>
      </c>
      <c r="AH315" s="41" t="s">
        <v>111</v>
      </c>
      <c r="AI315" s="41" t="s">
        <v>1288</v>
      </c>
      <c r="AJ315" s="41" t="s">
        <v>54</v>
      </c>
      <c r="AK315" s="41" t="s">
        <v>54</v>
      </c>
      <c r="AL315" s="41" t="s">
        <v>164</v>
      </c>
      <c r="AM315" s="45" t="s">
        <v>55</v>
      </c>
      <c r="AN315" s="45" t="s">
        <v>300</v>
      </c>
      <c r="AO315" s="45"/>
      <c r="AP315" s="46"/>
    </row>
    <row r="316" spans="3:42" ht="14.25" customHeight="1" x14ac:dyDescent="0.2">
      <c r="C316" s="40">
        <f>IF($X316=1,COUNTIF($C$10:C315,"&gt;0")+1,"")</f>
        <v>152</v>
      </c>
      <c r="D316" s="41">
        <v>15262480</v>
      </c>
      <c r="E316" s="41" t="s">
        <v>1283</v>
      </c>
      <c r="F316" s="42" t="s">
        <v>1322</v>
      </c>
      <c r="G316" s="41" t="s">
        <v>1322</v>
      </c>
      <c r="H316" s="41" t="s">
        <v>1323</v>
      </c>
      <c r="I316" s="41" t="s">
        <v>1324</v>
      </c>
      <c r="J316" s="41" t="s">
        <v>51</v>
      </c>
      <c r="K316" s="41" t="s">
        <v>85</v>
      </c>
      <c r="L316" s="43">
        <v>23388</v>
      </c>
      <c r="M316" s="41">
        <v>61</v>
      </c>
      <c r="N316" s="41" t="s">
        <v>1325</v>
      </c>
      <c r="O316" s="43">
        <v>46435</v>
      </c>
      <c r="P316" s="41" t="s">
        <v>2</v>
      </c>
      <c r="Q316" s="41"/>
      <c r="R316" s="57">
        <v>45913</v>
      </c>
      <c r="S316" s="58">
        <v>45918</v>
      </c>
      <c r="T316" s="59">
        <f t="shared" si="4"/>
        <v>5</v>
      </c>
      <c r="U316" s="41">
        <v>1</v>
      </c>
      <c r="V316" s="41">
        <v>1</v>
      </c>
      <c r="W316" s="41">
        <v>0</v>
      </c>
      <c r="X316" s="41">
        <v>1</v>
      </c>
      <c r="Y316" s="41">
        <v>0</v>
      </c>
      <c r="Z316" s="41">
        <v>1</v>
      </c>
      <c r="AA316" s="41">
        <v>0</v>
      </c>
      <c r="AB316" s="41"/>
      <c r="AC316" s="43">
        <v>45913</v>
      </c>
      <c r="AD316" s="44">
        <v>0.67013888889050577</v>
      </c>
      <c r="AE316" s="41" t="s">
        <v>70</v>
      </c>
      <c r="AF316" s="43">
        <v>45918</v>
      </c>
      <c r="AG316" s="44">
        <v>0.87847222221898846</v>
      </c>
      <c r="AH316" s="41" t="s">
        <v>1309</v>
      </c>
      <c r="AI316" s="41" t="s">
        <v>1288</v>
      </c>
      <c r="AJ316" s="41" t="s">
        <v>54</v>
      </c>
      <c r="AK316" s="41" t="s">
        <v>54</v>
      </c>
      <c r="AL316" s="41" t="s">
        <v>164</v>
      </c>
      <c r="AM316" s="45" t="s">
        <v>55</v>
      </c>
      <c r="AN316" s="45" t="s">
        <v>300</v>
      </c>
      <c r="AO316" s="45"/>
      <c r="AP316" s="46"/>
    </row>
    <row r="317" spans="3:42" ht="14.25" customHeight="1" x14ac:dyDescent="0.2">
      <c r="C317" s="51" t="str">
        <f>IF($X317=1,COUNTIF($C$10:C316,"&gt;0")+1,"")</f>
        <v/>
      </c>
      <c r="D317" s="52"/>
      <c r="E317" s="52" t="s">
        <v>1283</v>
      </c>
      <c r="F317" s="53" t="s">
        <v>1326</v>
      </c>
      <c r="G317" s="52" t="s">
        <v>1322</v>
      </c>
      <c r="H317" s="52" t="s">
        <v>1327</v>
      </c>
      <c r="I317" s="52" t="s">
        <v>1324</v>
      </c>
      <c r="J317" s="52" t="s">
        <v>56</v>
      </c>
      <c r="K317" s="52" t="s">
        <v>85</v>
      </c>
      <c r="L317" s="72">
        <v>28274</v>
      </c>
      <c r="M317" s="52">
        <v>48</v>
      </c>
      <c r="N317" s="52" t="s">
        <v>1328</v>
      </c>
      <c r="O317" s="72">
        <v>48641</v>
      </c>
      <c r="P317" s="52" t="s">
        <v>2</v>
      </c>
      <c r="Q317" s="52"/>
      <c r="R317" s="57">
        <v>45913</v>
      </c>
      <c r="S317" s="58">
        <v>45918</v>
      </c>
      <c r="T317" s="59">
        <f t="shared" si="4"/>
        <v>5</v>
      </c>
      <c r="U317" s="52">
        <v>1</v>
      </c>
      <c r="V317" s="52">
        <v>1</v>
      </c>
      <c r="W317" s="52">
        <v>0</v>
      </c>
      <c r="X317" s="52">
        <v>0</v>
      </c>
      <c r="Y317" s="52">
        <v>0</v>
      </c>
      <c r="Z317" s="52">
        <v>0</v>
      </c>
      <c r="AA317" s="52">
        <v>0</v>
      </c>
      <c r="AB317" s="52"/>
      <c r="AC317" s="72">
        <v>45913</v>
      </c>
      <c r="AD317" s="73">
        <v>0.67013888889050577</v>
      </c>
      <c r="AE317" s="52" t="s">
        <v>70</v>
      </c>
      <c r="AF317" s="72">
        <v>45918</v>
      </c>
      <c r="AG317" s="73">
        <v>0.87847222221898846</v>
      </c>
      <c r="AH317" s="52" t="s">
        <v>1309</v>
      </c>
      <c r="AI317" s="52" t="s">
        <v>1288</v>
      </c>
      <c r="AJ317" s="52" t="s">
        <v>54</v>
      </c>
      <c r="AK317" s="52" t="s">
        <v>54</v>
      </c>
      <c r="AL317" s="52" t="s">
        <v>164</v>
      </c>
      <c r="AM317" s="45" t="s">
        <v>55</v>
      </c>
      <c r="AN317" s="45" t="s">
        <v>300</v>
      </c>
      <c r="AO317" s="74"/>
      <c r="AP317" s="56"/>
    </row>
  </sheetData>
  <autoFilter ref="C8:AP317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30">
    <mergeCell ref="D2:S2"/>
    <mergeCell ref="AC6:AE6"/>
    <mergeCell ref="AF6:AH6"/>
    <mergeCell ref="C8:C9"/>
    <mergeCell ref="D8:D9"/>
    <mergeCell ref="E8:E9"/>
    <mergeCell ref="F8:F9"/>
    <mergeCell ref="G8:G9"/>
    <mergeCell ref="H8:H9"/>
    <mergeCell ref="I8:I9"/>
    <mergeCell ref="AF8:AH8"/>
    <mergeCell ref="J8:J9"/>
    <mergeCell ref="K8:K9"/>
    <mergeCell ref="L8:L9"/>
    <mergeCell ref="M8:M9"/>
    <mergeCell ref="N8:O8"/>
    <mergeCell ref="P8:P9"/>
    <mergeCell ref="Q8:Q9"/>
    <mergeCell ref="R8:R9"/>
    <mergeCell ref="S8:S9"/>
    <mergeCell ref="T8:T9"/>
    <mergeCell ref="AC8:AE8"/>
    <mergeCell ref="AO8:AO9"/>
    <mergeCell ref="AP8:AP9"/>
    <mergeCell ref="AI8:AI9"/>
    <mergeCell ref="AJ8:AJ9"/>
    <mergeCell ref="AK8:AK9"/>
    <mergeCell ref="AL8:AL9"/>
    <mergeCell ref="AM8:AM9"/>
    <mergeCell ref="AN8:AN9"/>
  </mergeCells>
  <conditionalFormatting sqref="U10:AO183 C10:Q317 U184:AM185 U186:AO227 U228:AM228 U229:AO229 U230:AM231 U232:AO237 U238:AM239 U240:AO317">
    <cfRule type="expression" dxfId="2" priority="3">
      <formula>$C10&lt;&gt;""</formula>
    </cfRule>
  </conditionalFormatting>
  <conditionalFormatting sqref="AN231:AO231">
    <cfRule type="expression" dxfId="1" priority="2">
      <formula>$C231&lt;&gt;""</formula>
    </cfRule>
  </conditionalFormatting>
  <conditionalFormatting sqref="AN239:AO239">
    <cfRule type="expression" dxfId="0" priority="1">
      <formula>$C239&lt;&gt;""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A_Lotte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Thai - Journey Beyond Asia</dc:creator>
  <cp:lastModifiedBy>Adam Yan - Journey Beyond Asia</cp:lastModifiedBy>
  <dcterms:created xsi:type="dcterms:W3CDTF">2025-09-11T12:16:38Z</dcterms:created>
  <dcterms:modified xsi:type="dcterms:W3CDTF">2025-09-12T07:53:57Z</dcterms:modified>
</cp:coreProperties>
</file>