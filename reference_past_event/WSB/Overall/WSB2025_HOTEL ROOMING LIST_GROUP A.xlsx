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sminethai/Desktop/"/>
    </mc:Choice>
  </mc:AlternateContent>
  <xr:revisionPtr revIDLastSave="0" documentId="13_ncr:1_{C82689AD-2CED-0749-AA24-87A53B32414F}" xr6:coauthVersionLast="47" xr6:coauthVersionMax="47" xr10:uidLastSave="{00000000-0000-0000-0000-000000000000}"/>
  <bookViews>
    <workbookView xWindow="0" yWindow="760" windowWidth="30240" windowHeight="17960" activeTab="4" xr2:uid="{20756239-DFC4-A54A-934C-6A54AC250067}"/>
  </bookViews>
  <sheets>
    <sheet name="Fairmont A" sheetId="1" r:id="rId1"/>
    <sheet name="Group A_Grand Inter Parnas" sheetId="2" r:id="rId2"/>
    <sheet name="Group A_Marriott" sheetId="3" r:id="rId3"/>
    <sheet name="Group A_Lotte" sheetId="7" r:id="rId4"/>
    <sheet name="Group A_The Plaza" sheetId="6" r:id="rId5"/>
  </sheets>
  <externalReferences>
    <externalReference r:id="rId6"/>
  </externalReferences>
  <definedNames>
    <definedName name="_xlnm._FilterDatabase" localSheetId="0" hidden="1">'Fairmont A'!$C$8:$AO$9</definedName>
    <definedName name="_xlnm._FilterDatabase" localSheetId="1" hidden="1">'Group A_Grand Inter Parnas'!$C$8:$AO$212</definedName>
    <definedName name="_xlnm._FilterDatabase" localSheetId="3" hidden="1">'Group A_Lotte'!$C$8:$AP$317</definedName>
    <definedName name="_xlnm._FilterDatabase" localSheetId="2" hidden="1">'Group A_Marriott'!$C$8:$AO$429</definedName>
    <definedName name="_xlnm._FilterDatabase" localSheetId="4" hidden="1">'Group A_The Plaza'!$C$8:$AQ$396</definedName>
    <definedName name="Header">'[1]List Tracking'!$C$9:$BS$9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17" i="7" l="1"/>
  <c r="C317" i="7"/>
  <c r="T316" i="7"/>
  <c r="T315" i="7"/>
  <c r="C315" i="7"/>
  <c r="T314" i="7"/>
  <c r="T313" i="7"/>
  <c r="C313" i="7"/>
  <c r="T312" i="7"/>
  <c r="T311" i="7"/>
  <c r="C311" i="7"/>
  <c r="T310" i="7"/>
  <c r="C310" i="7"/>
  <c r="T309" i="7"/>
  <c r="T308" i="7"/>
  <c r="C308" i="7"/>
  <c r="T307" i="7"/>
  <c r="T306" i="7"/>
  <c r="C306" i="7"/>
  <c r="T305" i="7"/>
  <c r="T304" i="7"/>
  <c r="C304" i="7"/>
  <c r="T303" i="7"/>
  <c r="T302" i="7"/>
  <c r="C302" i="7"/>
  <c r="T301" i="7"/>
  <c r="T300" i="7"/>
  <c r="C300" i="7"/>
  <c r="T299" i="7"/>
  <c r="T298" i="7"/>
  <c r="C298" i="7"/>
  <c r="T297" i="7"/>
  <c r="T296" i="7"/>
  <c r="C296" i="7"/>
  <c r="T295" i="7"/>
  <c r="T294" i="7"/>
  <c r="C294" i="7"/>
  <c r="T293" i="7"/>
  <c r="T292" i="7"/>
  <c r="C292" i="7"/>
  <c r="T291" i="7"/>
  <c r="T290" i="7"/>
  <c r="C290" i="7"/>
  <c r="T289" i="7"/>
  <c r="T288" i="7"/>
  <c r="C288" i="7"/>
  <c r="T287" i="7"/>
  <c r="T286" i="7"/>
  <c r="C286" i="7"/>
  <c r="T285" i="7"/>
  <c r="T284" i="7"/>
  <c r="C284" i="7"/>
  <c r="T283" i="7"/>
  <c r="T282" i="7"/>
  <c r="C282" i="7"/>
  <c r="T281" i="7"/>
  <c r="T280" i="7"/>
  <c r="C280" i="7"/>
  <c r="T279" i="7"/>
  <c r="T278" i="7"/>
  <c r="C278" i="7"/>
  <c r="T277" i="7"/>
  <c r="T276" i="7"/>
  <c r="C276" i="7"/>
  <c r="T275" i="7"/>
  <c r="T274" i="7"/>
  <c r="C274" i="7"/>
  <c r="T273" i="7"/>
  <c r="T272" i="7"/>
  <c r="C272" i="7"/>
  <c r="T271" i="7"/>
  <c r="T270" i="7"/>
  <c r="C270" i="7"/>
  <c r="T269" i="7"/>
  <c r="T268" i="7"/>
  <c r="C268" i="7"/>
  <c r="T267" i="7"/>
  <c r="T266" i="7"/>
  <c r="C266" i="7"/>
  <c r="T265" i="7"/>
  <c r="C265" i="7"/>
  <c r="T264" i="7"/>
  <c r="T263" i="7"/>
  <c r="C263" i="7"/>
  <c r="T262" i="7"/>
  <c r="T261" i="7"/>
  <c r="C261" i="7"/>
  <c r="T260" i="7"/>
  <c r="T259" i="7"/>
  <c r="C259" i="7"/>
  <c r="T258" i="7"/>
  <c r="T257" i="7"/>
  <c r="C257" i="7"/>
  <c r="T256" i="7"/>
  <c r="T255" i="7"/>
  <c r="C255" i="7"/>
  <c r="T254" i="7"/>
  <c r="T253" i="7"/>
  <c r="C253" i="7"/>
  <c r="T252" i="7"/>
  <c r="T251" i="7"/>
  <c r="C251" i="7"/>
  <c r="T250" i="7"/>
  <c r="T249" i="7"/>
  <c r="C249" i="7"/>
  <c r="T248" i="7"/>
  <c r="T247" i="7"/>
  <c r="C247" i="7"/>
  <c r="T246" i="7"/>
  <c r="T245" i="7"/>
  <c r="C245" i="7"/>
  <c r="T244" i="7"/>
  <c r="T243" i="7"/>
  <c r="C243" i="7"/>
  <c r="T242" i="7"/>
  <c r="T241" i="7"/>
  <c r="C241" i="7"/>
  <c r="T240" i="7"/>
  <c r="T239" i="7"/>
  <c r="C239" i="7"/>
  <c r="T238" i="7"/>
  <c r="T237" i="7"/>
  <c r="C237" i="7"/>
  <c r="T236" i="7"/>
  <c r="T235" i="7"/>
  <c r="C235" i="7"/>
  <c r="T234" i="7"/>
  <c r="C234" i="7"/>
  <c r="T233" i="7"/>
  <c r="C233" i="7"/>
  <c r="T232" i="7"/>
  <c r="T231" i="7"/>
  <c r="C231" i="7"/>
  <c r="T230" i="7"/>
  <c r="T229" i="7"/>
  <c r="C229" i="7"/>
  <c r="T228" i="7"/>
  <c r="T227" i="7"/>
  <c r="C227" i="7"/>
  <c r="T226" i="7"/>
  <c r="T225" i="7"/>
  <c r="C225" i="7"/>
  <c r="T224" i="7"/>
  <c r="T223" i="7"/>
  <c r="C223" i="7"/>
  <c r="T222" i="7"/>
  <c r="T221" i="7"/>
  <c r="T220" i="7"/>
  <c r="C220" i="7"/>
  <c r="T219" i="7"/>
  <c r="T218" i="7"/>
  <c r="C218" i="7"/>
  <c r="T217" i="7"/>
  <c r="T216" i="7"/>
  <c r="C216" i="7"/>
  <c r="T215" i="7"/>
  <c r="T214" i="7"/>
  <c r="C214" i="7"/>
  <c r="T213" i="7"/>
  <c r="T212" i="7"/>
  <c r="C212" i="7"/>
  <c r="T211" i="7"/>
  <c r="T210" i="7"/>
  <c r="C210" i="7"/>
  <c r="T209" i="7"/>
  <c r="T208" i="7"/>
  <c r="C208" i="7"/>
  <c r="T207" i="7"/>
  <c r="T206" i="7"/>
  <c r="C206" i="7"/>
  <c r="T205" i="7"/>
  <c r="T204" i="7"/>
  <c r="C204" i="7"/>
  <c r="T203" i="7"/>
  <c r="T202" i="7"/>
  <c r="C202" i="7"/>
  <c r="T201" i="7"/>
  <c r="T200" i="7"/>
  <c r="C200" i="7"/>
  <c r="T199" i="7"/>
  <c r="T198" i="7"/>
  <c r="T197" i="7"/>
  <c r="C197" i="7"/>
  <c r="T196" i="7"/>
  <c r="T195" i="7"/>
  <c r="C195" i="7"/>
  <c r="T194" i="7"/>
  <c r="T193" i="7"/>
  <c r="C193" i="7"/>
  <c r="T192" i="7"/>
  <c r="T191" i="7"/>
  <c r="C191" i="7"/>
  <c r="T190" i="7"/>
  <c r="T189" i="7"/>
  <c r="C189" i="7"/>
  <c r="T188" i="7"/>
  <c r="T187" i="7"/>
  <c r="C187" i="7"/>
  <c r="T186" i="7"/>
  <c r="T185" i="7"/>
  <c r="C185" i="7"/>
  <c r="T184" i="7"/>
  <c r="T183" i="7"/>
  <c r="C183" i="7"/>
  <c r="T182" i="7"/>
  <c r="T181" i="7"/>
  <c r="C181" i="7"/>
  <c r="T180" i="7"/>
  <c r="T179" i="7"/>
  <c r="C179" i="7"/>
  <c r="T178" i="7"/>
  <c r="T177" i="7"/>
  <c r="C177" i="7"/>
  <c r="T176" i="7"/>
  <c r="T175" i="7"/>
  <c r="T174" i="7"/>
  <c r="C174" i="7"/>
  <c r="T173" i="7"/>
  <c r="T172" i="7"/>
  <c r="T171" i="7"/>
  <c r="C171" i="7"/>
  <c r="T170" i="7"/>
  <c r="T169" i="7"/>
  <c r="C169" i="7"/>
  <c r="T168" i="7"/>
  <c r="T167" i="7"/>
  <c r="C167" i="7"/>
  <c r="T166" i="7"/>
  <c r="T165" i="7"/>
  <c r="C165" i="7"/>
  <c r="T164" i="7"/>
  <c r="T163" i="7"/>
  <c r="C163" i="7"/>
  <c r="T162" i="7"/>
  <c r="T161" i="7"/>
  <c r="C161" i="7"/>
  <c r="T160" i="7"/>
  <c r="T159" i="7"/>
  <c r="C159" i="7"/>
  <c r="T158" i="7"/>
  <c r="T157" i="7"/>
  <c r="C157" i="7"/>
  <c r="T156" i="7"/>
  <c r="T155" i="7"/>
  <c r="C155" i="7"/>
  <c r="T154" i="7"/>
  <c r="T153" i="7"/>
  <c r="C153" i="7"/>
  <c r="T152" i="7"/>
  <c r="T151" i="7"/>
  <c r="C151" i="7"/>
  <c r="T150" i="7"/>
  <c r="T149" i="7"/>
  <c r="C149" i="7"/>
  <c r="T148" i="7"/>
  <c r="T147" i="7"/>
  <c r="C147" i="7"/>
  <c r="T146" i="7"/>
  <c r="T145" i="7"/>
  <c r="C145" i="7"/>
  <c r="T144" i="7"/>
  <c r="T143" i="7"/>
  <c r="C143" i="7"/>
  <c r="T142" i="7"/>
  <c r="T141" i="7"/>
  <c r="C141" i="7"/>
  <c r="T140" i="7"/>
  <c r="T139" i="7"/>
  <c r="C139" i="7"/>
  <c r="T138" i="7"/>
  <c r="T137" i="7"/>
  <c r="C137" i="7"/>
  <c r="T136" i="7"/>
  <c r="T135" i="7"/>
  <c r="C135" i="7"/>
  <c r="T134" i="7"/>
  <c r="T133" i="7"/>
  <c r="C133" i="7"/>
  <c r="T132" i="7"/>
  <c r="T131" i="7"/>
  <c r="C131" i="7"/>
  <c r="T130" i="7"/>
  <c r="T129" i="7"/>
  <c r="C129" i="7"/>
  <c r="T128" i="7"/>
  <c r="T127" i="7"/>
  <c r="C127" i="7"/>
  <c r="T126" i="7"/>
  <c r="T125" i="7"/>
  <c r="C125" i="7"/>
  <c r="T124" i="7"/>
  <c r="T123" i="7"/>
  <c r="C123" i="7"/>
  <c r="T122" i="7"/>
  <c r="T121" i="7"/>
  <c r="C121" i="7"/>
  <c r="T120" i="7"/>
  <c r="T119" i="7"/>
  <c r="C119" i="7"/>
  <c r="T118" i="7"/>
  <c r="T117" i="7"/>
  <c r="C117" i="7"/>
  <c r="T116" i="7"/>
  <c r="T115" i="7"/>
  <c r="C115" i="7"/>
  <c r="T114" i="7"/>
  <c r="T113" i="7"/>
  <c r="C113" i="7"/>
  <c r="T112" i="7"/>
  <c r="C112" i="7"/>
  <c r="T111" i="7"/>
  <c r="T110" i="7"/>
  <c r="C110" i="7"/>
  <c r="T109" i="7"/>
  <c r="T108" i="7"/>
  <c r="C108" i="7"/>
  <c r="T107" i="7"/>
  <c r="T106" i="7"/>
  <c r="C106" i="7"/>
  <c r="T105" i="7"/>
  <c r="T104" i="7"/>
  <c r="C104" i="7"/>
  <c r="T103" i="7"/>
  <c r="T102" i="7"/>
  <c r="C102" i="7"/>
  <c r="T101" i="7"/>
  <c r="T100" i="7"/>
  <c r="C100" i="7"/>
  <c r="T99" i="7"/>
  <c r="T98" i="7"/>
  <c r="C98" i="7"/>
  <c r="T97" i="7"/>
  <c r="T96" i="7"/>
  <c r="C96" i="7"/>
  <c r="T95" i="7"/>
  <c r="T94" i="7"/>
  <c r="C94" i="7"/>
  <c r="T93" i="7"/>
  <c r="T92" i="7"/>
  <c r="C92" i="7"/>
  <c r="T91" i="7"/>
  <c r="C91" i="7"/>
  <c r="T90" i="7"/>
  <c r="T89" i="7"/>
  <c r="C89" i="7"/>
  <c r="T88" i="7"/>
  <c r="T87" i="7"/>
  <c r="C87" i="7"/>
  <c r="T86" i="7"/>
  <c r="T85" i="7"/>
  <c r="C85" i="7"/>
  <c r="T84" i="7"/>
  <c r="T83" i="7"/>
  <c r="C83" i="7"/>
  <c r="T82" i="7"/>
  <c r="C82" i="7"/>
  <c r="T81" i="7"/>
  <c r="T80" i="7"/>
  <c r="C80" i="7"/>
  <c r="T79" i="7"/>
  <c r="T78" i="7"/>
  <c r="C78" i="7"/>
  <c r="T77" i="7"/>
  <c r="T76" i="7"/>
  <c r="C76" i="7"/>
  <c r="T75" i="7"/>
  <c r="T74" i="7"/>
  <c r="C74" i="7"/>
  <c r="T73" i="7"/>
  <c r="T72" i="7"/>
  <c r="C72" i="7"/>
  <c r="T71" i="7"/>
  <c r="T70" i="7"/>
  <c r="C70" i="7"/>
  <c r="T69" i="7"/>
  <c r="T68" i="7"/>
  <c r="C68" i="7"/>
  <c r="T67" i="7"/>
  <c r="T66" i="7"/>
  <c r="C66" i="7"/>
  <c r="T65" i="7"/>
  <c r="T64" i="7"/>
  <c r="C64" i="7"/>
  <c r="T63" i="7"/>
  <c r="T62" i="7"/>
  <c r="C62" i="7"/>
  <c r="T61" i="7"/>
  <c r="T60" i="7"/>
  <c r="C60" i="7"/>
  <c r="T59" i="7"/>
  <c r="T58" i="7"/>
  <c r="C58" i="7"/>
  <c r="T57" i="7"/>
  <c r="C57" i="7"/>
  <c r="T56" i="7"/>
  <c r="T55" i="7"/>
  <c r="C55" i="7"/>
  <c r="T54" i="7"/>
  <c r="T53" i="7"/>
  <c r="C53" i="7"/>
  <c r="T52" i="7"/>
  <c r="T51" i="7"/>
  <c r="C51" i="7"/>
  <c r="T50" i="7"/>
  <c r="T49" i="7"/>
  <c r="C49" i="7"/>
  <c r="T48" i="7"/>
  <c r="T47" i="7"/>
  <c r="C47" i="7"/>
  <c r="T46" i="7"/>
  <c r="T45" i="7"/>
  <c r="C45" i="7"/>
  <c r="T44" i="7"/>
  <c r="T43" i="7"/>
  <c r="C43" i="7"/>
  <c r="T42" i="7"/>
  <c r="T41" i="7"/>
  <c r="C41" i="7"/>
  <c r="T40" i="7"/>
  <c r="T39" i="7"/>
  <c r="C39" i="7"/>
  <c r="T38" i="7"/>
  <c r="T37" i="7"/>
  <c r="C37" i="7"/>
  <c r="T36" i="7"/>
  <c r="T35" i="7"/>
  <c r="C35" i="7"/>
  <c r="T34" i="7"/>
  <c r="T33" i="7"/>
  <c r="C33" i="7"/>
  <c r="T32" i="7"/>
  <c r="T31" i="7"/>
  <c r="C31" i="7"/>
  <c r="T30" i="7"/>
  <c r="T29" i="7"/>
  <c r="C29" i="7"/>
  <c r="T28" i="7"/>
  <c r="T27" i="7"/>
  <c r="C27" i="7"/>
  <c r="T26" i="7"/>
  <c r="T25" i="7"/>
  <c r="C25" i="7"/>
  <c r="T24" i="7"/>
  <c r="T23" i="7"/>
  <c r="C23" i="7"/>
  <c r="T22" i="7"/>
  <c r="C22" i="7"/>
  <c r="T21" i="7"/>
  <c r="T20" i="7"/>
  <c r="C20" i="7"/>
  <c r="T19" i="7"/>
  <c r="T18" i="7"/>
  <c r="C18" i="7"/>
  <c r="T17" i="7"/>
  <c r="T16" i="7"/>
  <c r="C16" i="7"/>
  <c r="T15" i="7"/>
  <c r="C15" i="7"/>
  <c r="T14" i="7"/>
  <c r="C14" i="7"/>
  <c r="T13" i="7"/>
  <c r="C13" i="7"/>
  <c r="T12" i="7"/>
  <c r="C12" i="7"/>
  <c r="T11" i="7"/>
  <c r="C11" i="7"/>
  <c r="T10" i="7"/>
  <c r="Q5" i="7"/>
  <c r="P5" i="7"/>
  <c r="O5" i="7" s="1"/>
  <c r="L5" i="7"/>
  <c r="K5" i="7"/>
  <c r="I5" i="7" s="1"/>
  <c r="J5" i="7"/>
  <c r="T396" i="6"/>
  <c r="C396" i="6"/>
  <c r="T395" i="6"/>
  <c r="T394" i="6"/>
  <c r="T393" i="6"/>
  <c r="T392" i="6"/>
  <c r="C392" i="6"/>
  <c r="T391" i="6"/>
  <c r="T390" i="6"/>
  <c r="C390" i="6"/>
  <c r="T389" i="6"/>
  <c r="T388" i="6"/>
  <c r="T387" i="6"/>
  <c r="C387" i="6"/>
  <c r="T386" i="6"/>
  <c r="T385" i="6"/>
  <c r="T384" i="6"/>
  <c r="C384" i="6"/>
  <c r="T383" i="6"/>
  <c r="T382" i="6"/>
  <c r="C382" i="6"/>
  <c r="T381" i="6"/>
  <c r="T380" i="6"/>
  <c r="C380" i="6"/>
  <c r="T379" i="6"/>
  <c r="T378" i="6"/>
  <c r="C378" i="6"/>
  <c r="T377" i="6"/>
  <c r="T376" i="6"/>
  <c r="C376" i="6"/>
  <c r="T375" i="6"/>
  <c r="T374" i="6"/>
  <c r="C374" i="6"/>
  <c r="T373" i="6"/>
  <c r="T372" i="6"/>
  <c r="C372" i="6"/>
  <c r="T371" i="6"/>
  <c r="T370" i="6"/>
  <c r="C370" i="6"/>
  <c r="T369" i="6"/>
  <c r="T368" i="6"/>
  <c r="C368" i="6"/>
  <c r="T367" i="6"/>
  <c r="T366" i="6"/>
  <c r="C366" i="6"/>
  <c r="T365" i="6"/>
  <c r="T364" i="6"/>
  <c r="C364" i="6"/>
  <c r="T363" i="6"/>
  <c r="T362" i="6"/>
  <c r="C362" i="6"/>
  <c r="T361" i="6"/>
  <c r="C361" i="6"/>
  <c r="T360" i="6"/>
  <c r="T359" i="6"/>
  <c r="C359" i="6"/>
  <c r="T358" i="6"/>
  <c r="T357" i="6"/>
  <c r="C357" i="6"/>
  <c r="T356" i="6"/>
  <c r="T355" i="6"/>
  <c r="C355" i="6"/>
  <c r="T354" i="6"/>
  <c r="T353" i="6"/>
  <c r="C353" i="6"/>
  <c r="T352" i="6"/>
  <c r="T351" i="6"/>
  <c r="C351" i="6"/>
  <c r="T350" i="6"/>
  <c r="T349" i="6"/>
  <c r="C349" i="6"/>
  <c r="T348" i="6"/>
  <c r="T347" i="6"/>
  <c r="C347" i="6"/>
  <c r="T346" i="6"/>
  <c r="T345" i="6"/>
  <c r="C345" i="6"/>
  <c r="T344" i="6"/>
  <c r="T343" i="6"/>
  <c r="C343" i="6"/>
  <c r="T342" i="6"/>
  <c r="T341" i="6"/>
  <c r="C341" i="6"/>
  <c r="T340" i="6"/>
  <c r="T339" i="6"/>
  <c r="C339" i="6"/>
  <c r="T338" i="6"/>
  <c r="T337" i="6"/>
  <c r="C337" i="6"/>
  <c r="T336" i="6"/>
  <c r="T335" i="6"/>
  <c r="C335" i="6"/>
  <c r="T334" i="6"/>
  <c r="T333" i="6"/>
  <c r="C333" i="6"/>
  <c r="T332" i="6"/>
  <c r="T331" i="6"/>
  <c r="C331" i="6"/>
  <c r="T330" i="6"/>
  <c r="T329" i="6"/>
  <c r="T328" i="6"/>
  <c r="C328" i="6"/>
  <c r="T327" i="6"/>
  <c r="T326" i="6"/>
  <c r="C326" i="6"/>
  <c r="T325" i="6"/>
  <c r="C325" i="6"/>
  <c r="T324" i="6"/>
  <c r="T323" i="6"/>
  <c r="T322" i="6"/>
  <c r="C322" i="6"/>
  <c r="T321" i="6"/>
  <c r="T320" i="6"/>
  <c r="T319" i="6"/>
  <c r="C319" i="6"/>
  <c r="T318" i="6"/>
  <c r="T317" i="6"/>
  <c r="C317" i="6"/>
  <c r="T316" i="6"/>
  <c r="T315" i="6"/>
  <c r="C315" i="6"/>
  <c r="T314" i="6"/>
  <c r="T313" i="6"/>
  <c r="C313" i="6"/>
  <c r="T312" i="6"/>
  <c r="T311" i="6"/>
  <c r="C311" i="6"/>
  <c r="T310" i="6"/>
  <c r="T309" i="6"/>
  <c r="C309" i="6"/>
  <c r="T308" i="6"/>
  <c r="T307" i="6"/>
  <c r="C307" i="6"/>
  <c r="T306" i="6"/>
  <c r="T305" i="6"/>
  <c r="C305" i="6"/>
  <c r="T304" i="6"/>
  <c r="T303" i="6"/>
  <c r="C303" i="6"/>
  <c r="T302" i="6"/>
  <c r="T301" i="6"/>
  <c r="C301" i="6"/>
  <c r="T300" i="6"/>
  <c r="T299" i="6"/>
  <c r="C299" i="6"/>
  <c r="T298" i="6"/>
  <c r="T297" i="6"/>
  <c r="T296" i="6"/>
  <c r="C296" i="6"/>
  <c r="T295" i="6"/>
  <c r="T294" i="6"/>
  <c r="T293" i="6"/>
  <c r="C293" i="6"/>
  <c r="T292" i="6"/>
  <c r="T291" i="6"/>
  <c r="T290" i="6"/>
  <c r="C290" i="6"/>
  <c r="T289" i="6"/>
  <c r="T288" i="6"/>
  <c r="T287" i="6"/>
  <c r="C287" i="6"/>
  <c r="T286" i="6"/>
  <c r="T285" i="6"/>
  <c r="T284" i="6"/>
  <c r="T283" i="6"/>
  <c r="C283" i="6"/>
  <c r="T282" i="6"/>
  <c r="T281" i="6"/>
  <c r="T280" i="6"/>
  <c r="C280" i="6"/>
  <c r="T279" i="6"/>
  <c r="T278" i="6"/>
  <c r="C278" i="6"/>
  <c r="T277" i="6"/>
  <c r="C277" i="6"/>
  <c r="T276" i="6"/>
  <c r="C276" i="6"/>
  <c r="T275" i="6"/>
  <c r="T274" i="6"/>
  <c r="C274" i="6"/>
  <c r="T273" i="6"/>
  <c r="T272" i="6"/>
  <c r="C272" i="6"/>
  <c r="T271" i="6"/>
  <c r="T270" i="6"/>
  <c r="C270" i="6"/>
  <c r="T269" i="6"/>
  <c r="T268" i="6"/>
  <c r="C268" i="6"/>
  <c r="T267" i="6"/>
  <c r="T266" i="6"/>
  <c r="C266" i="6"/>
  <c r="T265" i="6"/>
  <c r="C265" i="6"/>
  <c r="T264" i="6"/>
  <c r="T263" i="6"/>
  <c r="C263" i="6"/>
  <c r="T262" i="6"/>
  <c r="T261" i="6"/>
  <c r="C261" i="6"/>
  <c r="T260" i="6"/>
  <c r="T259" i="6"/>
  <c r="T258" i="6"/>
  <c r="C258" i="6"/>
  <c r="T257" i="6"/>
  <c r="T256" i="6"/>
  <c r="C256" i="6"/>
  <c r="T255" i="6"/>
  <c r="T254" i="6"/>
  <c r="C254" i="6"/>
  <c r="T253" i="6"/>
  <c r="T252" i="6"/>
  <c r="C252" i="6"/>
  <c r="T251" i="6"/>
  <c r="C251" i="6"/>
  <c r="T250" i="6"/>
  <c r="T249" i="6"/>
  <c r="C249" i="6"/>
  <c r="T248" i="6"/>
  <c r="T247" i="6"/>
  <c r="T246" i="6"/>
  <c r="C246" i="6"/>
  <c r="T245" i="6"/>
  <c r="C245" i="6"/>
  <c r="T244" i="6"/>
  <c r="T243" i="6"/>
  <c r="C243" i="6"/>
  <c r="T242" i="6"/>
  <c r="T241" i="6"/>
  <c r="C241" i="6"/>
  <c r="T240" i="6"/>
  <c r="T239" i="6"/>
  <c r="C239" i="6"/>
  <c r="T238" i="6"/>
  <c r="T237" i="6"/>
  <c r="C237" i="6"/>
  <c r="T236" i="6"/>
  <c r="C236" i="6"/>
  <c r="T235" i="6"/>
  <c r="T234" i="6"/>
  <c r="C234" i="6"/>
  <c r="T233" i="6"/>
  <c r="T232" i="6"/>
  <c r="C232" i="6"/>
  <c r="T231" i="6"/>
  <c r="T230" i="6"/>
  <c r="C230" i="6"/>
  <c r="T229" i="6"/>
  <c r="T228" i="6"/>
  <c r="C228" i="6"/>
  <c r="T227" i="6"/>
  <c r="T226" i="6"/>
  <c r="C226" i="6"/>
  <c r="T225" i="6"/>
  <c r="T224" i="6"/>
  <c r="C224" i="6"/>
  <c r="T223" i="6"/>
  <c r="T222" i="6"/>
  <c r="C222" i="6"/>
  <c r="T221" i="6"/>
  <c r="T220" i="6"/>
  <c r="C220" i="6"/>
  <c r="T219" i="6"/>
  <c r="T218" i="6"/>
  <c r="C218" i="6"/>
  <c r="T217" i="6"/>
  <c r="C217" i="6"/>
  <c r="T216" i="6"/>
  <c r="T215" i="6"/>
  <c r="C215" i="6"/>
  <c r="T214" i="6"/>
  <c r="T213" i="6"/>
  <c r="C213" i="6"/>
  <c r="T212" i="6"/>
  <c r="T211" i="6"/>
  <c r="C211" i="6"/>
  <c r="T210" i="6"/>
  <c r="T209" i="6"/>
  <c r="C209" i="6"/>
  <c r="T208" i="6"/>
  <c r="T207" i="6"/>
  <c r="C207" i="6"/>
  <c r="T206" i="6"/>
  <c r="T205" i="6"/>
  <c r="C205" i="6"/>
  <c r="T204" i="6"/>
  <c r="T203" i="6"/>
  <c r="C203" i="6"/>
  <c r="T202" i="6"/>
  <c r="T201" i="6"/>
  <c r="C201" i="6"/>
  <c r="T200" i="6"/>
  <c r="T199" i="6"/>
  <c r="C199" i="6"/>
  <c r="T198" i="6"/>
  <c r="T197" i="6"/>
  <c r="C197" i="6"/>
  <c r="T196" i="6"/>
  <c r="T195" i="6"/>
  <c r="C195" i="6"/>
  <c r="T194" i="6"/>
  <c r="T193" i="6"/>
  <c r="C193" i="6"/>
  <c r="T192" i="6"/>
  <c r="T191" i="6"/>
  <c r="C191" i="6"/>
  <c r="T190" i="6"/>
  <c r="T189" i="6"/>
  <c r="C189" i="6"/>
  <c r="T188" i="6"/>
  <c r="T187" i="6"/>
  <c r="C187" i="6"/>
  <c r="T186" i="6"/>
  <c r="T185" i="6"/>
  <c r="C185" i="6"/>
  <c r="T184" i="6"/>
  <c r="T183" i="6"/>
  <c r="C183" i="6"/>
  <c r="T182" i="6"/>
  <c r="T181" i="6"/>
  <c r="T180" i="6"/>
  <c r="C180" i="6"/>
  <c r="T179" i="6"/>
  <c r="T178" i="6"/>
  <c r="C178" i="6"/>
  <c r="T177" i="6"/>
  <c r="C177" i="6"/>
  <c r="T176" i="6"/>
  <c r="T175" i="6"/>
  <c r="C175" i="6"/>
  <c r="T174" i="6"/>
  <c r="T173" i="6"/>
  <c r="C173" i="6"/>
  <c r="T172" i="6"/>
  <c r="T171" i="6"/>
  <c r="C171" i="6"/>
  <c r="T170" i="6"/>
  <c r="T169" i="6"/>
  <c r="C169" i="6"/>
  <c r="T168" i="6"/>
  <c r="T167" i="6"/>
  <c r="C167" i="6"/>
  <c r="T166" i="6"/>
  <c r="T165" i="6"/>
  <c r="C165" i="6"/>
  <c r="T164" i="6"/>
  <c r="T163" i="6"/>
  <c r="C163" i="6"/>
  <c r="T162" i="6"/>
  <c r="T161" i="6"/>
  <c r="C161" i="6"/>
  <c r="T160" i="6"/>
  <c r="T159" i="6"/>
  <c r="T158" i="6"/>
  <c r="C158" i="6"/>
  <c r="T157" i="6"/>
  <c r="T156" i="6"/>
  <c r="C156" i="6"/>
  <c r="T155" i="6"/>
  <c r="T154" i="6"/>
  <c r="T153" i="6"/>
  <c r="C153" i="6"/>
  <c r="T152" i="6"/>
  <c r="C152" i="6"/>
  <c r="T151" i="6"/>
  <c r="T150" i="6"/>
  <c r="C150" i="6"/>
  <c r="T149" i="6"/>
  <c r="T148" i="6"/>
  <c r="C148" i="6"/>
  <c r="T147" i="6"/>
  <c r="T146" i="6"/>
  <c r="C146" i="6"/>
  <c r="T145" i="6"/>
  <c r="T144" i="6"/>
  <c r="C144" i="6"/>
  <c r="T143" i="6"/>
  <c r="T142" i="6"/>
  <c r="C142" i="6"/>
  <c r="T141" i="6"/>
  <c r="T140" i="6"/>
  <c r="C140" i="6"/>
  <c r="T139" i="6"/>
  <c r="T138" i="6"/>
  <c r="C138" i="6"/>
  <c r="T137" i="6"/>
  <c r="T136" i="6"/>
  <c r="T135" i="6"/>
  <c r="T134" i="6"/>
  <c r="C134" i="6"/>
  <c r="T133" i="6"/>
  <c r="C133" i="6"/>
  <c r="T132" i="6"/>
  <c r="T131" i="6"/>
  <c r="C131" i="6"/>
  <c r="T130" i="6"/>
  <c r="T129" i="6"/>
  <c r="C129" i="6"/>
  <c r="T128" i="6"/>
  <c r="T127" i="6"/>
  <c r="C127" i="6"/>
  <c r="T126" i="6"/>
  <c r="T125" i="6"/>
  <c r="C125" i="6"/>
  <c r="T124" i="6"/>
  <c r="T123" i="6"/>
  <c r="C123" i="6"/>
  <c r="T122" i="6"/>
  <c r="T121" i="6"/>
  <c r="C121" i="6"/>
  <c r="T120" i="6"/>
  <c r="T119" i="6"/>
  <c r="C119" i="6"/>
  <c r="T118" i="6"/>
  <c r="T117" i="6"/>
  <c r="C117" i="6"/>
  <c r="T116" i="6"/>
  <c r="T115" i="6"/>
  <c r="C115" i="6"/>
  <c r="T114" i="6"/>
  <c r="T113" i="6"/>
  <c r="C113" i="6"/>
  <c r="T112" i="6"/>
  <c r="T111" i="6"/>
  <c r="C111" i="6"/>
  <c r="T110" i="6"/>
  <c r="T109" i="6"/>
  <c r="C109" i="6"/>
  <c r="T108" i="6"/>
  <c r="T107" i="6"/>
  <c r="C107" i="6"/>
  <c r="T106" i="6"/>
  <c r="T105" i="6"/>
  <c r="C105" i="6"/>
  <c r="T104" i="6"/>
  <c r="T103" i="6"/>
  <c r="C103" i="6"/>
  <c r="T102" i="6"/>
  <c r="T101" i="6"/>
  <c r="C101" i="6"/>
  <c r="T100" i="6"/>
  <c r="T99" i="6"/>
  <c r="C99" i="6"/>
  <c r="T98" i="6"/>
  <c r="T97" i="6"/>
  <c r="C97" i="6"/>
  <c r="T96" i="6"/>
  <c r="T95" i="6"/>
  <c r="C95" i="6"/>
  <c r="T94" i="6"/>
  <c r="T93" i="6"/>
  <c r="C93" i="6"/>
  <c r="T92" i="6"/>
  <c r="T91" i="6"/>
  <c r="C91" i="6"/>
  <c r="T90" i="6"/>
  <c r="T89" i="6"/>
  <c r="C89" i="6"/>
  <c r="T88" i="6"/>
  <c r="T87" i="6"/>
  <c r="C87" i="6"/>
  <c r="T86" i="6"/>
  <c r="T85" i="6"/>
  <c r="C85" i="6"/>
  <c r="T84" i="6"/>
  <c r="T83" i="6"/>
  <c r="C83" i="6"/>
  <c r="T82" i="6"/>
  <c r="T81" i="6"/>
  <c r="C81" i="6"/>
  <c r="T80" i="6"/>
  <c r="T79" i="6"/>
  <c r="C79" i="6"/>
  <c r="T78" i="6"/>
  <c r="T77" i="6"/>
  <c r="C77" i="6"/>
  <c r="T76" i="6"/>
  <c r="T75" i="6"/>
  <c r="C75" i="6"/>
  <c r="T74" i="6"/>
  <c r="T73" i="6"/>
  <c r="C73" i="6"/>
  <c r="T72" i="6"/>
  <c r="T71" i="6"/>
  <c r="C71" i="6"/>
  <c r="T70" i="6"/>
  <c r="T69" i="6"/>
  <c r="C69" i="6"/>
  <c r="T68" i="6"/>
  <c r="T67" i="6"/>
  <c r="C67" i="6"/>
  <c r="T66" i="6"/>
  <c r="T65" i="6"/>
  <c r="C65" i="6"/>
  <c r="T64" i="6"/>
  <c r="T63" i="6"/>
  <c r="T62" i="6"/>
  <c r="C62" i="6"/>
  <c r="T61" i="6"/>
  <c r="T60" i="6"/>
  <c r="C60" i="6"/>
  <c r="T59" i="6"/>
  <c r="T58" i="6"/>
  <c r="C58" i="6"/>
  <c r="T57" i="6"/>
  <c r="T56" i="6"/>
  <c r="C56" i="6"/>
  <c r="T55" i="6"/>
  <c r="T54" i="6"/>
  <c r="C54" i="6"/>
  <c r="T53" i="6"/>
  <c r="T52" i="6"/>
  <c r="C52" i="6"/>
  <c r="T51" i="6"/>
  <c r="T50" i="6"/>
  <c r="C50" i="6"/>
  <c r="T49" i="6"/>
  <c r="T48" i="6"/>
  <c r="C48" i="6"/>
  <c r="T47" i="6"/>
  <c r="T46" i="6"/>
  <c r="C46" i="6"/>
  <c r="T45" i="6"/>
  <c r="T44" i="6"/>
  <c r="C44" i="6"/>
  <c r="T43" i="6"/>
  <c r="T42" i="6"/>
  <c r="C42" i="6"/>
  <c r="T41" i="6"/>
  <c r="T40" i="6"/>
  <c r="C40" i="6"/>
  <c r="T39" i="6"/>
  <c r="T38" i="6"/>
  <c r="C38" i="6"/>
  <c r="T37" i="6"/>
  <c r="T36" i="6"/>
  <c r="C36" i="6"/>
  <c r="T35" i="6"/>
  <c r="T34" i="6"/>
  <c r="C34" i="6"/>
  <c r="T33" i="6"/>
  <c r="T32" i="6"/>
  <c r="C32" i="6"/>
  <c r="T31" i="6"/>
  <c r="T30" i="6"/>
  <c r="C30" i="6"/>
  <c r="T29" i="6"/>
  <c r="T28" i="6"/>
  <c r="C28" i="6"/>
  <c r="T27" i="6"/>
  <c r="T26" i="6"/>
  <c r="C26" i="6"/>
  <c r="T25" i="6"/>
  <c r="T24" i="6"/>
  <c r="C24" i="6"/>
  <c r="T23" i="6"/>
  <c r="T22" i="6"/>
  <c r="C22" i="6"/>
  <c r="T21" i="6"/>
  <c r="T20" i="6"/>
  <c r="T19" i="6"/>
  <c r="C19" i="6"/>
  <c r="T18" i="6"/>
  <c r="T17" i="6"/>
  <c r="C17" i="6"/>
  <c r="T16" i="6"/>
  <c r="T15" i="6"/>
  <c r="C15" i="6"/>
  <c r="T14" i="6"/>
  <c r="T13" i="6"/>
  <c r="C13" i="6"/>
  <c r="T12" i="6"/>
  <c r="C12" i="6"/>
  <c r="T11" i="6"/>
  <c r="C11" i="6"/>
  <c r="T10" i="6"/>
  <c r="Q5" i="6"/>
  <c r="O5" i="6" s="1"/>
  <c r="P5" i="6"/>
  <c r="L5" i="6"/>
  <c r="K5" i="6"/>
  <c r="J5" i="6"/>
  <c r="I5" i="6" s="1"/>
  <c r="C19" i="7" l="1"/>
  <c r="C17" i="7"/>
  <c r="C14" i="6"/>
  <c r="C21" i="7" l="1"/>
  <c r="C16" i="6"/>
  <c r="C24" i="7" l="1"/>
  <c r="C30" i="7"/>
  <c r="C26" i="7"/>
  <c r="C28" i="7"/>
  <c r="C32" i="7"/>
  <c r="C18" i="6"/>
  <c r="C34" i="7" l="1"/>
  <c r="C36" i="7"/>
  <c r="C20" i="6"/>
  <c r="C21" i="6" s="1"/>
  <c r="C38" i="7" l="1"/>
  <c r="C23" i="6"/>
  <c r="C40" i="7" l="1"/>
  <c r="C25" i="6"/>
  <c r="C42" i="7" l="1"/>
  <c r="C27" i="6"/>
  <c r="C44" i="7" l="1"/>
  <c r="C46" i="7" s="1"/>
  <c r="C48" i="7" s="1"/>
  <c r="C50" i="7" s="1"/>
  <c r="C52" i="7" s="1"/>
  <c r="C54" i="7" s="1"/>
  <c r="C56" i="7" s="1"/>
  <c r="C59" i="7" s="1"/>
  <c r="C61" i="7" s="1"/>
  <c r="C63" i="7" s="1"/>
  <c r="C65" i="7" s="1"/>
  <c r="C67" i="7" s="1"/>
  <c r="C69" i="7" s="1"/>
  <c r="C71" i="7" s="1"/>
  <c r="C73" i="7" s="1"/>
  <c r="C75" i="7" s="1"/>
  <c r="C77" i="7" s="1"/>
  <c r="C79" i="7" s="1"/>
  <c r="C81" i="7" s="1"/>
  <c r="C84" i="7" s="1"/>
  <c r="C86" i="7" s="1"/>
  <c r="C88" i="7" s="1"/>
  <c r="C90" i="7" s="1"/>
  <c r="C93" i="7" s="1"/>
  <c r="C95" i="7" s="1"/>
  <c r="C97" i="7" s="1"/>
  <c r="C99" i="7" s="1"/>
  <c r="C101" i="7" s="1"/>
  <c r="C103" i="7" s="1"/>
  <c r="C105" i="7" s="1"/>
  <c r="C107" i="7" s="1"/>
  <c r="C109" i="7" s="1"/>
  <c r="C111" i="7" s="1"/>
  <c r="C114" i="7" s="1"/>
  <c r="C116" i="7" s="1"/>
  <c r="C118" i="7" s="1"/>
  <c r="C29" i="6"/>
  <c r="C31" i="6" s="1"/>
  <c r="C33" i="6" s="1"/>
  <c r="C35" i="6" s="1"/>
  <c r="C37" i="6" s="1"/>
  <c r="C39" i="6" s="1"/>
  <c r="C41" i="6" s="1"/>
  <c r="C43" i="6" s="1"/>
  <c r="C45" i="6" s="1"/>
  <c r="C47" i="6" s="1"/>
  <c r="C49" i="6" s="1"/>
  <c r="C51" i="6" s="1"/>
  <c r="C53" i="6" s="1"/>
  <c r="C55" i="6" s="1"/>
  <c r="C57" i="6" s="1"/>
  <c r="C59" i="6" s="1"/>
  <c r="C61" i="6" s="1"/>
  <c r="C63" i="6" s="1"/>
  <c r="C64" i="6" s="1"/>
  <c r="C120" i="7" l="1"/>
  <c r="C122" i="7" s="1"/>
  <c r="C124" i="7" s="1"/>
  <c r="C126" i="7" s="1"/>
  <c r="C128" i="7" s="1"/>
  <c r="C130" i="7" s="1"/>
  <c r="C132" i="7" s="1"/>
  <c r="C134" i="7" s="1"/>
  <c r="C136" i="7" s="1"/>
  <c r="C138" i="7" s="1"/>
  <c r="C140" i="7" s="1"/>
  <c r="C142" i="7" s="1"/>
  <c r="C144" i="7" s="1"/>
  <c r="C146" i="7" s="1"/>
  <c r="C148" i="7" s="1"/>
  <c r="C150" i="7" s="1"/>
  <c r="C152" i="7" s="1"/>
  <c r="C154" i="7" s="1"/>
  <c r="C156" i="7" s="1"/>
  <c r="C158" i="7" s="1"/>
  <c r="C160" i="7" s="1"/>
  <c r="C162" i="7" s="1"/>
  <c r="C164" i="7" s="1"/>
  <c r="C166" i="7" s="1"/>
  <c r="C168" i="7" s="1"/>
  <c r="C170" i="7" s="1"/>
  <c r="C172" i="7" s="1"/>
  <c r="C173" i="7" s="1"/>
  <c r="C175" i="7" s="1"/>
  <c r="C176" i="7" s="1"/>
  <c r="C178" i="7" s="1"/>
  <c r="C180" i="7" s="1"/>
  <c r="C182" i="7" s="1"/>
  <c r="C184" i="7" s="1"/>
  <c r="C186" i="7" s="1"/>
  <c r="C188" i="7" s="1"/>
  <c r="C190" i="7" s="1"/>
  <c r="C192" i="7" s="1"/>
  <c r="C194" i="7" s="1"/>
  <c r="C196" i="7" s="1"/>
  <c r="C198" i="7" s="1"/>
  <c r="C199" i="7" s="1"/>
  <c r="C201" i="7" s="1"/>
  <c r="C203" i="7" s="1"/>
  <c r="C205" i="7" s="1"/>
  <c r="C207" i="7" s="1"/>
  <c r="C209" i="7" s="1"/>
  <c r="C211" i="7" s="1"/>
  <c r="C213" i="7" s="1"/>
  <c r="C215" i="7" s="1"/>
  <c r="C217" i="7" s="1"/>
  <c r="C219" i="7" s="1"/>
  <c r="C221" i="7" s="1"/>
  <c r="C222" i="7" s="1"/>
  <c r="C224" i="7" s="1"/>
  <c r="C226" i="7" s="1"/>
  <c r="C228" i="7" s="1"/>
  <c r="C230" i="7" s="1"/>
  <c r="C232" i="7" s="1"/>
  <c r="C236" i="7" s="1"/>
  <c r="C238" i="7" s="1"/>
  <c r="C240" i="7" s="1"/>
  <c r="C242" i="7" s="1"/>
  <c r="C244" i="7" s="1"/>
  <c r="C246" i="7" s="1"/>
  <c r="C248" i="7" s="1"/>
  <c r="C250" i="7" s="1"/>
  <c r="C252" i="7" s="1"/>
  <c r="C254" i="7" s="1"/>
  <c r="C256" i="7" s="1"/>
  <c r="C258" i="7" s="1"/>
  <c r="C260" i="7" s="1"/>
  <c r="C262" i="7" s="1"/>
  <c r="C264" i="7" s="1"/>
  <c r="C267" i="7" s="1"/>
  <c r="C269" i="7" s="1"/>
  <c r="C271" i="7" s="1"/>
  <c r="C273" i="7" s="1"/>
  <c r="C275" i="7" s="1"/>
  <c r="C277" i="7" s="1"/>
  <c r="C279" i="7" s="1"/>
  <c r="C281" i="7" s="1"/>
  <c r="C283" i="7" s="1"/>
  <c r="C285" i="7" s="1"/>
  <c r="C287" i="7" s="1"/>
  <c r="C289" i="7" s="1"/>
  <c r="C291" i="7" s="1"/>
  <c r="C293" i="7" s="1"/>
  <c r="C295" i="7" s="1"/>
  <c r="C297" i="7" s="1"/>
  <c r="C299" i="7" s="1"/>
  <c r="C301" i="7" s="1"/>
  <c r="C303" i="7" s="1"/>
  <c r="C305" i="7" s="1"/>
  <c r="C307" i="7" s="1"/>
  <c r="C309" i="7" s="1"/>
  <c r="C312" i="7" s="1"/>
  <c r="C314" i="7" s="1"/>
  <c r="C316" i="7" s="1"/>
  <c r="C66" i="6"/>
  <c r="C68" i="6" s="1"/>
  <c r="C70" i="6" s="1"/>
  <c r="C72" i="6" s="1"/>
  <c r="C74" i="6" s="1"/>
  <c r="C76" i="6" s="1"/>
  <c r="C78" i="6" s="1"/>
  <c r="C80" i="6" s="1"/>
  <c r="C82" i="6" s="1"/>
  <c r="C84" i="6" s="1"/>
  <c r="C86" i="6" s="1"/>
  <c r="C88" i="6" s="1"/>
  <c r="C90" i="6" s="1"/>
  <c r="C92" i="6" s="1"/>
  <c r="C94" i="6" s="1"/>
  <c r="C96" i="6" s="1"/>
  <c r="C98" i="6" s="1"/>
  <c r="C100" i="6" s="1"/>
  <c r="C102" i="6" s="1"/>
  <c r="C104" i="6" s="1"/>
  <c r="C106" i="6" s="1"/>
  <c r="C108" i="6" s="1"/>
  <c r="C110" i="6" s="1"/>
  <c r="C112" i="6" s="1"/>
  <c r="C114" i="6" s="1"/>
  <c r="C116" i="6" s="1"/>
  <c r="C118" i="6" s="1"/>
  <c r="C120" i="6" s="1"/>
  <c r="C122" i="6" s="1"/>
  <c r="C124" i="6" s="1"/>
  <c r="C126" i="6" s="1"/>
  <c r="C128" i="6" s="1"/>
  <c r="C130" i="6" s="1"/>
  <c r="C132" i="6" s="1"/>
  <c r="C135" i="6" s="1"/>
  <c r="C136" i="6" s="1"/>
  <c r="C137" i="6" s="1"/>
  <c r="C139" i="6" s="1"/>
  <c r="C141" i="6" s="1"/>
  <c r="C143" i="6" s="1"/>
  <c r="C145" i="6" s="1"/>
  <c r="C147" i="6" s="1"/>
  <c r="C149" i="6" s="1"/>
  <c r="C151" i="6" s="1"/>
  <c r="C154" i="6" s="1"/>
  <c r="C155" i="6" s="1"/>
  <c r="C157" i="6" s="1"/>
  <c r="C159" i="6" s="1"/>
  <c r="C160" i="6" s="1"/>
  <c r="C162" i="6" s="1"/>
  <c r="C164" i="6" s="1"/>
  <c r="C166" i="6" s="1"/>
  <c r="C168" i="6" s="1"/>
  <c r="C170" i="6" s="1"/>
  <c r="C172" i="6" s="1"/>
  <c r="C174" i="6" s="1"/>
  <c r="C176" i="6" s="1"/>
  <c r="C179" i="6" s="1"/>
  <c r="C181" i="6" s="1"/>
  <c r="C182" i="6" s="1"/>
  <c r="C184" i="6" s="1"/>
  <c r="C186" i="6" s="1"/>
  <c r="C188" i="6" s="1"/>
  <c r="C190" i="6" s="1"/>
  <c r="C192" i="6" s="1"/>
  <c r="C194" i="6" s="1"/>
  <c r="C196" i="6" s="1"/>
  <c r="C198" i="6" s="1"/>
  <c r="C200" i="6" s="1"/>
  <c r="C202" i="6" s="1"/>
  <c r="C204" i="6" s="1"/>
  <c r="C206" i="6" s="1"/>
  <c r="C208" i="6" s="1"/>
  <c r="C210" i="6" s="1"/>
  <c r="C212" i="6" s="1"/>
  <c r="C214" i="6" s="1"/>
  <c r="C216" i="6" s="1"/>
  <c r="C219" i="6" s="1"/>
  <c r="C221" i="6" s="1"/>
  <c r="C223" i="6" s="1"/>
  <c r="C225" i="6" s="1"/>
  <c r="C227" i="6" s="1"/>
  <c r="C229" i="6" s="1"/>
  <c r="C231" i="6" s="1"/>
  <c r="C233" i="6" s="1"/>
  <c r="C235" i="6" s="1"/>
  <c r="C238" i="6" s="1"/>
  <c r="C240" i="6" s="1"/>
  <c r="C242" i="6" s="1"/>
  <c r="C244" i="6" s="1"/>
  <c r="C247" i="6" s="1"/>
  <c r="C248" i="6" s="1"/>
  <c r="C250" i="6" s="1"/>
  <c r="C253" i="6" s="1"/>
  <c r="C255" i="6" s="1"/>
  <c r="C257" i="6" s="1"/>
  <c r="C259" i="6" s="1"/>
  <c r="C260" i="6" s="1"/>
  <c r="C262" i="6" s="1"/>
  <c r="C264" i="6" s="1"/>
  <c r="C267" i="6" s="1"/>
  <c r="C269" i="6" s="1"/>
  <c r="C271" i="6" s="1"/>
  <c r="C273" i="6" s="1"/>
  <c r="C275" i="6" s="1"/>
  <c r="C279" i="6" s="1"/>
  <c r="C281" i="6" s="1"/>
  <c r="C282" i="6" s="1"/>
  <c r="C284" i="6" s="1"/>
  <c r="C285" i="6" s="1"/>
  <c r="C286" i="6" s="1"/>
  <c r="C288" i="6" s="1"/>
  <c r="C289" i="6" s="1"/>
  <c r="C291" i="6" s="1"/>
  <c r="C292" i="6" s="1"/>
  <c r="C294" i="6" s="1"/>
  <c r="C295" i="6" s="1"/>
  <c r="C297" i="6" s="1"/>
  <c r="C298" i="6" s="1"/>
  <c r="C300" i="6" s="1"/>
  <c r="C302" i="6" s="1"/>
  <c r="C304" i="6" s="1"/>
  <c r="C306" i="6" s="1"/>
  <c r="C308" i="6" s="1"/>
  <c r="C310" i="6" s="1"/>
  <c r="C312" i="6" s="1"/>
  <c r="C314" i="6" s="1"/>
  <c r="C316" i="6" s="1"/>
  <c r="C318" i="6" s="1"/>
  <c r="C320" i="6" s="1"/>
  <c r="C321" i="6" s="1"/>
  <c r="C323" i="6" s="1"/>
  <c r="C324" i="6" s="1"/>
  <c r="C327" i="6" s="1"/>
  <c r="C329" i="6" s="1"/>
  <c r="C330" i="6" s="1"/>
  <c r="C332" i="6" s="1"/>
  <c r="C334" i="6" s="1"/>
  <c r="C336" i="6" s="1"/>
  <c r="C338" i="6" s="1"/>
  <c r="C340" i="6" s="1"/>
  <c r="C342" i="6" s="1"/>
  <c r="C344" i="6" s="1"/>
  <c r="C346" i="6" s="1"/>
  <c r="C348" i="6" s="1"/>
  <c r="C350" i="6" s="1"/>
  <c r="C352" i="6" s="1"/>
  <c r="C354" i="6" s="1"/>
  <c r="C356" i="6" s="1"/>
  <c r="C358" i="6" s="1"/>
  <c r="C360" i="6" s="1"/>
  <c r="C363" i="6" s="1"/>
  <c r="C365" i="6" s="1"/>
  <c r="C367" i="6" s="1"/>
  <c r="C369" i="6" s="1"/>
  <c r="C371" i="6" s="1"/>
  <c r="C373" i="6" s="1"/>
  <c r="C375" i="6" s="1"/>
  <c r="C377" i="6" s="1"/>
  <c r="C379" i="6" s="1"/>
  <c r="C381" i="6" s="1"/>
  <c r="C383" i="6" s="1"/>
  <c r="C385" i="6" s="1"/>
  <c r="C386" i="6" s="1"/>
  <c r="C388" i="6" s="1"/>
  <c r="C389" i="6" s="1"/>
  <c r="C391" i="6" s="1"/>
  <c r="C393" i="6" s="1"/>
  <c r="C395" i="6" s="1"/>
  <c r="T429" i="3" l="1"/>
  <c r="T428" i="3"/>
  <c r="T427" i="3"/>
  <c r="T426" i="3"/>
  <c r="T425" i="3"/>
  <c r="T424" i="3"/>
  <c r="T423" i="3"/>
  <c r="T422" i="3"/>
  <c r="T421" i="3"/>
  <c r="T420" i="3"/>
  <c r="C420" i="3"/>
  <c r="T419" i="3"/>
  <c r="T418" i="3"/>
  <c r="T417" i="3"/>
  <c r="C417" i="3"/>
  <c r="T416" i="3"/>
  <c r="T415" i="3"/>
  <c r="C415" i="3"/>
  <c r="T414" i="3"/>
  <c r="T413" i="3"/>
  <c r="C413" i="3"/>
  <c r="T412" i="3"/>
  <c r="T411" i="3"/>
  <c r="T410" i="3"/>
  <c r="C410" i="3"/>
  <c r="T409" i="3"/>
  <c r="T408" i="3"/>
  <c r="C408" i="3"/>
  <c r="T407" i="3"/>
  <c r="T406" i="3"/>
  <c r="C406" i="3"/>
  <c r="T405" i="3"/>
  <c r="C405" i="3"/>
  <c r="T404" i="3"/>
  <c r="T403" i="3"/>
  <c r="C403" i="3"/>
  <c r="T402" i="3"/>
  <c r="T401" i="3"/>
  <c r="C401" i="3"/>
  <c r="T400" i="3"/>
  <c r="T399" i="3"/>
  <c r="C399" i="3"/>
  <c r="T398" i="3"/>
  <c r="T397" i="3"/>
  <c r="C397" i="3"/>
  <c r="T396" i="3"/>
  <c r="T395" i="3"/>
  <c r="C395" i="3"/>
  <c r="T394" i="3"/>
  <c r="T393" i="3"/>
  <c r="C393" i="3"/>
  <c r="T392" i="3"/>
  <c r="T391" i="3"/>
  <c r="C391" i="3"/>
  <c r="T390" i="3"/>
  <c r="T389" i="3"/>
  <c r="C389" i="3"/>
  <c r="T388" i="3"/>
  <c r="T387" i="3"/>
  <c r="C387" i="3"/>
  <c r="T386" i="3"/>
  <c r="T385" i="3"/>
  <c r="C385" i="3"/>
  <c r="T384" i="3"/>
  <c r="T383" i="3"/>
  <c r="C383" i="3"/>
  <c r="T382" i="3"/>
  <c r="T381" i="3"/>
  <c r="T380" i="3"/>
  <c r="C380" i="3"/>
  <c r="T379" i="3"/>
  <c r="T378" i="3"/>
  <c r="C378" i="3"/>
  <c r="T377" i="3"/>
  <c r="T376" i="3"/>
  <c r="T375" i="3"/>
  <c r="C375" i="3"/>
  <c r="T374" i="3"/>
  <c r="T373" i="3"/>
  <c r="T372" i="3"/>
  <c r="C372" i="3"/>
  <c r="T371" i="3"/>
  <c r="T370" i="3"/>
  <c r="C370" i="3"/>
  <c r="T369" i="3"/>
  <c r="T368" i="3"/>
  <c r="C368" i="3"/>
  <c r="T367" i="3"/>
  <c r="T366" i="3"/>
  <c r="C366" i="3"/>
  <c r="T365" i="3"/>
  <c r="C365" i="3"/>
  <c r="T364" i="3"/>
  <c r="T363" i="3"/>
  <c r="C363" i="3"/>
  <c r="T362" i="3"/>
  <c r="T361" i="3"/>
  <c r="T360" i="3"/>
  <c r="C360" i="3"/>
  <c r="T359" i="3"/>
  <c r="T358" i="3"/>
  <c r="C358" i="3"/>
  <c r="T357" i="3"/>
  <c r="T356" i="3"/>
  <c r="C356" i="3"/>
  <c r="T355" i="3"/>
  <c r="T354" i="3"/>
  <c r="C354" i="3"/>
  <c r="T353" i="3"/>
  <c r="T352" i="3"/>
  <c r="C352" i="3"/>
  <c r="T351" i="3"/>
  <c r="T350" i="3"/>
  <c r="C350" i="3"/>
  <c r="T349" i="3"/>
  <c r="T348" i="3"/>
  <c r="C348" i="3"/>
  <c r="T347" i="3"/>
  <c r="C347" i="3"/>
  <c r="T346" i="3"/>
  <c r="T345" i="3"/>
  <c r="C345" i="3"/>
  <c r="T344" i="3"/>
  <c r="T343" i="3"/>
  <c r="C343" i="3"/>
  <c r="T342" i="3"/>
  <c r="C342" i="3"/>
  <c r="T341" i="3"/>
  <c r="T340" i="3"/>
  <c r="C340" i="3"/>
  <c r="T339" i="3"/>
  <c r="C339" i="3"/>
  <c r="T338" i="3"/>
  <c r="T337" i="3"/>
  <c r="C337" i="3"/>
  <c r="T336" i="3"/>
  <c r="C336" i="3"/>
  <c r="T335" i="3"/>
  <c r="T334" i="3"/>
  <c r="C334" i="3"/>
  <c r="T333" i="3"/>
  <c r="T332" i="3"/>
  <c r="C332" i="3"/>
  <c r="T331" i="3"/>
  <c r="T330" i="3"/>
  <c r="C330" i="3"/>
  <c r="T329" i="3"/>
  <c r="C329" i="3"/>
  <c r="T328" i="3"/>
  <c r="T327" i="3"/>
  <c r="C327" i="3"/>
  <c r="T326" i="3"/>
  <c r="T325" i="3"/>
  <c r="C325" i="3"/>
  <c r="T324" i="3"/>
  <c r="T323" i="3"/>
  <c r="C323" i="3"/>
  <c r="T322" i="3"/>
  <c r="T321" i="3"/>
  <c r="T320" i="3"/>
  <c r="C320" i="3"/>
  <c r="T319" i="3"/>
  <c r="C319" i="3"/>
  <c r="T318" i="3"/>
  <c r="T317" i="3"/>
  <c r="T316" i="3"/>
  <c r="C316" i="3"/>
  <c r="T315" i="3"/>
  <c r="T314" i="3"/>
  <c r="C314" i="3"/>
  <c r="T313" i="3"/>
  <c r="T312" i="3"/>
  <c r="T311" i="3"/>
  <c r="T310" i="3"/>
  <c r="T309" i="3"/>
  <c r="T308" i="3"/>
  <c r="C308" i="3"/>
  <c r="T307" i="3"/>
  <c r="C307" i="3"/>
  <c r="T306" i="3"/>
  <c r="T305" i="3"/>
  <c r="C305" i="3"/>
  <c r="T304" i="3"/>
  <c r="T303" i="3"/>
  <c r="C303" i="3"/>
  <c r="T302" i="3"/>
  <c r="T301" i="3"/>
  <c r="C301" i="3"/>
  <c r="T300" i="3"/>
  <c r="T299" i="3"/>
  <c r="C299" i="3"/>
  <c r="T298" i="3"/>
  <c r="T297" i="3"/>
  <c r="C297" i="3"/>
  <c r="T296" i="3"/>
  <c r="T295" i="3"/>
  <c r="C295" i="3"/>
  <c r="T294" i="3"/>
  <c r="T293" i="3"/>
  <c r="C293" i="3"/>
  <c r="T292" i="3"/>
  <c r="T291" i="3"/>
  <c r="C291" i="3"/>
  <c r="T290" i="3"/>
  <c r="T289" i="3"/>
  <c r="C289" i="3"/>
  <c r="T288" i="3"/>
  <c r="T287" i="3"/>
  <c r="C287" i="3"/>
  <c r="T286" i="3"/>
  <c r="T285" i="3"/>
  <c r="C285" i="3"/>
  <c r="T284" i="3"/>
  <c r="T283" i="3"/>
  <c r="C283" i="3"/>
  <c r="T282" i="3"/>
  <c r="T281" i="3"/>
  <c r="C281" i="3"/>
  <c r="T280" i="3"/>
  <c r="T279" i="3"/>
  <c r="C279" i="3"/>
  <c r="T278" i="3"/>
  <c r="T277" i="3"/>
  <c r="C277" i="3"/>
  <c r="T276" i="3"/>
  <c r="T275" i="3"/>
  <c r="T274" i="3"/>
  <c r="C274" i="3"/>
  <c r="T273" i="3"/>
  <c r="T272" i="3"/>
  <c r="C272" i="3"/>
  <c r="T271" i="3"/>
  <c r="T270" i="3"/>
  <c r="C270" i="3"/>
  <c r="T269" i="3"/>
  <c r="T268" i="3"/>
  <c r="C268" i="3"/>
  <c r="T267" i="3"/>
  <c r="T266" i="3"/>
  <c r="C266" i="3"/>
  <c r="T265" i="3"/>
  <c r="T264" i="3"/>
  <c r="C264" i="3"/>
  <c r="T263" i="3"/>
  <c r="T262" i="3"/>
  <c r="C262" i="3"/>
  <c r="T261" i="3"/>
  <c r="T260" i="3"/>
  <c r="C260" i="3"/>
  <c r="T259" i="3"/>
  <c r="C259" i="3"/>
  <c r="T258" i="3"/>
  <c r="T257" i="3"/>
  <c r="C257" i="3"/>
  <c r="T256" i="3"/>
  <c r="C256" i="3"/>
  <c r="T255" i="3"/>
  <c r="T254" i="3"/>
  <c r="C254" i="3"/>
  <c r="T253" i="3"/>
  <c r="T252" i="3"/>
  <c r="C252" i="3"/>
  <c r="T251" i="3"/>
  <c r="T250" i="3"/>
  <c r="C250" i="3"/>
  <c r="T249" i="3"/>
  <c r="T248" i="3"/>
  <c r="C248" i="3"/>
  <c r="T247" i="3"/>
  <c r="C247" i="3"/>
  <c r="T246" i="3"/>
  <c r="T245" i="3"/>
  <c r="C245" i="3"/>
  <c r="T244" i="3"/>
  <c r="T243" i="3"/>
  <c r="C243" i="3"/>
  <c r="T242" i="3"/>
  <c r="T241" i="3"/>
  <c r="C241" i="3"/>
  <c r="T240" i="3"/>
  <c r="C240" i="3"/>
  <c r="T239" i="3"/>
  <c r="T238" i="3"/>
  <c r="C238" i="3"/>
  <c r="T237" i="3"/>
  <c r="T236" i="3"/>
  <c r="C236" i="3"/>
  <c r="T235" i="3"/>
  <c r="T234" i="3"/>
  <c r="C234" i="3"/>
  <c r="T233" i="3"/>
  <c r="T232" i="3"/>
  <c r="T231" i="3"/>
  <c r="C231" i="3"/>
  <c r="T230" i="3"/>
  <c r="T229" i="3"/>
  <c r="C229" i="3"/>
  <c r="T228" i="3"/>
  <c r="C228" i="3"/>
  <c r="T227" i="3"/>
  <c r="T226" i="3"/>
  <c r="C226" i="3"/>
  <c r="T225" i="3"/>
  <c r="T224" i="3"/>
  <c r="C224" i="3"/>
  <c r="T223" i="3"/>
  <c r="T222" i="3"/>
  <c r="T221" i="3"/>
  <c r="C221" i="3"/>
  <c r="T220" i="3"/>
  <c r="T219" i="3"/>
  <c r="C219" i="3"/>
  <c r="T218" i="3"/>
  <c r="T217" i="3"/>
  <c r="C217" i="3"/>
  <c r="T216" i="3"/>
  <c r="T215" i="3"/>
  <c r="T214" i="3"/>
  <c r="C214" i="3"/>
  <c r="T213" i="3"/>
  <c r="C213" i="3"/>
  <c r="T212" i="3"/>
  <c r="T211" i="3"/>
  <c r="C211" i="3"/>
  <c r="T210" i="3"/>
  <c r="C210" i="3"/>
  <c r="T209" i="3"/>
  <c r="T208" i="3"/>
  <c r="T207" i="3"/>
  <c r="C207" i="3"/>
  <c r="T206" i="3"/>
  <c r="T205" i="3"/>
  <c r="C205" i="3"/>
  <c r="T204" i="3"/>
  <c r="C204" i="3"/>
  <c r="T203" i="3"/>
  <c r="T202" i="3"/>
  <c r="C202" i="3"/>
  <c r="T201" i="3"/>
  <c r="C201" i="3"/>
  <c r="T200" i="3"/>
  <c r="T199" i="3"/>
  <c r="C199" i="3"/>
  <c r="T198" i="3"/>
  <c r="T197" i="3"/>
  <c r="C197" i="3"/>
  <c r="T196" i="3"/>
  <c r="T195" i="3"/>
  <c r="C195" i="3"/>
  <c r="T194" i="3"/>
  <c r="T193" i="3"/>
  <c r="C193" i="3"/>
  <c r="T192" i="3"/>
  <c r="T191" i="3"/>
  <c r="C191" i="3"/>
  <c r="T190" i="3"/>
  <c r="T189" i="3"/>
  <c r="C189" i="3"/>
  <c r="T188" i="3"/>
  <c r="T187" i="3"/>
  <c r="C187" i="3"/>
  <c r="T186" i="3"/>
  <c r="T185" i="3"/>
  <c r="T184" i="3"/>
  <c r="C184" i="3"/>
  <c r="T183" i="3"/>
  <c r="T182" i="3"/>
  <c r="C182" i="3"/>
  <c r="T181" i="3"/>
  <c r="T180" i="3"/>
  <c r="C180" i="3"/>
  <c r="T179" i="3"/>
  <c r="T178" i="3"/>
  <c r="C178" i="3"/>
  <c r="T177" i="3"/>
  <c r="T176" i="3"/>
  <c r="C176" i="3"/>
  <c r="T175" i="3"/>
  <c r="T174" i="3"/>
  <c r="C174" i="3"/>
  <c r="T173" i="3"/>
  <c r="T172" i="3"/>
  <c r="C172" i="3"/>
  <c r="T171" i="3"/>
  <c r="T170" i="3"/>
  <c r="C170" i="3"/>
  <c r="T169" i="3"/>
  <c r="T168" i="3"/>
  <c r="C168" i="3"/>
  <c r="T167" i="3"/>
  <c r="T166" i="3"/>
  <c r="C166" i="3"/>
  <c r="T165" i="3"/>
  <c r="T164" i="3"/>
  <c r="C164" i="3"/>
  <c r="T163" i="3"/>
  <c r="T162" i="3"/>
  <c r="C162" i="3"/>
  <c r="T161" i="3"/>
  <c r="C161" i="3"/>
  <c r="T160" i="3"/>
  <c r="T159" i="3"/>
  <c r="C159" i="3"/>
  <c r="T158" i="3"/>
  <c r="T157" i="3"/>
  <c r="C157" i="3"/>
  <c r="T156" i="3"/>
  <c r="T155" i="3"/>
  <c r="C155" i="3"/>
  <c r="T154" i="3"/>
  <c r="T153" i="3"/>
  <c r="C153" i="3"/>
  <c r="T152" i="3"/>
  <c r="T151" i="3"/>
  <c r="C151" i="3"/>
  <c r="T150" i="3"/>
  <c r="T149" i="3"/>
  <c r="C149" i="3"/>
  <c r="T148" i="3"/>
  <c r="T147" i="3"/>
  <c r="C147" i="3"/>
  <c r="T146" i="3"/>
  <c r="T145" i="3"/>
  <c r="C145" i="3"/>
  <c r="T144" i="3"/>
  <c r="T143" i="3"/>
  <c r="C143" i="3"/>
  <c r="T142" i="3"/>
  <c r="T141" i="3"/>
  <c r="C141" i="3"/>
  <c r="T140" i="3"/>
  <c r="C140" i="3"/>
  <c r="T139" i="3"/>
  <c r="T138" i="3"/>
  <c r="C138" i="3"/>
  <c r="T137" i="3"/>
  <c r="T136" i="3"/>
  <c r="C136" i="3"/>
  <c r="T135" i="3"/>
  <c r="T134" i="3"/>
  <c r="C134" i="3"/>
  <c r="T133" i="3"/>
  <c r="C133" i="3"/>
  <c r="T132" i="3"/>
  <c r="T131" i="3"/>
  <c r="C131" i="3"/>
  <c r="T130" i="3"/>
  <c r="T129" i="3"/>
  <c r="C129" i="3"/>
  <c r="T128" i="3"/>
  <c r="T127" i="3"/>
  <c r="C127" i="3"/>
  <c r="T126" i="3"/>
  <c r="T125" i="3"/>
  <c r="C125" i="3"/>
  <c r="T124" i="3"/>
  <c r="T123" i="3"/>
  <c r="C123" i="3"/>
  <c r="T122" i="3"/>
  <c r="T121" i="3"/>
  <c r="C121" i="3"/>
  <c r="T120" i="3"/>
  <c r="C120" i="3"/>
  <c r="T119" i="3"/>
  <c r="T118" i="3"/>
  <c r="C118" i="3"/>
  <c r="T117" i="3"/>
  <c r="T116" i="3"/>
  <c r="C116" i="3"/>
  <c r="T115" i="3"/>
  <c r="T114" i="3"/>
  <c r="C114" i="3"/>
  <c r="T113" i="3"/>
  <c r="T112" i="3"/>
  <c r="C112" i="3"/>
  <c r="T111" i="3"/>
  <c r="T110" i="3"/>
  <c r="C110" i="3"/>
  <c r="T109" i="3"/>
  <c r="T108" i="3"/>
  <c r="C108" i="3"/>
  <c r="T107" i="3"/>
  <c r="T106" i="3"/>
  <c r="C106" i="3"/>
  <c r="T105" i="3"/>
  <c r="T104" i="3"/>
  <c r="C104" i="3"/>
  <c r="T103" i="3"/>
  <c r="T102" i="3"/>
  <c r="C102" i="3"/>
  <c r="T101" i="3"/>
  <c r="T100" i="3"/>
  <c r="T99" i="3"/>
  <c r="C99" i="3"/>
  <c r="T98" i="3"/>
  <c r="T97" i="3"/>
  <c r="T96" i="3"/>
  <c r="C96" i="3"/>
  <c r="T95" i="3"/>
  <c r="T94" i="3"/>
  <c r="C94" i="3"/>
  <c r="T93" i="3"/>
  <c r="T92" i="3"/>
  <c r="C92" i="3"/>
  <c r="T91" i="3"/>
  <c r="T90" i="3"/>
  <c r="C90" i="3"/>
  <c r="T89" i="3"/>
  <c r="T88" i="3"/>
  <c r="C88" i="3"/>
  <c r="T87" i="3"/>
  <c r="T86" i="3"/>
  <c r="C86" i="3"/>
  <c r="T85" i="3"/>
  <c r="T84" i="3"/>
  <c r="C84" i="3"/>
  <c r="T83" i="3"/>
  <c r="T82" i="3"/>
  <c r="C82" i="3"/>
  <c r="T81" i="3"/>
  <c r="T80" i="3"/>
  <c r="T79" i="3"/>
  <c r="C79" i="3"/>
  <c r="T78" i="3"/>
  <c r="T77" i="3"/>
  <c r="C77" i="3"/>
  <c r="T76" i="3"/>
  <c r="T75" i="3"/>
  <c r="C75" i="3"/>
  <c r="T74" i="3"/>
  <c r="T73" i="3"/>
  <c r="C73" i="3"/>
  <c r="T72" i="3"/>
  <c r="T71" i="3"/>
  <c r="C71" i="3"/>
  <c r="T70" i="3"/>
  <c r="T69" i="3"/>
  <c r="C69" i="3"/>
  <c r="T68" i="3"/>
  <c r="T67" i="3"/>
  <c r="C67" i="3"/>
  <c r="T66" i="3"/>
  <c r="C66" i="3"/>
  <c r="T65" i="3"/>
  <c r="T64" i="3"/>
  <c r="C64" i="3"/>
  <c r="T63" i="3"/>
  <c r="T62" i="3"/>
  <c r="C62" i="3"/>
  <c r="T61" i="3"/>
  <c r="T60" i="3"/>
  <c r="T59" i="3"/>
  <c r="C59" i="3"/>
  <c r="T58" i="3"/>
  <c r="T57" i="3"/>
  <c r="C57" i="3"/>
  <c r="T56" i="3"/>
  <c r="T55" i="3"/>
  <c r="C55" i="3"/>
  <c r="T54" i="3"/>
  <c r="C54" i="3"/>
  <c r="T53" i="3"/>
  <c r="T52" i="3"/>
  <c r="C52" i="3"/>
  <c r="T51" i="3"/>
  <c r="C51" i="3"/>
  <c r="T50" i="3"/>
  <c r="T49" i="3"/>
  <c r="C49" i="3"/>
  <c r="T48" i="3"/>
  <c r="C48" i="3"/>
  <c r="T47" i="3"/>
  <c r="T46" i="3"/>
  <c r="T45" i="3"/>
  <c r="T44" i="3"/>
  <c r="C44" i="3"/>
  <c r="T43" i="3"/>
  <c r="T42" i="3"/>
  <c r="C42" i="3"/>
  <c r="T41" i="3"/>
  <c r="C41" i="3"/>
  <c r="T40" i="3"/>
  <c r="T39" i="3"/>
  <c r="T38" i="3"/>
  <c r="C38" i="3"/>
  <c r="T37" i="3"/>
  <c r="C37" i="3"/>
  <c r="T36" i="3"/>
  <c r="T35" i="3"/>
  <c r="C35" i="3"/>
  <c r="T34" i="3"/>
  <c r="T33" i="3"/>
  <c r="C33" i="3"/>
  <c r="T32" i="3"/>
  <c r="T31" i="3"/>
  <c r="C31" i="3"/>
  <c r="T30" i="3"/>
  <c r="T29" i="3"/>
  <c r="C29" i="3"/>
  <c r="T28" i="3"/>
  <c r="T27" i="3"/>
  <c r="C27" i="3"/>
  <c r="T26" i="3"/>
  <c r="T25" i="3"/>
  <c r="T24" i="3"/>
  <c r="C24" i="3"/>
  <c r="T23" i="3"/>
  <c r="C23" i="3"/>
  <c r="T22" i="3"/>
  <c r="T21" i="3"/>
  <c r="C21" i="3"/>
  <c r="T20" i="3"/>
  <c r="T19" i="3"/>
  <c r="C19" i="3"/>
  <c r="T18" i="3"/>
  <c r="T17" i="3"/>
  <c r="C17" i="3"/>
  <c r="T16" i="3"/>
  <c r="T15" i="3"/>
  <c r="C15" i="3"/>
  <c r="T14" i="3"/>
  <c r="C14" i="3"/>
  <c r="T13" i="3"/>
  <c r="T12" i="3"/>
  <c r="C12" i="3"/>
  <c r="T11" i="3"/>
  <c r="C11" i="3"/>
  <c r="C13" i="3" s="1"/>
  <c r="T10" i="3"/>
  <c r="Q5" i="3"/>
  <c r="O5" i="3" s="1"/>
  <c r="P5" i="3"/>
  <c r="L5" i="3"/>
  <c r="K5" i="3"/>
  <c r="I5" i="3" s="1"/>
  <c r="J5" i="3"/>
  <c r="C16" i="3" l="1"/>
  <c r="C18" i="3" s="1"/>
  <c r="C20" i="3" l="1"/>
  <c r="C22" i="3" l="1"/>
  <c r="C25" i="3"/>
  <c r="C26" i="3"/>
  <c r="C28" i="3" l="1"/>
  <c r="C30" i="3" l="1"/>
  <c r="C32" i="3" s="1"/>
  <c r="C34" i="3" l="1"/>
  <c r="C36" i="3" l="1"/>
  <c r="C39" i="3" l="1"/>
  <c r="C40" i="3" s="1"/>
  <c r="C43" i="3" s="1"/>
  <c r="C45" i="3" s="1"/>
  <c r="C46" i="3" s="1"/>
  <c r="C47" i="3" s="1"/>
  <c r="C50" i="3" s="1"/>
  <c r="C53" i="3" s="1"/>
  <c r="C56" i="3" s="1"/>
  <c r="C58" i="3" s="1"/>
  <c r="C60" i="3" s="1"/>
  <c r="C61" i="3" s="1"/>
  <c r="C63" i="3" s="1"/>
  <c r="C65" i="3" s="1"/>
  <c r="C68" i="3" s="1"/>
  <c r="C70" i="3" s="1"/>
  <c r="C72" i="3" l="1"/>
  <c r="C74" i="3" s="1"/>
  <c r="C76" i="3" s="1"/>
  <c r="C78" i="3" s="1"/>
  <c r="C80" i="3" s="1"/>
  <c r="C81" i="3" s="1"/>
  <c r="C83" i="3" s="1"/>
  <c r="C85" i="3" s="1"/>
  <c r="C87" i="3" s="1"/>
  <c r="C89" i="3" s="1"/>
  <c r="C91" i="3" s="1"/>
  <c r="C93" i="3" s="1"/>
  <c r="C95" i="3" s="1"/>
  <c r="C97" i="3" s="1"/>
  <c r="C98" i="3" s="1"/>
  <c r="C100" i="3" s="1"/>
  <c r="C101" i="3" s="1"/>
  <c r="C103" i="3" s="1"/>
  <c r="C105" i="3" s="1"/>
  <c r="C107" i="3" s="1"/>
  <c r="C109" i="3" s="1"/>
  <c r="C111" i="3" s="1"/>
  <c r="C113" i="3" s="1"/>
  <c r="C115" i="3" s="1"/>
  <c r="C117" i="3" s="1"/>
  <c r="C119" i="3" s="1"/>
  <c r="C122" i="3" s="1"/>
  <c r="C124" i="3" s="1"/>
  <c r="C126" i="3" s="1"/>
  <c r="C128" i="3" s="1"/>
  <c r="C130" i="3" s="1"/>
  <c r="C132" i="3" s="1"/>
  <c r="C135" i="3" s="1"/>
  <c r="C137" i="3" s="1"/>
  <c r="C139" i="3" s="1"/>
  <c r="C142" i="3" s="1"/>
  <c r="C144" i="3" s="1"/>
  <c r="C146" i="3" s="1"/>
  <c r="C148" i="3" s="1"/>
  <c r="C150" i="3" s="1"/>
  <c r="C152" i="3" s="1"/>
  <c r="C154" i="3" s="1"/>
  <c r="C156" i="3" s="1"/>
  <c r="C158" i="3" s="1"/>
  <c r="C160" i="3" s="1"/>
  <c r="C163" i="3" s="1"/>
  <c r="C165" i="3" s="1"/>
  <c r="C167" i="3" s="1"/>
  <c r="C169" i="3" s="1"/>
  <c r="C171" i="3" s="1"/>
  <c r="C173" i="3" s="1"/>
  <c r="C175" i="3" s="1"/>
  <c r="C177" i="3" s="1"/>
  <c r="C179" i="3" s="1"/>
  <c r="C181" i="3" s="1"/>
  <c r="C183" i="3" s="1"/>
  <c r="C185" i="3" s="1"/>
  <c r="C186" i="3" s="1"/>
  <c r="C188" i="3" s="1"/>
  <c r="C190" i="3" s="1"/>
  <c r="C192" i="3" s="1"/>
  <c r="C194" i="3" s="1"/>
  <c r="C196" i="3" s="1"/>
  <c r="C198" i="3" s="1"/>
  <c r="C200" i="3" s="1"/>
  <c r="C203" i="3" s="1"/>
  <c r="C206" i="3" s="1"/>
  <c r="C208" i="3" s="1"/>
  <c r="C209" i="3" s="1"/>
  <c r="C212" i="3" s="1"/>
  <c r="C215" i="3" s="1"/>
  <c r="C216" i="3" s="1"/>
  <c r="C218" i="3" s="1"/>
  <c r="C220" i="3" s="1"/>
  <c r="C222" i="3" s="1"/>
  <c r="C223" i="3" s="1"/>
  <c r="C225" i="3" s="1"/>
  <c r="C227" i="3" s="1"/>
  <c r="C230" i="3" s="1"/>
  <c r="C232" i="3" s="1"/>
  <c r="C233" i="3" s="1"/>
  <c r="C235" i="3" s="1"/>
  <c r="C237" i="3" s="1"/>
  <c r="C239" i="3" s="1"/>
  <c r="C242" i="3" s="1"/>
  <c r="C244" i="3" s="1"/>
  <c r="C246" i="3" s="1"/>
  <c r="C249" i="3" s="1"/>
  <c r="C251" i="3" s="1"/>
  <c r="C253" i="3" s="1"/>
  <c r="C255" i="3" s="1"/>
  <c r="C258" i="3" s="1"/>
  <c r="C261" i="3" s="1"/>
  <c r="C263" i="3" s="1"/>
  <c r="C265" i="3" s="1"/>
  <c r="C267" i="3" s="1"/>
  <c r="C269" i="3" s="1"/>
  <c r="C271" i="3" s="1"/>
  <c r="C273" i="3" s="1"/>
  <c r="C275" i="3" s="1"/>
  <c r="C276" i="3" s="1"/>
  <c r="C278" i="3" s="1"/>
  <c r="C280" i="3" s="1"/>
  <c r="C282" i="3" s="1"/>
  <c r="C284" i="3" s="1"/>
  <c r="C286" i="3" s="1"/>
  <c r="C288" i="3" s="1"/>
  <c r="C290" i="3" s="1"/>
  <c r="C292" i="3" s="1"/>
  <c r="C294" i="3" s="1"/>
  <c r="C296" i="3" s="1"/>
  <c r="C298" i="3" s="1"/>
  <c r="C300" i="3" s="1"/>
  <c r="C302" i="3" s="1"/>
  <c r="C304" i="3" s="1"/>
  <c r="C306" i="3" s="1"/>
  <c r="C309" i="3" s="1"/>
  <c r="C310" i="3" s="1"/>
  <c r="C311" i="3" s="1"/>
  <c r="C312" i="3" s="1"/>
  <c r="C313" i="3" s="1"/>
  <c r="C315" i="3" s="1"/>
  <c r="C317" i="3" s="1"/>
  <c r="C318" i="3" s="1"/>
  <c r="C321" i="3" s="1"/>
  <c r="C322" i="3" s="1"/>
  <c r="C324" i="3" s="1"/>
  <c r="C326" i="3" s="1"/>
  <c r="C328" i="3" s="1"/>
  <c r="C331" i="3" s="1"/>
  <c r="C333" i="3" s="1"/>
  <c r="C335" i="3" s="1"/>
  <c r="C338" i="3" s="1"/>
  <c r="C341" i="3" s="1"/>
  <c r="C344" i="3" s="1"/>
  <c r="C346" i="3" s="1"/>
  <c r="C349" i="3" s="1"/>
  <c r="C351" i="3" s="1"/>
  <c r="C353" i="3" s="1"/>
  <c r="C355" i="3" s="1"/>
  <c r="C357" i="3" s="1"/>
  <c r="C359" i="3" s="1"/>
  <c r="C361" i="3" s="1"/>
  <c r="C362" i="3" s="1"/>
  <c r="C364" i="3" s="1"/>
  <c r="C367" i="3" s="1"/>
  <c r="C369" i="3" s="1"/>
  <c r="C371" i="3" s="1"/>
  <c r="C373" i="3" s="1"/>
  <c r="C374" i="3" s="1"/>
  <c r="C376" i="3" s="1"/>
  <c r="C377" i="3" s="1"/>
  <c r="C379" i="3" s="1"/>
  <c r="C381" i="3" s="1"/>
  <c r="C382" i="3" s="1"/>
  <c r="C384" i="3" s="1"/>
  <c r="C386" i="3" s="1"/>
  <c r="C388" i="3" s="1"/>
  <c r="C390" i="3" s="1"/>
  <c r="C392" i="3" s="1"/>
  <c r="C394" i="3" s="1"/>
  <c r="C396" i="3" s="1"/>
  <c r="C398" i="3" s="1"/>
  <c r="C400" i="3" s="1"/>
  <c r="C402" i="3" s="1"/>
  <c r="C404" i="3" s="1"/>
  <c r="C407" i="3" s="1"/>
  <c r="C409" i="3" s="1"/>
  <c r="C411" i="3" s="1"/>
  <c r="C412" i="3" s="1"/>
  <c r="C414" i="3" s="1"/>
  <c r="C416" i="3" s="1"/>
  <c r="C418" i="3" s="1"/>
  <c r="C419" i="3" s="1"/>
  <c r="C421" i="3" s="1"/>
  <c r="C423" i="3" s="1"/>
  <c r="C425" i="3" s="1"/>
  <c r="C427" i="3" s="1"/>
  <c r="C428" i="3" s="1"/>
  <c r="T210" i="2"/>
  <c r="C210" i="2"/>
  <c r="T209" i="2"/>
  <c r="T208" i="2"/>
  <c r="C208" i="2"/>
  <c r="T207" i="2"/>
  <c r="T206" i="2"/>
  <c r="C206" i="2"/>
  <c r="T205" i="2"/>
  <c r="T204" i="2"/>
  <c r="C204" i="2"/>
  <c r="T203" i="2"/>
  <c r="T202" i="2"/>
  <c r="C202" i="2"/>
  <c r="T201" i="2"/>
  <c r="T200" i="2"/>
  <c r="C200" i="2"/>
  <c r="T199" i="2"/>
  <c r="T198" i="2"/>
  <c r="C198" i="2"/>
  <c r="T197" i="2"/>
  <c r="T196" i="2"/>
  <c r="C196" i="2"/>
  <c r="T195" i="2"/>
  <c r="T194" i="2"/>
  <c r="C194" i="2"/>
  <c r="T193" i="2"/>
  <c r="T192" i="2"/>
  <c r="C192" i="2"/>
  <c r="T191" i="2"/>
  <c r="T190" i="2"/>
  <c r="C190" i="2"/>
  <c r="T189" i="2"/>
  <c r="T188" i="2"/>
  <c r="C188" i="2"/>
  <c r="T187" i="2"/>
  <c r="T186" i="2"/>
  <c r="C186" i="2"/>
  <c r="T185" i="2"/>
  <c r="T184" i="2"/>
  <c r="C184" i="2"/>
  <c r="T183" i="2"/>
  <c r="T182" i="2"/>
  <c r="C182" i="2"/>
  <c r="T181" i="2"/>
  <c r="T180" i="2"/>
  <c r="C180" i="2"/>
  <c r="T179" i="2"/>
  <c r="T178" i="2"/>
  <c r="C178" i="2"/>
  <c r="T177" i="2"/>
  <c r="T176" i="2"/>
  <c r="C176" i="2"/>
  <c r="T175" i="2"/>
  <c r="T174" i="2"/>
  <c r="C174" i="2"/>
  <c r="T173" i="2"/>
  <c r="T172" i="2"/>
  <c r="C172" i="2"/>
  <c r="T171" i="2"/>
  <c r="T170" i="2"/>
  <c r="C170" i="2"/>
  <c r="T169" i="2"/>
  <c r="T168" i="2"/>
  <c r="C168" i="2"/>
  <c r="T167" i="2"/>
  <c r="T166" i="2"/>
  <c r="C166" i="2"/>
  <c r="T165" i="2"/>
  <c r="T164" i="2"/>
  <c r="C164" i="2"/>
  <c r="T163" i="2"/>
  <c r="T162" i="2"/>
  <c r="C162" i="2"/>
  <c r="T161" i="2"/>
  <c r="C161" i="2"/>
  <c r="T160" i="2"/>
  <c r="T159" i="2"/>
  <c r="C159" i="2"/>
  <c r="T158" i="2"/>
  <c r="C158" i="2"/>
  <c r="T157" i="2"/>
  <c r="T156" i="2"/>
  <c r="C156" i="2"/>
  <c r="T155" i="2"/>
  <c r="T154" i="2"/>
  <c r="C154" i="2"/>
  <c r="T153" i="2"/>
  <c r="T152" i="2"/>
  <c r="C152" i="2"/>
  <c r="T151" i="2"/>
  <c r="T150" i="2"/>
  <c r="T149" i="2"/>
  <c r="C149" i="2"/>
  <c r="T148" i="2"/>
  <c r="T147" i="2"/>
  <c r="C147" i="2"/>
  <c r="T146" i="2"/>
  <c r="T145" i="2"/>
  <c r="T144" i="2"/>
  <c r="C144" i="2"/>
  <c r="T143" i="2"/>
  <c r="T142" i="2"/>
  <c r="C142" i="2"/>
  <c r="T141" i="2"/>
  <c r="T140" i="2"/>
  <c r="C140" i="2"/>
  <c r="T139" i="2"/>
  <c r="T138" i="2"/>
  <c r="C138" i="2"/>
  <c r="T137" i="2"/>
  <c r="T136" i="2"/>
  <c r="C136" i="2"/>
  <c r="T135" i="2"/>
  <c r="T134" i="2"/>
  <c r="C134" i="2"/>
  <c r="T133" i="2"/>
  <c r="T132" i="2"/>
  <c r="C132" i="2"/>
  <c r="T131" i="2"/>
  <c r="T130" i="2"/>
  <c r="C130" i="2"/>
  <c r="T129" i="2"/>
  <c r="T128" i="2"/>
  <c r="C128" i="2"/>
  <c r="T127" i="2"/>
  <c r="T126" i="2"/>
  <c r="C126" i="2"/>
  <c r="T125" i="2"/>
  <c r="T124" i="2"/>
  <c r="C124" i="2"/>
  <c r="T123" i="2"/>
  <c r="T122" i="2"/>
  <c r="C122" i="2"/>
  <c r="T121" i="2"/>
  <c r="T120" i="2"/>
  <c r="C120" i="2"/>
  <c r="T119" i="2"/>
  <c r="T118" i="2"/>
  <c r="C118" i="2"/>
  <c r="T117" i="2"/>
  <c r="T116" i="2"/>
  <c r="C116" i="2"/>
  <c r="T115" i="2"/>
  <c r="T114" i="2"/>
  <c r="C114" i="2"/>
  <c r="T113" i="2"/>
  <c r="T112" i="2"/>
  <c r="C112" i="2"/>
  <c r="T111" i="2"/>
  <c r="T110" i="2"/>
  <c r="C110" i="2"/>
  <c r="T109" i="2"/>
  <c r="C109" i="2"/>
  <c r="T108" i="2"/>
  <c r="T107" i="2"/>
  <c r="C107" i="2"/>
  <c r="T106" i="2"/>
  <c r="C106" i="2"/>
  <c r="T105" i="2"/>
  <c r="T104" i="2"/>
  <c r="C104" i="2"/>
  <c r="T103" i="2"/>
  <c r="T102" i="2"/>
  <c r="C102" i="2"/>
  <c r="T101" i="2"/>
  <c r="C101" i="2"/>
  <c r="T100" i="2"/>
  <c r="T99" i="2"/>
  <c r="C99" i="2"/>
  <c r="T98" i="2"/>
  <c r="T97" i="2"/>
  <c r="C97" i="2"/>
  <c r="T96" i="2"/>
  <c r="T95" i="2"/>
  <c r="C95" i="2"/>
  <c r="T94" i="2"/>
  <c r="T93" i="2"/>
  <c r="C93" i="2"/>
  <c r="T92" i="2"/>
  <c r="T91" i="2"/>
  <c r="C91" i="2"/>
  <c r="T90" i="2"/>
  <c r="T89" i="2"/>
  <c r="C89" i="2"/>
  <c r="T88" i="2"/>
  <c r="T87" i="2"/>
  <c r="C87" i="2"/>
  <c r="T86" i="2"/>
  <c r="T85" i="2"/>
  <c r="C85" i="2"/>
  <c r="T84" i="2"/>
  <c r="T83" i="2"/>
  <c r="C83" i="2"/>
  <c r="T82" i="2"/>
  <c r="T81" i="2"/>
  <c r="C81" i="2"/>
  <c r="T80" i="2"/>
  <c r="T79" i="2"/>
  <c r="C79" i="2"/>
  <c r="T78" i="2"/>
  <c r="T77" i="2"/>
  <c r="C77" i="2"/>
  <c r="T76" i="2"/>
  <c r="T75" i="2"/>
  <c r="C75" i="2"/>
  <c r="T74" i="2"/>
  <c r="T73" i="2"/>
  <c r="C73" i="2"/>
  <c r="T72" i="2"/>
  <c r="T71" i="2"/>
  <c r="C71" i="2"/>
  <c r="T70" i="2"/>
  <c r="C70" i="2"/>
  <c r="T69" i="2"/>
  <c r="T68" i="2"/>
  <c r="C68" i="2"/>
  <c r="T67" i="2"/>
  <c r="C67" i="2"/>
  <c r="T66" i="2"/>
  <c r="T65" i="2"/>
  <c r="C65" i="2"/>
  <c r="T64" i="2"/>
  <c r="T63" i="2"/>
  <c r="T62" i="2"/>
  <c r="C62" i="2"/>
  <c r="T61" i="2"/>
  <c r="T60" i="2"/>
  <c r="T59" i="2"/>
  <c r="C59" i="2"/>
  <c r="T58" i="2"/>
  <c r="C58" i="2"/>
  <c r="T57" i="2"/>
  <c r="T56" i="2"/>
  <c r="C56" i="2"/>
  <c r="T55" i="2"/>
  <c r="T54" i="2"/>
  <c r="T53" i="2"/>
  <c r="C53" i="2"/>
  <c r="T52" i="2"/>
  <c r="T51" i="2"/>
  <c r="C51" i="2"/>
  <c r="T50" i="2"/>
  <c r="T49" i="2"/>
  <c r="C49" i="2"/>
  <c r="T48" i="2"/>
  <c r="T47" i="2"/>
  <c r="C47" i="2"/>
  <c r="T46" i="2"/>
  <c r="T45" i="2"/>
  <c r="T44" i="2"/>
  <c r="C44" i="2"/>
  <c r="T43" i="2"/>
  <c r="T42" i="2"/>
  <c r="C42" i="2"/>
  <c r="T41" i="2"/>
  <c r="T40" i="2"/>
  <c r="C40" i="2"/>
  <c r="T39" i="2"/>
  <c r="T38" i="2"/>
  <c r="C38" i="2"/>
  <c r="T37" i="2"/>
  <c r="T36" i="2"/>
  <c r="C36" i="2"/>
  <c r="T35" i="2"/>
  <c r="T34" i="2"/>
  <c r="C34" i="2"/>
  <c r="T33" i="2"/>
  <c r="T32" i="2"/>
  <c r="C32" i="2"/>
  <c r="T31" i="2"/>
  <c r="T30" i="2"/>
  <c r="C30" i="2"/>
  <c r="T29" i="2"/>
  <c r="T28" i="2"/>
  <c r="C28" i="2"/>
  <c r="T27" i="2"/>
  <c r="T26" i="2"/>
  <c r="C26" i="2"/>
  <c r="T25" i="2"/>
  <c r="T24" i="2"/>
  <c r="C24" i="2"/>
  <c r="T23" i="2"/>
  <c r="T22" i="2"/>
  <c r="C22" i="2"/>
  <c r="T21" i="2"/>
  <c r="T20" i="2"/>
  <c r="C20" i="2"/>
  <c r="T19" i="2"/>
  <c r="T18" i="2"/>
  <c r="C18" i="2"/>
  <c r="T17" i="2"/>
  <c r="C17" i="2"/>
  <c r="T16" i="2"/>
  <c r="T15" i="2"/>
  <c r="C15" i="2"/>
  <c r="T14" i="2"/>
  <c r="C14" i="2"/>
  <c r="T13" i="2"/>
  <c r="T12" i="2"/>
  <c r="C12" i="2"/>
  <c r="T11" i="2"/>
  <c r="C11" i="2"/>
  <c r="T10" i="2"/>
  <c r="Q5" i="2"/>
  <c r="O5" i="2" s="1"/>
  <c r="P5" i="2"/>
  <c r="L5" i="2"/>
  <c r="K5" i="2"/>
  <c r="J5" i="2"/>
  <c r="I5" i="2"/>
  <c r="C13" i="2" l="1"/>
  <c r="C16" i="2" s="1"/>
  <c r="C19" i="2" s="1"/>
  <c r="C21" i="2" l="1"/>
  <c r="C23" i="2" l="1"/>
  <c r="C25" i="2" l="1"/>
  <c r="C29" i="2" s="1"/>
  <c r="C27" i="2"/>
  <c r="C31" i="2" l="1"/>
  <c r="C33" i="2" s="1"/>
  <c r="C35" i="2" l="1"/>
  <c r="C37" i="2" l="1"/>
  <c r="C39" i="2"/>
  <c r="C41" i="2" s="1"/>
  <c r="C43" i="2" s="1"/>
  <c r="C45" i="2" s="1"/>
  <c r="C46" i="2" s="1"/>
  <c r="C48" i="2" s="1"/>
  <c r="C50" i="2" s="1"/>
  <c r="C52" i="2" s="1"/>
  <c r="C54" i="2" s="1"/>
  <c r="C55" i="2" s="1"/>
  <c r="C57" i="2" s="1"/>
  <c r="C60" i="2" s="1"/>
  <c r="C61" i="2" s="1"/>
  <c r="C63" i="2" s="1"/>
  <c r="C64" i="2" s="1"/>
  <c r="C66" i="2" s="1"/>
  <c r="C69" i="2" s="1"/>
  <c r="C72" i="2" s="1"/>
  <c r="C74" i="2" s="1"/>
  <c r="C76" i="2" s="1"/>
  <c r="C78" i="2" s="1"/>
  <c r="C80" i="2" s="1"/>
  <c r="C82" i="2" s="1"/>
  <c r="C84" i="2" s="1"/>
  <c r="C86" i="2" s="1"/>
  <c r="C88" i="2" s="1"/>
  <c r="C90" i="2" s="1"/>
  <c r="C92" i="2" s="1"/>
  <c r="C94" i="2" s="1"/>
  <c r="C96" i="2" s="1"/>
  <c r="C98" i="2" s="1"/>
  <c r="C100" i="2" s="1"/>
  <c r="C103" i="2" s="1"/>
  <c r="C105" i="2" s="1"/>
  <c r="C108" i="2" s="1"/>
  <c r="C111" i="2" s="1"/>
  <c r="C113" i="2" s="1"/>
  <c r="C115" i="2" s="1"/>
  <c r="C117" i="2" s="1"/>
  <c r="C119" i="2" s="1"/>
  <c r="C121" i="2" s="1"/>
  <c r="C123" i="2" s="1"/>
  <c r="C125" i="2" s="1"/>
  <c r="C127" i="2" s="1"/>
  <c r="C129" i="2" s="1"/>
  <c r="C131" i="2" s="1"/>
  <c r="C133" i="2" s="1"/>
  <c r="C135" i="2" s="1"/>
  <c r="C137" i="2" s="1"/>
  <c r="C139" i="2" s="1"/>
  <c r="C141" i="2" s="1"/>
  <c r="C143" i="2" s="1"/>
  <c r="C145" i="2" s="1"/>
  <c r="C146" i="2" s="1"/>
  <c r="C148" i="2" s="1"/>
  <c r="C150" i="2" s="1"/>
  <c r="C151" i="2" s="1"/>
  <c r="C153" i="2" s="1"/>
  <c r="C155" i="2" s="1"/>
  <c r="C157" i="2" s="1"/>
  <c r="C160" i="2" s="1"/>
  <c r="C163" i="2" s="1"/>
  <c r="C165" i="2" s="1"/>
  <c r="C167" i="2" s="1"/>
  <c r="C169" i="2" s="1"/>
  <c r="C171" i="2" s="1"/>
  <c r="C173" i="2" s="1"/>
  <c r="C175" i="2" s="1"/>
  <c r="C177" i="2" s="1"/>
  <c r="C179" i="2" s="1"/>
  <c r="C181" i="2" s="1"/>
  <c r="C183" i="2" s="1"/>
  <c r="C185" i="2" s="1"/>
  <c r="C187" i="2" s="1"/>
  <c r="C189" i="2" s="1"/>
  <c r="C191" i="2" s="1"/>
  <c r="C193" i="2" s="1"/>
  <c r="C195" i="2" s="1"/>
  <c r="C197" i="2" s="1"/>
  <c r="C199" i="2" s="1"/>
  <c r="C201" i="2" s="1"/>
  <c r="C203" i="2" s="1"/>
  <c r="C205" i="2" s="1"/>
  <c r="C207" i="2" s="1"/>
  <c r="C209" i="2" s="1"/>
  <c r="T376" i="1" l="1"/>
  <c r="T375" i="1"/>
  <c r="T374" i="1"/>
  <c r="T373" i="1"/>
  <c r="T372" i="1"/>
  <c r="C372" i="1"/>
  <c r="T371" i="1"/>
  <c r="T370" i="1"/>
  <c r="C370" i="1"/>
  <c r="T369" i="1"/>
  <c r="T368" i="1"/>
  <c r="C368" i="1"/>
  <c r="T367" i="1"/>
  <c r="C367" i="1"/>
  <c r="T366" i="1"/>
  <c r="T365" i="1"/>
  <c r="C365" i="1"/>
  <c r="T364" i="1"/>
  <c r="T363" i="1"/>
  <c r="C363" i="1"/>
  <c r="T362" i="1"/>
  <c r="T361" i="1"/>
  <c r="C361" i="1"/>
  <c r="T360" i="1"/>
  <c r="T359" i="1"/>
  <c r="C359" i="1"/>
  <c r="T358" i="1"/>
  <c r="T357" i="1"/>
  <c r="C357" i="1"/>
  <c r="T356" i="1"/>
  <c r="C356" i="1"/>
  <c r="T355" i="1"/>
  <c r="T354" i="1"/>
  <c r="C354" i="1"/>
  <c r="T353" i="1"/>
  <c r="T352" i="1"/>
  <c r="C352" i="1"/>
  <c r="T351" i="1"/>
  <c r="T350" i="1"/>
  <c r="C350" i="1"/>
  <c r="T349" i="1"/>
  <c r="T348" i="1"/>
  <c r="C348" i="1"/>
  <c r="T347" i="1"/>
  <c r="T346" i="1"/>
  <c r="C346" i="1"/>
  <c r="T345" i="1"/>
  <c r="T344" i="1"/>
  <c r="C344" i="1"/>
  <c r="T343" i="1"/>
  <c r="T342" i="1"/>
  <c r="C342" i="1"/>
  <c r="T341" i="1"/>
  <c r="C341" i="1"/>
  <c r="T340" i="1"/>
  <c r="T339" i="1"/>
  <c r="C339" i="1"/>
  <c r="T338" i="1"/>
  <c r="T337" i="1"/>
  <c r="C337" i="1"/>
  <c r="T336" i="1"/>
  <c r="T335" i="1"/>
  <c r="C335" i="1"/>
  <c r="T334" i="1"/>
  <c r="T333" i="1"/>
  <c r="C333" i="1"/>
  <c r="T332" i="1"/>
  <c r="T331" i="1"/>
  <c r="C331" i="1"/>
  <c r="T330" i="1"/>
  <c r="T329" i="1"/>
  <c r="C329" i="1"/>
  <c r="T328" i="1"/>
  <c r="T327" i="1"/>
  <c r="C327" i="1"/>
  <c r="T326" i="1"/>
  <c r="T325" i="1"/>
  <c r="C325" i="1"/>
  <c r="T324" i="1"/>
  <c r="T323" i="1"/>
  <c r="C323" i="1"/>
  <c r="T322" i="1"/>
  <c r="T321" i="1"/>
  <c r="C321" i="1"/>
  <c r="T320" i="1"/>
  <c r="T319" i="1"/>
  <c r="C319" i="1"/>
  <c r="T318" i="1"/>
  <c r="T317" i="1"/>
  <c r="C317" i="1"/>
  <c r="T316" i="1"/>
  <c r="C316" i="1"/>
  <c r="T315" i="1"/>
  <c r="T314" i="1"/>
  <c r="C314" i="1"/>
  <c r="T313" i="1"/>
  <c r="T312" i="1"/>
  <c r="C312" i="1"/>
  <c r="T311" i="1"/>
  <c r="T310" i="1"/>
  <c r="C310" i="1"/>
  <c r="T309" i="1"/>
  <c r="T308" i="1"/>
  <c r="C308" i="1"/>
  <c r="T307" i="1"/>
  <c r="T306" i="1"/>
  <c r="C306" i="1"/>
  <c r="T305" i="1"/>
  <c r="T304" i="1"/>
  <c r="C304" i="1"/>
  <c r="T303" i="1"/>
  <c r="T302" i="1"/>
  <c r="C302" i="1"/>
  <c r="T301" i="1"/>
  <c r="T300" i="1"/>
  <c r="C300" i="1"/>
  <c r="T299" i="1"/>
  <c r="T298" i="1"/>
  <c r="C298" i="1"/>
  <c r="T297" i="1"/>
  <c r="T296" i="1"/>
  <c r="C296" i="1"/>
  <c r="T295" i="1"/>
  <c r="C295" i="1"/>
  <c r="T294" i="1"/>
  <c r="T293" i="1"/>
  <c r="C293" i="1"/>
  <c r="T292" i="1"/>
  <c r="T291" i="1"/>
  <c r="C291" i="1"/>
  <c r="T290" i="1"/>
  <c r="C290" i="1"/>
  <c r="T289" i="1"/>
  <c r="T288" i="1"/>
  <c r="C288" i="1"/>
  <c r="T287" i="1"/>
  <c r="C287" i="1"/>
  <c r="T286" i="1"/>
  <c r="T285" i="1"/>
  <c r="C285" i="1"/>
  <c r="T284" i="1"/>
  <c r="C284" i="1"/>
  <c r="T283" i="1"/>
  <c r="T282" i="1"/>
  <c r="C282" i="1"/>
  <c r="T281" i="1"/>
  <c r="T280" i="1"/>
  <c r="C280" i="1"/>
  <c r="T279" i="1"/>
  <c r="C279" i="1"/>
  <c r="T278" i="1"/>
  <c r="T277" i="1"/>
  <c r="C277" i="1"/>
  <c r="T276" i="1"/>
  <c r="C276" i="1"/>
  <c r="T275" i="1"/>
  <c r="T274" i="1"/>
  <c r="C274" i="1"/>
  <c r="T273" i="1"/>
  <c r="T272" i="1"/>
  <c r="T271" i="1"/>
  <c r="C271" i="1"/>
  <c r="T270" i="1"/>
  <c r="C270" i="1"/>
  <c r="T269" i="1"/>
  <c r="T268" i="1"/>
  <c r="C268" i="1"/>
  <c r="T267" i="1"/>
  <c r="C267" i="1"/>
  <c r="T266" i="1"/>
  <c r="T265" i="1"/>
  <c r="C265" i="1"/>
  <c r="T264" i="1"/>
  <c r="T263" i="1"/>
  <c r="C263" i="1"/>
  <c r="T262" i="1"/>
  <c r="T261" i="1"/>
  <c r="C261" i="1"/>
  <c r="T260" i="1"/>
  <c r="T259" i="1"/>
  <c r="C259" i="1"/>
  <c r="T258" i="1"/>
  <c r="C258" i="1"/>
  <c r="T257" i="1"/>
  <c r="T256" i="1"/>
  <c r="C256" i="1"/>
  <c r="T255" i="1"/>
  <c r="T254" i="1"/>
  <c r="C254" i="1"/>
  <c r="T253" i="1"/>
  <c r="T252" i="1"/>
  <c r="C252" i="1"/>
  <c r="T251" i="1"/>
  <c r="T250" i="1"/>
  <c r="T249" i="1"/>
  <c r="C249" i="1"/>
  <c r="T248" i="1"/>
  <c r="T247" i="1"/>
  <c r="C247" i="1"/>
  <c r="T246" i="1"/>
  <c r="T245" i="1"/>
  <c r="C245" i="1"/>
  <c r="T244" i="1"/>
  <c r="T243" i="1"/>
  <c r="C243" i="1"/>
  <c r="T242" i="1"/>
  <c r="T241" i="1"/>
  <c r="C241" i="1"/>
  <c r="T240" i="1"/>
  <c r="C240" i="1"/>
  <c r="T239" i="1"/>
  <c r="T238" i="1"/>
  <c r="T237" i="1"/>
  <c r="C237" i="1"/>
  <c r="T236" i="1"/>
  <c r="T235" i="1"/>
  <c r="C235" i="1"/>
  <c r="T234" i="1"/>
  <c r="T233" i="1"/>
  <c r="C233" i="1"/>
  <c r="T232" i="1"/>
  <c r="T231" i="1"/>
  <c r="C231" i="1"/>
  <c r="T230" i="1"/>
  <c r="T229" i="1"/>
  <c r="T228" i="1"/>
  <c r="C228" i="1"/>
  <c r="T227" i="1"/>
  <c r="T226" i="1"/>
  <c r="C226" i="1"/>
  <c r="T225" i="1"/>
  <c r="T224" i="1"/>
  <c r="C224" i="1"/>
  <c r="T223" i="1"/>
  <c r="T222" i="1"/>
  <c r="C222" i="1"/>
  <c r="T221" i="1"/>
  <c r="T220" i="1"/>
  <c r="C220" i="1"/>
  <c r="T219" i="1"/>
  <c r="T218" i="1"/>
  <c r="C218" i="1"/>
  <c r="T217" i="1"/>
  <c r="T216" i="1"/>
  <c r="C216" i="1"/>
  <c r="T215" i="1"/>
  <c r="C215" i="1"/>
  <c r="T214" i="1"/>
  <c r="T213" i="1"/>
  <c r="C213" i="1"/>
  <c r="T212" i="1"/>
  <c r="T211" i="1"/>
  <c r="T210" i="1"/>
  <c r="C210" i="1"/>
  <c r="T209" i="1"/>
  <c r="T208" i="1"/>
  <c r="C208" i="1"/>
  <c r="T207" i="1"/>
  <c r="T206" i="1"/>
  <c r="C206" i="1"/>
  <c r="T205" i="1"/>
  <c r="T204" i="1"/>
  <c r="C204" i="1"/>
  <c r="T203" i="1"/>
  <c r="T202" i="1"/>
  <c r="C202" i="1"/>
  <c r="T201" i="1"/>
  <c r="T200" i="1"/>
  <c r="C200" i="1"/>
  <c r="T199" i="1"/>
  <c r="T198" i="1"/>
  <c r="C198" i="1"/>
  <c r="T197" i="1"/>
  <c r="T196" i="1"/>
  <c r="C196" i="1"/>
  <c r="T195" i="1"/>
  <c r="T194" i="1"/>
  <c r="C194" i="1"/>
  <c r="T193" i="1"/>
  <c r="T192" i="1"/>
  <c r="T191" i="1"/>
  <c r="C191" i="1"/>
  <c r="T190" i="1"/>
  <c r="T189" i="1"/>
  <c r="C189" i="1"/>
  <c r="T188" i="1"/>
  <c r="T187" i="1"/>
  <c r="C187" i="1"/>
  <c r="T186" i="1"/>
  <c r="T185" i="1"/>
  <c r="C185" i="1"/>
  <c r="T184" i="1"/>
  <c r="T183" i="1"/>
  <c r="C183" i="1"/>
  <c r="T182" i="1"/>
  <c r="T181" i="1"/>
  <c r="C181" i="1"/>
  <c r="T180" i="1"/>
  <c r="T179" i="1"/>
  <c r="C179" i="1"/>
  <c r="T178" i="1"/>
  <c r="T177" i="1"/>
  <c r="T176" i="1"/>
  <c r="T175" i="1"/>
  <c r="C175" i="1"/>
  <c r="T174" i="1"/>
  <c r="T173" i="1"/>
  <c r="C173" i="1"/>
  <c r="T172" i="1"/>
  <c r="C172" i="1"/>
  <c r="T171" i="1"/>
  <c r="T170" i="1"/>
  <c r="C170" i="1"/>
  <c r="T169" i="1"/>
  <c r="T168" i="1"/>
  <c r="C168" i="1"/>
  <c r="T167" i="1"/>
  <c r="T166" i="1"/>
  <c r="T165" i="1"/>
  <c r="C165" i="1"/>
  <c r="T164" i="1"/>
  <c r="T163" i="1"/>
  <c r="C163" i="1"/>
  <c r="T162" i="1"/>
  <c r="T161" i="1"/>
  <c r="C161" i="1"/>
  <c r="T160" i="1"/>
  <c r="T159" i="1"/>
  <c r="C159" i="1"/>
  <c r="T158" i="1"/>
  <c r="T157" i="1"/>
  <c r="C157" i="1"/>
  <c r="T156" i="1"/>
  <c r="T155" i="1"/>
  <c r="C155" i="1"/>
  <c r="T154" i="1"/>
  <c r="T153" i="1"/>
  <c r="C153" i="1"/>
  <c r="T152" i="1"/>
  <c r="T151" i="1"/>
  <c r="C151" i="1"/>
  <c r="T150" i="1"/>
  <c r="C150" i="1"/>
  <c r="T149" i="1"/>
  <c r="T148" i="1"/>
  <c r="T147" i="1"/>
  <c r="C147" i="1"/>
  <c r="T146" i="1"/>
  <c r="T145" i="1"/>
  <c r="C145" i="1"/>
  <c r="T144" i="1"/>
  <c r="T143" i="1"/>
  <c r="C143" i="1"/>
  <c r="T142" i="1"/>
  <c r="T141" i="1"/>
  <c r="C141" i="1"/>
  <c r="T140" i="1"/>
  <c r="T139" i="1"/>
  <c r="C139" i="1"/>
  <c r="T138" i="1"/>
  <c r="T137" i="1"/>
  <c r="C137" i="1"/>
  <c r="T136" i="1"/>
  <c r="T135" i="1"/>
  <c r="C135" i="1"/>
  <c r="T134" i="1"/>
  <c r="T133" i="1"/>
  <c r="T132" i="1"/>
  <c r="C132" i="1"/>
  <c r="T131" i="1"/>
  <c r="T130" i="1"/>
  <c r="C130" i="1"/>
  <c r="T129" i="1"/>
  <c r="T128" i="1"/>
  <c r="C128" i="1"/>
  <c r="T127" i="1"/>
  <c r="T126" i="1"/>
  <c r="C126" i="1"/>
  <c r="T125" i="1"/>
  <c r="T124" i="1"/>
  <c r="C124" i="1"/>
  <c r="T123" i="1"/>
  <c r="C123" i="1"/>
  <c r="T122" i="1"/>
  <c r="T121" i="1"/>
  <c r="T120" i="1"/>
  <c r="C120" i="1"/>
  <c r="T119" i="1"/>
  <c r="T118" i="1"/>
  <c r="C118" i="1"/>
  <c r="T117" i="1"/>
  <c r="T116" i="1"/>
  <c r="C116" i="1"/>
  <c r="T115" i="1"/>
  <c r="T114" i="1"/>
  <c r="C114" i="1"/>
  <c r="T113" i="1"/>
  <c r="T112" i="1"/>
  <c r="C112" i="1"/>
  <c r="T111" i="1"/>
  <c r="T110" i="1"/>
  <c r="C110" i="1"/>
  <c r="T109" i="1"/>
  <c r="T108" i="1"/>
  <c r="C108" i="1"/>
  <c r="T107" i="1"/>
  <c r="T106" i="1"/>
  <c r="C106" i="1"/>
  <c r="T105" i="1"/>
  <c r="T104" i="1"/>
  <c r="C104" i="1"/>
  <c r="T103" i="1"/>
  <c r="T102" i="1"/>
  <c r="C102" i="1"/>
  <c r="T101" i="1"/>
  <c r="T100" i="1"/>
  <c r="T99" i="1"/>
  <c r="C99" i="1"/>
  <c r="T98" i="1"/>
  <c r="T97" i="1"/>
  <c r="C97" i="1"/>
  <c r="T96" i="1"/>
  <c r="T95" i="1"/>
  <c r="C95" i="1"/>
  <c r="T94" i="1"/>
  <c r="T93" i="1"/>
  <c r="C93" i="1"/>
  <c r="T92" i="1"/>
  <c r="T91" i="1"/>
  <c r="C91" i="1"/>
  <c r="T90" i="1"/>
  <c r="T89" i="1"/>
  <c r="C89" i="1"/>
  <c r="T88" i="1"/>
  <c r="T87" i="1"/>
  <c r="C87" i="1"/>
  <c r="T86" i="1"/>
  <c r="T85" i="1"/>
  <c r="C85" i="1"/>
  <c r="T84" i="1"/>
  <c r="T83" i="1"/>
  <c r="C83" i="1"/>
  <c r="T82" i="1"/>
  <c r="T81" i="1"/>
  <c r="C81" i="1"/>
  <c r="T80" i="1"/>
  <c r="C80" i="1"/>
  <c r="T79" i="1"/>
  <c r="T78" i="1"/>
  <c r="C78" i="1"/>
  <c r="T77" i="1"/>
  <c r="C77" i="1"/>
  <c r="T76" i="1"/>
  <c r="T75" i="1"/>
  <c r="C75" i="1"/>
  <c r="T74" i="1"/>
  <c r="T73" i="1"/>
  <c r="C73" i="1"/>
  <c r="T72" i="1"/>
  <c r="T71" i="1"/>
  <c r="C71" i="1"/>
  <c r="T70" i="1"/>
  <c r="C70" i="1"/>
  <c r="T69" i="1"/>
  <c r="T68" i="1"/>
  <c r="C68" i="1"/>
  <c r="T67" i="1"/>
  <c r="T66" i="1"/>
  <c r="C66" i="1"/>
  <c r="T65" i="1"/>
  <c r="T64" i="1"/>
  <c r="C64" i="1"/>
  <c r="T63" i="1"/>
  <c r="T62" i="1"/>
  <c r="T61" i="1"/>
  <c r="C61" i="1"/>
  <c r="T60" i="1"/>
  <c r="T59" i="1"/>
  <c r="C59" i="1"/>
  <c r="T58" i="1"/>
  <c r="T57" i="1"/>
  <c r="C57" i="1"/>
  <c r="T56" i="1"/>
  <c r="T55" i="1"/>
  <c r="T54" i="1"/>
  <c r="T53" i="1"/>
  <c r="C53" i="1"/>
  <c r="T52" i="1"/>
  <c r="T51" i="1"/>
  <c r="C51" i="1"/>
  <c r="T50" i="1"/>
  <c r="T49" i="1"/>
  <c r="C49" i="1"/>
  <c r="T48" i="1"/>
  <c r="T47" i="1"/>
  <c r="C47" i="1"/>
  <c r="T46" i="1"/>
  <c r="T45" i="1"/>
  <c r="T44" i="1"/>
  <c r="C44" i="1"/>
  <c r="T43" i="1"/>
  <c r="T42" i="1"/>
  <c r="C42" i="1"/>
  <c r="T41" i="1"/>
  <c r="T40" i="1"/>
  <c r="C40" i="1"/>
  <c r="T39" i="1"/>
  <c r="T38" i="1"/>
  <c r="C38" i="1"/>
  <c r="T37" i="1"/>
  <c r="T36" i="1"/>
  <c r="C36" i="1"/>
  <c r="T35" i="1"/>
  <c r="T34" i="1"/>
  <c r="C34" i="1"/>
  <c r="T33" i="1"/>
  <c r="T32" i="1"/>
  <c r="C32" i="1"/>
  <c r="T31" i="1"/>
  <c r="T30" i="1"/>
  <c r="C30" i="1"/>
  <c r="T29" i="1"/>
  <c r="T28" i="1"/>
  <c r="C28" i="1"/>
  <c r="T27" i="1"/>
  <c r="T26" i="1"/>
  <c r="C26" i="1"/>
  <c r="T25" i="1"/>
  <c r="C25" i="1"/>
  <c r="T24" i="1"/>
  <c r="T23" i="1"/>
  <c r="C23" i="1"/>
  <c r="T22" i="1"/>
  <c r="T21" i="1"/>
  <c r="C21" i="1"/>
  <c r="T20" i="1"/>
  <c r="T19" i="1"/>
  <c r="C19" i="1"/>
  <c r="T18" i="1"/>
  <c r="T17" i="1"/>
  <c r="C17" i="1"/>
  <c r="T16" i="1"/>
  <c r="T15" i="1"/>
  <c r="C15" i="1"/>
  <c r="T14" i="1"/>
  <c r="T13" i="1"/>
  <c r="C13" i="1"/>
  <c r="T12" i="1"/>
  <c r="C12" i="1"/>
  <c r="T11" i="1"/>
  <c r="C11" i="1"/>
  <c r="T10" i="1"/>
  <c r="Q5" i="1"/>
  <c r="O5" i="1" s="1"/>
  <c r="P5" i="1"/>
  <c r="L5" i="1"/>
  <c r="K5" i="1"/>
  <c r="J5" i="1"/>
  <c r="I5" i="1" l="1"/>
  <c r="C14" i="1"/>
  <c r="C16" i="1" s="1"/>
  <c r="C18" i="1" l="1"/>
  <c r="C20" i="1" s="1"/>
  <c r="C22" i="1" l="1"/>
  <c r="C24" i="1" l="1"/>
  <c r="C27" i="1" l="1"/>
  <c r="C29" i="1" l="1"/>
  <c r="C31" i="1" s="1"/>
  <c r="C33" i="1" l="1"/>
  <c r="C35" i="1"/>
  <c r="C37" i="1"/>
  <c r="C39" i="1" l="1"/>
  <c r="C41" i="1" l="1"/>
  <c r="C43" i="1" s="1"/>
  <c r="C45" i="1" s="1"/>
  <c r="C46" i="1" s="1"/>
  <c r="C48" i="1" s="1"/>
  <c r="C50" i="1" s="1"/>
  <c r="C52" i="1" s="1"/>
  <c r="C54" i="1" s="1"/>
  <c r="C55" i="1" s="1"/>
  <c r="C56" i="1" s="1"/>
  <c r="C58" i="1" s="1"/>
  <c r="C60" i="1" s="1"/>
  <c r="C62" i="1" s="1"/>
  <c r="C63" i="1" s="1"/>
  <c r="C65" i="1" s="1"/>
  <c r="C67" i="1" s="1"/>
  <c r="C69" i="1" s="1"/>
  <c r="C72" i="1" s="1"/>
  <c r="C74" i="1" s="1"/>
  <c r="C76" i="1" s="1"/>
  <c r="C79" i="1" s="1"/>
  <c r="C82" i="1" s="1"/>
  <c r="C84" i="1" s="1"/>
  <c r="C86" i="1" s="1"/>
  <c r="C88" i="1" s="1"/>
  <c r="C90" i="1" s="1"/>
  <c r="C92" i="1" s="1"/>
  <c r="C94" i="1" s="1"/>
  <c r="C96" i="1" s="1"/>
  <c r="C98" i="1" s="1"/>
  <c r="C100" i="1" s="1"/>
  <c r="C101" i="1" s="1"/>
  <c r="C103" i="1" s="1"/>
  <c r="C105" i="1" s="1"/>
  <c r="C107" i="1" s="1"/>
  <c r="C109" i="1" s="1"/>
  <c r="C111" i="1" s="1"/>
  <c r="C113" i="1" s="1"/>
  <c r="C115" i="1" s="1"/>
  <c r="C117" i="1" s="1"/>
  <c r="C119" i="1" s="1"/>
  <c r="C121" i="1" s="1"/>
  <c r="C122" i="1" s="1"/>
  <c r="C125" i="1" s="1"/>
  <c r="C127" i="1" s="1"/>
  <c r="C129" i="1" s="1"/>
  <c r="C131" i="1" s="1"/>
  <c r="C133" i="1" s="1"/>
  <c r="C134" i="1" s="1"/>
  <c r="C136" i="1" s="1"/>
  <c r="C138" i="1" s="1"/>
  <c r="C140" i="1" s="1"/>
  <c r="C142" i="1" s="1"/>
  <c r="C144" i="1" s="1"/>
  <c r="C146" i="1" s="1"/>
  <c r="C148" i="1" s="1"/>
  <c r="C149" i="1" s="1"/>
  <c r="C152" i="1" s="1"/>
  <c r="C154" i="1" s="1"/>
  <c r="C156" i="1" s="1"/>
  <c r="C158" i="1" s="1"/>
  <c r="C160" i="1" s="1"/>
  <c r="C162" i="1" s="1"/>
  <c r="C164" i="1" s="1"/>
  <c r="C166" i="1" s="1"/>
  <c r="C167" i="1" s="1"/>
  <c r="C169" i="1" s="1"/>
  <c r="C171" i="1" s="1"/>
  <c r="C174" i="1" s="1"/>
  <c r="C178" i="1" s="1"/>
  <c r="C180" i="1" s="1"/>
  <c r="C182" i="1" s="1"/>
  <c r="C184" i="1" s="1"/>
  <c r="C186" i="1" s="1"/>
  <c r="C188" i="1" s="1"/>
  <c r="C190" i="1" s="1"/>
  <c r="C192" i="1" s="1"/>
  <c r="C193" i="1" s="1"/>
  <c r="C195" i="1" s="1"/>
  <c r="C197" i="1" s="1"/>
  <c r="C199" i="1" s="1"/>
  <c r="C201" i="1" s="1"/>
  <c r="C203" i="1" s="1"/>
  <c r="C205" i="1" s="1"/>
  <c r="C207" i="1" s="1"/>
  <c r="C209" i="1" s="1"/>
  <c r="C211" i="1" s="1"/>
  <c r="C212" i="1" s="1"/>
  <c r="C214" i="1" s="1"/>
  <c r="C217" i="1" s="1"/>
  <c r="C219" i="1" s="1"/>
  <c r="C221" i="1" s="1"/>
  <c r="C223" i="1" s="1"/>
  <c r="C225" i="1" s="1"/>
  <c r="C227" i="1" s="1"/>
  <c r="C229" i="1" s="1"/>
  <c r="C230" i="1" s="1"/>
  <c r="C232" i="1" s="1"/>
  <c r="C234" i="1" s="1"/>
  <c r="C236" i="1" s="1"/>
  <c r="C238" i="1" s="1"/>
  <c r="C239" i="1" s="1"/>
  <c r="C242" i="1" s="1"/>
  <c r="C244" i="1" s="1"/>
  <c r="C246" i="1" s="1"/>
  <c r="C248" i="1" s="1"/>
  <c r="C250" i="1" s="1"/>
  <c r="C251" i="1" s="1"/>
  <c r="C253" i="1" s="1"/>
  <c r="C255" i="1" s="1"/>
  <c r="C257" i="1" s="1"/>
  <c r="C260" i="1" s="1"/>
  <c r="C262" i="1" s="1"/>
  <c r="C264" i="1" s="1"/>
  <c r="C266" i="1" s="1"/>
  <c r="C269" i="1" s="1"/>
  <c r="C272" i="1" s="1"/>
  <c r="C273" i="1" s="1"/>
  <c r="C275" i="1" s="1"/>
  <c r="C278" i="1" s="1"/>
  <c r="C281" i="1" s="1"/>
  <c r="C283" i="1" s="1"/>
  <c r="C286" i="1" s="1"/>
  <c r="C289" i="1" s="1"/>
  <c r="C292" i="1" s="1"/>
  <c r="C294" i="1" s="1"/>
  <c r="C297" i="1" s="1"/>
  <c r="C299" i="1" s="1"/>
  <c r="C301" i="1" s="1"/>
  <c r="C303" i="1" s="1"/>
  <c r="C305" i="1" s="1"/>
  <c r="C307" i="1" s="1"/>
  <c r="C309" i="1" s="1"/>
  <c r="C311" i="1" s="1"/>
  <c r="C313" i="1" s="1"/>
  <c r="C315" i="1" s="1"/>
  <c r="C318" i="1" s="1"/>
  <c r="C320" i="1" s="1"/>
  <c r="C322" i="1" s="1"/>
  <c r="C324" i="1" s="1"/>
  <c r="C326" i="1" s="1"/>
  <c r="C328" i="1" s="1"/>
  <c r="C330" i="1" s="1"/>
  <c r="C332" i="1" s="1"/>
  <c r="C334" i="1" s="1"/>
  <c r="C336" i="1" s="1"/>
  <c r="C338" i="1" s="1"/>
  <c r="C340" i="1" s="1"/>
  <c r="C343" i="1" s="1"/>
  <c r="C345" i="1" s="1"/>
  <c r="C347" i="1" s="1"/>
  <c r="C349" i="1" s="1"/>
  <c r="C351" i="1" s="1"/>
  <c r="C353" i="1" s="1"/>
  <c r="C355" i="1" s="1"/>
  <c r="C358" i="1" s="1"/>
  <c r="C360" i="1" s="1"/>
  <c r="C362" i="1" s="1"/>
  <c r="C364" i="1" s="1"/>
  <c r="C366" i="1" s="1"/>
  <c r="C369" i="1" s="1"/>
  <c r="C371" i="1" s="1"/>
  <c r="C373" i="1" s="1"/>
  <c r="C37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G6" authorId="0" shapeId="0" xr:uid="{CB7397E3-41C9-784C-AB97-B3348285FD89}">
      <text>
        <r>
          <rPr>
            <b/>
            <sz val="10"/>
            <color rgb="FF000000"/>
            <rFont val="Arial"/>
            <family val="2"/>
          </rPr>
          <t>Unique Number for each attendees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G6" authorId="0" shapeId="0" xr:uid="{56673C72-DE4B-2847-8AC6-2F0E3DF89412}">
      <text>
        <r>
          <rPr>
            <b/>
            <sz val="10"/>
            <color rgb="FF000000"/>
            <rFont val="Arial"/>
            <family val="2"/>
          </rPr>
          <t>Unique Number for each attendees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  <author>Lee, Mi Ri</author>
  </authors>
  <commentList>
    <comment ref="G6" authorId="0" shapeId="0" xr:uid="{C0ECCC19-CA86-4042-AED0-07159D93CF47}">
      <text>
        <r>
          <rPr>
            <b/>
            <sz val="10"/>
            <color rgb="FF000000"/>
            <rFont val="Arial"/>
            <family val="2"/>
          </rPr>
          <t>Unique Number for each attendees</t>
        </r>
      </text>
    </comment>
    <comment ref="D423" authorId="1" shapeId="0" xr:uid="{DABBA6E5-51D8-AD48-9B10-335A99C77BFF}">
      <text>
        <r>
          <rPr>
            <b/>
            <sz val="9"/>
            <color rgb="FF000000"/>
            <rFont val="Tahoma"/>
            <family val="2"/>
          </rPr>
          <t xml:space="preserve">Hotel: </t>
        </r>
        <r>
          <rPr>
            <sz val="9"/>
            <color rgb="FF000000"/>
            <rFont val="Tahoma"/>
            <family val="2"/>
          </rPr>
          <t>9/13 - 23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G6" authorId="0" shapeId="0" xr:uid="{B66C1E0F-D220-DD42-97FD-957055163710}">
      <text>
        <r>
          <rPr>
            <b/>
            <sz val="10"/>
            <color rgb="FF000000"/>
            <rFont val="Arial"/>
            <family val="2"/>
          </rPr>
          <t>Unique Number for each attendees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G6" authorId="0" shapeId="0" xr:uid="{BFCD9B82-067E-6547-93A6-4D273AAAC6C7}">
      <text>
        <r>
          <rPr>
            <b/>
            <sz val="10"/>
            <color rgb="FF000000"/>
            <rFont val="Arial"/>
            <family val="2"/>
          </rPr>
          <t>Unique Number for each attendees</t>
        </r>
      </text>
    </comment>
  </commentList>
</comments>
</file>

<file path=xl/sharedStrings.xml><?xml version="1.0" encoding="utf-8"?>
<sst xmlns="http://schemas.openxmlformats.org/spreadsheetml/2006/main" count="28183" uniqueCount="6429">
  <si>
    <t>ROOM LIST FOR FAIRMONT AMBASSADOR SEOUL_GROUP A</t>
  </si>
  <si>
    <t>FAIRMONT</t>
  </si>
  <si>
    <t>ROOM 
TOTAL</t>
  </si>
  <si>
    <t>SINGLE</t>
  </si>
  <si>
    <t>DOUBLE</t>
  </si>
  <si>
    <t>TWIN</t>
  </si>
  <si>
    <t>EXTRA BED</t>
  </si>
  <si>
    <t>PRE &amp; POST NIGHTS</t>
  </si>
  <si>
    <t xml:space="preserve">PAX TOTAL </t>
  </si>
  <si>
    <t xml:space="preserve">ADULT </t>
  </si>
  <si>
    <t>CHD 
(5 TO UNDER 12 Y/O)</t>
  </si>
  <si>
    <t>Provided by Hotel</t>
  </si>
  <si>
    <t>Pax Count</t>
  </si>
  <si>
    <t>Room Count</t>
  </si>
  <si>
    <t>International Filght</t>
  </si>
  <si>
    <t>ROOM #</t>
  </si>
  <si>
    <t>HOTEL CONFIRM #</t>
  </si>
  <si>
    <t>GRP ID</t>
  </si>
  <si>
    <t>ROOM MATE CFM #</t>
  </si>
  <si>
    <t>PRIMARY CFM #</t>
  </si>
  <si>
    <t>FIRST NAME</t>
  </si>
  <si>
    <t>LAST NAME</t>
  </si>
  <si>
    <t>GENDER</t>
  </si>
  <si>
    <t>NATIONALITY</t>
  </si>
  <si>
    <t>DOB</t>
  </si>
  <si>
    <t>AGE</t>
  </si>
  <si>
    <t>PASSPORT</t>
  </si>
  <si>
    <t>ROOM TYPE</t>
  </si>
  <si>
    <t>PRE &amp; POST</t>
  </si>
  <si>
    <t>IN</t>
  </si>
  <si>
    <t>OUT</t>
  </si>
  <si>
    <t>RN</t>
  </si>
  <si>
    <t>TOTAL PAX</t>
  </si>
  <si>
    <t>ADULT</t>
  </si>
  <si>
    <t>CHILD</t>
  </si>
  <si>
    <t>TOTAL ROOM</t>
  </si>
  <si>
    <t>SGL</t>
  </si>
  <si>
    <t>DBL</t>
  </si>
  <si>
    <t>ARRIVAL</t>
  </si>
  <si>
    <t>DEPARTURE</t>
  </si>
  <si>
    <t>CEO</t>
  </si>
  <si>
    <t>VIP</t>
  </si>
  <si>
    <t>SPECIAL REQUEST</t>
  </si>
  <si>
    <t>HOTEL</t>
  </si>
  <si>
    <t xml:space="preserve">GROUP </t>
  </si>
  <si>
    <t>ROOM SERVICE</t>
  </si>
  <si>
    <t>MODIFICATION NOTES</t>
  </si>
  <si>
    <t>Number</t>
  </si>
  <si>
    <t>Expiry Date</t>
  </si>
  <si>
    <t>ARR DATE</t>
  </si>
  <si>
    <t>ETA</t>
  </si>
  <si>
    <t>FLIGHT #</t>
  </si>
  <si>
    <t>DEPT DATE</t>
  </si>
  <si>
    <t>ETD</t>
  </si>
  <si>
    <t>FM-A01</t>
  </si>
  <si>
    <t>NZN2Z5XYY4M</t>
  </si>
  <si>
    <t>Himawan</t>
  </si>
  <si>
    <t>Brasali</t>
  </si>
  <si>
    <t>Male</t>
  </si>
  <si>
    <t>USA</t>
  </si>
  <si>
    <t>566011075</t>
  </si>
  <si>
    <t>CX 410</t>
  </si>
  <si>
    <t>CX 411</t>
  </si>
  <si>
    <t>Alicia Nguyen 1</t>
  </si>
  <si>
    <t/>
  </si>
  <si>
    <t>A</t>
  </si>
  <si>
    <t>W9NWGQ5DD7L</t>
  </si>
  <si>
    <t>Liliana Chandra</t>
  </si>
  <si>
    <t>Female</t>
  </si>
  <si>
    <t>566011074</t>
  </si>
  <si>
    <t>PYN6VPQG6T9</t>
  </si>
  <si>
    <t>Shoufie Rusli</t>
  </si>
  <si>
    <t>Nakamura</t>
  </si>
  <si>
    <t>657107823</t>
  </si>
  <si>
    <t>UA 893</t>
  </si>
  <si>
    <t>KE 627</t>
  </si>
  <si>
    <t>6NN3YPYWJMF</t>
  </si>
  <si>
    <t>Kennedydouglas</t>
  </si>
  <si>
    <t>Jean</t>
  </si>
  <si>
    <t>542247407</t>
  </si>
  <si>
    <t>BCNVYRX63CS</t>
  </si>
  <si>
    <t>Anhvu Tran</t>
  </si>
  <si>
    <t>Nguyen</t>
  </si>
  <si>
    <t>642747925</t>
  </si>
  <si>
    <t>DL 173</t>
  </si>
  <si>
    <t>IT 603 on 19 Sep</t>
  </si>
  <si>
    <t>B3NJRY93FX2</t>
  </si>
  <si>
    <t>Ya Chen</t>
  </si>
  <si>
    <t>Chen</t>
  </si>
  <si>
    <t>Taiwan</t>
  </si>
  <si>
    <t>313819393</t>
  </si>
  <si>
    <t>JQNQMVF25YP</t>
  </si>
  <si>
    <t>Brian Mercado</t>
  </si>
  <si>
    <t>Berdiago</t>
  </si>
  <si>
    <t>A56442983</t>
  </si>
  <si>
    <t>UA 805</t>
  </si>
  <si>
    <t>UA 892</t>
  </si>
  <si>
    <t>CXNRJSK5PKF</t>
  </si>
  <si>
    <t>Alexis</t>
  </si>
  <si>
    <t>Camacho Sibrian</t>
  </si>
  <si>
    <t>659093954</t>
  </si>
  <si>
    <t>OZ 101</t>
  </si>
  <si>
    <t>OZ 212</t>
  </si>
  <si>
    <t>95NN33GQCFZ</t>
  </si>
  <si>
    <t>Daniel Gregory</t>
  </si>
  <si>
    <t>Chabino</t>
  </si>
  <si>
    <t>A46467872</t>
  </si>
  <si>
    <t>KE 5034</t>
  </si>
  <si>
    <t>PR 485</t>
  </si>
  <si>
    <t>D5NXLDNW5BB</t>
  </si>
  <si>
    <t>Nheza Mirasol</t>
  </si>
  <si>
    <t>Samia</t>
  </si>
  <si>
    <t>X7NFCHMYRSC</t>
  </si>
  <si>
    <t>Gerald Cabatbat</t>
  </si>
  <si>
    <t>Pugal</t>
  </si>
  <si>
    <t>643395716</t>
  </si>
  <si>
    <t>DL 197</t>
  </si>
  <si>
    <t>DL 196</t>
  </si>
  <si>
    <t>XMNGSK9RJW2</t>
  </si>
  <si>
    <t>Jennifermae Castillo</t>
  </si>
  <si>
    <t>Regacho</t>
  </si>
  <si>
    <t>A34053549</t>
  </si>
  <si>
    <t>KE 186</t>
  </si>
  <si>
    <t>J3N99ML8RH3</t>
  </si>
  <si>
    <t>John Franco</t>
  </si>
  <si>
    <t>Quines</t>
  </si>
  <si>
    <t>544893216</t>
  </si>
  <si>
    <t>OZ 107</t>
  </si>
  <si>
    <t>Z8NGNLRZ7TD</t>
  </si>
  <si>
    <t>Kenneth</t>
  </si>
  <si>
    <t>Jung</t>
  </si>
  <si>
    <t>654261413</t>
  </si>
  <si>
    <t>QFN6T4JS4CP</t>
  </si>
  <si>
    <t>Justin Kelly</t>
  </si>
  <si>
    <t>Mambaje</t>
  </si>
  <si>
    <t>666775455</t>
  </si>
  <si>
    <t>Upgrade - Signature Suite</t>
  </si>
  <si>
    <t>NJNXZSSPR99</t>
  </si>
  <si>
    <t>Maria Cecilia Lacap</t>
  </si>
  <si>
    <t>A31676073</t>
  </si>
  <si>
    <t>7BNJ8DW86GS</t>
  </si>
  <si>
    <t>Lily-Ann Lacap</t>
  </si>
  <si>
    <t>A39219221</t>
  </si>
  <si>
    <t>GHNKTHQG7VK</t>
  </si>
  <si>
    <t>Amalia Lacap</t>
  </si>
  <si>
    <t>A39219222</t>
  </si>
  <si>
    <t>N7NJZY3WR94</t>
  </si>
  <si>
    <t>Ruth</t>
  </si>
  <si>
    <t>Gagarin</t>
  </si>
  <si>
    <t>677505136</t>
  </si>
  <si>
    <t>M4NTGBJQJY4</t>
  </si>
  <si>
    <t>Lee Michael Castillo</t>
  </si>
  <si>
    <t>Montes</t>
  </si>
  <si>
    <t>557123119</t>
  </si>
  <si>
    <t>4VNVY9GPZPW</t>
  </si>
  <si>
    <t>Trina Pacita</t>
  </si>
  <si>
    <t>A22989308</t>
  </si>
  <si>
    <t>JVNDQKFWDV5</t>
  </si>
  <si>
    <t>Trinity Aleeya</t>
  </si>
  <si>
    <t>A29665202</t>
  </si>
  <si>
    <t>45N3BSS6BDX</t>
  </si>
  <si>
    <t>Stephanie Montes</t>
  </si>
  <si>
    <t>Dumandan</t>
  </si>
  <si>
    <t>A47304107</t>
  </si>
  <si>
    <t>KE 24</t>
  </si>
  <si>
    <t>KE 23</t>
  </si>
  <si>
    <t>SFNCLTQZ2HS</t>
  </si>
  <si>
    <t>Teresa Pacita</t>
  </si>
  <si>
    <t>Walsh</t>
  </si>
  <si>
    <t>A23438667</t>
  </si>
  <si>
    <t>S6NKVSF3B3K</t>
  </si>
  <si>
    <t>Mason Lee</t>
  </si>
  <si>
    <t>A29676700</t>
  </si>
  <si>
    <t>QDN58XDZLCH</t>
  </si>
  <si>
    <t>Lourdes</t>
  </si>
  <si>
    <t>Concepcion</t>
  </si>
  <si>
    <t>A11208373</t>
  </si>
  <si>
    <t>SZN23NXWNGG</t>
  </si>
  <si>
    <t>Ronna Mae Dilag</t>
  </si>
  <si>
    <t>Jacutin</t>
  </si>
  <si>
    <t>Philippines</t>
  </si>
  <si>
    <t>P1271678B</t>
  </si>
  <si>
    <t>Z2 884</t>
  </si>
  <si>
    <t>PR 469</t>
  </si>
  <si>
    <t>MYN285MPKN5</t>
  </si>
  <si>
    <t>Phoebe Lhyn</t>
  </si>
  <si>
    <t>Robles</t>
  </si>
  <si>
    <t>654833425</t>
  </si>
  <si>
    <t>YP 732</t>
  </si>
  <si>
    <t>UA 806</t>
  </si>
  <si>
    <t>KZNHQWTTJ8S</t>
  </si>
  <si>
    <t>Murry</t>
  </si>
  <si>
    <t>Gaerlan</t>
  </si>
  <si>
    <t>A24507897</t>
  </si>
  <si>
    <t>P9NGLZRFH7P</t>
  </si>
  <si>
    <t>Rosalinda Barcelon</t>
  </si>
  <si>
    <t>Amacan</t>
  </si>
  <si>
    <t>A51640873</t>
  </si>
  <si>
    <t>3YN62GBMSFH</t>
  </si>
  <si>
    <t>Justin Brian Millare</t>
  </si>
  <si>
    <t>Esteban</t>
  </si>
  <si>
    <t>Changed name from Sasan to Justin</t>
  </si>
  <si>
    <t>76NZLZPHCBG</t>
  </si>
  <si>
    <t>Roshni</t>
  </si>
  <si>
    <t>Maharaj</t>
  </si>
  <si>
    <t>548104904</t>
  </si>
  <si>
    <t>G3NX2M3T6HK</t>
  </si>
  <si>
    <t>Joycelyn Rosary Barcelon</t>
  </si>
  <si>
    <t>Castro</t>
  </si>
  <si>
    <t>586509900</t>
  </si>
  <si>
    <t>BSNJRTBHRBJ</t>
  </si>
  <si>
    <t>Salvacion Franco</t>
  </si>
  <si>
    <t>A29156055</t>
  </si>
  <si>
    <t>ZVNSQTZBC6P</t>
  </si>
  <si>
    <t>Domie Ursulum</t>
  </si>
  <si>
    <t>A69242032</t>
  </si>
  <si>
    <t>7MNG8Y9YV7B</t>
  </si>
  <si>
    <t>Sherwin</t>
  </si>
  <si>
    <t>Magallanes-Cruz</t>
  </si>
  <si>
    <t>A58766149</t>
  </si>
  <si>
    <t>OZ 211</t>
  </si>
  <si>
    <t>OZ 703</t>
  </si>
  <si>
    <t>BXN2X9LW6JL</t>
  </si>
  <si>
    <t>Sikander</t>
  </si>
  <si>
    <t>Lodhi</t>
  </si>
  <si>
    <t>598880332</t>
  </si>
  <si>
    <t>GLNNF8Y4CY4</t>
  </si>
  <si>
    <t>Azaan-Aslam</t>
  </si>
  <si>
    <t>655724698</t>
  </si>
  <si>
    <t>FM-A06</t>
  </si>
  <si>
    <t>2TN8TPHYRPP</t>
  </si>
  <si>
    <t>Andre Troy</t>
  </si>
  <si>
    <t>Proverbs</t>
  </si>
  <si>
    <t>A59352204</t>
  </si>
  <si>
    <t>AC 63</t>
  </si>
  <si>
    <t>KE 621</t>
  </si>
  <si>
    <t>Alicia Nguyen 2</t>
  </si>
  <si>
    <t>JPNXY7H2YKC</t>
  </si>
  <si>
    <t>Josefa Balanon</t>
  </si>
  <si>
    <t>A31073979</t>
  </si>
  <si>
    <t>J9NS76MBH9S</t>
  </si>
  <si>
    <t>Ard Henry</t>
  </si>
  <si>
    <t>Binwag</t>
  </si>
  <si>
    <t>571106497</t>
  </si>
  <si>
    <t>BR 170</t>
  </si>
  <si>
    <t>NH 6954</t>
  </si>
  <si>
    <t>H4NB6N7L6DB</t>
  </si>
  <si>
    <t>Jocelyn</t>
  </si>
  <si>
    <t>Punzalan-Binwag</t>
  </si>
  <si>
    <t>592826153</t>
  </si>
  <si>
    <t>2RNCJJK5XXV</t>
  </si>
  <si>
    <t>Elmer Valentin</t>
  </si>
  <si>
    <t>Alvarado</t>
  </si>
  <si>
    <t>643024766</t>
  </si>
  <si>
    <t>CI 160</t>
  </si>
  <si>
    <t>OZ 114</t>
  </si>
  <si>
    <t>DLNX5X5S79W</t>
  </si>
  <si>
    <t>Andrea Dugay</t>
  </si>
  <si>
    <t>643024767</t>
  </si>
  <si>
    <t>79NRQP3LZJF</t>
  </si>
  <si>
    <t>John Michael</t>
  </si>
  <si>
    <t>Elliott</t>
  </si>
  <si>
    <t>537254782</t>
  </si>
  <si>
    <t>5th floor or Lower</t>
  </si>
  <si>
    <t>GYNR24LJP3C</t>
  </si>
  <si>
    <t>Mohamed Riyaz</t>
  </si>
  <si>
    <t>Zavahir</t>
  </si>
  <si>
    <t>679332182</t>
  </si>
  <si>
    <t>OZ 201</t>
  </si>
  <si>
    <t>YP 101</t>
  </si>
  <si>
    <t>RHNCYJM23YG</t>
  </si>
  <si>
    <t>Riquaza</t>
  </si>
  <si>
    <t>A34768780</t>
  </si>
  <si>
    <t>SQ 600</t>
  </si>
  <si>
    <t>DL 188</t>
  </si>
  <si>
    <t>WRNGKMKNRVQ</t>
  </si>
  <si>
    <t>Anna Marie</t>
  </si>
  <si>
    <t>Eulona</t>
  </si>
  <si>
    <t>A01897365</t>
  </si>
  <si>
    <t>CPNVJ46D4RV</t>
  </si>
  <si>
    <t>Rommel Barcelona</t>
  </si>
  <si>
    <t>Ramos</t>
  </si>
  <si>
    <t>573079104</t>
  </si>
  <si>
    <t>KTNQQY434TS</t>
  </si>
  <si>
    <t>Mariavita</t>
  </si>
  <si>
    <t>Marinas</t>
  </si>
  <si>
    <t>573079103</t>
  </si>
  <si>
    <t>3DN29ZH5WDC</t>
  </si>
  <si>
    <t>Andrew</t>
  </si>
  <si>
    <t>Yap</t>
  </si>
  <si>
    <t>675444585</t>
  </si>
  <si>
    <t>K2NJQB23VYQ</t>
  </si>
  <si>
    <t>Wiwit</t>
  </si>
  <si>
    <t>Handayani</t>
  </si>
  <si>
    <t>Indonesia</t>
  </si>
  <si>
    <t>C8369410</t>
  </si>
  <si>
    <t>NXN2LZVYTD3</t>
  </si>
  <si>
    <t>Inge Tjiarmawati</t>
  </si>
  <si>
    <t>Djumhana</t>
  </si>
  <si>
    <t>C8755651</t>
  </si>
  <si>
    <t>9JNTVS5B6VQ</t>
  </si>
  <si>
    <t>Sri</t>
  </si>
  <si>
    <t>Rahayu</t>
  </si>
  <si>
    <t>675177160</t>
  </si>
  <si>
    <t>Y7NR779HPC7</t>
  </si>
  <si>
    <t>Xaverius Kristianto</t>
  </si>
  <si>
    <t>Mangkuorahardjo</t>
  </si>
  <si>
    <t>A15592594</t>
  </si>
  <si>
    <t>9HN7LWDDZJL</t>
  </si>
  <si>
    <t>Ivanka</t>
  </si>
  <si>
    <t>Liao</t>
  </si>
  <si>
    <t>A40443921</t>
  </si>
  <si>
    <t>AA 281</t>
  </si>
  <si>
    <t>AA 280</t>
  </si>
  <si>
    <t>WSNFY7MDCZW</t>
  </si>
  <si>
    <t>Iswandy</t>
  </si>
  <si>
    <t>Wong</t>
  </si>
  <si>
    <t>578104537</t>
  </si>
  <si>
    <t>ZFN9BNNWLRC</t>
  </si>
  <si>
    <t>Merlin</t>
  </si>
  <si>
    <t>Wahyudi</t>
  </si>
  <si>
    <t>A16429109</t>
  </si>
  <si>
    <t>TGNDJ66GC6S</t>
  </si>
  <si>
    <t>Brianna</t>
  </si>
  <si>
    <t>A16429110</t>
  </si>
  <si>
    <t>ZRN3HTKHVM2</t>
  </si>
  <si>
    <t>Mi Ha</t>
  </si>
  <si>
    <t>Vo</t>
  </si>
  <si>
    <t>A29285068</t>
  </si>
  <si>
    <t>VJ 860</t>
  </si>
  <si>
    <t>DL 170</t>
  </si>
  <si>
    <t>A - Room Service</t>
  </si>
  <si>
    <t>55NG59JSGH5</t>
  </si>
  <si>
    <t>David</t>
  </si>
  <si>
    <t>Nghe</t>
  </si>
  <si>
    <t>A28828501</t>
  </si>
  <si>
    <t>B9N6NQFWDSF</t>
  </si>
  <si>
    <t>Aivy</t>
  </si>
  <si>
    <t>A11205719</t>
  </si>
  <si>
    <t>66N3HLXYMH8</t>
  </si>
  <si>
    <t>Michael</t>
  </si>
  <si>
    <t>A07100676</t>
  </si>
  <si>
    <t>YP 132</t>
  </si>
  <si>
    <t>YP 131</t>
  </si>
  <si>
    <t>2ZN88XDZZWB</t>
  </si>
  <si>
    <t>Emma Yue</t>
  </si>
  <si>
    <t>678989496</t>
  </si>
  <si>
    <t>QZNYCRP39XY</t>
  </si>
  <si>
    <t>Chenping</t>
  </si>
  <si>
    <t>Wu</t>
  </si>
  <si>
    <t>663207714</t>
  </si>
  <si>
    <t>HGNBF2YM76H</t>
  </si>
  <si>
    <t>Aiden Hao</t>
  </si>
  <si>
    <t>A21896375</t>
  </si>
  <si>
    <t>LGNCV9Z6Q6B</t>
  </si>
  <si>
    <t>Qin</t>
  </si>
  <si>
    <t>Yu</t>
  </si>
  <si>
    <t>570872623</t>
  </si>
  <si>
    <t>VJ 862</t>
  </si>
  <si>
    <t>AC 62</t>
  </si>
  <si>
    <t>DVNDVZ72P6V</t>
  </si>
  <si>
    <t>Keng Meng</t>
  </si>
  <si>
    <t>Chia</t>
  </si>
  <si>
    <t>552873955</t>
  </si>
  <si>
    <t>9FNNC9HHN99</t>
  </si>
  <si>
    <t>Emerald Lulu</t>
  </si>
  <si>
    <t>678375823</t>
  </si>
  <si>
    <t>RRN7CHWWHG3</t>
  </si>
  <si>
    <t>Yuyan</t>
  </si>
  <si>
    <t>China</t>
  </si>
  <si>
    <t>EE2867790</t>
  </si>
  <si>
    <t>6GNQ6NWN3GN</t>
  </si>
  <si>
    <t>Youchang</t>
  </si>
  <si>
    <t>568772899</t>
  </si>
  <si>
    <t>8NNNLDPTD4D</t>
  </si>
  <si>
    <t>Keng Xiang</t>
  </si>
  <si>
    <t>Chia Jr</t>
  </si>
  <si>
    <t>A11101861</t>
  </si>
  <si>
    <t>CTN4L3XTSVR</t>
  </si>
  <si>
    <t>Ummu Hani</t>
  </si>
  <si>
    <t>White</t>
  </si>
  <si>
    <t>972190157</t>
  </si>
  <si>
    <t>OZ 223</t>
  </si>
  <si>
    <t>OZ 761</t>
  </si>
  <si>
    <t>JFNJC6PDV6K</t>
  </si>
  <si>
    <t>Jilisa Imani</t>
  </si>
  <si>
    <t>Mccullough</t>
  </si>
  <si>
    <t>A10633926</t>
  </si>
  <si>
    <t>YMNRGYTFSMF</t>
  </si>
  <si>
    <t>David Khuong</t>
  </si>
  <si>
    <t>Pham</t>
  </si>
  <si>
    <t>482977746</t>
  </si>
  <si>
    <t>KE 724</t>
  </si>
  <si>
    <t>DL 26</t>
  </si>
  <si>
    <t>M6NT55DMJY8</t>
  </si>
  <si>
    <t>Ava</t>
  </si>
  <si>
    <t>545854879</t>
  </si>
  <si>
    <t>RHNKWQ6YXJR</t>
  </si>
  <si>
    <t>Hanh Ngoc</t>
  </si>
  <si>
    <t>Dang</t>
  </si>
  <si>
    <t>544376591</t>
  </si>
  <si>
    <t>YZNX2Y4HW5W</t>
  </si>
  <si>
    <t>Xuan Thi-Nhu</t>
  </si>
  <si>
    <t>590778756</t>
  </si>
  <si>
    <t>2NN5X225NVN</t>
  </si>
  <si>
    <t>Francisco Casanova</t>
  </si>
  <si>
    <t>Halili</t>
  </si>
  <si>
    <t>A26363037</t>
  </si>
  <si>
    <t>OZ 203</t>
  </si>
  <si>
    <t>OZ 701</t>
  </si>
  <si>
    <t>WNN3RX9LHW7</t>
  </si>
  <si>
    <t>Evangeline Silvano</t>
  </si>
  <si>
    <t>571472666</t>
  </si>
  <si>
    <t>TNN4SWSBW7Q</t>
  </si>
  <si>
    <t>Jared Roi Masangkay</t>
  </si>
  <si>
    <t>Sayo</t>
  </si>
  <si>
    <t>A69592564</t>
  </si>
  <si>
    <t>CRNNTZ3G78R</t>
  </si>
  <si>
    <t>Erliza Dizon</t>
  </si>
  <si>
    <t>Solis</t>
  </si>
  <si>
    <t>671266142</t>
  </si>
  <si>
    <t>KSNSMZ447WP</t>
  </si>
  <si>
    <t>Yolanda Gentuya</t>
  </si>
  <si>
    <t>Soldevilla</t>
  </si>
  <si>
    <t>655779934</t>
  </si>
  <si>
    <t>L5NZX53M48J</t>
  </si>
  <si>
    <t>Josie Guintivano</t>
  </si>
  <si>
    <t>De Leon</t>
  </si>
  <si>
    <t>A01827184</t>
  </si>
  <si>
    <t>V3N6YF9FZ78</t>
  </si>
  <si>
    <t>Zenaida</t>
  </si>
  <si>
    <t>Fernandez</t>
  </si>
  <si>
    <t>A51553452</t>
  </si>
  <si>
    <t>R8N4SDVWP83</t>
  </si>
  <si>
    <t>Gregorio</t>
  </si>
  <si>
    <t>A48810679</t>
  </si>
  <si>
    <t>G4N6JZ9LSBW</t>
  </si>
  <si>
    <t>Joanna Thieu</t>
  </si>
  <si>
    <t>Ngo</t>
  </si>
  <si>
    <t>A13567679</t>
  </si>
  <si>
    <t>VN 417</t>
  </si>
  <si>
    <t>P6NBPLG4JTH</t>
  </si>
  <si>
    <t>Tai Chan</t>
  </si>
  <si>
    <t>A46206799</t>
  </si>
  <si>
    <t>WZNHSCH8RKY</t>
  </si>
  <si>
    <t>Melissa</t>
  </si>
  <si>
    <t>Chang</t>
  </si>
  <si>
    <t>A52407259</t>
  </si>
  <si>
    <t>KE 185</t>
  </si>
  <si>
    <t>5WN2NDDTKD7</t>
  </si>
  <si>
    <t>Denise T.</t>
  </si>
  <si>
    <t>Vong</t>
  </si>
  <si>
    <t>555707343</t>
  </si>
  <si>
    <t>9GNF58NC6KP</t>
  </si>
  <si>
    <t>Tiffany Ha Thieu</t>
  </si>
  <si>
    <t>Hoang</t>
  </si>
  <si>
    <t>A04614593</t>
  </si>
  <si>
    <t>TQNXF43YDJT</t>
  </si>
  <si>
    <t>Kam Fun</t>
  </si>
  <si>
    <t>Fung</t>
  </si>
  <si>
    <t>Canada</t>
  </si>
  <si>
    <t>AB933623</t>
  </si>
  <si>
    <t>WS 86</t>
  </si>
  <si>
    <t>WS 87</t>
  </si>
  <si>
    <t>4RNNRPFR2KL</t>
  </si>
  <si>
    <t>Peterson</t>
  </si>
  <si>
    <t>Stephen</t>
  </si>
  <si>
    <t>P524012NG</t>
  </si>
  <si>
    <t>G6NPWHHY6ZL</t>
  </si>
  <si>
    <t>Irving</t>
  </si>
  <si>
    <t>Joe</t>
  </si>
  <si>
    <t>A35989499</t>
  </si>
  <si>
    <t>74NSMW9FLNC</t>
  </si>
  <si>
    <t>Helen M</t>
  </si>
  <si>
    <t>Wong-Joe</t>
  </si>
  <si>
    <t>A37825876</t>
  </si>
  <si>
    <t>D7N45CLJRHT</t>
  </si>
  <si>
    <t>Andrea Baduria</t>
  </si>
  <si>
    <t>Ross</t>
  </si>
  <si>
    <t>598788042</t>
  </si>
  <si>
    <t>7C 109</t>
  </si>
  <si>
    <t>M5NT9KZWWDY</t>
  </si>
  <si>
    <t>James Boggs</t>
  </si>
  <si>
    <t>584335190</t>
  </si>
  <si>
    <t>FKNKYLTM6M9</t>
  </si>
  <si>
    <t>Angelina Bautista</t>
  </si>
  <si>
    <t>De La Rosa</t>
  </si>
  <si>
    <t>667064035</t>
  </si>
  <si>
    <t>W4NYNSH4HM4</t>
  </si>
  <si>
    <t>Higinio</t>
  </si>
  <si>
    <t>Santiago</t>
  </si>
  <si>
    <t>583129537</t>
  </si>
  <si>
    <t>CX 439</t>
  </si>
  <si>
    <t>CJNWVY9K7WS</t>
  </si>
  <si>
    <t>Maria</t>
  </si>
  <si>
    <t>Beane</t>
  </si>
  <si>
    <t>558972730</t>
  </si>
  <si>
    <t>4WN6YRGNHMK</t>
  </si>
  <si>
    <t>Theodore Elliot</t>
  </si>
  <si>
    <t>423691693</t>
  </si>
  <si>
    <t>36NJX2J7Q3K</t>
  </si>
  <si>
    <t>Blanche Rose</t>
  </si>
  <si>
    <t>Melanson</t>
  </si>
  <si>
    <t>P959290NW</t>
  </si>
  <si>
    <t>Changed Twin to Double</t>
  </si>
  <si>
    <t>GWN39C5T7PQ</t>
  </si>
  <si>
    <t>Nadia Marie</t>
  </si>
  <si>
    <t>Cormier</t>
  </si>
  <si>
    <t>AW506727</t>
  </si>
  <si>
    <t>MMN6XD94DR4</t>
  </si>
  <si>
    <t>Marie Therese Rita</t>
  </si>
  <si>
    <t>Allain</t>
  </si>
  <si>
    <t>AH362250</t>
  </si>
  <si>
    <t>53N8DKDDQMH</t>
  </si>
  <si>
    <t>Aline</t>
  </si>
  <si>
    <t>Nicholson</t>
  </si>
  <si>
    <t>P402455DP</t>
  </si>
  <si>
    <t>5RNP2DVWY3K</t>
  </si>
  <si>
    <t>Gisele Marie Noella</t>
  </si>
  <si>
    <t>Robichaud</t>
  </si>
  <si>
    <t>HN022927</t>
  </si>
  <si>
    <t>KBNDH323N3V</t>
  </si>
  <si>
    <t>Rosaire</t>
  </si>
  <si>
    <t>Richard</t>
  </si>
  <si>
    <t>HH747881</t>
  </si>
  <si>
    <t>BRNGXHZ4R6S</t>
  </si>
  <si>
    <t>Linda</t>
  </si>
  <si>
    <t>Jaillet</t>
  </si>
  <si>
    <t>AB487927</t>
  </si>
  <si>
    <t>SHNV74F9CZK</t>
  </si>
  <si>
    <t>Noella</t>
  </si>
  <si>
    <t>Smith</t>
  </si>
  <si>
    <t>HK414346</t>
  </si>
  <si>
    <t>Y7N2L9M5VTB</t>
  </si>
  <si>
    <t>Melanie</t>
  </si>
  <si>
    <t>Leger</t>
  </si>
  <si>
    <t>GB196548</t>
  </si>
  <si>
    <t>JCNCNRKK5Y3</t>
  </si>
  <si>
    <t>Rene Joseph Adolphe</t>
  </si>
  <si>
    <t>P561427FS</t>
  </si>
  <si>
    <t>H7NZ2LTRQGK</t>
  </si>
  <si>
    <t>Michelle Lynn</t>
  </si>
  <si>
    <t>Welling</t>
  </si>
  <si>
    <t>PG458158</t>
  </si>
  <si>
    <t>ZYNFBJPY2K9</t>
  </si>
  <si>
    <t>Ankhang</t>
  </si>
  <si>
    <t>A23293391</t>
  </si>
  <si>
    <t>DL 189</t>
  </si>
  <si>
    <t>NQ 122</t>
  </si>
  <si>
    <t>RJNNQ42P6LV</t>
  </si>
  <si>
    <t>Changye</t>
  </si>
  <si>
    <t>A11205721</t>
  </si>
  <si>
    <t>7JNFC9697FZ</t>
  </si>
  <si>
    <t>Lucas</t>
  </si>
  <si>
    <t>A26212911</t>
  </si>
  <si>
    <t>JHNHMT7RVDQ</t>
  </si>
  <si>
    <t>Silvia</t>
  </si>
  <si>
    <t>Sadikin</t>
  </si>
  <si>
    <t>644895688</t>
  </si>
  <si>
    <t>7PNTNL7KMKR</t>
  </si>
  <si>
    <t>Christopher</t>
  </si>
  <si>
    <t>Benjamin</t>
  </si>
  <si>
    <t>A80459841</t>
  </si>
  <si>
    <t>BFNX8HXXHHN</t>
  </si>
  <si>
    <t>Harpal Singh</t>
  </si>
  <si>
    <t>Bhangu</t>
  </si>
  <si>
    <t>564233022</t>
  </si>
  <si>
    <t>TG 657</t>
  </si>
  <si>
    <t>Y5NLPSJCPVC</t>
  </si>
  <si>
    <t>Harmit Kaur</t>
  </si>
  <si>
    <t>FM-A07</t>
  </si>
  <si>
    <t>GGNBWNGRZPQ</t>
  </si>
  <si>
    <t>Jeremy Paul</t>
  </si>
  <si>
    <t>Ferrer</t>
  </si>
  <si>
    <t>HP618353</t>
  </si>
  <si>
    <t>AC 61</t>
  </si>
  <si>
    <t>MH 67</t>
  </si>
  <si>
    <t>Bernard Demeterio</t>
  </si>
  <si>
    <t>DQNSZ7LDB66</t>
  </si>
  <si>
    <t>Carlito</t>
  </si>
  <si>
    <t>P603124NG</t>
  </si>
  <si>
    <t>Q5NSDQGTGR4</t>
  </si>
  <si>
    <t>Johannah Thea</t>
  </si>
  <si>
    <t>AW888982</t>
  </si>
  <si>
    <t>GSNF7HPWBTG</t>
  </si>
  <si>
    <t>Lilibeth</t>
  </si>
  <si>
    <t>Reyes</t>
  </si>
  <si>
    <t>HP618349</t>
  </si>
  <si>
    <t>FM-A13</t>
  </si>
  <si>
    <t>2FNQMRSVQXR</t>
  </si>
  <si>
    <t>Chimatara</t>
  </si>
  <si>
    <t>Nwoke</t>
  </si>
  <si>
    <t>A02337222</t>
  </si>
  <si>
    <t>Donatus Onwuanaegbule</t>
  </si>
  <si>
    <t>NMNH9L7MB5B</t>
  </si>
  <si>
    <t>Donatus</t>
  </si>
  <si>
    <t>Onwuanaegbule</t>
  </si>
  <si>
    <t>648054565</t>
  </si>
  <si>
    <t>CEO VIP</t>
  </si>
  <si>
    <t>2LNCJS5C2JV</t>
  </si>
  <si>
    <t>Appolonia Nnediogo</t>
  </si>
  <si>
    <t>584429065</t>
  </si>
  <si>
    <t>HLN7VX42KYK</t>
  </si>
  <si>
    <t>Freeborn</t>
  </si>
  <si>
    <t>Ukpede</t>
  </si>
  <si>
    <t>668239161</t>
  </si>
  <si>
    <t>DL 7868</t>
  </si>
  <si>
    <t>DL 7869</t>
  </si>
  <si>
    <t>FMN8NPWPFGK</t>
  </si>
  <si>
    <t>Freebie Ovwe</t>
  </si>
  <si>
    <t>A36568731</t>
  </si>
  <si>
    <t>QVN44TYB43B</t>
  </si>
  <si>
    <t>Gladys Obiageli</t>
  </si>
  <si>
    <t>Oramasionwu</t>
  </si>
  <si>
    <t>640615412</t>
  </si>
  <si>
    <t>WHN8L9R6FDD</t>
  </si>
  <si>
    <t>Fatimot Tinuade</t>
  </si>
  <si>
    <t>Sodunke</t>
  </si>
  <si>
    <t>646455468</t>
  </si>
  <si>
    <t>DL 7844</t>
  </si>
  <si>
    <t>DL 7843</t>
  </si>
  <si>
    <t>85NKFBTHHYW</t>
  </si>
  <si>
    <t>Justina Abimbola</t>
  </si>
  <si>
    <t>Olu-Alakija</t>
  </si>
  <si>
    <t>653713364</t>
  </si>
  <si>
    <t>DL 27</t>
  </si>
  <si>
    <t>FSN27F8Z8XC</t>
  </si>
  <si>
    <t>Justina Chinasa</t>
  </si>
  <si>
    <t>Ekezie</t>
  </si>
  <si>
    <t>578388744</t>
  </si>
  <si>
    <t>GZNK8Z6R86T</t>
  </si>
  <si>
    <t>Olabisi Tokunbo</t>
  </si>
  <si>
    <t>Omehe</t>
  </si>
  <si>
    <t>A66707728</t>
  </si>
  <si>
    <t>BLNLP6VGR4S</t>
  </si>
  <si>
    <t>Patsy Ndidiamaka</t>
  </si>
  <si>
    <t>Iroha</t>
  </si>
  <si>
    <t>540962769</t>
  </si>
  <si>
    <t>4BNXK2BDVV7</t>
  </si>
  <si>
    <t>Promise Nma</t>
  </si>
  <si>
    <t>Igboanugo</t>
  </si>
  <si>
    <t>A69254184</t>
  </si>
  <si>
    <t>TPN9BQMB7KN</t>
  </si>
  <si>
    <t>Obiageri Oby</t>
  </si>
  <si>
    <t>Okoroafor</t>
  </si>
  <si>
    <t>670096945</t>
  </si>
  <si>
    <t>SKNVZT6TB4P</t>
  </si>
  <si>
    <t>Prisca Chinelo</t>
  </si>
  <si>
    <t>Okonkwo</t>
  </si>
  <si>
    <t>546279654</t>
  </si>
  <si>
    <t>8XN2339XKZY</t>
  </si>
  <si>
    <t>Chinonso</t>
  </si>
  <si>
    <t>Okoye</t>
  </si>
  <si>
    <t>C36985643</t>
  </si>
  <si>
    <t>FM-A03</t>
  </si>
  <si>
    <t>NJNCKG5Q26Y</t>
  </si>
  <si>
    <t>Akindayo Olushola</t>
  </si>
  <si>
    <t>Ilesanmi</t>
  </si>
  <si>
    <t>A32488000</t>
  </si>
  <si>
    <t>VJ 961</t>
  </si>
  <si>
    <t>J.B. Nguyen</t>
  </si>
  <si>
    <t>K3NZXDVDGZD</t>
  </si>
  <si>
    <t>Binh Thanh</t>
  </si>
  <si>
    <t>663301490</t>
  </si>
  <si>
    <t>78NHQ8HGZQZ</t>
  </si>
  <si>
    <t>Thuy Le</t>
  </si>
  <si>
    <t>Luu</t>
  </si>
  <si>
    <t>566719036</t>
  </si>
  <si>
    <t>TPNRDZZR8JZ</t>
  </si>
  <si>
    <t>Emma Thuong</t>
  </si>
  <si>
    <t>A46699161</t>
  </si>
  <si>
    <t>LPNLNCWGC89</t>
  </si>
  <si>
    <t>Christina Saraya</t>
  </si>
  <si>
    <t>Mc Kenzie</t>
  </si>
  <si>
    <t>645717782</t>
  </si>
  <si>
    <t>3GNRBFRRN45</t>
  </si>
  <si>
    <t>Raynell Alexsis</t>
  </si>
  <si>
    <t>555359093</t>
  </si>
  <si>
    <t>4ZNF2SY6DXR</t>
  </si>
  <si>
    <t>Clorine Coral</t>
  </si>
  <si>
    <t>A17820856</t>
  </si>
  <si>
    <t>SRN5TF975DB</t>
  </si>
  <si>
    <t>Aubrey Francis</t>
  </si>
  <si>
    <t>549721357</t>
  </si>
  <si>
    <t>RHN7V4L7PJV</t>
  </si>
  <si>
    <t>Eddie Deangelo</t>
  </si>
  <si>
    <t>Northington</t>
  </si>
  <si>
    <t>A08652420</t>
  </si>
  <si>
    <t>DL 159</t>
  </si>
  <si>
    <t>DL 158</t>
  </si>
  <si>
    <t>YGN2VRCZLNZ</t>
  </si>
  <si>
    <t>Northington Lanice</t>
  </si>
  <si>
    <t>Shaina</t>
  </si>
  <si>
    <t>FGN2NZ6CGKG</t>
  </si>
  <si>
    <t>Eddie Emmanuel</t>
  </si>
  <si>
    <t>A57394141</t>
  </si>
  <si>
    <t>88N7T95C59S</t>
  </si>
  <si>
    <t>Eli</t>
  </si>
  <si>
    <t>A38753024</t>
  </si>
  <si>
    <t>TBN5TKK8TXF</t>
  </si>
  <si>
    <t>Jameel Islaam</t>
  </si>
  <si>
    <t>Muhammad</t>
  </si>
  <si>
    <t>593148002</t>
  </si>
  <si>
    <t>TK 20</t>
  </si>
  <si>
    <t>B2N2FTB4XBV</t>
  </si>
  <si>
    <t>Britney Shnika</t>
  </si>
  <si>
    <t>Veal</t>
  </si>
  <si>
    <t>570856484</t>
  </si>
  <si>
    <t>Q5N27TZ9DJC</t>
  </si>
  <si>
    <t>Pushpa</t>
  </si>
  <si>
    <t>Latta</t>
  </si>
  <si>
    <t>657849628</t>
  </si>
  <si>
    <t>YP 112</t>
  </si>
  <si>
    <t>THNSVX95VTY</t>
  </si>
  <si>
    <t>Anuradha</t>
  </si>
  <si>
    <t>Kamboj</t>
  </si>
  <si>
    <t>A22864944</t>
  </si>
  <si>
    <t>TSNBKRH6H95</t>
  </si>
  <si>
    <t>Kingsley Chuks</t>
  </si>
  <si>
    <t>Okeleke</t>
  </si>
  <si>
    <t>565957322</t>
  </si>
  <si>
    <t>TYNLTWR6FBZ</t>
  </si>
  <si>
    <t>Margaret Sonalamen</t>
  </si>
  <si>
    <t>566818876</t>
  </si>
  <si>
    <t>JTNR3QLQCWM</t>
  </si>
  <si>
    <t>Peter Emeka</t>
  </si>
  <si>
    <t>Ezekiel</t>
  </si>
  <si>
    <t>599737615</t>
  </si>
  <si>
    <t>SFN7H7TTWKF</t>
  </si>
  <si>
    <t>Bao</t>
  </si>
  <si>
    <t>797936590</t>
  </si>
  <si>
    <t>VJ 960</t>
  </si>
  <si>
    <t>Z2NLBHN65VZ</t>
  </si>
  <si>
    <t>Mia</t>
  </si>
  <si>
    <t>8VNBM62N33Q</t>
  </si>
  <si>
    <t>Martin Alonzo</t>
  </si>
  <si>
    <t>Martinez</t>
  </si>
  <si>
    <t>A03802732</t>
  </si>
  <si>
    <t>ZG 42</t>
  </si>
  <si>
    <t>74NT4Z3WQNJ</t>
  </si>
  <si>
    <t>Stevie Hendrix</t>
  </si>
  <si>
    <t>681242606</t>
  </si>
  <si>
    <t>3NN3VY2BG3L</t>
  </si>
  <si>
    <t>Helen</t>
  </si>
  <si>
    <t>Sanchez</t>
  </si>
  <si>
    <t>A51589115</t>
  </si>
  <si>
    <t>5GNVTSW7RJC</t>
  </si>
  <si>
    <t>Thuong Xuan Cao</t>
  </si>
  <si>
    <t>Vietnam</t>
  </si>
  <si>
    <t>A51624176</t>
  </si>
  <si>
    <t>34NT5TTD5HG</t>
  </si>
  <si>
    <t>Luca Thuong</t>
  </si>
  <si>
    <t>A46699160</t>
  </si>
  <si>
    <t>KVNPPJY47VR</t>
  </si>
  <si>
    <t>Dinh</t>
  </si>
  <si>
    <t>Truong</t>
  </si>
  <si>
    <t>A42611263</t>
  </si>
  <si>
    <t>R4N8BJ397YR</t>
  </si>
  <si>
    <t>Trang Thi My</t>
  </si>
  <si>
    <t>Tran</t>
  </si>
  <si>
    <t>A66908523</t>
  </si>
  <si>
    <t>3BNR9BNNHZ9</t>
  </si>
  <si>
    <t>Hung Minh</t>
  </si>
  <si>
    <t>Extra kids</t>
  </si>
  <si>
    <t>FGNWDFVGXJX</t>
  </si>
  <si>
    <t>Lainey</t>
  </si>
  <si>
    <t>ZVNND87CZDN</t>
  </si>
  <si>
    <t>Leomia Ashley</t>
  </si>
  <si>
    <t>Mitchell</t>
  </si>
  <si>
    <t>577297119</t>
  </si>
  <si>
    <t>DL 172</t>
  </si>
  <si>
    <t>6SNYMFFSZVY</t>
  </si>
  <si>
    <t>Deantae</t>
  </si>
  <si>
    <t>9136594752</t>
  </si>
  <si>
    <t>RWNKFF2DKYN</t>
  </si>
  <si>
    <t>Michelle Hue Mai</t>
  </si>
  <si>
    <t>653288077</t>
  </si>
  <si>
    <t>YQNFW8DCS7V</t>
  </si>
  <si>
    <t>Loc Huu</t>
  </si>
  <si>
    <t>653291201</t>
  </si>
  <si>
    <t>86NHRSFFGBZ</t>
  </si>
  <si>
    <t>Tuyen</t>
  </si>
  <si>
    <t>557203947</t>
  </si>
  <si>
    <t>VJ 974</t>
  </si>
  <si>
    <t>3RNMLPKCNRT</t>
  </si>
  <si>
    <t>Chau</t>
  </si>
  <si>
    <t>A37412572</t>
  </si>
  <si>
    <t>FM-A08</t>
  </si>
  <si>
    <t>T3NHQDBVH4S</t>
  </si>
  <si>
    <t>Ma Catherine</t>
  </si>
  <si>
    <t>Ragas</t>
  </si>
  <si>
    <t>AT707755</t>
  </si>
  <si>
    <t>PR 418</t>
  </si>
  <si>
    <t>Jefferson Nillo</t>
  </si>
  <si>
    <t>VFNTH4J2H3V</t>
  </si>
  <si>
    <t>Carl Jenrey</t>
  </si>
  <si>
    <t>Quinto</t>
  </si>
  <si>
    <t>AR077786</t>
  </si>
  <si>
    <t>4DNCBV3VTFK</t>
  </si>
  <si>
    <t>Jennifer</t>
  </si>
  <si>
    <t>P247955LS</t>
  </si>
  <si>
    <t>TLN7XJ336NZ</t>
  </si>
  <si>
    <t>Remegio</t>
  </si>
  <si>
    <t>P248021LS</t>
  </si>
  <si>
    <t>FRNCR2FNCVX</t>
  </si>
  <si>
    <t>Marjorie</t>
  </si>
  <si>
    <t>Pahitte</t>
  </si>
  <si>
    <t>AT738150</t>
  </si>
  <si>
    <t>PR 468</t>
  </si>
  <si>
    <t>9QNTQLCQG5Y</t>
  </si>
  <si>
    <t>Josette</t>
  </si>
  <si>
    <t>Mana-Ay</t>
  </si>
  <si>
    <t>AH855657</t>
  </si>
  <si>
    <t>DYN6YRYJS85</t>
  </si>
  <si>
    <t>Woodee Tamayo</t>
  </si>
  <si>
    <t>Aboy</t>
  </si>
  <si>
    <t>P126940NW</t>
  </si>
  <si>
    <t>OZ 702</t>
  </si>
  <si>
    <t>LYNM3FB4LP9</t>
  </si>
  <si>
    <t>Jefferson</t>
  </si>
  <si>
    <t>Nillo</t>
  </si>
  <si>
    <t>HP622726</t>
  </si>
  <si>
    <t>CMNTQ89DN3L</t>
  </si>
  <si>
    <t>Niaina Rindrasoa</t>
  </si>
  <si>
    <t>Rakotondranaivo</t>
  </si>
  <si>
    <t>AS355716</t>
  </si>
  <si>
    <t>Q9NLB9JY99M</t>
  </si>
  <si>
    <t>Nancy Bantolo</t>
  </si>
  <si>
    <t>Rosalem</t>
  </si>
  <si>
    <t>PG001081</t>
  </si>
  <si>
    <t>7C 2104</t>
  </si>
  <si>
    <t>7C 2103</t>
  </si>
  <si>
    <t>88NNG2NSJ6V</t>
  </si>
  <si>
    <t>Claro Jr Santos</t>
  </si>
  <si>
    <t>Caluza</t>
  </si>
  <si>
    <t>P252511LS</t>
  </si>
  <si>
    <t>FM-A04</t>
  </si>
  <si>
    <t>7TN5Q8CM4HS</t>
  </si>
  <si>
    <t>Alicia</t>
  </si>
  <si>
    <t>Dalao</t>
  </si>
  <si>
    <t>5438168355</t>
  </si>
  <si>
    <t>7C 120</t>
  </si>
  <si>
    <t>OZ 202</t>
  </si>
  <si>
    <t>Joen De Las Penas</t>
  </si>
  <si>
    <t>YFNPJ37HLGN</t>
  </si>
  <si>
    <t>Priscilla</t>
  </si>
  <si>
    <t>Galicia</t>
  </si>
  <si>
    <t>540002855</t>
  </si>
  <si>
    <t>BR 159</t>
  </si>
  <si>
    <t>GGN92BVZJLX</t>
  </si>
  <si>
    <t>Juliet Grace Guzman</t>
  </si>
  <si>
    <t>543085403</t>
  </si>
  <si>
    <t>OZ 102</t>
  </si>
  <si>
    <t>F9NQNRBH9F4</t>
  </si>
  <si>
    <t>Susan Guzman</t>
  </si>
  <si>
    <t>A00898529</t>
  </si>
  <si>
    <t>WLNMQCQJ2TJ</t>
  </si>
  <si>
    <t>George Njuguna</t>
  </si>
  <si>
    <t>Njau</t>
  </si>
  <si>
    <t>682573603</t>
  </si>
  <si>
    <t>BRNXYMLZCQ8</t>
  </si>
  <si>
    <t>Lucy Mukami</t>
  </si>
  <si>
    <t>Njuguna</t>
  </si>
  <si>
    <t>562624767`</t>
  </si>
  <si>
    <t>97N9YQ3BVSC</t>
  </si>
  <si>
    <t>Maureen Wanjiru</t>
  </si>
  <si>
    <t>594885159</t>
  </si>
  <si>
    <t>5ZNMP955CSV</t>
  </si>
  <si>
    <t>Martha Mugure</t>
  </si>
  <si>
    <t>594941892</t>
  </si>
  <si>
    <t>5DN93KS8BXR</t>
  </si>
  <si>
    <t>Maurice Njau</t>
  </si>
  <si>
    <t>678946421</t>
  </si>
  <si>
    <t>5SNHK9PV9WX</t>
  </si>
  <si>
    <t>Malia Mukami</t>
  </si>
  <si>
    <t>A12507043</t>
  </si>
  <si>
    <t>6YNQJJKHX3V</t>
  </si>
  <si>
    <t>James Nganga</t>
  </si>
  <si>
    <t>Kihika</t>
  </si>
  <si>
    <t>670866177</t>
  </si>
  <si>
    <t>76NFBLGRYJC</t>
  </si>
  <si>
    <t>Yao Zong</t>
  </si>
  <si>
    <t>Lu</t>
  </si>
  <si>
    <t>548943242</t>
  </si>
  <si>
    <t>7C 122</t>
  </si>
  <si>
    <t>CA 440</t>
  </si>
  <si>
    <t>BLNR9SJYXPX</t>
  </si>
  <si>
    <t>Susan Wambui</t>
  </si>
  <si>
    <t>Kamau</t>
  </si>
  <si>
    <t>A21409843</t>
  </si>
  <si>
    <t>KE 5019</t>
  </si>
  <si>
    <t>YCN43KDXZS6</t>
  </si>
  <si>
    <t>Rose Mary</t>
  </si>
  <si>
    <t>Scott</t>
  </si>
  <si>
    <t>539440203</t>
  </si>
  <si>
    <t>TXNC5MZFN98</t>
  </si>
  <si>
    <t>Maria Jan Luv Santos</t>
  </si>
  <si>
    <t>Lagasca Borja</t>
  </si>
  <si>
    <t>556302165</t>
  </si>
  <si>
    <t>7C 1328 ON 12 SEP</t>
  </si>
  <si>
    <t>JL 92</t>
  </si>
  <si>
    <t>9NN3PLSWKD5</t>
  </si>
  <si>
    <t>Amado James Boco</t>
  </si>
  <si>
    <t>Borja</t>
  </si>
  <si>
    <t>586184220</t>
  </si>
  <si>
    <t>YMNGK939LRP</t>
  </si>
  <si>
    <t>Jose Enrique</t>
  </si>
  <si>
    <t>De Las Penas</t>
  </si>
  <si>
    <t>P5807884B</t>
  </si>
  <si>
    <t>RXNRDC5JT6G</t>
  </si>
  <si>
    <t>Maryann</t>
  </si>
  <si>
    <t>Orlowski</t>
  </si>
  <si>
    <t>A09561877</t>
  </si>
  <si>
    <t>DBN2637YP2X</t>
  </si>
  <si>
    <t>Juanita Lacuesta</t>
  </si>
  <si>
    <t>Orquia</t>
  </si>
  <si>
    <t>669457636</t>
  </si>
  <si>
    <t>9FNZRHBJDX4</t>
  </si>
  <si>
    <t>Kristine Lynn Falmos</t>
  </si>
  <si>
    <t>Bognot</t>
  </si>
  <si>
    <t>565229291</t>
  </si>
  <si>
    <t>7C 1302</t>
  </si>
  <si>
    <t>P5NP4BC8PKZ</t>
  </si>
  <si>
    <t>Nomer Mariano</t>
  </si>
  <si>
    <t>A80249393</t>
  </si>
  <si>
    <t>NYNW3CNNFTT</t>
  </si>
  <si>
    <t>Kristoff Nikolai</t>
  </si>
  <si>
    <t>A36428223</t>
  </si>
  <si>
    <t>WMNWLGNT7SF</t>
  </si>
  <si>
    <t>Rita Antonio</t>
  </si>
  <si>
    <t>Falmos</t>
  </si>
  <si>
    <t>A71549583</t>
  </si>
  <si>
    <t>Z2 885</t>
  </si>
  <si>
    <t>7LNNL5RQNN5</t>
  </si>
  <si>
    <t>Lan Thuy</t>
  </si>
  <si>
    <t>547707857</t>
  </si>
  <si>
    <t>SNNT3WBGGRW</t>
  </si>
  <si>
    <t>Faith Njeri</t>
  </si>
  <si>
    <t>Kamiti</t>
  </si>
  <si>
    <t>A01214553</t>
  </si>
  <si>
    <t>7RNDKVV5J4Z</t>
  </si>
  <si>
    <t>Abigail Nyambura</t>
  </si>
  <si>
    <t>A01214554</t>
  </si>
  <si>
    <t>KLNGKHSVYFT</t>
  </si>
  <si>
    <t>Michelle</t>
  </si>
  <si>
    <t>Zhou</t>
  </si>
  <si>
    <t>548481290</t>
  </si>
  <si>
    <t>QTNSFWFZTTM</t>
  </si>
  <si>
    <t>Kaira Neisha Miguel</t>
  </si>
  <si>
    <t>Zuniga</t>
  </si>
  <si>
    <t>A28200586</t>
  </si>
  <si>
    <t>9LNRMHV32B5</t>
  </si>
  <si>
    <t>Ricky Alex Castillo</t>
  </si>
  <si>
    <t>De Los Santos Jr</t>
  </si>
  <si>
    <t>578254442</t>
  </si>
  <si>
    <t>SXN2PQV9RZN</t>
  </si>
  <si>
    <t>Jillayne Alyse Bandoma</t>
  </si>
  <si>
    <t>Durol</t>
  </si>
  <si>
    <t>595200822</t>
  </si>
  <si>
    <t>VNNSCT92CT8</t>
  </si>
  <si>
    <t>Roderick Valiente</t>
  </si>
  <si>
    <t>681612255</t>
  </si>
  <si>
    <t>CX 419</t>
  </si>
  <si>
    <t>CGNCPJ7QCX3</t>
  </si>
  <si>
    <t>Nancy Florylet Bandoma</t>
  </si>
  <si>
    <t>595200823</t>
  </si>
  <si>
    <t>8JNZH8D3XK2</t>
  </si>
  <si>
    <t>Shahn</t>
  </si>
  <si>
    <t>Ligon</t>
  </si>
  <si>
    <t>536158566</t>
  </si>
  <si>
    <t>MSN64R893LN</t>
  </si>
  <si>
    <t>Adria La Chelle</t>
  </si>
  <si>
    <t>Jenkins</t>
  </si>
  <si>
    <t>665379231</t>
  </si>
  <si>
    <t>Y4NFYHCCG2H</t>
  </si>
  <si>
    <t>Vincent Mark C</t>
  </si>
  <si>
    <t>Mariano</t>
  </si>
  <si>
    <t>AE082887</t>
  </si>
  <si>
    <t>3SN7CQKYLP6</t>
  </si>
  <si>
    <t>Virgilio Mauril</t>
  </si>
  <si>
    <t>AJ846592</t>
  </si>
  <si>
    <t>SVNKLHG4GBQ</t>
  </si>
  <si>
    <t>Josephine</t>
  </si>
  <si>
    <t>AM021573</t>
  </si>
  <si>
    <t>MHNHWZ7XCBR</t>
  </si>
  <si>
    <t>Noreen</t>
  </si>
  <si>
    <t>Pinzon</t>
  </si>
  <si>
    <t>663322376</t>
  </si>
  <si>
    <t>BKNJMYP7VV2</t>
  </si>
  <si>
    <t>Asia Gianelle</t>
  </si>
  <si>
    <t>682981662</t>
  </si>
  <si>
    <t>JMNQK6XNKRC</t>
  </si>
  <si>
    <t>Pin-Wen</t>
  </si>
  <si>
    <t>Wang</t>
  </si>
  <si>
    <t>585292940</t>
  </si>
  <si>
    <t>KE 42</t>
  </si>
  <si>
    <t>KE 41</t>
  </si>
  <si>
    <t>VTNR5YM3HX6</t>
  </si>
  <si>
    <t>Jacqueline</t>
  </si>
  <si>
    <t>Yang</t>
  </si>
  <si>
    <t>674552836</t>
  </si>
  <si>
    <t>9SNCXXKHP4H</t>
  </si>
  <si>
    <t>Joyce</t>
  </si>
  <si>
    <t>A38935760</t>
  </si>
  <si>
    <t>BR 156</t>
  </si>
  <si>
    <t>7FNKMG8CTXB</t>
  </si>
  <si>
    <t>Jessica</t>
  </si>
  <si>
    <t>A38935761</t>
  </si>
  <si>
    <t>K5NSDY78Q3Z</t>
  </si>
  <si>
    <t>Carolyne</t>
  </si>
  <si>
    <t>Kiragu</t>
  </si>
  <si>
    <t>A52723951</t>
  </si>
  <si>
    <t>VHNQR39LPPX</t>
  </si>
  <si>
    <t>Grace</t>
  </si>
  <si>
    <t>Githinji</t>
  </si>
  <si>
    <t>645426996</t>
  </si>
  <si>
    <t>QNNRPVR57V4</t>
  </si>
  <si>
    <t>Harrison</t>
  </si>
  <si>
    <t>Wachira</t>
  </si>
  <si>
    <t>571019256</t>
  </si>
  <si>
    <t>XKNGJZFSV8T</t>
  </si>
  <si>
    <t>Vivian Wangui</t>
  </si>
  <si>
    <t>A08826620</t>
  </si>
  <si>
    <t>WNNYJSSTQVC</t>
  </si>
  <si>
    <t>Mercedita</t>
  </si>
  <si>
    <t>Sibal</t>
  </si>
  <si>
    <t>598295343</t>
  </si>
  <si>
    <t>TZNZJ4H7877</t>
  </si>
  <si>
    <t>Benilda</t>
  </si>
  <si>
    <t>Nepomuceno</t>
  </si>
  <si>
    <t>SNNFG8V3JRW</t>
  </si>
  <si>
    <t>Mishelle</t>
  </si>
  <si>
    <t>Njeri</t>
  </si>
  <si>
    <t>A70313175</t>
  </si>
  <si>
    <t>3CN7V78K5S2</t>
  </si>
  <si>
    <t>Nancy</t>
  </si>
  <si>
    <t>Mburu</t>
  </si>
  <si>
    <t>A35161315</t>
  </si>
  <si>
    <t>PLNW5LY9FTY</t>
  </si>
  <si>
    <t>Nilda</t>
  </si>
  <si>
    <t>Romerosa</t>
  </si>
  <si>
    <t>MRN8Z833HGF</t>
  </si>
  <si>
    <t>Noel</t>
  </si>
  <si>
    <t>LGN3FCQWRGC</t>
  </si>
  <si>
    <t>Sir Concorde</t>
  </si>
  <si>
    <t>4CN45FMDVPN</t>
  </si>
  <si>
    <t>Marie Ann Miguel</t>
  </si>
  <si>
    <t>FM-A09</t>
  </si>
  <si>
    <t>2MN5G9XDMXS</t>
  </si>
  <si>
    <t>Adonis Julio</t>
  </si>
  <si>
    <t>Lingatong</t>
  </si>
  <si>
    <t>AG510751</t>
  </si>
  <si>
    <t>7C 1104</t>
  </si>
  <si>
    <t>Karen Chin</t>
  </si>
  <si>
    <t>SMN2L9GNBYY</t>
  </si>
  <si>
    <t>Eddel Echalar</t>
  </si>
  <si>
    <t>Cuevas</t>
  </si>
  <si>
    <t>AL991070</t>
  </si>
  <si>
    <t>NO NEED</t>
  </si>
  <si>
    <t>5NNCP9TVSC6</t>
  </si>
  <si>
    <t>Breanna Nicole Echalar</t>
  </si>
  <si>
    <t>Agno</t>
  </si>
  <si>
    <t>AL991043</t>
  </si>
  <si>
    <t>72NK9BN8QF5</t>
  </si>
  <si>
    <t>Kyle Christian</t>
  </si>
  <si>
    <t>P604808QS</t>
  </si>
  <si>
    <t>ZRN2KK9TDLL</t>
  </si>
  <si>
    <t>Zairah Lou</t>
  </si>
  <si>
    <t>P604801QS</t>
  </si>
  <si>
    <t>HDNQPMJXGZR</t>
  </si>
  <si>
    <t>Arlene Salunga</t>
  </si>
  <si>
    <t>Piamonte</t>
  </si>
  <si>
    <t>AL952059</t>
  </si>
  <si>
    <t>85NLZZ6Z5VN</t>
  </si>
  <si>
    <t>Mariano Jr</t>
  </si>
  <si>
    <t>P439199ED</t>
  </si>
  <si>
    <t>9HNN7VMZZJN</t>
  </si>
  <si>
    <t>Donna Liza Ferrer</t>
  </si>
  <si>
    <t>Sapnit</t>
  </si>
  <si>
    <t>AL447999</t>
  </si>
  <si>
    <t>5J 186</t>
  </si>
  <si>
    <t>KE 619</t>
  </si>
  <si>
    <t>85NSB8QQ9CH</t>
  </si>
  <si>
    <t>Samuel Vivian</t>
  </si>
  <si>
    <t>Khan</t>
  </si>
  <si>
    <t>P087095DP</t>
  </si>
  <si>
    <t>7WNVH3LDB68</t>
  </si>
  <si>
    <t>Enzo Ferrer</t>
  </si>
  <si>
    <t>P249553NW</t>
  </si>
  <si>
    <t>9DNRSQV3YY6</t>
  </si>
  <si>
    <t>Jamie</t>
  </si>
  <si>
    <t>Montgomery</t>
  </si>
  <si>
    <t>AS756582</t>
  </si>
  <si>
    <t>KE 620</t>
  </si>
  <si>
    <t>KE 71</t>
  </si>
  <si>
    <t>VYNXMCHCSJT</t>
  </si>
  <si>
    <t>Jenalyn Castillo</t>
  </si>
  <si>
    <t>Soriano</t>
  </si>
  <si>
    <t>AH933173</t>
  </si>
  <si>
    <t>MKNJJ6VNVJ3</t>
  </si>
  <si>
    <t>Merlando Jr Alog</t>
  </si>
  <si>
    <t>Poblete</t>
  </si>
  <si>
    <t>AH970115</t>
  </si>
  <si>
    <t>5J 187</t>
  </si>
  <si>
    <t>BCN662Z373T</t>
  </si>
  <si>
    <t>Abigail</t>
  </si>
  <si>
    <t>Pugong</t>
  </si>
  <si>
    <t>P963423PC</t>
  </si>
  <si>
    <t>7C 1101</t>
  </si>
  <si>
    <t>86NJ52WZX25</t>
  </si>
  <si>
    <t>Jean Ramirez</t>
  </si>
  <si>
    <t>Dela Cruz</t>
  </si>
  <si>
    <t>A73319181</t>
  </si>
  <si>
    <t>7KNFX4MLFB8</t>
  </si>
  <si>
    <t>Jocelyn Espiritu</t>
  </si>
  <si>
    <t>Christensen</t>
  </si>
  <si>
    <t>AW819327</t>
  </si>
  <si>
    <t>AC 64</t>
  </si>
  <si>
    <t>QSN925R4HCL</t>
  </si>
  <si>
    <t>Joanne Cabral</t>
  </si>
  <si>
    <t>Adorna</t>
  </si>
  <si>
    <t>HH105708</t>
  </si>
  <si>
    <t>59NMR83HXML</t>
  </si>
  <si>
    <t>Armin Joseph</t>
  </si>
  <si>
    <t>HH196435</t>
  </si>
  <si>
    <t>ZQN6JZM28V7</t>
  </si>
  <si>
    <t>Helena Cabral</t>
  </si>
  <si>
    <t>AJ264161</t>
  </si>
  <si>
    <t>7RN9NBVC8SB</t>
  </si>
  <si>
    <t>Karenina</t>
  </si>
  <si>
    <t>Chin</t>
  </si>
  <si>
    <t>AD162539</t>
  </si>
  <si>
    <t>JNNLLMJK849</t>
  </si>
  <si>
    <t>Christopher Han Tyng</t>
  </si>
  <si>
    <t>AD162541</t>
  </si>
  <si>
    <t>DMNWRN7QPLJ</t>
  </si>
  <si>
    <t>Kaven</t>
  </si>
  <si>
    <t>AL977222</t>
  </si>
  <si>
    <t>8GNRTR8CXS6</t>
  </si>
  <si>
    <t>Mak</t>
  </si>
  <si>
    <t>P839972PC</t>
  </si>
  <si>
    <t>PRE</t>
  </si>
  <si>
    <t>S4NWS245SDP</t>
  </si>
  <si>
    <t>Dareyn Kyle Tapeceria</t>
  </si>
  <si>
    <t>Maceda</t>
  </si>
  <si>
    <t>P2946183B</t>
  </si>
  <si>
    <t>XCNBCCVQL3Y</t>
  </si>
  <si>
    <t>Teresita Venuya</t>
  </si>
  <si>
    <t>Tapeceria</t>
  </si>
  <si>
    <t>HL781861</t>
  </si>
  <si>
    <t>B3NSJK83GWX</t>
  </si>
  <si>
    <t>Mark Anthony Sison</t>
  </si>
  <si>
    <t>Mercado</t>
  </si>
  <si>
    <t>AS636856</t>
  </si>
  <si>
    <t>TW 707</t>
  </si>
  <si>
    <t>6BNKBDCF4KD</t>
  </si>
  <si>
    <t>Lourence Dabu</t>
  </si>
  <si>
    <t>AS636857</t>
  </si>
  <si>
    <t>3VNCG4KH57Q</t>
  </si>
  <si>
    <t>Mackenzie Loureece Dabu</t>
  </si>
  <si>
    <t>P423436NW</t>
  </si>
  <si>
    <t>9GNHQR642TL</t>
  </si>
  <si>
    <t>Mary Jane</t>
  </si>
  <si>
    <t>Catapang</t>
  </si>
  <si>
    <t>P3823529B</t>
  </si>
  <si>
    <t>S4N9ZX9ZPNP</t>
  </si>
  <si>
    <t>Chatelyn</t>
  </si>
  <si>
    <t>Cabuquid</t>
  </si>
  <si>
    <t>HN085340</t>
  </si>
  <si>
    <t>5FNW3CSCH24</t>
  </si>
  <si>
    <t>Jeremiah Kyrie Catapang</t>
  </si>
  <si>
    <t>Fetalino</t>
  </si>
  <si>
    <t>AW240850</t>
  </si>
  <si>
    <t>LNNH59DRX4L</t>
  </si>
  <si>
    <t>Mary Jean Demaraye</t>
  </si>
  <si>
    <t>Celiz</t>
  </si>
  <si>
    <t>AL911465</t>
  </si>
  <si>
    <t>YJN4653CTS7</t>
  </si>
  <si>
    <t>Carren Jay</t>
  </si>
  <si>
    <t>AR082641</t>
  </si>
  <si>
    <t>6QNPKCDM84K</t>
  </si>
  <si>
    <t>Rosalina</t>
  </si>
  <si>
    <t>Buenviaje</t>
  </si>
  <si>
    <t>HP152076</t>
  </si>
  <si>
    <t>DNNB927C4R5</t>
  </si>
  <si>
    <t>Charlemagne Vergara</t>
  </si>
  <si>
    <t>HL516675</t>
  </si>
  <si>
    <t>8ZN7DHP9GSK</t>
  </si>
  <si>
    <t>Khloe</t>
  </si>
  <si>
    <t>AS735473</t>
  </si>
  <si>
    <t>FM-A10</t>
  </si>
  <si>
    <t>SJNMXCTQV4S</t>
  </si>
  <si>
    <t>Samuel Hanzel V</t>
  </si>
  <si>
    <t>Benito</t>
  </si>
  <si>
    <t>AR774761</t>
  </si>
  <si>
    <t>Liz Zetazate</t>
  </si>
  <si>
    <t>Next door wz Rodolfo Zetazate</t>
  </si>
  <si>
    <t>6YN3YV2G4D8</t>
  </si>
  <si>
    <t>Mary Joyce Calapit</t>
  </si>
  <si>
    <t>AR732555</t>
  </si>
  <si>
    <t>RLNJLYZ99YQ</t>
  </si>
  <si>
    <t>Nathaniel Ancheta</t>
  </si>
  <si>
    <t>AY583025</t>
  </si>
  <si>
    <t>7RNVCZ6MYMH</t>
  </si>
  <si>
    <t>Rodolfo</t>
  </si>
  <si>
    <t>Zetazate</t>
  </si>
  <si>
    <t>P057096FS</t>
  </si>
  <si>
    <t>Nex door with Samuel Benito</t>
  </si>
  <si>
    <t>D2NVYC29N3K</t>
  </si>
  <si>
    <t>Elizabeth</t>
  </si>
  <si>
    <t>HN478413</t>
  </si>
  <si>
    <t>R6NC7DJXPB6</t>
  </si>
  <si>
    <t>Elizah Ancheta</t>
  </si>
  <si>
    <t>P774492NG</t>
  </si>
  <si>
    <t>XJNJMPRLLWJ</t>
  </si>
  <si>
    <t>Kelsey Jozefa Boroniec</t>
  </si>
  <si>
    <t>Taylor</t>
  </si>
  <si>
    <t>HL820812</t>
  </si>
  <si>
    <t>STNLW8GTDGN</t>
  </si>
  <si>
    <t>Paul Thomas</t>
  </si>
  <si>
    <t>Schroeder</t>
  </si>
  <si>
    <t>HL864835</t>
  </si>
  <si>
    <t>3PNR6WMD336</t>
  </si>
  <si>
    <t>Marlon Munoz</t>
  </si>
  <si>
    <t>Castillo</t>
  </si>
  <si>
    <t>AJ796646</t>
  </si>
  <si>
    <t>SXNXJHKNS4N</t>
  </si>
  <si>
    <t>Alleli Payawal</t>
  </si>
  <si>
    <t>Quiambao</t>
  </si>
  <si>
    <t>AL410066</t>
  </si>
  <si>
    <t>8RNWQPK9RZJ</t>
  </si>
  <si>
    <t>Amarah Cassandra Payawal</t>
  </si>
  <si>
    <t>AS796242</t>
  </si>
  <si>
    <t>9MN4C2YGP2F</t>
  </si>
  <si>
    <t>Rosalie Manero</t>
  </si>
  <si>
    <t>AL855913</t>
  </si>
  <si>
    <t>7C 1327</t>
  </si>
  <si>
    <t>NFNGYGJ42WN</t>
  </si>
  <si>
    <t>Jocelyn Latasa</t>
  </si>
  <si>
    <t>Dungog</t>
  </si>
  <si>
    <t>HG678328</t>
  </si>
  <si>
    <t>7C 2121</t>
  </si>
  <si>
    <t>FM-A11</t>
  </si>
  <si>
    <t>K9NNMFSC8C5</t>
  </si>
  <si>
    <t>Arlene Relucio</t>
  </si>
  <si>
    <t>Bernardo</t>
  </si>
  <si>
    <t>AL621885</t>
  </si>
  <si>
    <t>KE 626</t>
  </si>
  <si>
    <t>Lynne Romero</t>
  </si>
  <si>
    <t>CSNT23MBK8V</t>
  </si>
  <si>
    <t>Ceferino Manabat</t>
  </si>
  <si>
    <t>AL621889</t>
  </si>
  <si>
    <t>D7NH8ZJQT2R</t>
  </si>
  <si>
    <t>Lyanlei Justin</t>
  </si>
  <si>
    <t>AM293671</t>
  </si>
  <si>
    <t>3WNPSWH3RWV</t>
  </si>
  <si>
    <t>Liam Jacob Relucio</t>
  </si>
  <si>
    <t>AM293697</t>
  </si>
  <si>
    <t>P5NX73TRQV6</t>
  </si>
  <si>
    <t>Evelyn</t>
  </si>
  <si>
    <t>Romero</t>
  </si>
  <si>
    <t>HP605759</t>
  </si>
  <si>
    <t>3TNVMYPS6Z3</t>
  </si>
  <si>
    <t>Ronell T</t>
  </si>
  <si>
    <t>HP605754</t>
  </si>
  <si>
    <t>KLN68SCDG8S</t>
  </si>
  <si>
    <t>Maria Cristina</t>
  </si>
  <si>
    <t>HK044657</t>
  </si>
  <si>
    <t>BJNKPW8BG88</t>
  </si>
  <si>
    <t>Ismael Jerome</t>
  </si>
  <si>
    <t>Mapalo</t>
  </si>
  <si>
    <t>AK838541</t>
  </si>
  <si>
    <t>ZLN46F39Q36</t>
  </si>
  <si>
    <t>Mercedita Soriano</t>
  </si>
  <si>
    <t>Carlos</t>
  </si>
  <si>
    <t>P065734NG</t>
  </si>
  <si>
    <t>HKNBN9RPJRJ</t>
  </si>
  <si>
    <t>King R-Jay</t>
  </si>
  <si>
    <t>Baquiran</t>
  </si>
  <si>
    <t>AT087797</t>
  </si>
  <si>
    <t>JPN4RLTR7VD</t>
  </si>
  <si>
    <t>Sarah</t>
  </si>
  <si>
    <t>Felipe</t>
  </si>
  <si>
    <t>HH388165</t>
  </si>
  <si>
    <t>YXNF7PN9WTS</t>
  </si>
  <si>
    <t>Vivencio Cabantog</t>
  </si>
  <si>
    <t>P984261PC</t>
  </si>
  <si>
    <t>FM-A05</t>
  </si>
  <si>
    <t>6GNDM47KZH7</t>
  </si>
  <si>
    <t>Connie Sokhany</t>
  </si>
  <si>
    <t>Hor</t>
  </si>
  <si>
    <t>552561784</t>
  </si>
  <si>
    <t>OZ 204</t>
  </si>
  <si>
    <t>Michelle Hong</t>
  </si>
  <si>
    <t>9WNN3TTRMGY</t>
  </si>
  <si>
    <t>Chivon</t>
  </si>
  <si>
    <t>Ouk</t>
  </si>
  <si>
    <t>552561785</t>
  </si>
  <si>
    <t>FSNBHMQ4QKS</t>
  </si>
  <si>
    <t>Nayden</t>
  </si>
  <si>
    <t>675666974</t>
  </si>
  <si>
    <t>HFNRF9R4RHK</t>
  </si>
  <si>
    <t>Natalie Kalliyan</t>
  </si>
  <si>
    <t>675666973</t>
  </si>
  <si>
    <t>VWNYPXBMLNP</t>
  </si>
  <si>
    <t>Anh Thi</t>
  </si>
  <si>
    <t>A21773847</t>
  </si>
  <si>
    <t>LPN9LQ9CMSF</t>
  </si>
  <si>
    <t>Noun</t>
  </si>
  <si>
    <t>Kem</t>
  </si>
  <si>
    <t>680781987</t>
  </si>
  <si>
    <t>XZNZTB8QGHL</t>
  </si>
  <si>
    <t>Kevin Khanh</t>
  </si>
  <si>
    <t>A46582499</t>
  </si>
  <si>
    <t>YQNYBJXXY74</t>
  </si>
  <si>
    <t>Huong</t>
  </si>
  <si>
    <t>A38727404</t>
  </si>
  <si>
    <t>PZNGDCZK6FX</t>
  </si>
  <si>
    <t>Thuy Ngoc</t>
  </si>
  <si>
    <t>Duong</t>
  </si>
  <si>
    <t>520966443</t>
  </si>
  <si>
    <t>DL 171</t>
  </si>
  <si>
    <t>J9N4LVQG6VT</t>
  </si>
  <si>
    <t>Mai Loan Thi</t>
  </si>
  <si>
    <t>A04750640</t>
  </si>
  <si>
    <t>KE 12</t>
  </si>
  <si>
    <t>2ZNHTGLGMCC</t>
  </si>
  <si>
    <t>Lila</t>
  </si>
  <si>
    <t>Ninh</t>
  </si>
  <si>
    <t>559127411</t>
  </si>
  <si>
    <t>XGNVPRD37QH</t>
  </si>
  <si>
    <t>My Diem Thi</t>
  </si>
  <si>
    <t>Hong</t>
  </si>
  <si>
    <t>651931471</t>
  </si>
  <si>
    <t>KE 11</t>
  </si>
  <si>
    <t>Upgrade - Signature Suite
  Next door with Brandon Nguyen</t>
  </si>
  <si>
    <t>3CNLBPY7N52</t>
  </si>
  <si>
    <t>Binh Thai</t>
  </si>
  <si>
    <t>A10212780</t>
  </si>
  <si>
    <t>XNNR7QBJC2F</t>
  </si>
  <si>
    <t>Brandon Minh</t>
  </si>
  <si>
    <t>A43212458</t>
  </si>
  <si>
    <t>Nex door with My Diem Thi</t>
  </si>
  <si>
    <t>BBNQ2PSFHXJ</t>
  </si>
  <si>
    <t>Byron Huy</t>
  </si>
  <si>
    <t>A43212457</t>
  </si>
  <si>
    <t>JBNHQ6CZNVD</t>
  </si>
  <si>
    <t>Naomi</t>
  </si>
  <si>
    <t>Leap</t>
  </si>
  <si>
    <t>550206604</t>
  </si>
  <si>
    <t>BFNP49D26RP</t>
  </si>
  <si>
    <t>Ken</t>
  </si>
  <si>
    <t>Hau</t>
  </si>
  <si>
    <t>549784369</t>
  </si>
  <si>
    <t>HNNGKN4HCH7</t>
  </si>
  <si>
    <t>Alaina Huiying</t>
  </si>
  <si>
    <t>676007016</t>
  </si>
  <si>
    <t>DHNPKVWBJB3</t>
  </si>
  <si>
    <t>Bunnarom</t>
  </si>
  <si>
    <t>Keo</t>
  </si>
  <si>
    <t>545826925</t>
  </si>
  <si>
    <t>LZN5JCCY38M</t>
  </si>
  <si>
    <t>Daniel</t>
  </si>
  <si>
    <t>676007018</t>
  </si>
  <si>
    <t>8PNVVR7W7DT</t>
  </si>
  <si>
    <t>Darith Fuyien</t>
  </si>
  <si>
    <t>676007017</t>
  </si>
  <si>
    <t>HGNXY3M6Q2M</t>
  </si>
  <si>
    <t>Pauline</t>
  </si>
  <si>
    <t>To</t>
  </si>
  <si>
    <t>A02023267</t>
  </si>
  <si>
    <t>4FNRVRK52B2</t>
  </si>
  <si>
    <t>Julianne</t>
  </si>
  <si>
    <t>A01807951</t>
  </si>
  <si>
    <t>XFNDF7B52QR</t>
  </si>
  <si>
    <t>Phuong</t>
  </si>
  <si>
    <t>Le</t>
  </si>
  <si>
    <t>548482142</t>
  </si>
  <si>
    <t>CCN5VFKGD2L</t>
  </si>
  <si>
    <t>Charter</t>
  </si>
  <si>
    <t>Vu</t>
  </si>
  <si>
    <t>666142236</t>
  </si>
  <si>
    <t>Y7NN9L83RGC</t>
  </si>
  <si>
    <t>Tessica Thao</t>
  </si>
  <si>
    <t>542647363</t>
  </si>
  <si>
    <t>YP 102</t>
  </si>
  <si>
    <t>VJNVJ89KY36</t>
  </si>
  <si>
    <t>Song Phuc</t>
  </si>
  <si>
    <t>A06847672</t>
  </si>
  <si>
    <t>VN 402</t>
  </si>
  <si>
    <t>J9NPF2CYQL9</t>
  </si>
  <si>
    <t>Liny</t>
  </si>
  <si>
    <t>Lim</t>
  </si>
  <si>
    <t>Cambodia</t>
  </si>
  <si>
    <t>C35450308</t>
  </si>
  <si>
    <t>T8NGQM5QS6H</t>
  </si>
  <si>
    <t>Ma</t>
  </si>
  <si>
    <t>Lee</t>
  </si>
  <si>
    <t>A16736591</t>
  </si>
  <si>
    <t>7JN8JBC6LZR</t>
  </si>
  <si>
    <t>Nou</t>
  </si>
  <si>
    <t>580850544</t>
  </si>
  <si>
    <t>B4NRFKFF22D</t>
  </si>
  <si>
    <t>Vong Komar</t>
  </si>
  <si>
    <t>Saly</t>
  </si>
  <si>
    <t>580920370</t>
  </si>
  <si>
    <t>BSN6YDWC8MV</t>
  </si>
  <si>
    <t>Evelynn</t>
  </si>
  <si>
    <t>Nou-Vong</t>
  </si>
  <si>
    <t>A05077403</t>
  </si>
  <si>
    <t>BXNXXSD9LNZ</t>
  </si>
  <si>
    <t>Elizabella</t>
  </si>
  <si>
    <t>Nouvong</t>
  </si>
  <si>
    <t>A11512497</t>
  </si>
  <si>
    <t>2NN38Z5Y3RJ</t>
  </si>
  <si>
    <t>Kimly</t>
  </si>
  <si>
    <t>Heng</t>
  </si>
  <si>
    <t>669438460</t>
  </si>
  <si>
    <t>9XNSF3TWZ4K</t>
  </si>
  <si>
    <t>Davy</t>
  </si>
  <si>
    <t>Soy-Eipe</t>
  </si>
  <si>
    <t>A06157197</t>
  </si>
  <si>
    <t>VCNRR9FYP64</t>
  </si>
  <si>
    <t>Brionie</t>
  </si>
  <si>
    <t>Peou</t>
  </si>
  <si>
    <t>A19518278</t>
  </si>
  <si>
    <t>LZNBK3GDCC3</t>
  </si>
  <si>
    <t>Sayteang</t>
  </si>
  <si>
    <t>Chhuo</t>
  </si>
  <si>
    <t>593337528</t>
  </si>
  <si>
    <t>Z3NVYVWNW47</t>
  </si>
  <si>
    <t>Bella</t>
  </si>
  <si>
    <t>Samrith</t>
  </si>
  <si>
    <t>498051653</t>
  </si>
  <si>
    <t>7ZN69TZLMDQ</t>
  </si>
  <si>
    <t>Anna</t>
  </si>
  <si>
    <t>Cheng</t>
  </si>
  <si>
    <t>A03313287</t>
  </si>
  <si>
    <t>OZ 739</t>
  </si>
  <si>
    <t>X4NP6NXLMZJ</t>
  </si>
  <si>
    <t>Sophorn</t>
  </si>
  <si>
    <t>Kes</t>
  </si>
  <si>
    <t>A34449125</t>
  </si>
  <si>
    <t>QVNRNMXP4CY</t>
  </si>
  <si>
    <t>Thi Hong Nga</t>
  </si>
  <si>
    <t>Q00475655</t>
  </si>
  <si>
    <t>6PNJK9X62RF</t>
  </si>
  <si>
    <t>Calvin</t>
  </si>
  <si>
    <t>Quach</t>
  </si>
  <si>
    <t>571033388</t>
  </si>
  <si>
    <t>YKNJLWXJGXC</t>
  </si>
  <si>
    <t>Stacey Thuytien</t>
  </si>
  <si>
    <t>A36550923</t>
  </si>
  <si>
    <t>5LNX7PCDYLL</t>
  </si>
  <si>
    <t>Mina Uyen</t>
  </si>
  <si>
    <t>545975897</t>
  </si>
  <si>
    <t>QTNL4D6P4GJ</t>
  </si>
  <si>
    <t>Chrep</t>
  </si>
  <si>
    <t>Phy</t>
  </si>
  <si>
    <t>A29404572</t>
  </si>
  <si>
    <t>KE 719</t>
  </si>
  <si>
    <t>RSN5W72Z9D9</t>
  </si>
  <si>
    <t>Jhandararid</t>
  </si>
  <si>
    <t>Pok</t>
  </si>
  <si>
    <t>A29849926</t>
  </si>
  <si>
    <t>D5N6XM84KXT</t>
  </si>
  <si>
    <t>Leo Deerarid</t>
  </si>
  <si>
    <t>A02616308</t>
  </si>
  <si>
    <t>ZPN8KM8HY3W</t>
  </si>
  <si>
    <t>Donna Lynn</t>
  </si>
  <si>
    <t>A33864161</t>
  </si>
  <si>
    <t>8NNHL7FHSJP</t>
  </si>
  <si>
    <t>Ngoc Kim</t>
  </si>
  <si>
    <t>646732336</t>
  </si>
  <si>
    <t>FM-A12</t>
  </si>
  <si>
    <t>5LN8KBXYZFZ</t>
  </si>
  <si>
    <t>Jane Marie</t>
  </si>
  <si>
    <t>Borla</t>
  </si>
  <si>
    <t>P612750DP</t>
  </si>
  <si>
    <t>KE 615</t>
  </si>
  <si>
    <t>Nelly Destacamento</t>
  </si>
  <si>
    <t>6GNMVDFXHKP</t>
  </si>
  <si>
    <t>Joyce Ashley</t>
  </si>
  <si>
    <t>AN466820</t>
  </si>
  <si>
    <t>FM-A02</t>
  </si>
  <si>
    <t>R5NDRKFXJZS</t>
  </si>
  <si>
    <t>Ben</t>
  </si>
  <si>
    <t>Ballesteros</t>
  </si>
  <si>
    <t>A12157895</t>
  </si>
  <si>
    <t>DL 7939</t>
  </si>
  <si>
    <t>Ramon Cunamay</t>
  </si>
  <si>
    <t>RZNYBN53LQQ</t>
  </si>
  <si>
    <t>Romina Angelica</t>
  </si>
  <si>
    <t>A13907599</t>
  </si>
  <si>
    <t>KXNSV248DCW</t>
  </si>
  <si>
    <t>Aliya Joy</t>
  </si>
  <si>
    <t>A12619815</t>
  </si>
  <si>
    <t>FPN926XF4CB</t>
  </si>
  <si>
    <t>Jason Jeremiah</t>
  </si>
  <si>
    <t>A12619814</t>
  </si>
  <si>
    <t>VTNWGCPWDGK</t>
  </si>
  <si>
    <t>Francisco Gabriel</t>
  </si>
  <si>
    <t>Campos Bautista</t>
  </si>
  <si>
    <t>559517362</t>
  </si>
  <si>
    <t>Baby crib for infant</t>
  </si>
  <si>
    <t>4HNJJC4MQ3W</t>
  </si>
  <si>
    <t>Emily Marie</t>
  </si>
  <si>
    <t>Kent</t>
  </si>
  <si>
    <t>670669146</t>
  </si>
  <si>
    <t>6BNPVS8B3HJ</t>
  </si>
  <si>
    <t>Rosie James Kent</t>
  </si>
  <si>
    <t>Bautista</t>
  </si>
  <si>
    <t>A67258022</t>
  </si>
  <si>
    <t>N8N8MNT29SW</t>
  </si>
  <si>
    <t>Joseph Lejano</t>
  </si>
  <si>
    <t>587585155</t>
  </si>
  <si>
    <t>QDN38DYPBF4</t>
  </si>
  <si>
    <t>Yvonne</t>
  </si>
  <si>
    <t>Mcclain</t>
  </si>
  <si>
    <t>A29316787</t>
  </si>
  <si>
    <t>GMN7YSVSFC2</t>
  </si>
  <si>
    <t>Yolinda Pirote</t>
  </si>
  <si>
    <t>Bengco</t>
  </si>
  <si>
    <t>673348878</t>
  </si>
  <si>
    <t>KE 704</t>
  </si>
  <si>
    <t>S5N26478DL2</t>
  </si>
  <si>
    <t>Jose Juvida</t>
  </si>
  <si>
    <t>Bengco Jr</t>
  </si>
  <si>
    <t>673348879</t>
  </si>
  <si>
    <t>Thi Thanh Hai</t>
  </si>
  <si>
    <t xml:space="preserve">Tran </t>
  </si>
  <si>
    <t>JBA team stay in both group</t>
  </si>
  <si>
    <t>Hang Anh (Anne)</t>
  </si>
  <si>
    <t>Suttiportn (Jeff)</t>
  </si>
  <si>
    <t>Fongmool</t>
  </si>
  <si>
    <t>Thai</t>
  </si>
  <si>
    <t>JBA team (Jeff stays alone until Sept 17)</t>
  </si>
  <si>
    <t>Hoan Chuong (Mike)</t>
  </si>
  <si>
    <t>JBA team (Mike share room with Jeff from 17 Sep)</t>
  </si>
  <si>
    <t>ROOM LIST FOR GRAND INTERCON PARNAS SEOUL_GROUP A</t>
  </si>
  <si>
    <t xml:space="preserve">INTER PARNAS  </t>
  </si>
  <si>
    <t>CHD 
(4 TO UNDER 12 Y/O)</t>
  </si>
  <si>
    <t xml:space="preserve">INTER PARNAS </t>
  </si>
  <si>
    <t>IN-A01</t>
  </si>
  <si>
    <t>DQNLL7DTTXH</t>
  </si>
  <si>
    <t>Yu-Ching</t>
  </si>
  <si>
    <t>A15866597</t>
  </si>
  <si>
    <t>7C 6102</t>
  </si>
  <si>
    <t>KE 187</t>
  </si>
  <si>
    <t>Dwi Julyati</t>
  </si>
  <si>
    <t>INTER PARNAS</t>
  </si>
  <si>
    <t>PNNYKLN5TCC</t>
  </si>
  <si>
    <t>Yong Mei</t>
  </si>
  <si>
    <t>A29689553</t>
  </si>
  <si>
    <t>3U 3974</t>
  </si>
  <si>
    <t>FQNYV3FLWBL</t>
  </si>
  <si>
    <t>Rosalina Hoi-Ching</t>
  </si>
  <si>
    <t>Chiu</t>
  </si>
  <si>
    <t>A38741193</t>
  </si>
  <si>
    <t>KE 174</t>
  </si>
  <si>
    <t>2TN79GPLWVK</t>
  </si>
  <si>
    <t>Ho Fai</t>
  </si>
  <si>
    <t>651493346</t>
  </si>
  <si>
    <t>34NFT6BQWW5</t>
  </si>
  <si>
    <t>Daria Lok-Ling</t>
  </si>
  <si>
    <t>566144860</t>
  </si>
  <si>
    <t>3WNRQ7RZH9J</t>
  </si>
  <si>
    <t>Kalina Hoi-Lam</t>
  </si>
  <si>
    <t>680548025</t>
  </si>
  <si>
    <t>7VNSDCH9T26</t>
  </si>
  <si>
    <t>Yuk Man</t>
  </si>
  <si>
    <t>Hong Kong</t>
  </si>
  <si>
    <t>KJ0724001</t>
  </si>
  <si>
    <t>K8N6WQ6NDF7</t>
  </si>
  <si>
    <t>Tiffany</t>
  </si>
  <si>
    <t>Wung</t>
  </si>
  <si>
    <t>659603865</t>
  </si>
  <si>
    <t>89NXGQ9W5YX</t>
  </si>
  <si>
    <t>Jonathan Tsun Wai</t>
  </si>
  <si>
    <t>A27995486</t>
  </si>
  <si>
    <t>IN-A07</t>
  </si>
  <si>
    <t>V9NSWGHH5KB</t>
  </si>
  <si>
    <t>Hanh Tuyet</t>
  </si>
  <si>
    <t>571335441</t>
  </si>
  <si>
    <t>OZ 755</t>
  </si>
  <si>
    <t>Hanh Luu</t>
  </si>
  <si>
    <t>YPN3JWZCFRP</t>
  </si>
  <si>
    <t>Hoa Bich</t>
  </si>
  <si>
    <t>A63470910</t>
  </si>
  <si>
    <t>IN-A02</t>
  </si>
  <si>
    <t>H4NBRKJCYGM</t>
  </si>
  <si>
    <t>Anne Huichan</t>
  </si>
  <si>
    <t>Zhao</t>
  </si>
  <si>
    <t>A05079941</t>
  </si>
  <si>
    <t>OZ 6875</t>
  </si>
  <si>
    <t>Helen Ruan</t>
  </si>
  <si>
    <t>WNN65PSCB92</t>
  </si>
  <si>
    <t>Maggie Zhang</t>
  </si>
  <si>
    <t>A51452830</t>
  </si>
  <si>
    <t>OZ 333</t>
  </si>
  <si>
    <t>A - ROOM SERVICE</t>
  </si>
  <si>
    <t>Q9NNGL8MCG2</t>
  </si>
  <si>
    <t>Vindician Man Tsun</t>
  </si>
  <si>
    <t>A09990750</t>
  </si>
  <si>
    <t>2BNJ4M8RFJT</t>
  </si>
  <si>
    <t>Winnie Yuen Shan</t>
  </si>
  <si>
    <t>A14249079</t>
  </si>
  <si>
    <t>HSNMHS4KK5T</t>
  </si>
  <si>
    <t>Xi Yan</t>
  </si>
  <si>
    <t>Ruan</t>
  </si>
  <si>
    <t>596561929</t>
  </si>
  <si>
    <t>Upgrade - Club Junior Suite</t>
  </si>
  <si>
    <t>HCNFSSTDGDR</t>
  </si>
  <si>
    <t>Andrew Shiu Ming</t>
  </si>
  <si>
    <t>Kom</t>
  </si>
  <si>
    <t>561339094</t>
  </si>
  <si>
    <t>D7N8PBN8VNR</t>
  </si>
  <si>
    <t>Xilu</t>
  </si>
  <si>
    <t>Li</t>
  </si>
  <si>
    <t>A41671469</t>
  </si>
  <si>
    <t>OZ 741</t>
  </si>
  <si>
    <t>2JNNBV93S65</t>
  </si>
  <si>
    <t>Eric Arthur</t>
  </si>
  <si>
    <t>A48376915</t>
  </si>
  <si>
    <t>CGN6B2WBLZ3</t>
  </si>
  <si>
    <t>Kathy Minggee</t>
  </si>
  <si>
    <t>Wan</t>
  </si>
  <si>
    <t>A29592703</t>
  </si>
  <si>
    <t>VYNN57XW2MJ</t>
  </si>
  <si>
    <t>Xiuchang</t>
  </si>
  <si>
    <t>Lei</t>
  </si>
  <si>
    <t>EJ5284417</t>
  </si>
  <si>
    <t>8FNML7P8Q4B</t>
  </si>
  <si>
    <t>Shirley</t>
  </si>
  <si>
    <t>Xu</t>
  </si>
  <si>
    <t>599185659</t>
  </si>
  <si>
    <t>PBNCWH9TX92</t>
  </si>
  <si>
    <t>Michelle Zhang</t>
  </si>
  <si>
    <t>Herrera</t>
  </si>
  <si>
    <t>A46938039</t>
  </si>
  <si>
    <t>WNN5BHZXY3F</t>
  </si>
  <si>
    <t>Holly Anh Vien</t>
  </si>
  <si>
    <t>Thu</t>
  </si>
  <si>
    <t>680091394</t>
  </si>
  <si>
    <t>75NFHNSQ5WJ</t>
  </si>
  <si>
    <t>Hongna</t>
  </si>
  <si>
    <t>EG4999697</t>
  </si>
  <si>
    <t>IN-A03</t>
  </si>
  <si>
    <t>LXN5PYWJRPZ</t>
  </si>
  <si>
    <t>Lusine</t>
  </si>
  <si>
    <t>Gyulbudaghyan</t>
  </si>
  <si>
    <t>569039811</t>
  </si>
  <si>
    <t>Virginia Nersesyan</t>
  </si>
  <si>
    <t>M8NJ8ZKS3F5</t>
  </si>
  <si>
    <t>Ayvazyan</t>
  </si>
  <si>
    <t>A81945966</t>
  </si>
  <si>
    <t>R2N942DBWZX</t>
  </si>
  <si>
    <t>Stepan Steve</t>
  </si>
  <si>
    <t>Krbekyan</t>
  </si>
  <si>
    <t>663143264</t>
  </si>
  <si>
    <t>9WNJ4GLCHM2</t>
  </si>
  <si>
    <t>Ani</t>
  </si>
  <si>
    <t>Navruzyan</t>
  </si>
  <si>
    <t>A19816837</t>
  </si>
  <si>
    <t>P5N33LVZSZB</t>
  </si>
  <si>
    <t>Vergine</t>
  </si>
  <si>
    <t>Nersesyan</t>
  </si>
  <si>
    <t>658346601</t>
  </si>
  <si>
    <t>R5N88YJTMTQ</t>
  </si>
  <si>
    <t>Hakop</t>
  </si>
  <si>
    <t>658346600</t>
  </si>
  <si>
    <t>93NP9PRSH5X</t>
  </si>
  <si>
    <t>Nerses Nick</t>
  </si>
  <si>
    <t>Koshkaryan</t>
  </si>
  <si>
    <t>547289235</t>
  </si>
  <si>
    <t>Extra room</t>
  </si>
  <si>
    <t>2RN22CCSD6V</t>
  </si>
  <si>
    <t>Anais Rachel</t>
  </si>
  <si>
    <t>545142991</t>
  </si>
  <si>
    <t>IN-A04</t>
  </si>
  <si>
    <t>G4N49JC32QN</t>
  </si>
  <si>
    <t>Aster</t>
  </si>
  <si>
    <t>Yihdego-Abebe</t>
  </si>
  <si>
    <t>A62057169</t>
  </si>
  <si>
    <t>Racquel Slawinski</t>
  </si>
  <si>
    <t>4BNBHVJVMWR</t>
  </si>
  <si>
    <t>Matias</t>
  </si>
  <si>
    <t>641555372</t>
  </si>
  <si>
    <t>FPN6DGM88MW</t>
  </si>
  <si>
    <t>Edelyn Canlas</t>
  </si>
  <si>
    <t>Alger</t>
  </si>
  <si>
    <t>A12694278</t>
  </si>
  <si>
    <t>D7NVDHLN8L2</t>
  </si>
  <si>
    <t>Elaine</t>
  </si>
  <si>
    <t>Moreno</t>
  </si>
  <si>
    <t>547010314</t>
  </si>
  <si>
    <t xml:space="preserve"> </t>
  </si>
  <si>
    <t>8SNVXT2WW5P</t>
  </si>
  <si>
    <t>Mary Eleanor</t>
  </si>
  <si>
    <t>A40085751</t>
  </si>
  <si>
    <t>FRN7R7YCVWG</t>
  </si>
  <si>
    <t>Eric Kwasi</t>
  </si>
  <si>
    <t>Amegashie</t>
  </si>
  <si>
    <t>Ghana</t>
  </si>
  <si>
    <t>A37512824</t>
  </si>
  <si>
    <t>FBN2VDJ2BZY</t>
  </si>
  <si>
    <t>Samuel Isaac</t>
  </si>
  <si>
    <t>Mensah</t>
  </si>
  <si>
    <t>646318282</t>
  </si>
  <si>
    <t>T2N87JNRRWB</t>
  </si>
  <si>
    <t>Sheila Angela Acuat</t>
  </si>
  <si>
    <t>Agullana</t>
  </si>
  <si>
    <t>C21028053</t>
  </si>
  <si>
    <t>DL 7851</t>
  </si>
  <si>
    <t>Next door with Gladys Bakken &amp; Menchee Berris</t>
  </si>
  <si>
    <t>YVNHB97S6HD</t>
  </si>
  <si>
    <t>Maria Elena</t>
  </si>
  <si>
    <t>Moore</t>
  </si>
  <si>
    <t>640061210</t>
  </si>
  <si>
    <t>PSNDYGXFCGR</t>
  </si>
  <si>
    <t>Eugenia</t>
  </si>
  <si>
    <t>Tettey</t>
  </si>
  <si>
    <t>A46651826</t>
  </si>
  <si>
    <t>VCNR8CVY8TH</t>
  </si>
  <si>
    <t>Emma</t>
  </si>
  <si>
    <t>A37279622</t>
  </si>
  <si>
    <t>DDNXWDJ5Y45</t>
  </si>
  <si>
    <t>Demetrica</t>
  </si>
  <si>
    <t>Jefferis</t>
  </si>
  <si>
    <t>589765473</t>
  </si>
  <si>
    <t>N6NBCHK2LSM</t>
  </si>
  <si>
    <t>Gladys Bauzon</t>
  </si>
  <si>
    <t>Bakken</t>
  </si>
  <si>
    <t>588257379</t>
  </si>
  <si>
    <t>KE 94</t>
  </si>
  <si>
    <t>KE 5039</t>
  </si>
  <si>
    <t>Next door with Sheila Agullana</t>
  </si>
  <si>
    <t>96NV3VXL8PP</t>
  </si>
  <si>
    <t>Sheryl Agullana</t>
  </si>
  <si>
    <t>Salazar</t>
  </si>
  <si>
    <t>674982585</t>
  </si>
  <si>
    <t>5MNZMJ4H5C4</t>
  </si>
  <si>
    <t>Menchee Javier</t>
  </si>
  <si>
    <t>Berris</t>
  </si>
  <si>
    <t>571375202</t>
  </si>
  <si>
    <t>KE 93</t>
  </si>
  <si>
    <t>D8NXD32KFCK</t>
  </si>
  <si>
    <t>Jeffrey Allan Faustino</t>
  </si>
  <si>
    <t>571375201</t>
  </si>
  <si>
    <t>M7NCMTYZNVY</t>
  </si>
  <si>
    <t>Cassidy Grace</t>
  </si>
  <si>
    <t>A06319697</t>
  </si>
  <si>
    <t>TLN886L3ZTF</t>
  </si>
  <si>
    <t>Brandon</t>
  </si>
  <si>
    <t>John</t>
  </si>
  <si>
    <t>664169635</t>
  </si>
  <si>
    <t>TQN4HR3LXLN</t>
  </si>
  <si>
    <t>Jasso</t>
  </si>
  <si>
    <t>Deonarine</t>
  </si>
  <si>
    <t>538446075</t>
  </si>
  <si>
    <t>TW 722</t>
  </si>
  <si>
    <t>Z8NVKRKQR2Y</t>
  </si>
  <si>
    <t>Leona-Deonarine</t>
  </si>
  <si>
    <t>Ramdass</t>
  </si>
  <si>
    <t>Trinidad and Tobago</t>
  </si>
  <si>
    <t>TB359425</t>
  </si>
  <si>
    <t>Z6NG5QL7Z8J</t>
  </si>
  <si>
    <t>Vitra</t>
  </si>
  <si>
    <t>TB906186</t>
  </si>
  <si>
    <t>72NVG3BWNVW</t>
  </si>
  <si>
    <t>Syntra Audra</t>
  </si>
  <si>
    <t>658617865</t>
  </si>
  <si>
    <t>TW 720</t>
  </si>
  <si>
    <t>WFN487T9RRS</t>
  </si>
  <si>
    <t>Basdeo</t>
  </si>
  <si>
    <t>658617866</t>
  </si>
  <si>
    <t>IN-A08</t>
  </si>
  <si>
    <t>R9NPSFC3R9F</t>
  </si>
  <si>
    <t>Alexander Luong</t>
  </si>
  <si>
    <t>A59187936</t>
  </si>
  <si>
    <t>LJ 204</t>
  </si>
  <si>
    <t>LJ 205</t>
  </si>
  <si>
    <t>Tom Luu</t>
  </si>
  <si>
    <t>FXNYZT488N7</t>
  </si>
  <si>
    <t>Andrea Lourdes Binuya</t>
  </si>
  <si>
    <t>Antonio</t>
  </si>
  <si>
    <t>561739189</t>
  </si>
  <si>
    <t>ZVNCTTYRMP3</t>
  </si>
  <si>
    <t>Lorelei Rei</t>
  </si>
  <si>
    <t>671763669</t>
  </si>
  <si>
    <t>BHNZZV45GHJ</t>
  </si>
  <si>
    <t>Frank Siu</t>
  </si>
  <si>
    <t>531048280</t>
  </si>
  <si>
    <t>YGNZ922MWGW</t>
  </si>
  <si>
    <t>Mario</t>
  </si>
  <si>
    <t>Herrera Jr</t>
  </si>
  <si>
    <t>561383865</t>
  </si>
  <si>
    <t>4RNK6TBRGWC</t>
  </si>
  <si>
    <t>Axel Logan</t>
  </si>
  <si>
    <t>A40819593</t>
  </si>
  <si>
    <t>4LNJDM55RP5</t>
  </si>
  <si>
    <t>Arlene</t>
  </si>
  <si>
    <t>Lota</t>
  </si>
  <si>
    <t>A62849890</t>
  </si>
  <si>
    <t>NXNTKQMVL4P</t>
  </si>
  <si>
    <t>Alyssa Marie Lota</t>
  </si>
  <si>
    <t>Vito</t>
  </si>
  <si>
    <t>597202864</t>
  </si>
  <si>
    <t>8ZNRF343CR5</t>
  </si>
  <si>
    <t>Emer Cabance</t>
  </si>
  <si>
    <t>Canteras</t>
  </si>
  <si>
    <t>A10223897</t>
  </si>
  <si>
    <t>KE 5744</t>
  </si>
  <si>
    <t>B2NL27YPD2T</t>
  </si>
  <si>
    <t>Nicanor</t>
  </si>
  <si>
    <t>682324396</t>
  </si>
  <si>
    <t>X5NKDK3V5JW</t>
  </si>
  <si>
    <t>Ly Ngoc Bich</t>
  </si>
  <si>
    <t>Ho</t>
  </si>
  <si>
    <t>A12949169</t>
  </si>
  <si>
    <t>VJ 863</t>
  </si>
  <si>
    <t>C7NJ2NPDX8Q</t>
  </si>
  <si>
    <t>Loc Tho</t>
  </si>
  <si>
    <t>Phan</t>
  </si>
  <si>
    <t>A57144743</t>
  </si>
  <si>
    <t>9JN2DKG3CNF</t>
  </si>
  <si>
    <t>David Moises</t>
  </si>
  <si>
    <t>Guadron Aleman</t>
  </si>
  <si>
    <t>572807105</t>
  </si>
  <si>
    <t>NLN56WDXC64</t>
  </si>
  <si>
    <t>Jacqueline Roxana</t>
  </si>
  <si>
    <t>Caballero Guadron</t>
  </si>
  <si>
    <t>572807440</t>
  </si>
  <si>
    <t>RVNL4BVJVN6</t>
  </si>
  <si>
    <t>Sonia Y</t>
  </si>
  <si>
    <t>Barocio</t>
  </si>
  <si>
    <t>534449656</t>
  </si>
  <si>
    <t>VZNG24RK2Y5</t>
  </si>
  <si>
    <t>Mauricio</t>
  </si>
  <si>
    <t>Quintero Ramirez</t>
  </si>
  <si>
    <t>Costa Rica</t>
  </si>
  <si>
    <t>G296280</t>
  </si>
  <si>
    <t>XKNHX7KWQV5</t>
  </si>
  <si>
    <t>Douglas Dung</t>
  </si>
  <si>
    <t>Trinh</t>
  </si>
  <si>
    <t>597477639</t>
  </si>
  <si>
    <t>VN 409</t>
  </si>
  <si>
    <t>KJN8LSMXK85</t>
  </si>
  <si>
    <t>Phuong Kim</t>
  </si>
  <si>
    <t>597477640</t>
  </si>
  <si>
    <t>RHNXTG6QM92</t>
  </si>
  <si>
    <t>Fariba</t>
  </si>
  <si>
    <t>Allyasin</t>
  </si>
  <si>
    <t>537826089</t>
  </si>
  <si>
    <t>YP 731</t>
  </si>
  <si>
    <t>4YNX8FLYBRQ</t>
  </si>
  <si>
    <t>Mahnaz</t>
  </si>
  <si>
    <t>Houshmand</t>
  </si>
  <si>
    <t>A05229343</t>
  </si>
  <si>
    <t>S5N8RHJRXRW</t>
  </si>
  <si>
    <t>Chanmany</t>
  </si>
  <si>
    <t>Thatsanaphonh</t>
  </si>
  <si>
    <t>A36566314</t>
  </si>
  <si>
    <t>2LNVZX7JJY3</t>
  </si>
  <si>
    <t>James Cq</t>
  </si>
  <si>
    <t>Banh</t>
  </si>
  <si>
    <t>A18745884</t>
  </si>
  <si>
    <t>55NMP44VLVS</t>
  </si>
  <si>
    <t>Andy Van</t>
  </si>
  <si>
    <t>Huynh</t>
  </si>
  <si>
    <t>A61512206</t>
  </si>
  <si>
    <t>HZNP8D429K6</t>
  </si>
  <si>
    <t>Tracey My</t>
  </si>
  <si>
    <t>Phung</t>
  </si>
  <si>
    <t>A61512207</t>
  </si>
  <si>
    <t>5QNTXKQCZ5X</t>
  </si>
  <si>
    <t>586037949</t>
  </si>
  <si>
    <t>93NZPNQ4QM4</t>
  </si>
  <si>
    <t>Kendall Hien</t>
  </si>
  <si>
    <t>A37171993</t>
  </si>
  <si>
    <t>YMN8XH73V5M</t>
  </si>
  <si>
    <t>Kanyon</t>
  </si>
  <si>
    <t>Khuu</t>
  </si>
  <si>
    <t>664121654</t>
  </si>
  <si>
    <t>ZRNG8NMNXP3</t>
  </si>
  <si>
    <t>Michael Manggala</t>
  </si>
  <si>
    <t>Kusuma</t>
  </si>
  <si>
    <t>A67319115</t>
  </si>
  <si>
    <t>Passport info update</t>
  </si>
  <si>
    <t>FFNXMWTK3RX</t>
  </si>
  <si>
    <t>Kirby Toshio</t>
  </si>
  <si>
    <t>Tanimura</t>
  </si>
  <si>
    <t>667103884</t>
  </si>
  <si>
    <t>SWNZDZWPSCB</t>
  </si>
  <si>
    <t>Yolanda Galvez</t>
  </si>
  <si>
    <t>A18310840</t>
  </si>
  <si>
    <t>JJNXVNDQ5JY</t>
  </si>
  <si>
    <t>Laura Que</t>
  </si>
  <si>
    <t>Luong</t>
  </si>
  <si>
    <t>565000664</t>
  </si>
  <si>
    <t>59NWWCS8LLZ</t>
  </si>
  <si>
    <t>Dan</t>
  </si>
  <si>
    <t>564959321</t>
  </si>
  <si>
    <t>Y6NVHWYXXYW</t>
  </si>
  <si>
    <t>Yunice Kristine</t>
  </si>
  <si>
    <t>Garcia</t>
  </si>
  <si>
    <t>552189765</t>
  </si>
  <si>
    <t>9JNBRCFRXP8</t>
  </si>
  <si>
    <t>Celia</t>
  </si>
  <si>
    <t>665399091</t>
  </si>
  <si>
    <t>ZPNSS8CFFJT</t>
  </si>
  <si>
    <t>Maria Concepcion</t>
  </si>
  <si>
    <t>Tu</t>
  </si>
  <si>
    <t>A62419781</t>
  </si>
  <si>
    <t>LBNJQ7RDHJP</t>
  </si>
  <si>
    <t>Kevin Chi</t>
  </si>
  <si>
    <t>A48825967</t>
  </si>
  <si>
    <t>MGNZCZ4NMHK</t>
  </si>
  <si>
    <t>Kai Chi</t>
  </si>
  <si>
    <t>A48134168</t>
  </si>
  <si>
    <t>NLN2MR3SFBX</t>
  </si>
  <si>
    <t>Monica</t>
  </si>
  <si>
    <t>English</t>
  </si>
  <si>
    <t>545649174</t>
  </si>
  <si>
    <t>RF 314</t>
  </si>
  <si>
    <t>K3N244ZVCNM</t>
  </si>
  <si>
    <t>Xia Xu</t>
  </si>
  <si>
    <t>549106673</t>
  </si>
  <si>
    <t>NWN28B7VM4R</t>
  </si>
  <si>
    <t>Quang Mike Duc</t>
  </si>
  <si>
    <t>539734594</t>
  </si>
  <si>
    <t>KE 723</t>
  </si>
  <si>
    <t>Connecting/next door for 3 rooms</t>
  </si>
  <si>
    <t>SFNW5S2JPQP</t>
  </si>
  <si>
    <t>Lillian Hanh My Dao</t>
  </si>
  <si>
    <t>589901607</t>
  </si>
  <si>
    <t>T5ND7M6ZCF3</t>
  </si>
  <si>
    <t>Athena Kim Phuong</t>
  </si>
  <si>
    <t>A51468127</t>
  </si>
  <si>
    <t>GFNVJGLTJD5</t>
  </si>
  <si>
    <t>Duke Thanh</t>
  </si>
  <si>
    <t>A15041560</t>
  </si>
  <si>
    <t xml:space="preserve"> Connecting/next door for 3 rooms</t>
  </si>
  <si>
    <t>GTNQLBQ5VPG</t>
  </si>
  <si>
    <t>May Truong</t>
  </si>
  <si>
    <t>646257038</t>
  </si>
  <si>
    <t>C6NJ668GTV5</t>
  </si>
  <si>
    <t>Maximus Thien Phong</t>
  </si>
  <si>
    <t>A51468128</t>
  </si>
  <si>
    <t>WMNJBHJD8CG</t>
  </si>
  <si>
    <t>Em Thi</t>
  </si>
  <si>
    <t>545560601</t>
  </si>
  <si>
    <t>HNNR2FZ462M</t>
  </si>
  <si>
    <t>A Thi Phuoc</t>
  </si>
  <si>
    <t>N2157633</t>
  </si>
  <si>
    <t>8TN5B59P39D</t>
  </si>
  <si>
    <t>Huy Will</t>
  </si>
  <si>
    <t>672782270</t>
  </si>
  <si>
    <t>XSNBMRD7QR3</t>
  </si>
  <si>
    <t>Nguyen Bao Tran</t>
  </si>
  <si>
    <t>Do</t>
  </si>
  <si>
    <t>C7517669</t>
  </si>
  <si>
    <t>3GNH3SLVSBS</t>
  </si>
  <si>
    <t>Julie</t>
  </si>
  <si>
    <t>A578812727</t>
  </si>
  <si>
    <t>VXNGBGQHVKG</t>
  </si>
  <si>
    <t>Derrell Javoun</t>
  </si>
  <si>
    <t>Mc Call</t>
  </si>
  <si>
    <t>A57881728</t>
  </si>
  <si>
    <t>6CNFJCG9GVR</t>
  </si>
  <si>
    <t>Victoria</t>
  </si>
  <si>
    <t>A12610120</t>
  </si>
  <si>
    <t>HRNPS4RDB9Y</t>
  </si>
  <si>
    <t>Luan</t>
  </si>
  <si>
    <t>TNNTYZHGYFH</t>
  </si>
  <si>
    <t>Michael Ysbrand</t>
  </si>
  <si>
    <t>Bakkers</t>
  </si>
  <si>
    <t>A43865909</t>
  </si>
  <si>
    <t>N2N2M9KDPX8</t>
  </si>
  <si>
    <t>Linh Dan</t>
  </si>
  <si>
    <t>A03350032</t>
  </si>
  <si>
    <t>VLNHK68MKM9</t>
  </si>
  <si>
    <t>An Thanh</t>
  </si>
  <si>
    <t>A29153383</t>
  </si>
  <si>
    <t>4NNVD3N8BR3</t>
  </si>
  <si>
    <t>Huyen Anh Thi</t>
  </si>
  <si>
    <t>A29153384</t>
  </si>
  <si>
    <t>32N3X3VKNF2</t>
  </si>
  <si>
    <t>Chamna</t>
  </si>
  <si>
    <t>A41568927</t>
  </si>
  <si>
    <t>X2NWSPH6J4K</t>
  </si>
  <si>
    <t>Sarah Lorraine</t>
  </si>
  <si>
    <t>Go</t>
  </si>
  <si>
    <t>595865861</t>
  </si>
  <si>
    <t>GBN7LZF3SVR</t>
  </si>
  <si>
    <t>Dung Anh</t>
  </si>
  <si>
    <t>680898836</t>
  </si>
  <si>
    <t>OZ 735</t>
  </si>
  <si>
    <t>RWNH38JSYGK</t>
  </si>
  <si>
    <t>Huyen-Anh Thi</t>
  </si>
  <si>
    <t>A58279402</t>
  </si>
  <si>
    <t>44NBM35NH92</t>
  </si>
  <si>
    <t>Ha Duong</t>
  </si>
  <si>
    <t>United States Minor Outlying Islands</t>
  </si>
  <si>
    <t>649732192</t>
  </si>
  <si>
    <t>7C 111</t>
  </si>
  <si>
    <t>7SNQFCDXLDV</t>
  </si>
  <si>
    <t>Robert Nguyen</t>
  </si>
  <si>
    <t>649732193</t>
  </si>
  <si>
    <t>82NN2YD3KQ4</t>
  </si>
  <si>
    <t>Kiem</t>
  </si>
  <si>
    <t>Ly</t>
  </si>
  <si>
    <t>5548061036</t>
  </si>
  <si>
    <t>GMNY7HZ4DFY</t>
  </si>
  <si>
    <t>Trudie Phuc</t>
  </si>
  <si>
    <t>641799098</t>
  </si>
  <si>
    <t>H8N88FFHCL9</t>
  </si>
  <si>
    <t>Napaporn Tudtieng</t>
  </si>
  <si>
    <t>Lewis</t>
  </si>
  <si>
    <t>681734216</t>
  </si>
  <si>
    <t>DL 7834</t>
  </si>
  <si>
    <t>KE 791</t>
  </si>
  <si>
    <t>N8NGDYV6MDH</t>
  </si>
  <si>
    <t>Michael Allan</t>
  </si>
  <si>
    <t>681734215</t>
  </si>
  <si>
    <t>NCN8C5DHZXR</t>
  </si>
  <si>
    <t>643795096</t>
  </si>
  <si>
    <t>ZE 612</t>
  </si>
  <si>
    <t>MBNMY6WHNDJ</t>
  </si>
  <si>
    <t>A44449853</t>
  </si>
  <si>
    <t>QQN3JMCCVHR</t>
  </si>
  <si>
    <t>Andrew Truong Kha</t>
  </si>
  <si>
    <t>595418063</t>
  </si>
  <si>
    <t>KVNXJYSYKSL</t>
  </si>
  <si>
    <t>Cody Truong Khuong</t>
  </si>
  <si>
    <t>671758858</t>
  </si>
  <si>
    <t>FNN3HGNNJVN</t>
  </si>
  <si>
    <t>Phuong Thi</t>
  </si>
  <si>
    <t>654489174</t>
  </si>
  <si>
    <t>TDNM7ZHRY8Z</t>
  </si>
  <si>
    <t>Nhan Thanh</t>
  </si>
  <si>
    <t>679067463</t>
  </si>
  <si>
    <t>L6N8KCM9Y9T</t>
  </si>
  <si>
    <t>Quang Tan</t>
  </si>
  <si>
    <t>556839320</t>
  </si>
  <si>
    <t>25NFSHGLMDC</t>
  </si>
  <si>
    <t>Victoria Nhu</t>
  </si>
  <si>
    <t>Marron</t>
  </si>
  <si>
    <t>656365050</t>
  </si>
  <si>
    <t>X4N5QXHZBKF</t>
  </si>
  <si>
    <t>Thai Hoa</t>
  </si>
  <si>
    <t>A00198278</t>
  </si>
  <si>
    <t>VWNQPL3S77F</t>
  </si>
  <si>
    <t>Thu-Thuy Thi</t>
  </si>
  <si>
    <t>A00198277</t>
  </si>
  <si>
    <t>6DNBXLTZNYF</t>
  </si>
  <si>
    <t>Tuan Van</t>
  </si>
  <si>
    <t>A51900487</t>
  </si>
  <si>
    <t>28N599W69ML</t>
  </si>
  <si>
    <t>Chuc Thi</t>
  </si>
  <si>
    <t>561799684</t>
  </si>
  <si>
    <t>VNN8GMXWFN5</t>
  </si>
  <si>
    <t>Gale Lavarias</t>
  </si>
  <si>
    <t>Gajardo</t>
  </si>
  <si>
    <t>YP 103</t>
  </si>
  <si>
    <t>Change double to single, update pp &amp; flight info</t>
  </si>
  <si>
    <t>M4N3MD5Y7SR</t>
  </si>
  <si>
    <t>Asami</t>
  </si>
  <si>
    <t>Hashizume</t>
  </si>
  <si>
    <t>Japan</t>
  </si>
  <si>
    <t>TZ2024166</t>
  </si>
  <si>
    <t>KE 713</t>
  </si>
  <si>
    <t>XVN3DJDMNT4</t>
  </si>
  <si>
    <t>Hal</t>
  </si>
  <si>
    <t>TM0089983</t>
  </si>
  <si>
    <t>KE 706</t>
  </si>
  <si>
    <t>5LNV2TD87MQ</t>
  </si>
  <si>
    <t>Sachiko</t>
  </si>
  <si>
    <t>Yagi</t>
  </si>
  <si>
    <t>TZ1347087</t>
  </si>
  <si>
    <t>KE 2103</t>
  </si>
  <si>
    <t>CDNK9TS7VGQ</t>
  </si>
  <si>
    <t>Masaaki</t>
  </si>
  <si>
    <t>TZ1273314</t>
  </si>
  <si>
    <t>4KNK6TX5F3M</t>
  </si>
  <si>
    <t>Shadi</t>
  </si>
  <si>
    <t>Shirzadi</t>
  </si>
  <si>
    <t>Iran</t>
  </si>
  <si>
    <t>671069462</t>
  </si>
  <si>
    <t>WFNW6PNZCFT</t>
  </si>
  <si>
    <t>Prafulla Damodar</t>
  </si>
  <si>
    <t>Vyawahare</t>
  </si>
  <si>
    <t>567941184</t>
  </si>
  <si>
    <t>CX 417</t>
  </si>
  <si>
    <t>FKNKVTN6PFW</t>
  </si>
  <si>
    <t>Guadron Jr</t>
  </si>
  <si>
    <t>A38422559</t>
  </si>
  <si>
    <t>9DNRFDSV5JP</t>
  </si>
  <si>
    <t>Nguyet Teri</t>
  </si>
  <si>
    <t>563667835</t>
  </si>
  <si>
    <t>F4NQTRPWTJH</t>
  </si>
  <si>
    <t>Sergio Martin</t>
  </si>
  <si>
    <t>Zapata</t>
  </si>
  <si>
    <t>555374366</t>
  </si>
  <si>
    <t>DZNKDXBLV4F</t>
  </si>
  <si>
    <t>Stephanie Chupinghong</t>
  </si>
  <si>
    <t>A63487765</t>
  </si>
  <si>
    <t>FWN8JG2DFQ7</t>
  </si>
  <si>
    <t>Quyen Linh</t>
  </si>
  <si>
    <t>531316109</t>
  </si>
  <si>
    <t>G3N8YPCHQ2W</t>
  </si>
  <si>
    <t>Vincent</t>
  </si>
  <si>
    <t>567326360</t>
  </si>
  <si>
    <t>KE 703</t>
  </si>
  <si>
    <t>Upgrade - Club Junior Suite
Next door with Cuong Truong</t>
  </si>
  <si>
    <t>7QNMGGLT54Q</t>
  </si>
  <si>
    <t>Diana Mueca</t>
  </si>
  <si>
    <t>A36131383</t>
  </si>
  <si>
    <t>57NXYPGZJTW</t>
  </si>
  <si>
    <t>Ava Claire</t>
  </si>
  <si>
    <t>672680962</t>
  </si>
  <si>
    <t>2DNZZJM4FQD</t>
  </si>
  <si>
    <t>Cuong Chan</t>
  </si>
  <si>
    <t>557282146</t>
  </si>
  <si>
    <t>Next door wz Vincent Truong</t>
  </si>
  <si>
    <t>TFNF93J3YN5</t>
  </si>
  <si>
    <t>Thu Nguyet</t>
  </si>
  <si>
    <t>557282145</t>
  </si>
  <si>
    <t>82N984VWNQ6</t>
  </si>
  <si>
    <t>Justin Warren</t>
  </si>
  <si>
    <t>A34120819</t>
  </si>
  <si>
    <t>VWNY7XMHX4B</t>
  </si>
  <si>
    <t>Joseph Quinto</t>
  </si>
  <si>
    <t>566379770</t>
  </si>
  <si>
    <t>C3NK3B9KDBL</t>
  </si>
  <si>
    <t>Satoko</t>
  </si>
  <si>
    <t>Tsutsumi</t>
  </si>
  <si>
    <t>TZ1304169</t>
  </si>
  <si>
    <t>7C 1106</t>
  </si>
  <si>
    <t>7C 1103</t>
  </si>
  <si>
    <t>H5NX346HRJ8</t>
  </si>
  <si>
    <t>Edward E-V</t>
  </si>
  <si>
    <t>Kuoch</t>
  </si>
  <si>
    <t>599632502</t>
  </si>
  <si>
    <t>3KN3SNTNLW4</t>
  </si>
  <si>
    <t>Kaleb Nicholas</t>
  </si>
  <si>
    <t>4WNZ7Z8X5JC</t>
  </si>
  <si>
    <t>Vuthy</t>
  </si>
  <si>
    <t>573061475</t>
  </si>
  <si>
    <t>R6NHZSKWM44</t>
  </si>
  <si>
    <t>Kessara</t>
  </si>
  <si>
    <t>Kieng</t>
  </si>
  <si>
    <t>596990992</t>
  </si>
  <si>
    <t>IN-A05</t>
  </si>
  <si>
    <t>SZN75GVCJQQ</t>
  </si>
  <si>
    <t>Bing Run</t>
  </si>
  <si>
    <t>Cai</t>
  </si>
  <si>
    <t>648014884</t>
  </si>
  <si>
    <t>Wanda Lau</t>
  </si>
  <si>
    <t>NPN6Z6B9MLJ</t>
  </si>
  <si>
    <t>Kai Ling</t>
  </si>
  <si>
    <t>Weng</t>
  </si>
  <si>
    <t>A36422078</t>
  </si>
  <si>
    <t>S5NWNBBHKRH</t>
  </si>
  <si>
    <t>Wanda Yee Wah</t>
  </si>
  <si>
    <t>Lau</t>
  </si>
  <si>
    <t>677070816</t>
  </si>
  <si>
    <t>B7NSR746SVJ</t>
  </si>
  <si>
    <t>Kevin Kyan Shan</t>
  </si>
  <si>
    <t>565872080</t>
  </si>
  <si>
    <t>N8NPZX2R6NV</t>
  </si>
  <si>
    <t>Yunyi</t>
  </si>
  <si>
    <t>United Kingdom</t>
  </si>
  <si>
    <t>125553069</t>
  </si>
  <si>
    <t>XPNMZ4SMHQQ</t>
  </si>
  <si>
    <t>Winny Ya Ya</t>
  </si>
  <si>
    <t>Huang</t>
  </si>
  <si>
    <t>A46597920</t>
  </si>
  <si>
    <t>IN-A06</t>
  </si>
  <si>
    <t>FKN7H3Y5CX3</t>
  </si>
  <si>
    <t>Kim Ngoc Le</t>
  </si>
  <si>
    <t>A38951167</t>
  </si>
  <si>
    <t>KE 475</t>
  </si>
  <si>
    <t>Xuan Nguyen 2</t>
  </si>
  <si>
    <t>D7ND7V5DZJZ</t>
  </si>
  <si>
    <t>Lam</t>
  </si>
  <si>
    <t>A13732462</t>
  </si>
  <si>
    <t>RFNTR79B4J6</t>
  </si>
  <si>
    <t>Anna Linhle</t>
  </si>
  <si>
    <t>669211722</t>
  </si>
  <si>
    <t>KE 476</t>
  </si>
  <si>
    <t>2CNJ7925K8S</t>
  </si>
  <si>
    <t>Peter D</t>
  </si>
  <si>
    <t>A81954334</t>
  </si>
  <si>
    <t>M3NB8CCSPMT</t>
  </si>
  <si>
    <t>Vicki Ann</t>
  </si>
  <si>
    <t>A18147014</t>
  </si>
  <si>
    <t>7QNC3V59YFC</t>
  </si>
  <si>
    <t>Y Van</t>
  </si>
  <si>
    <t>666779471</t>
  </si>
  <si>
    <t>4XNP3TF4RTN</t>
  </si>
  <si>
    <t>Yingyu Luan</t>
  </si>
  <si>
    <t>Counsell</t>
  </si>
  <si>
    <t>KE 811</t>
  </si>
  <si>
    <t>RSNNJSNHLPW</t>
  </si>
  <si>
    <t>James Anthony</t>
  </si>
  <si>
    <t>QDN35YPZYN9</t>
  </si>
  <si>
    <t>Khanh Quoc</t>
  </si>
  <si>
    <t>Mac</t>
  </si>
  <si>
    <t>587228757</t>
  </si>
  <si>
    <t>KE 1814</t>
  </si>
  <si>
    <t>K2NVHTYHV69</t>
  </si>
  <si>
    <t>Yu Qing</t>
  </si>
  <si>
    <t>543827782</t>
  </si>
  <si>
    <t>OZ 271</t>
  </si>
  <si>
    <t>OZ 106</t>
  </si>
  <si>
    <t>8NN4TGGPH3C</t>
  </si>
  <si>
    <t>Kim Howard</t>
  </si>
  <si>
    <t>Leung</t>
  </si>
  <si>
    <t>A57814135</t>
  </si>
  <si>
    <t>passport info update</t>
  </si>
  <si>
    <t>7WN63C78Z7Z</t>
  </si>
  <si>
    <t>Dennis Hoang</t>
  </si>
  <si>
    <t>Sam</t>
  </si>
  <si>
    <t>AS 8471</t>
  </si>
  <si>
    <t>39NB9R8B458</t>
  </si>
  <si>
    <t>Tracy Truc</t>
  </si>
  <si>
    <t>A16716877</t>
  </si>
  <si>
    <t>RS 703</t>
  </si>
  <si>
    <t>Connecting/next door with Hieu Trang</t>
  </si>
  <si>
    <t>JLNYV3XCBP5</t>
  </si>
  <si>
    <t>Henry</t>
  </si>
  <si>
    <t>Trang</t>
  </si>
  <si>
    <t>A12989188</t>
  </si>
  <si>
    <t>S6N7D2CSJT7</t>
  </si>
  <si>
    <t>Hieu Trung</t>
  </si>
  <si>
    <t>A16716878</t>
  </si>
  <si>
    <t>Connecting/next door Tracy Nguyen</t>
  </si>
  <si>
    <t>65NFR2N8ZNF</t>
  </si>
  <si>
    <t>Hubert</t>
  </si>
  <si>
    <t>A12989189</t>
  </si>
  <si>
    <t>RXNJ8FSXLCN</t>
  </si>
  <si>
    <t>Tu Ngoc</t>
  </si>
  <si>
    <t>565795198</t>
  </si>
  <si>
    <t>WDNHJSRM893</t>
  </si>
  <si>
    <t>David Warner</t>
  </si>
  <si>
    <t>Martin</t>
  </si>
  <si>
    <t>544991469</t>
  </si>
  <si>
    <t>87NVG9K5VTW</t>
  </si>
  <si>
    <t>David Floyd</t>
  </si>
  <si>
    <t>569546217</t>
  </si>
  <si>
    <t>TXN3DRRVSNQ</t>
  </si>
  <si>
    <t>Jamie Louise</t>
  </si>
  <si>
    <t>569546176</t>
  </si>
  <si>
    <t>SNNX3YTJRFR</t>
  </si>
  <si>
    <t>Annie</t>
  </si>
  <si>
    <t>557489086</t>
  </si>
  <si>
    <t>CFN9HRNGPLB</t>
  </si>
  <si>
    <t>Timothy Laurence</t>
  </si>
  <si>
    <t>678683102</t>
  </si>
  <si>
    <t>Z8NGPNMCDFJ</t>
  </si>
  <si>
    <t>Kaitlin Gia Han</t>
  </si>
  <si>
    <t>A27980737</t>
  </si>
  <si>
    <t>YRN79Z5QMQV</t>
  </si>
  <si>
    <t>Ethan Gia-Bao</t>
  </si>
  <si>
    <t>A41794841</t>
  </si>
  <si>
    <t>2BN37QV7VL9</t>
  </si>
  <si>
    <t>Mach</t>
  </si>
  <si>
    <t>A18517306</t>
  </si>
  <si>
    <t>J4NN9GGV5ZZ</t>
  </si>
  <si>
    <t>Giao-Linh</t>
  </si>
  <si>
    <t>573220952</t>
  </si>
  <si>
    <t>WBNV22XW2LW</t>
  </si>
  <si>
    <t>Man Van</t>
  </si>
  <si>
    <t>A08827467</t>
  </si>
  <si>
    <t>L3N3PPYYS5C</t>
  </si>
  <si>
    <t>Vickie An</t>
  </si>
  <si>
    <t>A43912361</t>
  </si>
  <si>
    <t>XGNHFNXFNHH</t>
  </si>
  <si>
    <t>Adrianna Ai-Xuan</t>
  </si>
  <si>
    <t>A08827468</t>
  </si>
  <si>
    <t>3SNFTHMFYJ6</t>
  </si>
  <si>
    <t>Tessa Fu Xia</t>
  </si>
  <si>
    <t>Pedersen</t>
  </si>
  <si>
    <t>597372264</t>
  </si>
  <si>
    <t>NPN3SWJL59T</t>
  </si>
  <si>
    <t>Ernesto Salunga</t>
  </si>
  <si>
    <t>Flaminiano</t>
  </si>
  <si>
    <t>569772966</t>
  </si>
  <si>
    <t>5J 130</t>
  </si>
  <si>
    <t>SQ 611</t>
  </si>
  <si>
    <t>KHNVQS8GZY3</t>
  </si>
  <si>
    <t>Christina Thomas</t>
  </si>
  <si>
    <t>569772958</t>
  </si>
  <si>
    <t>LMN6NY2WM4K</t>
  </si>
  <si>
    <t>Rocky Brook Darin</t>
  </si>
  <si>
    <t>Pavone</t>
  </si>
  <si>
    <t>A16377254</t>
  </si>
  <si>
    <t>W2 4862</t>
  </si>
  <si>
    <t>NLNHVLDZ96N</t>
  </si>
  <si>
    <t>Patricia Mayela</t>
  </si>
  <si>
    <t>679549619</t>
  </si>
  <si>
    <t>JBA-INA</t>
  </si>
  <si>
    <t xml:space="preserve">Thi Thu Ha (Jasmine) </t>
  </si>
  <si>
    <t>Thi Phuc</t>
  </si>
  <si>
    <t>ROOM LIST FOR JW MARRIOTT SEOUL_GROUP A</t>
  </si>
  <si>
    <t>JW MARRIOTT</t>
  </si>
  <si>
    <t>CHD 
(4 TO UNDER 13 Y/O)</t>
  </si>
  <si>
    <t>Room service</t>
  </si>
  <si>
    <t>JW-A01</t>
  </si>
  <si>
    <t>M9NZGXT2CW5</t>
  </si>
  <si>
    <t>Chiewsze</t>
  </si>
  <si>
    <t>Cheah</t>
  </si>
  <si>
    <t>545787244</t>
  </si>
  <si>
    <t xml:space="preserve"> POST</t>
  </si>
  <si>
    <t>Alicia Nguyen 3</t>
  </si>
  <si>
    <t>Adjoining room/next door</t>
  </si>
  <si>
    <t>XGN5MNQH6Z5</t>
  </si>
  <si>
    <t>Luke Brody</t>
  </si>
  <si>
    <t>A25678618</t>
  </si>
  <si>
    <t>No kid breakfast from 18-21 Sep</t>
  </si>
  <si>
    <t>3BN3P3S7TS2</t>
  </si>
  <si>
    <t>Lauren Mulan</t>
  </si>
  <si>
    <t>670496827</t>
  </si>
  <si>
    <t>N4NC32N42LT</t>
  </si>
  <si>
    <t>Ah Eng</t>
  </si>
  <si>
    <t>Ooi</t>
  </si>
  <si>
    <t>A13541454</t>
  </si>
  <si>
    <t>WMN4V2GDXQJ</t>
  </si>
  <si>
    <t>Seong Aun</t>
  </si>
  <si>
    <t>A04672397</t>
  </si>
  <si>
    <t>BMNVVMLJS5Y</t>
  </si>
  <si>
    <t>Taylor Louis</t>
  </si>
  <si>
    <t>A22580412</t>
  </si>
  <si>
    <t>VLNG89FJ3HR</t>
  </si>
  <si>
    <t>Linh</t>
  </si>
  <si>
    <t>Tonnu</t>
  </si>
  <si>
    <t>A01819894</t>
  </si>
  <si>
    <t>7C 1374</t>
  </si>
  <si>
    <t>NNNMCZGNJJB</t>
  </si>
  <si>
    <t>Vietlong</t>
  </si>
  <si>
    <t>Ha</t>
  </si>
  <si>
    <t>640182792</t>
  </si>
  <si>
    <t>CVN8H5ZBTW5</t>
  </si>
  <si>
    <t>Nhu Ai Hoang</t>
  </si>
  <si>
    <t>544082473</t>
  </si>
  <si>
    <t>VN 403</t>
  </si>
  <si>
    <t>3HNHYB2CWWB</t>
  </si>
  <si>
    <t>Vi Ngoc Thanh</t>
  </si>
  <si>
    <t>A29332899</t>
  </si>
  <si>
    <t>TW 304</t>
  </si>
  <si>
    <t>HA 872</t>
  </si>
  <si>
    <t>GTNGBKDRMK8</t>
  </si>
  <si>
    <t>Phonetip</t>
  </si>
  <si>
    <t>Sivilay</t>
  </si>
  <si>
    <t>672885482</t>
  </si>
  <si>
    <t>VJ 861</t>
  </si>
  <si>
    <t>4NNQFFFRLGS</t>
  </si>
  <si>
    <t>Phonethip</t>
  </si>
  <si>
    <t>Bounma</t>
  </si>
  <si>
    <t>A41726408</t>
  </si>
  <si>
    <t>SVNPWTPC6SX</t>
  </si>
  <si>
    <t>A63553163</t>
  </si>
  <si>
    <t>GXNHS2NZGG3</t>
  </si>
  <si>
    <t>Judy</t>
  </si>
  <si>
    <t>563030485</t>
  </si>
  <si>
    <t>BMNZPC9YVZ8</t>
  </si>
  <si>
    <t>Ava Thi</t>
  </si>
  <si>
    <t>A61897083</t>
  </si>
  <si>
    <t>7LNH3MLS2CY</t>
  </si>
  <si>
    <t>Mike</t>
  </si>
  <si>
    <t>A43142278</t>
  </si>
  <si>
    <t>2ZNMF49BBVW</t>
  </si>
  <si>
    <t>Anthony Tuong Hung</t>
  </si>
  <si>
    <t>A71678834</t>
  </si>
  <si>
    <t>OZ 731</t>
  </si>
  <si>
    <t>FMN7SWW89Z9</t>
  </si>
  <si>
    <t>Kris Antoine</t>
  </si>
  <si>
    <t>Flores</t>
  </si>
  <si>
    <t>A08211064</t>
  </si>
  <si>
    <t>XNNY43FCBY3</t>
  </si>
  <si>
    <t>Bradley Todd Akio</t>
  </si>
  <si>
    <t>Hamada</t>
  </si>
  <si>
    <t>674379006</t>
  </si>
  <si>
    <t>KE 725</t>
  </si>
  <si>
    <t>7RNX8XYH5Q7</t>
  </si>
  <si>
    <t>Kimiyo Naomi</t>
  </si>
  <si>
    <t>589036501</t>
  </si>
  <si>
    <t>BXN5DFN2ZHB</t>
  </si>
  <si>
    <t>Carolyn Park</t>
  </si>
  <si>
    <t>A14286290</t>
  </si>
  <si>
    <t>KE 54</t>
  </si>
  <si>
    <t>MVNQDLZSVD3</t>
  </si>
  <si>
    <t>Calvin Toshiyuki</t>
  </si>
  <si>
    <t>A14286295</t>
  </si>
  <si>
    <t>2KNCJMGDSMG</t>
  </si>
  <si>
    <t>Judy Yoshii</t>
  </si>
  <si>
    <t>Fukumae</t>
  </si>
  <si>
    <t>567109441</t>
  </si>
  <si>
    <t>DCNBZVFXBBN</t>
  </si>
  <si>
    <t>Jaime Tadashi</t>
  </si>
  <si>
    <t>657301625</t>
  </si>
  <si>
    <t>STNFZ5STTSC</t>
  </si>
  <si>
    <t>Melania Isabel</t>
  </si>
  <si>
    <t>Madriaga</t>
  </si>
  <si>
    <t>591693899</t>
  </si>
  <si>
    <t>DL 7938</t>
  </si>
  <si>
    <t>DTNPX55WRXQ</t>
  </si>
  <si>
    <t>Honorio C</t>
  </si>
  <si>
    <t>596072021</t>
  </si>
  <si>
    <t>N2NYMQWZ4W8</t>
  </si>
  <si>
    <t>Portia Serame</t>
  </si>
  <si>
    <t>Jacinto</t>
  </si>
  <si>
    <t>557188220</t>
  </si>
  <si>
    <t>G8N3C9XK5NP</t>
  </si>
  <si>
    <t>Ethan Benjamin</t>
  </si>
  <si>
    <t>Alviar</t>
  </si>
  <si>
    <t>A19882745</t>
  </si>
  <si>
    <t>NBN5PBLGKQ6</t>
  </si>
  <si>
    <t>Victor Paolo</t>
  </si>
  <si>
    <t>A07852776</t>
  </si>
  <si>
    <t>24NM53G2WMJ</t>
  </si>
  <si>
    <t>Tammy Lei</t>
  </si>
  <si>
    <t>Yuen</t>
  </si>
  <si>
    <t>648557666</t>
  </si>
  <si>
    <t>RZN9ZX2DCC2</t>
  </si>
  <si>
    <t>Diane Bich</t>
  </si>
  <si>
    <t>568959051</t>
  </si>
  <si>
    <t>5SN6Q5LFC4R</t>
  </si>
  <si>
    <t>Dan Van</t>
  </si>
  <si>
    <t>Willabe</t>
  </si>
  <si>
    <t>596792422</t>
  </si>
  <si>
    <t>XSN6R2RGNKD</t>
  </si>
  <si>
    <t>Danielle Thaovan</t>
  </si>
  <si>
    <t>A42166455</t>
  </si>
  <si>
    <t>PDNGRBD23NW</t>
  </si>
  <si>
    <t>Hien Duc</t>
  </si>
  <si>
    <t>576731029</t>
  </si>
  <si>
    <t>XDNSK3FCWF8</t>
  </si>
  <si>
    <t>Minh</t>
  </si>
  <si>
    <t>Chaungo</t>
  </si>
  <si>
    <t>670635443</t>
  </si>
  <si>
    <t>PQNCHCLYCNT</t>
  </si>
  <si>
    <t>Ernest Anthony</t>
  </si>
  <si>
    <t>Hebrard</t>
  </si>
  <si>
    <t>555823089</t>
  </si>
  <si>
    <t>FWNG86QDXB5</t>
  </si>
  <si>
    <t>Jeanne Yee</t>
  </si>
  <si>
    <t>C22164475</t>
  </si>
  <si>
    <t>7JN92SVFBXK</t>
  </si>
  <si>
    <t>Justin Douglas</t>
  </si>
  <si>
    <t>Yee</t>
  </si>
  <si>
    <t>650950469</t>
  </si>
  <si>
    <t>OZ 1135</t>
  </si>
  <si>
    <t>WSB staff</t>
  </si>
  <si>
    <t>Upgrade - Griffin Suite, Next door with DMN6ZNXS4TH + YWN37HR2SQL (dad &amp; mom of Justin Yee &amp; the daughter Elisa Ha Yee - SPNYHGY9GJG)</t>
  </si>
  <si>
    <t>3PNSTRBJCNL</t>
  </si>
  <si>
    <t>Phoebe Ha-Thanh</t>
  </si>
  <si>
    <t>580588118</t>
  </si>
  <si>
    <t>PYNQTJPDF5Z</t>
  </si>
  <si>
    <t>Amelia Ha</t>
  </si>
  <si>
    <t>676380767</t>
  </si>
  <si>
    <t>DMN6ZNXS4TH</t>
  </si>
  <si>
    <t>Kent J</t>
  </si>
  <si>
    <t>675439368</t>
  </si>
  <si>
    <t>Nex door Mom &amp; Dad of Justin Yee - 7JN92SVFBXK</t>
  </si>
  <si>
    <t>CFN78HK3C5B</t>
  </si>
  <si>
    <t>Betty N</t>
  </si>
  <si>
    <t>671222468</t>
  </si>
  <si>
    <t>48NJJQHZ2HJ</t>
  </si>
  <si>
    <t>Emerson Quince</t>
  </si>
  <si>
    <t>A30603933</t>
  </si>
  <si>
    <t>YWN37HR2SQL</t>
  </si>
  <si>
    <t>Alexandra Mariel</t>
  </si>
  <si>
    <t>Martinez Cotrina</t>
  </si>
  <si>
    <t>Peru</t>
  </si>
  <si>
    <t>223017507</t>
  </si>
  <si>
    <t>Rooming: Elisa Ha Yee - SPNYHGY9GJG is the child of Justin Yee - 7JN92SVFBXK</t>
  </si>
  <si>
    <t>WFNLBB7XQP5</t>
  </si>
  <si>
    <t>Joshlyn</t>
  </si>
  <si>
    <t>67618353</t>
  </si>
  <si>
    <t>VN 431</t>
  </si>
  <si>
    <t>SPNYHGY9GJG</t>
  </si>
  <si>
    <t>Elise Ha</t>
  </si>
  <si>
    <t>A30603932</t>
  </si>
  <si>
    <t>WGN8KLNM7Z9</t>
  </si>
  <si>
    <t>Millie Yee</t>
  </si>
  <si>
    <t>552763883</t>
  </si>
  <si>
    <t>GVNV53CCY2X</t>
  </si>
  <si>
    <t>Danny Chi Keung</t>
  </si>
  <si>
    <t>562561435</t>
  </si>
  <si>
    <t>J4NCTWDMRB6</t>
  </si>
  <si>
    <t>Mylinh Linda</t>
  </si>
  <si>
    <t>Phu</t>
  </si>
  <si>
    <t>A03250229</t>
  </si>
  <si>
    <t>MSNLRNDWZWT</t>
  </si>
  <si>
    <t>Vivian Ngoc</t>
  </si>
  <si>
    <t>A43843961</t>
  </si>
  <si>
    <t>TRNDPHZCJ4W</t>
  </si>
  <si>
    <t>Eric Khang</t>
  </si>
  <si>
    <t>Doan</t>
  </si>
  <si>
    <t>566139220</t>
  </si>
  <si>
    <t>KE 31</t>
  </si>
  <si>
    <t>8XNCGC6Z95N</t>
  </si>
  <si>
    <t>Kimberly Ann</t>
  </si>
  <si>
    <t>547785981</t>
  </si>
  <si>
    <t>WVN8KKVNJ3D</t>
  </si>
  <si>
    <t>Viet Hung</t>
  </si>
  <si>
    <t>550532616</t>
  </si>
  <si>
    <t>X5NL337NBVD</t>
  </si>
  <si>
    <t>A42325999</t>
  </si>
  <si>
    <t>WHNLV2K6G87</t>
  </si>
  <si>
    <t>Therence Duc-Bao</t>
  </si>
  <si>
    <t>A57322995</t>
  </si>
  <si>
    <t>OZ 272</t>
  </si>
  <si>
    <t>KTNYBQBZKP8</t>
  </si>
  <si>
    <t>Thu Thi Ngoc</t>
  </si>
  <si>
    <t>584338813</t>
  </si>
  <si>
    <t>95NW8LJX3JL</t>
  </si>
  <si>
    <t>Duc Loi D</t>
  </si>
  <si>
    <t>584345117</t>
  </si>
  <si>
    <t>FMNB9TG8JT4</t>
  </si>
  <si>
    <t>Nyla Nhu-Y</t>
  </si>
  <si>
    <t>A57322994</t>
  </si>
  <si>
    <t>XWNXBJS57QH</t>
  </si>
  <si>
    <t>557869164</t>
  </si>
  <si>
    <t>GQNNWMVYZS3</t>
  </si>
  <si>
    <t>Trung Thuy</t>
  </si>
  <si>
    <t>553535621</t>
  </si>
  <si>
    <t>3MNCSHWLBQ2</t>
  </si>
  <si>
    <t>Farm Saeteurn</t>
  </si>
  <si>
    <t>Moua</t>
  </si>
  <si>
    <t>A01824708</t>
  </si>
  <si>
    <t>8MN89NRYMCS</t>
  </si>
  <si>
    <t>Fey Chiem</t>
  </si>
  <si>
    <t>Saeteurn</t>
  </si>
  <si>
    <t>580694871</t>
  </si>
  <si>
    <t>5YNP3XVSDF7</t>
  </si>
  <si>
    <t>Manchiem Sherry</t>
  </si>
  <si>
    <t>Fong</t>
  </si>
  <si>
    <t>547463808</t>
  </si>
  <si>
    <t>Z4NMCGPHBMN</t>
  </si>
  <si>
    <t>Drayden</t>
  </si>
  <si>
    <t>547467354</t>
  </si>
  <si>
    <t>VWN2Q58LJ8M</t>
  </si>
  <si>
    <t>Jipson Soo</t>
  </si>
  <si>
    <t>Quan</t>
  </si>
  <si>
    <t>A33059619</t>
  </si>
  <si>
    <t>CI 163</t>
  </si>
  <si>
    <t>3ZN3LJCS799</t>
  </si>
  <si>
    <t>Celine Bancolita</t>
  </si>
  <si>
    <t>A35997583</t>
  </si>
  <si>
    <t>8VNH5H9G3GD</t>
  </si>
  <si>
    <t>Karen Li Ming</t>
  </si>
  <si>
    <t>561489457</t>
  </si>
  <si>
    <t>OZ 370</t>
  </si>
  <si>
    <t>OZ 365</t>
  </si>
  <si>
    <t>6XNJM4KF5L9</t>
  </si>
  <si>
    <t>Tony Shun Yin</t>
  </si>
  <si>
    <t>Ng</t>
  </si>
  <si>
    <t>A04376136</t>
  </si>
  <si>
    <t>XGNMFMJKJWX</t>
  </si>
  <si>
    <t>Aaries Travis</t>
  </si>
  <si>
    <t>Oda</t>
  </si>
  <si>
    <t>596045006</t>
  </si>
  <si>
    <t>G7NHCT5JMR4</t>
  </si>
  <si>
    <t>Masayo</t>
  </si>
  <si>
    <t>Hanada</t>
  </si>
  <si>
    <t>TZ1204525</t>
  </si>
  <si>
    <t>BX 157</t>
  </si>
  <si>
    <t>LJ 271</t>
  </si>
  <si>
    <t>VGN5QKZ8J99</t>
  </si>
  <si>
    <t>Blossom Del Rosario</t>
  </si>
  <si>
    <t>Dulos</t>
  </si>
  <si>
    <t>548538835</t>
  </si>
  <si>
    <t>QWN6X9D9ZG8</t>
  </si>
  <si>
    <t>Charito Oquias</t>
  </si>
  <si>
    <t>572982915</t>
  </si>
  <si>
    <t>CA 124</t>
  </si>
  <si>
    <t>TFNPB99TR9K</t>
  </si>
  <si>
    <t>Cleo Patricia Navata</t>
  </si>
  <si>
    <t>Pangandaman</t>
  </si>
  <si>
    <t>546152910</t>
  </si>
  <si>
    <t>JWNNK7RZC5L</t>
  </si>
  <si>
    <t>Elena Jocelyn Jarlego</t>
  </si>
  <si>
    <t>De Guia</t>
  </si>
  <si>
    <t>573376320</t>
  </si>
  <si>
    <t>X2N6KRX2QJB</t>
  </si>
  <si>
    <t>Hadrian Estrella</t>
  </si>
  <si>
    <t>568294050</t>
  </si>
  <si>
    <t>F7NZ3244P5F</t>
  </si>
  <si>
    <t>Espinda</t>
  </si>
  <si>
    <t>582729204</t>
  </si>
  <si>
    <t>G3NCGJNQJND</t>
  </si>
  <si>
    <t>Louis Kazuo</t>
  </si>
  <si>
    <t>592791888</t>
  </si>
  <si>
    <t>6LN7CZCN2Q5</t>
  </si>
  <si>
    <t>Elizabeth Mary Tagici</t>
  </si>
  <si>
    <t>Pela</t>
  </si>
  <si>
    <t>561889919</t>
  </si>
  <si>
    <t>JXN6HJP2VJS</t>
  </si>
  <si>
    <t>Janet Carrie-Victoria</t>
  </si>
  <si>
    <t>Turagabeci</t>
  </si>
  <si>
    <t>A00215337</t>
  </si>
  <si>
    <t>Y2NKSJR4HSG</t>
  </si>
  <si>
    <t>Ivana Phuong Nghi</t>
  </si>
  <si>
    <t>582965545</t>
  </si>
  <si>
    <t>R6NM6M63SDK</t>
  </si>
  <si>
    <t>Bach Song</t>
  </si>
  <si>
    <t>AU2407837</t>
  </si>
  <si>
    <t>HYNDFH7YJ5S</t>
  </si>
  <si>
    <t>Jan Michael Anthony Oquias</t>
  </si>
  <si>
    <t>Tangga</t>
  </si>
  <si>
    <t>A49424352</t>
  </si>
  <si>
    <t>FDN9SGBCDTF</t>
  </si>
  <si>
    <t>Tan</t>
  </si>
  <si>
    <t>568454921</t>
  </si>
  <si>
    <t>TCNY6JSZXHY</t>
  </si>
  <si>
    <t>Kevin Khai Huan</t>
  </si>
  <si>
    <t>548568509</t>
  </si>
  <si>
    <t>Upgrade - Griffin Suite</t>
  </si>
  <si>
    <t>M4NGF8MVZZK</t>
  </si>
  <si>
    <t>Nhat Hoang Hong</t>
  </si>
  <si>
    <t>553353434</t>
  </si>
  <si>
    <t>BSN5MRFP4R8</t>
  </si>
  <si>
    <t>Manuel</t>
  </si>
  <si>
    <t>Dumaup</t>
  </si>
  <si>
    <t>A50294491</t>
  </si>
  <si>
    <t>Q3N7DD56VQ7</t>
  </si>
  <si>
    <t>Sally Sorreda</t>
  </si>
  <si>
    <t>A50294490</t>
  </si>
  <si>
    <t>HQNJJWYRJ8Q</t>
  </si>
  <si>
    <t>Marie</t>
  </si>
  <si>
    <t>667206495</t>
  </si>
  <si>
    <t>LTNBSPWNMDN</t>
  </si>
  <si>
    <t>Sir Thomas</t>
  </si>
  <si>
    <t>Jackson</t>
  </si>
  <si>
    <t>558890377</t>
  </si>
  <si>
    <t>6RN5T5HYL2G</t>
  </si>
  <si>
    <t>Albert</t>
  </si>
  <si>
    <t>Ah Yuen</t>
  </si>
  <si>
    <t>A34552119</t>
  </si>
  <si>
    <t>HA 459 on 12 Sep</t>
  </si>
  <si>
    <t>XVNYXKDP5ZZ</t>
  </si>
  <si>
    <t>Susan Belo</t>
  </si>
  <si>
    <t>Blacano</t>
  </si>
  <si>
    <t>588576457</t>
  </si>
  <si>
    <t>YGN4BJXMJTR</t>
  </si>
  <si>
    <t>Vinaina Tinai</t>
  </si>
  <si>
    <t>Seeto</t>
  </si>
  <si>
    <t>A45273990</t>
  </si>
  <si>
    <t>8RNGGNRR284</t>
  </si>
  <si>
    <t>Yvonne Lan Anh</t>
  </si>
  <si>
    <t>7C 1122</t>
  </si>
  <si>
    <t>Changed name from Sainimili to Yvonne Tran</t>
  </si>
  <si>
    <t>Z7NJ6PF56PT</t>
  </si>
  <si>
    <t>Kim Thien</t>
  </si>
  <si>
    <t>655263563</t>
  </si>
  <si>
    <t>7C 1172</t>
  </si>
  <si>
    <t>2GNHLFYK5KJ</t>
  </si>
  <si>
    <t>Tina Thuy</t>
  </si>
  <si>
    <t>553496264</t>
  </si>
  <si>
    <t>4FNGL6FRDRY</t>
  </si>
  <si>
    <t>Aguirre</t>
  </si>
  <si>
    <t>Alan Stephen</t>
  </si>
  <si>
    <t>A61414285</t>
  </si>
  <si>
    <t>JSNZVM5Z7YB</t>
  </si>
  <si>
    <t>Ian Shing Si</t>
  </si>
  <si>
    <t>Choi</t>
  </si>
  <si>
    <t>A00882219</t>
  </si>
  <si>
    <t>7JNT3CP4N6V</t>
  </si>
  <si>
    <t>Andy</t>
  </si>
  <si>
    <t>642371585</t>
  </si>
  <si>
    <t>7C1611</t>
  </si>
  <si>
    <t>2DNXT55D7TJ</t>
  </si>
  <si>
    <t>Phuong Thanh</t>
  </si>
  <si>
    <t>545379512</t>
  </si>
  <si>
    <t>6FNND6BN8PS</t>
  </si>
  <si>
    <t>Hien</t>
  </si>
  <si>
    <t>A42994328</t>
  </si>
  <si>
    <t>TQNBVN7Q7RV</t>
  </si>
  <si>
    <t>Thoai Minh</t>
  </si>
  <si>
    <t>665670619</t>
  </si>
  <si>
    <t>9MNMDJHFFST</t>
  </si>
  <si>
    <t>Jaime</t>
  </si>
  <si>
    <t>Saephan</t>
  </si>
  <si>
    <t>A40876487</t>
  </si>
  <si>
    <t>RTNQXMQ4LXH</t>
  </si>
  <si>
    <t>Jayla Mey Hin</t>
  </si>
  <si>
    <t>Saechao</t>
  </si>
  <si>
    <t>CFN4F96KS39</t>
  </si>
  <si>
    <t>Linh Duy</t>
  </si>
  <si>
    <t>Dao</t>
  </si>
  <si>
    <t>A37001942</t>
  </si>
  <si>
    <t>POST</t>
  </si>
  <si>
    <t>VJ 879</t>
  </si>
  <si>
    <t>Upgrade - Deluxe River View</t>
  </si>
  <si>
    <t>Cancelled pre night on Sept 12</t>
  </si>
  <si>
    <t>8XNX2GWKWDQ</t>
  </si>
  <si>
    <t>Tammy Thao</t>
  </si>
  <si>
    <t>A04303105</t>
  </si>
  <si>
    <t>Next door each other</t>
  </si>
  <si>
    <t>66NF62RGPYN</t>
  </si>
  <si>
    <t>Thi</t>
  </si>
  <si>
    <t>A01914865</t>
  </si>
  <si>
    <t>F8NLZMQ66LL</t>
  </si>
  <si>
    <t>Lang Mong Thi</t>
  </si>
  <si>
    <t>A01914862</t>
  </si>
  <si>
    <t>VRN356CL4SD</t>
  </si>
  <si>
    <t>Tai Trong</t>
  </si>
  <si>
    <t>668204205</t>
  </si>
  <si>
    <t>MNN9JHV893F</t>
  </si>
  <si>
    <t>Susan Sui Ieng</t>
  </si>
  <si>
    <t>Kwong</t>
  </si>
  <si>
    <t>589504500</t>
  </si>
  <si>
    <t>M8NDF65837K</t>
  </si>
  <si>
    <t>Vi An</t>
  </si>
  <si>
    <t>551547927</t>
  </si>
  <si>
    <t>73NZZCQ42QW</t>
  </si>
  <si>
    <t>Khang Duy</t>
  </si>
  <si>
    <t>588975194</t>
  </si>
  <si>
    <t>4KNJ8NG8CH5</t>
  </si>
  <si>
    <t>Sofia Khanh-An</t>
  </si>
  <si>
    <t>671618982</t>
  </si>
  <si>
    <t>SFNFZKJ62QR</t>
  </si>
  <si>
    <t>Lang Thi</t>
  </si>
  <si>
    <t>A03303295</t>
  </si>
  <si>
    <t>2JNTYGMJ4HP</t>
  </si>
  <si>
    <t>Tiana Tuyet</t>
  </si>
  <si>
    <t>A37001943</t>
  </si>
  <si>
    <t>ZWNCG8LRFF4</t>
  </si>
  <si>
    <t>Sharon</t>
  </si>
  <si>
    <t>Andres</t>
  </si>
  <si>
    <t>A12881645</t>
  </si>
  <si>
    <t>7C 1611</t>
  </si>
  <si>
    <t>L2NT2XB6HNP</t>
  </si>
  <si>
    <t>Truyen Thi Kim</t>
  </si>
  <si>
    <t>A05445367</t>
  </si>
  <si>
    <t>NGNJVYJS86H</t>
  </si>
  <si>
    <t>Uehara (Maria)</t>
  </si>
  <si>
    <t>Mutsuko</t>
  </si>
  <si>
    <t>TZ1021266</t>
  </si>
  <si>
    <t>G3NSWFLX5GB</t>
  </si>
  <si>
    <t>Jodi</t>
  </si>
  <si>
    <t>Rowe</t>
  </si>
  <si>
    <t>570961616</t>
  </si>
  <si>
    <t>PZN4CTKYGTC</t>
  </si>
  <si>
    <t>Nicholas Bao Thach</t>
  </si>
  <si>
    <t>566948043</t>
  </si>
  <si>
    <t>7NNNYMK6KMT</t>
  </si>
  <si>
    <t>Diem Thuy Thi</t>
  </si>
  <si>
    <t>667274760</t>
  </si>
  <si>
    <t>8BN57B45VB9</t>
  </si>
  <si>
    <t>Richard Anthony</t>
  </si>
  <si>
    <t>681791704</t>
  </si>
  <si>
    <t>X2NFFT7FMYJ</t>
  </si>
  <si>
    <t>Kai Le</t>
  </si>
  <si>
    <t>A33254595</t>
  </si>
  <si>
    <t>7XNKNS5NBBX</t>
  </si>
  <si>
    <t>An Kim-Le</t>
  </si>
  <si>
    <t>A07563378</t>
  </si>
  <si>
    <t>ZXN5FV7R7ZF</t>
  </si>
  <si>
    <t>Quyen Kim</t>
  </si>
  <si>
    <t>561180709</t>
  </si>
  <si>
    <t>Z5N9GV3TPCG</t>
  </si>
  <si>
    <t>Cassian Chai</t>
  </si>
  <si>
    <t>A27500372</t>
  </si>
  <si>
    <t>KKN6GFCVGVY</t>
  </si>
  <si>
    <t>Thuy Thi Bich</t>
  </si>
  <si>
    <t>667280483</t>
  </si>
  <si>
    <t>T4NYBH37GDM</t>
  </si>
  <si>
    <t>667272628</t>
  </si>
  <si>
    <t>82NMCQP8NRB</t>
  </si>
  <si>
    <t>Van Hue</t>
  </si>
  <si>
    <t>A26109217</t>
  </si>
  <si>
    <t>S6N7FRYB2XY</t>
  </si>
  <si>
    <t>Hong Nhung</t>
  </si>
  <si>
    <t>594853441</t>
  </si>
  <si>
    <t>GKNSSZDP5JQ</t>
  </si>
  <si>
    <t>Chung</t>
  </si>
  <si>
    <t>580449501</t>
  </si>
  <si>
    <t>BVNMSVSRRYZ</t>
  </si>
  <si>
    <t>Thuy Thi</t>
  </si>
  <si>
    <t>580449503</t>
  </si>
  <si>
    <t>QYN2MZ4W5QM</t>
  </si>
  <si>
    <t>Kaitlyn Vy Yan</t>
  </si>
  <si>
    <t>A00882220</t>
  </si>
  <si>
    <t>RHNPDKSLG8L</t>
  </si>
  <si>
    <t>Chuong Thuc Viet</t>
  </si>
  <si>
    <t>640187025</t>
  </si>
  <si>
    <t>6RN3KJ297Y8</t>
  </si>
  <si>
    <t>Jessie</t>
  </si>
  <si>
    <t>562073485</t>
  </si>
  <si>
    <t>MKNHFY4Q66N</t>
  </si>
  <si>
    <t>Trang An Van</t>
  </si>
  <si>
    <t>A35109021</t>
  </si>
  <si>
    <t>99N6552M9CW</t>
  </si>
  <si>
    <t>Julia Gia An</t>
  </si>
  <si>
    <t>Tran Nguyen</t>
  </si>
  <si>
    <t>A36694140</t>
  </si>
  <si>
    <t>RPNKMRHD725</t>
  </si>
  <si>
    <t>Nhu Lan</t>
  </si>
  <si>
    <t>HG475761</t>
  </si>
  <si>
    <t>TNNPD8FHHSR</t>
  </si>
  <si>
    <t>Michi</t>
  </si>
  <si>
    <t>Ou (Phillips)</t>
  </si>
  <si>
    <t>TZ1216213</t>
  </si>
  <si>
    <t>LJ 236</t>
  </si>
  <si>
    <t>K8NFCZJ7V9Z</t>
  </si>
  <si>
    <t>Thomas Akio</t>
  </si>
  <si>
    <t>Nitta</t>
  </si>
  <si>
    <t>582501772</t>
  </si>
  <si>
    <t>SCNH338MWJZ</t>
  </si>
  <si>
    <t>Loan Thi</t>
  </si>
  <si>
    <t>A09262150</t>
  </si>
  <si>
    <t>WMN9WHWNCP6</t>
  </si>
  <si>
    <t>Vince</t>
  </si>
  <si>
    <t>595800293</t>
  </si>
  <si>
    <t>PYNH9GZMX7G</t>
  </si>
  <si>
    <t>Anna D</t>
  </si>
  <si>
    <t>642397005</t>
  </si>
  <si>
    <t>SRN62VH7W86</t>
  </si>
  <si>
    <t>Danica</t>
  </si>
  <si>
    <t>A20227459</t>
  </si>
  <si>
    <t>YP 111</t>
  </si>
  <si>
    <t>JNNQ2D6RC47</t>
  </si>
  <si>
    <t>Thomas</t>
  </si>
  <si>
    <t>Ojala</t>
  </si>
  <si>
    <t>A20227458</t>
  </si>
  <si>
    <t>YQNHTJW9V77</t>
  </si>
  <si>
    <t>Alexander Huy</t>
  </si>
  <si>
    <t>A56133739</t>
  </si>
  <si>
    <t>NHNDHYPNC69</t>
  </si>
  <si>
    <t>A56125320</t>
  </si>
  <si>
    <t>R3NDLQDX5BM</t>
  </si>
  <si>
    <t>Barbara Tsai</t>
  </si>
  <si>
    <t>Navarro</t>
  </si>
  <si>
    <t>657364294</t>
  </si>
  <si>
    <t>BBN7HH6RFW8</t>
  </si>
  <si>
    <t>Kira Ling</t>
  </si>
  <si>
    <t>676015037</t>
  </si>
  <si>
    <t>93NVFRLM3MW</t>
  </si>
  <si>
    <t>Lorna Garcia</t>
  </si>
  <si>
    <t>De Guzman</t>
  </si>
  <si>
    <t>573320570</t>
  </si>
  <si>
    <t>YGNPWT74ZN7</t>
  </si>
  <si>
    <t>Jason Gangan</t>
  </si>
  <si>
    <t>A10226747</t>
  </si>
  <si>
    <t>G2NQV4Y7QMP</t>
  </si>
  <si>
    <t>Vineet Kumar</t>
  </si>
  <si>
    <t>Sahni</t>
  </si>
  <si>
    <t>555800870</t>
  </si>
  <si>
    <t>DL 7861</t>
  </si>
  <si>
    <t>LDNKBCNQJNT</t>
  </si>
  <si>
    <t>Mokshita Anand</t>
  </si>
  <si>
    <t>India</t>
  </si>
  <si>
    <t>U0311202</t>
  </si>
  <si>
    <t>HPNW87CT2KS</t>
  </si>
  <si>
    <t>Ameera</t>
  </si>
  <si>
    <t>A31829714</t>
  </si>
  <si>
    <t>7LNS38QJLK8</t>
  </si>
  <si>
    <t>Matthew Dzung</t>
  </si>
  <si>
    <t>669108988</t>
  </si>
  <si>
    <t>JL 94</t>
  </si>
  <si>
    <t>MWNHBY8FZV7</t>
  </si>
  <si>
    <t>Trang Ngan</t>
  </si>
  <si>
    <t>A08387860</t>
  </si>
  <si>
    <t>SVNX6LMRHXN</t>
  </si>
  <si>
    <t>Madeleine Nhu-An</t>
  </si>
  <si>
    <t>586570818</t>
  </si>
  <si>
    <t>OZ 108</t>
  </si>
  <si>
    <t>VHN72MDSCMP</t>
  </si>
  <si>
    <t>Katrina</t>
  </si>
  <si>
    <t>A09606775</t>
  </si>
  <si>
    <t>BCN3CSP3YM3</t>
  </si>
  <si>
    <t>Jonathan Quy</t>
  </si>
  <si>
    <t>Hannor</t>
  </si>
  <si>
    <t>596025579</t>
  </si>
  <si>
    <t>8HN4L73QQYF</t>
  </si>
  <si>
    <t>Brandon Vinh</t>
  </si>
  <si>
    <t>669499520</t>
  </si>
  <si>
    <t>SJN9X47G8PT</t>
  </si>
  <si>
    <t>Thanh Ngan Thi</t>
  </si>
  <si>
    <t>Capella</t>
  </si>
  <si>
    <t>597679773</t>
  </si>
  <si>
    <t>RXNYVDX4ZXS</t>
  </si>
  <si>
    <t>Raymond Anthony</t>
  </si>
  <si>
    <t>550837664</t>
  </si>
  <si>
    <t>MTNJD4WLVGJ</t>
  </si>
  <si>
    <t>Tran Ha</t>
  </si>
  <si>
    <t>555430862</t>
  </si>
  <si>
    <t>C3N4B2HRN2N</t>
  </si>
  <si>
    <t>Dillon Israel</t>
  </si>
  <si>
    <t>Katskee</t>
  </si>
  <si>
    <t>670043777</t>
  </si>
  <si>
    <t>D4N8PJFGL7M</t>
  </si>
  <si>
    <t>673168079</t>
  </si>
  <si>
    <t>X5NLFHRN839</t>
  </si>
  <si>
    <t>Ngu</t>
  </si>
  <si>
    <t>673168077</t>
  </si>
  <si>
    <t>4XNZ4PYGV44</t>
  </si>
  <si>
    <t>Loan Kim Thi</t>
  </si>
  <si>
    <t>671324534</t>
  </si>
  <si>
    <t>M2NGJXT9S7V</t>
  </si>
  <si>
    <t>Lien Thi Ngoc</t>
  </si>
  <si>
    <t>563137476</t>
  </si>
  <si>
    <t>KYNBZTN6KD7</t>
  </si>
  <si>
    <t>Nancy Hanh</t>
  </si>
  <si>
    <t>A30053271</t>
  </si>
  <si>
    <t>V2NXYTNQVPS</t>
  </si>
  <si>
    <t>Johnny Lai</t>
  </si>
  <si>
    <t>A29941096</t>
  </si>
  <si>
    <t>DWNQT3CJTGF</t>
  </si>
  <si>
    <t>Luc Ha Thi Natalie</t>
  </si>
  <si>
    <t>A09967119</t>
  </si>
  <si>
    <t>BR 169</t>
  </si>
  <si>
    <t>FRNJBZK5VGP</t>
  </si>
  <si>
    <t>Lien Thi</t>
  </si>
  <si>
    <t>641610692</t>
  </si>
  <si>
    <t>PYNPRZRXSS7</t>
  </si>
  <si>
    <t>Phan Diem</t>
  </si>
  <si>
    <t>644455900</t>
  </si>
  <si>
    <t>NXNQ47YLVKR</t>
  </si>
  <si>
    <t>Austin Lee</t>
  </si>
  <si>
    <t>681816908</t>
  </si>
  <si>
    <t>NSNKL3FPTKB</t>
  </si>
  <si>
    <t>Vicky Lee</t>
  </si>
  <si>
    <t>647970542</t>
  </si>
  <si>
    <t>OZ 751</t>
  </si>
  <si>
    <t>MSNDPJNKTVK</t>
  </si>
  <si>
    <t>Wenna L</t>
  </si>
  <si>
    <t>647970541</t>
  </si>
  <si>
    <t>4SNJVBSZLGD</t>
  </si>
  <si>
    <t>Ted</t>
  </si>
  <si>
    <t>Siao</t>
  </si>
  <si>
    <t>679598071</t>
  </si>
  <si>
    <t>8MNJ4W8DD5X</t>
  </si>
  <si>
    <t>Tim</t>
  </si>
  <si>
    <t>674378352</t>
  </si>
  <si>
    <t>VN 414</t>
  </si>
  <si>
    <t>59N4RJ29JRR</t>
  </si>
  <si>
    <t>Van</t>
  </si>
  <si>
    <t>674378353</t>
  </si>
  <si>
    <t>7WNXFHBNS85</t>
  </si>
  <si>
    <t>586269472</t>
  </si>
  <si>
    <t>LJNXBXDPTBP</t>
  </si>
  <si>
    <t>552461481</t>
  </si>
  <si>
    <t>34NWYMLSL5V</t>
  </si>
  <si>
    <t>Ethan</t>
  </si>
  <si>
    <t>A02893301</t>
  </si>
  <si>
    <t>M6NQBRWMJYK</t>
  </si>
  <si>
    <t>Christian</t>
  </si>
  <si>
    <t>A02893303</t>
  </si>
  <si>
    <t>GGNPN8LXC4M</t>
  </si>
  <si>
    <t>Tommy</t>
  </si>
  <si>
    <t>A09267115</t>
  </si>
  <si>
    <t>NHNY5F8QKZX</t>
  </si>
  <si>
    <t>Abram</t>
  </si>
  <si>
    <t>A02893302</t>
  </si>
  <si>
    <t>ZQN9HNGDR2W</t>
  </si>
  <si>
    <t>Robert Donald</t>
  </si>
  <si>
    <t>Carney</t>
  </si>
  <si>
    <t>A44325296</t>
  </si>
  <si>
    <t>7C 1108</t>
  </si>
  <si>
    <t>Marriott #: 3540929392
2/ Rooming: go with Jamie Ohl - RVNWJM3Q5JZ</t>
  </si>
  <si>
    <t>CSNGV935HSW</t>
  </si>
  <si>
    <t>Courtney Parker</t>
  </si>
  <si>
    <t>A44325295</t>
  </si>
  <si>
    <t>CWNY8P9PMYN</t>
  </si>
  <si>
    <t>Michal Andrzej</t>
  </si>
  <si>
    <t>Marzec</t>
  </si>
  <si>
    <t>A65387772</t>
  </si>
  <si>
    <t>KE</t>
  </si>
  <si>
    <t>GXNGBVS5KLH</t>
  </si>
  <si>
    <t>Magdalena Agnieszka</t>
  </si>
  <si>
    <t>Update guest name info</t>
  </si>
  <si>
    <t>LVNSRNJ5FRK</t>
  </si>
  <si>
    <t>A37340920</t>
  </si>
  <si>
    <t>CRNSJ3VG3WV</t>
  </si>
  <si>
    <t>Ann Kiet Nghia</t>
  </si>
  <si>
    <t>A40334837</t>
  </si>
  <si>
    <t>T8NMYDDSY3F</t>
  </si>
  <si>
    <t>Alexandra Frances</t>
  </si>
  <si>
    <t>Nguy</t>
  </si>
  <si>
    <t>566710376</t>
  </si>
  <si>
    <t>D8NN6VDZ2N2</t>
  </si>
  <si>
    <t>Charles</t>
  </si>
  <si>
    <t>Lin</t>
  </si>
  <si>
    <t>A64017217</t>
  </si>
  <si>
    <t>5MNH47L48VQ</t>
  </si>
  <si>
    <t>Owen Nguy</t>
  </si>
  <si>
    <t>A34073231</t>
  </si>
  <si>
    <t>Q8NX225S9Z3</t>
  </si>
  <si>
    <t>Victoria Thonhu</t>
  </si>
  <si>
    <t>A36454398</t>
  </si>
  <si>
    <t>CA 132</t>
  </si>
  <si>
    <t>DVN57R4ZDJB</t>
  </si>
  <si>
    <t>Willie Vinh</t>
  </si>
  <si>
    <t>Lieu</t>
  </si>
  <si>
    <t>567922266</t>
  </si>
  <si>
    <t>9FNCMCFMFWR</t>
  </si>
  <si>
    <t>Ewin Sky</t>
  </si>
  <si>
    <t>664338355</t>
  </si>
  <si>
    <t>KXN3FHR5BSR</t>
  </si>
  <si>
    <t>Ethan Max</t>
  </si>
  <si>
    <t>664338357</t>
  </si>
  <si>
    <t>TDNG3MWRPWN</t>
  </si>
  <si>
    <t>Anh Thi Quynh</t>
  </si>
  <si>
    <t>Tong</t>
  </si>
  <si>
    <t>681168707</t>
  </si>
  <si>
    <t>2WNBBM7PPHT</t>
  </si>
  <si>
    <t>Thomas Andrew</t>
  </si>
  <si>
    <t>Mcdonald</t>
  </si>
  <si>
    <t>574109528</t>
  </si>
  <si>
    <t>JW-A03</t>
  </si>
  <si>
    <t>6YNSLTSMXLP</t>
  </si>
  <si>
    <t>Alfredo Tiu</t>
  </si>
  <si>
    <t>Trinidad Jr</t>
  </si>
  <si>
    <t>A10179632</t>
  </si>
  <si>
    <t>KE 18</t>
  </si>
  <si>
    <t>KE 623</t>
  </si>
  <si>
    <t>Alicia Nguyen 4</t>
  </si>
  <si>
    <t>DSNMYYZKQ8P</t>
  </si>
  <si>
    <t>Flauren Zina Urbano</t>
  </si>
  <si>
    <t>Trinidad</t>
  </si>
  <si>
    <t>566225493</t>
  </si>
  <si>
    <t>YVN568SX9N4</t>
  </si>
  <si>
    <t>Avaree Layne Urbano</t>
  </si>
  <si>
    <t>A10179633</t>
  </si>
  <si>
    <t>KWNJ94KLZ7W</t>
  </si>
  <si>
    <t>Quilantang</t>
  </si>
  <si>
    <t>А06174925</t>
  </si>
  <si>
    <t>D2NM7J4KNXK</t>
  </si>
  <si>
    <t>Jyselle Lampa</t>
  </si>
  <si>
    <t>Apiado</t>
  </si>
  <si>
    <t>678028523</t>
  </si>
  <si>
    <t>WSNFGHDMR8K</t>
  </si>
  <si>
    <t>Aloryn Grey Urbano</t>
  </si>
  <si>
    <t>A30781692</t>
  </si>
  <si>
    <t>4RN3WQ3K4QR</t>
  </si>
  <si>
    <t>Guerline</t>
  </si>
  <si>
    <t>Oriental</t>
  </si>
  <si>
    <t>A10983890</t>
  </si>
  <si>
    <t>0067298165517</t>
  </si>
  <si>
    <t>VNNWKVF527L</t>
  </si>
  <si>
    <t>Graciela</t>
  </si>
  <si>
    <t>De Tobar</t>
  </si>
  <si>
    <t>P486684QS</t>
  </si>
  <si>
    <t>ZBNM7GZLWM9</t>
  </si>
  <si>
    <t>Fatima De Guadalupe</t>
  </si>
  <si>
    <t>Rodriguez Amaya</t>
  </si>
  <si>
    <t>El Salvador</t>
  </si>
  <si>
    <t>C03060150</t>
  </si>
  <si>
    <t>46NCXPQDX7L</t>
  </si>
  <si>
    <t>Loida Esperanza</t>
  </si>
  <si>
    <t>Martinez De Cruz</t>
  </si>
  <si>
    <t>V8NJFWTZZJW</t>
  </si>
  <si>
    <t>Evelin Judith</t>
  </si>
  <si>
    <t>Tejada Araniva</t>
  </si>
  <si>
    <t>P006044ED</t>
  </si>
  <si>
    <t>STNCH989BR4</t>
  </si>
  <si>
    <t>James Brian</t>
  </si>
  <si>
    <t>Stokowski</t>
  </si>
  <si>
    <t>HN848289</t>
  </si>
  <si>
    <t>KE 622</t>
  </si>
  <si>
    <t>H4NT3RNWD4M</t>
  </si>
  <si>
    <t>HN848633</t>
  </si>
  <si>
    <t>83NJRQ8SYDX</t>
  </si>
  <si>
    <t>Nicholas Robert Jon</t>
  </si>
  <si>
    <t>AD367197</t>
  </si>
  <si>
    <t>5SN35M8PM3K</t>
  </si>
  <si>
    <t>Ferdinand Maculanlan</t>
  </si>
  <si>
    <t>Comayas</t>
  </si>
  <si>
    <t>642550764</t>
  </si>
  <si>
    <t>JPNPTLTYHKK</t>
  </si>
  <si>
    <t>Ngoc Vuong Thi</t>
  </si>
  <si>
    <t>674355603</t>
  </si>
  <si>
    <t>KE 469</t>
  </si>
  <si>
    <t>BHN9T9FQQ2Q</t>
  </si>
  <si>
    <t>Marvin Harvey</t>
  </si>
  <si>
    <t>Barroga</t>
  </si>
  <si>
    <t>557321812</t>
  </si>
  <si>
    <t>CNNWMK7HRQY</t>
  </si>
  <si>
    <t>Quyen Thi</t>
  </si>
  <si>
    <t>596170665</t>
  </si>
  <si>
    <t>BDNBCCXBF8Y</t>
  </si>
  <si>
    <t>Jaso</t>
  </si>
  <si>
    <t>AB300703</t>
  </si>
  <si>
    <t>OZ 124</t>
  </si>
  <si>
    <t>CJNDZ6T6V7W</t>
  </si>
  <si>
    <t>Mary Love</t>
  </si>
  <si>
    <t>AR782158</t>
  </si>
  <si>
    <t>Y5N96QDZ5CK</t>
  </si>
  <si>
    <t>Noah Baril</t>
  </si>
  <si>
    <t>AR792974</t>
  </si>
  <si>
    <t>75N8622HJTF</t>
  </si>
  <si>
    <t>Frantz</t>
  </si>
  <si>
    <t>Prinvil</t>
  </si>
  <si>
    <t>A71670207</t>
  </si>
  <si>
    <t>KE 2104</t>
  </si>
  <si>
    <t>9YNPCJFNVRQ</t>
  </si>
  <si>
    <t>Jose Luis</t>
  </si>
  <si>
    <t>Castillo Alvarez</t>
  </si>
  <si>
    <t>Dominican Republic</t>
  </si>
  <si>
    <t>MM0725262</t>
  </si>
  <si>
    <t>V7NGJBP29N8</t>
  </si>
  <si>
    <t>Matthew Rigonan</t>
  </si>
  <si>
    <t>Manglal-Lan</t>
  </si>
  <si>
    <t>A44909324</t>
  </si>
  <si>
    <t>L2NLHGXW7ZT</t>
  </si>
  <si>
    <t>Myriam Rigonan</t>
  </si>
  <si>
    <t>543940853</t>
  </si>
  <si>
    <t>R4NR6J8XX36</t>
  </si>
  <si>
    <t>Sammy M</t>
  </si>
  <si>
    <t>540971168</t>
  </si>
  <si>
    <t>MDN3VQ5X7VK</t>
  </si>
  <si>
    <t>Arnel</t>
  </si>
  <si>
    <t>Paguel</t>
  </si>
  <si>
    <t>A03350125</t>
  </si>
  <si>
    <t>6GNRPGFB2LP</t>
  </si>
  <si>
    <t>Carolina Gonzaga</t>
  </si>
  <si>
    <t>Dadat</t>
  </si>
  <si>
    <t>A47024034</t>
  </si>
  <si>
    <t>N3N9T6QFLTD</t>
  </si>
  <si>
    <t>Debbie</t>
  </si>
  <si>
    <t>Adams</t>
  </si>
  <si>
    <t>559782958</t>
  </si>
  <si>
    <t>CLNN65Q6W8W</t>
  </si>
  <si>
    <t>Jennifer Norma Elizabeth</t>
  </si>
  <si>
    <t>550905560</t>
  </si>
  <si>
    <t>WLNCKSRR7ZG</t>
  </si>
  <si>
    <t>James Stewart</t>
  </si>
  <si>
    <t>566647622</t>
  </si>
  <si>
    <t>X5N8TYRY2YF</t>
  </si>
  <si>
    <t>Czarina Dayao</t>
  </si>
  <si>
    <t>674014854</t>
  </si>
  <si>
    <t>4ZN68BVGD5T</t>
  </si>
  <si>
    <t>Adams Vi</t>
  </si>
  <si>
    <t>A17608307</t>
  </si>
  <si>
    <t>B3NBG2VLXFS</t>
  </si>
  <si>
    <t>Jamie Marie</t>
  </si>
  <si>
    <t>Pilar</t>
  </si>
  <si>
    <t>P0855710B</t>
  </si>
  <si>
    <t>DJN94W6HLVH</t>
  </si>
  <si>
    <t>Sebastian San Gabriel</t>
  </si>
  <si>
    <t>555709015</t>
  </si>
  <si>
    <t>4CNNDNSBGJ7</t>
  </si>
  <si>
    <t>Rosemarie</t>
  </si>
  <si>
    <t>Wise</t>
  </si>
  <si>
    <t>648161700</t>
  </si>
  <si>
    <t>6HN4394PVDH</t>
  </si>
  <si>
    <t>Krysta</t>
  </si>
  <si>
    <t>Chirino</t>
  </si>
  <si>
    <t>A23349635</t>
  </si>
  <si>
    <t>JNNDCX8GLBF</t>
  </si>
  <si>
    <t>Satvinder</t>
  </si>
  <si>
    <t>Ark</t>
  </si>
  <si>
    <t>544416235</t>
  </si>
  <si>
    <t>PMNPL6J32C7</t>
  </si>
  <si>
    <t>Surinderpal Singh</t>
  </si>
  <si>
    <t>592212764</t>
  </si>
  <si>
    <t>CMNKLHDH4MF</t>
  </si>
  <si>
    <t>Ekam Singh</t>
  </si>
  <si>
    <t>A32453389</t>
  </si>
  <si>
    <t>RSNDBDMDFQC</t>
  </si>
  <si>
    <t>Marita Aguas</t>
  </si>
  <si>
    <t>A30142989</t>
  </si>
  <si>
    <t>FPNJPXN39GG</t>
  </si>
  <si>
    <t>Cesar Golez</t>
  </si>
  <si>
    <t>538623973</t>
  </si>
  <si>
    <t>DNND382VZRH</t>
  </si>
  <si>
    <t>Jennie Chuc</t>
  </si>
  <si>
    <t>652023599</t>
  </si>
  <si>
    <t>WYNNKYKSRW3</t>
  </si>
  <si>
    <t>Daniel Thanh Ngia</t>
  </si>
  <si>
    <t>560961692</t>
  </si>
  <si>
    <t>F4N6YZT4SS2</t>
  </si>
  <si>
    <t>Huong Thi Ngoc</t>
  </si>
  <si>
    <t>569065383</t>
  </si>
  <si>
    <t>8VNG8HZFQH7</t>
  </si>
  <si>
    <t>Tiana Thanh</t>
  </si>
  <si>
    <t>A25477181</t>
  </si>
  <si>
    <t>J4NY9HGMRNZ</t>
  </si>
  <si>
    <t>Long The</t>
  </si>
  <si>
    <t>573839827</t>
  </si>
  <si>
    <t>CYNYDXD4G82</t>
  </si>
  <si>
    <t>Priscilla Bich Tien</t>
  </si>
  <si>
    <t>567951683</t>
  </si>
  <si>
    <t>J2N69G8NCNG</t>
  </si>
  <si>
    <t>Logan Theodore</t>
  </si>
  <si>
    <t>668456921</t>
  </si>
  <si>
    <t>H4N4CYD39NX</t>
  </si>
  <si>
    <t>Huong Truc</t>
  </si>
  <si>
    <t>A15780840</t>
  </si>
  <si>
    <t>FMNDYVB5R7N</t>
  </si>
  <si>
    <t>Tuyet Thu</t>
  </si>
  <si>
    <t>672933664</t>
  </si>
  <si>
    <t>LSN5HB37BKC</t>
  </si>
  <si>
    <t>Hartley Hudson</t>
  </si>
  <si>
    <t>A42641628</t>
  </si>
  <si>
    <t>5JN59HNLP2P</t>
  </si>
  <si>
    <t>Erika Marie</t>
  </si>
  <si>
    <t>Gamban</t>
  </si>
  <si>
    <t>PH005817</t>
  </si>
  <si>
    <t>F6NKML8DXH9</t>
  </si>
  <si>
    <t>Engelika Marie</t>
  </si>
  <si>
    <t>AM266565</t>
  </si>
  <si>
    <t>YHNK24YPQYS</t>
  </si>
  <si>
    <t>Marilou</t>
  </si>
  <si>
    <t>Ermita</t>
  </si>
  <si>
    <t>HL713719</t>
  </si>
  <si>
    <t>4MNN2WBRJNB</t>
  </si>
  <si>
    <t>Noel Lopez</t>
  </si>
  <si>
    <t>HL712422</t>
  </si>
  <si>
    <t>L7NFFSKQPPV</t>
  </si>
  <si>
    <t>Adriana</t>
  </si>
  <si>
    <t>Garibay-Ruiz</t>
  </si>
  <si>
    <t>A25624579</t>
  </si>
  <si>
    <t>TW 244</t>
  </si>
  <si>
    <t>2ZNX64HFLQ8</t>
  </si>
  <si>
    <t>Jazmin Eteel</t>
  </si>
  <si>
    <t>A20259101</t>
  </si>
  <si>
    <t>JGNZVS4L59T</t>
  </si>
  <si>
    <t>Leonila</t>
  </si>
  <si>
    <t>Abulencia</t>
  </si>
  <si>
    <t>A31983770</t>
  </si>
  <si>
    <t>KJN6MVB76MJ</t>
  </si>
  <si>
    <t>Alberto</t>
  </si>
  <si>
    <t>5553555257</t>
  </si>
  <si>
    <t>GWN3RZN2YH2</t>
  </si>
  <si>
    <t>Maureen Amanda</t>
  </si>
  <si>
    <t>Rosales</t>
  </si>
  <si>
    <t>581529867</t>
  </si>
  <si>
    <t>G4N2FKBG4KC</t>
  </si>
  <si>
    <t>Carlos Roberto</t>
  </si>
  <si>
    <t>Rosales Espinal</t>
  </si>
  <si>
    <t>Honduras</t>
  </si>
  <si>
    <t>E0071439</t>
  </si>
  <si>
    <t>PVN2R7PRPXP</t>
  </si>
  <si>
    <t>Cassandra</t>
  </si>
  <si>
    <t>Thompson</t>
  </si>
  <si>
    <t>A35235968</t>
  </si>
  <si>
    <t>DL 7841</t>
  </si>
  <si>
    <t>KMNXRQC9DQK</t>
  </si>
  <si>
    <t>Darryn</t>
  </si>
  <si>
    <t>566778588</t>
  </si>
  <si>
    <t>DRNPFZKKVM9</t>
  </si>
  <si>
    <t>Christine</t>
  </si>
  <si>
    <t>A40960463</t>
  </si>
  <si>
    <t>B9NLD6BQ4HF</t>
  </si>
  <si>
    <t>Denise</t>
  </si>
  <si>
    <t>Chambers</t>
  </si>
  <si>
    <t>A19638225</t>
  </si>
  <si>
    <t>VVN2BQPN3FV</t>
  </si>
  <si>
    <t>Piccolo</t>
  </si>
  <si>
    <t>A47754877</t>
  </si>
  <si>
    <t>KE 36</t>
  </si>
  <si>
    <t>2JNTSWHWWSN</t>
  </si>
  <si>
    <t>Nathalie</t>
  </si>
  <si>
    <t>Courtois</t>
  </si>
  <si>
    <t>A07708209</t>
  </si>
  <si>
    <t>EK 322</t>
  </si>
  <si>
    <t>7C 1373</t>
  </si>
  <si>
    <t>9VNT89GGYRB</t>
  </si>
  <si>
    <t>Simon Cordell Demetrius</t>
  </si>
  <si>
    <t>Stanley Jr</t>
  </si>
  <si>
    <t>A65415231</t>
  </si>
  <si>
    <t>Changed name from Jean Courtois to Simon Cordell</t>
  </si>
  <si>
    <t>R5N88J97NZ3</t>
  </si>
  <si>
    <t>Jennifer P</t>
  </si>
  <si>
    <t>A548260728</t>
  </si>
  <si>
    <t>SRNTYQQHMT6</t>
  </si>
  <si>
    <t>Dauley</t>
  </si>
  <si>
    <t>A56471423</t>
  </si>
  <si>
    <t>5SNJCRY623F</t>
  </si>
  <si>
    <t>Josetta Bernice</t>
  </si>
  <si>
    <t>Patterson</t>
  </si>
  <si>
    <t>A47255437</t>
  </si>
  <si>
    <t>2YN554VL39Q</t>
  </si>
  <si>
    <t>Virginia Albertha</t>
  </si>
  <si>
    <t>Fraiser</t>
  </si>
  <si>
    <t>656965291</t>
  </si>
  <si>
    <t>N4N4YY8GWP7</t>
  </si>
  <si>
    <t>Linda Sue</t>
  </si>
  <si>
    <t>Bullock</t>
  </si>
  <si>
    <t>674323601</t>
  </si>
  <si>
    <t>WWNBHJZXL5Z</t>
  </si>
  <si>
    <t>Rosa Claris</t>
  </si>
  <si>
    <t>Ackie</t>
  </si>
  <si>
    <t>575855288</t>
  </si>
  <si>
    <t>WGN5VZ78KPD</t>
  </si>
  <si>
    <t>Luis Alberto</t>
  </si>
  <si>
    <t>Izquierdo</t>
  </si>
  <si>
    <t>593253394</t>
  </si>
  <si>
    <t>4CNKLDGW98K</t>
  </si>
  <si>
    <t>Bernaty</t>
  </si>
  <si>
    <t>Louima</t>
  </si>
  <si>
    <t>549866307</t>
  </si>
  <si>
    <t>H2NQXZP8S7H</t>
  </si>
  <si>
    <t>Margaret Leona</t>
  </si>
  <si>
    <t>Walkins</t>
  </si>
  <si>
    <t>589749693</t>
  </si>
  <si>
    <t>95N48MJ5GSJ</t>
  </si>
  <si>
    <t>Sandra</t>
  </si>
  <si>
    <t>Mc Donald</t>
  </si>
  <si>
    <t>596864397</t>
  </si>
  <si>
    <t>6MNP6F9KBB8</t>
  </si>
  <si>
    <t>Maxine</t>
  </si>
  <si>
    <t>Ferguson</t>
  </si>
  <si>
    <t>Bahamas</t>
  </si>
  <si>
    <t>AA208047</t>
  </si>
  <si>
    <t>PHN6F8KYBLL</t>
  </si>
  <si>
    <t>James</t>
  </si>
  <si>
    <t>650136196</t>
  </si>
  <si>
    <t>Q7N2ML6QCMJ</t>
  </si>
  <si>
    <t>Talmadge</t>
  </si>
  <si>
    <t>Dean</t>
  </si>
  <si>
    <t>AA226708</t>
  </si>
  <si>
    <t>SNNPDGGG6V7</t>
  </si>
  <si>
    <t>ER0200730</t>
  </si>
  <si>
    <t>VHNQJLBXTZH</t>
  </si>
  <si>
    <t>Michael Clement</t>
  </si>
  <si>
    <t>Lyle</t>
  </si>
  <si>
    <t>A44489166</t>
  </si>
  <si>
    <t>5WNBMNFQ7RV</t>
  </si>
  <si>
    <t>Regine Marie</t>
  </si>
  <si>
    <t>A44504928</t>
  </si>
  <si>
    <t>LLNWP8CB6NW</t>
  </si>
  <si>
    <t>Sonia R</t>
  </si>
  <si>
    <t>Drayton</t>
  </si>
  <si>
    <t>Jamaica</t>
  </si>
  <si>
    <t>A40616260</t>
  </si>
  <si>
    <t>BKNLDBT3TXF</t>
  </si>
  <si>
    <t>Heddy Mae</t>
  </si>
  <si>
    <t>Vereen</t>
  </si>
  <si>
    <t>AA185267</t>
  </si>
  <si>
    <t>MVNM34W8BP4</t>
  </si>
  <si>
    <t>Susan</t>
  </si>
  <si>
    <t>547756400</t>
  </si>
  <si>
    <t>GMNV7VGMGJP</t>
  </si>
  <si>
    <t>Marguerite Ruth</t>
  </si>
  <si>
    <t>Higgs</t>
  </si>
  <si>
    <t>A00286510</t>
  </si>
  <si>
    <t>ZDNR858LKZJ</t>
  </si>
  <si>
    <t>Sylvia Misick</t>
  </si>
  <si>
    <t>Black</t>
  </si>
  <si>
    <t>675222477</t>
  </si>
  <si>
    <t>Nex door</t>
  </si>
  <si>
    <t>6RNLMZV8Q2X</t>
  </si>
  <si>
    <t>Zyon</t>
  </si>
  <si>
    <t>A38367863</t>
  </si>
  <si>
    <t>TKNHNBXPYJD</t>
  </si>
  <si>
    <t>Synara</t>
  </si>
  <si>
    <t>A44172803</t>
  </si>
  <si>
    <t>FHNPXQ4F7RP</t>
  </si>
  <si>
    <t>Sherilyn Greenwich</t>
  </si>
  <si>
    <t>Bell</t>
  </si>
  <si>
    <t>552214483</t>
  </si>
  <si>
    <t>73N8C6CB578</t>
  </si>
  <si>
    <t>Nell Grasita</t>
  </si>
  <si>
    <t>564348019</t>
  </si>
  <si>
    <t>4RN9TDLQZ6C</t>
  </si>
  <si>
    <t>Symphoni</t>
  </si>
  <si>
    <t>Lightbourn</t>
  </si>
  <si>
    <t>671588840</t>
  </si>
  <si>
    <t>NTN9R3V8SZ3</t>
  </si>
  <si>
    <t>Clifton</t>
  </si>
  <si>
    <t>A35447070</t>
  </si>
  <si>
    <t>NWN3DK66GYH</t>
  </si>
  <si>
    <t>Amber</t>
  </si>
  <si>
    <t>A41169723</t>
  </si>
  <si>
    <t>2FNC4DX3NRS</t>
  </si>
  <si>
    <t>Violette Venetia</t>
  </si>
  <si>
    <t>Wright</t>
  </si>
  <si>
    <t>562357767</t>
  </si>
  <si>
    <t>7DNTSR5Y9MC</t>
  </si>
  <si>
    <t>Alice</t>
  </si>
  <si>
    <t>Blavo</t>
  </si>
  <si>
    <t>574508949</t>
  </si>
  <si>
    <t>32NG7WNKNN3</t>
  </si>
  <si>
    <t>Tirzah Elizabeth</t>
  </si>
  <si>
    <t>Bullard</t>
  </si>
  <si>
    <t>A21720225</t>
  </si>
  <si>
    <t>LKNTWN3G59Y_2</t>
  </si>
  <si>
    <t>Andrew Leigh</t>
  </si>
  <si>
    <t>Karas</t>
  </si>
  <si>
    <t>549325122</t>
  </si>
  <si>
    <t>LRNVH95WBB8</t>
  </si>
  <si>
    <t>Robert Joseph</t>
  </si>
  <si>
    <t>Glew</t>
  </si>
  <si>
    <t>599107451</t>
  </si>
  <si>
    <t>VKN4FVZNQZ9</t>
  </si>
  <si>
    <t>Skyler Nicole</t>
  </si>
  <si>
    <t>Borghese</t>
  </si>
  <si>
    <t>A32065046</t>
  </si>
  <si>
    <t>C6NXRKZMW2B</t>
  </si>
  <si>
    <t>Zachary Joseph</t>
  </si>
  <si>
    <t>Raymond</t>
  </si>
  <si>
    <t>A30542944</t>
  </si>
  <si>
    <t>TKNYX2QL3YW</t>
  </si>
  <si>
    <t>Rosito Arbolado</t>
  </si>
  <si>
    <t>Guimond</t>
  </si>
  <si>
    <t>A15073553</t>
  </si>
  <si>
    <t>XQNYTX7LP3H</t>
  </si>
  <si>
    <t>Keith Alan</t>
  </si>
  <si>
    <t>Hartman</t>
  </si>
  <si>
    <t>557906195</t>
  </si>
  <si>
    <t>VLNXRX74CFH</t>
  </si>
  <si>
    <t>Pei Ney</t>
  </si>
  <si>
    <t>A34904563</t>
  </si>
  <si>
    <t>VVIP</t>
  </si>
  <si>
    <t>Upgrade - Deluxe River View, Nextdoorwith Ah Peong Chan
2/ Rooming: require 2 rooms next door (has an elderly mother)</t>
  </si>
  <si>
    <t>82NW23SH4MB</t>
  </si>
  <si>
    <t>Meng Yu</t>
  </si>
  <si>
    <t>Eeo</t>
  </si>
  <si>
    <t>A34905059</t>
  </si>
  <si>
    <t>PYNCNTQS69P</t>
  </si>
  <si>
    <t>Ah Peong</t>
  </si>
  <si>
    <t>Chan</t>
  </si>
  <si>
    <t>Malaysia</t>
  </si>
  <si>
    <t>A58970469</t>
  </si>
  <si>
    <t>Next door with Pei Ooi (her mother)</t>
  </si>
  <si>
    <t>VRN2BWR98C2</t>
  </si>
  <si>
    <t>Wei Ping</t>
  </si>
  <si>
    <t>Xian</t>
  </si>
  <si>
    <t>678056946</t>
  </si>
  <si>
    <t>KE 53</t>
  </si>
  <si>
    <t>PZNPML7XKX8</t>
  </si>
  <si>
    <t>Mohammad Tayyab</t>
  </si>
  <si>
    <t>Elahi</t>
  </si>
  <si>
    <t>A47973301</t>
  </si>
  <si>
    <t>RJNYHCVD4YH</t>
  </si>
  <si>
    <t>Haaris Ameer</t>
  </si>
  <si>
    <t>A06410597</t>
  </si>
  <si>
    <t>NVNRTS4QJ9C</t>
  </si>
  <si>
    <t>Yiqing Laurie</t>
  </si>
  <si>
    <t>Luo</t>
  </si>
  <si>
    <t>HL891151</t>
  </si>
  <si>
    <t>OZ 177</t>
  </si>
  <si>
    <t>WKNH46F94BK</t>
  </si>
  <si>
    <t>Hoa Thi</t>
  </si>
  <si>
    <t>671686979</t>
  </si>
  <si>
    <t>ZZNKYM9TZF3</t>
  </si>
  <si>
    <t>Stacy Hon</t>
  </si>
  <si>
    <t>549232576</t>
  </si>
  <si>
    <t>NGNW5MGSJ37</t>
  </si>
  <si>
    <t>Johnny Vuong Khanh</t>
  </si>
  <si>
    <t>A04480104</t>
  </si>
  <si>
    <t>ZTNFHPJ9JH8</t>
  </si>
  <si>
    <t>Nhan Van</t>
  </si>
  <si>
    <t>A80289478</t>
  </si>
  <si>
    <t>CWNCHPCCC99</t>
  </si>
  <si>
    <t>Phong Nguyen</t>
  </si>
  <si>
    <t>Trangia</t>
  </si>
  <si>
    <t>A29157946</t>
  </si>
  <si>
    <t>68NZ3Q3Q23W</t>
  </si>
  <si>
    <t>Tunhi</t>
  </si>
  <si>
    <t>580236181</t>
  </si>
  <si>
    <t>WGNYPT7ZT5T</t>
  </si>
  <si>
    <t>Phu Gia</t>
  </si>
  <si>
    <t>A16724136</t>
  </si>
  <si>
    <t>RS 713</t>
  </si>
  <si>
    <t>S7N85GX4JGP</t>
  </si>
  <si>
    <t>Doris</t>
  </si>
  <si>
    <t>KQNCNBN38VN</t>
  </si>
  <si>
    <t>Mai Ngoc</t>
  </si>
  <si>
    <t>668338039</t>
  </si>
  <si>
    <t>P6NV58HQL32</t>
  </si>
  <si>
    <t>Debesay</t>
  </si>
  <si>
    <t>Teklemariam</t>
  </si>
  <si>
    <t>648895833</t>
  </si>
  <si>
    <t>Y4NHGXCYTTQ</t>
  </si>
  <si>
    <t>Asmalework</t>
  </si>
  <si>
    <t>Habtu</t>
  </si>
  <si>
    <t>A10245617</t>
  </si>
  <si>
    <t>9KNQXSJCV79</t>
  </si>
  <si>
    <t>Le-Nguyen</t>
  </si>
  <si>
    <t>592648033</t>
  </si>
  <si>
    <t>5WNLBJ6DWFT</t>
  </si>
  <si>
    <t>Lang Ngoc</t>
  </si>
  <si>
    <t>A61117536</t>
  </si>
  <si>
    <t>7XNWG3WNHBT</t>
  </si>
  <si>
    <t>Ger Lee</t>
  </si>
  <si>
    <t>Low</t>
  </si>
  <si>
    <t>A18522635</t>
  </si>
  <si>
    <t>8WNWS5WWX5W</t>
  </si>
  <si>
    <t>Anais Xue Jing</t>
  </si>
  <si>
    <t>Vezian</t>
  </si>
  <si>
    <t>659320549</t>
  </si>
  <si>
    <t>PNN8MWCBS85</t>
  </si>
  <si>
    <t>681055044</t>
  </si>
  <si>
    <t>M4NP8Z6SP5Y</t>
  </si>
  <si>
    <t>Marc Etienne Jean</t>
  </si>
  <si>
    <t>657232360</t>
  </si>
  <si>
    <t>H9NH3ZK9V2M</t>
  </si>
  <si>
    <t>Etienne Jun-Jie</t>
  </si>
  <si>
    <t>A14371772</t>
  </si>
  <si>
    <t>K4NSCMR68RF</t>
  </si>
  <si>
    <t>Leanna Tran</t>
  </si>
  <si>
    <t>A05778398</t>
  </si>
  <si>
    <t>BGNVYQ89NT7</t>
  </si>
  <si>
    <t>Lien Phuong</t>
  </si>
  <si>
    <t>A39053987</t>
  </si>
  <si>
    <t>F3ND7KYQK7C</t>
  </si>
  <si>
    <t>Tuan Quoc</t>
  </si>
  <si>
    <t>669593852</t>
  </si>
  <si>
    <t>KGNBZXKDZDR</t>
  </si>
  <si>
    <t>Evan</t>
  </si>
  <si>
    <t>668347854</t>
  </si>
  <si>
    <t>84NNVL9FP53</t>
  </si>
  <si>
    <t>Maria Cristina Dijamco</t>
  </si>
  <si>
    <t>675696469</t>
  </si>
  <si>
    <t>RJN42D93TRQ</t>
  </si>
  <si>
    <t>Jason Zedric Masbang</t>
  </si>
  <si>
    <t>675696468</t>
  </si>
  <si>
    <t>5ZNC7Y6N3YW</t>
  </si>
  <si>
    <t>Thieu Quang</t>
  </si>
  <si>
    <t>647763878</t>
  </si>
  <si>
    <t>Changed from Twin to Double</t>
  </si>
  <si>
    <t>C8NQJG4PQ64</t>
  </si>
  <si>
    <t>Thuc Minh</t>
  </si>
  <si>
    <t>MFNFKKJSFNX</t>
  </si>
  <si>
    <t>Landon Quang</t>
  </si>
  <si>
    <t>A23652327</t>
  </si>
  <si>
    <t>6BN4Y36DSGR</t>
  </si>
  <si>
    <t>Yen Thanh Thi</t>
  </si>
  <si>
    <t>A69443458</t>
  </si>
  <si>
    <t>84NL8RCJ8DL</t>
  </si>
  <si>
    <t>James Matthew</t>
  </si>
  <si>
    <t>Santos</t>
  </si>
  <si>
    <t>JW-A04</t>
  </si>
  <si>
    <t>NSN6V6F97TZ</t>
  </si>
  <si>
    <t>Armando Rafael</t>
  </si>
  <si>
    <t>Gil</t>
  </si>
  <si>
    <t>579710013</t>
  </si>
  <si>
    <t>TW 724</t>
  </si>
  <si>
    <t>Armando Gil</t>
  </si>
  <si>
    <t>B8NP35W3WNJ</t>
  </si>
  <si>
    <t>Thi Hong Nhung</t>
  </si>
  <si>
    <t>E01523808</t>
  </si>
  <si>
    <t>MDNGBMJFVDK</t>
  </si>
  <si>
    <t>Juan Carlos</t>
  </si>
  <si>
    <t>Carbajal</t>
  </si>
  <si>
    <t>A04910989</t>
  </si>
  <si>
    <t>KE 643</t>
  </si>
  <si>
    <t>97NBJ8WF3CK</t>
  </si>
  <si>
    <t>Novelyn Lomongo</t>
  </si>
  <si>
    <t>Pajo</t>
  </si>
  <si>
    <t>P0483905C</t>
  </si>
  <si>
    <t>P2NZZC7DFNR</t>
  </si>
  <si>
    <t>A46954755</t>
  </si>
  <si>
    <t>2GN3YHB2HC7</t>
  </si>
  <si>
    <t>Harvey</t>
  </si>
  <si>
    <t>671017299</t>
  </si>
  <si>
    <t>7TN5H6M77RY</t>
  </si>
  <si>
    <t>Celia Guadalupe</t>
  </si>
  <si>
    <t>Gonzalez</t>
  </si>
  <si>
    <t>573065763</t>
  </si>
  <si>
    <t>GWN6KSRSQSW</t>
  </si>
  <si>
    <t>573065764</t>
  </si>
  <si>
    <t>Y5N7NZKZT66</t>
  </si>
  <si>
    <t>Daniel Alan</t>
  </si>
  <si>
    <t>Calmelat</t>
  </si>
  <si>
    <t>546832336</t>
  </si>
  <si>
    <t>4HNS2JKD5GJ</t>
  </si>
  <si>
    <t>Ana Luisa</t>
  </si>
  <si>
    <t>596327986</t>
  </si>
  <si>
    <t>KTN5X5PNJJT</t>
  </si>
  <si>
    <t>Jennifer Shane</t>
  </si>
  <si>
    <t>643348424</t>
  </si>
  <si>
    <t>HFNHPLZ29YY</t>
  </si>
  <si>
    <t>Ponphelia Maria</t>
  </si>
  <si>
    <t>Deniz</t>
  </si>
  <si>
    <t>A07892401</t>
  </si>
  <si>
    <t>QVN53BVLPV9</t>
  </si>
  <si>
    <t>S4N7PYZWDMF</t>
  </si>
  <si>
    <t>Robert Wayne</t>
  </si>
  <si>
    <t>663421393</t>
  </si>
  <si>
    <t>VBN34H7ZW83</t>
  </si>
  <si>
    <t>Soon Nom</t>
  </si>
  <si>
    <t>Thornton</t>
  </si>
  <si>
    <t>649767813</t>
  </si>
  <si>
    <t>86ND28LLHHB</t>
  </si>
  <si>
    <t>Trey Kai</t>
  </si>
  <si>
    <t>A13768675</t>
  </si>
  <si>
    <t>TVN5H6FCHW5</t>
  </si>
  <si>
    <t>Clara Alicia</t>
  </si>
  <si>
    <t>Medrano-Avila</t>
  </si>
  <si>
    <t>653299627</t>
  </si>
  <si>
    <t>KE703</t>
  </si>
  <si>
    <t>3WN4T25L8FS</t>
  </si>
  <si>
    <t>Edward</t>
  </si>
  <si>
    <t>Avila</t>
  </si>
  <si>
    <t>653299628</t>
  </si>
  <si>
    <t>M3NJ3YM7MRQ</t>
  </si>
  <si>
    <t>Gilbert</t>
  </si>
  <si>
    <t>Yzaguirre</t>
  </si>
  <si>
    <t>A58372175</t>
  </si>
  <si>
    <t>LWN6YFBSCLD</t>
  </si>
  <si>
    <t>Luz Veronica</t>
  </si>
  <si>
    <t>Siqueiros</t>
  </si>
  <si>
    <t>568762438</t>
  </si>
  <si>
    <t>JW-A05</t>
  </si>
  <si>
    <t>S3N8YS9NQKD</t>
  </si>
  <si>
    <t>Kevin</t>
  </si>
  <si>
    <t>A67317404</t>
  </si>
  <si>
    <t>OZ 736</t>
  </si>
  <si>
    <t>Kevin Huynh</t>
  </si>
  <si>
    <t>FXNFRBZP2ZV</t>
  </si>
  <si>
    <t>Jannie Phuong</t>
  </si>
  <si>
    <t>A40467666</t>
  </si>
  <si>
    <t>JW-A06</t>
  </si>
  <si>
    <t>98NL2MJRRMV</t>
  </si>
  <si>
    <t>Juliaty</t>
  </si>
  <si>
    <t>Kosasih</t>
  </si>
  <si>
    <t>654048589</t>
  </si>
  <si>
    <t>OZ 115</t>
  </si>
  <si>
    <t>Lisa Oktavia</t>
  </si>
  <si>
    <t>57NVFHLZHZK</t>
  </si>
  <si>
    <t>Lisa</t>
  </si>
  <si>
    <t>Oktavia</t>
  </si>
  <si>
    <t>642369737</t>
  </si>
  <si>
    <t>FCNS3DH3HKH</t>
  </si>
  <si>
    <t>Ricardo</t>
  </si>
  <si>
    <t>Widjajakusuma</t>
  </si>
  <si>
    <t>644586106</t>
  </si>
  <si>
    <t>NKNG2B3FG4W</t>
  </si>
  <si>
    <t>Neill V</t>
  </si>
  <si>
    <t>Papa</t>
  </si>
  <si>
    <t>672298879</t>
  </si>
  <si>
    <t>OZ 111</t>
  </si>
  <si>
    <t>5JNLHYTLRNG</t>
  </si>
  <si>
    <t>Phuong Ai</t>
  </si>
  <si>
    <t>Tat</t>
  </si>
  <si>
    <t>A42057960</t>
  </si>
  <si>
    <t>WVNNVZ27B5G</t>
  </si>
  <si>
    <t>Wallace Hiroo</t>
  </si>
  <si>
    <t>Shimabukuro</t>
  </si>
  <si>
    <t>547602391</t>
  </si>
  <si>
    <t>7GN99JJH75Q</t>
  </si>
  <si>
    <t>Sheila</t>
  </si>
  <si>
    <t>Irawan</t>
  </si>
  <si>
    <t>A63249316</t>
  </si>
  <si>
    <t>G6NNWG946CL</t>
  </si>
  <si>
    <t>Hartaya</t>
  </si>
  <si>
    <t>Kusumatandjanma</t>
  </si>
  <si>
    <t>642369487</t>
  </si>
  <si>
    <t>MXN8BWBJK8T</t>
  </si>
  <si>
    <t>Siu Yu</t>
  </si>
  <si>
    <t>A56819954</t>
  </si>
  <si>
    <t>KE 1174</t>
  </si>
  <si>
    <t>JW-A07</t>
  </si>
  <si>
    <t>H2NP2WWPMR2</t>
  </si>
  <si>
    <t>Wenxiu</t>
  </si>
  <si>
    <t>Peng</t>
  </si>
  <si>
    <t>670706019</t>
  </si>
  <si>
    <t>Rocky Shi</t>
  </si>
  <si>
    <t>Z8N2QL29KNH</t>
  </si>
  <si>
    <t>Xin</t>
  </si>
  <si>
    <t>Liu</t>
  </si>
  <si>
    <t>JW-A08</t>
  </si>
  <si>
    <t>4DNLHYLV253</t>
  </si>
  <si>
    <t>A50874027</t>
  </si>
  <si>
    <t>KE 894</t>
  </si>
  <si>
    <t>CZ 682</t>
  </si>
  <si>
    <t>Wan Yang</t>
  </si>
  <si>
    <t>WBN872TVJSC</t>
  </si>
  <si>
    <t>Lucy Lu</t>
  </si>
  <si>
    <t>565799791</t>
  </si>
  <si>
    <t>JW-A09</t>
  </si>
  <si>
    <t>GTNYBS3W878</t>
  </si>
  <si>
    <t>Duyen Thi</t>
  </si>
  <si>
    <t>A14239614</t>
  </si>
  <si>
    <t>KE 468</t>
  </si>
  <si>
    <t>DL 7839</t>
  </si>
  <si>
    <t>Xuan Nguyen</t>
  </si>
  <si>
    <t>BHNPLPY2KCT</t>
  </si>
  <si>
    <t>Doan Thuc</t>
  </si>
  <si>
    <t>671974974985</t>
  </si>
  <si>
    <t>BLNYPF2QDST</t>
  </si>
  <si>
    <t>Jeannie</t>
  </si>
  <si>
    <t>A32497719</t>
  </si>
  <si>
    <t>KE 92</t>
  </si>
  <si>
    <t>KE 91</t>
  </si>
  <si>
    <t>XWN2H38X5J8</t>
  </si>
  <si>
    <t>Danitza</t>
  </si>
  <si>
    <t>Michel</t>
  </si>
  <si>
    <t>655460706</t>
  </si>
  <si>
    <t>VCN9PTK5SLK</t>
  </si>
  <si>
    <t>Thanh My</t>
  </si>
  <si>
    <t>654240204</t>
  </si>
  <si>
    <t>CXN4HRJZSWZ</t>
  </si>
  <si>
    <t>Quyen Thi To</t>
  </si>
  <si>
    <t>655858775</t>
  </si>
  <si>
    <t>LPN4FZSMWTH</t>
  </si>
  <si>
    <t>Beatriz Gaspar</t>
  </si>
  <si>
    <t>Balao</t>
  </si>
  <si>
    <t>A38061360</t>
  </si>
  <si>
    <t>OZ 722</t>
  </si>
  <si>
    <t>W5NSM99D3WV</t>
  </si>
  <si>
    <t>Kimberly Anne Gaspar</t>
  </si>
  <si>
    <t>A43005553</t>
  </si>
  <si>
    <t>FXN9L9HYT9L</t>
  </si>
  <si>
    <t>Cecilie</t>
  </si>
  <si>
    <t>Rivera</t>
  </si>
  <si>
    <t>564621931</t>
  </si>
  <si>
    <t>3MNN5QSRZCT</t>
  </si>
  <si>
    <t>Maria Fe</t>
  </si>
  <si>
    <t>Lozano</t>
  </si>
  <si>
    <t>A49449089</t>
  </si>
  <si>
    <t>79NYXQVP5H3</t>
  </si>
  <si>
    <t>Se-Fune</t>
  </si>
  <si>
    <t>652536298</t>
  </si>
  <si>
    <t>GZNG7KSHT8G</t>
  </si>
  <si>
    <t>Eduardo Chiong</t>
  </si>
  <si>
    <t>Fune</t>
  </si>
  <si>
    <t>A33207398</t>
  </si>
  <si>
    <t>FBNKRJCX2MP</t>
  </si>
  <si>
    <t>Luyen Huy</t>
  </si>
  <si>
    <t>551687489</t>
  </si>
  <si>
    <t>Y6NMZNB4PYW</t>
  </si>
  <si>
    <t>Linda Ngoc</t>
  </si>
  <si>
    <t>665412973</t>
  </si>
  <si>
    <t>6HNNW8QQ5GD</t>
  </si>
  <si>
    <t>Quang Minh</t>
  </si>
  <si>
    <t>559382531</t>
  </si>
  <si>
    <t>BXNH2DNZ2C9</t>
  </si>
  <si>
    <t>Tina Nga</t>
  </si>
  <si>
    <t>559382530</t>
  </si>
  <si>
    <t>FDNCC7DGV5R</t>
  </si>
  <si>
    <t>Young</t>
  </si>
  <si>
    <t>576541706</t>
  </si>
  <si>
    <t>K4NHQYSJYFL</t>
  </si>
  <si>
    <t>Kisseng</t>
  </si>
  <si>
    <t>Hsieh</t>
  </si>
  <si>
    <t>681709948</t>
  </si>
  <si>
    <t>JW-A02</t>
  </si>
  <si>
    <t>YMNYBF72ZHK</t>
  </si>
  <si>
    <t>Andrew Anh-Tu</t>
  </si>
  <si>
    <t>643046451</t>
  </si>
  <si>
    <t>Nguyen Dynasty</t>
  </si>
  <si>
    <t>Upgrade - Griffin Suite &amp; Next Door to Xuan Thanh, Avery, Kim Lien Thi</t>
  </si>
  <si>
    <t>C</t>
  </si>
  <si>
    <t>M7N638PF43L</t>
  </si>
  <si>
    <t>Alicia Minh-Ha</t>
  </si>
  <si>
    <t>A08397573</t>
  </si>
  <si>
    <t>8TNLMQZ6CL9</t>
  </si>
  <si>
    <t>Alan Nguyen</t>
  </si>
  <si>
    <t>A36069119</t>
  </si>
  <si>
    <t>83NWZ2K89MB</t>
  </si>
  <si>
    <t>Xuan Thanh</t>
  </si>
  <si>
    <t>A35451739</t>
  </si>
  <si>
    <t>OZ 6614</t>
  </si>
  <si>
    <t>Upgrade - Executive Suite &amp; Next door with Andrew, Avery</t>
  </si>
  <si>
    <t>VFN3MQ66SQ2</t>
  </si>
  <si>
    <t>Honghoa</t>
  </si>
  <si>
    <t>A03681155</t>
  </si>
  <si>
    <t>KDNVH636R5R</t>
  </si>
  <si>
    <t>Avery Nguyen</t>
  </si>
  <si>
    <t>A36330703</t>
  </si>
  <si>
    <t>Next door with Andrew, Xuan Thanh &amp; Kim Lien Thi</t>
  </si>
  <si>
    <t>C2NFBT6ZFP6</t>
  </si>
  <si>
    <t>592146482</t>
  </si>
  <si>
    <t>KE 17</t>
  </si>
  <si>
    <t>9PN59GW7RNV</t>
  </si>
  <si>
    <t>Kim Lien Thi</t>
  </si>
  <si>
    <t>647317463</t>
  </si>
  <si>
    <t>Same floor with Alicia Nguyen</t>
  </si>
  <si>
    <t>7NN7Z5TSDHY</t>
  </si>
  <si>
    <t>Michael Todd</t>
  </si>
  <si>
    <t>Buchanan</t>
  </si>
  <si>
    <t>584103662</t>
  </si>
  <si>
    <t>KE 175</t>
  </si>
  <si>
    <t>Upgrade - Deluxe River View
2/ VVIP, President of Transamerica
3/ Rooming: in 15 Sep, out 22 Sep
4/ Marriott #: 643921315</t>
  </si>
  <si>
    <t>MZN7STCRW6C</t>
  </si>
  <si>
    <t>Ann Ten Eyck</t>
  </si>
  <si>
    <t>550298995</t>
  </si>
  <si>
    <t>HZNXKRWZY5N</t>
  </si>
  <si>
    <t>Mark William</t>
  </si>
  <si>
    <t>Duffey</t>
  </si>
  <si>
    <t>A36295704</t>
  </si>
  <si>
    <t>KE 908</t>
  </si>
  <si>
    <t>Upgrade - Deluxe River View
2/ Rooming: in 16 Sep, out 21 Sep</t>
  </si>
  <si>
    <t>YQNBWRK8XJ6</t>
  </si>
  <si>
    <t>Alison Marie</t>
  </si>
  <si>
    <t>Merril</t>
  </si>
  <si>
    <t>580045666</t>
  </si>
  <si>
    <t>HVNLRYRKNRZ</t>
  </si>
  <si>
    <t>Mitchell Earl</t>
  </si>
  <si>
    <t>Nutting</t>
  </si>
  <si>
    <t>AB270948</t>
  </si>
  <si>
    <t>GQN4D8JM6J7</t>
  </si>
  <si>
    <t>Michelle Dawn</t>
  </si>
  <si>
    <t>AB280872</t>
  </si>
  <si>
    <t>6NNPBJNW39G</t>
  </si>
  <si>
    <t>Susan Edwards</t>
  </si>
  <si>
    <t>Davies</t>
  </si>
  <si>
    <t>A62688708</t>
  </si>
  <si>
    <t>SYNWDRFH6HV</t>
  </si>
  <si>
    <t>John Jeffrey</t>
  </si>
  <si>
    <t>A41150025</t>
  </si>
  <si>
    <t>CKN45ZPCL4X</t>
  </si>
  <si>
    <t>Jennifer Santillan</t>
  </si>
  <si>
    <t>A59881223</t>
  </si>
  <si>
    <t>XFND9CD7CYQ</t>
  </si>
  <si>
    <t>Sierra Starr</t>
  </si>
  <si>
    <t>A08124841</t>
  </si>
  <si>
    <t>XYNJ32NHB4G</t>
  </si>
  <si>
    <t>Blanca Leonor</t>
  </si>
  <si>
    <t>Penate De Hernandez</t>
  </si>
  <si>
    <t>Pham Minh Ngoc</t>
  </si>
  <si>
    <t>JBA Management, stay in group B too</t>
  </si>
  <si>
    <t>Thi Kieu Trang</t>
  </si>
  <si>
    <t>SVN8VXNG4NY</t>
  </si>
  <si>
    <t>Derica Malaca</t>
  </si>
  <si>
    <t>Pardilla</t>
  </si>
  <si>
    <t>A36951203</t>
  </si>
  <si>
    <t>WSB admin &amp; will in group B too (# 78779683)</t>
  </si>
  <si>
    <t>3PNCTZGBBZ8</t>
  </si>
  <si>
    <t>Dominic Nario</t>
  </si>
  <si>
    <t>A37147670</t>
  </si>
  <si>
    <t>CDNLT98SZH8</t>
  </si>
  <si>
    <t>543623735</t>
  </si>
  <si>
    <t>WSB admin &amp; will in group B too (# 78779132)</t>
  </si>
  <si>
    <t>Gaon</t>
  </si>
  <si>
    <t>Korea</t>
  </si>
  <si>
    <t>MEPS Team &amp; will stay in group B too</t>
  </si>
  <si>
    <t>Kang</t>
  </si>
  <si>
    <t>ROOM LIST FOR LOTTE SEOUL_GROUP A</t>
  </si>
  <si>
    <t>LOTTE SEOUL</t>
  </si>
  <si>
    <t>CATEGORY</t>
  </si>
  <si>
    <t>LO-A05</t>
  </si>
  <si>
    <t>CSNMQ7XNY2S</t>
  </si>
  <si>
    <t>Adeolu</t>
  </si>
  <si>
    <t>Durotoye</t>
  </si>
  <si>
    <t>HD773491</t>
  </si>
  <si>
    <t>Adeolu Durotoye</t>
  </si>
  <si>
    <t>Upgrade - Junior Suite</t>
  </si>
  <si>
    <t>LOTTE</t>
  </si>
  <si>
    <t>JD</t>
  </si>
  <si>
    <t>BQN5YMBRTZ9</t>
  </si>
  <si>
    <t>Olanrewaju</t>
  </si>
  <si>
    <t>Ogunkoya</t>
  </si>
  <si>
    <t>A11899951</t>
  </si>
  <si>
    <t>GD</t>
  </si>
  <si>
    <t>8SNRDRCQPHQ</t>
  </si>
  <si>
    <t>Bridget</t>
  </si>
  <si>
    <t>A11899952</t>
  </si>
  <si>
    <t>FLN6XZFQTLH</t>
  </si>
  <si>
    <t>Abolade</t>
  </si>
  <si>
    <t>Akinropo</t>
  </si>
  <si>
    <t>128559325</t>
  </si>
  <si>
    <t>VRNPD384X6N</t>
  </si>
  <si>
    <t>Shola Jumoke</t>
  </si>
  <si>
    <t>Olori</t>
  </si>
  <si>
    <t>662050946</t>
  </si>
  <si>
    <t>4BNHL9C6RWT</t>
  </si>
  <si>
    <t>Onuwabhagbe Ayemere</t>
  </si>
  <si>
    <t>Ogudo</t>
  </si>
  <si>
    <t>AM843170</t>
  </si>
  <si>
    <t>GT</t>
  </si>
  <si>
    <t>VCNYDFDGQ8C</t>
  </si>
  <si>
    <t>Jeffrey Jafaru</t>
  </si>
  <si>
    <t>Usman</t>
  </si>
  <si>
    <t>AT807435</t>
  </si>
  <si>
    <t>3FNT9CQ6CWC</t>
  </si>
  <si>
    <t>Paul</t>
  </si>
  <si>
    <t>Adeyeye</t>
  </si>
  <si>
    <t>AY725569</t>
  </si>
  <si>
    <t>D5NZNQTZ4S6</t>
  </si>
  <si>
    <t>Idowu Adekola</t>
  </si>
  <si>
    <t>Nafiu</t>
  </si>
  <si>
    <t>P331558FS</t>
  </si>
  <si>
    <t>64NQP9SW72V</t>
  </si>
  <si>
    <t>Folashade</t>
  </si>
  <si>
    <t>Awosanmi</t>
  </si>
  <si>
    <t>AC436161</t>
  </si>
  <si>
    <t>98NGTVNHG2X</t>
  </si>
  <si>
    <t>Sheri</t>
  </si>
  <si>
    <t>Agunbiade</t>
  </si>
  <si>
    <t>A02013568</t>
  </si>
  <si>
    <t>FDNK6HN7Z9W</t>
  </si>
  <si>
    <t>Reynolds</t>
  </si>
  <si>
    <t>Edokpayi</t>
  </si>
  <si>
    <t>PA024652</t>
  </si>
  <si>
    <t>KE 660</t>
  </si>
  <si>
    <t>MGNWBNQ27JY</t>
  </si>
  <si>
    <t>Osasogie Deborah</t>
  </si>
  <si>
    <t>Nigeria</t>
  </si>
  <si>
    <t>B51332071</t>
  </si>
  <si>
    <t>CQN557DDSNP</t>
  </si>
  <si>
    <t>Asher Nosamudiana</t>
  </si>
  <si>
    <t>P100888BI</t>
  </si>
  <si>
    <t>P9NMQHFQRD2</t>
  </si>
  <si>
    <t>Matthew Oluwasegun</t>
  </si>
  <si>
    <t>Adekoya</t>
  </si>
  <si>
    <t>PE922876</t>
  </si>
  <si>
    <t>NWNWRK2YBF9</t>
  </si>
  <si>
    <t>Michael Chinonso</t>
  </si>
  <si>
    <t>Okoro</t>
  </si>
  <si>
    <t>A12507454</t>
  </si>
  <si>
    <t>RJNVLTN9XQ6</t>
  </si>
  <si>
    <t>Martins</t>
  </si>
  <si>
    <t>Onwuanimkwu</t>
  </si>
  <si>
    <t>HH452424</t>
  </si>
  <si>
    <t>JXNK3R3NSZ7</t>
  </si>
  <si>
    <t>Blessing</t>
  </si>
  <si>
    <t>HN849065</t>
  </si>
  <si>
    <t>F8N53FQYVT4</t>
  </si>
  <si>
    <t>Aderonke</t>
  </si>
  <si>
    <t>Akingbola</t>
  </si>
  <si>
    <t>580872244</t>
  </si>
  <si>
    <t>7GN9XXSZTLX</t>
  </si>
  <si>
    <t>Olugbenga</t>
  </si>
  <si>
    <t>589218038</t>
  </si>
  <si>
    <t>3YND655CK6B</t>
  </si>
  <si>
    <t>Cossi Modeste</t>
  </si>
  <si>
    <t>Yekpe</t>
  </si>
  <si>
    <t>594354554</t>
  </si>
  <si>
    <t>XBN5PGXS4J8</t>
  </si>
  <si>
    <t>Florence</t>
  </si>
  <si>
    <t>Akouegnon</t>
  </si>
  <si>
    <t>594354555</t>
  </si>
  <si>
    <t>5XNV5YJQZ5J</t>
  </si>
  <si>
    <t>Claudia Odiri</t>
  </si>
  <si>
    <t>Ukpolo</t>
  </si>
  <si>
    <t>647549437</t>
  </si>
  <si>
    <t>7WNV938LLQS</t>
  </si>
  <si>
    <t>Adaeze Nwamaka</t>
  </si>
  <si>
    <t>Udezue</t>
  </si>
  <si>
    <t>576667167</t>
  </si>
  <si>
    <t>VFNCKSMCL6W</t>
  </si>
  <si>
    <t>Anuoluwapo Sarah</t>
  </si>
  <si>
    <t>Ayankoya</t>
  </si>
  <si>
    <t>P454026LS</t>
  </si>
  <si>
    <t>FXN27DWD69X</t>
  </si>
  <si>
    <t>Babatunde Olufemi</t>
  </si>
  <si>
    <t>P454019LS</t>
  </si>
  <si>
    <t>7ZN48KV59ND</t>
  </si>
  <si>
    <t>Omotoso Muniru</t>
  </si>
  <si>
    <t>Alimi</t>
  </si>
  <si>
    <t>HK849752</t>
  </si>
  <si>
    <t>JVN23WTVYMM</t>
  </si>
  <si>
    <t>Mujidat Abimbola</t>
  </si>
  <si>
    <t>HK847646</t>
  </si>
  <si>
    <t>ZDNM3RFS79X</t>
  </si>
  <si>
    <t>Suliat</t>
  </si>
  <si>
    <t>Badaru</t>
  </si>
  <si>
    <t>A13561589</t>
  </si>
  <si>
    <t>RBNRLVTBH83</t>
  </si>
  <si>
    <t>Faith</t>
  </si>
  <si>
    <t>Igbinosa</t>
  </si>
  <si>
    <t>HK865768</t>
  </si>
  <si>
    <t>NPNGSRN48GW</t>
  </si>
  <si>
    <t>Bernardine</t>
  </si>
  <si>
    <t>Aluko</t>
  </si>
  <si>
    <t>P628043FS</t>
  </si>
  <si>
    <t>P8NSJDPN4XX</t>
  </si>
  <si>
    <t>Kofo Monsurah</t>
  </si>
  <si>
    <t>Keshinro</t>
  </si>
  <si>
    <t>664447531</t>
  </si>
  <si>
    <t>LO-A06</t>
  </si>
  <si>
    <t>9DNXLWV6GYV</t>
  </si>
  <si>
    <t>Andaleeb</t>
  </si>
  <si>
    <t>Masood</t>
  </si>
  <si>
    <t>AH605783</t>
  </si>
  <si>
    <t>Andaleeb Masood</t>
  </si>
  <si>
    <t>DD+EB</t>
  </si>
  <si>
    <t>6PNZDJW4X2F</t>
  </si>
  <si>
    <t>Behboodi</t>
  </si>
  <si>
    <t>P860208ED</t>
  </si>
  <si>
    <t>DBNL5TSXWP2</t>
  </si>
  <si>
    <t>Jaspreet</t>
  </si>
  <si>
    <t>P779671FS</t>
  </si>
  <si>
    <t>DD</t>
  </si>
  <si>
    <t>5MNCWLGFVNS</t>
  </si>
  <si>
    <t>Seerit Kaur</t>
  </si>
  <si>
    <t>P351454PC</t>
  </si>
  <si>
    <t>LO-A01</t>
  </si>
  <si>
    <t>6GNY6J55YGH</t>
  </si>
  <si>
    <t>Bernadette Youngsil</t>
  </si>
  <si>
    <t>Kim</t>
  </si>
  <si>
    <t>A63773003</t>
  </si>
  <si>
    <t>KE 1246</t>
  </si>
  <si>
    <t>Bernadette Kim</t>
  </si>
  <si>
    <t>Y8NPGGR6TJB</t>
  </si>
  <si>
    <t>Moon Geon</t>
  </si>
  <si>
    <t>A63773002</t>
  </si>
  <si>
    <t>MWN2LBK77J4</t>
  </si>
  <si>
    <t>Llewellyn</t>
  </si>
  <si>
    <t>A54323585</t>
  </si>
  <si>
    <t>8LNBBCDT59C</t>
  </si>
  <si>
    <t>Maresyl Garces</t>
  </si>
  <si>
    <t>A54323583</t>
  </si>
  <si>
    <t>RMN7GSR7DC8</t>
  </si>
  <si>
    <t>Rowena</t>
  </si>
  <si>
    <t>Sneathern</t>
  </si>
  <si>
    <t>564424182</t>
  </si>
  <si>
    <t>4XN9KK5N2S2</t>
  </si>
  <si>
    <t>Arnold</t>
  </si>
  <si>
    <t>564424183</t>
  </si>
  <si>
    <t>LO-A02</t>
  </si>
  <si>
    <t>Z8NH8GF5X9Y</t>
  </si>
  <si>
    <t>Amparo Jasmine</t>
  </si>
  <si>
    <t>Tumanguil</t>
  </si>
  <si>
    <t>A15591098</t>
  </si>
  <si>
    <t>5J 185</t>
  </si>
  <si>
    <t>Dondon Dimailig</t>
  </si>
  <si>
    <t>LRNDRZ94LFY</t>
  </si>
  <si>
    <t>Rinel</t>
  </si>
  <si>
    <t>656490213</t>
  </si>
  <si>
    <t>36NWCD88TBF</t>
  </si>
  <si>
    <t>Avelina</t>
  </si>
  <si>
    <t>Coleman</t>
  </si>
  <si>
    <t>656624294</t>
  </si>
  <si>
    <t>VKNMSSPX8MJ</t>
  </si>
  <si>
    <t>Carla La</t>
  </si>
  <si>
    <t>Malaikham</t>
  </si>
  <si>
    <t>650208790</t>
  </si>
  <si>
    <t>83NL6F2SCBR</t>
  </si>
  <si>
    <t>Anousinh</t>
  </si>
  <si>
    <t>Inthasane</t>
  </si>
  <si>
    <t>A50458808</t>
  </si>
  <si>
    <t>X5NLW7DWBWS</t>
  </si>
  <si>
    <t>Phasouksavanh</t>
  </si>
  <si>
    <t>566401667</t>
  </si>
  <si>
    <t>QPNDJDSN7NM</t>
  </si>
  <si>
    <t>Tristan Anurak</t>
  </si>
  <si>
    <t>A28357768</t>
  </si>
  <si>
    <t>PMNVMJVKDQ5</t>
  </si>
  <si>
    <t>Carolina Enriquez</t>
  </si>
  <si>
    <t>Hernandez</t>
  </si>
  <si>
    <t>A14361690</t>
  </si>
  <si>
    <t>NH 6972</t>
  </si>
  <si>
    <t>C4N8M4FYF6Y</t>
  </si>
  <si>
    <t>Norvin Tan</t>
  </si>
  <si>
    <t>A35543919</t>
  </si>
  <si>
    <t>3HNWM8TFGD2</t>
  </si>
  <si>
    <t>Maia Danielle</t>
  </si>
  <si>
    <t>677776140</t>
  </si>
  <si>
    <t>6KN2FZYKG9X</t>
  </si>
  <si>
    <t>Ma. Jennilyn Gabion</t>
  </si>
  <si>
    <t>Jimenez</t>
  </si>
  <si>
    <t>P9524131A</t>
  </si>
  <si>
    <t>WZN3N4LZH9C</t>
  </si>
  <si>
    <t>Dondon</t>
  </si>
  <si>
    <t>Dimailig</t>
  </si>
  <si>
    <t>A54083574</t>
  </si>
  <si>
    <t>OZ 112</t>
  </si>
  <si>
    <t>DDNR2FR7JRM</t>
  </si>
  <si>
    <t>Nerissa Cunanan</t>
  </si>
  <si>
    <t>A54083573</t>
  </si>
  <si>
    <t>MLNKQX7ZQTH</t>
  </si>
  <si>
    <t>Fiona Eloise Cunanan</t>
  </si>
  <si>
    <t>A50264027</t>
  </si>
  <si>
    <t>DVN96YMG6XK</t>
  </si>
  <si>
    <t>Margaret Cunanan</t>
  </si>
  <si>
    <t>A08434651</t>
  </si>
  <si>
    <t>D2N8DCLPG9Z</t>
  </si>
  <si>
    <t>Vaughn Cunanan</t>
  </si>
  <si>
    <t>A51670807</t>
  </si>
  <si>
    <t>DT</t>
  </si>
  <si>
    <t>MHNZRLGRBS8</t>
  </si>
  <si>
    <t>Jenny Dimailig</t>
  </si>
  <si>
    <t>Gumboc</t>
  </si>
  <si>
    <t>572291951</t>
  </si>
  <si>
    <t>2SNKYFTL95H</t>
  </si>
  <si>
    <t>Eugene Lazo</t>
  </si>
  <si>
    <t>Palustre</t>
  </si>
  <si>
    <t>672947811</t>
  </si>
  <si>
    <t>YKNMWH4XFCX</t>
  </si>
  <si>
    <t>Vienaper Castillo</t>
  </si>
  <si>
    <t>TXN229QRHJH</t>
  </si>
  <si>
    <t>Fe Junio</t>
  </si>
  <si>
    <t>Palomique</t>
  </si>
  <si>
    <t>A41299152</t>
  </si>
  <si>
    <t>MFNJL8TM655</t>
  </si>
  <si>
    <t>Mildred Mendoza</t>
  </si>
  <si>
    <t>Mendoza</t>
  </si>
  <si>
    <t>649717049</t>
  </si>
  <si>
    <t>LTN5C49JQDM</t>
  </si>
  <si>
    <t>Cesar Noel S</t>
  </si>
  <si>
    <t>Estillore</t>
  </si>
  <si>
    <t>657032639</t>
  </si>
  <si>
    <t>7JNGMYWJXNP</t>
  </si>
  <si>
    <t>Maria E Estillore</t>
  </si>
  <si>
    <t>O'Connor</t>
  </si>
  <si>
    <t>674981454</t>
  </si>
  <si>
    <t>K9NZTDVVGRW</t>
  </si>
  <si>
    <t>Geraldine Frances Larrazabal</t>
  </si>
  <si>
    <t>Pagaduan</t>
  </si>
  <si>
    <t>555003407</t>
  </si>
  <si>
    <t>KE 705</t>
  </si>
  <si>
    <t>9MNH5L7GJSM</t>
  </si>
  <si>
    <t>Rey Branzuela</t>
  </si>
  <si>
    <t>663935712</t>
  </si>
  <si>
    <t>H5NPX9JHKKZ</t>
  </si>
  <si>
    <t>Mikel Alfonso Larrazabal</t>
  </si>
  <si>
    <t>663991727</t>
  </si>
  <si>
    <t>DFNLLHKJLSG</t>
  </si>
  <si>
    <t>Summer Joy</t>
  </si>
  <si>
    <t>A56461175</t>
  </si>
  <si>
    <t>PQNFS44VKVV</t>
  </si>
  <si>
    <t>Liezl</t>
  </si>
  <si>
    <t>Camanag</t>
  </si>
  <si>
    <t>549999596</t>
  </si>
  <si>
    <t>KE 6</t>
  </si>
  <si>
    <t>W8ND9K3H3HD</t>
  </si>
  <si>
    <t>Rylan Marcus Malaluan</t>
  </si>
  <si>
    <t>673337564</t>
  </si>
  <si>
    <t>L8NT62CZJ8W</t>
  </si>
  <si>
    <t>Maricor Maulawin</t>
  </si>
  <si>
    <t>Madrilejos</t>
  </si>
  <si>
    <t>A61573043</t>
  </si>
  <si>
    <t>5XN2JGCJWNV</t>
  </si>
  <si>
    <t>Vladimir</t>
  </si>
  <si>
    <t>A52283596</t>
  </si>
  <si>
    <t>56NXWN3CRSQ</t>
  </si>
  <si>
    <t>Samara Alexie</t>
  </si>
  <si>
    <t>A54947787</t>
  </si>
  <si>
    <t>3XNJLZJRQ9D</t>
  </si>
  <si>
    <t>Marites Jimenez</t>
  </si>
  <si>
    <t>Cunanan</t>
  </si>
  <si>
    <t>672300737</t>
  </si>
  <si>
    <t>TW 241</t>
  </si>
  <si>
    <t>G8N9ZZ6QQPR</t>
  </si>
  <si>
    <t>Nonito Alarcon</t>
  </si>
  <si>
    <t>672300738</t>
  </si>
  <si>
    <t>65NHYJXZZPT</t>
  </si>
  <si>
    <t>Rosalie Bonus</t>
  </si>
  <si>
    <t>Roque</t>
  </si>
  <si>
    <t>A81561335</t>
  </si>
  <si>
    <t>KE 5</t>
  </si>
  <si>
    <t>RQNKBCJ952G</t>
  </si>
  <si>
    <t>Kayleigh Jimenez</t>
  </si>
  <si>
    <t>A017388206</t>
  </si>
  <si>
    <t>Y2NY5SV2XSZ</t>
  </si>
  <si>
    <t>Zerilda</t>
  </si>
  <si>
    <t>Causing</t>
  </si>
  <si>
    <t>583286916</t>
  </si>
  <si>
    <t>QJN6MPZMWM8</t>
  </si>
  <si>
    <t>Yvette Fernandez</t>
  </si>
  <si>
    <t>Lautchang</t>
  </si>
  <si>
    <t>A11466427</t>
  </si>
  <si>
    <t>7BNRQS5RXY7</t>
  </si>
  <si>
    <t>Ida</t>
  </si>
  <si>
    <t>Ambida</t>
  </si>
  <si>
    <t>589547556</t>
  </si>
  <si>
    <t>7C 2113</t>
  </si>
  <si>
    <t>MVNSJ3YJNX5</t>
  </si>
  <si>
    <t>Louie</t>
  </si>
  <si>
    <t>MYNGSR45WT7</t>
  </si>
  <si>
    <t>Abrianna Quinn</t>
  </si>
  <si>
    <t>675923439</t>
  </si>
  <si>
    <t>SYNXMJKZKN6</t>
  </si>
  <si>
    <t>Marisa Uy</t>
  </si>
  <si>
    <t>Capistrano</t>
  </si>
  <si>
    <t>674448816</t>
  </si>
  <si>
    <t>LDN78TF9D8G</t>
  </si>
  <si>
    <t>Kaiden David</t>
  </si>
  <si>
    <t>669212262</t>
  </si>
  <si>
    <t>NYNJPQKWHPH</t>
  </si>
  <si>
    <t>Edwina</t>
  </si>
  <si>
    <t>661477298</t>
  </si>
  <si>
    <t>CFNNMGQZW2P</t>
  </si>
  <si>
    <t>A29564206</t>
  </si>
  <si>
    <t>MYN5YN9GXCV</t>
  </si>
  <si>
    <t>Emmanuel Bagao</t>
  </si>
  <si>
    <t>Orpiano</t>
  </si>
  <si>
    <t>547079222</t>
  </si>
  <si>
    <t>D6NBVDNY8XY</t>
  </si>
  <si>
    <t>Ricien</t>
  </si>
  <si>
    <t>A02437821</t>
  </si>
  <si>
    <t>L7NVBFXL6PM</t>
  </si>
  <si>
    <t>Febysa Ople</t>
  </si>
  <si>
    <t>Nicha-Andrada</t>
  </si>
  <si>
    <t>596381240</t>
  </si>
  <si>
    <t>KE 663</t>
  </si>
  <si>
    <t>3 rooms Next door</t>
  </si>
  <si>
    <t>LTNMH49D4SP</t>
  </si>
  <si>
    <t>Arthur Villena</t>
  </si>
  <si>
    <t>Andrada Jr</t>
  </si>
  <si>
    <t>589261628</t>
  </si>
  <si>
    <t>NRN8S677K5Z</t>
  </si>
  <si>
    <t>Maria Ruby</t>
  </si>
  <si>
    <t>Cantillas</t>
  </si>
  <si>
    <t>647176936</t>
  </si>
  <si>
    <t>4FN4ZNTQ3HL</t>
  </si>
  <si>
    <t>Zorayda Ramos</t>
  </si>
  <si>
    <t>Nicha</t>
  </si>
  <si>
    <t>646050569</t>
  </si>
  <si>
    <t>TQNZYM9YCJZ</t>
  </si>
  <si>
    <t>Myrna Nicha</t>
  </si>
  <si>
    <t>Jafari</t>
  </si>
  <si>
    <t>657699654</t>
  </si>
  <si>
    <t>TWN76Q6M5G8</t>
  </si>
  <si>
    <t>Saied</t>
  </si>
  <si>
    <t>645965593</t>
  </si>
  <si>
    <t>C7N4DJZCCM2</t>
  </si>
  <si>
    <t>Demetrio Jr Apilis</t>
  </si>
  <si>
    <t>Pulanco</t>
  </si>
  <si>
    <t>681742408</t>
  </si>
  <si>
    <t>DZNZK9DK6PX</t>
  </si>
  <si>
    <t>Jennifer Dela Cruz</t>
  </si>
  <si>
    <t>681742407</t>
  </si>
  <si>
    <t>QLN6V769F4H</t>
  </si>
  <si>
    <t>Mark Anthony</t>
  </si>
  <si>
    <t>Mayugba</t>
  </si>
  <si>
    <t>P6429436A</t>
  </si>
  <si>
    <t>YDN58NNHX3L</t>
  </si>
  <si>
    <t>Sophie Mariah Rosales</t>
  </si>
  <si>
    <t>Castanares</t>
  </si>
  <si>
    <t>679279296</t>
  </si>
  <si>
    <t>LKN2ZBMBBJ5</t>
  </si>
  <si>
    <t>Nonette Anthony Firmeza</t>
  </si>
  <si>
    <t>Sombero</t>
  </si>
  <si>
    <t>566055371</t>
  </si>
  <si>
    <t>JYNVW7ZBN3R</t>
  </si>
  <si>
    <t>Mary Rose Villadolid</t>
  </si>
  <si>
    <t>561917214</t>
  </si>
  <si>
    <t>F4NYN7QT6KH</t>
  </si>
  <si>
    <t>Sherry Lyn</t>
  </si>
  <si>
    <t>A43402802</t>
  </si>
  <si>
    <t>MQN66HSXMP7</t>
  </si>
  <si>
    <t>Mark Rivera</t>
  </si>
  <si>
    <t>562063359</t>
  </si>
  <si>
    <t>VZNY434FZ9B</t>
  </si>
  <si>
    <t>Marcus Seth Rosales</t>
  </si>
  <si>
    <t>679279295</t>
  </si>
  <si>
    <t>SVNXYL7PM9K</t>
  </si>
  <si>
    <t>Francisco Serrano</t>
  </si>
  <si>
    <t>A61621873</t>
  </si>
  <si>
    <t>TBNGBWJ2CJM</t>
  </si>
  <si>
    <t>Rebecca Rivera</t>
  </si>
  <si>
    <t>568809393</t>
  </si>
  <si>
    <t>6YNSPTRPNR2</t>
  </si>
  <si>
    <t>Cristina Lynn</t>
  </si>
  <si>
    <t>Bruno</t>
  </si>
  <si>
    <t>A58503678</t>
  </si>
  <si>
    <t>NH 6942</t>
  </si>
  <si>
    <t>V7N539ZKSDG</t>
  </si>
  <si>
    <t>Vincent H</t>
  </si>
  <si>
    <t>A59001608</t>
  </si>
  <si>
    <t>FWN97TZDQWV</t>
  </si>
  <si>
    <t>Rosemarie Tuazon</t>
  </si>
  <si>
    <t>Gomes</t>
  </si>
  <si>
    <t>A30362667</t>
  </si>
  <si>
    <t>OZ 713</t>
  </si>
  <si>
    <t>ZWNLJ7Y93PB</t>
  </si>
  <si>
    <t>Odette Gallegos</t>
  </si>
  <si>
    <t>Carbonell</t>
  </si>
  <si>
    <t>586757082</t>
  </si>
  <si>
    <t>78NTH4TQPZY</t>
  </si>
  <si>
    <t>Rudyric Reglos</t>
  </si>
  <si>
    <t>Villacisneros</t>
  </si>
  <si>
    <t>A34765304</t>
  </si>
  <si>
    <t>PVN8H9TMXD6</t>
  </si>
  <si>
    <t>Maria Lourdes Miravite</t>
  </si>
  <si>
    <t>A34765272</t>
  </si>
  <si>
    <t>S2NF78QFQHK</t>
  </si>
  <si>
    <t>Ricky Marion Asuncion</t>
  </si>
  <si>
    <t>Manalo</t>
  </si>
  <si>
    <t>568096283</t>
  </si>
  <si>
    <t>S2NYNQNYWGW</t>
  </si>
  <si>
    <t>Rex Tamayo</t>
  </si>
  <si>
    <t>567024772</t>
  </si>
  <si>
    <t>KQNVCQCC6DR</t>
  </si>
  <si>
    <t>Wilson Lim</t>
  </si>
  <si>
    <t>550065766</t>
  </si>
  <si>
    <t>6YNGM4S237N</t>
  </si>
  <si>
    <t>Aileen Serrano</t>
  </si>
  <si>
    <t>550065767</t>
  </si>
  <si>
    <t>JTNTNMMLDL7</t>
  </si>
  <si>
    <t>Allan Gerardo</t>
  </si>
  <si>
    <t>Mallabo</t>
  </si>
  <si>
    <t>A62588588</t>
  </si>
  <si>
    <t>7TNKVX3JZ7N</t>
  </si>
  <si>
    <t>Michelle Catherine Musngi</t>
  </si>
  <si>
    <t>A68845898</t>
  </si>
  <si>
    <t>4YN39KBM4ZL</t>
  </si>
  <si>
    <t>Arvin</t>
  </si>
  <si>
    <t>Aspera</t>
  </si>
  <si>
    <t>A26370913</t>
  </si>
  <si>
    <t>DZND74HGVVH</t>
  </si>
  <si>
    <t>Shiela Marie</t>
  </si>
  <si>
    <t>A02546660</t>
  </si>
  <si>
    <t>5SNB3TTXQPJ</t>
  </si>
  <si>
    <t>Arviela Sai</t>
  </si>
  <si>
    <t>670748740</t>
  </si>
  <si>
    <t>MDNXJJSTVYZ</t>
  </si>
  <si>
    <t>Tita</t>
  </si>
  <si>
    <t>Tagumpay</t>
  </si>
  <si>
    <t>666407490</t>
  </si>
  <si>
    <t>7HNY68C9Z58</t>
  </si>
  <si>
    <t>Celina S O</t>
  </si>
  <si>
    <t>Saludes</t>
  </si>
  <si>
    <t>683074134`</t>
  </si>
  <si>
    <t>W2NBR2JMBVX</t>
  </si>
  <si>
    <t>Michael Albert</t>
  </si>
  <si>
    <t>A44272693</t>
  </si>
  <si>
    <t>TKNTFR2VQ5P</t>
  </si>
  <si>
    <t>Jesus Equila</t>
  </si>
  <si>
    <t>Asuncion Jr</t>
  </si>
  <si>
    <t>A34597859</t>
  </si>
  <si>
    <t>KE 5214</t>
  </si>
  <si>
    <t>6QN44SDLXRX</t>
  </si>
  <si>
    <t>Jose F O</t>
  </si>
  <si>
    <t>548802030</t>
  </si>
  <si>
    <t>OZ 8944</t>
  </si>
  <si>
    <t>8DN4SD7HQLM</t>
  </si>
  <si>
    <t>John Vincent</t>
  </si>
  <si>
    <t>De Vera</t>
  </si>
  <si>
    <t>562622638</t>
  </si>
  <si>
    <t>JZNMXQRRFRZ</t>
  </si>
  <si>
    <t>Annleizl Blanca</t>
  </si>
  <si>
    <t>Macam</t>
  </si>
  <si>
    <t>A37998842</t>
  </si>
  <si>
    <t>RBN6B4BDKSW</t>
  </si>
  <si>
    <t>Jose Solomon Teope</t>
  </si>
  <si>
    <t>556266259</t>
  </si>
  <si>
    <t>CVNB2MWRGK8</t>
  </si>
  <si>
    <t>Consuelo Olano</t>
  </si>
  <si>
    <t>556266260</t>
  </si>
  <si>
    <t>BNN7YW76R4V</t>
  </si>
  <si>
    <t>Stella</t>
  </si>
  <si>
    <t>Liege</t>
  </si>
  <si>
    <t>582695660</t>
  </si>
  <si>
    <t>2RN8DQFMK3Q</t>
  </si>
  <si>
    <t>Florencia Amacna</t>
  </si>
  <si>
    <t>Griffin</t>
  </si>
  <si>
    <t>A44304896</t>
  </si>
  <si>
    <t>C5NN79SKWTX</t>
  </si>
  <si>
    <t>Carmen Maria</t>
  </si>
  <si>
    <t>Nieves</t>
  </si>
  <si>
    <t>668421070</t>
  </si>
  <si>
    <t>S7NYPHWDR72</t>
  </si>
  <si>
    <t>Loida Jenisse</t>
  </si>
  <si>
    <t>Caraballo</t>
  </si>
  <si>
    <t>A49177865</t>
  </si>
  <si>
    <t>LO-A03</t>
  </si>
  <si>
    <t>F4NLBSF87GK</t>
  </si>
  <si>
    <t>Ogechukwu</t>
  </si>
  <si>
    <t>Okeh-Duru</t>
  </si>
  <si>
    <t>593968132</t>
  </si>
  <si>
    <t>John Woo 1</t>
  </si>
  <si>
    <t>Z4NL6P6N5NJ</t>
  </si>
  <si>
    <t>Loretta</t>
  </si>
  <si>
    <t>Armstrong</t>
  </si>
  <si>
    <t>663988387</t>
  </si>
  <si>
    <t>HPNQKVM5N3X</t>
  </si>
  <si>
    <t>Donovan</t>
  </si>
  <si>
    <t>Brown</t>
  </si>
  <si>
    <t>644897343</t>
  </si>
  <si>
    <t>J9N6P57CG6F</t>
  </si>
  <si>
    <t>Shirly Espartero</t>
  </si>
  <si>
    <t>Alolod</t>
  </si>
  <si>
    <t>679092896</t>
  </si>
  <si>
    <t>Y9NSRQGYRZN</t>
  </si>
  <si>
    <t>Jeremy</t>
  </si>
  <si>
    <t>Sirias</t>
  </si>
  <si>
    <t>658493039</t>
  </si>
  <si>
    <t>BDNH56GR7VJ</t>
  </si>
  <si>
    <t>Andrea Athena</t>
  </si>
  <si>
    <t>Rocha</t>
  </si>
  <si>
    <t>A46865621</t>
  </si>
  <si>
    <t>NVNCCB5QMZ6</t>
  </si>
  <si>
    <t>553920200</t>
  </si>
  <si>
    <t>DMNJ24WJD3Y</t>
  </si>
  <si>
    <t>Anna Kristina</t>
  </si>
  <si>
    <t>Paterniti</t>
  </si>
  <si>
    <t>545191234</t>
  </si>
  <si>
    <t>MLNL485CT2V</t>
  </si>
  <si>
    <t>Eun Sun</t>
  </si>
  <si>
    <t>Yoo</t>
  </si>
  <si>
    <t>Republic of Korea</t>
  </si>
  <si>
    <t>M04808162</t>
  </si>
  <si>
    <t>KE 35</t>
  </si>
  <si>
    <t>G8NJVZXRW5L</t>
  </si>
  <si>
    <t>Gi Chul</t>
  </si>
  <si>
    <t>Kwon</t>
  </si>
  <si>
    <t>A42648203</t>
  </si>
  <si>
    <t>5YNWZ5RJY64</t>
  </si>
  <si>
    <t>Eunice</t>
  </si>
  <si>
    <t>670486831</t>
  </si>
  <si>
    <t>YP 104</t>
  </si>
  <si>
    <t>RKNJQ7B54HJ</t>
  </si>
  <si>
    <t>Ji Sun</t>
  </si>
  <si>
    <t>A42602387</t>
  </si>
  <si>
    <t>7GN7GRMZ49Y</t>
  </si>
  <si>
    <t>Eunsil</t>
  </si>
  <si>
    <t>A11818314</t>
  </si>
  <si>
    <t>OZ 221</t>
  </si>
  <si>
    <t>OZ 224</t>
  </si>
  <si>
    <t>Q6N95X3RX37</t>
  </si>
  <si>
    <t>Dokyung</t>
  </si>
  <si>
    <t>A11818315</t>
  </si>
  <si>
    <t>D6N9S924YHJ</t>
  </si>
  <si>
    <t>Vicky</t>
  </si>
  <si>
    <t>A40869468</t>
  </si>
  <si>
    <t>XNNV3G3X7RH</t>
  </si>
  <si>
    <t>Martha Patricia</t>
  </si>
  <si>
    <t>Coe</t>
  </si>
  <si>
    <t>653755454</t>
  </si>
  <si>
    <t>LHNBWY8PC42</t>
  </si>
  <si>
    <t>Anahi</t>
  </si>
  <si>
    <t>Lobo</t>
  </si>
  <si>
    <t>A46168894</t>
  </si>
  <si>
    <t>SXNHJ3P8R9P</t>
  </si>
  <si>
    <t>Joshua Palacio</t>
  </si>
  <si>
    <t>573518522</t>
  </si>
  <si>
    <t>TBNXQZZZNM8</t>
  </si>
  <si>
    <t>Patricia</t>
  </si>
  <si>
    <t>Estrada</t>
  </si>
  <si>
    <t>544557330</t>
  </si>
  <si>
    <t>LXNYYPRJWN9</t>
  </si>
  <si>
    <t>Maria De La Luz</t>
  </si>
  <si>
    <t>Leyva</t>
  </si>
  <si>
    <t>A30779347</t>
  </si>
  <si>
    <t>HZNVTPDCP4Y</t>
  </si>
  <si>
    <t>Leny Panlican</t>
  </si>
  <si>
    <t>641973516</t>
  </si>
  <si>
    <t>KE 37</t>
  </si>
  <si>
    <t>PHNFL5MB8F5</t>
  </si>
  <si>
    <t>Eugene Cortez</t>
  </si>
  <si>
    <t>641973518</t>
  </si>
  <si>
    <t>4TN9Z9MDDX2</t>
  </si>
  <si>
    <t>Chinedu Johnson</t>
  </si>
  <si>
    <t>Orji</t>
  </si>
  <si>
    <t>B03696500</t>
  </si>
  <si>
    <t>3CNSYTSCDBH</t>
  </si>
  <si>
    <t>Ventura Emmanuel</t>
  </si>
  <si>
    <t>Uitz</t>
  </si>
  <si>
    <t>CA 123</t>
  </si>
  <si>
    <t>PFN4HM3R4JQ</t>
  </si>
  <si>
    <t>Ernesto Barajas</t>
  </si>
  <si>
    <t>Bumanlag</t>
  </si>
  <si>
    <t>551412540</t>
  </si>
  <si>
    <t>LMN42CJRK4T</t>
  </si>
  <si>
    <t>Marie Grace</t>
  </si>
  <si>
    <t>Infante</t>
  </si>
  <si>
    <t>A71719118</t>
  </si>
  <si>
    <t>VHNDY7SX7P8</t>
  </si>
  <si>
    <t>John Sung</t>
  </si>
  <si>
    <t>Woo</t>
  </si>
  <si>
    <t>A55120847</t>
  </si>
  <si>
    <t>N3N82YTFH69</t>
  </si>
  <si>
    <t>Juliana Sung</t>
  </si>
  <si>
    <t>A21643728</t>
  </si>
  <si>
    <t>GCNPBYQ4VLL</t>
  </si>
  <si>
    <t>Simon Kyung</t>
  </si>
  <si>
    <t>590686625</t>
  </si>
  <si>
    <t>KE 1250</t>
  </si>
  <si>
    <t>99NBQ6HJZRQ</t>
  </si>
  <si>
    <t>Jose</t>
  </si>
  <si>
    <t>Ortiz</t>
  </si>
  <si>
    <t>A09755281</t>
  </si>
  <si>
    <t>CX 434</t>
  </si>
  <si>
    <t>TKNZDPXPNC9</t>
  </si>
  <si>
    <t>Ana Beatriz</t>
  </si>
  <si>
    <t>531651971</t>
  </si>
  <si>
    <t>8VNP69W5HZH</t>
  </si>
  <si>
    <t>Valencia</t>
  </si>
  <si>
    <t>A330401</t>
  </si>
  <si>
    <t>BMNVJ9VGSJH</t>
  </si>
  <si>
    <t>Marlo John</t>
  </si>
  <si>
    <t>Aragon</t>
  </si>
  <si>
    <t>576294137</t>
  </si>
  <si>
    <t>OZ 133</t>
  </si>
  <si>
    <t>WHNQ2FNXNXG</t>
  </si>
  <si>
    <t>Honorio Reas</t>
  </si>
  <si>
    <t>Aragon Jr.</t>
  </si>
  <si>
    <t>554387813</t>
  </si>
  <si>
    <t>SCNH67N3FSY</t>
  </si>
  <si>
    <t>Marylou Mijares</t>
  </si>
  <si>
    <t>647566416</t>
  </si>
  <si>
    <t>Z6NXJCY5LHM</t>
  </si>
  <si>
    <t>Johanna</t>
  </si>
  <si>
    <t>A32825194</t>
  </si>
  <si>
    <t>RXNC8QGS779</t>
  </si>
  <si>
    <t>Helen Salvador</t>
  </si>
  <si>
    <t>Manusig</t>
  </si>
  <si>
    <t>A42173204</t>
  </si>
  <si>
    <t>YTN9SFXJWVP</t>
  </si>
  <si>
    <t>Shekinah Angela</t>
  </si>
  <si>
    <t>675688817</t>
  </si>
  <si>
    <t>2NNQD34N7RM</t>
  </si>
  <si>
    <t>Josephine Lenore Astete</t>
  </si>
  <si>
    <t>587822802</t>
  </si>
  <si>
    <t>Z6NY686TQPJ</t>
  </si>
  <si>
    <t>Ronald Mendoza</t>
  </si>
  <si>
    <t>590746470</t>
  </si>
  <si>
    <t>YVNGRXLNL7X</t>
  </si>
  <si>
    <t>Vittorio Jose Astete</t>
  </si>
  <si>
    <t>A11921625</t>
  </si>
  <si>
    <t>3LNV3BBW9MJ</t>
  </si>
  <si>
    <t>Moira Ysabelle Salonga</t>
  </si>
  <si>
    <t>671060990</t>
  </si>
  <si>
    <t>L8NH69LTG4N</t>
  </si>
  <si>
    <t>Lynette Rebuelta</t>
  </si>
  <si>
    <t>Astete</t>
  </si>
  <si>
    <t>596151541</t>
  </si>
  <si>
    <t>P5NKK33W9JJ</t>
  </si>
  <si>
    <t>Leandro Esdicul</t>
  </si>
  <si>
    <t>596151540</t>
  </si>
  <si>
    <t>6FNS59GQQ92</t>
  </si>
  <si>
    <t>Maria Salvacion</t>
  </si>
  <si>
    <t>Moscoso</t>
  </si>
  <si>
    <t>572817024</t>
  </si>
  <si>
    <t>7C 126</t>
  </si>
  <si>
    <t>ZFNBZZZ9M67</t>
  </si>
  <si>
    <t>Arnel Quilino</t>
  </si>
  <si>
    <t>572817023</t>
  </si>
  <si>
    <t>WSNNMN5ZMSN</t>
  </si>
  <si>
    <t>Heran Her</t>
  </si>
  <si>
    <t>A61055699</t>
  </si>
  <si>
    <t>88NSHL6QQR7</t>
  </si>
  <si>
    <t>Teresa Halog</t>
  </si>
  <si>
    <t>A09647986</t>
  </si>
  <si>
    <t>8RNGVQSPKJX</t>
  </si>
  <si>
    <t>Elsha Mahr</t>
  </si>
  <si>
    <t>677328567</t>
  </si>
  <si>
    <t>S8NDB5G5V9V</t>
  </si>
  <si>
    <t>Elisha</t>
  </si>
  <si>
    <t>A17303911</t>
  </si>
  <si>
    <t>5VN56SBGNW8</t>
  </si>
  <si>
    <t>Carmelita</t>
  </si>
  <si>
    <t>De Castro</t>
  </si>
  <si>
    <t>A60496498</t>
  </si>
  <si>
    <t>F4NVYPRHTQ7</t>
  </si>
  <si>
    <t>Layni</t>
  </si>
  <si>
    <t>Damasco</t>
  </si>
  <si>
    <t>657822427</t>
  </si>
  <si>
    <t>T8N72BPHJVR</t>
  </si>
  <si>
    <t>Ingrid P</t>
  </si>
  <si>
    <t>Santa Maria</t>
  </si>
  <si>
    <t>A17871480</t>
  </si>
  <si>
    <t>4GN7KHLC723</t>
  </si>
  <si>
    <t>555917100</t>
  </si>
  <si>
    <t>QJNJ733DP2M</t>
  </si>
  <si>
    <t>Francisco Bayawa</t>
  </si>
  <si>
    <t>Fuentes</t>
  </si>
  <si>
    <t>P8154756A</t>
  </si>
  <si>
    <t>9KNPCY4VCB9</t>
  </si>
  <si>
    <t>Natividad Gulla</t>
  </si>
  <si>
    <t>Alba</t>
  </si>
  <si>
    <t>680206374</t>
  </si>
  <si>
    <t>ZXNMQT9TQWC</t>
  </si>
  <si>
    <t>Anita</t>
  </si>
  <si>
    <t>Garduque</t>
  </si>
  <si>
    <t>679613421</t>
  </si>
  <si>
    <t>FBN9WD4YWT9</t>
  </si>
  <si>
    <t>Blanco</t>
  </si>
  <si>
    <t>665232297</t>
  </si>
  <si>
    <t>H8N8H8LZWX9</t>
  </si>
  <si>
    <t>Elenita</t>
  </si>
  <si>
    <t>Penano</t>
  </si>
  <si>
    <t>665232296</t>
  </si>
  <si>
    <t>MDNM6NFSRXR</t>
  </si>
  <si>
    <t>Thomas Taesuk</t>
  </si>
  <si>
    <t>3NN2MQFJST4</t>
  </si>
  <si>
    <t>Ulysses</t>
  </si>
  <si>
    <t>Edmond</t>
  </si>
  <si>
    <t>L5NVKVVDM67</t>
  </si>
  <si>
    <t>Rocio</t>
  </si>
  <si>
    <t>De La Cruz</t>
  </si>
  <si>
    <t>576822961</t>
  </si>
  <si>
    <t>6LN4PJY5M2J</t>
  </si>
  <si>
    <t>Bettie Coleman</t>
  </si>
  <si>
    <t>Arbaiza</t>
  </si>
  <si>
    <t>A00068521</t>
  </si>
  <si>
    <t>VMNK84XVD3D</t>
  </si>
  <si>
    <t>Vinh</t>
  </si>
  <si>
    <t>AT851989</t>
  </si>
  <si>
    <t>5J 188</t>
  </si>
  <si>
    <t>2LNMZHRJZND</t>
  </si>
  <si>
    <t>Maureen May Johnson</t>
  </si>
  <si>
    <t>Malecon</t>
  </si>
  <si>
    <t>HP693785</t>
  </si>
  <si>
    <t>V7NZ6KRTSGK</t>
  </si>
  <si>
    <t>Michelle P</t>
  </si>
  <si>
    <t>542915737</t>
  </si>
  <si>
    <t>7LNTBZ3TR3G</t>
  </si>
  <si>
    <t>Kimberly Yeon</t>
  </si>
  <si>
    <t>A55001502</t>
  </si>
  <si>
    <t>M5NXYG3KS3V</t>
  </si>
  <si>
    <t>Hortence</t>
  </si>
  <si>
    <t>Murray</t>
  </si>
  <si>
    <t>554513394</t>
  </si>
  <si>
    <t>3ZNKPLBS7Q6</t>
  </si>
  <si>
    <t>Kyneta Cherie</t>
  </si>
  <si>
    <t>A21744926</t>
  </si>
  <si>
    <t>KMNVNTSLW54</t>
  </si>
  <si>
    <t>Sonya</t>
  </si>
  <si>
    <t>Campbell</t>
  </si>
  <si>
    <t>598923101</t>
  </si>
  <si>
    <t>H5NN6H5SK59</t>
  </si>
  <si>
    <t>Dolly</t>
  </si>
  <si>
    <t>Cooper</t>
  </si>
  <si>
    <t>569472519</t>
  </si>
  <si>
    <t>8PNG5SQB244</t>
  </si>
  <si>
    <t>Yvette Ferrer</t>
  </si>
  <si>
    <t>Laquihon</t>
  </si>
  <si>
    <t>563135505</t>
  </si>
  <si>
    <t>N6NWG6HXW6H</t>
  </si>
  <si>
    <t>Jeane Gahon</t>
  </si>
  <si>
    <t>Penfold</t>
  </si>
  <si>
    <t>682583803</t>
  </si>
  <si>
    <t>LO-A07</t>
  </si>
  <si>
    <t>PXNCBMZMDW5</t>
  </si>
  <si>
    <t>Ahsan</t>
  </si>
  <si>
    <t>Qutub</t>
  </si>
  <si>
    <t>P892033QS</t>
  </si>
  <si>
    <t>7C 118</t>
  </si>
  <si>
    <t>John Woo 2</t>
  </si>
  <si>
    <t>6QN7PT6JST9</t>
  </si>
  <si>
    <t>Kamrun</t>
  </si>
  <si>
    <t>Nahar</t>
  </si>
  <si>
    <t>HK846524</t>
  </si>
  <si>
    <t>RMNN96J8R3H</t>
  </si>
  <si>
    <t>Kading Thong</t>
  </si>
  <si>
    <t>Kongmany</t>
  </si>
  <si>
    <t>AJ437536</t>
  </si>
  <si>
    <t>KE 651</t>
  </si>
  <si>
    <t>J8NYC9CPT6V</t>
  </si>
  <si>
    <t>Sinouane</t>
  </si>
  <si>
    <t>AK742802</t>
  </si>
  <si>
    <t>VTN4VLN4FNM</t>
  </si>
  <si>
    <t>Benedict</t>
  </si>
  <si>
    <t>P243326LS</t>
  </si>
  <si>
    <t>BQNMCQRYL3D</t>
  </si>
  <si>
    <t>Fehr-Krahn</t>
  </si>
  <si>
    <t>HH428532</t>
  </si>
  <si>
    <t>CHNJ3XD6QMS</t>
  </si>
  <si>
    <t>Rakesh Kumar</t>
  </si>
  <si>
    <t>Mishra</t>
  </si>
  <si>
    <t>HP684783</t>
  </si>
  <si>
    <t>B5N33TVJ8KD</t>
  </si>
  <si>
    <t>Roxann</t>
  </si>
  <si>
    <t>Hinds</t>
  </si>
  <si>
    <t>AC436264</t>
  </si>
  <si>
    <t>YRNZGPMBNFN</t>
  </si>
  <si>
    <t>Leah</t>
  </si>
  <si>
    <t>Hinds-Peart</t>
  </si>
  <si>
    <t>AY070648</t>
  </si>
  <si>
    <t>36N27YP64MM</t>
  </si>
  <si>
    <t>Stacy Ann</t>
  </si>
  <si>
    <t>Thomas-Guthrie</t>
  </si>
  <si>
    <t>AC312893</t>
  </si>
  <si>
    <t>Q5NLSHNWVNV</t>
  </si>
  <si>
    <t>Odetta</t>
  </si>
  <si>
    <t>King</t>
  </si>
  <si>
    <t>660108961</t>
  </si>
  <si>
    <t>Y5N6MYSMCNZ</t>
  </si>
  <si>
    <t>Homalatha</t>
  </si>
  <si>
    <t>Selvakumar</t>
  </si>
  <si>
    <t>P181188LS</t>
  </si>
  <si>
    <t>7C 127</t>
  </si>
  <si>
    <t>XSNBW4M5WDM</t>
  </si>
  <si>
    <t>Krisha</t>
  </si>
  <si>
    <t>AY108668</t>
  </si>
  <si>
    <t>PTNPBHVLN6T</t>
  </si>
  <si>
    <t>Asha</t>
  </si>
  <si>
    <t>AN283264</t>
  </si>
  <si>
    <t>ZSNSJ4Z4TV9</t>
  </si>
  <si>
    <t>Luxsiga</t>
  </si>
  <si>
    <t>Nadarajah</t>
  </si>
  <si>
    <t>P716023LS</t>
  </si>
  <si>
    <t>F3NF56HQDJV</t>
  </si>
  <si>
    <t>Rakesh</t>
  </si>
  <si>
    <t>Thanakunnath Kana</t>
  </si>
  <si>
    <t>P108000NW</t>
  </si>
  <si>
    <t>LJ 510</t>
  </si>
  <si>
    <t>9NN3W6NFFK9</t>
  </si>
  <si>
    <t>Jenny</t>
  </si>
  <si>
    <t>AM451286</t>
  </si>
  <si>
    <t>F5NHW6WLD98</t>
  </si>
  <si>
    <t>Eva</t>
  </si>
  <si>
    <t>Kana</t>
  </si>
  <si>
    <t>AM451172</t>
  </si>
  <si>
    <t>LGNMNVZ3MMK</t>
  </si>
  <si>
    <t>Edd</t>
  </si>
  <si>
    <t>P814556NW</t>
  </si>
  <si>
    <t>4LNCD8PCXTB</t>
  </si>
  <si>
    <t>Kannampuzhath Jamaludheen</t>
  </si>
  <si>
    <t>Sirajudheen</t>
  </si>
  <si>
    <t>P787982FS</t>
  </si>
  <si>
    <t>PLNVBZB2CNK</t>
  </si>
  <si>
    <t>Murali</t>
  </si>
  <si>
    <t>Narayanan</t>
  </si>
  <si>
    <t>HK594287</t>
  </si>
  <si>
    <t>PNN2B3HQVVQ</t>
  </si>
  <si>
    <t>Mahaledchumy</t>
  </si>
  <si>
    <t>Mylvaganam</t>
  </si>
  <si>
    <t>P479715QS</t>
  </si>
  <si>
    <t>7DN43HQ8YPH</t>
  </si>
  <si>
    <t>Harishanth</t>
  </si>
  <si>
    <t>AY113633</t>
  </si>
  <si>
    <t>M3NS38Y2WSP</t>
  </si>
  <si>
    <t>Sang Yeon</t>
  </si>
  <si>
    <t>Yoon</t>
  </si>
  <si>
    <t>P302773NG</t>
  </si>
  <si>
    <t>DDNKSX9PG47</t>
  </si>
  <si>
    <t>Ilwan</t>
  </si>
  <si>
    <t>Yun</t>
  </si>
  <si>
    <t>M19112800</t>
  </si>
  <si>
    <t>2VN7VLWHNC7</t>
  </si>
  <si>
    <t>Iljae</t>
  </si>
  <si>
    <t>M03728078</t>
  </si>
  <si>
    <t>R8NKFNCV35Q</t>
  </si>
  <si>
    <t>Gyunghwa</t>
  </si>
  <si>
    <t>Jeon</t>
  </si>
  <si>
    <t>M48153044</t>
  </si>
  <si>
    <t>6XN5JYGNLXF</t>
  </si>
  <si>
    <t>Il Su</t>
  </si>
  <si>
    <t>M55186525</t>
  </si>
  <si>
    <t>YLNZBWJY37W</t>
  </si>
  <si>
    <t>Youngran</t>
  </si>
  <si>
    <t>Baek</t>
  </si>
  <si>
    <t>M379R8647</t>
  </si>
  <si>
    <t>TSNN69DT4TF</t>
  </si>
  <si>
    <t>Leogo</t>
  </si>
  <si>
    <t>AT254106</t>
  </si>
  <si>
    <t>6DNDND4XY2G</t>
  </si>
  <si>
    <t>Alberto Valencia</t>
  </si>
  <si>
    <t>AJ986176</t>
  </si>
  <si>
    <t>CLND4JXN673</t>
  </si>
  <si>
    <t>Alliza Maryz</t>
  </si>
  <si>
    <t>AT210218</t>
  </si>
  <si>
    <t>55NCXS775MF</t>
  </si>
  <si>
    <t>Mariah Alisa</t>
  </si>
  <si>
    <t>Ramlogan</t>
  </si>
  <si>
    <t>AD063357</t>
  </si>
  <si>
    <t>LO-A08</t>
  </si>
  <si>
    <t>7GNZPJNFHX7</t>
  </si>
  <si>
    <t>Johnson Ola</t>
  </si>
  <si>
    <t>Olaniyi</t>
  </si>
  <si>
    <t>P785744FS</t>
  </si>
  <si>
    <t>Johnson Olaniyi</t>
  </si>
  <si>
    <t>TKNMX4FH8D4</t>
  </si>
  <si>
    <t>Victoria Edile</t>
  </si>
  <si>
    <t>Akinkuade</t>
  </si>
  <si>
    <t>P435596ED</t>
  </si>
  <si>
    <t>LO-A09</t>
  </si>
  <si>
    <t>28NZ4P29F8M</t>
  </si>
  <si>
    <t>Babatunde Emmanuel</t>
  </si>
  <si>
    <t>Aremu</t>
  </si>
  <si>
    <t>676279246</t>
  </si>
  <si>
    <t>ET 673</t>
  </si>
  <si>
    <t>Kenny Sowunmi</t>
  </si>
  <si>
    <t>7YN9987FX8Z</t>
  </si>
  <si>
    <t>Mofoluwake Bunmi</t>
  </si>
  <si>
    <t>565119558</t>
  </si>
  <si>
    <t>KMNQ6RPRTVF</t>
  </si>
  <si>
    <t>Toyin Awolola</t>
  </si>
  <si>
    <t>Osaro</t>
  </si>
  <si>
    <t>592472112</t>
  </si>
  <si>
    <t>QGN2LHW64JZ</t>
  </si>
  <si>
    <t>Josephine Ibiyemi</t>
  </si>
  <si>
    <t>546041810</t>
  </si>
  <si>
    <t>Z4NYGZVKNMF</t>
  </si>
  <si>
    <t>Obafemi Adebayo</t>
  </si>
  <si>
    <t>Ogunbote</t>
  </si>
  <si>
    <t>PH003552</t>
  </si>
  <si>
    <t>MGNCD33XRT2</t>
  </si>
  <si>
    <t>Ikponmwosa Christopher</t>
  </si>
  <si>
    <t>Asuen</t>
  </si>
  <si>
    <t>AS398469</t>
  </si>
  <si>
    <t>AC 63 on 12 Sep</t>
  </si>
  <si>
    <t>C5NVM6C28XH</t>
  </si>
  <si>
    <t>Gabriella Ebiagbere</t>
  </si>
  <si>
    <t>Bashorun</t>
  </si>
  <si>
    <t>A39620922</t>
  </si>
  <si>
    <t>9ZNRKQWBWHC</t>
  </si>
  <si>
    <t>Olaperi Tomilola</t>
  </si>
  <si>
    <t>Ojajuni</t>
  </si>
  <si>
    <t>AB948780</t>
  </si>
  <si>
    <t>CHN8V4F6KDL</t>
  </si>
  <si>
    <t>Olabisi Ayodeji</t>
  </si>
  <si>
    <t>Ogunwale</t>
  </si>
  <si>
    <t>AN345373</t>
  </si>
  <si>
    <t>KE 73</t>
  </si>
  <si>
    <t>CWNNB8MBTHQ</t>
  </si>
  <si>
    <t>Oluwaseun Adegboyega</t>
  </si>
  <si>
    <t>Lawal</t>
  </si>
  <si>
    <t>663955422</t>
  </si>
  <si>
    <t>PWN39QQZR6C</t>
  </si>
  <si>
    <t>Sofela Kehinde</t>
  </si>
  <si>
    <t>Sowunmi</t>
  </si>
  <si>
    <t>PA507030</t>
  </si>
  <si>
    <t>N5NFYSCCCGH</t>
  </si>
  <si>
    <t>Abisola Ayodele</t>
  </si>
  <si>
    <t>PA507043</t>
  </si>
  <si>
    <t>WVNTYZR88N2</t>
  </si>
  <si>
    <t>Oluwasegun Opeyemi</t>
  </si>
  <si>
    <t>Ogunmola</t>
  </si>
  <si>
    <t>AW125116</t>
  </si>
  <si>
    <t>63N7626FNT5</t>
  </si>
  <si>
    <t>Omolola Abiodun</t>
  </si>
  <si>
    <t>AW125114</t>
  </si>
  <si>
    <t>XHND5XXDPLH</t>
  </si>
  <si>
    <t>Oluwatimileyin Paul</t>
  </si>
  <si>
    <t>AW125117</t>
  </si>
  <si>
    <t>JVND2HGXMDC</t>
  </si>
  <si>
    <t>Oluwatishe Samuel</t>
  </si>
  <si>
    <t>AW125113</t>
  </si>
  <si>
    <t>87NRPNB8RMM</t>
  </si>
  <si>
    <t>Ernest Olamide</t>
  </si>
  <si>
    <t>Ayeni</t>
  </si>
  <si>
    <t>B50748464</t>
  </si>
  <si>
    <t>VMNV2XCM5PK</t>
  </si>
  <si>
    <t>Ayomikun Abiodun</t>
  </si>
  <si>
    <t>Omoboye</t>
  </si>
  <si>
    <t>P022828FS</t>
  </si>
  <si>
    <t>M8N9JDNBY6F</t>
  </si>
  <si>
    <t>Oyinkansoye Adesola</t>
  </si>
  <si>
    <t>P036352FS</t>
  </si>
  <si>
    <t>RYN9CD3Y5C6</t>
  </si>
  <si>
    <t>Olutosin Okanlawon</t>
  </si>
  <si>
    <t>Sulola</t>
  </si>
  <si>
    <t>HD933479</t>
  </si>
  <si>
    <t>NQNWKYXPP99</t>
  </si>
  <si>
    <t>Risikat Omobolanle</t>
  </si>
  <si>
    <t>HD933484</t>
  </si>
  <si>
    <t>GGNDW8SHB52</t>
  </si>
  <si>
    <t>Oluwole</t>
  </si>
  <si>
    <t>Oyeleke</t>
  </si>
  <si>
    <t>B51071423</t>
  </si>
  <si>
    <t>VTNNK7ZYQ38</t>
  </si>
  <si>
    <t>Fiyinfoluwa Alero</t>
  </si>
  <si>
    <t>Omojola</t>
  </si>
  <si>
    <t>B00628026</t>
  </si>
  <si>
    <t>LO-A10</t>
  </si>
  <si>
    <t>9QNJ39S8CNY</t>
  </si>
  <si>
    <t>Babatope Joseph</t>
  </si>
  <si>
    <t>Olagunju</t>
  </si>
  <si>
    <t>AG932305</t>
  </si>
  <si>
    <t>Olajumoke Seriki</t>
  </si>
  <si>
    <t>23NT333945T</t>
  </si>
  <si>
    <t>AG932307</t>
  </si>
  <si>
    <t>Q6NRY88GM98</t>
  </si>
  <si>
    <t>Adedoyin</t>
  </si>
  <si>
    <t>Banjo</t>
  </si>
  <si>
    <t>AE919856</t>
  </si>
  <si>
    <t>GSNPY86NL79</t>
  </si>
  <si>
    <t>Olufemi</t>
  </si>
  <si>
    <t>AE918726</t>
  </si>
  <si>
    <t>LDNTWH6NVS7</t>
  </si>
  <si>
    <t>Ene Comfort</t>
  </si>
  <si>
    <t>Ochigbo</t>
  </si>
  <si>
    <t>PG532629</t>
  </si>
  <si>
    <t>MTNCLHNGRTN</t>
  </si>
  <si>
    <t>Rahmat Abisoye</t>
  </si>
  <si>
    <t>Hassan</t>
  </si>
  <si>
    <t>B03105080</t>
  </si>
  <si>
    <t>MZN6SQWKWK5</t>
  </si>
  <si>
    <t>Joy</t>
  </si>
  <si>
    <t>Enang</t>
  </si>
  <si>
    <t>PG504730</t>
  </si>
  <si>
    <t>TNNFD9FCHP2</t>
  </si>
  <si>
    <t>Omoegie Christiana</t>
  </si>
  <si>
    <t>Oji</t>
  </si>
  <si>
    <t>A44520269</t>
  </si>
  <si>
    <t>4CNS4TKSHJ7</t>
  </si>
  <si>
    <t>Olajumoke Sherifat</t>
  </si>
  <si>
    <t>Seriki</t>
  </si>
  <si>
    <t>P265236LS</t>
  </si>
  <si>
    <t>7C 106</t>
  </si>
  <si>
    <t>3QNKCBGWBR2</t>
  </si>
  <si>
    <t>Waheed Akanni</t>
  </si>
  <si>
    <t>P081784NW</t>
  </si>
  <si>
    <t>XPN8Y7BYW63</t>
  </si>
  <si>
    <t>Oluwakemi Omotayo</t>
  </si>
  <si>
    <t>Adedipe</t>
  </si>
  <si>
    <t>P371947ED</t>
  </si>
  <si>
    <t>PJNWYBCL468</t>
  </si>
  <si>
    <t>Adewale Ayodeji</t>
  </si>
  <si>
    <t>P417569NW</t>
  </si>
  <si>
    <t>LO-A11</t>
  </si>
  <si>
    <t>JWNGZKBN66L</t>
  </si>
  <si>
    <t>Chimuche Freedom</t>
  </si>
  <si>
    <t>Nwosu</t>
  </si>
  <si>
    <t>A12812418</t>
  </si>
  <si>
    <t>7C 2504</t>
  </si>
  <si>
    <t>Oluwasegun Makinde</t>
  </si>
  <si>
    <t>GDNCSZ73Z9Z</t>
  </si>
  <si>
    <t>Chiamaka Vivian</t>
  </si>
  <si>
    <t>Chimuche</t>
  </si>
  <si>
    <t>B03535854</t>
  </si>
  <si>
    <t>6KNMV228GSV</t>
  </si>
  <si>
    <t>Fikunola</t>
  </si>
  <si>
    <t>Makinde</t>
  </si>
  <si>
    <t>AW136294</t>
  </si>
  <si>
    <t>KE 5007</t>
  </si>
  <si>
    <t>6YN496LHSD4</t>
  </si>
  <si>
    <t>Oluwasegun Micheal</t>
  </si>
  <si>
    <t>AW115147</t>
  </si>
  <si>
    <t>DTN22M4D2HF</t>
  </si>
  <si>
    <t>Moses</t>
  </si>
  <si>
    <t>Uffor</t>
  </si>
  <si>
    <t>AT498208</t>
  </si>
  <si>
    <t>JHN4CBCCZH2</t>
  </si>
  <si>
    <t>Charles Bassey</t>
  </si>
  <si>
    <t>Adautin</t>
  </si>
  <si>
    <t>P308960ED</t>
  </si>
  <si>
    <t>C6NCMLX2GVP</t>
  </si>
  <si>
    <t>Osazee Paul</t>
  </si>
  <si>
    <t>Idada</t>
  </si>
  <si>
    <t>AS116415</t>
  </si>
  <si>
    <t>KHNW7DMN5PX</t>
  </si>
  <si>
    <t>Iyobosa Queennette</t>
  </si>
  <si>
    <t>AW145775</t>
  </si>
  <si>
    <t>SGNZXGRWDWG</t>
  </si>
  <si>
    <t>Vivian Ogechukwu</t>
  </si>
  <si>
    <t>Elifoh</t>
  </si>
  <si>
    <t>P566496FS</t>
  </si>
  <si>
    <t>KE 652</t>
  </si>
  <si>
    <t>PFN5ZTNMHXP</t>
  </si>
  <si>
    <t>P566531FS</t>
  </si>
  <si>
    <t>4SNZGXXSS69</t>
  </si>
  <si>
    <t>Victor Ifegwu</t>
  </si>
  <si>
    <t>Eziyi</t>
  </si>
  <si>
    <t>B50031800</t>
  </si>
  <si>
    <t>8RN3TGGVN48</t>
  </si>
  <si>
    <t>Ure Kalu</t>
  </si>
  <si>
    <t>P356066LS</t>
  </si>
  <si>
    <t>LO-A04</t>
  </si>
  <si>
    <t>QBNS6XZMWPN</t>
  </si>
  <si>
    <t>Leticia Bernales</t>
  </si>
  <si>
    <t>665905573</t>
  </si>
  <si>
    <t>Philip Boyles</t>
  </si>
  <si>
    <t>R8NWNXZ9C8V</t>
  </si>
  <si>
    <t>Cecile Faith</t>
  </si>
  <si>
    <t>A01909567</t>
  </si>
  <si>
    <t>66ND54QJS6V</t>
  </si>
  <si>
    <t>Derek Austin M</t>
  </si>
  <si>
    <t>Tacason</t>
  </si>
  <si>
    <t>A04001368</t>
  </si>
  <si>
    <t>RJNMSVWW3VR</t>
  </si>
  <si>
    <t>Kaylene Ann</t>
  </si>
  <si>
    <t>Talens</t>
  </si>
  <si>
    <t>A35569967</t>
  </si>
  <si>
    <t>D3N6RJR7HDK</t>
  </si>
  <si>
    <t>Evangelina Baguinon</t>
  </si>
  <si>
    <t>Parambita Milner</t>
  </si>
  <si>
    <t>670478573</t>
  </si>
  <si>
    <t>KE 951</t>
  </si>
  <si>
    <t>S8NHNDPBPST</t>
  </si>
  <si>
    <t>Mark Allen</t>
  </si>
  <si>
    <t>Milner</t>
  </si>
  <si>
    <t>A53984525</t>
  </si>
  <si>
    <t>KMN34TY8Z4K</t>
  </si>
  <si>
    <t>Boyles</t>
  </si>
  <si>
    <t>650064971</t>
  </si>
  <si>
    <t>KE 1270</t>
  </si>
  <si>
    <t>33NWXYC9DHZ</t>
  </si>
  <si>
    <t>Juvelyn</t>
  </si>
  <si>
    <t>A04300167</t>
  </si>
  <si>
    <t>LO-A12</t>
  </si>
  <si>
    <t>FMNQVXYVJDB</t>
  </si>
  <si>
    <t>Ngalot</t>
  </si>
  <si>
    <t>P749264QS</t>
  </si>
  <si>
    <t>PR 484</t>
  </si>
  <si>
    <t>Que Yazdani</t>
  </si>
  <si>
    <t>Next door wz Gahob, Ramon Jr - YRNFDRZLG7K</t>
  </si>
  <si>
    <t>WPNM2GSWZBN</t>
  </si>
  <si>
    <t>Miguel Bestis</t>
  </si>
  <si>
    <t>P708806PC</t>
  </si>
  <si>
    <t>YRNFDRZLG7K</t>
  </si>
  <si>
    <t>Ramon Jr</t>
  </si>
  <si>
    <t>Gahob</t>
  </si>
  <si>
    <t>AS660381</t>
  </si>
  <si>
    <t>Next door wz Ngalot, Alicia - FMNQVXYVJDB</t>
  </si>
  <si>
    <t>8CNM8X8J27W</t>
  </si>
  <si>
    <t>Mary April</t>
  </si>
  <si>
    <t>Ngalot-Gahob</t>
  </si>
  <si>
    <t>P820064QS</t>
  </si>
  <si>
    <t>NMNCFQVXS26</t>
  </si>
  <si>
    <t>Kai Asher</t>
  </si>
  <si>
    <t>P195718BI</t>
  </si>
  <si>
    <t>5CN469633Q9</t>
  </si>
  <si>
    <t>Misagh</t>
  </si>
  <si>
    <t>Heidari Gezik</t>
  </si>
  <si>
    <t>HL929298</t>
  </si>
  <si>
    <t>TW 531</t>
  </si>
  <si>
    <t>T4N9ZMV2RRP</t>
  </si>
  <si>
    <t>Armin</t>
  </si>
  <si>
    <t>Mohasel Soltani</t>
  </si>
  <si>
    <t>AD901575</t>
  </si>
  <si>
    <t>C2NJMWJ5SD7</t>
  </si>
  <si>
    <t>Shahnaz</t>
  </si>
  <si>
    <t>Zafaranzadeh Attar</t>
  </si>
  <si>
    <t>AK302774</t>
  </si>
  <si>
    <t>WVNNHWYL4G3</t>
  </si>
  <si>
    <t>Mahdi</t>
  </si>
  <si>
    <t>Babaei</t>
  </si>
  <si>
    <t>AS505442</t>
  </si>
  <si>
    <t>Y2NQ5TYH2SG</t>
  </si>
  <si>
    <t>Mohammed Ali</t>
  </si>
  <si>
    <t>Rezazadeh</t>
  </si>
  <si>
    <t>HP434406</t>
  </si>
  <si>
    <t>Q7NXJJCZ5LR</t>
  </si>
  <si>
    <t>Fernanda Bastos Lopes</t>
  </si>
  <si>
    <t>AS545883</t>
  </si>
  <si>
    <t>ROOM LIST FOR THE PLAZA_GROUP A</t>
  </si>
  <si>
    <t xml:space="preserve">THE PLAZA </t>
  </si>
  <si>
    <t>ROOM CATEGORY</t>
  </si>
  <si>
    <t>REMARK</t>
  </si>
  <si>
    <t>AG-A01</t>
  </si>
  <si>
    <t>DPNWTMZCVWN</t>
  </si>
  <si>
    <t>Laureano</t>
  </si>
  <si>
    <t>Peralta</t>
  </si>
  <si>
    <t>A33607886</t>
  </si>
  <si>
    <t>Next door with Lawrence</t>
  </si>
  <si>
    <t>OZ 708</t>
  </si>
  <si>
    <t>OZ 707</t>
  </si>
  <si>
    <t>Bobot Peralta</t>
  </si>
  <si>
    <t>THE PLAZA</t>
  </si>
  <si>
    <t>Premier Suite</t>
  </si>
  <si>
    <t>4PNKKDXXGY6</t>
  </si>
  <si>
    <t>A33607887</t>
  </si>
  <si>
    <t>C5NXK2JTYZZ</t>
  </si>
  <si>
    <t>Lawrence Patrick</t>
  </si>
  <si>
    <t>A57990599</t>
  </si>
  <si>
    <t>Next door with Laureano</t>
  </si>
  <si>
    <t>7C 2108</t>
  </si>
  <si>
    <t>OZ 178</t>
  </si>
  <si>
    <t>Deluxe King</t>
  </si>
  <si>
    <t>2ZNTL3B8BKZ</t>
  </si>
  <si>
    <t>Lorna Cortabista</t>
  </si>
  <si>
    <t>557628242</t>
  </si>
  <si>
    <t>7HNVR5B4LLL</t>
  </si>
  <si>
    <t>Catherine Cabungcal</t>
  </si>
  <si>
    <t>Pagdanganan</t>
  </si>
  <si>
    <t>A58206365</t>
  </si>
  <si>
    <t>MQNY2KXTY9C</t>
  </si>
  <si>
    <t>Peter Fernandez</t>
  </si>
  <si>
    <t>577804687</t>
  </si>
  <si>
    <t>7ZNY8SQJZQY</t>
  </si>
  <si>
    <t>David Ryan Cabungcal</t>
  </si>
  <si>
    <t>A46829136</t>
  </si>
  <si>
    <t>Business King</t>
  </si>
  <si>
    <t>HTNCKP5YC78</t>
  </si>
  <si>
    <t>Darwin Paul Cabungcal</t>
  </si>
  <si>
    <t>A46829137</t>
  </si>
  <si>
    <t>P8N6GDJ4MSF</t>
  </si>
  <si>
    <t>Estela Valenzuela</t>
  </si>
  <si>
    <t>Lanez</t>
  </si>
  <si>
    <t>555482537</t>
  </si>
  <si>
    <t>KSNMYSKNPGK</t>
  </si>
  <si>
    <t>Imelda Valenzuela</t>
  </si>
  <si>
    <t>P2968196C</t>
  </si>
  <si>
    <t>59NCQS5PD3N</t>
  </si>
  <si>
    <t>Sonji</t>
  </si>
  <si>
    <t>582863480</t>
  </si>
  <si>
    <t>5SN7626SKB5</t>
  </si>
  <si>
    <t>Tejidor</t>
  </si>
  <si>
    <t>644484806</t>
  </si>
  <si>
    <t>9HNPDT9V5DC</t>
  </si>
  <si>
    <t>Richard Joshua</t>
  </si>
  <si>
    <t>669000932</t>
  </si>
  <si>
    <t>K8N3VCTL47Q</t>
  </si>
  <si>
    <t>Desiree Agtina</t>
  </si>
  <si>
    <t>Penetrante</t>
  </si>
  <si>
    <t>679560643</t>
  </si>
  <si>
    <t>Upgrade to  Premier as agreed changing to double room</t>
  </si>
  <si>
    <t>DHNPYF8KGDP</t>
  </si>
  <si>
    <t>Janet Tuguinay</t>
  </si>
  <si>
    <t>Sese</t>
  </si>
  <si>
    <t>652631574</t>
  </si>
  <si>
    <t>2MN965MKQ4T</t>
  </si>
  <si>
    <t>Rosille Hullana</t>
  </si>
  <si>
    <t>Vasquez</t>
  </si>
  <si>
    <t>563624951</t>
  </si>
  <si>
    <t>OZ 704</t>
  </si>
  <si>
    <t>YCNP3SJ4WMF</t>
  </si>
  <si>
    <t>Serafina Aguiar</t>
  </si>
  <si>
    <t>648973428</t>
  </si>
  <si>
    <t>4QNG3MFXP2T</t>
  </si>
  <si>
    <t>Barbara</t>
  </si>
  <si>
    <t>Dimal-Mallari</t>
  </si>
  <si>
    <t>A22222962</t>
  </si>
  <si>
    <t>MM 809</t>
  </si>
  <si>
    <t>PSNYSF692YR</t>
  </si>
  <si>
    <t>Dolores Apatan</t>
  </si>
  <si>
    <t>Mcgonigal</t>
  </si>
  <si>
    <t>675032381</t>
  </si>
  <si>
    <t>CLN2TGYJ4HM</t>
  </si>
  <si>
    <t>Castellanos</t>
  </si>
  <si>
    <t>A10113197</t>
  </si>
  <si>
    <t>JZNXSHY4WZJ</t>
  </si>
  <si>
    <t>Adrian Joss</t>
  </si>
  <si>
    <t>A02290777</t>
  </si>
  <si>
    <t>J2NST2CZGYC</t>
  </si>
  <si>
    <t>Jenny Violanta</t>
  </si>
  <si>
    <t>584901772</t>
  </si>
  <si>
    <t>Y7NGZ8MBQFP</t>
  </si>
  <si>
    <t>Brigitte Habawel</t>
  </si>
  <si>
    <t>Weiss</t>
  </si>
  <si>
    <t>A46957171</t>
  </si>
  <si>
    <t>KWNLVR2459Y</t>
  </si>
  <si>
    <t>Marilyn Castro</t>
  </si>
  <si>
    <t>Elamparo</t>
  </si>
  <si>
    <t>566367704</t>
  </si>
  <si>
    <t>Changed Double to Twin</t>
  </si>
  <si>
    <t>67NLHT8PHGK</t>
  </si>
  <si>
    <t>Cristina Montilla</t>
  </si>
  <si>
    <t>Quiocson</t>
  </si>
  <si>
    <t>A68958636</t>
  </si>
  <si>
    <t>GTNKXCXCZHC</t>
  </si>
  <si>
    <t>Nerida Serrano</t>
  </si>
  <si>
    <t>Gerona</t>
  </si>
  <si>
    <t>552580012</t>
  </si>
  <si>
    <t>PRNYY96KJ5W</t>
  </si>
  <si>
    <t>Elizabeth Danielle</t>
  </si>
  <si>
    <t>552580011</t>
  </si>
  <si>
    <t>S5NB6LWTQPV</t>
  </si>
  <si>
    <t>Beverly Sabado</t>
  </si>
  <si>
    <t>549833989</t>
  </si>
  <si>
    <t>ZBN4DWZJ6SS</t>
  </si>
  <si>
    <t>George Emmanuel Wyson</t>
  </si>
  <si>
    <t>561710427</t>
  </si>
  <si>
    <t>FTN5BZYXGDB</t>
  </si>
  <si>
    <t>Karen Austria</t>
  </si>
  <si>
    <t>Abugan</t>
  </si>
  <si>
    <t>A10277149</t>
  </si>
  <si>
    <t>XGNBQLCDTDF</t>
  </si>
  <si>
    <t>Marites Bagtas</t>
  </si>
  <si>
    <t>670939889</t>
  </si>
  <si>
    <t>VRNL8K48SSQ</t>
  </si>
  <si>
    <t>Napoleon Corpus</t>
  </si>
  <si>
    <t>Amancio</t>
  </si>
  <si>
    <t>568671477</t>
  </si>
  <si>
    <t>XYNQH2RF3Q7</t>
  </si>
  <si>
    <t>Caroline Jensen</t>
  </si>
  <si>
    <t>A01771300</t>
  </si>
  <si>
    <t>QFNY4968TM6</t>
  </si>
  <si>
    <t>Ritchie Quitain</t>
  </si>
  <si>
    <t>Zaraspe</t>
  </si>
  <si>
    <t>539721112</t>
  </si>
  <si>
    <t>VLNWRMDN2CQ</t>
  </si>
  <si>
    <t>Rei Anton Quitain</t>
  </si>
  <si>
    <t>665303091</t>
  </si>
  <si>
    <t>DFNDKYQ6FRR</t>
  </si>
  <si>
    <t>Samuel Perido</t>
  </si>
  <si>
    <t>Ramos Jr</t>
  </si>
  <si>
    <t>A31891979</t>
  </si>
  <si>
    <t>HX 628</t>
  </si>
  <si>
    <t>Next door with Adela</t>
  </si>
  <si>
    <t>K2NHDQFGMSZ</t>
  </si>
  <si>
    <t>Jannette Hermosilla</t>
  </si>
  <si>
    <t>A45836345</t>
  </si>
  <si>
    <t>HTNBDDYBXMR</t>
  </si>
  <si>
    <t>Adela Natividad</t>
  </si>
  <si>
    <t>648018812</t>
  </si>
  <si>
    <t>Next door with Samuel</t>
  </si>
  <si>
    <t>39NQ2J9RS34</t>
  </si>
  <si>
    <t>Yssabel Hermosilla</t>
  </si>
  <si>
    <t>668880040</t>
  </si>
  <si>
    <t>PJNNWDKB5MZ</t>
  </si>
  <si>
    <t>Carmen Guia Ganzon</t>
  </si>
  <si>
    <t>Sibayan</t>
  </si>
  <si>
    <t>A41050258</t>
  </si>
  <si>
    <t>WTNWBKQTF4L</t>
  </si>
  <si>
    <t>Victor Mostayro</t>
  </si>
  <si>
    <t>A40077642</t>
  </si>
  <si>
    <t>CPN347NBY96</t>
  </si>
  <si>
    <t>Maria Ruginia Vital</t>
  </si>
  <si>
    <t>Barit</t>
  </si>
  <si>
    <t>564459394</t>
  </si>
  <si>
    <t>MM 705</t>
  </si>
  <si>
    <t>H6NLYJVW9RJ</t>
  </si>
  <si>
    <t>Mario Odilon Remigio</t>
  </si>
  <si>
    <t>672579151</t>
  </si>
  <si>
    <t>R5NS2HV9DFC</t>
  </si>
  <si>
    <t>Rodolfo Mercado</t>
  </si>
  <si>
    <t>Paciente Jr.</t>
  </si>
  <si>
    <t>671595706</t>
  </si>
  <si>
    <t>Q5NQZYVBZWT</t>
  </si>
  <si>
    <t>Rosario Pinky Santos</t>
  </si>
  <si>
    <t>Paciente</t>
  </si>
  <si>
    <t>671595702</t>
  </si>
  <si>
    <t>BXNH9P4MNFM</t>
  </si>
  <si>
    <t>Salvador Sioson</t>
  </si>
  <si>
    <t>Aquino Jr</t>
  </si>
  <si>
    <t>642994863</t>
  </si>
  <si>
    <t>S5NC2KPHG55</t>
  </si>
  <si>
    <t>Serwyna Delos Santos</t>
  </si>
  <si>
    <t>Aquino</t>
  </si>
  <si>
    <t>642995348</t>
  </si>
  <si>
    <t>CLNSHYK823P</t>
  </si>
  <si>
    <t>Nadia Michelle</t>
  </si>
  <si>
    <t>Jones</t>
  </si>
  <si>
    <t>A46672499</t>
  </si>
  <si>
    <t>BWNYYS8JYL2</t>
  </si>
  <si>
    <t>Sasha Dominique</t>
  </si>
  <si>
    <t>A47473094</t>
  </si>
  <si>
    <t>HYNBBL9BMQC</t>
  </si>
  <si>
    <t>Wani Angeles</t>
  </si>
  <si>
    <t>Legaspi</t>
  </si>
  <si>
    <t>671178703</t>
  </si>
  <si>
    <t>VLN7KS9LK35</t>
  </si>
  <si>
    <t>Zarah Jane Magadia</t>
  </si>
  <si>
    <t>Perez</t>
  </si>
  <si>
    <t>671162775</t>
  </si>
  <si>
    <t>AG-A08</t>
  </si>
  <si>
    <t>KTNXHFRF2K7</t>
  </si>
  <si>
    <t>Man</t>
  </si>
  <si>
    <t>A24393840</t>
  </si>
  <si>
    <t>Christine Dai</t>
  </si>
  <si>
    <t>3RNWSDLCGS2</t>
  </si>
  <si>
    <t>Bingwen</t>
  </si>
  <si>
    <t>Jin</t>
  </si>
  <si>
    <t>593823632</t>
  </si>
  <si>
    <t>OZ 362</t>
  </si>
  <si>
    <t>NYNZRJH6DPF</t>
  </si>
  <si>
    <t>Ming</t>
  </si>
  <si>
    <t>EJ0731697</t>
  </si>
  <si>
    <t>SC 4617</t>
  </si>
  <si>
    <t>OZ 303</t>
  </si>
  <si>
    <t>6SNYRGDYLHS</t>
  </si>
  <si>
    <t>Christina</t>
  </si>
  <si>
    <t>Zhang</t>
  </si>
  <si>
    <t>576070301</t>
  </si>
  <si>
    <t>NDNQD2TG7RN</t>
  </si>
  <si>
    <t>Jun</t>
  </si>
  <si>
    <t>Ying</t>
  </si>
  <si>
    <t>571430669</t>
  </si>
  <si>
    <t>OZ 331</t>
  </si>
  <si>
    <t>FKNCZSG8SYP</t>
  </si>
  <si>
    <t>Xuezhi</t>
  </si>
  <si>
    <t>Dai</t>
  </si>
  <si>
    <t>A61121638</t>
  </si>
  <si>
    <t>MU 2034</t>
  </si>
  <si>
    <t>Upgrade - Plaza Suite</t>
  </si>
  <si>
    <t>Plaza Suite</t>
  </si>
  <si>
    <t>BFN7JYRNGH3</t>
  </si>
  <si>
    <t>Libo</t>
  </si>
  <si>
    <t>580351852</t>
  </si>
  <si>
    <t>CA 131</t>
  </si>
  <si>
    <t>V2NCDC2LQB4</t>
  </si>
  <si>
    <t>Soo-Lian Eng</t>
  </si>
  <si>
    <t>Ervin</t>
  </si>
  <si>
    <t>557996229</t>
  </si>
  <si>
    <t>KE 1165</t>
  </si>
  <si>
    <t>J8N48YT5KF3</t>
  </si>
  <si>
    <t>Leroy</t>
  </si>
  <si>
    <t>557996230</t>
  </si>
  <si>
    <t>YKN9YRTHZK8</t>
  </si>
  <si>
    <t>Xiaoxia</t>
  </si>
  <si>
    <t>597342483</t>
  </si>
  <si>
    <t>AC 67</t>
  </si>
  <si>
    <t>KE 803</t>
  </si>
  <si>
    <t>RGNZSMQY329</t>
  </si>
  <si>
    <t>Fangying</t>
  </si>
  <si>
    <t>EP1240993</t>
  </si>
  <si>
    <t>CWNGKCGNHSR</t>
  </si>
  <si>
    <t>Jeffrey Fei</t>
  </si>
  <si>
    <t>677165567</t>
  </si>
  <si>
    <t>2GNB7WXN7XN</t>
  </si>
  <si>
    <t>Xiaoying</t>
  </si>
  <si>
    <t>Shang</t>
  </si>
  <si>
    <t>A28006003</t>
  </si>
  <si>
    <t>MWNB22SK6G9</t>
  </si>
  <si>
    <t>Jie</t>
  </si>
  <si>
    <t>671062889</t>
  </si>
  <si>
    <t>Y5N6N7X59SP</t>
  </si>
  <si>
    <t>Yi</t>
  </si>
  <si>
    <t>Svec</t>
  </si>
  <si>
    <t>642426319</t>
  </si>
  <si>
    <t>BRNGGS4YWPW</t>
  </si>
  <si>
    <t>Karen</t>
  </si>
  <si>
    <t>Tang</t>
  </si>
  <si>
    <t>A10710077</t>
  </si>
  <si>
    <t>OZ 339</t>
  </si>
  <si>
    <t>76NV73SGFKW</t>
  </si>
  <si>
    <t>Li-E</t>
  </si>
  <si>
    <t>682464169</t>
  </si>
  <si>
    <t>CZ 688</t>
  </si>
  <si>
    <t>BKNSLS865LK</t>
  </si>
  <si>
    <t>Yan</t>
  </si>
  <si>
    <t>566465042</t>
  </si>
  <si>
    <t>MHN9QFKDTTQ</t>
  </si>
  <si>
    <t>596503819</t>
  </si>
  <si>
    <t>N7N62MG633W</t>
  </si>
  <si>
    <t>Bing</t>
  </si>
  <si>
    <t>680394155</t>
  </si>
  <si>
    <t>MU 5022</t>
  </si>
  <si>
    <t>STNVBYBVKVR</t>
  </si>
  <si>
    <t>Jesse</t>
  </si>
  <si>
    <t>566408915</t>
  </si>
  <si>
    <t>WXN7BTV6L4M</t>
  </si>
  <si>
    <t>Xiangjun Tracy</t>
  </si>
  <si>
    <t>Pan</t>
  </si>
  <si>
    <t>A39767205</t>
  </si>
  <si>
    <t>CA 140</t>
  </si>
  <si>
    <t>H3N2FJ72DGM</t>
  </si>
  <si>
    <t>Hai</t>
  </si>
  <si>
    <t>EJ5759795</t>
  </si>
  <si>
    <t>CZ 338</t>
  </si>
  <si>
    <t>CJN5GYTW33C</t>
  </si>
  <si>
    <t>Lenhert</t>
  </si>
  <si>
    <t>546468879</t>
  </si>
  <si>
    <t>MKNSM63HMGF</t>
  </si>
  <si>
    <t>659063206</t>
  </si>
  <si>
    <t>FKNPTYMTHYL</t>
  </si>
  <si>
    <t>Ting</t>
  </si>
  <si>
    <t>553455052</t>
  </si>
  <si>
    <t>L4N5GWDBNZ7</t>
  </si>
  <si>
    <t>Cindy</t>
  </si>
  <si>
    <t>Fang</t>
  </si>
  <si>
    <t>A63411728</t>
  </si>
  <si>
    <t>BMN5BP9TBCF</t>
  </si>
  <si>
    <t>Huimin</t>
  </si>
  <si>
    <t>549889742</t>
  </si>
  <si>
    <t>X4NLFGN5WPW</t>
  </si>
  <si>
    <t>Jade Yuyan</t>
  </si>
  <si>
    <t>Hu</t>
  </si>
  <si>
    <t>A55503830</t>
  </si>
  <si>
    <t>5JNV9P73GJG</t>
  </si>
  <si>
    <t>Yifeng</t>
  </si>
  <si>
    <t>670606792</t>
  </si>
  <si>
    <t>GLN928DRDLR</t>
  </si>
  <si>
    <t>Xuemei</t>
  </si>
  <si>
    <t>Gong</t>
  </si>
  <si>
    <t>580142730</t>
  </si>
  <si>
    <t>YZNL7GVHBP9</t>
  </si>
  <si>
    <t>Lingling</t>
  </si>
  <si>
    <t>674802207</t>
  </si>
  <si>
    <t>J8N5N97YY89</t>
  </si>
  <si>
    <t>Mei</t>
  </si>
  <si>
    <t>675039728</t>
  </si>
  <si>
    <t>AG-A09</t>
  </si>
  <si>
    <t>7DNY4RHSQL4</t>
  </si>
  <si>
    <t>Margaret Ofosuhemaa</t>
  </si>
  <si>
    <t>Obeng-Akrofi</t>
  </si>
  <si>
    <t>548075840</t>
  </si>
  <si>
    <t>CK Yau</t>
  </si>
  <si>
    <t>WPNL57BXQMJ</t>
  </si>
  <si>
    <t>Yaw</t>
  </si>
  <si>
    <t>548139097</t>
  </si>
  <si>
    <t>Z3NLQQK7RWT</t>
  </si>
  <si>
    <t>Dian Meity</t>
  </si>
  <si>
    <t>Liswani</t>
  </si>
  <si>
    <t>662780419</t>
  </si>
  <si>
    <t>KE 628</t>
  </si>
  <si>
    <t>XVNY5BD84W2</t>
  </si>
  <si>
    <t>Everton Uriah</t>
  </si>
  <si>
    <t>Christie</t>
  </si>
  <si>
    <t>571485303</t>
  </si>
  <si>
    <t>GHN9MNWHL3Q</t>
  </si>
  <si>
    <t>Donna Eartha</t>
  </si>
  <si>
    <t>Watson</t>
  </si>
  <si>
    <t>A02224506</t>
  </si>
  <si>
    <t>ZZNXXKFP8KF</t>
  </si>
  <si>
    <t>Basil Barrington</t>
  </si>
  <si>
    <t>A02224507</t>
  </si>
  <si>
    <t>H3NS3M547V3</t>
  </si>
  <si>
    <t>Everton</t>
  </si>
  <si>
    <t>Barrett</t>
  </si>
  <si>
    <t>00748695</t>
  </si>
  <si>
    <t>H3N5QYZWRFN</t>
  </si>
  <si>
    <t>543561692</t>
  </si>
  <si>
    <t>RWNBCP2RHMT</t>
  </si>
  <si>
    <t>Marie Angela</t>
  </si>
  <si>
    <t>Peart</t>
  </si>
  <si>
    <t>665563007</t>
  </si>
  <si>
    <t>KE 5035</t>
  </si>
  <si>
    <t>7PN8LK9HMGZ</t>
  </si>
  <si>
    <t>Alethea Renee</t>
  </si>
  <si>
    <t>Bonello</t>
  </si>
  <si>
    <t>666360265</t>
  </si>
  <si>
    <t>L6NF7D7HCMX</t>
  </si>
  <si>
    <t>Keithlyn Freeston</t>
  </si>
  <si>
    <t>Simon</t>
  </si>
  <si>
    <t>A29855443</t>
  </si>
  <si>
    <t>RBNDYYHTK32</t>
  </si>
  <si>
    <t>Ingrid Amelita</t>
  </si>
  <si>
    <t>Harris</t>
  </si>
  <si>
    <t>A51840558</t>
  </si>
  <si>
    <t>KXNKPC67WL5</t>
  </si>
  <si>
    <t>Salina Shin-Lang</t>
  </si>
  <si>
    <t>A40523497</t>
  </si>
  <si>
    <t>8GN96TPX3K8</t>
  </si>
  <si>
    <t>Susan Su-Chen</t>
  </si>
  <si>
    <t>A40375709</t>
  </si>
  <si>
    <t>9BNF3X2LWP7</t>
  </si>
  <si>
    <t>Claude Alexander</t>
  </si>
  <si>
    <t>Claxton Ii</t>
  </si>
  <si>
    <t>A40523471</t>
  </si>
  <si>
    <t>Z8NNXT9HCJY</t>
  </si>
  <si>
    <t>Cavon An-Juin</t>
  </si>
  <si>
    <t>Claxton</t>
  </si>
  <si>
    <t>668676044</t>
  </si>
  <si>
    <t>T9NWTTN4WKK</t>
  </si>
  <si>
    <t>Xavia</t>
  </si>
  <si>
    <t>Jennings</t>
  </si>
  <si>
    <t>545322111</t>
  </si>
  <si>
    <t>VKND88CF7D7</t>
  </si>
  <si>
    <t>Saba</t>
  </si>
  <si>
    <t>Tesfamariam</t>
  </si>
  <si>
    <t>A61442540</t>
  </si>
  <si>
    <t>AG-A10</t>
  </si>
  <si>
    <t>6PNPWJYNC6T</t>
  </si>
  <si>
    <t>Chun Ya</t>
  </si>
  <si>
    <t>577977878</t>
  </si>
  <si>
    <t>CY Chen</t>
  </si>
  <si>
    <t>G9N5S73N7WW</t>
  </si>
  <si>
    <t>Yvonne Iduan</t>
  </si>
  <si>
    <t>548469511</t>
  </si>
  <si>
    <t>84NCX94P7MD</t>
  </si>
  <si>
    <t>Hsiu Fang</t>
  </si>
  <si>
    <t>Chou</t>
  </si>
  <si>
    <t>A04078526</t>
  </si>
  <si>
    <t>JWNQ4XXLPQX</t>
  </si>
  <si>
    <t>Jeng Min</t>
  </si>
  <si>
    <t>Bare</t>
  </si>
  <si>
    <t>A05078527</t>
  </si>
  <si>
    <t>ZRN6C32LP6P</t>
  </si>
  <si>
    <t>Jenny Shu Chun</t>
  </si>
  <si>
    <t>Yuan</t>
  </si>
  <si>
    <t>4089666092</t>
  </si>
  <si>
    <t>CI 161</t>
  </si>
  <si>
    <t>VWNCJWCXQZ8</t>
  </si>
  <si>
    <t>Yuezue Joanna</t>
  </si>
  <si>
    <t>Price</t>
  </si>
  <si>
    <t>562161782</t>
  </si>
  <si>
    <t>LSN7564VCTX</t>
  </si>
  <si>
    <t>Hui Yao Stacy</t>
  </si>
  <si>
    <t>545485780</t>
  </si>
  <si>
    <t>KE 5756</t>
  </si>
  <si>
    <t>8HNLQRSS4DH</t>
  </si>
  <si>
    <t>Tsan-Kuen</t>
  </si>
  <si>
    <t>661049846</t>
  </si>
  <si>
    <t>AG-A02</t>
  </si>
  <si>
    <t>GPN6MP6BXTY</t>
  </si>
  <si>
    <t>Hong Jie</t>
  </si>
  <si>
    <t>674365625</t>
  </si>
  <si>
    <t>Jack Yang</t>
  </si>
  <si>
    <t>6FNGPRK4PZV</t>
  </si>
  <si>
    <t>Nathalie Katchia Ly</t>
  </si>
  <si>
    <t>671017226</t>
  </si>
  <si>
    <t>4QNGKV7VMH3</t>
  </si>
  <si>
    <t>Shu</t>
  </si>
  <si>
    <t>596779906</t>
  </si>
  <si>
    <t>TR 896</t>
  </si>
  <si>
    <t>MBNVXGHVY8Y</t>
  </si>
  <si>
    <t>Yazhen</t>
  </si>
  <si>
    <t>590717413</t>
  </si>
  <si>
    <t>KE 128</t>
  </si>
  <si>
    <t>KE 127</t>
  </si>
  <si>
    <t>7PN83PH6FWC</t>
  </si>
  <si>
    <t>Tracey Mai Zoua</t>
  </si>
  <si>
    <t>Her</t>
  </si>
  <si>
    <t>680135283</t>
  </si>
  <si>
    <t>XXNK3QM6PDV</t>
  </si>
  <si>
    <t>Vang</t>
  </si>
  <si>
    <t>A56337608</t>
  </si>
  <si>
    <t>4TNWRL3GT9F</t>
  </si>
  <si>
    <t>Koffi</t>
  </si>
  <si>
    <t>Aouga</t>
  </si>
  <si>
    <t>677301819</t>
  </si>
  <si>
    <t>W4N2333G3DP</t>
  </si>
  <si>
    <t>Chantal</t>
  </si>
  <si>
    <t>5QNK6C8RJRS</t>
  </si>
  <si>
    <t>680888459</t>
  </si>
  <si>
    <t>CJNPRC9W7K4</t>
  </si>
  <si>
    <t>Megan</t>
  </si>
  <si>
    <t>808893636</t>
  </si>
  <si>
    <t>W5NTD5HMP87</t>
  </si>
  <si>
    <t>595263396</t>
  </si>
  <si>
    <t>LQNLTNTH895</t>
  </si>
  <si>
    <t>Jinxiang</t>
  </si>
  <si>
    <t>Ren</t>
  </si>
  <si>
    <t>656392250</t>
  </si>
  <si>
    <t>JLNXNLWQ6P4</t>
  </si>
  <si>
    <t>Omuvwie Solomon</t>
  </si>
  <si>
    <t>Urhieyovwe</t>
  </si>
  <si>
    <t>673290118</t>
  </si>
  <si>
    <t>HVNSCXL8832</t>
  </si>
  <si>
    <t>Cabrelle Herchele</t>
  </si>
  <si>
    <t>Ngandeu</t>
  </si>
  <si>
    <t>A80234073</t>
  </si>
  <si>
    <t>Q2N4WV2GPFN</t>
  </si>
  <si>
    <t>Yanni Rain</t>
  </si>
  <si>
    <t>A57427696</t>
  </si>
  <si>
    <t>6GN8W4XYVMJ</t>
  </si>
  <si>
    <t>Eric Noah</t>
  </si>
  <si>
    <t>Vedasto Jr</t>
  </si>
  <si>
    <t>670038924</t>
  </si>
  <si>
    <t>WYNGNBHYYM7</t>
  </si>
  <si>
    <t>Peace</t>
  </si>
  <si>
    <t>Adomayi</t>
  </si>
  <si>
    <t>A47307312</t>
  </si>
  <si>
    <t>5JN7K9DXSGP</t>
  </si>
  <si>
    <t>Roselidah</t>
  </si>
  <si>
    <t>Nyaberi</t>
  </si>
  <si>
    <t>A48209516</t>
  </si>
  <si>
    <t>Next door with Naomi &amp; Julie</t>
  </si>
  <si>
    <t>QGNMKZNH5F8</t>
  </si>
  <si>
    <t>Ruth Joy</t>
  </si>
  <si>
    <t>A27184314</t>
  </si>
  <si>
    <t>QLNBWHHZSVD</t>
  </si>
  <si>
    <t>A63769649</t>
  </si>
  <si>
    <t>Next door with Joselidah</t>
  </si>
  <si>
    <t>GNNQ8GNHTXL</t>
  </si>
  <si>
    <t>Elijah</t>
  </si>
  <si>
    <t>A63769650</t>
  </si>
  <si>
    <t>2CNBVB4PTHR</t>
  </si>
  <si>
    <t>Julie Sylvia</t>
  </si>
  <si>
    <t>Akindemowo</t>
  </si>
  <si>
    <t>A03481695</t>
  </si>
  <si>
    <t>Deluxe Twin</t>
  </si>
  <si>
    <t>MDNSNRXZBVP</t>
  </si>
  <si>
    <t>Esther</t>
  </si>
  <si>
    <t>A63769648</t>
  </si>
  <si>
    <t>AG-A03</t>
  </si>
  <si>
    <t>CFNY3TNCHQS</t>
  </si>
  <si>
    <t>Fei Fei</t>
  </si>
  <si>
    <t>683292726</t>
  </si>
  <si>
    <t>Kevin Chen</t>
  </si>
  <si>
    <t>7GNHMNH7FXG</t>
  </si>
  <si>
    <t>A40482820</t>
  </si>
  <si>
    <t>KLN78BXKGX3</t>
  </si>
  <si>
    <t>Guoqiang Kevin</t>
  </si>
  <si>
    <t>531192538</t>
  </si>
  <si>
    <t>MU 2073</t>
  </si>
  <si>
    <t>SQNTK9N5GFQ</t>
  </si>
  <si>
    <t>Yanfeng</t>
  </si>
  <si>
    <t>EC4355306</t>
  </si>
  <si>
    <t>FWNC4N78R5G</t>
  </si>
  <si>
    <t>Jiao Yang</t>
  </si>
  <si>
    <t>Zheng</t>
  </si>
  <si>
    <t>A12323673</t>
  </si>
  <si>
    <t>6MNQGBBD8MD</t>
  </si>
  <si>
    <t>RXNMZXHRWQG</t>
  </si>
  <si>
    <t>Keze</t>
  </si>
  <si>
    <t>EJ4952918</t>
  </si>
  <si>
    <t>YZNL35SW6R4</t>
  </si>
  <si>
    <t>Aiqing</t>
  </si>
  <si>
    <t>AG-A04</t>
  </si>
  <si>
    <t>PHNYZMWLRDT</t>
  </si>
  <si>
    <t>Lisette</t>
  </si>
  <si>
    <t>Mandwee Ndzie</t>
  </si>
  <si>
    <t>A13701940</t>
  </si>
  <si>
    <t>Lijoy Thomas</t>
  </si>
  <si>
    <t>HLNZNCPHWB6</t>
  </si>
  <si>
    <t>Lennon Joseph</t>
  </si>
  <si>
    <t>Mandwee</t>
  </si>
  <si>
    <t>682867420</t>
  </si>
  <si>
    <t>YPND8XXVV9M</t>
  </si>
  <si>
    <t>Emma Urielle</t>
  </si>
  <si>
    <t>A13701939</t>
  </si>
  <si>
    <t>YPN32LJKDY2</t>
  </si>
  <si>
    <t>Renee Delise</t>
  </si>
  <si>
    <t>Pettis</t>
  </si>
  <si>
    <t>A60346754</t>
  </si>
  <si>
    <t>KFN88NZFGDV</t>
  </si>
  <si>
    <t>Roland</t>
  </si>
  <si>
    <t>Djiakoua Youaleu</t>
  </si>
  <si>
    <t>677937516</t>
  </si>
  <si>
    <t>9CNVQPNWPXX</t>
  </si>
  <si>
    <t>Michael Walter</t>
  </si>
  <si>
    <t>A13701889</t>
  </si>
  <si>
    <t>G3N7ZGDNDWX</t>
  </si>
  <si>
    <t>561055338</t>
  </si>
  <si>
    <t>NRNYT6F726M</t>
  </si>
  <si>
    <t>Cesar David</t>
  </si>
  <si>
    <t>561055339</t>
  </si>
  <si>
    <t>7VN5KRFG8RH</t>
  </si>
  <si>
    <t>John David</t>
  </si>
  <si>
    <t>Walker Jr</t>
  </si>
  <si>
    <t>56573728</t>
  </si>
  <si>
    <t>RDN9V5B64ZH</t>
  </si>
  <si>
    <t>Mary</t>
  </si>
  <si>
    <t>Johns</t>
  </si>
  <si>
    <t>565740558</t>
  </si>
  <si>
    <t>V9NVJ2CRNNL</t>
  </si>
  <si>
    <t>Lillian</t>
  </si>
  <si>
    <t>Williams</t>
  </si>
  <si>
    <t>A21902383</t>
  </si>
  <si>
    <t>DZNDLRYDWSZ</t>
  </si>
  <si>
    <t>Maurel</t>
  </si>
  <si>
    <t>Walker</t>
  </si>
  <si>
    <t>NSN7FMY8XTD</t>
  </si>
  <si>
    <t>Tabitha J</t>
  </si>
  <si>
    <t>565738577</t>
  </si>
  <si>
    <t>AG-A05</t>
  </si>
  <si>
    <t>NBNPZR96C5Z</t>
  </si>
  <si>
    <t>Xiaohuan</t>
  </si>
  <si>
    <t>653316314</t>
  </si>
  <si>
    <t>DL 7842</t>
  </si>
  <si>
    <t>Lucy Cai</t>
  </si>
  <si>
    <t>3HNTKCNZ6NT</t>
  </si>
  <si>
    <t>EN5209715</t>
  </si>
  <si>
    <t>67N57D956DH</t>
  </si>
  <si>
    <t>Shuxia</t>
  </si>
  <si>
    <t>EN9601904</t>
  </si>
  <si>
    <t>CBNXW2K26CV</t>
  </si>
  <si>
    <t>Zhihong</t>
  </si>
  <si>
    <t>EN9601903</t>
  </si>
  <si>
    <t>99N5VR2693J</t>
  </si>
  <si>
    <t>Lucy Luwei</t>
  </si>
  <si>
    <t>675534637</t>
  </si>
  <si>
    <t>D7 505</t>
  </si>
  <si>
    <t>6BNPGMNTTC9</t>
  </si>
  <si>
    <t>Yanfang</t>
  </si>
  <si>
    <t>Chu</t>
  </si>
  <si>
    <t>A49821907</t>
  </si>
  <si>
    <t>SGNKVLYWNPS</t>
  </si>
  <si>
    <t>Shandra</t>
  </si>
  <si>
    <t>Doughman</t>
  </si>
  <si>
    <t>A62465805</t>
  </si>
  <si>
    <t>OZ 1145</t>
  </si>
  <si>
    <t>V4NQQ9TPC4R</t>
  </si>
  <si>
    <t>Madison</t>
  </si>
  <si>
    <t>587875383</t>
  </si>
  <si>
    <t>VVNW2C57X8Z</t>
  </si>
  <si>
    <t>Yubin</t>
  </si>
  <si>
    <t>A36007013</t>
  </si>
  <si>
    <t>YZNGM5JC89V</t>
  </si>
  <si>
    <t>Li Qun</t>
  </si>
  <si>
    <t>9FNKPF9LRZ5</t>
  </si>
  <si>
    <t>Suna</t>
  </si>
  <si>
    <t>A20550672</t>
  </si>
  <si>
    <t>YGNWXDTNWTM</t>
  </si>
  <si>
    <t>Rena Yunsheab</t>
  </si>
  <si>
    <t>Borjigin</t>
  </si>
  <si>
    <t>646969173</t>
  </si>
  <si>
    <t>8KNVMMZ4SBM</t>
  </si>
  <si>
    <t>Bin</t>
  </si>
  <si>
    <t>Jia</t>
  </si>
  <si>
    <t>593809752</t>
  </si>
  <si>
    <t>KE 893</t>
  </si>
  <si>
    <t xml:space="preserve"> Connecting room with Bin Jia - 8KNVMMZ4SBM by Ying Fang - KCNKZD2X7NF</t>
  </si>
  <si>
    <t>35N7VXKDGFJ</t>
  </si>
  <si>
    <t>Ciana Fangyuan</t>
  </si>
  <si>
    <t>A20732317</t>
  </si>
  <si>
    <t>ZLN2YB387ZV</t>
  </si>
  <si>
    <t>Colin Fanglin</t>
  </si>
  <si>
    <t>A09479329</t>
  </si>
  <si>
    <t>KCNKZD2X7NF</t>
  </si>
  <si>
    <t>569779136</t>
  </si>
  <si>
    <t>Connecting room with Bin Jia - 8KNVMMZ4SBM</t>
  </si>
  <si>
    <t>RZN6GWWY73N</t>
  </si>
  <si>
    <t>Calya Fanglan</t>
  </si>
  <si>
    <t>A20732316</t>
  </si>
  <si>
    <t>B8N2G8VX9C6</t>
  </si>
  <si>
    <t>Ping</t>
  </si>
  <si>
    <t>A22141786</t>
  </si>
  <si>
    <t>FVNPKKV8DPS</t>
  </si>
  <si>
    <t>Wanying</t>
  </si>
  <si>
    <t>545325830</t>
  </si>
  <si>
    <t>FZNKVTBFJLT</t>
  </si>
  <si>
    <t>Peony</t>
  </si>
  <si>
    <t>Lo</t>
  </si>
  <si>
    <t>575354460</t>
  </si>
  <si>
    <t>AG-A06</t>
  </si>
  <si>
    <t>SKN77QNY3CB</t>
  </si>
  <si>
    <t>Anabel Ramirez</t>
  </si>
  <si>
    <t>Alvarez</t>
  </si>
  <si>
    <t>E0257275</t>
  </si>
  <si>
    <t>Manh Le</t>
  </si>
  <si>
    <t>8ZNJSWZRXWR</t>
  </si>
  <si>
    <t>Keysi Ann</t>
  </si>
  <si>
    <t>Green Ramirez</t>
  </si>
  <si>
    <t>A60499282</t>
  </si>
  <si>
    <t>XTNRWS4PY6N</t>
  </si>
  <si>
    <t>Lindsy Rachel</t>
  </si>
  <si>
    <t>Green</t>
  </si>
  <si>
    <t>888</t>
  </si>
  <si>
    <t>JPN86S29FNZ</t>
  </si>
  <si>
    <t>Lourdes Ramirez</t>
  </si>
  <si>
    <t>554248158</t>
  </si>
  <si>
    <t>NWN59JFWPKM</t>
  </si>
  <si>
    <t>Kevin Cai</t>
  </si>
  <si>
    <t>675534636</t>
  </si>
  <si>
    <t>N8N48ZR363K</t>
  </si>
  <si>
    <t>Briana Baothu</t>
  </si>
  <si>
    <t>575299294</t>
  </si>
  <si>
    <t>X4NFP7FLMRY</t>
  </si>
  <si>
    <t>Aracili</t>
  </si>
  <si>
    <t>Montoya</t>
  </si>
  <si>
    <t>A25415675</t>
  </si>
  <si>
    <t>YJND2Z3YF33</t>
  </si>
  <si>
    <t>Regina</t>
  </si>
  <si>
    <t>Mendoza-Montoya</t>
  </si>
  <si>
    <t>591099486</t>
  </si>
  <si>
    <t>R4NC3ZL7XVD</t>
  </si>
  <si>
    <t>Duyviet Victor</t>
  </si>
  <si>
    <t>A68811687</t>
  </si>
  <si>
    <t>MU 8933</t>
  </si>
  <si>
    <t>WTNCPQ282SY</t>
  </si>
  <si>
    <t>Javen Donald</t>
  </si>
  <si>
    <t>A44078434</t>
  </si>
  <si>
    <t>35NVVBJNTFC</t>
  </si>
  <si>
    <t>Isabel Celaya</t>
  </si>
  <si>
    <t>A09668088</t>
  </si>
  <si>
    <t>ZVNZWC5GQB5</t>
  </si>
  <si>
    <t>Gema Isabel</t>
  </si>
  <si>
    <t>588435857</t>
  </si>
  <si>
    <t>Q7NFK3SL8JN</t>
  </si>
  <si>
    <t>Manh Duy</t>
  </si>
  <si>
    <t>A03967150</t>
  </si>
  <si>
    <t>JMNVHZHYYN2</t>
  </si>
  <si>
    <t>Nicole</t>
  </si>
  <si>
    <t>Diep</t>
  </si>
  <si>
    <t>560246151</t>
  </si>
  <si>
    <t>WRNPWXCB52C</t>
  </si>
  <si>
    <t>My-Linh</t>
  </si>
  <si>
    <t>A48404402</t>
  </si>
  <si>
    <t>OZ 335</t>
  </si>
  <si>
    <t>HTNQP4N3YB6</t>
  </si>
  <si>
    <t>Loan Thi Ngoc</t>
  </si>
  <si>
    <t>A70469171</t>
  </si>
  <si>
    <t>VN 408</t>
  </si>
  <si>
    <t>T9NW5CGN9RC</t>
  </si>
  <si>
    <t>Sean</t>
  </si>
  <si>
    <t>575162982</t>
  </si>
  <si>
    <t>Next door with Cindy Pham</t>
  </si>
  <si>
    <t>KRNCKS6F8RD</t>
  </si>
  <si>
    <t>Angeline</t>
  </si>
  <si>
    <t>673699390</t>
  </si>
  <si>
    <t>LZN52HZL8TK</t>
  </si>
  <si>
    <t>642335314</t>
  </si>
  <si>
    <t>Next door with Sean Pham</t>
  </si>
  <si>
    <t>Z3NTLYNKTZT</t>
  </si>
  <si>
    <t>Anh Lan</t>
  </si>
  <si>
    <t>6402544714</t>
  </si>
  <si>
    <t>36NZXZT42SN</t>
  </si>
  <si>
    <t>Tammie</t>
  </si>
  <si>
    <t>570006032</t>
  </si>
  <si>
    <t>GPN97GP6KL7</t>
  </si>
  <si>
    <t>Hung</t>
  </si>
  <si>
    <t>570006031</t>
  </si>
  <si>
    <t>PJNDCL725K4</t>
  </si>
  <si>
    <t>Phung Thy</t>
  </si>
  <si>
    <t>A28390412</t>
  </si>
  <si>
    <t>JLNC6YK487B</t>
  </si>
  <si>
    <t>Daniel Robert</t>
  </si>
  <si>
    <t>Wagner</t>
  </si>
  <si>
    <t>647300246</t>
  </si>
  <si>
    <t>AG-A11</t>
  </si>
  <si>
    <t>DHNWJ9NT34B</t>
  </si>
  <si>
    <t>June</t>
  </si>
  <si>
    <t>Magallanes</t>
  </si>
  <si>
    <t>547919292</t>
  </si>
  <si>
    <t>Maricel Goyena</t>
  </si>
  <si>
    <t>JCNW7FYJSWG</t>
  </si>
  <si>
    <t>Ma Ricca De Castro</t>
  </si>
  <si>
    <t>Cuenca</t>
  </si>
  <si>
    <t>P1888661B</t>
  </si>
  <si>
    <t>5YNS3T6DDG2</t>
  </si>
  <si>
    <t>Bestin</t>
  </si>
  <si>
    <t>Manavalan</t>
  </si>
  <si>
    <t>594611056</t>
  </si>
  <si>
    <t>GVNRWW62Y2H</t>
  </si>
  <si>
    <t>Jini Mathew</t>
  </si>
  <si>
    <t>584263107</t>
  </si>
  <si>
    <t>NBNB3KKNSCK</t>
  </si>
  <si>
    <t>Maria Del Carmen Baculo</t>
  </si>
  <si>
    <t>Baroma</t>
  </si>
  <si>
    <t>A00459752</t>
  </si>
  <si>
    <t>66NXJ8Y37TZ</t>
  </si>
  <si>
    <t>Amandalene Venice Baculo</t>
  </si>
  <si>
    <t>A04038471</t>
  </si>
  <si>
    <t>4PN5YFW957T</t>
  </si>
  <si>
    <t>Wilani Santos</t>
  </si>
  <si>
    <t>Basco</t>
  </si>
  <si>
    <t>642172416</t>
  </si>
  <si>
    <t>Next door with Aniceta Santos</t>
  </si>
  <si>
    <t>D5NYCWQ8DT9</t>
  </si>
  <si>
    <t>Mark Lester Gatus</t>
  </si>
  <si>
    <t>642172417</t>
  </si>
  <si>
    <t>GNNSSJ244N9</t>
  </si>
  <si>
    <t>Aniceta Dela Cruz</t>
  </si>
  <si>
    <t>P1472022C</t>
  </si>
  <si>
    <t>Next door with Wilani Basco</t>
  </si>
  <si>
    <t>F7NYQ5LZQW4</t>
  </si>
  <si>
    <t>Mawi Auren Santos</t>
  </si>
  <si>
    <t>A45811220</t>
  </si>
  <si>
    <t>34N7SQSJ888</t>
  </si>
  <si>
    <t>Wilmar Pio Santos</t>
  </si>
  <si>
    <t>A45811221</t>
  </si>
  <si>
    <t>23NH4FTWV39</t>
  </si>
  <si>
    <t>Eugene Dela Cruz</t>
  </si>
  <si>
    <t>Marmeto</t>
  </si>
  <si>
    <t>A14289497</t>
  </si>
  <si>
    <t>J9NN7CJPZ2F</t>
  </si>
  <si>
    <t>Dominique Aldonza Ragas</t>
  </si>
  <si>
    <t>A15863444</t>
  </si>
  <si>
    <t>55ND5NKQ88L</t>
  </si>
  <si>
    <t>Michelle Ragas</t>
  </si>
  <si>
    <t>A14289496</t>
  </si>
  <si>
    <t>9MNGFYBBSHN</t>
  </si>
  <si>
    <t>Cristina</t>
  </si>
  <si>
    <t>A29676497</t>
  </si>
  <si>
    <t>2ZN6DT3V6HX</t>
  </si>
  <si>
    <t>Cherry Rose Laniog</t>
  </si>
  <si>
    <t>Felicano</t>
  </si>
  <si>
    <t>649500394</t>
  </si>
  <si>
    <t>NH 862</t>
  </si>
  <si>
    <t>PDN6C7V5DTC</t>
  </si>
  <si>
    <t>Windhel</t>
  </si>
  <si>
    <t>A53444805</t>
  </si>
  <si>
    <t>7XNCLVV6XS4</t>
  </si>
  <si>
    <t>Joemer</t>
  </si>
  <si>
    <t>Torrente</t>
  </si>
  <si>
    <t>562904384</t>
  </si>
  <si>
    <t>BJN8VMD52G3</t>
  </si>
  <si>
    <t>Kathleen Mendoza</t>
  </si>
  <si>
    <t>562904376</t>
  </si>
  <si>
    <t>QWNR5VXD2LY</t>
  </si>
  <si>
    <t>Kayode Joel</t>
  </si>
  <si>
    <t>Oloye</t>
  </si>
  <si>
    <t>AS805962</t>
  </si>
  <si>
    <t>DCNK55J7BXC</t>
  </si>
  <si>
    <t>Adebayo Dayo</t>
  </si>
  <si>
    <t>Olorunnisola</t>
  </si>
  <si>
    <t>P623531ED</t>
  </si>
  <si>
    <t>VYNXR5BJ44T</t>
  </si>
  <si>
    <t>Madelyn Cecilia Cortez</t>
  </si>
  <si>
    <t>581690857</t>
  </si>
  <si>
    <t>7VNT8RLJ2RT</t>
  </si>
  <si>
    <t>Edylin Cortez</t>
  </si>
  <si>
    <t>A24943613</t>
  </si>
  <si>
    <t>MCNZ3DJK7ZG</t>
  </si>
  <si>
    <t>Maria Judy</t>
  </si>
  <si>
    <t>Alterado</t>
  </si>
  <si>
    <t>658583177</t>
  </si>
  <si>
    <t>TFN8C8F9KKH</t>
  </si>
  <si>
    <t>Carmencita Palma</t>
  </si>
  <si>
    <t>Atienza</t>
  </si>
  <si>
    <t>A33484294</t>
  </si>
  <si>
    <t>PKNNNMF7D9C</t>
  </si>
  <si>
    <t>Melodie Grace Billones</t>
  </si>
  <si>
    <t>Lagadi</t>
  </si>
  <si>
    <t>593475456</t>
  </si>
  <si>
    <t>4LNVYDSQ25Y</t>
  </si>
  <si>
    <t>Lilian Castillo</t>
  </si>
  <si>
    <t>Mateo</t>
  </si>
  <si>
    <t>553886540</t>
  </si>
  <si>
    <t>X8NNX3HHLHM</t>
  </si>
  <si>
    <t>Michelle Julianda</t>
  </si>
  <si>
    <t>Fuentecilla</t>
  </si>
  <si>
    <t>640827810</t>
  </si>
  <si>
    <t>4HN8HXPC48Y</t>
  </si>
  <si>
    <t>Rowena Mojar</t>
  </si>
  <si>
    <t>Paet</t>
  </si>
  <si>
    <t>A80450231</t>
  </si>
  <si>
    <t>DL 7832</t>
  </si>
  <si>
    <t>L2NZ3BD2W4D</t>
  </si>
  <si>
    <t>Enzo Raphael Mojar</t>
  </si>
  <si>
    <t>A45201795</t>
  </si>
  <si>
    <t>VNNWS9Z29VY</t>
  </si>
  <si>
    <t>Priscilla Joy Sabangan</t>
  </si>
  <si>
    <t>Luna</t>
  </si>
  <si>
    <t>598294013</t>
  </si>
  <si>
    <t>Premier Suite Twin</t>
  </si>
  <si>
    <t>JQNYCMD73ZK</t>
  </si>
  <si>
    <t>Carlo Mendoza</t>
  </si>
  <si>
    <t>568650961</t>
  </si>
  <si>
    <t>T6NTWY6KLW6</t>
  </si>
  <si>
    <t>Ryan Paul</t>
  </si>
  <si>
    <t>Nono</t>
  </si>
  <si>
    <t>AA34013428</t>
  </si>
  <si>
    <t>ZJNRVVXGWB5</t>
  </si>
  <si>
    <t>Ma Ditas Unas</t>
  </si>
  <si>
    <t>589497095</t>
  </si>
  <si>
    <t>V7ND7QWQH8B</t>
  </si>
  <si>
    <t>Dianelle</t>
  </si>
  <si>
    <t>589038897</t>
  </si>
  <si>
    <t>NH 867</t>
  </si>
  <si>
    <t>BTNFNB442C3</t>
  </si>
  <si>
    <t>Frederick</t>
  </si>
  <si>
    <t>589038898</t>
  </si>
  <si>
    <t>9SNKYHKHRPP</t>
  </si>
  <si>
    <t>Lea Joyce</t>
  </si>
  <si>
    <t>De Jesus</t>
  </si>
  <si>
    <t>673448609</t>
  </si>
  <si>
    <t>77NZG9FZDYP</t>
  </si>
  <si>
    <t>Jake Johnson</t>
  </si>
  <si>
    <t>673448608</t>
  </si>
  <si>
    <t>LMN5XBDM27F</t>
  </si>
  <si>
    <t>Jacob Laelson San Diego</t>
  </si>
  <si>
    <t>A14522596</t>
  </si>
  <si>
    <t>AG-A07</t>
  </si>
  <si>
    <t>D9NCLDN4WDR</t>
  </si>
  <si>
    <t>Isaac-James Palacio</t>
  </si>
  <si>
    <t>Custodio</t>
  </si>
  <si>
    <t>643275384</t>
  </si>
  <si>
    <t>Peter Ly</t>
  </si>
  <si>
    <t>5WN6HQ9B4HT</t>
  </si>
  <si>
    <t>Rowena-Lorraine Maxwell</t>
  </si>
  <si>
    <t>Taguiam</t>
  </si>
  <si>
    <t>552867336</t>
  </si>
  <si>
    <t>35N33NB8TD7</t>
  </si>
  <si>
    <t>Wilma Grace</t>
  </si>
  <si>
    <t>Gutierrez</t>
  </si>
  <si>
    <t>677630977</t>
  </si>
  <si>
    <t>52NPPJSSF5W</t>
  </si>
  <si>
    <t>Irene Kristina Mangubat</t>
  </si>
  <si>
    <t>Tiu</t>
  </si>
  <si>
    <t>P8749861A</t>
  </si>
  <si>
    <t>Next door with Irma Tiu</t>
  </si>
  <si>
    <t>7YNLH84YKQD</t>
  </si>
  <si>
    <t>Michael Almeda</t>
  </si>
  <si>
    <t>Miranda</t>
  </si>
  <si>
    <t>558288728</t>
  </si>
  <si>
    <t>DXNP5D9TXQC</t>
  </si>
  <si>
    <t>Elijah Parker Tiu</t>
  </si>
  <si>
    <t>682370336</t>
  </si>
  <si>
    <t>C6NF8Z9F7WB</t>
  </si>
  <si>
    <t>Irma Mangubat</t>
  </si>
  <si>
    <t>P7335495B</t>
  </si>
  <si>
    <t>Next door with Irene Tiu</t>
  </si>
  <si>
    <t>H3NC9XFDL56</t>
  </si>
  <si>
    <t>Irving Ang</t>
  </si>
  <si>
    <t>P7335486B</t>
  </si>
  <si>
    <t>FQNXS2NBRBK</t>
  </si>
  <si>
    <t>Bryan</t>
  </si>
  <si>
    <t>Ulloa</t>
  </si>
  <si>
    <t>R6NFL5BLS88</t>
  </si>
  <si>
    <t>Guest 1</t>
  </si>
  <si>
    <t>SSNCLL6S9XM</t>
  </si>
  <si>
    <t>James Ryann Pascual</t>
  </si>
  <si>
    <t>Abad</t>
  </si>
  <si>
    <t>A05003596</t>
  </si>
  <si>
    <t>P4NMNFKKY4G</t>
  </si>
  <si>
    <t>Rica Shaunthele Macdula</t>
  </si>
  <si>
    <t>A05003592</t>
  </si>
  <si>
    <t>3RNS3HRKW6L</t>
  </si>
  <si>
    <t>Jose Humberto</t>
  </si>
  <si>
    <t>Aldama-Cazarez</t>
  </si>
  <si>
    <t>LQNQP75YD6P</t>
  </si>
  <si>
    <t>Kenny Yasao</t>
  </si>
  <si>
    <t>Kawamoto</t>
  </si>
  <si>
    <t>A64257147</t>
  </si>
  <si>
    <t>NH 6896</t>
  </si>
  <si>
    <t>LLNZZ8TFHPC</t>
  </si>
  <si>
    <t>Arlene Kris</t>
  </si>
  <si>
    <t>Kim-Kawamoto</t>
  </si>
  <si>
    <t>A71268246</t>
  </si>
  <si>
    <t>M9NCLN87LFR</t>
  </si>
  <si>
    <t>Gianna Avri</t>
  </si>
  <si>
    <t>A19583512</t>
  </si>
  <si>
    <t>N2NV3JTK899</t>
  </si>
  <si>
    <t>Karey Tokue</t>
  </si>
  <si>
    <t>572173500</t>
  </si>
  <si>
    <t>3TN3YTXDMQW</t>
  </si>
  <si>
    <t>Peter</t>
  </si>
  <si>
    <t>A21917103</t>
  </si>
  <si>
    <t>43N5XDK7PGM</t>
  </si>
  <si>
    <t>Leilani Gelacio</t>
  </si>
  <si>
    <t>A21917118</t>
  </si>
  <si>
    <t>Q7NSHHKZ48Q</t>
  </si>
  <si>
    <t>Jordan Gelacio</t>
  </si>
  <si>
    <t>656126404</t>
  </si>
  <si>
    <t>SSNKHNQ2WYJ</t>
  </si>
  <si>
    <t>Bun Hor</t>
  </si>
  <si>
    <t>HTNNNFCR4RT</t>
  </si>
  <si>
    <t>Keng</t>
  </si>
  <si>
    <t>Keath</t>
  </si>
  <si>
    <t>GTNNYXWWX8R</t>
  </si>
  <si>
    <t>Zaida Mangrobang</t>
  </si>
  <si>
    <t>Gelacio</t>
  </si>
  <si>
    <t>T3NY5KHS42Q</t>
  </si>
  <si>
    <t>Jocelyn Gelacio</t>
  </si>
  <si>
    <t>A19880139</t>
  </si>
  <si>
    <t>3RNDV3LLY8X</t>
  </si>
  <si>
    <t>89NNN2726Y4</t>
  </si>
  <si>
    <t>Jenaleen Mae</t>
  </si>
  <si>
    <t>Changed name Rattanak to Jenaleen</t>
  </si>
  <si>
    <t>SPN6TH85T98</t>
  </si>
  <si>
    <t>Noah Patrick</t>
  </si>
  <si>
    <t>Tango</t>
  </si>
  <si>
    <t>A42635744</t>
  </si>
  <si>
    <t>Changed name from Caitlyn to Noel</t>
  </si>
  <si>
    <t>PRNQSK3KGKN</t>
  </si>
  <si>
    <t>Richard Albert</t>
  </si>
  <si>
    <t>Broadbent</t>
  </si>
  <si>
    <t>669674332</t>
  </si>
  <si>
    <t>74NY4Z6Z3FT</t>
  </si>
  <si>
    <t>Remedios</t>
  </si>
  <si>
    <t>672811459</t>
  </si>
  <si>
    <t>DKNGYLP3FB8</t>
  </si>
  <si>
    <t>Alexis Chanel</t>
  </si>
  <si>
    <t>Augustine</t>
  </si>
  <si>
    <t>C28840752</t>
  </si>
  <si>
    <t>VXNZC827VNY</t>
  </si>
  <si>
    <t>Jeremy-Rey</t>
  </si>
  <si>
    <t>Magno</t>
  </si>
  <si>
    <t>A06769000</t>
  </si>
  <si>
    <t>Z3NPPBMGWB9</t>
  </si>
  <si>
    <t>Naliya Joy</t>
  </si>
  <si>
    <t>A70469265</t>
  </si>
  <si>
    <t>FXNSJ993RMH</t>
  </si>
  <si>
    <t>Naomi Reign</t>
  </si>
  <si>
    <t>A66017802</t>
  </si>
  <si>
    <t>WBNN357W95N</t>
  </si>
  <si>
    <t>Riza T</t>
  </si>
  <si>
    <t>A25934636</t>
  </si>
  <si>
    <t>3WN26JDVSFP</t>
  </si>
  <si>
    <t>Adrian James</t>
  </si>
  <si>
    <t>A66017803</t>
  </si>
  <si>
    <t>AG-A12</t>
  </si>
  <si>
    <t>8YN5Y6BQYSX</t>
  </si>
  <si>
    <t>Ayoade Bamidele</t>
  </si>
  <si>
    <t>Ademiluyi</t>
  </si>
  <si>
    <t>598837866</t>
  </si>
  <si>
    <t>Rhoda Emezienna</t>
  </si>
  <si>
    <t>KSNHXNYQKYR</t>
  </si>
  <si>
    <t>Dorothy Ginikachi</t>
  </si>
  <si>
    <t>Ezim</t>
  </si>
  <si>
    <t>A01435372</t>
  </si>
  <si>
    <t>FVNVC2W3V5S</t>
  </si>
  <si>
    <t>Blessing Ngozi</t>
  </si>
  <si>
    <t>A11173712</t>
  </si>
  <si>
    <t>D9N5CHFZLVR</t>
  </si>
  <si>
    <t>Prescilia Nana</t>
  </si>
  <si>
    <t>Ndoping</t>
  </si>
  <si>
    <t>644325245</t>
  </si>
  <si>
    <t>MPNBKVS4B7B</t>
  </si>
  <si>
    <t>Agnes Olushola</t>
  </si>
  <si>
    <t>Oluyemi</t>
  </si>
  <si>
    <t>654040379</t>
  </si>
  <si>
    <t>M2NTWYCGFWW</t>
  </si>
  <si>
    <t>Christina Ajoke</t>
  </si>
  <si>
    <t>Oliyide</t>
  </si>
  <si>
    <t>673505320</t>
  </si>
  <si>
    <t>H8NVCQGW728</t>
  </si>
  <si>
    <t>Oliyide-Bailey</t>
  </si>
  <si>
    <t>643400155</t>
  </si>
  <si>
    <t>HWNJGD7G27Z</t>
  </si>
  <si>
    <t>Edith</t>
  </si>
  <si>
    <t>Amobi</t>
  </si>
  <si>
    <t>566572480</t>
  </si>
  <si>
    <t>JL 5202</t>
  </si>
  <si>
    <t>2FNXJYBXVCH</t>
  </si>
  <si>
    <t>Jacinta</t>
  </si>
  <si>
    <t>Igbo</t>
  </si>
  <si>
    <t>C37713769</t>
  </si>
  <si>
    <t>SLN6J5WZLCQ</t>
  </si>
  <si>
    <t>Chioma Anyanwu</t>
  </si>
  <si>
    <t>Anyanwu</t>
  </si>
  <si>
    <t>568716109</t>
  </si>
  <si>
    <t>KSNCD9W9V6L</t>
  </si>
  <si>
    <t>Ezieke</t>
  </si>
  <si>
    <t>668744721</t>
  </si>
  <si>
    <t>KE 82</t>
  </si>
  <si>
    <t>KE 81</t>
  </si>
  <si>
    <t>N6ND59ZX3PM</t>
  </si>
  <si>
    <t>Verda Marilyn</t>
  </si>
  <si>
    <t>A58773635</t>
  </si>
  <si>
    <t>TK 91</t>
  </si>
  <si>
    <t>WGNMHV96GYF</t>
  </si>
  <si>
    <t>Audrey</t>
  </si>
  <si>
    <t>Morgan</t>
  </si>
  <si>
    <t>660821421</t>
  </si>
  <si>
    <t>SRN6H32DZ6K</t>
  </si>
  <si>
    <t>Modinat Oluwatoyin</t>
  </si>
  <si>
    <t>Oyekan</t>
  </si>
  <si>
    <t>A11724358</t>
  </si>
  <si>
    <t>HXNM65J3ZQD</t>
  </si>
  <si>
    <t>Nneka</t>
  </si>
  <si>
    <t>Nduaguba</t>
  </si>
  <si>
    <t>645785796</t>
  </si>
  <si>
    <t>NDN7XDDBV84</t>
  </si>
  <si>
    <t>Adaeze</t>
  </si>
  <si>
    <t>522410216</t>
  </si>
  <si>
    <t>QTNW477Q593</t>
  </si>
  <si>
    <t>Amadi-Nwogu</t>
  </si>
  <si>
    <t>585968947</t>
  </si>
  <si>
    <t>YHND8HDQKR9</t>
  </si>
  <si>
    <t>Uchenna</t>
  </si>
  <si>
    <t>Obidike</t>
  </si>
  <si>
    <t>A27048029</t>
  </si>
  <si>
    <t>JYNL6MYPTRX</t>
  </si>
  <si>
    <t>Charity</t>
  </si>
  <si>
    <t>Nwaneri</t>
  </si>
  <si>
    <t>551777021</t>
  </si>
  <si>
    <t>SYN97HG9NVD</t>
  </si>
  <si>
    <t>Okeke</t>
  </si>
  <si>
    <t>A80452583</t>
  </si>
  <si>
    <t>9PNBBDPH95G</t>
  </si>
  <si>
    <t>Nnenna</t>
  </si>
  <si>
    <t>Obi</t>
  </si>
  <si>
    <t>A10632376</t>
  </si>
  <si>
    <t>PKNS67RRJ3V</t>
  </si>
  <si>
    <t>Dieudonne</t>
  </si>
  <si>
    <t>Kabore</t>
  </si>
  <si>
    <t>538932618</t>
  </si>
  <si>
    <t>WFNXHCJGX6W</t>
  </si>
  <si>
    <t>Chukwunonso Samuel</t>
  </si>
  <si>
    <t>Aniagor</t>
  </si>
  <si>
    <t>656835992</t>
  </si>
  <si>
    <t>MTN2QK2J7LL</t>
  </si>
  <si>
    <t>Jacqueline Denise</t>
  </si>
  <si>
    <t>Givens-Vereen</t>
  </si>
  <si>
    <t>A559222652</t>
  </si>
  <si>
    <t>87NMQHYHTXJ</t>
  </si>
  <si>
    <t>Lydia Akua Guamfua</t>
  </si>
  <si>
    <t>Gyamfi</t>
  </si>
  <si>
    <t>A37834502</t>
  </si>
  <si>
    <t>3XN2QVQDJHP</t>
  </si>
  <si>
    <t>Rhoda Chima</t>
  </si>
  <si>
    <t>Onyima</t>
  </si>
  <si>
    <t>A50588928</t>
  </si>
  <si>
    <t>73NR4LFDLTY</t>
  </si>
  <si>
    <t>Ngozika Chidimma</t>
  </si>
  <si>
    <t>Emezienna</t>
  </si>
  <si>
    <t>6 5 7 0 5 0 7 2 2</t>
  </si>
  <si>
    <t>2SNYKCY8XT6</t>
  </si>
  <si>
    <t>Theresa Izukanne</t>
  </si>
  <si>
    <t>Nwachukwu</t>
  </si>
  <si>
    <t>652505227</t>
  </si>
  <si>
    <t>52N33PZL7HN</t>
  </si>
  <si>
    <t>Beatrice Bolanle</t>
  </si>
  <si>
    <t>Owolabi Jokoh</t>
  </si>
  <si>
    <t>576464759</t>
  </si>
  <si>
    <t>AG-A13</t>
  </si>
  <si>
    <t>CDN8QSVFLSC</t>
  </si>
  <si>
    <t>Adolbert</t>
  </si>
  <si>
    <t>541792322</t>
  </si>
  <si>
    <t>Stanley Odujole</t>
  </si>
  <si>
    <t>FVNRJDRRDNR</t>
  </si>
  <si>
    <t>Patience Onyemaechi</t>
  </si>
  <si>
    <t>Madufor-Onyima</t>
  </si>
  <si>
    <t>A00757375</t>
  </si>
  <si>
    <t>R2NB23VFN2Q</t>
  </si>
  <si>
    <t>Regina Ndongboh</t>
  </si>
  <si>
    <t>Bebnji-Nguh</t>
  </si>
  <si>
    <t>545780816</t>
  </si>
  <si>
    <t>V4NVNKGYTZ8</t>
  </si>
  <si>
    <t>Anthony Chop</t>
  </si>
  <si>
    <t>Bebnji</t>
  </si>
  <si>
    <t>A03540784</t>
  </si>
  <si>
    <t>L9NHRTTHGW4</t>
  </si>
  <si>
    <t>Evelyne</t>
  </si>
  <si>
    <t>Ngwamafong</t>
  </si>
  <si>
    <t>43NZLR6M727</t>
  </si>
  <si>
    <t>Jay</t>
  </si>
  <si>
    <t>Akua</t>
  </si>
  <si>
    <t>TYNGR7DYY9B</t>
  </si>
  <si>
    <t>Gladys</t>
  </si>
  <si>
    <t>Tarkeh Nee Nguh</t>
  </si>
  <si>
    <t>670391216</t>
  </si>
  <si>
    <t>K2N8Z9RBJLP</t>
  </si>
  <si>
    <t>Victor</t>
  </si>
  <si>
    <t>Tarkeh</t>
  </si>
  <si>
    <t>PLNF96PHQGR</t>
  </si>
  <si>
    <t>Immaculate</t>
  </si>
  <si>
    <t>Ngiefong</t>
  </si>
  <si>
    <t>A02807016</t>
  </si>
  <si>
    <t>GBNPZQ6M752</t>
  </si>
  <si>
    <t>Jean Paul</t>
  </si>
  <si>
    <t>J3N742F98TQ</t>
  </si>
  <si>
    <t>Clara Shola</t>
  </si>
  <si>
    <t>Ayilara</t>
  </si>
  <si>
    <t>A28838122</t>
  </si>
  <si>
    <t>7RNFZ7WY7B9</t>
  </si>
  <si>
    <t>Okey Enoch</t>
  </si>
  <si>
    <t>Ewuzie</t>
  </si>
  <si>
    <t>538643434</t>
  </si>
  <si>
    <t>QVN7NJM7QKC</t>
  </si>
  <si>
    <t>Pearl</t>
  </si>
  <si>
    <t>A31125848</t>
  </si>
  <si>
    <t>8SN4X2DNJ22</t>
  </si>
  <si>
    <t>Rebecca</t>
  </si>
  <si>
    <t>Asare</t>
  </si>
  <si>
    <t>565372727</t>
  </si>
  <si>
    <t>2VNXVHBQ6L4</t>
  </si>
  <si>
    <t>Obande</t>
  </si>
  <si>
    <t>593305489</t>
  </si>
  <si>
    <t>2GN2QNQYXGH</t>
  </si>
  <si>
    <t>Enakeno</t>
  </si>
  <si>
    <t>Amagada</t>
  </si>
  <si>
    <t>A10092854</t>
  </si>
  <si>
    <t>G2NR4P43JKB</t>
  </si>
  <si>
    <t>Rest Ezikeno</t>
  </si>
  <si>
    <t>Nwonye</t>
  </si>
  <si>
    <t>663348180</t>
  </si>
  <si>
    <t>Y2NX9L5DCR3</t>
  </si>
  <si>
    <t>Ifechukwu</t>
  </si>
  <si>
    <t>Anikpe</t>
  </si>
  <si>
    <t>A05699040</t>
  </si>
  <si>
    <t>PSNYVXSCVVP</t>
  </si>
  <si>
    <t>Uche Anthonia</t>
  </si>
  <si>
    <t>640179141</t>
  </si>
  <si>
    <t>AG-A14</t>
  </si>
  <si>
    <t>2QNB38TMKYN</t>
  </si>
  <si>
    <t>Anualita</t>
  </si>
  <si>
    <t>Mbarusha</t>
  </si>
  <si>
    <t>546170004</t>
  </si>
  <si>
    <t>Yvonne Tran</t>
  </si>
  <si>
    <t>L7NBYKQ7HQK</t>
  </si>
  <si>
    <t>Damtew Fikre</t>
  </si>
  <si>
    <t>Ayele</t>
  </si>
  <si>
    <t>A50718775</t>
  </si>
  <si>
    <t>49ND7867LT6</t>
  </si>
  <si>
    <t>Selamawit Lisanu</t>
  </si>
  <si>
    <t>Gebremariam</t>
  </si>
  <si>
    <t>A50718776</t>
  </si>
  <si>
    <t>LDNB6Y5LRTW</t>
  </si>
  <si>
    <t>Deborah</t>
  </si>
  <si>
    <t>Freeman-Ballou</t>
  </si>
  <si>
    <t>542009638</t>
  </si>
  <si>
    <t>VPNHVJ5TMRN</t>
  </si>
  <si>
    <t>Barbara Lorranine</t>
  </si>
  <si>
    <t>Watts</t>
  </si>
  <si>
    <t>546008599</t>
  </si>
  <si>
    <t>ZBN9G7PMCRX</t>
  </si>
  <si>
    <t>Fikere Zeleke</t>
  </si>
  <si>
    <t>Tefera</t>
  </si>
  <si>
    <t>578156865</t>
  </si>
  <si>
    <t>C7NQNCRS6Y3</t>
  </si>
  <si>
    <t>Addis Debela</t>
  </si>
  <si>
    <t>Belaynhe</t>
  </si>
  <si>
    <t>578156866</t>
  </si>
  <si>
    <t>QTNT5Y6HQ5B</t>
  </si>
  <si>
    <t>Zeray</t>
  </si>
  <si>
    <t>Weldezghi</t>
  </si>
  <si>
    <t>654226042</t>
  </si>
  <si>
    <t>RTN8S75TVHQ</t>
  </si>
  <si>
    <t>Hedru</t>
  </si>
  <si>
    <t>Woldezgi</t>
  </si>
  <si>
    <t>677197720</t>
  </si>
  <si>
    <t>6MNHPX9TB5D</t>
  </si>
  <si>
    <t>Hagos Weldezghi</t>
  </si>
  <si>
    <t>Gebresillassie</t>
  </si>
  <si>
    <t>A35512158</t>
  </si>
  <si>
    <t>7KNXZQXBTTJ</t>
  </si>
  <si>
    <t>Abeyenther Fikere</t>
  </si>
  <si>
    <t>Zeleke</t>
  </si>
  <si>
    <t>A12369513</t>
  </si>
  <si>
    <t>C4NN9Y4ZKGB</t>
  </si>
  <si>
    <t>Gloria Torres</t>
  </si>
  <si>
    <t>Maldonado</t>
  </si>
  <si>
    <t>559913594</t>
  </si>
  <si>
    <t>4TNF3J5PBKK</t>
  </si>
  <si>
    <t>Sergio Lopez</t>
  </si>
  <si>
    <t>559913595</t>
  </si>
  <si>
    <t>4PNR83M47F3</t>
  </si>
  <si>
    <t>Blanca</t>
  </si>
  <si>
    <t>Chavira</t>
  </si>
  <si>
    <t>A40836134</t>
  </si>
  <si>
    <t>H9NJL592GVR</t>
  </si>
  <si>
    <t>Lucia Patricia</t>
  </si>
  <si>
    <t>Chacon</t>
  </si>
  <si>
    <t>597498082</t>
  </si>
  <si>
    <t>NJN4HZNGC3G</t>
  </si>
  <si>
    <t>Chad</t>
  </si>
  <si>
    <t>682200253</t>
  </si>
  <si>
    <t>2FNH376HL3S</t>
  </si>
  <si>
    <t>Ballou</t>
  </si>
  <si>
    <t>540430134</t>
  </si>
  <si>
    <t>FRNNFBST8TG</t>
  </si>
  <si>
    <t>Gerardo Palad</t>
  </si>
  <si>
    <t>Cailing</t>
  </si>
  <si>
    <t>561061792</t>
  </si>
  <si>
    <t>L7N25MDRY3K</t>
  </si>
  <si>
    <t>Mary Josephine Felipe</t>
  </si>
  <si>
    <t>Dayao Cailing</t>
  </si>
  <si>
    <t>561061793</t>
  </si>
  <si>
    <t>6GNYDQMCGL7</t>
  </si>
  <si>
    <t>Jaylyn Hope</t>
  </si>
  <si>
    <t>A40836135</t>
  </si>
  <si>
    <t>D2NB2SYZ5YY</t>
  </si>
  <si>
    <t>Jaycob</t>
  </si>
  <si>
    <t>A67428109</t>
  </si>
  <si>
    <t>CGNXQMHR6WR</t>
  </si>
  <si>
    <t>Mitos</t>
  </si>
  <si>
    <t>Tupas</t>
  </si>
  <si>
    <t>586399438</t>
  </si>
  <si>
    <t>V5NWMTR2RX3</t>
  </si>
  <si>
    <t>Fredelino Mendoza</t>
  </si>
  <si>
    <t>651125611</t>
  </si>
  <si>
    <t>LFNKH4SSTG2</t>
  </si>
  <si>
    <t>Alondra Stark</t>
  </si>
  <si>
    <t>Uribe</t>
  </si>
  <si>
    <t>584217902</t>
  </si>
  <si>
    <t>Next door with Britteney</t>
  </si>
  <si>
    <t>C3NGPSFJQ3M</t>
  </si>
  <si>
    <t>Sherlyn Stark</t>
  </si>
  <si>
    <t>A21844973</t>
  </si>
  <si>
    <t>5GNQ9YXMXMS</t>
  </si>
  <si>
    <t>Brittney Stark</t>
  </si>
  <si>
    <t>Uribe Huerta</t>
  </si>
  <si>
    <t>549265068</t>
  </si>
  <si>
    <t>Next door with Alondra Huerta</t>
  </si>
  <si>
    <t>8CN2G8CZTZT</t>
  </si>
  <si>
    <t>Victoria Ann</t>
  </si>
  <si>
    <t>A13979161</t>
  </si>
  <si>
    <t>7C 1802</t>
  </si>
  <si>
    <t>7C 1801</t>
  </si>
  <si>
    <t>FQNHJB6GWM9</t>
  </si>
  <si>
    <t>Angelina Marie</t>
  </si>
  <si>
    <t>Madrid</t>
  </si>
  <si>
    <t>644722331</t>
  </si>
  <si>
    <t>6PNHK2ZSCK6</t>
  </si>
  <si>
    <t>Gerardo</t>
  </si>
  <si>
    <t>Rodriguez</t>
  </si>
  <si>
    <t>560153377</t>
  </si>
  <si>
    <t>H7NH6NC2KP7</t>
  </si>
  <si>
    <t>Celia Aurora</t>
  </si>
  <si>
    <t>A14062885</t>
  </si>
  <si>
    <t>S5NNN65SYWB</t>
  </si>
  <si>
    <t>563872150</t>
  </si>
  <si>
    <t>RJNGMKL8SVN</t>
  </si>
  <si>
    <t>Christina Cuellar</t>
  </si>
  <si>
    <t>Pina Ochoa</t>
  </si>
  <si>
    <t>673136864</t>
  </si>
  <si>
    <t>MCN999BCC3H</t>
  </si>
  <si>
    <t>Mexico</t>
  </si>
  <si>
    <t>G32859694</t>
  </si>
  <si>
    <t>9HNS99YMMYT</t>
  </si>
  <si>
    <t>Bryan Antonio</t>
  </si>
  <si>
    <t>Torralba</t>
  </si>
  <si>
    <t>A59231882</t>
  </si>
  <si>
    <t>59NMY599G8Z</t>
  </si>
  <si>
    <t>RKNH4L45PYJ</t>
  </si>
  <si>
    <t>Edward Daniel</t>
  </si>
  <si>
    <t>9WN94CKNLQH</t>
  </si>
  <si>
    <t>Joseph Chino</t>
  </si>
  <si>
    <t>Umel</t>
  </si>
  <si>
    <t>665142416</t>
  </si>
  <si>
    <t>Next door with Ty Thanh No 193</t>
  </si>
  <si>
    <t>NWNNJSN64JG</t>
  </si>
  <si>
    <t>Lien Xuan</t>
  </si>
  <si>
    <t>665142415</t>
  </si>
  <si>
    <t>Y3NBQ8RVCWW</t>
  </si>
  <si>
    <t>Juana Antonia</t>
  </si>
  <si>
    <t>Benitez</t>
  </si>
  <si>
    <t>594747330</t>
  </si>
  <si>
    <t>AA 26 from Tokyo</t>
  </si>
  <si>
    <t>Next door with Annabel</t>
  </si>
  <si>
    <t>6WN6PCP3MKB</t>
  </si>
  <si>
    <t>Maribell</t>
  </si>
  <si>
    <t>A45560353</t>
  </si>
  <si>
    <t>23NVHNNYC67</t>
  </si>
  <si>
    <t>Annabel</t>
  </si>
  <si>
    <t>A45560352</t>
  </si>
  <si>
    <t>Next door with Juanna</t>
  </si>
  <si>
    <t>HTNJ3CLHFNV</t>
  </si>
  <si>
    <t>Isabell Victoria</t>
  </si>
  <si>
    <t>668335854</t>
  </si>
  <si>
    <t>5DNTFSZNZNJ</t>
  </si>
  <si>
    <t>Maria Matilde</t>
  </si>
  <si>
    <t>647577805</t>
  </si>
  <si>
    <t>VZNGZ4BJSW9</t>
  </si>
  <si>
    <t>Racheal Caroline</t>
  </si>
  <si>
    <t>Beaudin</t>
  </si>
  <si>
    <t>679036747</t>
  </si>
  <si>
    <t>LCNB2KHZJL3</t>
  </si>
  <si>
    <t>Moncayo-Huerta</t>
  </si>
  <si>
    <t>566960723</t>
  </si>
  <si>
    <t>Adjoining/next door with Natalia room</t>
  </si>
  <si>
    <t>98NPY8VGFN3</t>
  </si>
  <si>
    <t>Yautenzi Navarro</t>
  </si>
  <si>
    <t>565402503</t>
  </si>
  <si>
    <t>AA 26</t>
  </si>
  <si>
    <t>6KN33J6VMKP</t>
  </si>
  <si>
    <t>Natalia Belen</t>
  </si>
  <si>
    <t>Huerta</t>
  </si>
  <si>
    <t>A55316195</t>
  </si>
  <si>
    <t>Adjoining/next door</t>
  </si>
  <si>
    <t>SKN5KJ3HJMV</t>
  </si>
  <si>
    <t>Victoria Karly</t>
  </si>
  <si>
    <t>A55207931</t>
  </si>
  <si>
    <t>9LNN7N6Q22N</t>
  </si>
  <si>
    <t>Kira Jessica</t>
  </si>
  <si>
    <t>A08193768</t>
  </si>
  <si>
    <t>KLNVSXZ6W66</t>
  </si>
  <si>
    <t>Robert Angel</t>
  </si>
  <si>
    <t>A08193767</t>
  </si>
  <si>
    <t>8NNRZTFQZYG</t>
  </si>
  <si>
    <t>Anabelle Grace</t>
  </si>
  <si>
    <t>A14735909</t>
  </si>
  <si>
    <t>28NJZTLSHQP</t>
  </si>
  <si>
    <t>Nicholas Enzo</t>
  </si>
  <si>
    <t>A13979160</t>
  </si>
  <si>
    <t>4FN9XKFFS9K</t>
  </si>
  <si>
    <t>Maria Yvonne</t>
  </si>
  <si>
    <t>665794118</t>
  </si>
  <si>
    <t>UA 893 on 12 Sep</t>
  </si>
  <si>
    <t>SMNVS6T9W7X</t>
  </si>
  <si>
    <t>Hau Kim</t>
  </si>
  <si>
    <t>A15777674</t>
  </si>
  <si>
    <t>ZXNPXP45L8Q</t>
  </si>
  <si>
    <t>Nora</t>
  </si>
  <si>
    <t>Centeno</t>
  </si>
  <si>
    <t>672079154</t>
  </si>
  <si>
    <t>H6N9NSXZFRJ</t>
  </si>
  <si>
    <t>Cesar</t>
  </si>
  <si>
    <t>672079156</t>
  </si>
  <si>
    <t>GCNBSRMNS2Y</t>
  </si>
  <si>
    <t>Stewart Chamlee</t>
  </si>
  <si>
    <t>A46927110</t>
  </si>
  <si>
    <t>5ZN5MNY33V8</t>
  </si>
  <si>
    <t>Ty Thanh</t>
  </si>
  <si>
    <t>665142417</t>
  </si>
  <si>
    <t>Next door with Joseph Umel No. 182</t>
  </si>
  <si>
    <t>2ZNY5BXKTWL</t>
  </si>
  <si>
    <t>Lia Linh</t>
  </si>
  <si>
    <t>665142414</t>
  </si>
  <si>
    <t>Q8N4RVGM5MK</t>
  </si>
  <si>
    <t>Veronica Luz</t>
  </si>
  <si>
    <t>Marquez</t>
  </si>
  <si>
    <t>680274543</t>
  </si>
  <si>
    <t>WNNSY83X4ZQ</t>
  </si>
  <si>
    <t>William Harold</t>
  </si>
  <si>
    <t>Mcgrath</t>
  </si>
  <si>
    <t>A58467612</t>
  </si>
  <si>
    <t>SGNWS9596FS</t>
  </si>
  <si>
    <t>Marissa Laney</t>
  </si>
  <si>
    <t>Million</t>
  </si>
  <si>
    <t>539354866</t>
  </si>
  <si>
    <t>FCNMCBBPWQ8</t>
  </si>
  <si>
    <t>Emory Mcgruder</t>
  </si>
  <si>
    <t>Hardee</t>
  </si>
  <si>
    <t>667800675</t>
  </si>
  <si>
    <t>PHNL4Z28SGZ</t>
  </si>
  <si>
    <t>Eli Lawrence</t>
  </si>
  <si>
    <t>Hill</t>
  </si>
  <si>
    <t>A59143702</t>
  </si>
  <si>
    <t>Shih-Siang</t>
  </si>
  <si>
    <t>JBA Team</t>
  </si>
  <si>
    <t>Huynh Long (Danny)</t>
  </si>
  <si>
    <t>Vo Toan Nhan (Tommy)</t>
  </si>
  <si>
    <t>Quang Tri (Brian)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</si>
</sst>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(* #,##0_);_(* \(#,##0\);_(* &quot;-&quot;_);_(@_)"/>
    <numFmt numFmtId="43" formatCode="_(* #,##0.00_);_(* \(#,##0.00\);_(* &quot;-&quot;??_);_(@_)"/>
    <numFmt numFmtId="164" formatCode="mmm\-dd\-yyyy"/>
    <numFmt numFmtId="165" formatCode="_(* #,##0_);_(* \(#,##0\);_(* &quot;-&quot;??_);_(@_)"/>
    <numFmt numFmtId="166" formatCode="h:mm;@"/>
    <numFmt numFmtId="167" formatCode="[$-409]d\-mmm\-yy;@"/>
    <numFmt numFmtId="168" formatCode="[$-409]d\-mmm;@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mbria"/>
      <family val="1"/>
    </font>
    <font>
      <b/>
      <sz val="11"/>
      <color theme="1"/>
      <name val="Cambria"/>
      <family val="1"/>
    </font>
    <font>
      <sz val="11"/>
      <name val="Cambria"/>
      <family val="1"/>
    </font>
    <font>
      <b/>
      <sz val="16"/>
      <color rgb="FFC00000"/>
      <name val="Cambria"/>
      <family val="1"/>
    </font>
    <font>
      <b/>
      <sz val="11"/>
      <color theme="3" tint="-0.499984740745262"/>
      <name val="Cambria"/>
      <family val="1"/>
    </font>
    <font>
      <sz val="11"/>
      <color rgb="FFFF0000"/>
      <name val="Cambria"/>
      <family val="1"/>
    </font>
    <font>
      <b/>
      <sz val="11"/>
      <color rgb="FFFF0000"/>
      <name val="Cambria"/>
      <family val="1"/>
    </font>
    <font>
      <b/>
      <sz val="11"/>
      <color theme="4" tint="-0.249977111117893"/>
      <name val="Cambria"/>
      <family val="1"/>
    </font>
    <font>
      <sz val="11"/>
      <color indexed="9"/>
      <name val="Cambria"/>
      <family val="1"/>
    </font>
    <font>
      <b/>
      <sz val="11"/>
      <color rgb="FF0000FF"/>
      <name val="Cambria"/>
      <family val="1"/>
    </font>
    <font>
      <b/>
      <sz val="11"/>
      <name val="Cambria"/>
      <family val="1"/>
    </font>
    <font>
      <b/>
      <sz val="11"/>
      <color theme="0"/>
      <name val="Cambria"/>
      <family val="1"/>
    </font>
    <font>
      <sz val="11"/>
      <color theme="1"/>
      <name val="Cambria"/>
      <family val="1"/>
    </font>
    <font>
      <b/>
      <sz val="10"/>
      <color rgb="FF000000"/>
      <name val="Arial"/>
      <family val="2"/>
    </font>
    <font>
      <sz val="11"/>
      <color theme="1"/>
      <name val="Cambria Math"/>
      <family val="1"/>
    </font>
    <font>
      <sz val="10"/>
      <name val="Cambria"/>
      <family val="2"/>
      <scheme val="major"/>
    </font>
    <font>
      <sz val="11"/>
      <name val="Cambria"/>
      <family val="1"/>
      <scheme val="major"/>
    </font>
    <font>
      <sz val="11"/>
      <color rgb="FFFF0000"/>
      <name val="Cambria Math"/>
      <family val="1"/>
    </font>
    <font>
      <sz val="11"/>
      <color theme="0"/>
      <name val="Cambria"/>
      <family val="1"/>
      <scheme val="major"/>
    </font>
    <font>
      <sz val="11"/>
      <color theme="1"/>
      <name val="Cambria"/>
      <family val="1"/>
      <scheme val="major"/>
    </font>
    <font>
      <sz val="11"/>
      <color rgb="FFFF0000"/>
      <name val="Cambria"/>
      <family val="1"/>
      <scheme val="major"/>
    </font>
    <font>
      <sz val="10"/>
      <color rgb="FFFF0000"/>
      <name val="Cambria"/>
      <family val="2"/>
      <scheme val="major"/>
    </font>
    <font>
      <b/>
      <sz val="11"/>
      <color theme="1"/>
      <name val="Cambria"/>
      <family val="1"/>
      <scheme val="major"/>
    </font>
    <font>
      <sz val="11"/>
      <color rgb="FF010A5F"/>
      <name val="Cambria"/>
      <family val="1"/>
      <scheme val="major"/>
    </font>
    <font>
      <sz val="11"/>
      <color rgb="FF010A5F"/>
      <name val="Cambria"/>
      <family val="1"/>
    </font>
    <font>
      <sz val="11"/>
      <color rgb="FF010A5F"/>
      <name val="Cambria (Body)_x0000_"/>
    </font>
    <font>
      <sz val="10"/>
      <color rgb="FF010A5F"/>
      <name val="Cambria (Body)_x0000_"/>
    </font>
    <font>
      <sz val="11"/>
      <color rgb="FFFF0000"/>
      <name val="Cambria (Body)_x0000_"/>
    </font>
    <font>
      <sz val="10"/>
      <color rgb="FFFF0000"/>
      <name val="Cambria (Body)_x0000_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b/>
      <sz val="11"/>
      <color rgb="FF000000"/>
      <name val="Cambria"/>
      <family val="1"/>
    </font>
    <font>
      <b/>
      <sz val="11"/>
      <name val="Cambria "/>
    </font>
    <font>
      <b/>
      <sz val="11"/>
      <color theme="3" tint="-0.499984740745262"/>
      <name val="Cambria "/>
    </font>
    <font>
      <sz val="11"/>
      <color rgb="FFC00000"/>
      <name val="Cambria"/>
      <family val="1"/>
    </font>
    <font>
      <sz val="11"/>
      <color rgb="FF000000"/>
      <name val="Cambria"/>
      <family val="1"/>
    </font>
    <font>
      <b/>
      <sz val="11"/>
      <color rgb="FFFF2600"/>
      <name val="Cambria"/>
      <family val="1"/>
    </font>
    <font>
      <sz val="11"/>
      <color rgb="FFFF2600"/>
      <name val="Cambria"/>
      <family val="1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B0F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thin">
        <color indexed="64"/>
      </right>
      <top style="dotted">
        <color indexed="64"/>
      </top>
      <bottom/>
      <diagonal/>
    </border>
    <border>
      <left style="dotted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rgb="FF0000FF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/>
      <top/>
      <bottom style="dotted">
        <color indexed="64"/>
      </bottom>
      <diagonal/>
    </border>
    <border>
      <left style="dotted">
        <color indexed="64"/>
      </left>
      <right/>
      <top style="thin">
        <color indexed="64"/>
      </top>
      <bottom/>
      <diagonal/>
    </border>
    <border>
      <left style="dotted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tted">
        <color indexed="64"/>
      </left>
      <right/>
      <top style="dotted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342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2" fillId="2" borderId="0" xfId="0" applyFont="1" applyFill="1" applyAlignment="1">
      <alignment horizontal="center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  <xf numFmtId="0" fontId="6" fillId="2" borderId="0" xfId="0" applyFont="1" applyFill="1" applyAlignment="1">
      <alignment horizontal="center"/>
    </xf>
    <xf numFmtId="164" fontId="7" fillId="2" borderId="0" xfId="0" applyNumberFormat="1" applyFont="1" applyFill="1" applyAlignment="1">
      <alignment horizontal="left"/>
    </xf>
    <xf numFmtId="0" fontId="7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 vertical="center"/>
    </xf>
    <xf numFmtId="0" fontId="7" fillId="2" borderId="0" xfId="0" applyFont="1" applyFill="1"/>
    <xf numFmtId="0" fontId="2" fillId="2" borderId="0" xfId="0" applyFont="1" applyFill="1" applyAlignment="1">
      <alignment vertical="center" wrapText="1"/>
    </xf>
    <xf numFmtId="164" fontId="7" fillId="2" borderId="0" xfId="0" applyNumberFormat="1" applyFont="1" applyFill="1" applyAlignment="1">
      <alignment horizontal="left" vertical="center"/>
    </xf>
    <xf numFmtId="0" fontId="3" fillId="3" borderId="1" xfId="2" applyNumberFormat="1" applyFont="1" applyFill="1" applyBorder="1" applyAlignment="1">
      <alignment horizontal="center" vertical="center" wrapText="1"/>
    </xf>
    <xf numFmtId="41" fontId="3" fillId="4" borderId="1" xfId="2" applyFont="1" applyFill="1" applyBorder="1" applyAlignment="1">
      <alignment horizontal="center" vertical="center" wrapText="1"/>
    </xf>
    <xf numFmtId="41" fontId="9" fillId="2" borderId="2" xfId="2" applyFont="1" applyFill="1" applyBorder="1" applyAlignment="1">
      <alignment horizontal="center" vertical="center" wrapText="1"/>
    </xf>
    <xf numFmtId="14" fontId="10" fillId="2" borderId="0" xfId="0" applyNumberFormat="1" applyFont="1" applyFill="1" applyAlignment="1">
      <alignment horizontal="center" vertical="center"/>
    </xf>
    <xf numFmtId="41" fontId="9" fillId="2" borderId="0" xfId="2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wrapText="1"/>
    </xf>
    <xf numFmtId="43" fontId="4" fillId="2" borderId="0" xfId="1" applyFont="1" applyFill="1" applyAlignment="1">
      <alignment horizontal="center" wrapText="1"/>
    </xf>
    <xf numFmtId="165" fontId="10" fillId="2" borderId="0" xfId="1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vertical="center" wrapText="1"/>
    </xf>
    <xf numFmtId="0" fontId="8" fillId="2" borderId="0" xfId="0" applyFont="1" applyFill="1" applyAlignment="1">
      <alignment vertical="top"/>
    </xf>
    <xf numFmtId="1" fontId="6" fillId="2" borderId="1" xfId="0" applyNumberFormat="1" applyFont="1" applyFill="1" applyBorder="1" applyAlignment="1">
      <alignment horizontal="center"/>
    </xf>
    <xf numFmtId="1" fontId="11" fillId="2" borderId="1" xfId="0" applyNumberFormat="1" applyFont="1" applyFill="1" applyBorder="1" applyAlignment="1">
      <alignment horizontal="center"/>
    </xf>
    <xf numFmtId="1" fontId="6" fillId="2" borderId="0" xfId="0" applyNumberFormat="1" applyFont="1" applyFill="1" applyAlignment="1">
      <alignment horizont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" fontId="11" fillId="2" borderId="0" xfId="0" applyNumberFormat="1" applyFont="1" applyFill="1" applyAlignment="1">
      <alignment horizontal="center"/>
    </xf>
    <xf numFmtId="0" fontId="4" fillId="2" borderId="1" xfId="0" applyFont="1" applyFill="1" applyBorder="1"/>
    <xf numFmtId="0" fontId="12" fillId="2" borderId="0" xfId="0" applyFont="1" applyFill="1" applyAlignment="1">
      <alignment vertical="center"/>
    </xf>
    <xf numFmtId="1" fontId="12" fillId="6" borderId="4" xfId="0" applyNumberFormat="1" applyFont="1" applyFill="1" applyBorder="1" applyAlignment="1" applyProtection="1">
      <alignment horizontal="center" vertical="center" wrapText="1"/>
      <protection hidden="1"/>
    </xf>
    <xf numFmtId="1" fontId="12" fillId="6" borderId="4" xfId="1" applyNumberFormat="1" applyFont="1" applyFill="1" applyBorder="1" applyAlignment="1" applyProtection="1">
      <alignment vertical="center" wrapText="1"/>
      <protection hidden="1"/>
    </xf>
    <xf numFmtId="1" fontId="12" fillId="6" borderId="4" xfId="0" applyNumberFormat="1" applyFont="1" applyFill="1" applyBorder="1" applyAlignment="1" applyProtection="1">
      <alignment vertical="center" wrapText="1"/>
      <protection hidden="1"/>
    </xf>
    <xf numFmtId="1" fontId="12" fillId="7" borderId="4" xfId="0" applyNumberFormat="1" applyFont="1" applyFill="1" applyBorder="1" applyAlignment="1">
      <alignment horizontal="center" vertical="center" wrapText="1"/>
    </xf>
    <xf numFmtId="1" fontId="12" fillId="7" borderId="4" xfId="1" applyNumberFormat="1" applyFont="1" applyFill="1" applyBorder="1" applyAlignment="1">
      <alignment vertical="center"/>
    </xf>
    <xf numFmtId="1" fontId="12" fillId="7" borderId="4" xfId="0" applyNumberFormat="1" applyFont="1" applyFill="1" applyBorder="1" applyAlignment="1">
      <alignment vertical="center" wrapText="1"/>
    </xf>
    <xf numFmtId="1" fontId="12" fillId="7" borderId="4" xfId="1" applyNumberFormat="1" applyFont="1" applyFill="1" applyBorder="1" applyAlignment="1">
      <alignment horizontal="center" vertical="center" wrapText="1"/>
    </xf>
    <xf numFmtId="1" fontId="12" fillId="4" borderId="8" xfId="0" applyNumberFormat="1" applyFont="1" applyFill="1" applyBorder="1" applyAlignment="1">
      <alignment horizontal="center" vertical="center" wrapText="1"/>
    </xf>
    <xf numFmtId="0" fontId="12" fillId="4" borderId="8" xfId="0" applyFont="1" applyFill="1" applyBorder="1" applyAlignment="1">
      <alignment vertical="center" wrapText="1"/>
    </xf>
    <xf numFmtId="1" fontId="13" fillId="8" borderId="8" xfId="0" quotePrefix="1" applyNumberFormat="1" applyFont="1" applyFill="1" applyBorder="1" applyAlignment="1">
      <alignment horizontal="center" vertical="top" wrapText="1"/>
    </xf>
    <xf numFmtId="1" fontId="13" fillId="8" borderId="8" xfId="1" quotePrefix="1" applyNumberFormat="1" applyFont="1" applyFill="1" applyBorder="1" applyAlignment="1">
      <alignment horizontal="center" vertical="top" wrapText="1"/>
    </xf>
    <xf numFmtId="1" fontId="2" fillId="8" borderId="8" xfId="0" quotePrefix="1" applyNumberFormat="1" applyFont="1" applyFill="1" applyBorder="1" applyAlignment="1">
      <alignment horizontal="center" vertical="top" wrapText="1"/>
    </xf>
    <xf numFmtId="166" fontId="12" fillId="4" borderId="8" xfId="0" applyNumberFormat="1" applyFont="1" applyFill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167" fontId="14" fillId="0" borderId="4" xfId="0" applyNumberFormat="1" applyFont="1" applyBorder="1" applyAlignment="1">
      <alignment horizontal="center" vertical="center" wrapText="1"/>
    </xf>
    <xf numFmtId="16" fontId="14" fillId="9" borderId="4" xfId="0" applyNumberFormat="1" applyFont="1" applyFill="1" applyBorder="1" applyAlignment="1">
      <alignment horizontal="center" vertical="center" wrapText="1"/>
    </xf>
    <xf numFmtId="0" fontId="14" fillId="9" borderId="4" xfId="0" applyFont="1" applyFill="1" applyBorder="1" applyAlignment="1">
      <alignment horizontal="center" vertical="center" wrapText="1"/>
    </xf>
    <xf numFmtId="166" fontId="14" fillId="0" borderId="4" xfId="0" applyNumberFormat="1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0" fontId="4" fillId="2" borderId="6" xfId="0" applyFont="1" applyFill="1" applyBorder="1"/>
    <xf numFmtId="0" fontId="4" fillId="0" borderId="12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/>
    </xf>
    <xf numFmtId="167" fontId="14" fillId="0" borderId="13" xfId="0" applyNumberFormat="1" applyFont="1" applyBorder="1" applyAlignment="1">
      <alignment horizontal="center" vertical="center" wrapText="1"/>
    </xf>
    <xf numFmtId="166" fontId="14" fillId="0" borderId="13" xfId="0" applyNumberFormat="1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4" fillId="2" borderId="15" xfId="0" applyFont="1" applyFill="1" applyBorder="1"/>
    <xf numFmtId="0" fontId="14" fillId="10" borderId="13" xfId="0" applyFont="1" applyFill="1" applyBorder="1" applyAlignment="1">
      <alignment horizontal="center" vertical="center" wrapText="1"/>
    </xf>
    <xf numFmtId="167" fontId="14" fillId="10" borderId="13" xfId="0" applyNumberFormat="1" applyFont="1" applyFill="1" applyBorder="1" applyAlignment="1">
      <alignment horizontal="center" vertical="center" wrapText="1"/>
    </xf>
    <xf numFmtId="0" fontId="4" fillId="10" borderId="15" xfId="0" applyFont="1" applyFill="1" applyBorder="1"/>
    <xf numFmtId="0" fontId="14" fillId="10" borderId="13" xfId="0" applyFont="1" applyFill="1" applyBorder="1" applyAlignment="1">
      <alignment horizontal="center" vertical="center"/>
    </xf>
    <xf numFmtId="16" fontId="14" fillId="10" borderId="4" xfId="0" applyNumberFormat="1" applyFont="1" applyFill="1" applyBorder="1" applyAlignment="1">
      <alignment horizontal="center" vertical="center" wrapText="1"/>
    </xf>
    <xf numFmtId="0" fontId="14" fillId="10" borderId="4" xfId="0" applyFont="1" applyFill="1" applyBorder="1" applyAlignment="1">
      <alignment horizontal="center" vertical="center" wrapText="1"/>
    </xf>
    <xf numFmtId="166" fontId="14" fillId="10" borderId="13" xfId="0" applyNumberFormat="1" applyFont="1" applyFill="1" applyBorder="1" applyAlignment="1">
      <alignment horizontal="center" vertical="center" wrapText="1"/>
    </xf>
    <xf numFmtId="167" fontId="14" fillId="5" borderId="13" xfId="0" applyNumberFormat="1" applyFont="1" applyFill="1" applyBorder="1" applyAlignment="1">
      <alignment horizontal="center" vertical="center" wrapText="1"/>
    </xf>
    <xf numFmtId="166" fontId="14" fillId="5" borderId="13" xfId="0" applyNumberFormat="1" applyFont="1" applyFill="1" applyBorder="1" applyAlignment="1">
      <alignment horizontal="center" vertical="center" wrapText="1"/>
    </xf>
    <xf numFmtId="0" fontId="14" fillId="5" borderId="13" xfId="0" applyFont="1" applyFill="1" applyBorder="1" applyAlignment="1">
      <alignment horizontal="center" vertical="center" wrapText="1"/>
    </xf>
    <xf numFmtId="16" fontId="14" fillId="5" borderId="4" xfId="0" applyNumberFormat="1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 vertical="center" wrapText="1"/>
    </xf>
    <xf numFmtId="0" fontId="14" fillId="11" borderId="13" xfId="0" applyFont="1" applyFill="1" applyBorder="1" applyAlignment="1">
      <alignment horizontal="center" vertical="center" wrapText="1"/>
    </xf>
    <xf numFmtId="0" fontId="3" fillId="11" borderId="13" xfId="0" applyFont="1" applyFill="1" applyBorder="1" applyAlignment="1">
      <alignment horizontal="center" vertical="center" wrapText="1"/>
    </xf>
    <xf numFmtId="0" fontId="14" fillId="2" borderId="13" xfId="0" applyFont="1" applyFill="1" applyBorder="1" applyAlignment="1">
      <alignment horizontal="center"/>
    </xf>
    <xf numFmtId="0" fontId="7" fillId="0" borderId="13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167" fontId="7" fillId="0" borderId="13" xfId="0" applyNumberFormat="1" applyFont="1" applyBorder="1" applyAlignment="1">
      <alignment horizontal="center" vertical="center" wrapText="1"/>
    </xf>
    <xf numFmtId="166" fontId="7" fillId="0" borderId="13" xfId="0" applyNumberFormat="1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10" borderId="13" xfId="0" applyFont="1" applyFill="1" applyBorder="1" applyAlignment="1">
      <alignment horizontal="center" vertical="center" wrapText="1"/>
    </xf>
    <xf numFmtId="167" fontId="7" fillId="10" borderId="13" xfId="0" applyNumberFormat="1" applyFont="1" applyFill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/>
    </xf>
    <xf numFmtId="0" fontId="14" fillId="2" borderId="17" xfId="0" applyFont="1" applyFill="1" applyBorder="1" applyAlignment="1">
      <alignment horizontal="center"/>
    </xf>
    <xf numFmtId="0" fontId="14" fillId="0" borderId="17" xfId="0" applyFont="1" applyBorder="1" applyAlignment="1">
      <alignment horizontal="center" vertical="center" wrapText="1"/>
    </xf>
    <xf numFmtId="0" fontId="14" fillId="0" borderId="17" xfId="0" applyFont="1" applyBorder="1" applyAlignment="1">
      <alignment horizontal="center" vertical="center"/>
    </xf>
    <xf numFmtId="0" fontId="7" fillId="10" borderId="17" xfId="0" applyFont="1" applyFill="1" applyBorder="1" applyAlignment="1">
      <alignment horizontal="center" vertical="center" wrapText="1"/>
    </xf>
    <xf numFmtId="167" fontId="7" fillId="10" borderId="17" xfId="0" applyNumberFormat="1" applyFont="1" applyFill="1" applyBorder="1" applyAlignment="1">
      <alignment horizontal="center" vertical="center" wrapText="1"/>
    </xf>
    <xf numFmtId="167" fontId="7" fillId="0" borderId="17" xfId="0" applyNumberFormat="1" applyFont="1" applyBorder="1" applyAlignment="1">
      <alignment horizontal="center" vertical="center" wrapText="1"/>
    </xf>
    <xf numFmtId="166" fontId="7" fillId="0" borderId="17" xfId="0" applyNumberFormat="1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4" fillId="10" borderId="20" xfId="0" applyFont="1" applyFill="1" applyBorder="1"/>
    <xf numFmtId="0" fontId="14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16" fillId="0" borderId="4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/>
    </xf>
    <xf numFmtId="167" fontId="16" fillId="0" borderId="4" xfId="0" applyNumberFormat="1" applyFont="1" applyBorder="1" applyAlignment="1">
      <alignment horizontal="center" vertical="center" wrapText="1"/>
    </xf>
    <xf numFmtId="16" fontId="16" fillId="9" borderId="4" xfId="0" applyNumberFormat="1" applyFont="1" applyFill="1" applyBorder="1" applyAlignment="1">
      <alignment horizontal="center" vertical="center" wrapText="1"/>
    </xf>
    <xf numFmtId="0" fontId="16" fillId="9" borderId="4" xfId="0" applyFont="1" applyFill="1" applyBorder="1" applyAlignment="1">
      <alignment horizontal="center" vertical="center" wrapText="1"/>
    </xf>
    <xf numFmtId="166" fontId="16" fillId="0" borderId="4" xfId="0" applyNumberFormat="1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/>
    </xf>
    <xf numFmtId="167" fontId="16" fillId="0" borderId="13" xfId="0" applyNumberFormat="1" applyFont="1" applyBorder="1" applyAlignment="1">
      <alignment horizontal="center" vertical="center" wrapText="1"/>
    </xf>
    <xf numFmtId="166" fontId="16" fillId="0" borderId="13" xfId="0" applyNumberFormat="1" applyFont="1" applyBorder="1" applyAlignment="1">
      <alignment horizontal="center" vertical="center" wrapText="1"/>
    </xf>
    <xf numFmtId="168" fontId="17" fillId="10" borderId="13" xfId="0" applyNumberFormat="1" applyFont="1" applyFill="1" applyBorder="1" applyAlignment="1">
      <alignment horizontal="center" vertical="top"/>
    </xf>
    <xf numFmtId="16" fontId="18" fillId="10" borderId="13" xfId="0" applyNumberFormat="1" applyFont="1" applyFill="1" applyBorder="1" applyAlignment="1">
      <alignment horizontal="center"/>
    </xf>
    <xf numFmtId="0" fontId="18" fillId="10" borderId="13" xfId="0" applyFont="1" applyFill="1" applyBorder="1" applyAlignment="1">
      <alignment horizontal="center"/>
    </xf>
    <xf numFmtId="0" fontId="16" fillId="10" borderId="13" xfId="0" applyFont="1" applyFill="1" applyBorder="1" applyAlignment="1">
      <alignment horizontal="center" vertical="center" wrapText="1"/>
    </xf>
    <xf numFmtId="0" fontId="16" fillId="11" borderId="13" xfId="0" applyFont="1" applyFill="1" applyBorder="1" applyAlignment="1">
      <alignment horizontal="center" vertical="center" wrapText="1"/>
    </xf>
    <xf numFmtId="167" fontId="16" fillId="10" borderId="13" xfId="0" applyNumberFormat="1" applyFont="1" applyFill="1" applyBorder="1" applyAlignment="1">
      <alignment horizontal="center" vertical="center" wrapText="1"/>
    </xf>
    <xf numFmtId="167" fontId="16" fillId="5" borderId="13" xfId="0" applyNumberFormat="1" applyFont="1" applyFill="1" applyBorder="1" applyAlignment="1">
      <alignment horizontal="center" vertical="center" wrapText="1"/>
    </xf>
    <xf numFmtId="166" fontId="16" fillId="5" borderId="13" xfId="0" applyNumberFormat="1" applyFont="1" applyFill="1" applyBorder="1" applyAlignment="1">
      <alignment horizontal="center" vertical="center" wrapText="1"/>
    </xf>
    <xf numFmtId="0" fontId="16" fillId="5" borderId="13" xfId="0" applyFont="1" applyFill="1" applyBorder="1" applyAlignment="1">
      <alignment horizontal="center" vertical="center" wrapText="1"/>
    </xf>
    <xf numFmtId="16" fontId="16" fillId="10" borderId="4" xfId="0" applyNumberFormat="1" applyFont="1" applyFill="1" applyBorder="1" applyAlignment="1">
      <alignment horizontal="center" vertical="center" wrapText="1"/>
    </xf>
    <xf numFmtId="0" fontId="16" fillId="10" borderId="4" xfId="0" applyFont="1" applyFill="1" applyBorder="1" applyAlignment="1">
      <alignment horizontal="center" vertical="center" wrapText="1"/>
    </xf>
    <xf numFmtId="166" fontId="16" fillId="10" borderId="13" xfId="0" applyNumberFormat="1" applyFont="1" applyFill="1" applyBorder="1" applyAlignment="1">
      <alignment horizontal="center" vertical="center" wrapText="1"/>
    </xf>
    <xf numFmtId="16" fontId="16" fillId="5" borderId="4" xfId="0" applyNumberFormat="1" applyFont="1" applyFill="1" applyBorder="1" applyAlignment="1">
      <alignment horizontal="center" vertical="center" wrapText="1"/>
    </xf>
    <xf numFmtId="0" fontId="16" fillId="5" borderId="4" xfId="0" applyFont="1" applyFill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/>
    </xf>
    <xf numFmtId="167" fontId="19" fillId="0" borderId="13" xfId="0" applyNumberFormat="1" applyFont="1" applyBorder="1" applyAlignment="1">
      <alignment horizontal="center" vertical="center" wrapText="1"/>
    </xf>
    <xf numFmtId="16" fontId="19" fillId="5" borderId="4" xfId="0" applyNumberFormat="1" applyFont="1" applyFill="1" applyBorder="1" applyAlignment="1">
      <alignment horizontal="center" vertical="center" wrapText="1"/>
    </xf>
    <xf numFmtId="0" fontId="19" fillId="5" borderId="4" xfId="0" applyFont="1" applyFill="1" applyBorder="1" applyAlignment="1">
      <alignment horizontal="center" vertical="center" wrapText="1"/>
    </xf>
    <xf numFmtId="0" fontId="3" fillId="2" borderId="12" xfId="0" applyFont="1" applyFill="1" applyBorder="1"/>
    <xf numFmtId="0" fontId="3" fillId="2" borderId="13" xfId="0" applyFont="1" applyFill="1" applyBorder="1" applyAlignment="1">
      <alignment horizontal="center" vertical="center"/>
    </xf>
    <xf numFmtId="0" fontId="2" fillId="2" borderId="13" xfId="0" applyFont="1" applyFill="1" applyBorder="1"/>
    <xf numFmtId="0" fontId="4" fillId="2" borderId="13" xfId="0" applyFont="1" applyFill="1" applyBorder="1"/>
    <xf numFmtId="0" fontId="4" fillId="2" borderId="13" xfId="0" applyFont="1" applyFill="1" applyBorder="1" applyAlignment="1">
      <alignment horizontal="center"/>
    </xf>
    <xf numFmtId="43" fontId="4" fillId="2" borderId="13" xfId="1" applyFont="1" applyFill="1" applyBorder="1" applyAlignment="1">
      <alignment horizontal="center"/>
    </xf>
    <xf numFmtId="0" fontId="3" fillId="2" borderId="18" xfId="0" applyFont="1" applyFill="1" applyBorder="1"/>
    <xf numFmtId="0" fontId="3" fillId="2" borderId="17" xfId="0" applyFont="1" applyFill="1" applyBorder="1" applyAlignment="1">
      <alignment horizontal="center" vertical="center"/>
    </xf>
    <xf numFmtId="0" fontId="2" fillId="2" borderId="17" xfId="0" applyFont="1" applyFill="1" applyBorder="1"/>
    <xf numFmtId="0" fontId="4" fillId="2" borderId="17" xfId="0" applyFont="1" applyFill="1" applyBorder="1"/>
    <xf numFmtId="0" fontId="4" fillId="2" borderId="17" xfId="0" applyFont="1" applyFill="1" applyBorder="1" applyAlignment="1">
      <alignment horizontal="center"/>
    </xf>
    <xf numFmtId="43" fontId="4" fillId="2" borderId="17" xfId="1" applyFont="1" applyFill="1" applyBorder="1" applyAlignment="1">
      <alignment horizontal="center"/>
    </xf>
    <xf numFmtId="0" fontId="4" fillId="2" borderId="20" xfId="0" applyFont="1" applyFill="1" applyBorder="1"/>
    <xf numFmtId="0" fontId="20" fillId="2" borderId="0" xfId="0" applyFont="1" applyFill="1"/>
    <xf numFmtId="0" fontId="21" fillId="0" borderId="3" xfId="0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/>
    </xf>
    <xf numFmtId="167" fontId="21" fillId="0" borderId="4" xfId="0" applyNumberFormat="1" applyFont="1" applyBorder="1" applyAlignment="1">
      <alignment horizontal="center" vertical="center" wrapText="1"/>
    </xf>
    <xf numFmtId="168" fontId="17" fillId="5" borderId="4" xfId="0" applyNumberFormat="1" applyFont="1" applyFill="1" applyBorder="1" applyAlignment="1">
      <alignment horizontal="center" vertical="top"/>
    </xf>
    <xf numFmtId="16" fontId="18" fillId="5" borderId="4" xfId="0" applyNumberFormat="1" applyFont="1" applyFill="1" applyBorder="1" applyAlignment="1">
      <alignment horizontal="center"/>
    </xf>
    <xf numFmtId="0" fontId="18" fillId="5" borderId="4" xfId="0" applyFont="1" applyFill="1" applyBorder="1" applyAlignment="1">
      <alignment horizontal="center"/>
    </xf>
    <xf numFmtId="166" fontId="21" fillId="0" borderId="4" xfId="0" applyNumberFormat="1" applyFont="1" applyBorder="1" applyAlignment="1">
      <alignment horizontal="center" vertical="center" wrapText="1"/>
    </xf>
    <xf numFmtId="0" fontId="21" fillId="11" borderId="4" xfId="0" applyFont="1" applyFill="1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 wrapText="1"/>
    </xf>
    <xf numFmtId="0" fontId="18" fillId="2" borderId="6" xfId="0" applyFont="1" applyFill="1" applyBorder="1"/>
    <xf numFmtId="0" fontId="18" fillId="2" borderId="0" xfId="0" applyFont="1" applyFill="1"/>
    <xf numFmtId="0" fontId="18" fillId="0" borderId="12" xfId="0" applyFont="1" applyBorder="1" applyAlignment="1">
      <alignment horizontal="center" vertical="center"/>
    </xf>
    <xf numFmtId="0" fontId="21" fillId="0" borderId="13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/>
    </xf>
    <xf numFmtId="167" fontId="21" fillId="0" borderId="13" xfId="0" applyNumberFormat="1" applyFont="1" applyBorder="1" applyAlignment="1">
      <alignment horizontal="center" vertical="center" wrapText="1"/>
    </xf>
    <xf numFmtId="166" fontId="21" fillId="0" borderId="13" xfId="0" applyNumberFormat="1" applyFont="1" applyBorder="1" applyAlignment="1">
      <alignment horizontal="center" vertical="center" wrapText="1"/>
    </xf>
    <xf numFmtId="0" fontId="22" fillId="11" borderId="13" xfId="0" applyFont="1" applyFill="1" applyBorder="1" applyAlignment="1">
      <alignment horizontal="center" vertical="center" wrapText="1"/>
    </xf>
    <xf numFmtId="0" fontId="21" fillId="0" borderId="23" xfId="0" applyFont="1" applyBorder="1" applyAlignment="1">
      <alignment horizontal="center" vertical="center" wrapText="1"/>
    </xf>
    <xf numFmtId="0" fontId="18" fillId="2" borderId="15" xfId="0" applyFont="1" applyFill="1" applyBorder="1"/>
    <xf numFmtId="0" fontId="21" fillId="0" borderId="8" xfId="0" applyFont="1" applyBorder="1" applyAlignment="1">
      <alignment horizontal="center" vertical="center" wrapText="1"/>
    </xf>
    <xf numFmtId="0" fontId="21" fillId="11" borderId="13" xfId="0" applyFont="1" applyFill="1" applyBorder="1" applyAlignment="1">
      <alignment horizontal="center" vertical="center" wrapText="1"/>
    </xf>
    <xf numFmtId="168" fontId="17" fillId="12" borderId="13" xfId="0" applyNumberFormat="1" applyFont="1" applyFill="1" applyBorder="1" applyAlignment="1">
      <alignment horizontal="center" vertical="top"/>
    </xf>
    <xf numFmtId="16" fontId="18" fillId="12" borderId="13" xfId="0" applyNumberFormat="1" applyFont="1" applyFill="1" applyBorder="1" applyAlignment="1">
      <alignment horizontal="center"/>
    </xf>
    <xf numFmtId="0" fontId="18" fillId="12" borderId="13" xfId="0" applyFont="1" applyFill="1" applyBorder="1" applyAlignment="1">
      <alignment horizontal="center"/>
    </xf>
    <xf numFmtId="167" fontId="21" fillId="5" borderId="13" xfId="0" applyNumberFormat="1" applyFont="1" applyFill="1" applyBorder="1" applyAlignment="1">
      <alignment horizontal="center" vertical="center" wrapText="1"/>
    </xf>
    <xf numFmtId="166" fontId="21" fillId="5" borderId="13" xfId="0" applyNumberFormat="1" applyFont="1" applyFill="1" applyBorder="1" applyAlignment="1">
      <alignment horizontal="center" vertical="center" wrapText="1"/>
    </xf>
    <xf numFmtId="0" fontId="21" fillId="5" borderId="13" xfId="0" applyFont="1" applyFill="1" applyBorder="1" applyAlignment="1">
      <alignment horizontal="center" vertical="center" wrapText="1"/>
    </xf>
    <xf numFmtId="0" fontId="21" fillId="10" borderId="13" xfId="0" applyFont="1" applyFill="1" applyBorder="1" applyAlignment="1">
      <alignment horizontal="center" vertical="center" wrapText="1"/>
    </xf>
    <xf numFmtId="167" fontId="21" fillId="10" borderId="13" xfId="0" applyNumberFormat="1" applyFont="1" applyFill="1" applyBorder="1" applyAlignment="1">
      <alignment horizontal="center" vertical="center" wrapText="1"/>
    </xf>
    <xf numFmtId="166" fontId="21" fillId="10" borderId="13" xfId="0" applyNumberFormat="1" applyFont="1" applyFill="1" applyBorder="1" applyAlignment="1">
      <alignment horizontal="center" vertical="center" wrapText="1"/>
    </xf>
    <xf numFmtId="0" fontId="18" fillId="10" borderId="15" xfId="0" applyFont="1" applyFill="1" applyBorder="1"/>
    <xf numFmtId="0" fontId="21" fillId="10" borderId="13" xfId="0" applyFont="1" applyFill="1" applyBorder="1" applyAlignment="1">
      <alignment horizontal="center" vertical="center"/>
    </xf>
    <xf numFmtId="168" fontId="23" fillId="5" borderId="13" xfId="0" applyNumberFormat="1" applyFont="1" applyFill="1" applyBorder="1" applyAlignment="1">
      <alignment horizontal="center" vertical="top"/>
    </xf>
    <xf numFmtId="16" fontId="18" fillId="5" borderId="13" xfId="0" applyNumberFormat="1" applyFont="1" applyFill="1" applyBorder="1" applyAlignment="1">
      <alignment horizontal="center"/>
    </xf>
    <xf numFmtId="0" fontId="18" fillId="5" borderId="13" xfId="0" applyFont="1" applyFill="1" applyBorder="1" applyAlignment="1">
      <alignment horizontal="center"/>
    </xf>
    <xf numFmtId="0" fontId="22" fillId="10" borderId="15" xfId="0" applyFont="1" applyFill="1" applyBorder="1"/>
    <xf numFmtId="0" fontId="24" fillId="11" borderId="13" xfId="0" applyFont="1" applyFill="1" applyBorder="1" applyAlignment="1">
      <alignment horizontal="center" vertical="center" wrapText="1"/>
    </xf>
    <xf numFmtId="168" fontId="17" fillId="5" borderId="13" xfId="0" applyNumberFormat="1" applyFont="1" applyFill="1" applyBorder="1" applyAlignment="1">
      <alignment horizontal="center" vertical="top"/>
    </xf>
    <xf numFmtId="0" fontId="21" fillId="5" borderId="11" xfId="0" applyFont="1" applyFill="1" applyBorder="1" applyAlignment="1">
      <alignment horizontal="center" vertical="center" wrapText="1"/>
    </xf>
    <xf numFmtId="0" fontId="21" fillId="5" borderId="23" xfId="0" applyFont="1" applyFill="1" applyBorder="1" applyAlignment="1">
      <alignment horizontal="center" vertical="center" wrapText="1"/>
    </xf>
    <xf numFmtId="0" fontId="25" fillId="10" borderId="15" xfId="0" applyFont="1" applyFill="1" applyBorder="1"/>
    <xf numFmtId="0" fontId="21" fillId="2" borderId="13" xfId="0" applyFont="1" applyFill="1" applyBorder="1" applyAlignment="1">
      <alignment horizontal="center" vertical="center" wrapText="1"/>
    </xf>
    <xf numFmtId="0" fontId="21" fillId="0" borderId="13" xfId="0" applyFont="1" applyBorder="1" applyAlignment="1">
      <alignment horizontal="center"/>
    </xf>
    <xf numFmtId="0" fontId="21" fillId="0" borderId="8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 wrapText="1"/>
    </xf>
    <xf numFmtId="168" fontId="17" fillId="13" borderId="13" xfId="0" applyNumberFormat="1" applyFont="1" applyFill="1" applyBorder="1" applyAlignment="1">
      <alignment horizontal="center" vertical="top"/>
    </xf>
    <xf numFmtId="16" fontId="18" fillId="13" borderId="13" xfId="0" applyNumberFormat="1" applyFont="1" applyFill="1" applyBorder="1" applyAlignment="1">
      <alignment horizontal="center"/>
    </xf>
    <xf numFmtId="0" fontId="18" fillId="13" borderId="13" xfId="0" applyFont="1" applyFill="1" applyBorder="1" applyAlignment="1">
      <alignment horizontal="center"/>
    </xf>
    <xf numFmtId="0" fontId="18" fillId="0" borderId="7" xfId="0" applyFont="1" applyBorder="1" applyAlignment="1">
      <alignment horizontal="center" vertical="center"/>
    </xf>
    <xf numFmtId="167" fontId="21" fillId="0" borderId="8" xfId="0" applyNumberFormat="1" applyFont="1" applyBorder="1" applyAlignment="1">
      <alignment horizontal="center" vertical="center" wrapText="1"/>
    </xf>
    <xf numFmtId="168" fontId="17" fillId="12" borderId="8" xfId="0" applyNumberFormat="1" applyFont="1" applyFill="1" applyBorder="1" applyAlignment="1">
      <alignment horizontal="center" vertical="top"/>
    </xf>
    <xf numFmtId="16" fontId="18" fillId="12" borderId="8" xfId="0" applyNumberFormat="1" applyFont="1" applyFill="1" applyBorder="1" applyAlignment="1">
      <alignment horizontal="center"/>
    </xf>
    <xf numFmtId="0" fontId="18" fillId="12" borderId="8" xfId="0" applyFont="1" applyFill="1" applyBorder="1" applyAlignment="1">
      <alignment horizontal="center"/>
    </xf>
    <xf numFmtId="0" fontId="21" fillId="0" borderId="24" xfId="0" applyFont="1" applyBorder="1" applyAlignment="1">
      <alignment horizontal="center" vertical="center" wrapText="1"/>
    </xf>
    <xf numFmtId="0" fontId="21" fillId="0" borderId="25" xfId="0" applyFont="1" applyBorder="1" applyAlignment="1">
      <alignment horizontal="center" vertical="center" wrapText="1"/>
    </xf>
    <xf numFmtId="0" fontId="18" fillId="2" borderId="10" xfId="0" applyFont="1" applyFill="1" applyBorder="1"/>
    <xf numFmtId="0" fontId="14" fillId="2" borderId="26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26" fillId="10" borderId="13" xfId="0" applyFont="1" applyFill="1" applyBorder="1" applyAlignment="1">
      <alignment horizontal="center" vertical="center" wrapText="1"/>
    </xf>
    <xf numFmtId="167" fontId="26" fillId="10" borderId="13" xfId="0" applyNumberFormat="1" applyFont="1" applyFill="1" applyBorder="1" applyAlignment="1">
      <alignment horizontal="center" vertical="center" wrapText="1"/>
    </xf>
    <xf numFmtId="0" fontId="27" fillId="10" borderId="1" xfId="0" applyFont="1" applyFill="1" applyBorder="1" applyAlignment="1">
      <alignment horizontal="center"/>
    </xf>
    <xf numFmtId="168" fontId="28" fillId="10" borderId="1" xfId="0" applyNumberFormat="1" applyFont="1" applyFill="1" applyBorder="1" applyAlignment="1">
      <alignment horizontal="center" vertical="top"/>
    </xf>
    <xf numFmtId="16" fontId="27" fillId="10" borderId="1" xfId="0" applyNumberFormat="1" applyFont="1" applyFill="1" applyBorder="1" applyAlignment="1">
      <alignment horizontal="center"/>
    </xf>
    <xf numFmtId="0" fontId="29" fillId="2" borderId="1" xfId="0" applyFont="1" applyFill="1" applyBorder="1" applyAlignment="1">
      <alignment horizontal="center"/>
    </xf>
    <xf numFmtId="15" fontId="14" fillId="2" borderId="1" xfId="0" applyNumberFormat="1" applyFont="1" applyFill="1" applyBorder="1" applyAlignment="1">
      <alignment horizontal="center"/>
    </xf>
    <xf numFmtId="20" fontId="14" fillId="2" borderId="1" xfId="0" applyNumberFormat="1" applyFont="1" applyFill="1" applyBorder="1" applyAlignment="1">
      <alignment horizontal="center"/>
    </xf>
    <xf numFmtId="0" fontId="14" fillId="2" borderId="1" xfId="0" applyFont="1" applyFill="1" applyBorder="1" applyAlignment="1">
      <alignment horizontal="center"/>
    </xf>
    <xf numFmtId="43" fontId="14" fillId="2" borderId="1" xfId="1" applyFont="1" applyFill="1" applyBorder="1" applyAlignment="1">
      <alignment horizontal="center"/>
    </xf>
    <xf numFmtId="0" fontId="29" fillId="2" borderId="1" xfId="0" applyFont="1" applyFill="1" applyBorder="1"/>
    <xf numFmtId="0" fontId="21" fillId="0" borderId="27" xfId="0" applyFont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/>
    </xf>
    <xf numFmtId="0" fontId="3" fillId="2" borderId="1" xfId="0" applyFont="1" applyFill="1" applyBorder="1"/>
    <xf numFmtId="0" fontId="14" fillId="2" borderId="28" xfId="0" applyFont="1" applyFill="1" applyBorder="1" applyAlignment="1">
      <alignment vertical="center"/>
    </xf>
    <xf numFmtId="0" fontId="14" fillId="0" borderId="1" xfId="0" applyFont="1" applyBorder="1" applyAlignment="1">
      <alignment vertical="center"/>
    </xf>
    <xf numFmtId="0" fontId="2" fillId="2" borderId="1" xfId="0" applyFont="1" applyFill="1" applyBorder="1"/>
    <xf numFmtId="0" fontId="29" fillId="0" borderId="1" xfId="0" applyFont="1" applyBorder="1" applyAlignment="1">
      <alignment horizontal="center" vertical="center" wrapText="1"/>
    </xf>
    <xf numFmtId="168" fontId="30" fillId="12" borderId="1" xfId="0" applyNumberFormat="1" applyFont="1" applyFill="1" applyBorder="1" applyAlignment="1">
      <alignment horizontal="center" vertical="top"/>
    </xf>
    <xf numFmtId="16" fontId="29" fillId="12" borderId="1" xfId="0" applyNumberFormat="1" applyFont="1" applyFill="1" applyBorder="1" applyAlignment="1">
      <alignment horizontal="center"/>
    </xf>
    <xf numFmtId="0" fontId="29" fillId="12" borderId="1" xfId="0" applyFont="1" applyFill="1" applyBorder="1" applyAlignment="1">
      <alignment horizontal="center"/>
    </xf>
    <xf numFmtId="43" fontId="29" fillId="2" borderId="1" xfId="1" applyFont="1" applyFill="1" applyBorder="1" applyAlignment="1">
      <alignment horizontal="center"/>
    </xf>
    <xf numFmtId="0" fontId="21" fillId="0" borderId="1" xfId="0" applyFont="1" applyBorder="1" applyAlignment="1">
      <alignment horizontal="center" vertical="center"/>
    </xf>
    <xf numFmtId="0" fontId="14" fillId="2" borderId="1" xfId="0" applyFont="1" applyFill="1" applyBorder="1" applyAlignment="1">
      <alignment vertical="center"/>
    </xf>
    <xf numFmtId="168" fontId="30" fillId="13" borderId="1" xfId="0" applyNumberFormat="1" applyFont="1" applyFill="1" applyBorder="1" applyAlignment="1">
      <alignment horizontal="center" vertical="top"/>
    </xf>
    <xf numFmtId="16" fontId="29" fillId="13" borderId="1" xfId="0" applyNumberFormat="1" applyFont="1" applyFill="1" applyBorder="1" applyAlignment="1">
      <alignment horizontal="center"/>
    </xf>
    <xf numFmtId="0" fontId="29" fillId="13" borderId="1" xfId="0" applyFont="1" applyFill="1" applyBorder="1" applyAlignment="1">
      <alignment horizontal="center"/>
    </xf>
    <xf numFmtId="0" fontId="29" fillId="10" borderId="1" xfId="0" applyFont="1" applyFill="1" applyBorder="1" applyAlignment="1">
      <alignment horizontal="center"/>
    </xf>
    <xf numFmtId="0" fontId="3" fillId="2" borderId="29" xfId="0" applyFont="1" applyFill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14" fillId="2" borderId="4" xfId="0" applyFont="1" applyFill="1" applyBorder="1" applyAlignment="1">
      <alignment vertical="center"/>
    </xf>
    <xf numFmtId="0" fontId="14" fillId="2" borderId="4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2" fillId="2" borderId="4" xfId="0" applyFont="1" applyFill="1" applyBorder="1"/>
    <xf numFmtId="0" fontId="26" fillId="2" borderId="13" xfId="0" applyFont="1" applyFill="1" applyBorder="1" applyAlignment="1">
      <alignment horizontal="center" vertical="center" wrapText="1"/>
    </xf>
    <xf numFmtId="167" fontId="26" fillId="2" borderId="13" xfId="0" applyNumberFormat="1" applyFont="1" applyFill="1" applyBorder="1" applyAlignment="1">
      <alignment horizontal="center" vertical="center" wrapText="1"/>
    </xf>
    <xf numFmtId="0" fontId="27" fillId="2" borderId="4" xfId="0" applyFont="1" applyFill="1" applyBorder="1" applyAlignment="1">
      <alignment horizontal="center"/>
    </xf>
    <xf numFmtId="168" fontId="28" fillId="2" borderId="4" xfId="0" applyNumberFormat="1" applyFont="1" applyFill="1" applyBorder="1" applyAlignment="1">
      <alignment horizontal="center" vertical="top"/>
    </xf>
    <xf numFmtId="16" fontId="27" fillId="2" borderId="4" xfId="0" applyNumberFormat="1" applyFont="1" applyFill="1" applyBorder="1" applyAlignment="1">
      <alignment horizontal="center"/>
    </xf>
    <xf numFmtId="0" fontId="29" fillId="2" borderId="4" xfId="0" applyFont="1" applyFill="1" applyBorder="1" applyAlignment="1">
      <alignment horizontal="center"/>
    </xf>
    <xf numFmtId="0" fontId="29" fillId="2" borderId="4" xfId="0" applyFont="1" applyFill="1" applyBorder="1"/>
    <xf numFmtId="43" fontId="29" fillId="2" borderId="4" xfId="1" applyFont="1" applyFill="1" applyBorder="1" applyAlignment="1">
      <alignment horizontal="center"/>
    </xf>
    <xf numFmtId="0" fontId="21" fillId="2" borderId="4" xfId="0" applyFont="1" applyFill="1" applyBorder="1" applyAlignment="1">
      <alignment horizontal="center" vertical="center" wrapText="1"/>
    </xf>
    <xf numFmtId="0" fontId="21" fillId="2" borderId="11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/>
    </xf>
    <xf numFmtId="0" fontId="14" fillId="2" borderId="17" xfId="0" applyFont="1" applyFill="1" applyBorder="1" applyAlignment="1">
      <alignment vertical="center"/>
    </xf>
    <xf numFmtId="0" fontId="26" fillId="2" borderId="17" xfId="0" applyFont="1" applyFill="1" applyBorder="1" applyAlignment="1">
      <alignment horizontal="center" vertical="center" wrapText="1"/>
    </xf>
    <xf numFmtId="167" fontId="26" fillId="2" borderId="17" xfId="0" applyNumberFormat="1" applyFont="1" applyFill="1" applyBorder="1" applyAlignment="1">
      <alignment horizontal="center" vertical="center" wrapText="1"/>
    </xf>
    <xf numFmtId="0" fontId="27" fillId="2" borderId="17" xfId="0" applyFont="1" applyFill="1" applyBorder="1" applyAlignment="1">
      <alignment horizontal="center"/>
    </xf>
    <xf numFmtId="168" fontId="28" fillId="2" borderId="17" xfId="0" applyNumberFormat="1" applyFont="1" applyFill="1" applyBorder="1" applyAlignment="1">
      <alignment horizontal="center" vertical="top"/>
    </xf>
    <xf numFmtId="16" fontId="27" fillId="2" borderId="17" xfId="0" applyNumberFormat="1" applyFont="1" applyFill="1" applyBorder="1" applyAlignment="1">
      <alignment horizontal="center"/>
    </xf>
    <xf numFmtId="0" fontId="29" fillId="2" borderId="17" xfId="0" applyFont="1" applyFill="1" applyBorder="1" applyAlignment="1">
      <alignment horizontal="center"/>
    </xf>
    <xf numFmtId="0" fontId="29" fillId="2" borderId="17" xfId="0" applyFont="1" applyFill="1" applyBorder="1"/>
    <xf numFmtId="43" fontId="29" fillId="2" borderId="17" xfId="1" applyFont="1" applyFill="1" applyBorder="1" applyAlignment="1">
      <alignment horizontal="center"/>
    </xf>
    <xf numFmtId="0" fontId="21" fillId="2" borderId="17" xfId="0" applyFont="1" applyFill="1" applyBorder="1" applyAlignment="1">
      <alignment horizontal="center" vertical="center" wrapText="1"/>
    </xf>
    <xf numFmtId="0" fontId="21" fillId="2" borderId="30" xfId="0" applyFont="1" applyFill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/>
    </xf>
    <xf numFmtId="1" fontId="12" fillId="4" borderId="13" xfId="0" applyNumberFormat="1" applyFont="1" applyFill="1" applyBorder="1" applyAlignment="1">
      <alignment horizontal="center" vertical="center" wrapText="1"/>
    </xf>
    <xf numFmtId="0" fontId="12" fillId="4" borderId="13" xfId="0" applyFont="1" applyFill="1" applyBorder="1" applyAlignment="1">
      <alignment vertical="center" wrapText="1"/>
    </xf>
    <xf numFmtId="1" fontId="13" fillId="8" borderId="13" xfId="0" quotePrefix="1" applyNumberFormat="1" applyFont="1" applyFill="1" applyBorder="1" applyAlignment="1">
      <alignment horizontal="center" vertical="top" wrapText="1"/>
    </xf>
    <xf numFmtId="1" fontId="13" fillId="8" borderId="13" xfId="1" quotePrefix="1" applyNumberFormat="1" applyFont="1" applyFill="1" applyBorder="1" applyAlignment="1">
      <alignment horizontal="center" vertical="top" wrapText="1"/>
    </xf>
    <xf numFmtId="1" fontId="2" fillId="8" borderId="13" xfId="0" quotePrefix="1" applyNumberFormat="1" applyFont="1" applyFill="1" applyBorder="1" applyAlignment="1">
      <alignment horizontal="center" vertical="top" wrapText="1"/>
    </xf>
    <xf numFmtId="166" fontId="12" fillId="4" borderId="13" xfId="0" applyNumberFormat="1" applyFont="1" applyFill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33" fillId="0" borderId="21" xfId="0" applyFont="1" applyBorder="1" applyAlignment="1">
      <alignment horizontal="center" vertical="center" wrapText="1"/>
    </xf>
    <xf numFmtId="0" fontId="33" fillId="0" borderId="23" xfId="0" applyFont="1" applyBorder="1" applyAlignment="1">
      <alignment horizontal="center" vertical="center" wrapText="1"/>
    </xf>
    <xf numFmtId="167" fontId="14" fillId="0" borderId="17" xfId="0" applyNumberFormat="1" applyFont="1" applyBorder="1" applyAlignment="1">
      <alignment horizontal="center" vertical="center" wrapText="1"/>
    </xf>
    <xf numFmtId="166" fontId="14" fillId="0" borderId="17" xfId="0" applyNumberFormat="1" applyFont="1" applyBorder="1" applyAlignment="1">
      <alignment horizontal="center" vertical="center" wrapText="1"/>
    </xf>
    <xf numFmtId="0" fontId="14" fillId="0" borderId="19" xfId="0" applyFont="1" applyBorder="1" applyAlignment="1">
      <alignment horizontal="center" vertical="center" wrapText="1"/>
    </xf>
    <xf numFmtId="166" fontId="34" fillId="4" borderId="8" xfId="0" applyNumberFormat="1" applyFont="1" applyFill="1" applyBorder="1" applyAlignment="1">
      <alignment horizontal="center" vertical="center" wrapText="1"/>
    </xf>
    <xf numFmtId="0" fontId="14" fillId="11" borderId="4" xfId="0" applyFont="1" applyFill="1" applyBorder="1" applyAlignment="1">
      <alignment horizontal="center" vertical="center" wrapText="1"/>
    </xf>
    <xf numFmtId="16" fontId="14" fillId="9" borderId="13" xfId="0" applyNumberFormat="1" applyFont="1" applyFill="1" applyBorder="1" applyAlignment="1">
      <alignment horizontal="center" vertical="center" wrapText="1"/>
    </xf>
    <xf numFmtId="0" fontId="36" fillId="2" borderId="0" xfId="0" applyFont="1" applyFill="1"/>
    <xf numFmtId="16" fontId="14" fillId="10" borderId="13" xfId="0" applyNumberFormat="1" applyFont="1" applyFill="1" applyBorder="1" applyAlignment="1">
      <alignment horizontal="center" vertical="center" wrapText="1"/>
    </xf>
    <xf numFmtId="0" fontId="14" fillId="10" borderId="14" xfId="0" applyFont="1" applyFill="1" applyBorder="1" applyAlignment="1">
      <alignment horizontal="center" vertical="center" wrapText="1"/>
    </xf>
    <xf numFmtId="16" fontId="14" fillId="5" borderId="13" xfId="0" applyNumberFormat="1" applyFont="1" applyFill="1" applyBorder="1" applyAlignment="1">
      <alignment horizontal="center" vertical="center" wrapText="1"/>
    </xf>
    <xf numFmtId="0" fontId="14" fillId="0" borderId="23" xfId="0" applyFont="1" applyBorder="1" applyAlignment="1">
      <alignment horizontal="center" vertical="center" wrapText="1"/>
    </xf>
    <xf numFmtId="0" fontId="37" fillId="0" borderId="23" xfId="0" applyFont="1" applyBorder="1" applyAlignment="1">
      <alignment horizontal="center" vertical="center" wrapText="1"/>
    </xf>
    <xf numFmtId="0" fontId="38" fillId="0" borderId="13" xfId="0" applyFont="1" applyBorder="1" applyAlignment="1">
      <alignment horizontal="center"/>
    </xf>
    <xf numFmtId="16" fontId="7" fillId="9" borderId="13" xfId="0" applyNumberFormat="1" applyFont="1" applyFill="1" applyBorder="1" applyAlignment="1">
      <alignment horizontal="center" vertical="center" wrapText="1"/>
    </xf>
    <xf numFmtId="0" fontId="7" fillId="9" borderId="13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39" fillId="0" borderId="13" xfId="0" applyFont="1" applyBorder="1" applyAlignment="1">
      <alignment horizontal="center"/>
    </xf>
    <xf numFmtId="0" fontId="7" fillId="2" borderId="17" xfId="0" applyFont="1" applyFill="1" applyBorder="1" applyAlignment="1">
      <alignment horizontal="center"/>
    </xf>
    <xf numFmtId="0" fontId="7" fillId="2" borderId="19" xfId="0" applyFont="1" applyFill="1" applyBorder="1" applyAlignment="1">
      <alignment horizontal="center"/>
    </xf>
    <xf numFmtId="0" fontId="7" fillId="2" borderId="13" xfId="0" applyFont="1" applyFill="1" applyBorder="1"/>
    <xf numFmtId="0" fontId="7" fillId="9" borderId="4" xfId="0" applyFont="1" applyFill="1" applyBorder="1" applyAlignment="1">
      <alignment horizontal="center" vertical="center" wrapText="1"/>
    </xf>
    <xf numFmtId="0" fontId="7" fillId="2" borderId="17" xfId="0" applyFont="1" applyFill="1" applyBorder="1"/>
    <xf numFmtId="0" fontId="7" fillId="2" borderId="30" xfId="0" applyFont="1" applyFill="1" applyBorder="1" applyAlignment="1">
      <alignment horizontal="center"/>
    </xf>
    <xf numFmtId="0" fontId="12" fillId="5" borderId="6" xfId="0" applyFont="1" applyFill="1" applyBorder="1" applyAlignment="1">
      <alignment horizontal="center" vertical="center" wrapText="1"/>
    </xf>
    <xf numFmtId="0" fontId="12" fillId="5" borderId="10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/>
    </xf>
    <xf numFmtId="0" fontId="14" fillId="2" borderId="16" xfId="0" applyFont="1" applyFill="1" applyBorder="1" applyAlignment="1">
      <alignment horizontal="center" vertical="center"/>
    </xf>
    <xf numFmtId="1" fontId="12" fillId="4" borderId="4" xfId="0" applyNumberFormat="1" applyFont="1" applyFill="1" applyBorder="1" applyAlignment="1">
      <alignment horizontal="center" vertical="center" wrapText="1"/>
    </xf>
    <xf numFmtId="1" fontId="12" fillId="4" borderId="8" xfId="0" applyNumberFormat="1" applyFont="1" applyFill="1" applyBorder="1" applyAlignment="1">
      <alignment horizontal="center" vertical="center" wrapText="1"/>
    </xf>
    <xf numFmtId="0" fontId="12" fillId="4" borderId="4" xfId="0" applyFont="1" applyFill="1" applyBorder="1" applyAlignment="1">
      <alignment horizontal="center" vertical="center" wrapText="1"/>
    </xf>
    <xf numFmtId="0" fontId="12" fillId="4" borderId="8" xfId="0" applyFont="1" applyFill="1" applyBorder="1" applyAlignment="1">
      <alignment horizontal="center" vertical="center" wrapText="1"/>
    </xf>
    <xf numFmtId="43" fontId="6" fillId="4" borderId="4" xfId="1" applyFont="1" applyFill="1" applyBorder="1" applyAlignment="1">
      <alignment horizontal="center" vertical="center" wrapText="1"/>
    </xf>
    <xf numFmtId="43" fontId="6" fillId="4" borderId="8" xfId="1" applyFont="1" applyFill="1" applyBorder="1" applyAlignment="1">
      <alignment horizontal="center" vertical="center" wrapText="1"/>
    </xf>
    <xf numFmtId="43" fontId="6" fillId="4" borderId="5" xfId="1" applyFont="1" applyFill="1" applyBorder="1" applyAlignment="1">
      <alignment horizontal="center" vertical="center" wrapText="1"/>
    </xf>
    <xf numFmtId="43" fontId="6" fillId="4" borderId="9" xfId="1" applyFont="1" applyFill="1" applyBorder="1" applyAlignment="1">
      <alignment horizontal="center" vertical="center" wrapText="1"/>
    </xf>
    <xf numFmtId="166" fontId="12" fillId="5" borderId="4" xfId="0" applyNumberFormat="1" applyFont="1" applyFill="1" applyBorder="1" applyAlignment="1">
      <alignment horizontal="center" vertical="center" wrapText="1"/>
    </xf>
    <xf numFmtId="166" fontId="12" fillId="5" borderId="8" xfId="0" applyNumberFormat="1" applyFont="1" applyFill="1" applyBorder="1" applyAlignment="1">
      <alignment horizontal="center" vertical="center" wrapText="1"/>
    </xf>
    <xf numFmtId="0" fontId="12" fillId="4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1" fontId="12" fillId="4" borderId="3" xfId="0" applyNumberFormat="1" applyFont="1" applyFill="1" applyBorder="1" applyAlignment="1">
      <alignment horizontal="center" vertical="center" wrapText="1"/>
    </xf>
    <xf numFmtId="1" fontId="12" fillId="4" borderId="7" xfId="0" applyNumberFormat="1" applyFont="1" applyFill="1" applyBorder="1" applyAlignment="1">
      <alignment horizontal="center" vertical="center" wrapText="1"/>
    </xf>
    <xf numFmtId="1" fontId="11" fillId="4" borderId="4" xfId="0" applyNumberFormat="1" applyFont="1" applyFill="1" applyBorder="1" applyAlignment="1">
      <alignment horizontal="center" vertical="center" wrapText="1"/>
    </xf>
    <xf numFmtId="1" fontId="11" fillId="4" borderId="8" xfId="0" applyNumberFormat="1" applyFont="1" applyFill="1" applyBorder="1" applyAlignment="1">
      <alignment horizontal="center" vertical="center" wrapText="1"/>
    </xf>
    <xf numFmtId="0" fontId="12" fillId="12" borderId="6" xfId="0" applyFont="1" applyFill="1" applyBorder="1" applyAlignment="1">
      <alignment horizontal="center" vertical="center" wrapText="1"/>
    </xf>
    <xf numFmtId="0" fontId="12" fillId="12" borderId="10" xfId="0" applyFont="1" applyFill="1" applyBorder="1" applyAlignment="1">
      <alignment horizontal="center" vertical="center" wrapText="1"/>
    </xf>
    <xf numFmtId="1" fontId="12" fillId="4" borderId="5" xfId="0" applyNumberFormat="1" applyFont="1" applyFill="1" applyBorder="1" applyAlignment="1">
      <alignment horizontal="center" vertical="center" wrapText="1"/>
    </xf>
    <xf numFmtId="1" fontId="12" fillId="4" borderId="22" xfId="0" applyNumberFormat="1" applyFont="1" applyFill="1" applyBorder="1" applyAlignment="1">
      <alignment horizontal="center" vertical="center" wrapText="1"/>
    </xf>
    <xf numFmtId="0" fontId="21" fillId="0" borderId="8" xfId="0" applyFont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22" xfId="0" applyFont="1" applyFill="1" applyBorder="1" applyAlignment="1">
      <alignment horizontal="center" vertical="center"/>
    </xf>
    <xf numFmtId="0" fontId="14" fillId="0" borderId="26" xfId="0" applyFont="1" applyBorder="1" applyAlignment="1">
      <alignment horizontal="center" vertical="center"/>
    </xf>
    <xf numFmtId="0" fontId="14" fillId="2" borderId="28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21" fillId="2" borderId="9" xfId="0" applyFont="1" applyFill="1" applyBorder="1" applyAlignment="1">
      <alignment horizontal="center" vertical="center"/>
    </xf>
    <xf numFmtId="0" fontId="21" fillId="0" borderId="8" xfId="0" applyFont="1" applyBorder="1" applyAlignment="1">
      <alignment horizontal="center" vertical="center" wrapText="1"/>
    </xf>
    <xf numFmtId="0" fontId="21" fillId="0" borderId="16" xfId="0" applyFont="1" applyBorder="1" applyAlignment="1">
      <alignment horizontal="center" vertical="center" wrapText="1"/>
    </xf>
    <xf numFmtId="0" fontId="21" fillId="0" borderId="9" xfId="0" applyFont="1" applyBorder="1" applyAlignment="1">
      <alignment horizontal="center" vertical="center" wrapText="1"/>
    </xf>
    <xf numFmtId="0" fontId="21" fillId="0" borderId="5" xfId="0" applyFont="1" applyBorder="1" applyAlignment="1">
      <alignment horizontal="center" vertical="center" wrapText="1"/>
    </xf>
    <xf numFmtId="43" fontId="6" fillId="4" borderId="22" xfId="1" applyFont="1" applyFill="1" applyBorder="1" applyAlignment="1">
      <alignment horizontal="center" vertical="center" wrapText="1"/>
    </xf>
    <xf numFmtId="43" fontId="6" fillId="5" borderId="5" xfId="1" applyFont="1" applyFill="1" applyBorder="1" applyAlignment="1">
      <alignment horizontal="center" vertical="center" wrapText="1"/>
    </xf>
    <xf numFmtId="43" fontId="6" fillId="5" borderId="16" xfId="1" applyFont="1" applyFill="1" applyBorder="1" applyAlignment="1">
      <alignment horizontal="center" vertical="center" wrapText="1"/>
    </xf>
    <xf numFmtId="0" fontId="12" fillId="5" borderId="15" xfId="0" applyFont="1" applyFill="1" applyBorder="1" applyAlignment="1">
      <alignment horizontal="center" vertical="center" wrapText="1"/>
    </xf>
    <xf numFmtId="1" fontId="12" fillId="4" borderId="13" xfId="0" applyNumberFormat="1" applyFont="1" applyFill="1" applyBorder="1" applyAlignment="1">
      <alignment horizontal="center" vertical="center" wrapText="1"/>
    </xf>
    <xf numFmtId="0" fontId="12" fillId="4" borderId="13" xfId="0" applyFont="1" applyFill="1" applyBorder="1" applyAlignment="1">
      <alignment horizontal="center" vertical="center" wrapText="1"/>
    </xf>
    <xf numFmtId="43" fontId="6" fillId="4" borderId="13" xfId="1" applyFont="1" applyFill="1" applyBorder="1" applyAlignment="1">
      <alignment horizontal="center" vertical="center" wrapText="1"/>
    </xf>
    <xf numFmtId="43" fontId="6" fillId="4" borderId="16" xfId="1" applyFont="1" applyFill="1" applyBorder="1" applyAlignment="1">
      <alignment horizontal="center" vertical="center" wrapText="1"/>
    </xf>
    <xf numFmtId="166" fontId="12" fillId="5" borderId="13" xfId="0" applyNumberFormat="1" applyFont="1" applyFill="1" applyBorder="1" applyAlignment="1">
      <alignment horizontal="center" vertical="center" wrapText="1"/>
    </xf>
    <xf numFmtId="1" fontId="12" fillId="4" borderId="12" xfId="0" applyNumberFormat="1" applyFont="1" applyFill="1" applyBorder="1" applyAlignment="1">
      <alignment horizontal="center" vertical="center" wrapText="1"/>
    </xf>
    <xf numFmtId="1" fontId="11" fillId="4" borderId="13" xfId="0" applyNumberFormat="1" applyFont="1" applyFill="1" applyBorder="1" applyAlignment="1">
      <alignment horizontal="center" vertical="center" wrapText="1"/>
    </xf>
    <xf numFmtId="43" fontId="35" fillId="5" borderId="5" xfId="1" applyFont="1" applyFill="1" applyBorder="1" applyAlignment="1">
      <alignment horizontal="center" vertical="center" wrapText="1"/>
    </xf>
    <xf numFmtId="43" fontId="35" fillId="5" borderId="22" xfId="1" applyFont="1" applyFill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4" fillId="0" borderId="16" xfId="0" applyFont="1" applyBorder="1" applyAlignment="1">
      <alignment horizontal="center" vertical="center" wrapText="1"/>
    </xf>
    <xf numFmtId="0" fontId="34" fillId="4" borderId="4" xfId="0" applyFont="1" applyFill="1" applyBorder="1" applyAlignment="1">
      <alignment horizontal="center" vertical="center" wrapText="1"/>
    </xf>
  </cellXfs>
  <cellStyles count="3">
    <cellStyle name="Comma" xfId="1" builtinId="3"/>
    <cellStyle name="Comma [0]" xfId="2" builtinId="6"/>
    <cellStyle name="Normal" xfId="0" builtinId="0"/>
  </cellStyles>
  <dxfs count="10">
    <dxf>
      <font>
        <b/>
        <i val="0"/>
      </font>
      <border>
        <top style="thin">
          <color rgb="FF0000FF"/>
        </top>
        <vertical/>
        <horizontal/>
      </border>
    </dxf>
    <dxf>
      <font>
        <b/>
        <i val="0"/>
      </font>
      <border>
        <top style="thin">
          <color rgb="FF0000FF"/>
        </top>
        <vertical/>
        <horizontal/>
      </border>
    </dxf>
    <dxf>
      <font>
        <b/>
        <i val="0"/>
      </font>
      <border>
        <top style="thin">
          <color rgb="FF0000FF"/>
        </top>
        <vertical/>
        <horizontal/>
      </border>
    </dxf>
    <dxf>
      <font>
        <b/>
        <i val="0"/>
      </font>
      <border>
        <top style="thin">
          <color rgb="FF0000FF"/>
        </top>
        <vertical/>
        <horizontal/>
      </border>
    </dxf>
    <dxf>
      <font>
        <b/>
        <i val="0"/>
      </font>
      <border>
        <top style="thin">
          <color rgb="FF0000FF"/>
        </top>
        <vertical/>
        <horizontal/>
      </border>
    </dxf>
    <dxf>
      <font>
        <b/>
        <i val="0"/>
      </font>
      <border>
        <top style="thin">
          <color rgb="FF0000FF"/>
        </top>
        <vertical/>
        <horizontal/>
      </border>
    </dxf>
    <dxf>
      <font>
        <b/>
        <i val="0"/>
      </font>
      <border>
        <top style="thin">
          <color rgb="FF0000FF"/>
        </top>
        <vertical/>
        <horizontal/>
      </border>
    </dxf>
    <dxf>
      <font>
        <b/>
        <i val="0"/>
      </font>
      <border>
        <top style="thin">
          <color rgb="FF0000FF"/>
        </top>
        <vertical/>
        <horizontal/>
      </border>
    </dxf>
    <dxf>
      <font>
        <b/>
        <i val="0"/>
      </font>
      <border>
        <top style="thin">
          <color rgb="FF0000FF"/>
        </top>
        <vertical/>
        <horizontal/>
      </border>
    </dxf>
    <dxf>
      <font>
        <b/>
        <i val="0"/>
      </font>
      <border>
        <top style="thin">
          <color rgb="FF0000FF"/>
        </top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badmccom.sharepoint.com/Users/tommyle/Documents/WSB%202023%20-%20Thailand/Hotel/WSB%20ROOMING%20LIST/ALL%20HOTELS%20FOR%20ROOMING%20LIST%20GROUP%20B_APRIL%2017%20BY%20CHI%20JASMIN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Tracking"/>
      <sheetName val="HKT B (FOUR POINT)"/>
      <sheetName val="HKT B (LE MERIDIEN)"/>
      <sheetName val="HKT B (PULLMAN)"/>
      <sheetName val="BKK B (MARRIOT)"/>
      <sheetName val="BKK B (CENTARA)"/>
      <sheetName val="Assignment"/>
    </sheetNames>
    <sheetDataSet>
      <sheetData sheetId="0" refreshError="1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5B250-196C-FA4D-BBB2-F863055BC0D4}">
  <sheetPr>
    <tabColor rgb="FFFFC000"/>
  </sheetPr>
  <dimension ref="A1:AV376"/>
  <sheetViews>
    <sheetView showGridLines="0" zoomScale="111" zoomScaleNormal="180" workbookViewId="0">
      <pane xSplit="9" ySplit="9" topLeftCell="AA69" activePane="bottomRight" state="frozen"/>
      <selection pane="topRight" activeCell="J1" sqref="J1"/>
      <selection pane="bottomLeft" activeCell="A10" sqref="A10"/>
      <selection pane="bottomRight" activeCell="E92" sqref="E92"/>
    </sheetView>
  </sheetViews>
  <sheetFormatPr baseColWidth="10" defaultColWidth="9.1640625" defaultRowHeight="14.25" customHeight="1"/>
  <cols>
    <col min="1" max="1" width="1.5" style="1" customWidth="1"/>
    <col min="2" max="2" width="1.1640625" style="1" customWidth="1"/>
    <col min="3" max="3" width="6" style="2" customWidth="1"/>
    <col min="4" max="4" width="12" style="94" customWidth="1"/>
    <col min="5" max="5" width="8.83203125" style="94" customWidth="1"/>
    <col min="6" max="6" width="16.33203125" style="95" customWidth="1"/>
    <col min="7" max="7" width="16.1640625" style="1" customWidth="1"/>
    <col min="8" max="8" width="15.1640625" style="4" bestFit="1" customWidth="1"/>
    <col min="9" max="9" width="11.83203125" style="4" customWidth="1"/>
    <col min="10" max="10" width="8.6640625" style="4" customWidth="1"/>
    <col min="11" max="11" width="14.1640625" style="4" customWidth="1"/>
    <col min="12" max="12" width="11.5" style="4" customWidth="1"/>
    <col min="13" max="13" width="8.6640625" style="4" customWidth="1"/>
    <col min="14" max="14" width="13.5" style="4" customWidth="1"/>
    <col min="15" max="15" width="13.6640625" style="4" customWidth="1"/>
    <col min="16" max="16" width="11.83203125" style="5" customWidth="1"/>
    <col min="17" max="17" width="18.6640625" style="5" customWidth="1"/>
    <col min="18" max="18" width="8.5" style="5" customWidth="1"/>
    <col min="19" max="19" width="8.33203125" style="5" customWidth="1"/>
    <col min="20" max="20" width="8" style="5" customWidth="1"/>
    <col min="21" max="24" width="7.83203125" style="4" customWidth="1"/>
    <col min="25" max="25" width="4.33203125" style="4" customWidth="1"/>
    <col min="26" max="26" width="4.6640625" style="4" customWidth="1"/>
    <col min="27" max="27" width="6" style="5" customWidth="1"/>
    <col min="28" max="28" width="7.83203125" style="5" customWidth="1"/>
    <col min="29" max="29" width="9.6640625" style="5" bestFit="1" customWidth="1"/>
    <col min="30" max="30" width="9.1640625" style="4" customWidth="1"/>
    <col min="31" max="31" width="11.1640625" style="4" customWidth="1"/>
    <col min="32" max="32" width="9.5" style="5" customWidth="1"/>
    <col min="33" max="33" width="9.6640625" style="5" customWidth="1"/>
    <col min="34" max="34" width="8.83203125" style="6" customWidth="1"/>
    <col min="35" max="36" width="16" style="4" customWidth="1"/>
    <col min="37" max="37" width="21.83203125" style="4" customWidth="1"/>
    <col min="38" max="38" width="10.5" style="5" customWidth="1"/>
    <col min="39" max="39" width="9.6640625" style="5" customWidth="1"/>
    <col min="40" max="40" width="18.83203125" style="5" bestFit="1" customWidth="1"/>
    <col min="41" max="41" width="24.6640625" style="4" customWidth="1"/>
    <col min="43" max="43" width="9.6640625" bestFit="1" customWidth="1"/>
    <col min="45" max="45" width="11.1640625" customWidth="1"/>
    <col min="46" max="46" width="9.5" customWidth="1"/>
    <col min="47" max="47" width="9.6640625" customWidth="1"/>
    <col min="48" max="48" width="8.83203125" customWidth="1"/>
    <col min="49" max="16384" width="9.1640625" style="4"/>
  </cols>
  <sheetData>
    <row r="1" spans="1:48" ht="15">
      <c r="D1" s="3"/>
      <c r="E1" s="3"/>
      <c r="F1" s="1"/>
      <c r="AJ1" s="5"/>
      <c r="AK1" s="5"/>
    </row>
    <row r="2" spans="1:48" ht="21">
      <c r="D2" s="304" t="s">
        <v>0</v>
      </c>
      <c r="E2" s="304"/>
      <c r="F2" s="304"/>
      <c r="G2" s="304"/>
      <c r="H2" s="304"/>
      <c r="I2" s="304"/>
      <c r="J2" s="304"/>
      <c r="K2" s="304"/>
      <c r="L2" s="304"/>
      <c r="M2" s="304"/>
      <c r="N2" s="304"/>
      <c r="O2" s="304"/>
      <c r="P2" s="304"/>
      <c r="Q2" s="304"/>
      <c r="R2" s="304"/>
      <c r="S2" s="304"/>
      <c r="T2" s="7"/>
      <c r="AC2" s="7"/>
      <c r="AD2" s="7"/>
      <c r="AE2" s="7"/>
      <c r="AF2" s="7"/>
      <c r="AG2" s="7"/>
      <c r="AI2" s="7"/>
      <c r="AJ2" s="5"/>
      <c r="AK2" s="5"/>
    </row>
    <row r="3" spans="1:48" ht="15">
      <c r="C3" s="8"/>
      <c r="D3" s="9"/>
      <c r="E3" s="9"/>
      <c r="F3" s="10"/>
      <c r="G3" s="11"/>
      <c r="AD3" s="7"/>
      <c r="AE3" s="7"/>
      <c r="AF3" s="7"/>
      <c r="AG3" s="7"/>
      <c r="AI3" s="7"/>
      <c r="AJ3" s="5"/>
      <c r="AK3" s="5"/>
    </row>
    <row r="4" spans="1:48" s="23" customFormat="1" ht="37" customHeight="1">
      <c r="A4" s="12"/>
      <c r="B4" s="12"/>
      <c r="C4" s="13"/>
      <c r="D4" s="9"/>
      <c r="E4" s="9"/>
      <c r="F4" s="10"/>
      <c r="G4" s="11"/>
      <c r="H4" s="14" t="s">
        <v>1</v>
      </c>
      <c r="I4" s="14" t="s">
        <v>2</v>
      </c>
      <c r="J4" s="14" t="s">
        <v>3</v>
      </c>
      <c r="K4" s="14" t="s">
        <v>4</v>
      </c>
      <c r="L4" s="14" t="s">
        <v>5</v>
      </c>
      <c r="M4" s="14" t="s">
        <v>6</v>
      </c>
      <c r="N4" s="14" t="s">
        <v>7</v>
      </c>
      <c r="O4" s="15" t="s">
        <v>8</v>
      </c>
      <c r="P4" s="15" t="s">
        <v>9</v>
      </c>
      <c r="Q4" s="15" t="s">
        <v>10</v>
      </c>
      <c r="R4" s="16"/>
      <c r="S4" s="16"/>
      <c r="T4" s="16"/>
      <c r="U4" s="16"/>
      <c r="V4" s="17"/>
      <c r="W4" s="17"/>
      <c r="X4" s="17"/>
      <c r="Y4" s="17"/>
      <c r="Z4" s="17"/>
      <c r="AA4" s="17"/>
      <c r="AB4" s="17"/>
      <c r="AC4" s="18"/>
      <c r="AD4" s="19"/>
      <c r="AE4" s="19"/>
      <c r="AF4" s="20"/>
      <c r="AG4" s="20"/>
      <c r="AH4" s="21"/>
      <c r="AI4" s="22"/>
      <c r="AJ4" s="17"/>
      <c r="AK4" s="18"/>
      <c r="AL4" s="18"/>
      <c r="AM4" s="18"/>
      <c r="AN4" s="18"/>
      <c r="AP4"/>
      <c r="AQ4"/>
      <c r="AR4"/>
      <c r="AS4"/>
      <c r="AT4"/>
      <c r="AU4"/>
      <c r="AV4"/>
    </row>
    <row r="5" spans="1:48" ht="15">
      <c r="C5" s="24"/>
      <c r="D5" s="9"/>
      <c r="E5" s="9"/>
      <c r="F5" s="10"/>
      <c r="G5" s="11"/>
      <c r="H5" s="25" t="s">
        <v>1</v>
      </c>
      <c r="I5" s="26">
        <f>SUM(J5:L5)</f>
        <v>179</v>
      </c>
      <c r="J5" s="26">
        <f>SUM(Y10:Y382)</f>
        <v>19</v>
      </c>
      <c r="K5" s="26">
        <f>SUM(Z10:Z382)</f>
        <v>128</v>
      </c>
      <c r="L5" s="26">
        <f>SUM(AA10:AA382)</f>
        <v>32</v>
      </c>
      <c r="M5" s="26">
        <v>0</v>
      </c>
      <c r="N5" s="26">
        <v>2</v>
      </c>
      <c r="O5" s="25">
        <f>SUM(P5:Q5)</f>
        <v>358</v>
      </c>
      <c r="P5" s="26">
        <f>SUM(V10:V382)</f>
        <v>339</v>
      </c>
      <c r="Q5" s="26">
        <f>COUNTIFS(M10:M382,"&gt;4",M10:M382,"&lt;12")</f>
        <v>19</v>
      </c>
      <c r="R5" s="27"/>
      <c r="S5" s="27"/>
      <c r="T5" s="27"/>
      <c r="U5" s="28"/>
      <c r="V5" s="28"/>
      <c r="W5" s="28"/>
      <c r="X5" s="28"/>
      <c r="Y5" s="28"/>
      <c r="Z5" s="28"/>
      <c r="AA5" s="29"/>
      <c r="AB5" s="29"/>
      <c r="AC5" s="27"/>
      <c r="AD5" s="7"/>
      <c r="AE5" s="7"/>
      <c r="AF5" s="7"/>
      <c r="AG5" s="7"/>
      <c r="AI5" s="28"/>
      <c r="AJ5" s="29"/>
      <c r="AK5" s="30"/>
      <c r="AL5" s="30"/>
      <c r="AM5" s="30"/>
      <c r="AN5" s="30"/>
    </row>
    <row r="6" spans="1:48" ht="15" customHeight="1">
      <c r="C6" s="24"/>
      <c r="D6" s="9" t="s">
        <v>11</v>
      </c>
      <c r="E6" s="9"/>
      <c r="F6" s="10"/>
      <c r="G6" s="11"/>
      <c r="H6" s="26"/>
      <c r="I6" s="25"/>
      <c r="J6" s="31"/>
      <c r="K6" s="26"/>
      <c r="L6" s="26"/>
      <c r="M6" s="25"/>
      <c r="N6" s="25"/>
      <c r="O6" s="25"/>
      <c r="P6" s="25"/>
      <c r="Q6" s="25"/>
      <c r="R6" s="27"/>
      <c r="S6" s="27"/>
      <c r="T6" s="27"/>
      <c r="U6" s="32" t="s">
        <v>12</v>
      </c>
      <c r="V6" s="28"/>
      <c r="W6" s="28"/>
      <c r="X6" s="32" t="s">
        <v>13</v>
      </c>
      <c r="Y6" s="28"/>
      <c r="Z6" s="28"/>
      <c r="AA6" s="29"/>
      <c r="AB6" s="29"/>
      <c r="AC6" s="305" t="s">
        <v>14</v>
      </c>
      <c r="AD6" s="305"/>
      <c r="AE6" s="305"/>
      <c r="AF6" s="305" t="s">
        <v>14</v>
      </c>
      <c r="AG6" s="305"/>
      <c r="AH6" s="305"/>
      <c r="AI6" s="28"/>
      <c r="AJ6" s="29"/>
      <c r="AK6" s="27"/>
      <c r="AL6" s="27"/>
      <c r="AM6" s="27"/>
      <c r="AN6" s="27"/>
    </row>
    <row r="7" spans="1:48" ht="15">
      <c r="C7" s="24"/>
      <c r="D7" s="9"/>
      <c r="E7" s="9"/>
      <c r="F7" s="10"/>
      <c r="G7" s="11"/>
      <c r="W7" s="28"/>
      <c r="X7" s="28"/>
      <c r="Y7" s="28"/>
      <c r="Z7" s="28"/>
      <c r="AA7" s="29"/>
      <c r="AB7" s="29"/>
      <c r="AD7" s="7"/>
      <c r="AE7" s="7"/>
      <c r="AF7" s="7"/>
      <c r="AG7" s="7"/>
      <c r="AI7" s="28"/>
      <c r="AJ7" s="29"/>
      <c r="AK7" s="5"/>
    </row>
    <row r="8" spans="1:48" ht="28.5" customHeight="1">
      <c r="C8" s="306" t="s">
        <v>15</v>
      </c>
      <c r="D8" s="308" t="s">
        <v>16</v>
      </c>
      <c r="E8" s="293" t="s">
        <v>17</v>
      </c>
      <c r="F8" s="293" t="s">
        <v>18</v>
      </c>
      <c r="G8" s="293" t="s">
        <v>19</v>
      </c>
      <c r="H8" s="293" t="s">
        <v>20</v>
      </c>
      <c r="I8" s="293" t="s">
        <v>21</v>
      </c>
      <c r="J8" s="293" t="s">
        <v>22</v>
      </c>
      <c r="K8" s="295" t="s">
        <v>23</v>
      </c>
      <c r="L8" s="295" t="s">
        <v>24</v>
      </c>
      <c r="M8" s="295" t="s">
        <v>25</v>
      </c>
      <c r="N8" s="303" t="s">
        <v>26</v>
      </c>
      <c r="O8" s="303"/>
      <c r="P8" s="295" t="s">
        <v>27</v>
      </c>
      <c r="Q8" s="297" t="s">
        <v>28</v>
      </c>
      <c r="R8" s="301" t="s">
        <v>29</v>
      </c>
      <c r="S8" s="301" t="s">
        <v>30</v>
      </c>
      <c r="T8" s="301" t="s">
        <v>31</v>
      </c>
      <c r="U8" s="33" t="s">
        <v>32</v>
      </c>
      <c r="V8" s="34" t="s">
        <v>33</v>
      </c>
      <c r="W8" s="35" t="s">
        <v>34</v>
      </c>
      <c r="X8" s="36" t="s">
        <v>35</v>
      </c>
      <c r="Y8" s="37" t="s">
        <v>36</v>
      </c>
      <c r="Z8" s="38" t="s">
        <v>37</v>
      </c>
      <c r="AA8" s="36" t="s">
        <v>5</v>
      </c>
      <c r="AB8" s="39" t="s">
        <v>6</v>
      </c>
      <c r="AC8" s="295" t="s">
        <v>38</v>
      </c>
      <c r="AD8" s="295"/>
      <c r="AE8" s="295"/>
      <c r="AF8" s="295" t="s">
        <v>39</v>
      </c>
      <c r="AG8" s="295"/>
      <c r="AH8" s="295"/>
      <c r="AI8" s="293" t="s">
        <v>40</v>
      </c>
      <c r="AJ8" s="295" t="s">
        <v>41</v>
      </c>
      <c r="AK8" s="297" t="s">
        <v>42</v>
      </c>
      <c r="AL8" s="297" t="s">
        <v>43</v>
      </c>
      <c r="AM8" s="299" t="s">
        <v>44</v>
      </c>
      <c r="AN8" s="289" t="s">
        <v>45</v>
      </c>
      <c r="AO8" s="289" t="s">
        <v>46</v>
      </c>
    </row>
    <row r="9" spans="1:48" ht="29" customHeight="1">
      <c r="C9" s="307"/>
      <c r="D9" s="309"/>
      <c r="E9" s="294"/>
      <c r="F9" s="294"/>
      <c r="G9" s="294"/>
      <c r="H9" s="294"/>
      <c r="I9" s="294"/>
      <c r="J9" s="294"/>
      <c r="K9" s="296"/>
      <c r="L9" s="296"/>
      <c r="M9" s="296"/>
      <c r="N9" s="40" t="s">
        <v>47</v>
      </c>
      <c r="O9" s="41" t="s">
        <v>48</v>
      </c>
      <c r="P9" s="296"/>
      <c r="Q9" s="298"/>
      <c r="R9" s="302"/>
      <c r="S9" s="302"/>
      <c r="T9" s="302"/>
      <c r="U9" s="42"/>
      <c r="V9" s="43"/>
      <c r="W9" s="42"/>
      <c r="X9" s="44"/>
      <c r="Y9" s="42"/>
      <c r="Z9" s="44"/>
      <c r="AA9" s="44"/>
      <c r="AB9" s="42"/>
      <c r="AC9" s="45" t="s">
        <v>49</v>
      </c>
      <c r="AD9" s="45" t="s">
        <v>50</v>
      </c>
      <c r="AE9" s="45" t="s">
        <v>51</v>
      </c>
      <c r="AF9" s="45" t="s">
        <v>52</v>
      </c>
      <c r="AG9" s="45" t="s">
        <v>53</v>
      </c>
      <c r="AH9" s="45" t="s">
        <v>51</v>
      </c>
      <c r="AI9" s="294"/>
      <c r="AJ9" s="296"/>
      <c r="AK9" s="298"/>
      <c r="AL9" s="298"/>
      <c r="AM9" s="300"/>
      <c r="AN9" s="290"/>
      <c r="AO9" s="290"/>
    </row>
    <row r="10" spans="1:48" ht="14.25" customHeight="1">
      <c r="C10" s="46">
        <v>1</v>
      </c>
      <c r="D10" s="47">
        <v>462710469</v>
      </c>
      <c r="E10" s="47" t="s">
        <v>54</v>
      </c>
      <c r="F10" s="48" t="s">
        <v>55</v>
      </c>
      <c r="G10" s="47" t="s">
        <v>55</v>
      </c>
      <c r="H10" s="47" t="s">
        <v>56</v>
      </c>
      <c r="I10" s="47" t="s">
        <v>57</v>
      </c>
      <c r="J10" s="47" t="s">
        <v>58</v>
      </c>
      <c r="K10" s="47" t="s">
        <v>59</v>
      </c>
      <c r="L10" s="49">
        <v>23734</v>
      </c>
      <c r="M10" s="47">
        <v>60</v>
      </c>
      <c r="N10" s="47" t="s">
        <v>60</v>
      </c>
      <c r="O10" s="49">
        <v>45845</v>
      </c>
      <c r="P10" s="47" t="s">
        <v>4</v>
      </c>
      <c r="Q10" s="47"/>
      <c r="R10" s="50">
        <v>45913</v>
      </c>
      <c r="S10" s="50">
        <v>45918</v>
      </c>
      <c r="T10" s="51">
        <f>S10-R10</f>
        <v>5</v>
      </c>
      <c r="U10" s="47">
        <v>1</v>
      </c>
      <c r="V10" s="47">
        <v>1</v>
      </c>
      <c r="W10" s="47">
        <v>0</v>
      </c>
      <c r="X10" s="47">
        <v>1</v>
      </c>
      <c r="Y10" s="47">
        <v>0</v>
      </c>
      <c r="Z10" s="47">
        <v>1</v>
      </c>
      <c r="AA10" s="47">
        <v>0</v>
      </c>
      <c r="AB10" s="47"/>
      <c r="AC10" s="49">
        <v>45913</v>
      </c>
      <c r="AD10" s="52">
        <v>0.58680555555474712</v>
      </c>
      <c r="AE10" s="47" t="s">
        <v>61</v>
      </c>
      <c r="AF10" s="49">
        <v>45918</v>
      </c>
      <c r="AG10" s="52">
        <v>0.63194444444525288</v>
      </c>
      <c r="AH10" s="47" t="s">
        <v>62</v>
      </c>
      <c r="AI10" s="47" t="s">
        <v>63</v>
      </c>
      <c r="AJ10" s="47" t="s">
        <v>64</v>
      </c>
      <c r="AK10" s="47"/>
      <c r="AL10" s="47" t="s">
        <v>1</v>
      </c>
      <c r="AM10" s="47" t="s">
        <v>65</v>
      </c>
      <c r="AN10" s="53"/>
      <c r="AO10" s="54"/>
    </row>
    <row r="11" spans="1:48" ht="14.25" customHeight="1">
      <c r="C11" s="55" t="str">
        <f>IF($X11=1,COUNTIF($C$10:C10,"&gt;0")+1,"")</f>
        <v/>
      </c>
      <c r="D11" s="56"/>
      <c r="E11" s="56" t="s">
        <v>54</v>
      </c>
      <c r="F11" s="57" t="s">
        <v>66</v>
      </c>
      <c r="G11" s="56" t="s">
        <v>55</v>
      </c>
      <c r="H11" s="56" t="s">
        <v>67</v>
      </c>
      <c r="I11" s="56" t="s">
        <v>57</v>
      </c>
      <c r="J11" s="56" t="s">
        <v>68</v>
      </c>
      <c r="K11" s="56" t="s">
        <v>59</v>
      </c>
      <c r="L11" s="58">
        <v>23528</v>
      </c>
      <c r="M11" s="56">
        <v>61</v>
      </c>
      <c r="N11" s="56" t="s">
        <v>69</v>
      </c>
      <c r="O11" s="58">
        <v>46941</v>
      </c>
      <c r="P11" s="56" t="s">
        <v>4</v>
      </c>
      <c r="Q11" s="56"/>
      <c r="R11" s="50">
        <v>45913</v>
      </c>
      <c r="S11" s="50">
        <v>45918</v>
      </c>
      <c r="T11" s="51">
        <f t="shared" ref="T11:T74" si="0">S11-R11</f>
        <v>5</v>
      </c>
      <c r="U11" s="56">
        <v>1</v>
      </c>
      <c r="V11" s="56">
        <v>1</v>
      </c>
      <c r="W11" s="56">
        <v>0</v>
      </c>
      <c r="X11" s="56">
        <v>0</v>
      </c>
      <c r="Y11" s="56">
        <v>0</v>
      </c>
      <c r="Z11" s="56">
        <v>0</v>
      </c>
      <c r="AA11" s="56">
        <v>0</v>
      </c>
      <c r="AB11" s="56"/>
      <c r="AC11" s="58">
        <v>45913</v>
      </c>
      <c r="AD11" s="59">
        <v>0.58680555555474712</v>
      </c>
      <c r="AE11" s="56" t="s">
        <v>61</v>
      </c>
      <c r="AF11" s="58">
        <v>45918</v>
      </c>
      <c r="AG11" s="59">
        <v>0.63194444444525288</v>
      </c>
      <c r="AH11" s="56" t="s">
        <v>62</v>
      </c>
      <c r="AI11" s="56" t="s">
        <v>63</v>
      </c>
      <c r="AJ11" s="56" t="s">
        <v>64</v>
      </c>
      <c r="AK11" s="56"/>
      <c r="AL11" s="56" t="s">
        <v>1</v>
      </c>
      <c r="AM11" s="56" t="s">
        <v>65</v>
      </c>
      <c r="AN11" s="60"/>
      <c r="AO11" s="61"/>
    </row>
    <row r="12" spans="1:48" ht="14.25" customHeight="1">
      <c r="C12" s="55">
        <f>IF($X12=1,COUNTIF($C$10:C11,"&gt;0")+1,"")</f>
        <v>2</v>
      </c>
      <c r="D12" s="56">
        <v>462710470</v>
      </c>
      <c r="E12" s="56" t="s">
        <v>54</v>
      </c>
      <c r="F12" s="57" t="s">
        <v>70</v>
      </c>
      <c r="G12" s="56" t="s">
        <v>70</v>
      </c>
      <c r="H12" s="56" t="s">
        <v>71</v>
      </c>
      <c r="I12" s="56" t="s">
        <v>72</v>
      </c>
      <c r="J12" s="56" t="s">
        <v>68</v>
      </c>
      <c r="K12" s="56" t="s">
        <v>59</v>
      </c>
      <c r="L12" s="58">
        <v>22363</v>
      </c>
      <c r="M12" s="56">
        <v>64</v>
      </c>
      <c r="N12" s="56" t="s">
        <v>73</v>
      </c>
      <c r="O12" s="58">
        <v>47558</v>
      </c>
      <c r="P12" s="56" t="s">
        <v>4</v>
      </c>
      <c r="Q12" s="56"/>
      <c r="R12" s="50">
        <v>45913</v>
      </c>
      <c r="S12" s="50">
        <v>45918</v>
      </c>
      <c r="T12" s="51">
        <f t="shared" si="0"/>
        <v>5</v>
      </c>
      <c r="U12" s="56">
        <v>1</v>
      </c>
      <c r="V12" s="56">
        <v>1</v>
      </c>
      <c r="W12" s="56">
        <v>0</v>
      </c>
      <c r="X12" s="56">
        <v>1</v>
      </c>
      <c r="Y12" s="56">
        <v>0</v>
      </c>
      <c r="Z12" s="56">
        <v>1</v>
      </c>
      <c r="AA12" s="56">
        <v>0</v>
      </c>
      <c r="AB12" s="56"/>
      <c r="AC12" s="58">
        <v>45913</v>
      </c>
      <c r="AD12" s="59">
        <v>0.625</v>
      </c>
      <c r="AE12" s="56" t="s">
        <v>74</v>
      </c>
      <c r="AF12" s="58">
        <v>45918</v>
      </c>
      <c r="AG12" s="59">
        <v>0.63194444444525288</v>
      </c>
      <c r="AH12" s="56" t="s">
        <v>75</v>
      </c>
      <c r="AI12" s="56" t="s">
        <v>63</v>
      </c>
      <c r="AJ12" s="56" t="s">
        <v>64</v>
      </c>
      <c r="AK12" s="56"/>
      <c r="AL12" s="56" t="s">
        <v>1</v>
      </c>
      <c r="AM12" s="56" t="s">
        <v>65</v>
      </c>
      <c r="AN12" s="60"/>
      <c r="AO12" s="61"/>
    </row>
    <row r="13" spans="1:48" ht="14.25" customHeight="1">
      <c r="C13" s="55" t="str">
        <f>IF($X13=1,COUNTIF($C$10:C12,"&gt;0")+1,"")</f>
        <v/>
      </c>
      <c r="D13" s="56"/>
      <c r="E13" s="56" t="s">
        <v>54</v>
      </c>
      <c r="F13" s="57" t="s">
        <v>76</v>
      </c>
      <c r="G13" s="56" t="s">
        <v>70</v>
      </c>
      <c r="H13" s="56" t="s">
        <v>77</v>
      </c>
      <c r="I13" s="56" t="s">
        <v>78</v>
      </c>
      <c r="J13" s="56" t="s">
        <v>68</v>
      </c>
      <c r="K13" s="56" t="s">
        <v>59</v>
      </c>
      <c r="L13" s="58">
        <v>20178</v>
      </c>
      <c r="M13" s="56">
        <v>70</v>
      </c>
      <c r="N13" s="56" t="s">
        <v>79</v>
      </c>
      <c r="O13" s="58">
        <v>46070</v>
      </c>
      <c r="P13" s="56" t="s">
        <v>4</v>
      </c>
      <c r="Q13" s="56"/>
      <c r="R13" s="50">
        <v>45913</v>
      </c>
      <c r="S13" s="50">
        <v>45918</v>
      </c>
      <c r="T13" s="51">
        <f t="shared" si="0"/>
        <v>5</v>
      </c>
      <c r="U13" s="56">
        <v>1</v>
      </c>
      <c r="V13" s="56">
        <v>1</v>
      </c>
      <c r="W13" s="56">
        <v>0</v>
      </c>
      <c r="X13" s="56">
        <v>0</v>
      </c>
      <c r="Y13" s="56">
        <v>0</v>
      </c>
      <c r="Z13" s="56">
        <v>0</v>
      </c>
      <c r="AA13" s="56">
        <v>0</v>
      </c>
      <c r="AB13" s="56"/>
      <c r="AC13" s="58">
        <v>45913</v>
      </c>
      <c r="AD13" s="59">
        <v>0.58680555555474712</v>
      </c>
      <c r="AE13" s="56" t="s">
        <v>61</v>
      </c>
      <c r="AF13" s="58">
        <v>45918</v>
      </c>
      <c r="AG13" s="59">
        <v>0.63194444444525288</v>
      </c>
      <c r="AH13" s="56" t="s">
        <v>62</v>
      </c>
      <c r="AI13" s="56" t="s">
        <v>63</v>
      </c>
      <c r="AJ13" s="56" t="s">
        <v>64</v>
      </c>
      <c r="AK13" s="56"/>
      <c r="AL13" s="56" t="s">
        <v>1</v>
      </c>
      <c r="AM13" s="56" t="s">
        <v>65</v>
      </c>
      <c r="AN13" s="60"/>
      <c r="AO13" s="61"/>
    </row>
    <row r="14" spans="1:48" ht="14.25" customHeight="1">
      <c r="C14" s="55">
        <f>IF($X14=1,COUNTIF($C$10:C13,"&gt;0")+1,"")</f>
        <v>3</v>
      </c>
      <c r="D14" s="56">
        <v>462710471</v>
      </c>
      <c r="E14" s="56" t="s">
        <v>54</v>
      </c>
      <c r="F14" s="57" t="s">
        <v>80</v>
      </c>
      <c r="G14" s="56" t="s">
        <v>80</v>
      </c>
      <c r="H14" s="56" t="s">
        <v>81</v>
      </c>
      <c r="I14" s="56" t="s">
        <v>82</v>
      </c>
      <c r="J14" s="56" t="s">
        <v>58</v>
      </c>
      <c r="K14" s="56" t="s">
        <v>59</v>
      </c>
      <c r="L14" s="58">
        <v>33283</v>
      </c>
      <c r="M14" s="56">
        <v>34</v>
      </c>
      <c r="N14" s="56" t="s">
        <v>83</v>
      </c>
      <c r="O14" s="58">
        <v>47901</v>
      </c>
      <c r="P14" s="56" t="s">
        <v>4</v>
      </c>
      <c r="Q14" s="56"/>
      <c r="R14" s="50">
        <v>45913</v>
      </c>
      <c r="S14" s="50">
        <v>45918</v>
      </c>
      <c r="T14" s="51">
        <f t="shared" si="0"/>
        <v>5</v>
      </c>
      <c r="U14" s="56">
        <v>1</v>
      </c>
      <c r="V14" s="56">
        <v>1</v>
      </c>
      <c r="W14" s="56">
        <v>0</v>
      </c>
      <c r="X14" s="56">
        <v>1</v>
      </c>
      <c r="Y14" s="56">
        <v>0</v>
      </c>
      <c r="Z14" s="56">
        <v>1</v>
      </c>
      <c r="AA14" s="56">
        <v>0</v>
      </c>
      <c r="AB14" s="56"/>
      <c r="AC14" s="58">
        <v>45913</v>
      </c>
      <c r="AD14" s="59">
        <v>0.63888888889050577</v>
      </c>
      <c r="AE14" s="56" t="s">
        <v>84</v>
      </c>
      <c r="AF14" s="58">
        <v>45918</v>
      </c>
      <c r="AG14" s="59">
        <v>0.94097222221898846</v>
      </c>
      <c r="AH14" s="56" t="s">
        <v>85</v>
      </c>
      <c r="AI14" s="56" t="s">
        <v>63</v>
      </c>
      <c r="AJ14" s="56" t="s">
        <v>64</v>
      </c>
      <c r="AK14" s="56"/>
      <c r="AL14" s="56" t="s">
        <v>1</v>
      </c>
      <c r="AM14" s="56" t="s">
        <v>65</v>
      </c>
      <c r="AN14" s="60"/>
      <c r="AO14" s="61"/>
    </row>
    <row r="15" spans="1:48" ht="14.25" customHeight="1">
      <c r="C15" s="55" t="str">
        <f>IF($X15=1,COUNTIF($C$10:C14,"&gt;0")+1,"")</f>
        <v/>
      </c>
      <c r="D15" s="56"/>
      <c r="E15" s="56" t="s">
        <v>54</v>
      </c>
      <c r="F15" s="57" t="s">
        <v>86</v>
      </c>
      <c r="G15" s="56" t="s">
        <v>80</v>
      </c>
      <c r="H15" s="56" t="s">
        <v>87</v>
      </c>
      <c r="I15" s="56" t="s">
        <v>88</v>
      </c>
      <c r="J15" s="56" t="s">
        <v>68</v>
      </c>
      <c r="K15" s="56" t="s">
        <v>89</v>
      </c>
      <c r="L15" s="58">
        <v>32749</v>
      </c>
      <c r="M15" s="56">
        <v>36</v>
      </c>
      <c r="N15" s="56" t="s">
        <v>90</v>
      </c>
      <c r="O15" s="58">
        <v>46260</v>
      </c>
      <c r="P15" s="56" t="s">
        <v>4</v>
      </c>
      <c r="Q15" s="56"/>
      <c r="R15" s="50">
        <v>45913</v>
      </c>
      <c r="S15" s="50">
        <v>45918</v>
      </c>
      <c r="T15" s="51">
        <f t="shared" si="0"/>
        <v>5</v>
      </c>
      <c r="U15" s="56">
        <v>1</v>
      </c>
      <c r="V15" s="56">
        <v>1</v>
      </c>
      <c r="W15" s="56">
        <v>0</v>
      </c>
      <c r="X15" s="56">
        <v>0</v>
      </c>
      <c r="Y15" s="56">
        <v>0</v>
      </c>
      <c r="Z15" s="56">
        <v>0</v>
      </c>
      <c r="AA15" s="56">
        <v>0</v>
      </c>
      <c r="AB15" s="56"/>
      <c r="AC15" s="58">
        <v>45913</v>
      </c>
      <c r="AD15" s="59">
        <v>0.63888888889050577</v>
      </c>
      <c r="AE15" s="56" t="s">
        <v>84</v>
      </c>
      <c r="AF15" s="58">
        <v>45918</v>
      </c>
      <c r="AG15" s="59">
        <v>0.94097222221898846</v>
      </c>
      <c r="AH15" s="56" t="s">
        <v>85</v>
      </c>
      <c r="AI15" s="56" t="s">
        <v>63</v>
      </c>
      <c r="AJ15" s="56" t="s">
        <v>64</v>
      </c>
      <c r="AK15" s="56"/>
      <c r="AL15" s="56" t="s">
        <v>1</v>
      </c>
      <c r="AM15" s="56" t="s">
        <v>65</v>
      </c>
      <c r="AN15" s="60"/>
      <c r="AO15" s="61"/>
    </row>
    <row r="16" spans="1:48" ht="14.25" customHeight="1">
      <c r="C16" s="55">
        <f>IF($X16=1,COUNTIF($C$10:C15,"&gt;0")+1,"")</f>
        <v>4</v>
      </c>
      <c r="D16" s="56">
        <v>462710472</v>
      </c>
      <c r="E16" s="56" t="s">
        <v>54</v>
      </c>
      <c r="F16" s="57" t="s">
        <v>91</v>
      </c>
      <c r="G16" s="56" t="s">
        <v>91</v>
      </c>
      <c r="H16" s="56" t="s">
        <v>92</v>
      </c>
      <c r="I16" s="56" t="s">
        <v>93</v>
      </c>
      <c r="J16" s="56" t="s">
        <v>58</v>
      </c>
      <c r="K16" s="56" t="s">
        <v>59</v>
      </c>
      <c r="L16" s="58">
        <v>33204</v>
      </c>
      <c r="M16" s="56">
        <v>34</v>
      </c>
      <c r="N16" s="56" t="s">
        <v>94</v>
      </c>
      <c r="O16" s="58">
        <v>49384</v>
      </c>
      <c r="P16" s="56" t="s">
        <v>5</v>
      </c>
      <c r="Q16" s="56"/>
      <c r="R16" s="50">
        <v>45913</v>
      </c>
      <c r="S16" s="50">
        <v>45918</v>
      </c>
      <c r="T16" s="51">
        <f t="shared" si="0"/>
        <v>5</v>
      </c>
      <c r="U16" s="56">
        <v>1</v>
      </c>
      <c r="V16" s="56">
        <v>1</v>
      </c>
      <c r="W16" s="56">
        <v>0</v>
      </c>
      <c r="X16" s="56">
        <v>1</v>
      </c>
      <c r="Y16" s="56">
        <v>0</v>
      </c>
      <c r="Z16" s="56">
        <v>0</v>
      </c>
      <c r="AA16" s="56">
        <v>1</v>
      </c>
      <c r="AB16" s="56"/>
      <c r="AC16" s="58">
        <v>45913</v>
      </c>
      <c r="AD16" s="59">
        <v>0.18055555555474712</v>
      </c>
      <c r="AE16" s="56" t="s">
        <v>95</v>
      </c>
      <c r="AF16" s="58">
        <v>45918</v>
      </c>
      <c r="AG16" s="59">
        <v>0.70138888889050577</v>
      </c>
      <c r="AH16" s="56" t="s">
        <v>96</v>
      </c>
      <c r="AI16" s="56" t="s">
        <v>63</v>
      </c>
      <c r="AJ16" s="56" t="s">
        <v>64</v>
      </c>
      <c r="AK16" s="56" t="s">
        <v>64</v>
      </c>
      <c r="AL16" s="56" t="s">
        <v>1</v>
      </c>
      <c r="AM16" s="56" t="s">
        <v>65</v>
      </c>
      <c r="AN16" s="60"/>
      <c r="AO16" s="61"/>
    </row>
    <row r="17" spans="3:41" ht="14.25" customHeight="1">
      <c r="C17" s="55" t="str">
        <f>IF($X17=1,COUNTIF($C$10:C16,"&gt;0")+1,"")</f>
        <v/>
      </c>
      <c r="D17" s="56"/>
      <c r="E17" s="56" t="s">
        <v>54</v>
      </c>
      <c r="F17" s="57" t="s">
        <v>97</v>
      </c>
      <c r="G17" s="56" t="s">
        <v>91</v>
      </c>
      <c r="H17" s="56" t="s">
        <v>98</v>
      </c>
      <c r="I17" s="56" t="s">
        <v>99</v>
      </c>
      <c r="J17" s="56" t="s">
        <v>58</v>
      </c>
      <c r="K17" s="56" t="s">
        <v>59</v>
      </c>
      <c r="L17" s="58">
        <v>37508</v>
      </c>
      <c r="M17" s="56">
        <v>23</v>
      </c>
      <c r="N17" s="56" t="s">
        <v>100</v>
      </c>
      <c r="O17" s="58">
        <v>47685</v>
      </c>
      <c r="P17" s="56" t="s">
        <v>5</v>
      </c>
      <c r="Q17" s="56"/>
      <c r="R17" s="50">
        <v>45913</v>
      </c>
      <c r="S17" s="50">
        <v>45918</v>
      </c>
      <c r="T17" s="51">
        <f t="shared" si="0"/>
        <v>5</v>
      </c>
      <c r="U17" s="56">
        <v>1</v>
      </c>
      <c r="V17" s="56">
        <v>1</v>
      </c>
      <c r="W17" s="56">
        <v>0</v>
      </c>
      <c r="X17" s="56">
        <v>0</v>
      </c>
      <c r="Y17" s="56">
        <v>0</v>
      </c>
      <c r="Z17" s="56">
        <v>0</v>
      </c>
      <c r="AA17" s="56">
        <v>0</v>
      </c>
      <c r="AB17" s="56"/>
      <c r="AC17" s="58">
        <v>45913</v>
      </c>
      <c r="AD17" s="59">
        <v>0.65972222221898846</v>
      </c>
      <c r="AE17" s="56" t="s">
        <v>101</v>
      </c>
      <c r="AF17" s="58">
        <v>45918</v>
      </c>
      <c r="AG17" s="59">
        <v>0.87152777778101154</v>
      </c>
      <c r="AH17" s="56" t="s">
        <v>102</v>
      </c>
      <c r="AI17" s="56" t="s">
        <v>63</v>
      </c>
      <c r="AJ17" s="56" t="s">
        <v>64</v>
      </c>
      <c r="AK17" s="56" t="s">
        <v>64</v>
      </c>
      <c r="AL17" s="56" t="s">
        <v>1</v>
      </c>
      <c r="AM17" s="56" t="s">
        <v>65</v>
      </c>
      <c r="AN17" s="60"/>
      <c r="AO17" s="61"/>
    </row>
    <row r="18" spans="3:41" ht="14.25" customHeight="1">
      <c r="C18" s="55">
        <f>IF($X18=1,COUNTIF($C$10:C17,"&gt;0")+1,"")</f>
        <v>5</v>
      </c>
      <c r="D18" s="56">
        <v>462710474</v>
      </c>
      <c r="E18" s="56" t="s">
        <v>54</v>
      </c>
      <c r="F18" s="57" t="s">
        <v>103</v>
      </c>
      <c r="G18" s="56" t="s">
        <v>103</v>
      </c>
      <c r="H18" s="56" t="s">
        <v>104</v>
      </c>
      <c r="I18" s="56" t="s">
        <v>105</v>
      </c>
      <c r="J18" s="56" t="s">
        <v>58</v>
      </c>
      <c r="K18" s="56" t="s">
        <v>59</v>
      </c>
      <c r="L18" s="58">
        <v>25948</v>
      </c>
      <c r="M18" s="56">
        <v>54</v>
      </c>
      <c r="N18" s="56" t="s">
        <v>106</v>
      </c>
      <c r="O18" s="58">
        <v>49133</v>
      </c>
      <c r="P18" s="56" t="s">
        <v>4</v>
      </c>
      <c r="Q18" s="56"/>
      <c r="R18" s="50">
        <v>45913</v>
      </c>
      <c r="S18" s="50">
        <v>45918</v>
      </c>
      <c r="T18" s="51">
        <f t="shared" si="0"/>
        <v>5</v>
      </c>
      <c r="U18" s="56">
        <v>1</v>
      </c>
      <c r="V18" s="56">
        <v>1</v>
      </c>
      <c r="W18" s="56">
        <v>0</v>
      </c>
      <c r="X18" s="56">
        <v>1</v>
      </c>
      <c r="Y18" s="56">
        <v>0</v>
      </c>
      <c r="Z18" s="56">
        <v>1</v>
      </c>
      <c r="AA18" s="56">
        <v>0</v>
      </c>
      <c r="AB18" s="56"/>
      <c r="AC18" s="58">
        <v>45913</v>
      </c>
      <c r="AD18" s="59">
        <v>0.72222222221898846</v>
      </c>
      <c r="AE18" s="56" t="s">
        <v>107</v>
      </c>
      <c r="AF18" s="58">
        <v>45918</v>
      </c>
      <c r="AG18" s="59">
        <v>0.28819444444525288</v>
      </c>
      <c r="AH18" s="56" t="s">
        <v>108</v>
      </c>
      <c r="AI18" s="56" t="s">
        <v>63</v>
      </c>
      <c r="AJ18" s="56" t="s">
        <v>64</v>
      </c>
      <c r="AK18" s="56" t="s">
        <v>64</v>
      </c>
      <c r="AL18" s="56" t="s">
        <v>1</v>
      </c>
      <c r="AM18" s="56" t="s">
        <v>65</v>
      </c>
      <c r="AN18" s="60"/>
      <c r="AO18" s="61"/>
    </row>
    <row r="19" spans="3:41" ht="14.25" customHeight="1">
      <c r="C19" s="55" t="str">
        <f>IF($X19=1,COUNTIF($C$10:C18,"&gt;0")+1,"")</f>
        <v/>
      </c>
      <c r="D19" s="56"/>
      <c r="E19" s="56" t="s">
        <v>54</v>
      </c>
      <c r="F19" s="57" t="s">
        <v>109</v>
      </c>
      <c r="G19" s="56" t="s">
        <v>103</v>
      </c>
      <c r="H19" s="56" t="s">
        <v>110</v>
      </c>
      <c r="I19" s="56" t="s">
        <v>111</v>
      </c>
      <c r="J19" s="56" t="s">
        <v>68</v>
      </c>
      <c r="K19" s="56" t="s">
        <v>64</v>
      </c>
      <c r="L19" s="58" t="s">
        <v>64</v>
      </c>
      <c r="M19" s="56" t="s">
        <v>64</v>
      </c>
      <c r="N19" s="56" t="s">
        <v>64</v>
      </c>
      <c r="O19" s="58" t="s">
        <v>64</v>
      </c>
      <c r="P19" s="56" t="s">
        <v>4</v>
      </c>
      <c r="Q19" s="56"/>
      <c r="R19" s="50">
        <v>45913</v>
      </c>
      <c r="S19" s="50">
        <v>45918</v>
      </c>
      <c r="T19" s="51">
        <f t="shared" si="0"/>
        <v>5</v>
      </c>
      <c r="U19" s="56">
        <v>1</v>
      </c>
      <c r="V19" s="56">
        <v>1</v>
      </c>
      <c r="W19" s="56">
        <v>0</v>
      </c>
      <c r="X19" s="56">
        <v>0</v>
      </c>
      <c r="Y19" s="56">
        <v>0</v>
      </c>
      <c r="Z19" s="56">
        <v>0</v>
      </c>
      <c r="AA19" s="56">
        <v>0</v>
      </c>
      <c r="AB19" s="56"/>
      <c r="AC19" s="58" t="s">
        <v>64</v>
      </c>
      <c r="AD19" s="59" t="s">
        <v>64</v>
      </c>
      <c r="AE19" s="56" t="s">
        <v>64</v>
      </c>
      <c r="AF19" s="58" t="s">
        <v>64</v>
      </c>
      <c r="AG19" s="59" t="s">
        <v>64</v>
      </c>
      <c r="AH19" s="56" t="s">
        <v>64</v>
      </c>
      <c r="AI19" s="56" t="s">
        <v>63</v>
      </c>
      <c r="AJ19" s="56" t="s">
        <v>64</v>
      </c>
      <c r="AK19" s="56" t="s">
        <v>64</v>
      </c>
      <c r="AL19" s="56" t="s">
        <v>1</v>
      </c>
      <c r="AM19" s="56" t="s">
        <v>65</v>
      </c>
      <c r="AN19" s="60"/>
      <c r="AO19" s="61"/>
    </row>
    <row r="20" spans="3:41" ht="14.25" customHeight="1">
      <c r="C20" s="55">
        <f>IF($X20=1,COUNTIF($C$10:C19,"&gt;0")+1,"")</f>
        <v>6</v>
      </c>
      <c r="D20" s="56">
        <v>462710475</v>
      </c>
      <c r="E20" s="56" t="s">
        <v>54</v>
      </c>
      <c r="F20" s="57" t="s">
        <v>112</v>
      </c>
      <c r="G20" s="56" t="s">
        <v>112</v>
      </c>
      <c r="H20" s="56" t="s">
        <v>113</v>
      </c>
      <c r="I20" s="56" t="s">
        <v>114</v>
      </c>
      <c r="J20" s="56" t="s">
        <v>58</v>
      </c>
      <c r="K20" s="56" t="s">
        <v>59</v>
      </c>
      <c r="L20" s="58">
        <v>31054</v>
      </c>
      <c r="M20" s="56">
        <v>40</v>
      </c>
      <c r="N20" s="56" t="s">
        <v>115</v>
      </c>
      <c r="O20" s="58">
        <v>47253</v>
      </c>
      <c r="P20" s="56" t="s">
        <v>4</v>
      </c>
      <c r="Q20" s="56"/>
      <c r="R20" s="50">
        <v>45913</v>
      </c>
      <c r="S20" s="50">
        <v>45918</v>
      </c>
      <c r="T20" s="51">
        <f t="shared" si="0"/>
        <v>5</v>
      </c>
      <c r="U20" s="56">
        <v>1</v>
      </c>
      <c r="V20" s="56">
        <v>1</v>
      </c>
      <c r="W20" s="56">
        <v>0</v>
      </c>
      <c r="X20" s="56">
        <v>1</v>
      </c>
      <c r="Y20" s="56">
        <v>0</v>
      </c>
      <c r="Z20" s="56">
        <v>1</v>
      </c>
      <c r="AA20" s="56">
        <v>0</v>
      </c>
      <c r="AB20" s="56"/>
      <c r="AC20" s="58">
        <v>45913</v>
      </c>
      <c r="AD20" s="59">
        <v>0.6875</v>
      </c>
      <c r="AE20" s="56" t="s">
        <v>116</v>
      </c>
      <c r="AF20" s="58">
        <v>45918</v>
      </c>
      <c r="AG20" s="59">
        <v>0.80555555555474712</v>
      </c>
      <c r="AH20" s="56" t="s">
        <v>117</v>
      </c>
      <c r="AI20" s="56" t="s">
        <v>63</v>
      </c>
      <c r="AJ20" s="56" t="s">
        <v>64</v>
      </c>
      <c r="AK20" s="56" t="s">
        <v>64</v>
      </c>
      <c r="AL20" s="56" t="s">
        <v>1</v>
      </c>
      <c r="AM20" s="56" t="s">
        <v>65</v>
      </c>
      <c r="AN20" s="60"/>
      <c r="AO20" s="61"/>
    </row>
    <row r="21" spans="3:41" ht="14.25" customHeight="1">
      <c r="C21" s="55" t="str">
        <f>IF($X21=1,COUNTIF($C$10:C20,"&gt;0")+1,"")</f>
        <v/>
      </c>
      <c r="D21" s="56"/>
      <c r="E21" s="56" t="s">
        <v>54</v>
      </c>
      <c r="F21" s="57" t="s">
        <v>118</v>
      </c>
      <c r="G21" s="56" t="s">
        <v>112</v>
      </c>
      <c r="H21" s="56" t="s">
        <v>119</v>
      </c>
      <c r="I21" s="56" t="s">
        <v>120</v>
      </c>
      <c r="J21" s="56" t="s">
        <v>68</v>
      </c>
      <c r="K21" s="56" t="s">
        <v>59</v>
      </c>
      <c r="L21" s="58">
        <v>30405</v>
      </c>
      <c r="M21" s="56">
        <v>42</v>
      </c>
      <c r="N21" s="56" t="s">
        <v>121</v>
      </c>
      <c r="O21" s="58">
        <v>49015</v>
      </c>
      <c r="P21" s="56" t="s">
        <v>4</v>
      </c>
      <c r="Q21" s="56"/>
      <c r="R21" s="50">
        <v>45913</v>
      </c>
      <c r="S21" s="50">
        <v>45918</v>
      </c>
      <c r="T21" s="51">
        <f t="shared" si="0"/>
        <v>5</v>
      </c>
      <c r="U21" s="56">
        <v>1</v>
      </c>
      <c r="V21" s="56">
        <v>1</v>
      </c>
      <c r="W21" s="56">
        <v>0</v>
      </c>
      <c r="X21" s="56">
        <v>0</v>
      </c>
      <c r="Y21" s="56">
        <v>0</v>
      </c>
      <c r="Z21" s="56">
        <v>0</v>
      </c>
      <c r="AA21" s="56">
        <v>0</v>
      </c>
      <c r="AB21" s="56"/>
      <c r="AC21" s="58">
        <v>45913</v>
      </c>
      <c r="AD21" s="59">
        <v>0.70138888889050577</v>
      </c>
      <c r="AE21" s="56" t="s">
        <v>122</v>
      </c>
      <c r="AF21" s="58">
        <v>45918</v>
      </c>
      <c r="AG21" s="59">
        <v>0.80555555555474712</v>
      </c>
      <c r="AH21" s="56" t="s">
        <v>117</v>
      </c>
      <c r="AI21" s="56" t="s">
        <v>63</v>
      </c>
      <c r="AJ21" s="56" t="s">
        <v>64</v>
      </c>
      <c r="AK21" s="56" t="s">
        <v>64</v>
      </c>
      <c r="AL21" s="56" t="s">
        <v>1</v>
      </c>
      <c r="AM21" s="56" t="s">
        <v>65</v>
      </c>
      <c r="AN21" s="60"/>
      <c r="AO21" s="61"/>
    </row>
    <row r="22" spans="3:41" ht="14.25" customHeight="1">
      <c r="C22" s="55">
        <f>IF($X22=1,COUNTIF($C$10:C21,"&gt;0")+1,"")</f>
        <v>7</v>
      </c>
      <c r="D22" s="56">
        <v>462710476</v>
      </c>
      <c r="E22" s="56" t="s">
        <v>54</v>
      </c>
      <c r="F22" s="57" t="s">
        <v>123</v>
      </c>
      <c r="G22" s="56" t="s">
        <v>123</v>
      </c>
      <c r="H22" s="56" t="s">
        <v>124</v>
      </c>
      <c r="I22" s="56" t="s">
        <v>125</v>
      </c>
      <c r="J22" s="56" t="s">
        <v>58</v>
      </c>
      <c r="K22" s="56" t="s">
        <v>59</v>
      </c>
      <c r="L22" s="58">
        <v>33587</v>
      </c>
      <c r="M22" s="56">
        <v>33</v>
      </c>
      <c r="N22" s="56" t="s">
        <v>126</v>
      </c>
      <c r="O22" s="58">
        <v>46129</v>
      </c>
      <c r="P22" s="56" t="s">
        <v>4</v>
      </c>
      <c r="Q22" s="56"/>
      <c r="R22" s="50">
        <v>45913</v>
      </c>
      <c r="S22" s="50">
        <v>45918</v>
      </c>
      <c r="T22" s="51">
        <f t="shared" si="0"/>
        <v>5</v>
      </c>
      <c r="U22" s="56">
        <v>1</v>
      </c>
      <c r="V22" s="56">
        <v>1</v>
      </c>
      <c r="W22" s="56">
        <v>0</v>
      </c>
      <c r="X22" s="56">
        <v>1</v>
      </c>
      <c r="Y22" s="56">
        <v>0</v>
      </c>
      <c r="Z22" s="56">
        <v>1</v>
      </c>
      <c r="AA22" s="56">
        <v>0</v>
      </c>
      <c r="AB22" s="56"/>
      <c r="AC22" s="58">
        <v>45913</v>
      </c>
      <c r="AD22" s="59">
        <v>0.47916666666424135</v>
      </c>
      <c r="AE22" s="56" t="s">
        <v>127</v>
      </c>
      <c r="AF22" s="58">
        <v>45918</v>
      </c>
      <c r="AG22" s="59">
        <v>0.87152777778101154</v>
      </c>
      <c r="AH22" s="56" t="s">
        <v>102</v>
      </c>
      <c r="AI22" s="56" t="s">
        <v>63</v>
      </c>
      <c r="AJ22" s="56" t="s">
        <v>64</v>
      </c>
      <c r="AK22" s="56" t="s">
        <v>64</v>
      </c>
      <c r="AL22" s="56" t="s">
        <v>1</v>
      </c>
      <c r="AM22" s="56" t="s">
        <v>65</v>
      </c>
      <c r="AN22" s="60"/>
      <c r="AO22" s="61"/>
    </row>
    <row r="23" spans="3:41" ht="14.25" customHeight="1">
      <c r="C23" s="55" t="str">
        <f>IF($X23=1,COUNTIF($C$10:C22,"&gt;0")+1,"")</f>
        <v/>
      </c>
      <c r="D23" s="56"/>
      <c r="E23" s="56" t="s">
        <v>54</v>
      </c>
      <c r="F23" s="57" t="s">
        <v>128</v>
      </c>
      <c r="G23" s="56" t="s">
        <v>123</v>
      </c>
      <c r="H23" s="56" t="s">
        <v>129</v>
      </c>
      <c r="I23" s="56" t="s">
        <v>130</v>
      </c>
      <c r="J23" s="56" t="s">
        <v>58</v>
      </c>
      <c r="K23" s="56" t="s">
        <v>59</v>
      </c>
      <c r="L23" s="58">
        <v>36880</v>
      </c>
      <c r="M23" s="56">
        <v>24</v>
      </c>
      <c r="N23" s="56" t="s">
        <v>131</v>
      </c>
      <c r="O23" s="58">
        <v>47516</v>
      </c>
      <c r="P23" s="56" t="s">
        <v>4</v>
      </c>
      <c r="Q23" s="56"/>
      <c r="R23" s="50">
        <v>45913</v>
      </c>
      <c r="S23" s="50">
        <v>45918</v>
      </c>
      <c r="T23" s="51">
        <f t="shared" si="0"/>
        <v>5</v>
      </c>
      <c r="U23" s="56">
        <v>1</v>
      </c>
      <c r="V23" s="56">
        <v>1</v>
      </c>
      <c r="W23" s="56">
        <v>0</v>
      </c>
      <c r="X23" s="56">
        <v>0</v>
      </c>
      <c r="Y23" s="56">
        <v>0</v>
      </c>
      <c r="Z23" s="56">
        <v>0</v>
      </c>
      <c r="AA23" s="56">
        <v>0</v>
      </c>
      <c r="AB23" s="56"/>
      <c r="AC23" s="58">
        <v>45913</v>
      </c>
      <c r="AD23" s="59">
        <v>0.47916666666424135</v>
      </c>
      <c r="AE23" s="56" t="s">
        <v>127</v>
      </c>
      <c r="AF23" s="58">
        <v>45918</v>
      </c>
      <c r="AG23" s="59">
        <v>0.87152777778101154</v>
      </c>
      <c r="AH23" s="56" t="s">
        <v>102</v>
      </c>
      <c r="AI23" s="56" t="s">
        <v>63</v>
      </c>
      <c r="AJ23" s="56" t="s">
        <v>64</v>
      </c>
      <c r="AK23" s="56" t="s">
        <v>64</v>
      </c>
      <c r="AL23" s="56" t="s">
        <v>1</v>
      </c>
      <c r="AM23" s="56" t="s">
        <v>65</v>
      </c>
      <c r="AN23" s="60"/>
      <c r="AO23" s="61"/>
    </row>
    <row r="24" spans="3:41" ht="14.25" customHeight="1">
      <c r="C24" s="55">
        <f>IF($X24=1,COUNTIF($C$10:C23,"&gt;0")+1,"")</f>
        <v>8</v>
      </c>
      <c r="D24" s="56">
        <v>462710727</v>
      </c>
      <c r="E24" s="56" t="s">
        <v>54</v>
      </c>
      <c r="F24" s="57" t="s">
        <v>132</v>
      </c>
      <c r="G24" s="56" t="s">
        <v>132</v>
      </c>
      <c r="H24" s="56" t="s">
        <v>133</v>
      </c>
      <c r="I24" s="56" t="s">
        <v>134</v>
      </c>
      <c r="J24" s="56" t="s">
        <v>58</v>
      </c>
      <c r="K24" s="56" t="s">
        <v>59</v>
      </c>
      <c r="L24" s="58">
        <v>30777</v>
      </c>
      <c r="M24" s="56">
        <v>41</v>
      </c>
      <c r="N24" s="56" t="s">
        <v>135</v>
      </c>
      <c r="O24" s="58">
        <v>48069</v>
      </c>
      <c r="P24" s="56" t="s">
        <v>4</v>
      </c>
      <c r="Q24" s="56"/>
      <c r="R24" s="50">
        <v>45913</v>
      </c>
      <c r="S24" s="50">
        <v>45918</v>
      </c>
      <c r="T24" s="51">
        <f t="shared" si="0"/>
        <v>5</v>
      </c>
      <c r="U24" s="56">
        <v>1</v>
      </c>
      <c r="V24" s="56">
        <v>1</v>
      </c>
      <c r="W24" s="56">
        <v>0</v>
      </c>
      <c r="X24" s="56">
        <v>1</v>
      </c>
      <c r="Y24" s="56">
        <v>0</v>
      </c>
      <c r="Z24" s="56">
        <v>1</v>
      </c>
      <c r="AA24" s="56">
        <v>0</v>
      </c>
      <c r="AB24" s="56"/>
      <c r="AC24" s="58">
        <v>45913</v>
      </c>
      <c r="AD24" s="59">
        <v>0.47916666666424135</v>
      </c>
      <c r="AE24" s="56" t="s">
        <v>127</v>
      </c>
      <c r="AF24" s="58">
        <v>45918</v>
      </c>
      <c r="AG24" s="59">
        <v>0.87152777778101154</v>
      </c>
      <c r="AH24" s="56" t="s">
        <v>102</v>
      </c>
      <c r="AI24" s="56" t="s">
        <v>63</v>
      </c>
      <c r="AJ24" s="56" t="s">
        <v>64</v>
      </c>
      <c r="AK24" s="56" t="s">
        <v>136</v>
      </c>
      <c r="AL24" s="56" t="s">
        <v>1</v>
      </c>
      <c r="AM24" s="56" t="s">
        <v>65</v>
      </c>
      <c r="AN24" s="60"/>
      <c r="AO24" s="61"/>
    </row>
    <row r="25" spans="3:41" ht="14.25" customHeight="1">
      <c r="C25" s="55" t="str">
        <f>IF($X25=1,COUNTIF($C$10:C24,"&gt;0")+1,"")</f>
        <v/>
      </c>
      <c r="D25" s="56"/>
      <c r="E25" s="56" t="s">
        <v>54</v>
      </c>
      <c r="F25" s="57" t="s">
        <v>137</v>
      </c>
      <c r="G25" s="56" t="s">
        <v>132</v>
      </c>
      <c r="H25" s="56" t="s">
        <v>138</v>
      </c>
      <c r="I25" s="56" t="s">
        <v>134</v>
      </c>
      <c r="J25" s="56" t="s">
        <v>68</v>
      </c>
      <c r="K25" s="56" t="s">
        <v>59</v>
      </c>
      <c r="L25" s="58">
        <v>31678</v>
      </c>
      <c r="M25" s="56">
        <v>38</v>
      </c>
      <c r="N25" s="56" t="s">
        <v>139</v>
      </c>
      <c r="O25" s="58">
        <v>49003</v>
      </c>
      <c r="P25" s="56" t="s">
        <v>4</v>
      </c>
      <c r="Q25" s="56"/>
      <c r="R25" s="50">
        <v>45913</v>
      </c>
      <c r="S25" s="50">
        <v>45918</v>
      </c>
      <c r="T25" s="51">
        <f t="shared" si="0"/>
        <v>5</v>
      </c>
      <c r="U25" s="56">
        <v>1</v>
      </c>
      <c r="V25" s="56">
        <v>1</v>
      </c>
      <c r="W25" s="56">
        <v>0</v>
      </c>
      <c r="X25" s="56">
        <v>0</v>
      </c>
      <c r="Y25" s="56">
        <v>0</v>
      </c>
      <c r="Z25" s="56">
        <v>0</v>
      </c>
      <c r="AA25" s="56">
        <v>0</v>
      </c>
      <c r="AB25" s="56"/>
      <c r="AC25" s="58">
        <v>45913</v>
      </c>
      <c r="AD25" s="59">
        <v>0.47916666666424135</v>
      </c>
      <c r="AE25" s="56" t="s">
        <v>127</v>
      </c>
      <c r="AF25" s="58">
        <v>45918</v>
      </c>
      <c r="AG25" s="59">
        <v>0.87152777778101154</v>
      </c>
      <c r="AH25" s="56" t="s">
        <v>102</v>
      </c>
      <c r="AI25" s="56" t="s">
        <v>63</v>
      </c>
      <c r="AJ25" s="56" t="s">
        <v>64</v>
      </c>
      <c r="AK25" s="56" t="s">
        <v>64</v>
      </c>
      <c r="AL25" s="56" t="s">
        <v>1</v>
      </c>
      <c r="AM25" s="56" t="s">
        <v>65</v>
      </c>
      <c r="AN25" s="60"/>
      <c r="AO25" s="61"/>
    </row>
    <row r="26" spans="3:41" ht="14.25" customHeight="1">
      <c r="C26" s="55" t="str">
        <f>IF($X26=1,COUNTIF($C$10:C25,"&gt;0")+1,"")</f>
        <v/>
      </c>
      <c r="D26" s="56"/>
      <c r="E26" s="56" t="s">
        <v>54</v>
      </c>
      <c r="F26" s="57" t="s">
        <v>140</v>
      </c>
      <c r="G26" s="56" t="s">
        <v>132</v>
      </c>
      <c r="H26" s="56" t="s">
        <v>141</v>
      </c>
      <c r="I26" s="56" t="s">
        <v>134</v>
      </c>
      <c r="J26" s="56" t="s">
        <v>68</v>
      </c>
      <c r="K26" s="56" t="s">
        <v>59</v>
      </c>
      <c r="L26" s="58">
        <v>41647</v>
      </c>
      <c r="M26" s="56">
        <v>11</v>
      </c>
      <c r="N26" s="56" t="s">
        <v>142</v>
      </c>
      <c r="O26" s="58">
        <v>47156</v>
      </c>
      <c r="P26" s="56" t="s">
        <v>4</v>
      </c>
      <c r="Q26" s="56"/>
      <c r="R26" s="50">
        <v>45913</v>
      </c>
      <c r="S26" s="50">
        <v>45918</v>
      </c>
      <c r="T26" s="51">
        <f t="shared" si="0"/>
        <v>5</v>
      </c>
      <c r="U26" s="56">
        <v>1</v>
      </c>
      <c r="V26" s="56">
        <v>0</v>
      </c>
      <c r="W26" s="56">
        <v>1</v>
      </c>
      <c r="X26" s="56">
        <v>0</v>
      </c>
      <c r="Y26" s="56">
        <v>0</v>
      </c>
      <c r="Z26" s="56">
        <v>0</v>
      </c>
      <c r="AA26" s="56">
        <v>0</v>
      </c>
      <c r="AB26" s="56"/>
      <c r="AC26" s="58">
        <v>45913</v>
      </c>
      <c r="AD26" s="59">
        <v>0.47916666666424135</v>
      </c>
      <c r="AE26" s="56" t="s">
        <v>127</v>
      </c>
      <c r="AF26" s="58">
        <v>45918</v>
      </c>
      <c r="AG26" s="59">
        <v>0.87152777778101154</v>
      </c>
      <c r="AH26" s="56" t="s">
        <v>102</v>
      </c>
      <c r="AI26" s="56" t="s">
        <v>63</v>
      </c>
      <c r="AJ26" s="56" t="s">
        <v>64</v>
      </c>
      <c r="AK26" s="56" t="s">
        <v>64</v>
      </c>
      <c r="AL26" s="56" t="s">
        <v>1</v>
      </c>
      <c r="AM26" s="56" t="s">
        <v>65</v>
      </c>
      <c r="AN26" s="60"/>
      <c r="AO26" s="61"/>
    </row>
    <row r="27" spans="3:41" ht="14.25" customHeight="1">
      <c r="C27" s="55">
        <f>IF($X27=1,COUNTIF($C$10:C26,"&gt;0")+1,"")</f>
        <v>9</v>
      </c>
      <c r="D27" s="56">
        <v>462710728</v>
      </c>
      <c r="E27" s="56" t="s">
        <v>54</v>
      </c>
      <c r="F27" s="57" t="s">
        <v>143</v>
      </c>
      <c r="G27" s="56" t="s">
        <v>132</v>
      </c>
      <c r="H27" s="56" t="s">
        <v>144</v>
      </c>
      <c r="I27" s="56" t="s">
        <v>134</v>
      </c>
      <c r="J27" s="56" t="s">
        <v>68</v>
      </c>
      <c r="K27" s="56" t="s">
        <v>59</v>
      </c>
      <c r="L27" s="58">
        <v>41020</v>
      </c>
      <c r="M27" s="56">
        <v>13</v>
      </c>
      <c r="N27" s="56" t="s">
        <v>145</v>
      </c>
      <c r="O27" s="58">
        <v>47156</v>
      </c>
      <c r="P27" s="56" t="s">
        <v>4</v>
      </c>
      <c r="Q27" s="56"/>
      <c r="R27" s="50">
        <v>45913</v>
      </c>
      <c r="S27" s="50">
        <v>45918</v>
      </c>
      <c r="T27" s="51">
        <f t="shared" si="0"/>
        <v>5</v>
      </c>
      <c r="U27" s="56">
        <v>1</v>
      </c>
      <c r="V27" s="56">
        <v>1</v>
      </c>
      <c r="W27" s="56">
        <v>0</v>
      </c>
      <c r="X27" s="56">
        <v>1</v>
      </c>
      <c r="Y27" s="56">
        <v>0</v>
      </c>
      <c r="Z27" s="56">
        <v>1</v>
      </c>
      <c r="AA27" s="56">
        <v>0</v>
      </c>
      <c r="AB27" s="56"/>
      <c r="AC27" s="58">
        <v>45913</v>
      </c>
      <c r="AD27" s="59">
        <v>0.47916666666424135</v>
      </c>
      <c r="AE27" s="56" t="s">
        <v>127</v>
      </c>
      <c r="AF27" s="58">
        <v>45918</v>
      </c>
      <c r="AG27" s="59">
        <v>0.87152777778101154</v>
      </c>
      <c r="AH27" s="56" t="s">
        <v>102</v>
      </c>
      <c r="AI27" s="56" t="s">
        <v>63</v>
      </c>
      <c r="AJ27" s="56" t="s">
        <v>64</v>
      </c>
      <c r="AK27" s="56" t="s">
        <v>64</v>
      </c>
      <c r="AL27" s="56" t="s">
        <v>1</v>
      </c>
      <c r="AM27" s="56" t="s">
        <v>65</v>
      </c>
      <c r="AN27" s="60"/>
      <c r="AO27" s="61"/>
    </row>
    <row r="28" spans="3:41" ht="14.25" customHeight="1">
      <c r="C28" s="55" t="str">
        <f>IF($X28=1,COUNTIF($C$10:C27,"&gt;0")+1,"")</f>
        <v/>
      </c>
      <c r="D28" s="56"/>
      <c r="E28" s="56" t="s">
        <v>54</v>
      </c>
      <c r="F28" s="57" t="s">
        <v>146</v>
      </c>
      <c r="G28" s="56" t="s">
        <v>132</v>
      </c>
      <c r="H28" s="56" t="s">
        <v>147</v>
      </c>
      <c r="I28" s="56" t="s">
        <v>148</v>
      </c>
      <c r="J28" s="56" t="s">
        <v>68</v>
      </c>
      <c r="K28" s="56" t="s">
        <v>59</v>
      </c>
      <c r="L28" s="58">
        <v>23234</v>
      </c>
      <c r="M28" s="56">
        <v>62</v>
      </c>
      <c r="N28" s="56" t="s">
        <v>149</v>
      </c>
      <c r="O28" s="58">
        <v>48360</v>
      </c>
      <c r="P28" s="56" t="s">
        <v>4</v>
      </c>
      <c r="Q28" s="56"/>
      <c r="R28" s="50">
        <v>45913</v>
      </c>
      <c r="S28" s="50">
        <v>45918</v>
      </c>
      <c r="T28" s="51">
        <f t="shared" si="0"/>
        <v>5</v>
      </c>
      <c r="U28" s="56">
        <v>1</v>
      </c>
      <c r="V28" s="56">
        <v>1</v>
      </c>
      <c r="W28" s="56">
        <v>0</v>
      </c>
      <c r="X28" s="56">
        <v>0</v>
      </c>
      <c r="Y28" s="56">
        <v>0</v>
      </c>
      <c r="Z28" s="56">
        <v>0</v>
      </c>
      <c r="AA28" s="56">
        <v>0</v>
      </c>
      <c r="AB28" s="56"/>
      <c r="AC28" s="58">
        <v>45913</v>
      </c>
      <c r="AD28" s="59">
        <v>0.47916666666424135</v>
      </c>
      <c r="AE28" s="56" t="s">
        <v>127</v>
      </c>
      <c r="AF28" s="58">
        <v>45918</v>
      </c>
      <c r="AG28" s="59">
        <v>0.87152777778101154</v>
      </c>
      <c r="AH28" s="56" t="s">
        <v>102</v>
      </c>
      <c r="AI28" s="56" t="s">
        <v>63</v>
      </c>
      <c r="AJ28" s="56" t="s">
        <v>64</v>
      </c>
      <c r="AK28" s="56" t="s">
        <v>64</v>
      </c>
      <c r="AL28" s="56" t="s">
        <v>1</v>
      </c>
      <c r="AM28" s="56" t="s">
        <v>65</v>
      </c>
      <c r="AN28" s="60"/>
      <c r="AO28" s="61"/>
    </row>
    <row r="29" spans="3:41" ht="14.25" customHeight="1">
      <c r="C29" s="55">
        <f>IF($X29=1,COUNTIF($C$10:C28,"&gt;0")+1,"")</f>
        <v>10</v>
      </c>
      <c r="D29" s="56">
        <v>462710729</v>
      </c>
      <c r="E29" s="56" t="s">
        <v>54</v>
      </c>
      <c r="F29" s="57" t="s">
        <v>150</v>
      </c>
      <c r="G29" s="56" t="s">
        <v>150</v>
      </c>
      <c r="H29" s="56" t="s">
        <v>151</v>
      </c>
      <c r="I29" s="56" t="s">
        <v>152</v>
      </c>
      <c r="J29" s="56" t="s">
        <v>58</v>
      </c>
      <c r="K29" s="56" t="s">
        <v>59</v>
      </c>
      <c r="L29" s="58">
        <v>28373</v>
      </c>
      <c r="M29" s="56">
        <v>48</v>
      </c>
      <c r="N29" s="56" t="s">
        <v>153</v>
      </c>
      <c r="O29" s="58">
        <v>46474</v>
      </c>
      <c r="P29" s="56" t="s">
        <v>4</v>
      </c>
      <c r="Q29" s="56"/>
      <c r="R29" s="50">
        <v>45913</v>
      </c>
      <c r="S29" s="50">
        <v>45918</v>
      </c>
      <c r="T29" s="51">
        <f t="shared" si="0"/>
        <v>5</v>
      </c>
      <c r="U29" s="56">
        <v>1</v>
      </c>
      <c r="V29" s="56">
        <v>1</v>
      </c>
      <c r="W29" s="56">
        <v>0</v>
      </c>
      <c r="X29" s="56">
        <v>1</v>
      </c>
      <c r="Y29" s="56">
        <v>0</v>
      </c>
      <c r="Z29" s="56">
        <v>1</v>
      </c>
      <c r="AA29" s="56">
        <v>0</v>
      </c>
      <c r="AB29" s="56"/>
      <c r="AC29" s="58">
        <v>45913</v>
      </c>
      <c r="AD29" s="59">
        <v>0.47916666666424135</v>
      </c>
      <c r="AE29" s="56" t="s">
        <v>127</v>
      </c>
      <c r="AF29" s="58">
        <v>45918</v>
      </c>
      <c r="AG29" s="59">
        <v>0.87152777778101154</v>
      </c>
      <c r="AH29" s="56" t="s">
        <v>102</v>
      </c>
      <c r="AI29" s="56" t="s">
        <v>63</v>
      </c>
      <c r="AJ29" s="56" t="s">
        <v>64</v>
      </c>
      <c r="AK29" s="56" t="s">
        <v>64</v>
      </c>
      <c r="AL29" s="56" t="s">
        <v>1</v>
      </c>
      <c r="AM29" s="56" t="s">
        <v>65</v>
      </c>
      <c r="AN29" s="60"/>
      <c r="AO29" s="61"/>
    </row>
    <row r="30" spans="3:41" ht="14.25" customHeight="1">
      <c r="C30" s="55" t="str">
        <f>IF($X30=1,COUNTIF($C$10:C29,"&gt;0")+1,"")</f>
        <v/>
      </c>
      <c r="D30" s="56"/>
      <c r="E30" s="56" t="s">
        <v>54</v>
      </c>
      <c r="F30" s="57" t="s">
        <v>154</v>
      </c>
      <c r="G30" s="56" t="s">
        <v>150</v>
      </c>
      <c r="H30" s="56" t="s">
        <v>155</v>
      </c>
      <c r="I30" s="56" t="s">
        <v>152</v>
      </c>
      <c r="J30" s="56" t="s">
        <v>68</v>
      </c>
      <c r="K30" s="56" t="s">
        <v>59</v>
      </c>
      <c r="L30" s="58">
        <v>29138</v>
      </c>
      <c r="M30" s="56">
        <v>45</v>
      </c>
      <c r="N30" s="56" t="s">
        <v>156</v>
      </c>
      <c r="O30" s="58">
        <v>48869</v>
      </c>
      <c r="P30" s="56" t="s">
        <v>4</v>
      </c>
      <c r="Q30" s="56"/>
      <c r="R30" s="50">
        <v>45913</v>
      </c>
      <c r="S30" s="50">
        <v>45918</v>
      </c>
      <c r="T30" s="51">
        <f t="shared" si="0"/>
        <v>5</v>
      </c>
      <c r="U30" s="56">
        <v>1</v>
      </c>
      <c r="V30" s="56">
        <v>1</v>
      </c>
      <c r="W30" s="56">
        <v>0</v>
      </c>
      <c r="X30" s="56">
        <v>0</v>
      </c>
      <c r="Y30" s="56">
        <v>0</v>
      </c>
      <c r="Z30" s="56">
        <v>0</v>
      </c>
      <c r="AA30" s="56">
        <v>0</v>
      </c>
      <c r="AB30" s="56"/>
      <c r="AC30" s="58">
        <v>45913</v>
      </c>
      <c r="AD30" s="59">
        <v>0.47916666666424135</v>
      </c>
      <c r="AE30" s="56" t="s">
        <v>127</v>
      </c>
      <c r="AF30" s="58">
        <v>45918</v>
      </c>
      <c r="AG30" s="59">
        <v>0.87152777778101154</v>
      </c>
      <c r="AH30" s="56" t="s">
        <v>102</v>
      </c>
      <c r="AI30" s="56" t="s">
        <v>63</v>
      </c>
      <c r="AJ30" s="56" t="s">
        <v>64</v>
      </c>
      <c r="AK30" s="56" t="s">
        <v>64</v>
      </c>
      <c r="AL30" s="56" t="s">
        <v>1</v>
      </c>
      <c r="AM30" s="56" t="s">
        <v>65</v>
      </c>
      <c r="AN30" s="60"/>
      <c r="AO30" s="61"/>
    </row>
    <row r="31" spans="3:41" ht="14.25" customHeight="1">
      <c r="C31" s="55">
        <f>IF($X31=1,COUNTIF($C$10:C30,"&gt;0")+1,"")</f>
        <v>11</v>
      </c>
      <c r="D31" s="56">
        <v>462710730</v>
      </c>
      <c r="E31" s="56" t="s">
        <v>54</v>
      </c>
      <c r="F31" s="57" t="s">
        <v>157</v>
      </c>
      <c r="G31" s="56" t="s">
        <v>150</v>
      </c>
      <c r="H31" s="56" t="s">
        <v>158</v>
      </c>
      <c r="I31" s="56" t="s">
        <v>152</v>
      </c>
      <c r="J31" s="56" t="s">
        <v>68</v>
      </c>
      <c r="K31" s="56" t="s">
        <v>59</v>
      </c>
      <c r="L31" s="58">
        <v>38630</v>
      </c>
      <c r="M31" s="56">
        <v>19</v>
      </c>
      <c r="N31" s="56" t="s">
        <v>159</v>
      </c>
      <c r="O31" s="58">
        <v>48891</v>
      </c>
      <c r="P31" s="56" t="s">
        <v>5</v>
      </c>
      <c r="Q31" s="56"/>
      <c r="R31" s="50">
        <v>45913</v>
      </c>
      <c r="S31" s="50">
        <v>45918</v>
      </c>
      <c r="T31" s="51">
        <f t="shared" si="0"/>
        <v>5</v>
      </c>
      <c r="U31" s="56">
        <v>1</v>
      </c>
      <c r="V31" s="56">
        <v>1</v>
      </c>
      <c r="W31" s="56">
        <v>0</v>
      </c>
      <c r="X31" s="56">
        <v>1</v>
      </c>
      <c r="Y31" s="56">
        <v>0</v>
      </c>
      <c r="Z31" s="56">
        <v>0</v>
      </c>
      <c r="AA31" s="56">
        <v>1</v>
      </c>
      <c r="AB31" s="56"/>
      <c r="AC31" s="58">
        <v>45913</v>
      </c>
      <c r="AD31" s="59">
        <v>0.47916666666424135</v>
      </c>
      <c r="AE31" s="56" t="s">
        <v>127</v>
      </c>
      <c r="AF31" s="58">
        <v>45918</v>
      </c>
      <c r="AG31" s="59">
        <v>0.87152777778101154</v>
      </c>
      <c r="AH31" s="56" t="s">
        <v>102</v>
      </c>
      <c r="AI31" s="56" t="s">
        <v>63</v>
      </c>
      <c r="AJ31" s="56" t="s">
        <v>64</v>
      </c>
      <c r="AK31" s="56" t="s">
        <v>64</v>
      </c>
      <c r="AL31" s="56" t="s">
        <v>1</v>
      </c>
      <c r="AM31" s="56" t="s">
        <v>65</v>
      </c>
      <c r="AN31" s="60"/>
      <c r="AO31" s="61"/>
    </row>
    <row r="32" spans="3:41" ht="14.25" customHeight="1">
      <c r="C32" s="55" t="str">
        <f>IF($X32=1,COUNTIF($C$10:C31,"&gt;0")+1,"")</f>
        <v/>
      </c>
      <c r="D32" s="56"/>
      <c r="E32" s="56" t="s">
        <v>54</v>
      </c>
      <c r="F32" s="57" t="s">
        <v>160</v>
      </c>
      <c r="G32" s="56" t="s">
        <v>150</v>
      </c>
      <c r="H32" s="56" t="s">
        <v>161</v>
      </c>
      <c r="I32" s="56" t="s">
        <v>162</v>
      </c>
      <c r="J32" s="56" t="s">
        <v>68</v>
      </c>
      <c r="K32" s="56" t="s">
        <v>59</v>
      </c>
      <c r="L32" s="58">
        <v>28997</v>
      </c>
      <c r="M32" s="56">
        <v>46</v>
      </c>
      <c r="N32" s="56" t="s">
        <v>163</v>
      </c>
      <c r="O32" s="58">
        <v>49195</v>
      </c>
      <c r="P32" s="56" t="s">
        <v>5</v>
      </c>
      <c r="Q32" s="56"/>
      <c r="R32" s="50">
        <v>45913</v>
      </c>
      <c r="S32" s="50">
        <v>45918</v>
      </c>
      <c r="T32" s="51">
        <f t="shared" si="0"/>
        <v>5</v>
      </c>
      <c r="U32" s="56">
        <v>1</v>
      </c>
      <c r="V32" s="56">
        <v>1</v>
      </c>
      <c r="W32" s="56">
        <v>0</v>
      </c>
      <c r="X32" s="56">
        <v>0</v>
      </c>
      <c r="Y32" s="56">
        <v>0</v>
      </c>
      <c r="Z32" s="56">
        <v>0</v>
      </c>
      <c r="AA32" s="56">
        <v>0</v>
      </c>
      <c r="AB32" s="56"/>
      <c r="AC32" s="58">
        <v>45913</v>
      </c>
      <c r="AD32" s="59">
        <v>0.72222222221898846</v>
      </c>
      <c r="AE32" s="56" t="s">
        <v>164</v>
      </c>
      <c r="AF32" s="58">
        <v>45918</v>
      </c>
      <c r="AG32" s="59">
        <v>0.66666666666424135</v>
      </c>
      <c r="AH32" s="56" t="s">
        <v>165</v>
      </c>
      <c r="AI32" s="56" t="s">
        <v>63</v>
      </c>
      <c r="AJ32" s="56" t="s">
        <v>64</v>
      </c>
      <c r="AK32" s="56" t="s">
        <v>64</v>
      </c>
      <c r="AL32" s="56" t="s">
        <v>1</v>
      </c>
      <c r="AM32" s="56" t="s">
        <v>65</v>
      </c>
      <c r="AN32" s="60"/>
      <c r="AO32" s="61"/>
    </row>
    <row r="33" spans="3:41" ht="14.25" customHeight="1">
      <c r="C33" s="55">
        <f>IF($X33=1,COUNTIF($C$10:C32,"&gt;0")+1,"")</f>
        <v>12</v>
      </c>
      <c r="D33" s="56">
        <v>462710731</v>
      </c>
      <c r="E33" s="56" t="s">
        <v>54</v>
      </c>
      <c r="F33" s="57" t="s">
        <v>166</v>
      </c>
      <c r="G33" s="56" t="s">
        <v>150</v>
      </c>
      <c r="H33" s="56" t="s">
        <v>167</v>
      </c>
      <c r="I33" s="56" t="s">
        <v>168</v>
      </c>
      <c r="J33" s="56" t="s">
        <v>68</v>
      </c>
      <c r="K33" s="56" t="s">
        <v>59</v>
      </c>
      <c r="L33" s="58">
        <v>19933</v>
      </c>
      <c r="M33" s="56">
        <v>71</v>
      </c>
      <c r="N33" s="56" t="s">
        <v>169</v>
      </c>
      <c r="O33" s="58">
        <v>48808</v>
      </c>
      <c r="P33" s="56" t="s">
        <v>5</v>
      </c>
      <c r="Q33" s="56"/>
      <c r="R33" s="50">
        <v>45913</v>
      </c>
      <c r="S33" s="50">
        <v>45918</v>
      </c>
      <c r="T33" s="51">
        <f t="shared" si="0"/>
        <v>5</v>
      </c>
      <c r="U33" s="56">
        <v>1</v>
      </c>
      <c r="V33" s="56">
        <v>1</v>
      </c>
      <c r="W33" s="56">
        <v>0</v>
      </c>
      <c r="X33" s="56">
        <v>1</v>
      </c>
      <c r="Y33" s="56">
        <v>0</v>
      </c>
      <c r="Z33" s="56">
        <v>0</v>
      </c>
      <c r="AA33" s="56">
        <v>1</v>
      </c>
      <c r="AB33" s="56"/>
      <c r="AC33" s="58">
        <v>45913</v>
      </c>
      <c r="AD33" s="59">
        <v>0.47916666666424135</v>
      </c>
      <c r="AE33" s="56" t="s">
        <v>127</v>
      </c>
      <c r="AF33" s="58">
        <v>45918</v>
      </c>
      <c r="AG33" s="59">
        <v>0.87152777778101154</v>
      </c>
      <c r="AH33" s="56" t="s">
        <v>102</v>
      </c>
      <c r="AI33" s="56" t="s">
        <v>63</v>
      </c>
      <c r="AJ33" s="56" t="s">
        <v>64</v>
      </c>
      <c r="AK33" s="56" t="s">
        <v>64</v>
      </c>
      <c r="AL33" s="56" t="s">
        <v>1</v>
      </c>
      <c r="AM33" s="56" t="s">
        <v>65</v>
      </c>
      <c r="AN33" s="60"/>
      <c r="AO33" s="61"/>
    </row>
    <row r="34" spans="3:41" ht="14.25" customHeight="1">
      <c r="C34" s="55" t="str">
        <f>IF($X34=1,COUNTIF($C$10:C33,"&gt;0")+1,"")</f>
        <v/>
      </c>
      <c r="D34" s="56"/>
      <c r="E34" s="56" t="s">
        <v>54</v>
      </c>
      <c r="F34" s="57" t="s">
        <v>170</v>
      </c>
      <c r="G34" s="56" t="s">
        <v>150</v>
      </c>
      <c r="H34" s="56" t="s">
        <v>171</v>
      </c>
      <c r="I34" s="56" t="s">
        <v>152</v>
      </c>
      <c r="J34" s="56" t="s">
        <v>58</v>
      </c>
      <c r="K34" s="56" t="s">
        <v>59</v>
      </c>
      <c r="L34" s="58">
        <v>40972</v>
      </c>
      <c r="M34" s="56">
        <v>13</v>
      </c>
      <c r="N34" s="56" t="s">
        <v>172</v>
      </c>
      <c r="O34" s="58">
        <v>47065</v>
      </c>
      <c r="P34" s="56" t="s">
        <v>5</v>
      </c>
      <c r="Q34" s="56"/>
      <c r="R34" s="50">
        <v>45913</v>
      </c>
      <c r="S34" s="50">
        <v>45918</v>
      </c>
      <c r="T34" s="51">
        <f t="shared" si="0"/>
        <v>5</v>
      </c>
      <c r="U34" s="56">
        <v>1</v>
      </c>
      <c r="V34" s="56">
        <v>1</v>
      </c>
      <c r="W34" s="56">
        <v>0</v>
      </c>
      <c r="X34" s="56">
        <v>0</v>
      </c>
      <c r="Y34" s="56">
        <v>0</v>
      </c>
      <c r="Z34" s="56">
        <v>0</v>
      </c>
      <c r="AA34" s="56">
        <v>0</v>
      </c>
      <c r="AB34" s="56"/>
      <c r="AC34" s="58">
        <v>45913</v>
      </c>
      <c r="AD34" s="59">
        <v>0.47916666666424135</v>
      </c>
      <c r="AE34" s="56" t="s">
        <v>127</v>
      </c>
      <c r="AF34" s="58">
        <v>45918</v>
      </c>
      <c r="AG34" s="59">
        <v>0.87152777778101154</v>
      </c>
      <c r="AH34" s="56" t="s">
        <v>102</v>
      </c>
      <c r="AI34" s="56" t="s">
        <v>63</v>
      </c>
      <c r="AJ34" s="56" t="s">
        <v>64</v>
      </c>
      <c r="AK34" s="56" t="s">
        <v>64</v>
      </c>
      <c r="AL34" s="56" t="s">
        <v>1</v>
      </c>
      <c r="AM34" s="56" t="s">
        <v>65</v>
      </c>
      <c r="AN34" s="60"/>
      <c r="AO34" s="61"/>
    </row>
    <row r="35" spans="3:41" ht="14.25" customHeight="1">
      <c r="C35" s="55">
        <f>IF($X35=1,COUNTIF($C$10:C34,"&gt;0")+1,"")</f>
        <v>13</v>
      </c>
      <c r="D35" s="56">
        <v>462672854</v>
      </c>
      <c r="E35" s="56" t="s">
        <v>54</v>
      </c>
      <c r="F35" s="57" t="s">
        <v>173</v>
      </c>
      <c r="G35" s="56" t="s">
        <v>173</v>
      </c>
      <c r="H35" s="56" t="s">
        <v>174</v>
      </c>
      <c r="I35" s="56" t="s">
        <v>175</v>
      </c>
      <c r="J35" s="56" t="s">
        <v>68</v>
      </c>
      <c r="K35" s="56" t="s">
        <v>59</v>
      </c>
      <c r="L35" s="58">
        <v>23043</v>
      </c>
      <c r="M35" s="56">
        <v>62</v>
      </c>
      <c r="N35" s="56" t="s">
        <v>176</v>
      </c>
      <c r="O35" s="58">
        <v>48498</v>
      </c>
      <c r="P35" s="56" t="s">
        <v>4</v>
      </c>
      <c r="Q35" s="56"/>
      <c r="R35" s="50">
        <v>45913</v>
      </c>
      <c r="S35" s="50">
        <v>45918</v>
      </c>
      <c r="T35" s="51">
        <f t="shared" si="0"/>
        <v>5</v>
      </c>
      <c r="U35" s="56">
        <v>1</v>
      </c>
      <c r="V35" s="56">
        <v>1</v>
      </c>
      <c r="W35" s="56">
        <v>0</v>
      </c>
      <c r="X35" s="56">
        <v>1</v>
      </c>
      <c r="Y35" s="56">
        <v>0</v>
      </c>
      <c r="Z35" s="56">
        <v>1</v>
      </c>
      <c r="AA35" s="56">
        <v>0</v>
      </c>
      <c r="AB35" s="56"/>
      <c r="AC35" s="58">
        <v>45913</v>
      </c>
      <c r="AD35" s="59">
        <v>0.47916666666424135</v>
      </c>
      <c r="AE35" s="56" t="s">
        <v>127</v>
      </c>
      <c r="AF35" s="58">
        <v>45918</v>
      </c>
      <c r="AG35" s="59">
        <v>0.87152777778101154</v>
      </c>
      <c r="AH35" s="56" t="s">
        <v>102</v>
      </c>
      <c r="AI35" s="56" t="s">
        <v>63</v>
      </c>
      <c r="AJ35" s="56" t="s">
        <v>64</v>
      </c>
      <c r="AK35" s="56" t="s">
        <v>64</v>
      </c>
      <c r="AL35" s="56" t="s">
        <v>1</v>
      </c>
      <c r="AM35" s="56" t="s">
        <v>65</v>
      </c>
      <c r="AN35" s="60"/>
      <c r="AO35" s="61"/>
    </row>
    <row r="36" spans="3:41" ht="14.25" customHeight="1">
      <c r="C36" s="55" t="str">
        <f>IF($X36=1,COUNTIF($C$10:C35,"&gt;0")+1,"")</f>
        <v/>
      </c>
      <c r="D36" s="56"/>
      <c r="E36" s="56" t="s">
        <v>54</v>
      </c>
      <c r="F36" s="57" t="s">
        <v>177</v>
      </c>
      <c r="G36" s="56" t="s">
        <v>173</v>
      </c>
      <c r="H36" s="56" t="s">
        <v>178</v>
      </c>
      <c r="I36" s="56" t="s">
        <v>179</v>
      </c>
      <c r="J36" s="56" t="s">
        <v>68</v>
      </c>
      <c r="K36" s="56" t="s">
        <v>180</v>
      </c>
      <c r="L36" s="58">
        <v>34865</v>
      </c>
      <c r="M36" s="56">
        <v>30</v>
      </c>
      <c r="N36" s="56" t="s">
        <v>181</v>
      </c>
      <c r="O36" s="58">
        <v>47205</v>
      </c>
      <c r="P36" s="56" t="s">
        <v>4</v>
      </c>
      <c r="Q36" s="56"/>
      <c r="R36" s="50">
        <v>45913</v>
      </c>
      <c r="S36" s="50">
        <v>45918</v>
      </c>
      <c r="T36" s="51">
        <f t="shared" si="0"/>
        <v>5</v>
      </c>
      <c r="U36" s="56">
        <v>1</v>
      </c>
      <c r="V36" s="56">
        <v>1</v>
      </c>
      <c r="W36" s="56">
        <v>0</v>
      </c>
      <c r="X36" s="56">
        <v>0</v>
      </c>
      <c r="Y36" s="56">
        <v>0</v>
      </c>
      <c r="Z36" s="56">
        <v>0</v>
      </c>
      <c r="AA36" s="56">
        <v>0</v>
      </c>
      <c r="AB36" s="56"/>
      <c r="AC36" s="58">
        <v>45913</v>
      </c>
      <c r="AD36" s="59">
        <v>0.50694444444525288</v>
      </c>
      <c r="AE36" s="56" t="s">
        <v>182</v>
      </c>
      <c r="AF36" s="58">
        <v>45918</v>
      </c>
      <c r="AG36" s="59">
        <v>0.85416666666424135</v>
      </c>
      <c r="AH36" s="56" t="s">
        <v>183</v>
      </c>
      <c r="AI36" s="56" t="s">
        <v>63</v>
      </c>
      <c r="AJ36" s="56" t="s">
        <v>64</v>
      </c>
      <c r="AK36" s="56" t="s">
        <v>64</v>
      </c>
      <c r="AL36" s="56" t="s">
        <v>1</v>
      </c>
      <c r="AM36" s="56" t="s">
        <v>65</v>
      </c>
      <c r="AN36" s="60"/>
      <c r="AO36" s="61"/>
    </row>
    <row r="37" spans="3:41" ht="14.25" customHeight="1">
      <c r="C37" s="55">
        <f>IF($X37=1,COUNTIF($C$10:C36,"&gt;0")+1,"")</f>
        <v>14</v>
      </c>
      <c r="D37" s="56">
        <v>462710733</v>
      </c>
      <c r="E37" s="56" t="s">
        <v>54</v>
      </c>
      <c r="F37" s="57" t="s">
        <v>184</v>
      </c>
      <c r="G37" s="56" t="s">
        <v>184</v>
      </c>
      <c r="H37" s="56" t="s">
        <v>185</v>
      </c>
      <c r="I37" s="56" t="s">
        <v>186</v>
      </c>
      <c r="J37" s="56" t="s">
        <v>68</v>
      </c>
      <c r="K37" s="56" t="s">
        <v>59</v>
      </c>
      <c r="L37" s="58">
        <v>35103</v>
      </c>
      <c r="M37" s="56">
        <v>29</v>
      </c>
      <c r="N37" s="56" t="s">
        <v>187</v>
      </c>
      <c r="O37" s="58">
        <v>47691</v>
      </c>
      <c r="P37" s="56" t="s">
        <v>4</v>
      </c>
      <c r="Q37" s="56"/>
      <c r="R37" s="50">
        <v>45913</v>
      </c>
      <c r="S37" s="50">
        <v>45918</v>
      </c>
      <c r="T37" s="51">
        <f t="shared" si="0"/>
        <v>5</v>
      </c>
      <c r="U37" s="56">
        <v>1</v>
      </c>
      <c r="V37" s="56">
        <v>1</v>
      </c>
      <c r="W37" s="56">
        <v>0</v>
      </c>
      <c r="X37" s="56">
        <v>1</v>
      </c>
      <c r="Y37" s="56">
        <v>0</v>
      </c>
      <c r="Z37" s="56">
        <v>1</v>
      </c>
      <c r="AA37" s="56">
        <v>0</v>
      </c>
      <c r="AB37" s="56"/>
      <c r="AC37" s="58">
        <v>45913</v>
      </c>
      <c r="AD37" s="59">
        <v>0.62847222221898846</v>
      </c>
      <c r="AE37" s="56" t="s">
        <v>188</v>
      </c>
      <c r="AF37" s="58">
        <v>45918</v>
      </c>
      <c r="AG37" s="59">
        <v>0.47916666666424135</v>
      </c>
      <c r="AH37" s="56" t="s">
        <v>189</v>
      </c>
      <c r="AI37" s="56" t="s">
        <v>63</v>
      </c>
      <c r="AJ37" s="56" t="s">
        <v>64</v>
      </c>
      <c r="AK37" s="56" t="s">
        <v>64</v>
      </c>
      <c r="AL37" s="56" t="s">
        <v>1</v>
      </c>
      <c r="AM37" s="56" t="s">
        <v>65</v>
      </c>
      <c r="AN37" s="60"/>
      <c r="AO37" s="61"/>
    </row>
    <row r="38" spans="3:41" ht="14.25" customHeight="1">
      <c r="C38" s="55" t="str">
        <f>IF($X38=1,COUNTIF($C$10:C37,"&gt;0")+1,"")</f>
        <v/>
      </c>
      <c r="D38" s="56"/>
      <c r="E38" s="56" t="s">
        <v>54</v>
      </c>
      <c r="F38" s="57" t="s">
        <v>190</v>
      </c>
      <c r="G38" s="56" t="s">
        <v>184</v>
      </c>
      <c r="H38" s="56" t="s">
        <v>191</v>
      </c>
      <c r="I38" s="56" t="s">
        <v>192</v>
      </c>
      <c r="J38" s="56" t="s">
        <v>58</v>
      </c>
      <c r="K38" s="56" t="s">
        <v>59</v>
      </c>
      <c r="L38" s="58">
        <v>24742</v>
      </c>
      <c r="M38" s="56">
        <v>57</v>
      </c>
      <c r="N38" s="56" t="s">
        <v>193</v>
      </c>
      <c r="O38" s="58">
        <v>48743</v>
      </c>
      <c r="P38" s="56" t="s">
        <v>4</v>
      </c>
      <c r="Q38" s="56"/>
      <c r="R38" s="50">
        <v>45913</v>
      </c>
      <c r="S38" s="50">
        <v>45918</v>
      </c>
      <c r="T38" s="51">
        <f t="shared" si="0"/>
        <v>5</v>
      </c>
      <c r="U38" s="56">
        <v>1</v>
      </c>
      <c r="V38" s="56">
        <v>1</v>
      </c>
      <c r="W38" s="56">
        <v>0</v>
      </c>
      <c r="X38" s="56">
        <v>0</v>
      </c>
      <c r="Y38" s="56">
        <v>0</v>
      </c>
      <c r="Z38" s="56">
        <v>0</v>
      </c>
      <c r="AA38" s="56">
        <v>0</v>
      </c>
      <c r="AB38" s="56"/>
      <c r="AC38" s="58">
        <v>45913</v>
      </c>
      <c r="AD38" s="59">
        <v>0.62847222221898846</v>
      </c>
      <c r="AE38" s="56" t="s">
        <v>188</v>
      </c>
      <c r="AF38" s="58">
        <v>45918</v>
      </c>
      <c r="AG38" s="59">
        <v>0.47916666666424135</v>
      </c>
      <c r="AH38" s="56" t="s">
        <v>189</v>
      </c>
      <c r="AI38" s="56" t="s">
        <v>63</v>
      </c>
      <c r="AJ38" s="56" t="s">
        <v>64</v>
      </c>
      <c r="AK38" s="56" t="s">
        <v>64</v>
      </c>
      <c r="AL38" s="56" t="s">
        <v>1</v>
      </c>
      <c r="AM38" s="56" t="s">
        <v>65</v>
      </c>
      <c r="AN38" s="60"/>
      <c r="AO38" s="61"/>
    </row>
    <row r="39" spans="3:41" ht="14.25" customHeight="1">
      <c r="C39" s="55">
        <f>IF($X39=1,COUNTIF($C$10:C38,"&gt;0")+1,"")</f>
        <v>15</v>
      </c>
      <c r="D39" s="56">
        <v>462710734</v>
      </c>
      <c r="E39" s="56" t="s">
        <v>54</v>
      </c>
      <c r="F39" s="57" t="s">
        <v>194</v>
      </c>
      <c r="G39" s="56" t="s">
        <v>194</v>
      </c>
      <c r="H39" s="56" t="s">
        <v>195</v>
      </c>
      <c r="I39" s="56" t="s">
        <v>196</v>
      </c>
      <c r="J39" s="56" t="s">
        <v>68</v>
      </c>
      <c r="K39" s="56" t="s">
        <v>59</v>
      </c>
      <c r="L39" s="58">
        <v>27222</v>
      </c>
      <c r="M39" s="56">
        <v>51</v>
      </c>
      <c r="N39" s="56" t="s">
        <v>197</v>
      </c>
      <c r="O39" s="58">
        <v>49178</v>
      </c>
      <c r="P39" s="56" t="s">
        <v>4</v>
      </c>
      <c r="Q39" s="56"/>
      <c r="R39" s="50">
        <v>45913</v>
      </c>
      <c r="S39" s="50">
        <v>45918</v>
      </c>
      <c r="T39" s="51">
        <f t="shared" si="0"/>
        <v>5</v>
      </c>
      <c r="U39" s="56">
        <v>1</v>
      </c>
      <c r="V39" s="56">
        <v>1</v>
      </c>
      <c r="W39" s="56">
        <v>0</v>
      </c>
      <c r="X39" s="56">
        <v>1</v>
      </c>
      <c r="Y39" s="56">
        <v>0</v>
      </c>
      <c r="Z39" s="56">
        <v>1</v>
      </c>
      <c r="AA39" s="56">
        <v>0</v>
      </c>
      <c r="AB39" s="56"/>
      <c r="AC39" s="58">
        <v>45913</v>
      </c>
      <c r="AD39" s="59">
        <v>0.62847222221898846</v>
      </c>
      <c r="AE39" s="56" t="s">
        <v>188</v>
      </c>
      <c r="AF39" s="58">
        <v>45918</v>
      </c>
      <c r="AG39" s="59">
        <v>0.47916666666424135</v>
      </c>
      <c r="AH39" s="56" t="s">
        <v>189</v>
      </c>
      <c r="AI39" s="56" t="s">
        <v>63</v>
      </c>
      <c r="AJ39" s="56" t="s">
        <v>64</v>
      </c>
      <c r="AK39" s="56" t="s">
        <v>64</v>
      </c>
      <c r="AL39" s="56" t="s">
        <v>1</v>
      </c>
      <c r="AM39" s="56" t="s">
        <v>65</v>
      </c>
      <c r="AN39" s="60"/>
      <c r="AO39" s="61"/>
    </row>
    <row r="40" spans="3:41" ht="14.25" customHeight="1">
      <c r="C40" s="55" t="str">
        <f>IF($X40=1,COUNTIF($C$10:C39,"&gt;0")+1,"")</f>
        <v/>
      </c>
      <c r="D40" s="56"/>
      <c r="E40" s="56" t="s">
        <v>54</v>
      </c>
      <c r="F40" s="57" t="s">
        <v>198</v>
      </c>
      <c r="G40" s="56" t="s">
        <v>194</v>
      </c>
      <c r="H40" s="62" t="s">
        <v>199</v>
      </c>
      <c r="I40" s="62" t="s">
        <v>200</v>
      </c>
      <c r="J40" s="62" t="s">
        <v>58</v>
      </c>
      <c r="K40" s="62" t="s">
        <v>59</v>
      </c>
      <c r="L40" s="63">
        <v>36197</v>
      </c>
      <c r="M40" s="62">
        <v>26</v>
      </c>
      <c r="N40" s="62">
        <v>586702158</v>
      </c>
      <c r="O40" s="63">
        <v>47005</v>
      </c>
      <c r="P40" s="62" t="s">
        <v>4</v>
      </c>
      <c r="Q40" s="56"/>
      <c r="R40" s="50">
        <v>45913</v>
      </c>
      <c r="S40" s="50">
        <v>45918</v>
      </c>
      <c r="T40" s="51">
        <f t="shared" si="0"/>
        <v>5</v>
      </c>
      <c r="U40" s="56">
        <v>1</v>
      </c>
      <c r="V40" s="56">
        <v>1</v>
      </c>
      <c r="W40" s="56">
        <v>0</v>
      </c>
      <c r="X40" s="56">
        <v>0</v>
      </c>
      <c r="Y40" s="56">
        <v>0</v>
      </c>
      <c r="Z40" s="56">
        <v>0</v>
      </c>
      <c r="AA40" s="56">
        <v>0</v>
      </c>
      <c r="AB40" s="56"/>
      <c r="AC40" s="58">
        <v>45913</v>
      </c>
      <c r="AD40" s="59">
        <v>0.62847222221898846</v>
      </c>
      <c r="AE40" s="56" t="s">
        <v>188</v>
      </c>
      <c r="AF40" s="58">
        <v>45918</v>
      </c>
      <c r="AG40" s="59">
        <v>0.47916666666424135</v>
      </c>
      <c r="AH40" s="56" t="s">
        <v>189</v>
      </c>
      <c r="AI40" s="56" t="s">
        <v>63</v>
      </c>
      <c r="AJ40" s="56" t="s">
        <v>64</v>
      </c>
      <c r="AK40" s="56" t="s">
        <v>64</v>
      </c>
      <c r="AL40" s="56" t="s">
        <v>1</v>
      </c>
      <c r="AM40" s="56" t="s">
        <v>65</v>
      </c>
      <c r="AN40" s="60"/>
      <c r="AO40" s="64" t="s">
        <v>201</v>
      </c>
    </row>
    <row r="41" spans="3:41" ht="14.25" customHeight="1">
      <c r="C41" s="55">
        <f>IF($X41=1,COUNTIF($C$10:C40,"&gt;0")+1,"")</f>
        <v>16</v>
      </c>
      <c r="D41" s="56">
        <v>462710735</v>
      </c>
      <c r="E41" s="56" t="s">
        <v>54</v>
      </c>
      <c r="F41" s="57" t="s">
        <v>202</v>
      </c>
      <c r="G41" s="56" t="s">
        <v>202</v>
      </c>
      <c r="H41" s="56" t="s">
        <v>203</v>
      </c>
      <c r="I41" s="56" t="s">
        <v>204</v>
      </c>
      <c r="J41" s="56" t="s">
        <v>68</v>
      </c>
      <c r="K41" s="56" t="s">
        <v>59</v>
      </c>
      <c r="L41" s="58">
        <v>22383</v>
      </c>
      <c r="M41" s="56">
        <v>64</v>
      </c>
      <c r="N41" s="56" t="s">
        <v>205</v>
      </c>
      <c r="O41" s="58">
        <v>46236</v>
      </c>
      <c r="P41" s="56" t="s">
        <v>5</v>
      </c>
      <c r="Q41" s="56"/>
      <c r="R41" s="50">
        <v>45913</v>
      </c>
      <c r="S41" s="50">
        <v>45918</v>
      </c>
      <c r="T41" s="51">
        <f t="shared" si="0"/>
        <v>5</v>
      </c>
      <c r="U41" s="56">
        <v>1</v>
      </c>
      <c r="V41" s="56">
        <v>1</v>
      </c>
      <c r="W41" s="56">
        <v>0</v>
      </c>
      <c r="X41" s="56">
        <v>1</v>
      </c>
      <c r="Y41" s="56">
        <v>0</v>
      </c>
      <c r="Z41" s="56">
        <v>0</v>
      </c>
      <c r="AA41" s="56">
        <v>1</v>
      </c>
      <c r="AB41" s="56"/>
      <c r="AC41" s="58">
        <v>45913</v>
      </c>
      <c r="AD41" s="59">
        <v>0.62847222221898846</v>
      </c>
      <c r="AE41" s="56" t="s">
        <v>188</v>
      </c>
      <c r="AF41" s="58">
        <v>45918</v>
      </c>
      <c r="AG41" s="59">
        <v>0.47916666666424135</v>
      </c>
      <c r="AH41" s="56" t="s">
        <v>189</v>
      </c>
      <c r="AI41" s="56" t="s">
        <v>63</v>
      </c>
      <c r="AJ41" s="56" t="s">
        <v>64</v>
      </c>
      <c r="AK41" s="56" t="s">
        <v>64</v>
      </c>
      <c r="AL41" s="56" t="s">
        <v>1</v>
      </c>
      <c r="AM41" s="56" t="s">
        <v>65</v>
      </c>
      <c r="AN41" s="60"/>
      <c r="AO41" s="61"/>
    </row>
    <row r="42" spans="3:41" ht="14.25" customHeight="1">
      <c r="C42" s="55" t="str">
        <f>IF($X42=1,COUNTIF($C$10:C41,"&gt;0")+1,"")</f>
        <v/>
      </c>
      <c r="D42" s="56"/>
      <c r="E42" s="56" t="s">
        <v>54</v>
      </c>
      <c r="F42" s="57" t="s">
        <v>206</v>
      </c>
      <c r="G42" s="56" t="s">
        <v>202</v>
      </c>
      <c r="H42" s="56" t="s">
        <v>207</v>
      </c>
      <c r="I42" s="56" t="s">
        <v>208</v>
      </c>
      <c r="J42" s="56" t="s">
        <v>68</v>
      </c>
      <c r="K42" s="56" t="s">
        <v>59</v>
      </c>
      <c r="L42" s="58">
        <v>37345</v>
      </c>
      <c r="M42" s="56">
        <v>23</v>
      </c>
      <c r="N42" s="56" t="s">
        <v>209</v>
      </c>
      <c r="O42" s="58">
        <v>46917</v>
      </c>
      <c r="P42" s="56" t="s">
        <v>5</v>
      </c>
      <c r="Q42" s="56"/>
      <c r="R42" s="50">
        <v>45913</v>
      </c>
      <c r="S42" s="50">
        <v>45918</v>
      </c>
      <c r="T42" s="51">
        <f t="shared" si="0"/>
        <v>5</v>
      </c>
      <c r="U42" s="56">
        <v>1</v>
      </c>
      <c r="V42" s="56">
        <v>1</v>
      </c>
      <c r="W42" s="56">
        <v>0</v>
      </c>
      <c r="X42" s="56">
        <v>0</v>
      </c>
      <c r="Y42" s="56">
        <v>0</v>
      </c>
      <c r="Z42" s="56">
        <v>0</v>
      </c>
      <c r="AA42" s="56">
        <v>0</v>
      </c>
      <c r="AB42" s="56"/>
      <c r="AC42" s="58">
        <v>45913</v>
      </c>
      <c r="AD42" s="59">
        <v>0.62847222221898846</v>
      </c>
      <c r="AE42" s="56" t="s">
        <v>188</v>
      </c>
      <c r="AF42" s="58">
        <v>45918</v>
      </c>
      <c r="AG42" s="59">
        <v>0.47916666666424135</v>
      </c>
      <c r="AH42" s="56" t="s">
        <v>189</v>
      </c>
      <c r="AI42" s="56" t="s">
        <v>63</v>
      </c>
      <c r="AJ42" s="56" t="s">
        <v>64</v>
      </c>
      <c r="AK42" s="56" t="s">
        <v>64</v>
      </c>
      <c r="AL42" s="56" t="s">
        <v>1</v>
      </c>
      <c r="AM42" s="56" t="s">
        <v>65</v>
      </c>
      <c r="AN42" s="60"/>
      <c r="AO42" s="61"/>
    </row>
    <row r="43" spans="3:41" ht="14.25" customHeight="1">
      <c r="C43" s="55">
        <f>IF($X43=1,COUNTIF($C$10:C42,"&gt;0")+1,"")</f>
        <v>17</v>
      </c>
      <c r="D43" s="56">
        <v>462710736</v>
      </c>
      <c r="E43" s="56" t="s">
        <v>54</v>
      </c>
      <c r="F43" s="57" t="s">
        <v>210</v>
      </c>
      <c r="G43" s="56" t="s">
        <v>210</v>
      </c>
      <c r="H43" s="56" t="s">
        <v>211</v>
      </c>
      <c r="I43" s="56" t="s">
        <v>125</v>
      </c>
      <c r="J43" s="56" t="s">
        <v>68</v>
      </c>
      <c r="K43" s="56" t="s">
        <v>59</v>
      </c>
      <c r="L43" s="58">
        <v>21670</v>
      </c>
      <c r="M43" s="56">
        <v>66</v>
      </c>
      <c r="N43" s="56" t="s">
        <v>212</v>
      </c>
      <c r="O43" s="58">
        <v>48829</v>
      </c>
      <c r="P43" s="56" t="s">
        <v>4</v>
      </c>
      <c r="Q43" s="56"/>
      <c r="R43" s="50">
        <v>45913</v>
      </c>
      <c r="S43" s="50">
        <v>45918</v>
      </c>
      <c r="T43" s="51">
        <f t="shared" si="0"/>
        <v>5</v>
      </c>
      <c r="U43" s="56">
        <v>1</v>
      </c>
      <c r="V43" s="56">
        <v>1</v>
      </c>
      <c r="W43" s="56">
        <v>0</v>
      </c>
      <c r="X43" s="56">
        <v>1</v>
      </c>
      <c r="Y43" s="56">
        <v>0</v>
      </c>
      <c r="Z43" s="56">
        <v>1</v>
      </c>
      <c r="AA43" s="56">
        <v>0</v>
      </c>
      <c r="AB43" s="56"/>
      <c r="AC43" s="58">
        <v>45913</v>
      </c>
      <c r="AD43" s="59">
        <v>0.47916666666424135</v>
      </c>
      <c r="AE43" s="56" t="s">
        <v>127</v>
      </c>
      <c r="AF43" s="58">
        <v>45918</v>
      </c>
      <c r="AG43" s="59">
        <v>0.87152777778101154</v>
      </c>
      <c r="AH43" s="56" t="s">
        <v>102</v>
      </c>
      <c r="AI43" s="56" t="s">
        <v>63</v>
      </c>
      <c r="AJ43" s="56" t="s">
        <v>64</v>
      </c>
      <c r="AK43" s="56" t="s">
        <v>64</v>
      </c>
      <c r="AL43" s="56" t="s">
        <v>1</v>
      </c>
      <c r="AM43" s="56" t="s">
        <v>65</v>
      </c>
      <c r="AN43" s="60"/>
      <c r="AO43" s="61"/>
    </row>
    <row r="44" spans="3:41" ht="14.25" customHeight="1">
      <c r="C44" s="55" t="str">
        <f>IF($X44=1,COUNTIF($C$10:C43,"&gt;0")+1,"")</f>
        <v/>
      </c>
      <c r="D44" s="56"/>
      <c r="E44" s="56" t="s">
        <v>54</v>
      </c>
      <c r="F44" s="57" t="s">
        <v>213</v>
      </c>
      <c r="G44" s="56" t="s">
        <v>210</v>
      </c>
      <c r="H44" s="56" t="s">
        <v>214</v>
      </c>
      <c r="I44" s="56" t="s">
        <v>125</v>
      </c>
      <c r="J44" s="56" t="s">
        <v>58</v>
      </c>
      <c r="K44" s="56" t="s">
        <v>59</v>
      </c>
      <c r="L44" s="58">
        <v>21197</v>
      </c>
      <c r="M44" s="56">
        <v>67</v>
      </c>
      <c r="N44" s="56" t="s">
        <v>215</v>
      </c>
      <c r="O44" s="58">
        <v>49471</v>
      </c>
      <c r="P44" s="56" t="s">
        <v>4</v>
      </c>
      <c r="Q44" s="56"/>
      <c r="R44" s="50">
        <v>45913</v>
      </c>
      <c r="S44" s="50">
        <v>45918</v>
      </c>
      <c r="T44" s="51">
        <f t="shared" si="0"/>
        <v>5</v>
      </c>
      <c r="U44" s="56">
        <v>1</v>
      </c>
      <c r="V44" s="56">
        <v>1</v>
      </c>
      <c r="W44" s="56">
        <v>0</v>
      </c>
      <c r="X44" s="56">
        <v>0</v>
      </c>
      <c r="Y44" s="56">
        <v>0</v>
      </c>
      <c r="Z44" s="56">
        <v>0</v>
      </c>
      <c r="AA44" s="56">
        <v>0</v>
      </c>
      <c r="AB44" s="56"/>
      <c r="AC44" s="58">
        <v>45913</v>
      </c>
      <c r="AD44" s="59">
        <v>0.47916666666424135</v>
      </c>
      <c r="AE44" s="56" t="s">
        <v>127</v>
      </c>
      <c r="AF44" s="58">
        <v>45918</v>
      </c>
      <c r="AG44" s="59">
        <v>0.87152777778101154</v>
      </c>
      <c r="AH44" s="56" t="s">
        <v>102</v>
      </c>
      <c r="AI44" s="56" t="s">
        <v>63</v>
      </c>
      <c r="AJ44" s="56" t="s">
        <v>64</v>
      </c>
      <c r="AK44" s="56" t="s">
        <v>64</v>
      </c>
      <c r="AL44" s="56" t="s">
        <v>1</v>
      </c>
      <c r="AM44" s="56" t="s">
        <v>65</v>
      </c>
      <c r="AN44" s="60"/>
      <c r="AO44" s="61"/>
    </row>
    <row r="45" spans="3:41" ht="14.25" customHeight="1">
      <c r="C45" s="55">
        <f>IF($X45=1,COUNTIF($C$10:C44,"&gt;0")+1,"")</f>
        <v>18</v>
      </c>
      <c r="D45" s="56">
        <v>462710737</v>
      </c>
      <c r="E45" s="56" t="s">
        <v>54</v>
      </c>
      <c r="F45" s="57" t="s">
        <v>216</v>
      </c>
      <c r="G45" s="56" t="s">
        <v>216</v>
      </c>
      <c r="H45" s="56" t="s">
        <v>217</v>
      </c>
      <c r="I45" s="56" t="s">
        <v>218</v>
      </c>
      <c r="J45" s="56" t="s">
        <v>58</v>
      </c>
      <c r="K45" s="56" t="s">
        <v>59</v>
      </c>
      <c r="L45" s="58">
        <v>28290</v>
      </c>
      <c r="M45" s="56">
        <v>48</v>
      </c>
      <c r="N45" s="56" t="s">
        <v>219</v>
      </c>
      <c r="O45" s="58">
        <v>28290</v>
      </c>
      <c r="P45" s="56" t="s">
        <v>3</v>
      </c>
      <c r="Q45" s="56"/>
      <c r="R45" s="50">
        <v>45913</v>
      </c>
      <c r="S45" s="50">
        <v>45918</v>
      </c>
      <c r="T45" s="51">
        <f t="shared" si="0"/>
        <v>5</v>
      </c>
      <c r="U45" s="56">
        <v>1</v>
      </c>
      <c r="V45" s="56">
        <v>1</v>
      </c>
      <c r="W45" s="56">
        <v>0</v>
      </c>
      <c r="X45" s="56">
        <v>1</v>
      </c>
      <c r="Y45" s="56">
        <v>1</v>
      </c>
      <c r="Z45" s="56">
        <v>0</v>
      </c>
      <c r="AA45" s="56">
        <v>0</v>
      </c>
      <c r="AB45" s="56"/>
      <c r="AC45" s="58">
        <v>45913</v>
      </c>
      <c r="AD45" s="59">
        <v>0.1875</v>
      </c>
      <c r="AE45" s="56" t="s">
        <v>220</v>
      </c>
      <c r="AF45" s="58">
        <v>45918</v>
      </c>
      <c r="AG45" s="59">
        <v>0.80208333333575865</v>
      </c>
      <c r="AH45" s="56" t="s">
        <v>221</v>
      </c>
      <c r="AI45" s="56" t="s">
        <v>63</v>
      </c>
      <c r="AJ45" s="56" t="s">
        <v>64</v>
      </c>
      <c r="AK45" s="56" t="s">
        <v>64</v>
      </c>
      <c r="AL45" s="56" t="s">
        <v>1</v>
      </c>
      <c r="AM45" s="56" t="s">
        <v>65</v>
      </c>
      <c r="AN45" s="60"/>
      <c r="AO45" s="61"/>
    </row>
    <row r="46" spans="3:41" ht="14.25" customHeight="1">
      <c r="C46" s="55">
        <f>IF($X46=1,COUNTIF($C$10:C45,"&gt;0")+1,"")</f>
        <v>19</v>
      </c>
      <c r="D46" s="56">
        <v>462710738</v>
      </c>
      <c r="E46" s="56" t="s">
        <v>54</v>
      </c>
      <c r="F46" s="57" t="s">
        <v>222</v>
      </c>
      <c r="G46" s="56" t="s">
        <v>222</v>
      </c>
      <c r="H46" s="56" t="s">
        <v>223</v>
      </c>
      <c r="I46" s="56" t="s">
        <v>224</v>
      </c>
      <c r="J46" s="56" t="s">
        <v>58</v>
      </c>
      <c r="K46" s="56" t="s">
        <v>59</v>
      </c>
      <c r="L46" s="58">
        <v>26438</v>
      </c>
      <c r="M46" s="56">
        <v>53</v>
      </c>
      <c r="N46" s="56" t="s">
        <v>225</v>
      </c>
      <c r="O46" s="58">
        <v>47233</v>
      </c>
      <c r="P46" s="56" t="s">
        <v>5</v>
      </c>
      <c r="Q46" s="56"/>
      <c r="R46" s="50">
        <v>45913</v>
      </c>
      <c r="S46" s="50">
        <v>45918</v>
      </c>
      <c r="T46" s="51">
        <f t="shared" si="0"/>
        <v>5</v>
      </c>
      <c r="U46" s="56">
        <v>1</v>
      </c>
      <c r="V46" s="56">
        <v>1</v>
      </c>
      <c r="W46" s="56">
        <v>0</v>
      </c>
      <c r="X46" s="56">
        <v>1</v>
      </c>
      <c r="Y46" s="56">
        <v>0</v>
      </c>
      <c r="Z46" s="56">
        <v>0</v>
      </c>
      <c r="AA46" s="56">
        <v>1</v>
      </c>
      <c r="AB46" s="56"/>
      <c r="AC46" s="58">
        <v>45913</v>
      </c>
      <c r="AD46" s="59">
        <v>0.6875</v>
      </c>
      <c r="AE46" s="56" t="s">
        <v>116</v>
      </c>
      <c r="AF46" s="58">
        <v>45918</v>
      </c>
      <c r="AG46" s="59">
        <v>0.80555555555474712</v>
      </c>
      <c r="AH46" s="56" t="s">
        <v>117</v>
      </c>
      <c r="AI46" s="56" t="s">
        <v>63</v>
      </c>
      <c r="AJ46" s="56" t="s">
        <v>64</v>
      </c>
      <c r="AK46" s="56" t="s">
        <v>64</v>
      </c>
      <c r="AL46" s="56" t="s">
        <v>1</v>
      </c>
      <c r="AM46" s="56" t="s">
        <v>65</v>
      </c>
      <c r="AN46" s="60"/>
      <c r="AO46" s="61"/>
    </row>
    <row r="47" spans="3:41" ht="14.25" customHeight="1">
      <c r="C47" s="55" t="str">
        <f>IF($X47=1,COUNTIF($C$10:C46,"&gt;0")+1,"")</f>
        <v/>
      </c>
      <c r="D47" s="56"/>
      <c r="E47" s="56" t="s">
        <v>54</v>
      </c>
      <c r="F47" s="57" t="s">
        <v>226</v>
      </c>
      <c r="G47" s="56" t="s">
        <v>222</v>
      </c>
      <c r="H47" s="56" t="s">
        <v>227</v>
      </c>
      <c r="I47" s="56" t="s">
        <v>224</v>
      </c>
      <c r="J47" s="56" t="s">
        <v>58</v>
      </c>
      <c r="K47" s="56" t="s">
        <v>59</v>
      </c>
      <c r="L47" s="58">
        <v>38028</v>
      </c>
      <c r="M47" s="56">
        <v>21</v>
      </c>
      <c r="N47" s="56" t="s">
        <v>228</v>
      </c>
      <c r="O47" s="58">
        <v>47719</v>
      </c>
      <c r="P47" s="56" t="s">
        <v>5</v>
      </c>
      <c r="Q47" s="56"/>
      <c r="R47" s="50">
        <v>45913</v>
      </c>
      <c r="S47" s="50">
        <v>45918</v>
      </c>
      <c r="T47" s="51">
        <f t="shared" si="0"/>
        <v>5</v>
      </c>
      <c r="U47" s="56">
        <v>1</v>
      </c>
      <c r="V47" s="56">
        <v>1</v>
      </c>
      <c r="W47" s="56">
        <v>0</v>
      </c>
      <c r="X47" s="56">
        <v>0</v>
      </c>
      <c r="Y47" s="56">
        <v>0</v>
      </c>
      <c r="Z47" s="56">
        <v>0</v>
      </c>
      <c r="AA47" s="56">
        <v>0</v>
      </c>
      <c r="AB47" s="56"/>
      <c r="AC47" s="58">
        <v>45913</v>
      </c>
      <c r="AD47" s="59">
        <v>0.6875</v>
      </c>
      <c r="AE47" s="56" t="s">
        <v>116</v>
      </c>
      <c r="AF47" s="58">
        <v>45918</v>
      </c>
      <c r="AG47" s="59">
        <v>0.80555555555474712</v>
      </c>
      <c r="AH47" s="56" t="s">
        <v>117</v>
      </c>
      <c r="AI47" s="56" t="s">
        <v>63</v>
      </c>
      <c r="AJ47" s="56" t="s">
        <v>64</v>
      </c>
      <c r="AK47" s="56" t="s">
        <v>64</v>
      </c>
      <c r="AL47" s="56" t="s">
        <v>1</v>
      </c>
      <c r="AM47" s="56" t="s">
        <v>65</v>
      </c>
      <c r="AN47" s="60"/>
      <c r="AO47" s="61"/>
    </row>
    <row r="48" spans="3:41" ht="14.25" customHeight="1">
      <c r="C48" s="55">
        <f>IF($X48=1,COUNTIF($C$10:C47,"&gt;0")+1,"")</f>
        <v>20</v>
      </c>
      <c r="D48" s="56">
        <v>462710739</v>
      </c>
      <c r="E48" s="56" t="s">
        <v>229</v>
      </c>
      <c r="F48" s="57" t="s">
        <v>230</v>
      </c>
      <c r="G48" s="56" t="s">
        <v>230</v>
      </c>
      <c r="H48" s="56" t="s">
        <v>231</v>
      </c>
      <c r="I48" s="56" t="s">
        <v>232</v>
      </c>
      <c r="J48" s="56" t="s">
        <v>58</v>
      </c>
      <c r="K48" s="56" t="s">
        <v>59</v>
      </c>
      <c r="L48" s="58">
        <v>22094</v>
      </c>
      <c r="M48" s="56">
        <v>65</v>
      </c>
      <c r="N48" s="56" t="s">
        <v>233</v>
      </c>
      <c r="O48" s="58">
        <v>49517</v>
      </c>
      <c r="P48" s="56" t="s">
        <v>4</v>
      </c>
      <c r="Q48" s="56"/>
      <c r="R48" s="50">
        <v>45913</v>
      </c>
      <c r="S48" s="50">
        <v>45918</v>
      </c>
      <c r="T48" s="51">
        <f t="shared" si="0"/>
        <v>5</v>
      </c>
      <c r="U48" s="56">
        <v>1</v>
      </c>
      <c r="V48" s="56">
        <v>1</v>
      </c>
      <c r="W48" s="56">
        <v>0</v>
      </c>
      <c r="X48" s="56">
        <v>1</v>
      </c>
      <c r="Y48" s="56">
        <v>0</v>
      </c>
      <c r="Z48" s="56">
        <v>1</v>
      </c>
      <c r="AA48" s="56">
        <v>0</v>
      </c>
      <c r="AB48" s="56"/>
      <c r="AC48" s="58">
        <v>45913</v>
      </c>
      <c r="AD48" s="59">
        <v>0.67013888889050577</v>
      </c>
      <c r="AE48" s="56" t="s">
        <v>234</v>
      </c>
      <c r="AF48" s="58">
        <v>45918</v>
      </c>
      <c r="AG48" s="59">
        <v>0.32638888889050577</v>
      </c>
      <c r="AH48" s="56" t="s">
        <v>235</v>
      </c>
      <c r="AI48" s="56" t="s">
        <v>236</v>
      </c>
      <c r="AJ48" s="56" t="s">
        <v>64</v>
      </c>
      <c r="AK48" s="56" t="s">
        <v>64</v>
      </c>
      <c r="AL48" s="56" t="s">
        <v>1</v>
      </c>
      <c r="AM48" s="56" t="s">
        <v>65</v>
      </c>
      <c r="AN48" s="60"/>
      <c r="AO48" s="61"/>
    </row>
    <row r="49" spans="3:41" ht="14.25" customHeight="1">
      <c r="C49" s="55" t="str">
        <f>IF($X49=1,COUNTIF($C$10:C48,"&gt;0")+1,"")</f>
        <v/>
      </c>
      <c r="D49" s="56"/>
      <c r="E49" s="56" t="s">
        <v>229</v>
      </c>
      <c r="F49" s="57" t="s">
        <v>237</v>
      </c>
      <c r="G49" s="56" t="s">
        <v>230</v>
      </c>
      <c r="H49" s="56" t="s">
        <v>238</v>
      </c>
      <c r="I49" s="56" t="s">
        <v>232</v>
      </c>
      <c r="J49" s="56" t="s">
        <v>68</v>
      </c>
      <c r="K49" s="56" t="s">
        <v>59</v>
      </c>
      <c r="L49" s="58">
        <v>22401</v>
      </c>
      <c r="M49" s="56">
        <v>64</v>
      </c>
      <c r="N49" s="56" t="s">
        <v>239</v>
      </c>
      <c r="O49" s="58">
        <v>48854</v>
      </c>
      <c r="P49" s="56" t="s">
        <v>4</v>
      </c>
      <c r="Q49" s="56"/>
      <c r="R49" s="50">
        <v>45913</v>
      </c>
      <c r="S49" s="50">
        <v>45918</v>
      </c>
      <c r="T49" s="51">
        <f t="shared" si="0"/>
        <v>5</v>
      </c>
      <c r="U49" s="56">
        <v>1</v>
      </c>
      <c r="V49" s="56">
        <v>1</v>
      </c>
      <c r="W49" s="56">
        <v>0</v>
      </c>
      <c r="X49" s="56">
        <v>0</v>
      </c>
      <c r="Y49" s="56">
        <v>0</v>
      </c>
      <c r="Z49" s="56">
        <v>0</v>
      </c>
      <c r="AA49" s="56">
        <v>0</v>
      </c>
      <c r="AB49" s="56"/>
      <c r="AC49" s="58">
        <v>45913</v>
      </c>
      <c r="AD49" s="59">
        <v>0.67013888889050577</v>
      </c>
      <c r="AE49" s="56" t="s">
        <v>234</v>
      </c>
      <c r="AF49" s="58">
        <v>45918</v>
      </c>
      <c r="AG49" s="59">
        <v>0.32638888889050577</v>
      </c>
      <c r="AH49" s="56" t="s">
        <v>235</v>
      </c>
      <c r="AI49" s="56" t="s">
        <v>236</v>
      </c>
      <c r="AJ49" s="56" t="s">
        <v>64</v>
      </c>
      <c r="AK49" s="56" t="s">
        <v>64</v>
      </c>
      <c r="AL49" s="56" t="s">
        <v>1</v>
      </c>
      <c r="AM49" s="56" t="s">
        <v>65</v>
      </c>
      <c r="AN49" s="60"/>
      <c r="AO49" s="61"/>
    </row>
    <row r="50" spans="3:41" ht="14.25" customHeight="1">
      <c r="C50" s="55">
        <f>IF($X50=1,COUNTIF($C$10:C49,"&gt;0")+1,"")</f>
        <v>21</v>
      </c>
      <c r="D50" s="56">
        <v>462710740</v>
      </c>
      <c r="E50" s="56" t="s">
        <v>229</v>
      </c>
      <c r="F50" s="57" t="s">
        <v>240</v>
      </c>
      <c r="G50" s="56" t="s">
        <v>240</v>
      </c>
      <c r="H50" s="56" t="s">
        <v>241</v>
      </c>
      <c r="I50" s="56" t="s">
        <v>242</v>
      </c>
      <c r="J50" s="56" t="s">
        <v>58</v>
      </c>
      <c r="K50" s="56" t="s">
        <v>59</v>
      </c>
      <c r="L50" s="58">
        <v>26308</v>
      </c>
      <c r="M50" s="56">
        <v>53</v>
      </c>
      <c r="N50" s="56" t="s">
        <v>243</v>
      </c>
      <c r="O50" s="58">
        <v>46720</v>
      </c>
      <c r="P50" s="56" t="s">
        <v>4</v>
      </c>
      <c r="Q50" s="56"/>
      <c r="R50" s="50">
        <v>45913</v>
      </c>
      <c r="S50" s="50">
        <v>45918</v>
      </c>
      <c r="T50" s="51">
        <f t="shared" si="0"/>
        <v>5</v>
      </c>
      <c r="U50" s="56">
        <v>1</v>
      </c>
      <c r="V50" s="56">
        <v>1</v>
      </c>
      <c r="W50" s="56">
        <v>0</v>
      </c>
      <c r="X50" s="56">
        <v>1</v>
      </c>
      <c r="Y50" s="56">
        <v>0</v>
      </c>
      <c r="Z50" s="56">
        <v>1</v>
      </c>
      <c r="AA50" s="56">
        <v>0</v>
      </c>
      <c r="AB50" s="56"/>
      <c r="AC50" s="58">
        <v>45910</v>
      </c>
      <c r="AD50" s="59">
        <v>0.45833333333575865</v>
      </c>
      <c r="AE50" s="56" t="s">
        <v>244</v>
      </c>
      <c r="AF50" s="58">
        <v>45918</v>
      </c>
      <c r="AG50" s="59">
        <v>0.58680555555474712</v>
      </c>
      <c r="AH50" s="56" t="s">
        <v>245</v>
      </c>
      <c r="AI50" s="56" t="s">
        <v>236</v>
      </c>
      <c r="AJ50" s="56" t="s">
        <v>64</v>
      </c>
      <c r="AK50" s="56"/>
      <c r="AL50" s="56" t="s">
        <v>1</v>
      </c>
      <c r="AM50" s="56" t="s">
        <v>65</v>
      </c>
      <c r="AN50" s="60"/>
      <c r="AO50" s="61"/>
    </row>
    <row r="51" spans="3:41" ht="14.25" customHeight="1">
      <c r="C51" s="55" t="str">
        <f>IF($X51=1,COUNTIF($C$10:C50,"&gt;0")+1,"")</f>
        <v/>
      </c>
      <c r="D51" s="56"/>
      <c r="E51" s="56" t="s">
        <v>229</v>
      </c>
      <c r="F51" s="57" t="s">
        <v>246</v>
      </c>
      <c r="G51" s="56" t="s">
        <v>240</v>
      </c>
      <c r="H51" s="56" t="s">
        <v>247</v>
      </c>
      <c r="I51" s="56" t="s">
        <v>248</v>
      </c>
      <c r="J51" s="56" t="s">
        <v>68</v>
      </c>
      <c r="K51" s="56" t="s">
        <v>59</v>
      </c>
      <c r="L51" s="58">
        <v>26470</v>
      </c>
      <c r="M51" s="56">
        <v>53</v>
      </c>
      <c r="N51" s="56" t="s">
        <v>249</v>
      </c>
      <c r="O51" s="58">
        <v>47134</v>
      </c>
      <c r="P51" s="56" t="s">
        <v>4</v>
      </c>
      <c r="Q51" s="56"/>
      <c r="R51" s="50">
        <v>45913</v>
      </c>
      <c r="S51" s="50">
        <v>45918</v>
      </c>
      <c r="T51" s="51">
        <f t="shared" si="0"/>
        <v>5</v>
      </c>
      <c r="U51" s="56">
        <v>1</v>
      </c>
      <c r="V51" s="56">
        <v>1</v>
      </c>
      <c r="W51" s="56">
        <v>0</v>
      </c>
      <c r="X51" s="56">
        <v>0</v>
      </c>
      <c r="Y51" s="56">
        <v>0</v>
      </c>
      <c r="Z51" s="56">
        <v>0</v>
      </c>
      <c r="AA51" s="56">
        <v>0</v>
      </c>
      <c r="AB51" s="56"/>
      <c r="AC51" s="58">
        <v>45910</v>
      </c>
      <c r="AD51" s="59">
        <v>0.45833333333575865</v>
      </c>
      <c r="AE51" s="56" t="s">
        <v>244</v>
      </c>
      <c r="AF51" s="58">
        <v>45918</v>
      </c>
      <c r="AG51" s="59">
        <v>0.58680555555474712</v>
      </c>
      <c r="AH51" s="56" t="s">
        <v>245</v>
      </c>
      <c r="AI51" s="56" t="s">
        <v>236</v>
      </c>
      <c r="AJ51" s="56" t="s">
        <v>64</v>
      </c>
      <c r="AK51" s="56"/>
      <c r="AL51" s="56" t="s">
        <v>1</v>
      </c>
      <c r="AM51" s="56" t="s">
        <v>65</v>
      </c>
      <c r="AN51" s="60"/>
      <c r="AO51" s="61"/>
    </row>
    <row r="52" spans="3:41" ht="14.25" customHeight="1">
      <c r="C52" s="55">
        <f>IF($X52=1,COUNTIF($C$10:C51,"&gt;0")+1,"")</f>
        <v>22</v>
      </c>
      <c r="D52" s="56">
        <v>462710741</v>
      </c>
      <c r="E52" s="56" t="s">
        <v>229</v>
      </c>
      <c r="F52" s="57" t="s">
        <v>250</v>
      </c>
      <c r="G52" s="56" t="s">
        <v>250</v>
      </c>
      <c r="H52" s="56" t="s">
        <v>251</v>
      </c>
      <c r="I52" s="56" t="s">
        <v>252</v>
      </c>
      <c r="J52" s="56" t="s">
        <v>58</v>
      </c>
      <c r="K52" s="56" t="s">
        <v>59</v>
      </c>
      <c r="L52" s="58">
        <v>22558</v>
      </c>
      <c r="M52" s="56">
        <v>63</v>
      </c>
      <c r="N52" s="56" t="s">
        <v>253</v>
      </c>
      <c r="O52" s="58">
        <v>47485</v>
      </c>
      <c r="P52" s="56" t="s">
        <v>4</v>
      </c>
      <c r="Q52" s="56"/>
      <c r="R52" s="50">
        <v>45913</v>
      </c>
      <c r="S52" s="50">
        <v>45918</v>
      </c>
      <c r="T52" s="51">
        <f t="shared" si="0"/>
        <v>5</v>
      </c>
      <c r="U52" s="56">
        <v>1</v>
      </c>
      <c r="V52" s="56">
        <v>1</v>
      </c>
      <c r="W52" s="56">
        <v>0</v>
      </c>
      <c r="X52" s="56">
        <v>1</v>
      </c>
      <c r="Y52" s="56">
        <v>0</v>
      </c>
      <c r="Z52" s="56">
        <v>1</v>
      </c>
      <c r="AA52" s="56">
        <v>0</v>
      </c>
      <c r="AB52" s="56"/>
      <c r="AC52" s="58">
        <v>45913</v>
      </c>
      <c r="AD52" s="59">
        <v>0.46875</v>
      </c>
      <c r="AE52" s="56" t="s">
        <v>254</v>
      </c>
      <c r="AF52" s="58">
        <v>45918</v>
      </c>
      <c r="AG52" s="59">
        <v>0.58680555555474712</v>
      </c>
      <c r="AH52" s="56" t="s">
        <v>255</v>
      </c>
      <c r="AI52" s="56" t="s">
        <v>236</v>
      </c>
      <c r="AJ52" s="56" t="s">
        <v>64</v>
      </c>
      <c r="AK52" s="56" t="s">
        <v>64</v>
      </c>
      <c r="AL52" s="56" t="s">
        <v>1</v>
      </c>
      <c r="AM52" s="56" t="s">
        <v>65</v>
      </c>
      <c r="AN52" s="60"/>
      <c r="AO52" s="61"/>
    </row>
    <row r="53" spans="3:41" ht="14.25" customHeight="1">
      <c r="C53" s="55" t="str">
        <f>IF($X53=1,COUNTIF($C$10:C52,"&gt;0")+1,"")</f>
        <v/>
      </c>
      <c r="D53" s="56"/>
      <c r="E53" s="56" t="s">
        <v>229</v>
      </c>
      <c r="F53" s="57" t="s">
        <v>256</v>
      </c>
      <c r="G53" s="56" t="s">
        <v>250</v>
      </c>
      <c r="H53" s="56" t="s">
        <v>257</v>
      </c>
      <c r="I53" s="56" t="s">
        <v>252</v>
      </c>
      <c r="J53" s="56" t="s">
        <v>68</v>
      </c>
      <c r="K53" s="56" t="s">
        <v>180</v>
      </c>
      <c r="L53" s="58">
        <v>21323</v>
      </c>
      <c r="M53" s="56">
        <v>67</v>
      </c>
      <c r="N53" s="56" t="s">
        <v>258</v>
      </c>
      <c r="O53" s="58">
        <v>47485</v>
      </c>
      <c r="P53" s="56" t="s">
        <v>4</v>
      </c>
      <c r="Q53" s="56"/>
      <c r="R53" s="50">
        <v>45913</v>
      </c>
      <c r="S53" s="50">
        <v>45918</v>
      </c>
      <c r="T53" s="51">
        <f t="shared" si="0"/>
        <v>5</v>
      </c>
      <c r="U53" s="56">
        <v>1</v>
      </c>
      <c r="V53" s="56">
        <v>1</v>
      </c>
      <c r="W53" s="56">
        <v>0</v>
      </c>
      <c r="X53" s="56">
        <v>0</v>
      </c>
      <c r="Y53" s="56">
        <v>0</v>
      </c>
      <c r="Z53" s="56">
        <v>0</v>
      </c>
      <c r="AA53" s="56">
        <v>0</v>
      </c>
      <c r="AB53" s="56"/>
      <c r="AC53" s="58">
        <v>45913</v>
      </c>
      <c r="AD53" s="59">
        <v>0.46875</v>
      </c>
      <c r="AE53" s="56" t="s">
        <v>254</v>
      </c>
      <c r="AF53" s="58">
        <v>45918</v>
      </c>
      <c r="AG53" s="59">
        <v>0.58680555555474712</v>
      </c>
      <c r="AH53" s="56" t="s">
        <v>255</v>
      </c>
      <c r="AI53" s="56" t="s">
        <v>236</v>
      </c>
      <c r="AJ53" s="56" t="s">
        <v>64</v>
      </c>
      <c r="AK53" s="56" t="s">
        <v>64</v>
      </c>
      <c r="AL53" s="56" t="s">
        <v>1</v>
      </c>
      <c r="AM53" s="56" t="s">
        <v>65</v>
      </c>
      <c r="AN53" s="60"/>
      <c r="AO53" s="61"/>
    </row>
    <row r="54" spans="3:41" ht="14.25" customHeight="1">
      <c r="C54" s="55">
        <f>IF($X54=1,COUNTIF($C$10:C53,"&gt;0")+1,"")</f>
        <v>23</v>
      </c>
      <c r="D54" s="56">
        <v>462710742</v>
      </c>
      <c r="E54" s="56" t="s">
        <v>229</v>
      </c>
      <c r="F54" s="57" t="s">
        <v>259</v>
      </c>
      <c r="G54" s="56" t="s">
        <v>259</v>
      </c>
      <c r="H54" s="56" t="s">
        <v>260</v>
      </c>
      <c r="I54" s="56" t="s">
        <v>261</v>
      </c>
      <c r="J54" s="56" t="s">
        <v>58</v>
      </c>
      <c r="K54" s="56" t="s">
        <v>59</v>
      </c>
      <c r="L54" s="58">
        <v>22719</v>
      </c>
      <c r="M54" s="56">
        <v>63</v>
      </c>
      <c r="N54" s="56" t="s">
        <v>262</v>
      </c>
      <c r="O54" s="58">
        <v>49401</v>
      </c>
      <c r="P54" s="56" t="s">
        <v>3</v>
      </c>
      <c r="Q54" s="56"/>
      <c r="R54" s="50">
        <v>45913</v>
      </c>
      <c r="S54" s="50">
        <v>45918</v>
      </c>
      <c r="T54" s="51">
        <f t="shared" si="0"/>
        <v>5</v>
      </c>
      <c r="U54" s="56">
        <v>1</v>
      </c>
      <c r="V54" s="56">
        <v>1</v>
      </c>
      <c r="W54" s="56">
        <v>0</v>
      </c>
      <c r="X54" s="56">
        <v>1</v>
      </c>
      <c r="Y54" s="56">
        <v>1</v>
      </c>
      <c r="Z54" s="56">
        <v>0</v>
      </c>
      <c r="AA54" s="56">
        <v>0</v>
      </c>
      <c r="AB54" s="56"/>
      <c r="AC54" s="58">
        <v>45913</v>
      </c>
      <c r="AD54" s="59">
        <v>0.72222222221898846</v>
      </c>
      <c r="AE54" s="56" t="s">
        <v>164</v>
      </c>
      <c r="AF54" s="58">
        <v>45918</v>
      </c>
      <c r="AG54" s="59">
        <v>0.66666666666424135</v>
      </c>
      <c r="AH54" s="56" t="s">
        <v>165</v>
      </c>
      <c r="AI54" s="56" t="s">
        <v>236</v>
      </c>
      <c r="AJ54" s="56" t="s">
        <v>64</v>
      </c>
      <c r="AK54" s="56" t="s">
        <v>263</v>
      </c>
      <c r="AL54" s="56" t="s">
        <v>1</v>
      </c>
      <c r="AM54" s="56" t="s">
        <v>65</v>
      </c>
      <c r="AN54" s="60"/>
      <c r="AO54" s="61"/>
    </row>
    <row r="55" spans="3:41" ht="14.25" customHeight="1">
      <c r="C55" s="55">
        <f>IF($X55=1,COUNTIF($C$10:C54,"&gt;0")+1,"")</f>
        <v>24</v>
      </c>
      <c r="D55" s="56">
        <v>462710743</v>
      </c>
      <c r="E55" s="56" t="s">
        <v>229</v>
      </c>
      <c r="F55" s="57" t="s">
        <v>264</v>
      </c>
      <c r="G55" s="56" t="s">
        <v>264</v>
      </c>
      <c r="H55" s="56" t="s">
        <v>265</v>
      </c>
      <c r="I55" s="56" t="s">
        <v>266</v>
      </c>
      <c r="J55" s="56" t="s">
        <v>58</v>
      </c>
      <c r="K55" s="56" t="s">
        <v>59</v>
      </c>
      <c r="L55" s="58">
        <v>26650</v>
      </c>
      <c r="M55" s="56">
        <v>52</v>
      </c>
      <c r="N55" s="56" t="s">
        <v>267</v>
      </c>
      <c r="O55" s="58">
        <v>48413</v>
      </c>
      <c r="P55" s="56" t="s">
        <v>3</v>
      </c>
      <c r="Q55" s="56"/>
      <c r="R55" s="50">
        <v>45913</v>
      </c>
      <c r="S55" s="50">
        <v>45918</v>
      </c>
      <c r="T55" s="51">
        <f t="shared" si="0"/>
        <v>5</v>
      </c>
      <c r="U55" s="56">
        <v>1</v>
      </c>
      <c r="V55" s="56">
        <v>1</v>
      </c>
      <c r="W55" s="56">
        <v>0</v>
      </c>
      <c r="X55" s="56">
        <v>1</v>
      </c>
      <c r="Y55" s="56">
        <v>1</v>
      </c>
      <c r="Z55" s="56">
        <v>0</v>
      </c>
      <c r="AA55" s="56">
        <v>0</v>
      </c>
      <c r="AB55" s="56"/>
      <c r="AC55" s="58">
        <v>45913</v>
      </c>
      <c r="AD55" s="59">
        <v>0.62152777778101154</v>
      </c>
      <c r="AE55" s="56" t="s">
        <v>268</v>
      </c>
      <c r="AF55" s="58">
        <v>45918</v>
      </c>
      <c r="AG55" s="59">
        <v>0.53125</v>
      </c>
      <c r="AH55" s="56" t="s">
        <v>269</v>
      </c>
      <c r="AI55" s="56" t="s">
        <v>236</v>
      </c>
      <c r="AJ55" s="56" t="s">
        <v>64</v>
      </c>
      <c r="AK55" s="56" t="s">
        <v>64</v>
      </c>
      <c r="AL55" s="56" t="s">
        <v>1</v>
      </c>
      <c r="AM55" s="56" t="s">
        <v>65</v>
      </c>
      <c r="AN55" s="60"/>
      <c r="AO55" s="61"/>
    </row>
    <row r="56" spans="3:41" ht="14.25" customHeight="1">
      <c r="C56" s="55">
        <f>IF($X56=1,COUNTIF($C$10:C55,"&gt;0")+1,"")</f>
        <v>25</v>
      </c>
      <c r="D56" s="56">
        <v>462710744</v>
      </c>
      <c r="E56" s="56" t="s">
        <v>229</v>
      </c>
      <c r="F56" s="57" t="s">
        <v>270</v>
      </c>
      <c r="G56" s="56" t="s">
        <v>270</v>
      </c>
      <c r="H56" s="56" t="s">
        <v>271</v>
      </c>
      <c r="I56" s="56" t="s">
        <v>266</v>
      </c>
      <c r="J56" s="56" t="s">
        <v>68</v>
      </c>
      <c r="K56" s="56" t="s">
        <v>59</v>
      </c>
      <c r="L56" s="58">
        <v>24602</v>
      </c>
      <c r="M56" s="56">
        <v>58</v>
      </c>
      <c r="N56" s="56" t="s">
        <v>272</v>
      </c>
      <c r="O56" s="58">
        <v>48713</v>
      </c>
      <c r="P56" s="56" t="s">
        <v>5</v>
      </c>
      <c r="Q56" s="56"/>
      <c r="R56" s="50">
        <v>45913</v>
      </c>
      <c r="S56" s="50">
        <v>45918</v>
      </c>
      <c r="T56" s="51">
        <f t="shared" si="0"/>
        <v>5</v>
      </c>
      <c r="U56" s="56">
        <v>1</v>
      </c>
      <c r="V56" s="56">
        <v>1</v>
      </c>
      <c r="W56" s="56">
        <v>0</v>
      </c>
      <c r="X56" s="56">
        <v>1</v>
      </c>
      <c r="Y56" s="56">
        <v>0</v>
      </c>
      <c r="Z56" s="56">
        <v>0</v>
      </c>
      <c r="AA56" s="56">
        <v>1</v>
      </c>
      <c r="AB56" s="56"/>
      <c r="AC56" s="58">
        <v>45913</v>
      </c>
      <c r="AD56" s="59">
        <v>0.64930555555474712</v>
      </c>
      <c r="AE56" s="56" t="s">
        <v>273</v>
      </c>
      <c r="AF56" s="58">
        <v>45918</v>
      </c>
      <c r="AG56" s="59">
        <v>0.68402777778101154</v>
      </c>
      <c r="AH56" s="56" t="s">
        <v>274</v>
      </c>
      <c r="AI56" s="56" t="s">
        <v>236</v>
      </c>
      <c r="AJ56" s="56" t="s">
        <v>64</v>
      </c>
      <c r="AK56" s="56" t="s">
        <v>64</v>
      </c>
      <c r="AL56" s="56" t="s">
        <v>1</v>
      </c>
      <c r="AM56" s="56" t="s">
        <v>65</v>
      </c>
      <c r="AN56" s="60"/>
      <c r="AO56" s="61"/>
    </row>
    <row r="57" spans="3:41" ht="14.25" customHeight="1">
      <c r="C57" s="55" t="str">
        <f>IF($X57=1,COUNTIF($C$10:C56,"&gt;0")+1,"")</f>
        <v/>
      </c>
      <c r="D57" s="56"/>
      <c r="E57" s="56" t="s">
        <v>229</v>
      </c>
      <c r="F57" s="57" t="s">
        <v>275</v>
      </c>
      <c r="G57" s="56" t="s">
        <v>270</v>
      </c>
      <c r="H57" s="56" t="s">
        <v>276</v>
      </c>
      <c r="I57" s="56" t="s">
        <v>277</v>
      </c>
      <c r="J57" s="56" t="s">
        <v>68</v>
      </c>
      <c r="K57" s="56" t="s">
        <v>59</v>
      </c>
      <c r="L57" s="58">
        <v>21343</v>
      </c>
      <c r="M57" s="56">
        <v>67</v>
      </c>
      <c r="N57" s="56" t="s">
        <v>278</v>
      </c>
      <c r="O57" s="58">
        <v>48184</v>
      </c>
      <c r="P57" s="56" t="s">
        <v>5</v>
      </c>
      <c r="Q57" s="56"/>
      <c r="R57" s="50">
        <v>45913</v>
      </c>
      <c r="S57" s="50">
        <v>45918</v>
      </c>
      <c r="T57" s="51">
        <f t="shared" si="0"/>
        <v>5</v>
      </c>
      <c r="U57" s="56">
        <v>1</v>
      </c>
      <c r="V57" s="56">
        <v>1</v>
      </c>
      <c r="W57" s="56">
        <v>0</v>
      </c>
      <c r="X57" s="56">
        <v>0</v>
      </c>
      <c r="Y57" s="56">
        <v>0</v>
      </c>
      <c r="Z57" s="56">
        <v>0</v>
      </c>
      <c r="AA57" s="56">
        <v>0</v>
      </c>
      <c r="AB57" s="56"/>
      <c r="AC57" s="58">
        <v>45913</v>
      </c>
      <c r="AD57" s="59">
        <v>0.45833333333575865</v>
      </c>
      <c r="AE57" s="56" t="s">
        <v>244</v>
      </c>
      <c r="AF57" s="58">
        <v>45918</v>
      </c>
      <c r="AG57" s="59">
        <v>0.58680555555474712</v>
      </c>
      <c r="AH57" s="56" t="s">
        <v>255</v>
      </c>
      <c r="AI57" s="56" t="s">
        <v>236</v>
      </c>
      <c r="AJ57" s="56" t="s">
        <v>64</v>
      </c>
      <c r="AK57" s="56" t="s">
        <v>64</v>
      </c>
      <c r="AL57" s="56" t="s">
        <v>1</v>
      </c>
      <c r="AM57" s="56" t="s">
        <v>65</v>
      </c>
      <c r="AN57" s="60"/>
      <c r="AO57" s="61"/>
    </row>
    <row r="58" spans="3:41" ht="14.25" customHeight="1">
      <c r="C58" s="55">
        <f>IF($X58=1,COUNTIF($C$10:C57,"&gt;0")+1,"")</f>
        <v>26</v>
      </c>
      <c r="D58" s="56">
        <v>462710745</v>
      </c>
      <c r="E58" s="56" t="s">
        <v>229</v>
      </c>
      <c r="F58" s="57" t="s">
        <v>279</v>
      </c>
      <c r="G58" s="56" t="s">
        <v>279</v>
      </c>
      <c r="H58" s="56" t="s">
        <v>280</v>
      </c>
      <c r="I58" s="56" t="s">
        <v>281</v>
      </c>
      <c r="J58" s="56" t="s">
        <v>58</v>
      </c>
      <c r="K58" s="56" t="s">
        <v>59</v>
      </c>
      <c r="L58" s="58">
        <v>26867</v>
      </c>
      <c r="M58" s="56">
        <v>52</v>
      </c>
      <c r="N58" s="56" t="s">
        <v>282</v>
      </c>
      <c r="O58" s="58">
        <v>46774</v>
      </c>
      <c r="P58" s="56" t="s">
        <v>4</v>
      </c>
      <c r="Q58" s="56"/>
      <c r="R58" s="50">
        <v>45913</v>
      </c>
      <c r="S58" s="50">
        <v>45918</v>
      </c>
      <c r="T58" s="51">
        <f t="shared" si="0"/>
        <v>5</v>
      </c>
      <c r="U58" s="56">
        <v>1</v>
      </c>
      <c r="V58" s="56">
        <v>1</v>
      </c>
      <c r="W58" s="56">
        <v>0</v>
      </c>
      <c r="X58" s="56">
        <v>1</v>
      </c>
      <c r="Y58" s="56">
        <v>0</v>
      </c>
      <c r="Z58" s="56">
        <v>1</v>
      </c>
      <c r="AA58" s="56">
        <v>0</v>
      </c>
      <c r="AB58" s="56"/>
      <c r="AC58" s="58">
        <v>45913</v>
      </c>
      <c r="AD58" s="59">
        <v>0.45833333333575865</v>
      </c>
      <c r="AE58" s="56" t="s">
        <v>244</v>
      </c>
      <c r="AF58" s="58">
        <v>45918</v>
      </c>
      <c r="AG58" s="59">
        <v>0.58680555555474712</v>
      </c>
      <c r="AH58" s="56" t="s">
        <v>245</v>
      </c>
      <c r="AI58" s="56" t="s">
        <v>236</v>
      </c>
      <c r="AJ58" s="56" t="s">
        <v>64</v>
      </c>
      <c r="AK58" s="56" t="s">
        <v>64</v>
      </c>
      <c r="AL58" s="56" t="s">
        <v>1</v>
      </c>
      <c r="AM58" s="56" t="s">
        <v>65</v>
      </c>
      <c r="AN58" s="60"/>
      <c r="AO58" s="61"/>
    </row>
    <row r="59" spans="3:41" ht="14.25" customHeight="1">
      <c r="C59" s="55" t="str">
        <f>IF($X59=1,COUNTIF($C$10:C58,"&gt;0")+1,"")</f>
        <v/>
      </c>
      <c r="D59" s="56"/>
      <c r="E59" s="56" t="s">
        <v>229</v>
      </c>
      <c r="F59" s="57" t="s">
        <v>283</v>
      </c>
      <c r="G59" s="56" t="s">
        <v>279</v>
      </c>
      <c r="H59" s="56" t="s">
        <v>284</v>
      </c>
      <c r="I59" s="56" t="s">
        <v>285</v>
      </c>
      <c r="J59" s="56" t="s">
        <v>68</v>
      </c>
      <c r="K59" s="56" t="s">
        <v>59</v>
      </c>
      <c r="L59" s="58">
        <v>22721</v>
      </c>
      <c r="M59" s="56">
        <v>63</v>
      </c>
      <c r="N59" s="56" t="s">
        <v>286</v>
      </c>
      <c r="O59" s="58">
        <v>46774</v>
      </c>
      <c r="P59" s="56" t="s">
        <v>4</v>
      </c>
      <c r="Q59" s="56"/>
      <c r="R59" s="50">
        <v>45913</v>
      </c>
      <c r="S59" s="50">
        <v>45918</v>
      </c>
      <c r="T59" s="51">
        <f t="shared" si="0"/>
        <v>5</v>
      </c>
      <c r="U59" s="56">
        <v>1</v>
      </c>
      <c r="V59" s="56">
        <v>1</v>
      </c>
      <c r="W59" s="56">
        <v>0</v>
      </c>
      <c r="X59" s="56">
        <v>0</v>
      </c>
      <c r="Y59" s="56">
        <v>0</v>
      </c>
      <c r="Z59" s="56">
        <v>0</v>
      </c>
      <c r="AA59" s="56">
        <v>0</v>
      </c>
      <c r="AB59" s="56"/>
      <c r="AC59" s="58">
        <v>45913</v>
      </c>
      <c r="AD59" s="59">
        <v>0.45833333333575865</v>
      </c>
      <c r="AE59" s="56" t="s">
        <v>244</v>
      </c>
      <c r="AF59" s="58">
        <v>45918</v>
      </c>
      <c r="AG59" s="59">
        <v>0.58680555555474712</v>
      </c>
      <c r="AH59" s="56" t="s">
        <v>245</v>
      </c>
      <c r="AI59" s="56" t="s">
        <v>236</v>
      </c>
      <c r="AJ59" s="56" t="s">
        <v>64</v>
      </c>
      <c r="AK59" s="56" t="s">
        <v>64</v>
      </c>
      <c r="AL59" s="56" t="s">
        <v>1</v>
      </c>
      <c r="AM59" s="56" t="s">
        <v>65</v>
      </c>
      <c r="AN59" s="60"/>
      <c r="AO59" s="61"/>
    </row>
    <row r="60" spans="3:41" ht="14.25" customHeight="1">
      <c r="C60" s="55">
        <f>IF($X60=1,COUNTIF($C$10:C59,"&gt;0")+1,"")</f>
        <v>27</v>
      </c>
      <c r="D60" s="56">
        <v>461169739</v>
      </c>
      <c r="E60" s="56" t="s">
        <v>229</v>
      </c>
      <c r="F60" s="57" t="s">
        <v>287</v>
      </c>
      <c r="G60" s="56" t="s">
        <v>287</v>
      </c>
      <c r="H60" s="56" t="s">
        <v>288</v>
      </c>
      <c r="I60" s="56" t="s">
        <v>289</v>
      </c>
      <c r="J60" s="56" t="s">
        <v>58</v>
      </c>
      <c r="K60" s="56" t="s">
        <v>59</v>
      </c>
      <c r="L60" s="58">
        <v>24579</v>
      </c>
      <c r="M60" s="56">
        <v>58</v>
      </c>
      <c r="N60" s="56" t="s">
        <v>290</v>
      </c>
      <c r="O60" s="58">
        <v>48195</v>
      </c>
      <c r="P60" s="56" t="s">
        <v>4</v>
      </c>
      <c r="Q60" s="56"/>
      <c r="R60" s="50">
        <v>45913</v>
      </c>
      <c r="S60" s="50">
        <v>45918</v>
      </c>
      <c r="T60" s="51">
        <f t="shared" si="0"/>
        <v>5</v>
      </c>
      <c r="U60" s="56">
        <v>1</v>
      </c>
      <c r="V60" s="56">
        <v>1</v>
      </c>
      <c r="W60" s="56">
        <v>0</v>
      </c>
      <c r="X60" s="56">
        <v>1</v>
      </c>
      <c r="Y60" s="56">
        <v>0</v>
      </c>
      <c r="Z60" s="56">
        <v>1</v>
      </c>
      <c r="AA60" s="56">
        <v>0</v>
      </c>
      <c r="AB60" s="56"/>
      <c r="AC60" s="58">
        <v>45913</v>
      </c>
      <c r="AD60" s="59">
        <v>0.1875</v>
      </c>
      <c r="AE60" s="56" t="s">
        <v>220</v>
      </c>
      <c r="AF60" s="58">
        <v>45923</v>
      </c>
      <c r="AG60" s="59">
        <v>0.87152777778101154</v>
      </c>
      <c r="AH60" s="56" t="s">
        <v>102</v>
      </c>
      <c r="AI60" s="56" t="s">
        <v>236</v>
      </c>
      <c r="AJ60" s="56" t="s">
        <v>64</v>
      </c>
      <c r="AK60" s="56" t="s">
        <v>64</v>
      </c>
      <c r="AL60" s="56" t="s">
        <v>1</v>
      </c>
      <c r="AM60" s="56" t="s">
        <v>65</v>
      </c>
      <c r="AN60" s="60"/>
      <c r="AO60" s="61"/>
    </row>
    <row r="61" spans="3:41" ht="14.25" customHeight="1">
      <c r="C61" s="55" t="str">
        <f>IF($X61=1,COUNTIF($C$10:C60,"&gt;0")+1,"")</f>
        <v/>
      </c>
      <c r="D61" s="56"/>
      <c r="E61" s="56" t="s">
        <v>229</v>
      </c>
      <c r="F61" s="57" t="s">
        <v>291</v>
      </c>
      <c r="G61" s="56" t="s">
        <v>287</v>
      </c>
      <c r="H61" s="56" t="s">
        <v>292</v>
      </c>
      <c r="I61" s="56" t="s">
        <v>293</v>
      </c>
      <c r="J61" s="56" t="s">
        <v>68</v>
      </c>
      <c r="K61" s="56" t="s">
        <v>294</v>
      </c>
      <c r="L61" s="58">
        <v>26540</v>
      </c>
      <c r="M61" s="56">
        <v>53</v>
      </c>
      <c r="N61" s="56" t="s">
        <v>295</v>
      </c>
      <c r="O61" s="58">
        <v>46582</v>
      </c>
      <c r="P61" s="56" t="s">
        <v>4</v>
      </c>
      <c r="Q61" s="56"/>
      <c r="R61" s="50">
        <v>45913</v>
      </c>
      <c r="S61" s="50">
        <v>45918</v>
      </c>
      <c r="T61" s="51">
        <f t="shared" si="0"/>
        <v>5</v>
      </c>
      <c r="U61" s="56">
        <v>1</v>
      </c>
      <c r="V61" s="56">
        <v>1</v>
      </c>
      <c r="W61" s="56">
        <v>0</v>
      </c>
      <c r="X61" s="56">
        <v>0</v>
      </c>
      <c r="Y61" s="56">
        <v>0</v>
      </c>
      <c r="Z61" s="56">
        <v>0</v>
      </c>
      <c r="AA61" s="56">
        <v>0</v>
      </c>
      <c r="AB61" s="56"/>
      <c r="AC61" s="58">
        <v>45913</v>
      </c>
      <c r="AD61" s="59">
        <v>0.1875</v>
      </c>
      <c r="AE61" s="56" t="s">
        <v>220</v>
      </c>
      <c r="AF61" s="58">
        <v>45923</v>
      </c>
      <c r="AG61" s="59">
        <v>0.87152777778101154</v>
      </c>
      <c r="AH61" s="56" t="s">
        <v>102</v>
      </c>
      <c r="AI61" s="56" t="s">
        <v>236</v>
      </c>
      <c r="AJ61" s="56" t="s">
        <v>64</v>
      </c>
      <c r="AK61" s="56" t="s">
        <v>64</v>
      </c>
      <c r="AL61" s="56" t="s">
        <v>1</v>
      </c>
      <c r="AM61" s="56" t="s">
        <v>65</v>
      </c>
      <c r="AN61" s="60"/>
      <c r="AO61" s="61"/>
    </row>
    <row r="62" spans="3:41" ht="14.25" customHeight="1">
      <c r="C62" s="55">
        <f>IF($X62=1,COUNTIF($C$10:C61,"&gt;0")+1,"")</f>
        <v>28</v>
      </c>
      <c r="D62" s="56">
        <v>462299441</v>
      </c>
      <c r="E62" s="56" t="s">
        <v>229</v>
      </c>
      <c r="F62" s="57" t="s">
        <v>296</v>
      </c>
      <c r="G62" s="56" t="s">
        <v>296</v>
      </c>
      <c r="H62" s="56" t="s">
        <v>297</v>
      </c>
      <c r="I62" s="56" t="s">
        <v>298</v>
      </c>
      <c r="J62" s="56" t="s">
        <v>68</v>
      </c>
      <c r="K62" s="56" t="s">
        <v>294</v>
      </c>
      <c r="L62" s="58">
        <v>24184</v>
      </c>
      <c r="M62" s="56">
        <v>59</v>
      </c>
      <c r="N62" s="56" t="s">
        <v>299</v>
      </c>
      <c r="O62" s="58">
        <v>48588</v>
      </c>
      <c r="P62" s="56" t="s">
        <v>3</v>
      </c>
      <c r="Q62" s="56"/>
      <c r="R62" s="50">
        <v>45913</v>
      </c>
      <c r="S62" s="50">
        <v>45918</v>
      </c>
      <c r="T62" s="51">
        <f t="shared" si="0"/>
        <v>5</v>
      </c>
      <c r="U62" s="56">
        <v>1</v>
      </c>
      <c r="V62" s="56">
        <v>1</v>
      </c>
      <c r="W62" s="56">
        <v>0</v>
      </c>
      <c r="X62" s="56">
        <v>1</v>
      </c>
      <c r="Y62" s="56">
        <v>1</v>
      </c>
      <c r="Z62" s="56">
        <v>0</v>
      </c>
      <c r="AA62" s="56">
        <v>0</v>
      </c>
      <c r="AB62" s="56"/>
      <c r="AC62" s="58">
        <v>45913</v>
      </c>
      <c r="AD62" s="59">
        <v>0.1875</v>
      </c>
      <c r="AE62" s="56" t="s">
        <v>220</v>
      </c>
      <c r="AF62" s="58">
        <v>45923</v>
      </c>
      <c r="AG62" s="59">
        <v>0.87152777778101154</v>
      </c>
      <c r="AH62" s="56" t="s">
        <v>102</v>
      </c>
      <c r="AI62" s="56" t="s">
        <v>236</v>
      </c>
      <c r="AJ62" s="56" t="s">
        <v>64</v>
      </c>
      <c r="AK62" s="56" t="s">
        <v>64</v>
      </c>
      <c r="AL62" s="56" t="s">
        <v>1</v>
      </c>
      <c r="AM62" s="56" t="s">
        <v>65</v>
      </c>
      <c r="AN62" s="60"/>
      <c r="AO62" s="61"/>
    </row>
    <row r="63" spans="3:41" ht="14.25" customHeight="1">
      <c r="C63" s="55">
        <f>IF($X63=1,COUNTIF($C$10:C62,"&gt;0")+1,"")</f>
        <v>29</v>
      </c>
      <c r="D63" s="56">
        <v>462710746</v>
      </c>
      <c r="E63" s="56" t="s">
        <v>229</v>
      </c>
      <c r="F63" s="57" t="s">
        <v>300</v>
      </c>
      <c r="G63" s="56" t="s">
        <v>300</v>
      </c>
      <c r="H63" s="56" t="s">
        <v>301</v>
      </c>
      <c r="I63" s="56" t="s">
        <v>302</v>
      </c>
      <c r="J63" s="56" t="s">
        <v>68</v>
      </c>
      <c r="K63" s="56" t="s">
        <v>59</v>
      </c>
      <c r="L63" s="58">
        <v>24393</v>
      </c>
      <c r="M63" s="56">
        <v>58</v>
      </c>
      <c r="N63" s="56" t="s">
        <v>303</v>
      </c>
      <c r="O63" s="58">
        <v>48290</v>
      </c>
      <c r="P63" s="56" t="s">
        <v>4</v>
      </c>
      <c r="Q63" s="56"/>
      <c r="R63" s="50">
        <v>45913</v>
      </c>
      <c r="S63" s="50">
        <v>45918</v>
      </c>
      <c r="T63" s="51">
        <f t="shared" si="0"/>
        <v>5</v>
      </c>
      <c r="U63" s="56">
        <v>1</v>
      </c>
      <c r="V63" s="56">
        <v>1</v>
      </c>
      <c r="W63" s="56">
        <v>0</v>
      </c>
      <c r="X63" s="56">
        <v>1</v>
      </c>
      <c r="Y63" s="56">
        <v>0</v>
      </c>
      <c r="Z63" s="56">
        <v>1</v>
      </c>
      <c r="AA63" s="56">
        <v>0</v>
      </c>
      <c r="AB63" s="56"/>
      <c r="AC63" s="58">
        <v>45913</v>
      </c>
      <c r="AD63" s="59">
        <v>0.18055555555474712</v>
      </c>
      <c r="AE63" s="56" t="s">
        <v>95</v>
      </c>
      <c r="AF63" s="58">
        <v>45923</v>
      </c>
      <c r="AG63" s="59">
        <v>0.70138888889050577</v>
      </c>
      <c r="AH63" s="56" t="s">
        <v>96</v>
      </c>
      <c r="AI63" s="56" t="s">
        <v>236</v>
      </c>
      <c r="AJ63" s="56" t="s">
        <v>64</v>
      </c>
      <c r="AK63" s="56" t="s">
        <v>64</v>
      </c>
      <c r="AL63" s="56" t="s">
        <v>1</v>
      </c>
      <c r="AM63" s="56" t="s">
        <v>65</v>
      </c>
      <c r="AN63" s="60"/>
      <c r="AO63" s="61"/>
    </row>
    <row r="64" spans="3:41" ht="14.25" customHeight="1">
      <c r="C64" s="55" t="str">
        <f>IF($X64=1,COUNTIF($C$10:C63,"&gt;0")+1,"")</f>
        <v/>
      </c>
      <c r="D64" s="56"/>
      <c r="E64" s="56" t="s">
        <v>229</v>
      </c>
      <c r="F64" s="57" t="s">
        <v>304</v>
      </c>
      <c r="G64" s="56" t="s">
        <v>300</v>
      </c>
      <c r="H64" s="56" t="s">
        <v>305</v>
      </c>
      <c r="I64" s="56" t="s">
        <v>306</v>
      </c>
      <c r="J64" s="56" t="s">
        <v>58</v>
      </c>
      <c r="K64" s="56" t="s">
        <v>59</v>
      </c>
      <c r="L64" s="58">
        <v>24498</v>
      </c>
      <c r="M64" s="56">
        <v>58</v>
      </c>
      <c r="N64" s="56" t="s">
        <v>307</v>
      </c>
      <c r="O64" s="58">
        <v>48692</v>
      </c>
      <c r="P64" s="56" t="s">
        <v>4</v>
      </c>
      <c r="Q64" s="56"/>
      <c r="R64" s="50">
        <v>45913</v>
      </c>
      <c r="S64" s="50">
        <v>45918</v>
      </c>
      <c r="T64" s="51">
        <f t="shared" si="0"/>
        <v>5</v>
      </c>
      <c r="U64" s="56">
        <v>1</v>
      </c>
      <c r="V64" s="56">
        <v>1</v>
      </c>
      <c r="W64" s="56">
        <v>0</v>
      </c>
      <c r="X64" s="56">
        <v>0</v>
      </c>
      <c r="Y64" s="56">
        <v>0</v>
      </c>
      <c r="Z64" s="56">
        <v>0</v>
      </c>
      <c r="AA64" s="56">
        <v>0</v>
      </c>
      <c r="AB64" s="56"/>
      <c r="AC64" s="58">
        <v>45913</v>
      </c>
      <c r="AD64" s="59">
        <v>0.18055555555474712</v>
      </c>
      <c r="AE64" s="56" t="s">
        <v>95</v>
      </c>
      <c r="AF64" s="58">
        <v>45923</v>
      </c>
      <c r="AG64" s="59">
        <v>0.70138888889050577</v>
      </c>
      <c r="AH64" s="56" t="s">
        <v>96</v>
      </c>
      <c r="AI64" s="56" t="s">
        <v>236</v>
      </c>
      <c r="AJ64" s="56" t="s">
        <v>64</v>
      </c>
      <c r="AK64" s="56" t="s">
        <v>64</v>
      </c>
      <c r="AL64" s="56" t="s">
        <v>1</v>
      </c>
      <c r="AM64" s="56" t="s">
        <v>65</v>
      </c>
      <c r="AN64" s="60"/>
      <c r="AO64" s="61"/>
    </row>
    <row r="65" spans="3:41" ht="14.25" customHeight="1">
      <c r="C65" s="55">
        <f>IF($X65=1,COUNTIF($C$10:C64,"&gt;0")+1,"")</f>
        <v>30</v>
      </c>
      <c r="D65" s="56">
        <v>462710747</v>
      </c>
      <c r="E65" s="56" t="s">
        <v>229</v>
      </c>
      <c r="F65" s="57" t="s">
        <v>308</v>
      </c>
      <c r="G65" s="56" t="s">
        <v>308</v>
      </c>
      <c r="H65" s="56" t="s">
        <v>309</v>
      </c>
      <c r="I65" s="56" t="s">
        <v>310</v>
      </c>
      <c r="J65" s="56" t="s">
        <v>68</v>
      </c>
      <c r="K65" s="56" t="s">
        <v>59</v>
      </c>
      <c r="L65" s="58">
        <v>28319</v>
      </c>
      <c r="M65" s="56">
        <v>48</v>
      </c>
      <c r="N65" s="56" t="s">
        <v>311</v>
      </c>
      <c r="O65" s="58">
        <v>49003</v>
      </c>
      <c r="P65" s="56" t="s">
        <v>4</v>
      </c>
      <c r="Q65" s="56"/>
      <c r="R65" s="50">
        <v>45913</v>
      </c>
      <c r="S65" s="50">
        <v>45918</v>
      </c>
      <c r="T65" s="51">
        <f t="shared" si="0"/>
        <v>5</v>
      </c>
      <c r="U65" s="56">
        <v>1</v>
      </c>
      <c r="V65" s="56">
        <v>1</v>
      </c>
      <c r="W65" s="56">
        <v>0</v>
      </c>
      <c r="X65" s="56">
        <v>1</v>
      </c>
      <c r="Y65" s="56">
        <v>0</v>
      </c>
      <c r="Z65" s="56">
        <v>1</v>
      </c>
      <c r="AA65" s="56">
        <v>0</v>
      </c>
      <c r="AB65" s="56"/>
      <c r="AC65" s="58">
        <v>45913</v>
      </c>
      <c r="AD65" s="59">
        <v>0.64583333333575865</v>
      </c>
      <c r="AE65" s="56" t="s">
        <v>312</v>
      </c>
      <c r="AF65" s="58">
        <v>45918</v>
      </c>
      <c r="AG65" s="59">
        <v>0.72569444444525288</v>
      </c>
      <c r="AH65" s="56" t="s">
        <v>313</v>
      </c>
      <c r="AI65" s="56" t="s">
        <v>236</v>
      </c>
      <c r="AJ65" s="56" t="s">
        <v>64</v>
      </c>
      <c r="AK65" s="56" t="s">
        <v>64</v>
      </c>
      <c r="AL65" s="56" t="s">
        <v>1</v>
      </c>
      <c r="AM65" s="56" t="s">
        <v>65</v>
      </c>
      <c r="AN65" s="60"/>
      <c r="AO65" s="61"/>
    </row>
    <row r="66" spans="3:41" ht="14.25" customHeight="1">
      <c r="C66" s="55" t="str">
        <f>IF($X66=1,COUNTIF($C$10:C65,"&gt;0")+1,"")</f>
        <v/>
      </c>
      <c r="D66" s="56"/>
      <c r="E66" s="56" t="s">
        <v>229</v>
      </c>
      <c r="F66" s="57" t="s">
        <v>314</v>
      </c>
      <c r="G66" s="56" t="s">
        <v>308</v>
      </c>
      <c r="H66" s="56" t="s">
        <v>315</v>
      </c>
      <c r="I66" s="56" t="s">
        <v>316</v>
      </c>
      <c r="J66" s="56" t="s">
        <v>58</v>
      </c>
      <c r="K66" s="56" t="s">
        <v>59</v>
      </c>
      <c r="L66" s="58">
        <v>24782</v>
      </c>
      <c r="M66" s="56">
        <v>57</v>
      </c>
      <c r="N66" s="56" t="s">
        <v>317</v>
      </c>
      <c r="O66" s="58">
        <v>46833</v>
      </c>
      <c r="P66" s="56" t="s">
        <v>4</v>
      </c>
      <c r="Q66" s="56"/>
      <c r="R66" s="50">
        <v>45913</v>
      </c>
      <c r="S66" s="50">
        <v>45918</v>
      </c>
      <c r="T66" s="51">
        <f t="shared" si="0"/>
        <v>5</v>
      </c>
      <c r="U66" s="56">
        <v>1</v>
      </c>
      <c r="V66" s="56">
        <v>1</v>
      </c>
      <c r="W66" s="56">
        <v>0</v>
      </c>
      <c r="X66" s="56">
        <v>0</v>
      </c>
      <c r="Y66" s="56">
        <v>0</v>
      </c>
      <c r="Z66" s="56">
        <v>0</v>
      </c>
      <c r="AA66" s="56">
        <v>0</v>
      </c>
      <c r="AB66" s="56"/>
      <c r="AC66" s="58">
        <v>45913</v>
      </c>
      <c r="AD66" s="59">
        <v>0.64583333333575865</v>
      </c>
      <c r="AE66" s="56" t="s">
        <v>312</v>
      </c>
      <c r="AF66" s="58">
        <v>45918</v>
      </c>
      <c r="AG66" s="59">
        <v>0.72569444444525288</v>
      </c>
      <c r="AH66" s="56" t="s">
        <v>313</v>
      </c>
      <c r="AI66" s="56" t="s">
        <v>236</v>
      </c>
      <c r="AJ66" s="56" t="s">
        <v>64</v>
      </c>
      <c r="AK66" s="56" t="s">
        <v>64</v>
      </c>
      <c r="AL66" s="56" t="s">
        <v>1</v>
      </c>
      <c r="AM66" s="56" t="s">
        <v>65</v>
      </c>
      <c r="AN66" s="60"/>
      <c r="AO66" s="61"/>
    </row>
    <row r="67" spans="3:41" ht="14.25" customHeight="1">
      <c r="C67" s="55">
        <f>IF($X67=1,COUNTIF($C$10:C66,"&gt;0")+1,"")</f>
        <v>31</v>
      </c>
      <c r="D67" s="56">
        <v>462710748</v>
      </c>
      <c r="E67" s="56" t="s">
        <v>229</v>
      </c>
      <c r="F67" s="57" t="s">
        <v>318</v>
      </c>
      <c r="G67" s="56" t="s">
        <v>318</v>
      </c>
      <c r="H67" s="56" t="s">
        <v>319</v>
      </c>
      <c r="I67" s="56" t="s">
        <v>320</v>
      </c>
      <c r="J67" s="56" t="s">
        <v>68</v>
      </c>
      <c r="K67" s="56" t="s">
        <v>59</v>
      </c>
      <c r="L67" s="58">
        <v>26418</v>
      </c>
      <c r="M67" s="56">
        <v>53</v>
      </c>
      <c r="N67" s="56" t="s">
        <v>321</v>
      </c>
      <c r="O67" s="58">
        <v>48710</v>
      </c>
      <c r="P67" s="56" t="s">
        <v>4</v>
      </c>
      <c r="Q67" s="56"/>
      <c r="R67" s="50">
        <v>45913</v>
      </c>
      <c r="S67" s="50">
        <v>45918</v>
      </c>
      <c r="T67" s="51">
        <f t="shared" si="0"/>
        <v>5</v>
      </c>
      <c r="U67" s="56">
        <v>1</v>
      </c>
      <c r="V67" s="56">
        <v>1</v>
      </c>
      <c r="W67" s="56">
        <v>0</v>
      </c>
      <c r="X67" s="56">
        <v>1</v>
      </c>
      <c r="Y67" s="56">
        <v>0</v>
      </c>
      <c r="Z67" s="56">
        <v>1</v>
      </c>
      <c r="AA67" s="56">
        <v>0</v>
      </c>
      <c r="AB67" s="56"/>
      <c r="AC67" s="58">
        <v>45903</v>
      </c>
      <c r="AD67" s="59">
        <v>0.64583333333575865</v>
      </c>
      <c r="AE67" s="56" t="s">
        <v>312</v>
      </c>
      <c r="AF67" s="58">
        <v>45918</v>
      </c>
      <c r="AG67" s="59">
        <v>0.72569444444525288</v>
      </c>
      <c r="AH67" s="56" t="s">
        <v>313</v>
      </c>
      <c r="AI67" s="56" t="s">
        <v>236</v>
      </c>
      <c r="AJ67" s="56" t="s">
        <v>64</v>
      </c>
      <c r="AK67" s="56" t="s">
        <v>64</v>
      </c>
      <c r="AL67" s="56" t="s">
        <v>1</v>
      </c>
      <c r="AM67" s="56" t="s">
        <v>65</v>
      </c>
      <c r="AN67" s="60"/>
      <c r="AO67" s="61"/>
    </row>
    <row r="68" spans="3:41" ht="14.25" customHeight="1">
      <c r="C68" s="55" t="str">
        <f>IF($X68=1,COUNTIF($C$10:C67,"&gt;0")+1,"")</f>
        <v/>
      </c>
      <c r="D68" s="56"/>
      <c r="E68" s="56" t="s">
        <v>229</v>
      </c>
      <c r="F68" s="57" t="s">
        <v>322</v>
      </c>
      <c r="G68" s="56" t="s">
        <v>318</v>
      </c>
      <c r="H68" s="56" t="s">
        <v>323</v>
      </c>
      <c r="I68" s="56" t="s">
        <v>320</v>
      </c>
      <c r="J68" s="56" t="s">
        <v>68</v>
      </c>
      <c r="K68" s="56" t="s">
        <v>59</v>
      </c>
      <c r="L68" s="58">
        <v>37363</v>
      </c>
      <c r="M68" s="56">
        <v>23</v>
      </c>
      <c r="N68" s="56" t="s">
        <v>324</v>
      </c>
      <c r="O68" s="58">
        <v>48710</v>
      </c>
      <c r="P68" s="56" t="s">
        <v>4</v>
      </c>
      <c r="Q68" s="56"/>
      <c r="R68" s="50">
        <v>45913</v>
      </c>
      <c r="S68" s="50">
        <v>45918</v>
      </c>
      <c r="T68" s="51">
        <f t="shared" si="0"/>
        <v>5</v>
      </c>
      <c r="U68" s="56">
        <v>1</v>
      </c>
      <c r="V68" s="56">
        <v>1</v>
      </c>
      <c r="W68" s="56">
        <v>0</v>
      </c>
      <c r="X68" s="56">
        <v>0</v>
      </c>
      <c r="Y68" s="56">
        <v>0</v>
      </c>
      <c r="Z68" s="56">
        <v>0</v>
      </c>
      <c r="AA68" s="56">
        <v>0</v>
      </c>
      <c r="AB68" s="56"/>
      <c r="AC68" s="58">
        <v>45903</v>
      </c>
      <c r="AD68" s="59">
        <v>0.64583333333575865</v>
      </c>
      <c r="AE68" s="56" t="s">
        <v>312</v>
      </c>
      <c r="AF68" s="58">
        <v>45918</v>
      </c>
      <c r="AG68" s="59">
        <v>0.72569444444525288</v>
      </c>
      <c r="AH68" s="56" t="s">
        <v>313</v>
      </c>
      <c r="AI68" s="56" t="s">
        <v>236</v>
      </c>
      <c r="AJ68" s="56" t="s">
        <v>64</v>
      </c>
      <c r="AK68" s="56" t="s">
        <v>64</v>
      </c>
      <c r="AL68" s="56" t="s">
        <v>1</v>
      </c>
      <c r="AM68" s="56" t="s">
        <v>65</v>
      </c>
      <c r="AN68" s="60"/>
      <c r="AO68" s="61"/>
    </row>
    <row r="69" spans="3:41" ht="14.25" customHeight="1">
      <c r="C69" s="55">
        <f>IF($X69=1,COUNTIF($C$10:C68,"&gt;0")+1,"")</f>
        <v>32</v>
      </c>
      <c r="D69" s="56">
        <v>462710749</v>
      </c>
      <c r="E69" s="56" t="s">
        <v>229</v>
      </c>
      <c r="F69" s="57" t="s">
        <v>325</v>
      </c>
      <c r="G69" s="56" t="s">
        <v>325</v>
      </c>
      <c r="H69" s="56" t="s">
        <v>326</v>
      </c>
      <c r="I69" s="56" t="s">
        <v>327</v>
      </c>
      <c r="J69" s="56" t="s">
        <v>68</v>
      </c>
      <c r="K69" s="56" t="s">
        <v>59</v>
      </c>
      <c r="L69" s="58">
        <v>34969</v>
      </c>
      <c r="M69" s="56">
        <v>29</v>
      </c>
      <c r="N69" s="56" t="s">
        <v>328</v>
      </c>
      <c r="O69" s="58">
        <v>48835</v>
      </c>
      <c r="P69" s="56" t="s">
        <v>4</v>
      </c>
      <c r="Q69" s="56"/>
      <c r="R69" s="50">
        <v>45913</v>
      </c>
      <c r="S69" s="50">
        <v>45918</v>
      </c>
      <c r="T69" s="51">
        <f t="shared" si="0"/>
        <v>5</v>
      </c>
      <c r="U69" s="56">
        <v>1</v>
      </c>
      <c r="V69" s="56">
        <v>1</v>
      </c>
      <c r="W69" s="56">
        <v>0</v>
      </c>
      <c r="X69" s="56">
        <v>1</v>
      </c>
      <c r="Y69" s="56">
        <v>0</v>
      </c>
      <c r="Z69" s="56">
        <v>1</v>
      </c>
      <c r="AA69" s="56">
        <v>0</v>
      </c>
      <c r="AB69" s="56"/>
      <c r="AC69" s="58">
        <v>45913</v>
      </c>
      <c r="AD69" s="59">
        <v>0.80902777778101154</v>
      </c>
      <c r="AE69" s="56" t="s">
        <v>329</v>
      </c>
      <c r="AF69" s="58">
        <v>45918</v>
      </c>
      <c r="AG69" s="59">
        <v>0.77777777778101154</v>
      </c>
      <c r="AH69" s="56" t="s">
        <v>330</v>
      </c>
      <c r="AI69" s="56" t="s">
        <v>236</v>
      </c>
      <c r="AJ69" s="56" t="s">
        <v>64</v>
      </c>
      <c r="AK69" s="56" t="s">
        <v>64</v>
      </c>
      <c r="AL69" s="56" t="s">
        <v>1</v>
      </c>
      <c r="AM69" s="56" t="s">
        <v>65</v>
      </c>
      <c r="AN69" s="60" t="s">
        <v>331</v>
      </c>
      <c r="AO69" s="61"/>
    </row>
    <row r="70" spans="3:41" ht="14.25" customHeight="1">
      <c r="C70" s="55" t="str">
        <f>IF($X70=1,COUNTIF($C$10:C69,"&gt;0")+1,"")</f>
        <v/>
      </c>
      <c r="D70" s="56"/>
      <c r="E70" s="56" t="s">
        <v>229</v>
      </c>
      <c r="F70" s="57" t="s">
        <v>332</v>
      </c>
      <c r="G70" s="56" t="s">
        <v>325</v>
      </c>
      <c r="H70" s="56" t="s">
        <v>333</v>
      </c>
      <c r="I70" s="56" t="s">
        <v>334</v>
      </c>
      <c r="J70" s="56" t="s">
        <v>58</v>
      </c>
      <c r="K70" s="56" t="s">
        <v>59</v>
      </c>
      <c r="L70" s="58">
        <v>34140</v>
      </c>
      <c r="M70" s="56">
        <v>32</v>
      </c>
      <c r="N70" s="56" t="s">
        <v>335</v>
      </c>
      <c r="O70" s="58">
        <v>48826</v>
      </c>
      <c r="P70" s="56" t="s">
        <v>4</v>
      </c>
      <c r="Q70" s="56"/>
      <c r="R70" s="50">
        <v>45913</v>
      </c>
      <c r="S70" s="50">
        <v>45918</v>
      </c>
      <c r="T70" s="51">
        <f t="shared" si="0"/>
        <v>5</v>
      </c>
      <c r="U70" s="56">
        <v>1</v>
      </c>
      <c r="V70" s="56">
        <v>1</v>
      </c>
      <c r="W70" s="56">
        <v>0</v>
      </c>
      <c r="X70" s="56">
        <v>0</v>
      </c>
      <c r="Y70" s="56">
        <v>0</v>
      </c>
      <c r="Z70" s="56">
        <v>0</v>
      </c>
      <c r="AA70" s="56">
        <v>0</v>
      </c>
      <c r="AB70" s="56"/>
      <c r="AC70" s="58">
        <v>45913</v>
      </c>
      <c r="AD70" s="59">
        <v>0.80902777778101154</v>
      </c>
      <c r="AE70" s="56" t="s">
        <v>329</v>
      </c>
      <c r="AF70" s="58">
        <v>45918</v>
      </c>
      <c r="AG70" s="59">
        <v>0.77777777778101154</v>
      </c>
      <c r="AH70" s="56" t="s">
        <v>330</v>
      </c>
      <c r="AI70" s="56" t="s">
        <v>236</v>
      </c>
      <c r="AJ70" s="56" t="s">
        <v>64</v>
      </c>
      <c r="AK70" s="56" t="s">
        <v>64</v>
      </c>
      <c r="AL70" s="56" t="s">
        <v>1</v>
      </c>
      <c r="AM70" s="56" t="s">
        <v>65</v>
      </c>
      <c r="AN70" s="60" t="s">
        <v>331</v>
      </c>
      <c r="AO70" s="61"/>
    </row>
    <row r="71" spans="3:41" ht="14.25" customHeight="1">
      <c r="C71" s="55" t="str">
        <f>IF($X71=1,COUNTIF($C$10:C70,"&gt;0")+1,"")</f>
        <v/>
      </c>
      <c r="D71" s="56"/>
      <c r="E71" s="56" t="s">
        <v>229</v>
      </c>
      <c r="F71" s="57" t="s">
        <v>336</v>
      </c>
      <c r="G71" s="56" t="s">
        <v>325</v>
      </c>
      <c r="H71" s="56" t="s">
        <v>337</v>
      </c>
      <c r="I71" s="56" t="s">
        <v>334</v>
      </c>
      <c r="J71" s="56" t="s">
        <v>68</v>
      </c>
      <c r="K71" s="56" t="s">
        <v>59</v>
      </c>
      <c r="L71" s="58">
        <v>44248</v>
      </c>
      <c r="M71" s="56">
        <v>4</v>
      </c>
      <c r="N71" s="56" t="s">
        <v>338</v>
      </c>
      <c r="O71" s="58">
        <v>46671</v>
      </c>
      <c r="P71" s="56" t="s">
        <v>4</v>
      </c>
      <c r="Q71" s="56"/>
      <c r="R71" s="50">
        <v>45913</v>
      </c>
      <c r="S71" s="50">
        <v>45918</v>
      </c>
      <c r="T71" s="51">
        <f t="shared" si="0"/>
        <v>5</v>
      </c>
      <c r="U71" s="56">
        <v>1</v>
      </c>
      <c r="V71" s="56">
        <v>0</v>
      </c>
      <c r="W71" s="56">
        <v>1</v>
      </c>
      <c r="X71" s="56">
        <v>0</v>
      </c>
      <c r="Y71" s="56">
        <v>0</v>
      </c>
      <c r="Z71" s="56">
        <v>0</v>
      </c>
      <c r="AA71" s="56">
        <v>0</v>
      </c>
      <c r="AB71" s="56"/>
      <c r="AC71" s="58">
        <v>45913</v>
      </c>
      <c r="AD71" s="59">
        <v>0.80902777778101154</v>
      </c>
      <c r="AE71" s="56" t="s">
        <v>329</v>
      </c>
      <c r="AF71" s="58">
        <v>45918</v>
      </c>
      <c r="AG71" s="59">
        <v>0.77777777778101154</v>
      </c>
      <c r="AH71" s="56" t="s">
        <v>330</v>
      </c>
      <c r="AI71" s="56" t="s">
        <v>236</v>
      </c>
      <c r="AJ71" s="56" t="s">
        <v>64</v>
      </c>
      <c r="AK71" s="56" t="s">
        <v>64</v>
      </c>
      <c r="AL71" s="56" t="s">
        <v>1</v>
      </c>
      <c r="AM71" s="56" t="s">
        <v>65</v>
      </c>
      <c r="AN71" s="60" t="s">
        <v>331</v>
      </c>
      <c r="AO71" s="61"/>
    </row>
    <row r="72" spans="3:41" ht="14.25" customHeight="1">
      <c r="C72" s="55">
        <f>IF($X72=1,COUNTIF($C$10:C71,"&gt;0")+1,"")</f>
        <v>33</v>
      </c>
      <c r="D72" s="56">
        <v>462710750</v>
      </c>
      <c r="E72" s="56" t="s">
        <v>229</v>
      </c>
      <c r="F72" s="57" t="s">
        <v>339</v>
      </c>
      <c r="G72" s="56" t="s">
        <v>339</v>
      </c>
      <c r="H72" s="56" t="s">
        <v>340</v>
      </c>
      <c r="I72" s="56" t="s">
        <v>327</v>
      </c>
      <c r="J72" s="56" t="s">
        <v>58</v>
      </c>
      <c r="K72" s="56" t="s">
        <v>59</v>
      </c>
      <c r="L72" s="58">
        <v>31105</v>
      </c>
      <c r="M72" s="56">
        <v>40</v>
      </c>
      <c r="N72" s="56" t="s">
        <v>341</v>
      </c>
      <c r="O72" s="58">
        <v>48357</v>
      </c>
      <c r="P72" s="56" t="s">
        <v>3</v>
      </c>
      <c r="Q72" s="56"/>
      <c r="R72" s="50">
        <v>45913</v>
      </c>
      <c r="S72" s="50">
        <v>45918</v>
      </c>
      <c r="T72" s="51">
        <f t="shared" si="0"/>
        <v>5</v>
      </c>
      <c r="U72" s="56">
        <v>1</v>
      </c>
      <c r="V72" s="56">
        <v>1</v>
      </c>
      <c r="W72" s="56">
        <v>0</v>
      </c>
      <c r="X72" s="56">
        <v>1</v>
      </c>
      <c r="Y72" s="56">
        <v>1</v>
      </c>
      <c r="Z72" s="56">
        <v>0</v>
      </c>
      <c r="AA72" s="56">
        <v>0</v>
      </c>
      <c r="AB72" s="56"/>
      <c r="AC72" s="58">
        <v>45913</v>
      </c>
      <c r="AD72" s="59">
        <v>0.20486111110949423</v>
      </c>
      <c r="AE72" s="56" t="s">
        <v>342</v>
      </c>
      <c r="AF72" s="58">
        <v>45921</v>
      </c>
      <c r="AG72" s="59">
        <v>0.89583333333575865</v>
      </c>
      <c r="AH72" s="56" t="s">
        <v>343</v>
      </c>
      <c r="AI72" s="56" t="s">
        <v>236</v>
      </c>
      <c r="AJ72" s="56" t="s">
        <v>64</v>
      </c>
      <c r="AK72" s="56" t="s">
        <v>64</v>
      </c>
      <c r="AL72" s="56" t="s">
        <v>1</v>
      </c>
      <c r="AM72" s="56" t="s">
        <v>65</v>
      </c>
      <c r="AN72" s="60"/>
      <c r="AO72" s="61"/>
    </row>
    <row r="73" spans="3:41" ht="14.25" customHeight="1">
      <c r="C73" s="55" t="str">
        <f>IF($X73=1,COUNTIF($C$10:C72,"&gt;0")+1,"")</f>
        <v/>
      </c>
      <c r="D73" s="56"/>
      <c r="E73" s="56" t="s">
        <v>229</v>
      </c>
      <c r="F73" s="57" t="s">
        <v>344</v>
      </c>
      <c r="G73" s="56" t="s">
        <v>339</v>
      </c>
      <c r="H73" s="56" t="s">
        <v>345</v>
      </c>
      <c r="I73" s="56" t="s">
        <v>327</v>
      </c>
      <c r="J73" s="56" t="s">
        <v>68</v>
      </c>
      <c r="K73" s="56" t="s">
        <v>59</v>
      </c>
      <c r="L73" s="58">
        <v>43613</v>
      </c>
      <c r="M73" s="56">
        <v>6</v>
      </c>
      <c r="N73" s="56" t="s">
        <v>346</v>
      </c>
      <c r="O73" s="58">
        <v>46576</v>
      </c>
      <c r="P73" s="56" t="s">
        <v>3</v>
      </c>
      <c r="Q73" s="56"/>
      <c r="R73" s="50">
        <v>45913</v>
      </c>
      <c r="S73" s="50">
        <v>45918</v>
      </c>
      <c r="T73" s="51">
        <f t="shared" si="0"/>
        <v>5</v>
      </c>
      <c r="U73" s="56">
        <v>1</v>
      </c>
      <c r="V73" s="56">
        <v>0</v>
      </c>
      <c r="W73" s="56">
        <v>1</v>
      </c>
      <c r="X73" s="56">
        <v>0</v>
      </c>
      <c r="Y73" s="56">
        <v>0</v>
      </c>
      <c r="Z73" s="56">
        <v>0</v>
      </c>
      <c r="AA73" s="56">
        <v>0</v>
      </c>
      <c r="AB73" s="56"/>
      <c r="AC73" s="58">
        <v>45913</v>
      </c>
      <c r="AD73" s="59">
        <v>0.20486111110949423</v>
      </c>
      <c r="AE73" s="56" t="s">
        <v>342</v>
      </c>
      <c r="AF73" s="58">
        <v>45921</v>
      </c>
      <c r="AG73" s="59">
        <v>0.89583333333575865</v>
      </c>
      <c r="AH73" s="56" t="s">
        <v>343</v>
      </c>
      <c r="AI73" s="56" t="s">
        <v>236</v>
      </c>
      <c r="AJ73" s="56" t="s">
        <v>64</v>
      </c>
      <c r="AK73" s="56" t="s">
        <v>64</v>
      </c>
      <c r="AL73" s="56" t="s">
        <v>1</v>
      </c>
      <c r="AM73" s="56" t="s">
        <v>65</v>
      </c>
      <c r="AN73" s="60"/>
      <c r="AO73" s="61"/>
    </row>
    <row r="74" spans="3:41" ht="14.25" customHeight="1">
      <c r="C74" s="55">
        <f>IF($X74=1,COUNTIF($C$10:C73,"&gt;0")+1,"")</f>
        <v>34</v>
      </c>
      <c r="D74" s="56">
        <v>462710751</v>
      </c>
      <c r="E74" s="56" t="s">
        <v>229</v>
      </c>
      <c r="F74" s="57" t="s">
        <v>347</v>
      </c>
      <c r="G74" s="56" t="s">
        <v>339</v>
      </c>
      <c r="H74" s="56" t="s">
        <v>348</v>
      </c>
      <c r="I74" s="56" t="s">
        <v>349</v>
      </c>
      <c r="J74" s="56" t="s">
        <v>68</v>
      </c>
      <c r="K74" s="56" t="s">
        <v>59</v>
      </c>
      <c r="L74" s="58">
        <v>33413</v>
      </c>
      <c r="M74" s="56">
        <v>34</v>
      </c>
      <c r="N74" s="56" t="s">
        <v>350</v>
      </c>
      <c r="O74" s="58">
        <v>47861</v>
      </c>
      <c r="P74" s="56" t="s">
        <v>3</v>
      </c>
      <c r="Q74" s="56"/>
      <c r="R74" s="50">
        <v>45913</v>
      </c>
      <c r="S74" s="50">
        <v>45918</v>
      </c>
      <c r="T74" s="51">
        <f t="shared" si="0"/>
        <v>5</v>
      </c>
      <c r="U74" s="56">
        <v>1</v>
      </c>
      <c r="V74" s="56">
        <v>1</v>
      </c>
      <c r="W74" s="56">
        <v>0</v>
      </c>
      <c r="X74" s="56">
        <v>1</v>
      </c>
      <c r="Y74" s="56">
        <v>1</v>
      </c>
      <c r="Z74" s="56">
        <v>0</v>
      </c>
      <c r="AA74" s="56">
        <v>0</v>
      </c>
      <c r="AB74" s="56"/>
      <c r="AC74" s="58">
        <v>45913</v>
      </c>
      <c r="AD74" s="59">
        <v>0.20486111110949423</v>
      </c>
      <c r="AE74" s="56" t="s">
        <v>342</v>
      </c>
      <c r="AF74" s="58">
        <v>45921</v>
      </c>
      <c r="AG74" s="59">
        <v>0.89583333333575865</v>
      </c>
      <c r="AH74" s="56" t="s">
        <v>343</v>
      </c>
      <c r="AI74" s="56" t="s">
        <v>236</v>
      </c>
      <c r="AJ74" s="56" t="s">
        <v>64</v>
      </c>
      <c r="AK74" s="56" t="s">
        <v>64</v>
      </c>
      <c r="AL74" s="56" t="s">
        <v>1</v>
      </c>
      <c r="AM74" s="56" t="s">
        <v>65</v>
      </c>
      <c r="AN74" s="60"/>
      <c r="AO74" s="61"/>
    </row>
    <row r="75" spans="3:41" ht="14.25" customHeight="1">
      <c r="C75" s="55" t="str">
        <f>IF($X75=1,COUNTIF($C$10:C74,"&gt;0")+1,"")</f>
        <v/>
      </c>
      <c r="D75" s="56"/>
      <c r="E75" s="56" t="s">
        <v>229</v>
      </c>
      <c r="F75" s="57" t="s">
        <v>351</v>
      </c>
      <c r="G75" s="56" t="s">
        <v>339</v>
      </c>
      <c r="H75" s="56" t="s">
        <v>352</v>
      </c>
      <c r="I75" s="56" t="s">
        <v>327</v>
      </c>
      <c r="J75" s="56" t="s">
        <v>58</v>
      </c>
      <c r="K75" s="56" t="s">
        <v>59</v>
      </c>
      <c r="L75" s="58">
        <v>43047</v>
      </c>
      <c r="M75" s="56">
        <v>7</v>
      </c>
      <c r="N75" s="56" t="s">
        <v>353</v>
      </c>
      <c r="O75" s="58">
        <v>47056</v>
      </c>
      <c r="P75" s="56" t="s">
        <v>3</v>
      </c>
      <c r="Q75" s="56"/>
      <c r="R75" s="50">
        <v>45913</v>
      </c>
      <c r="S75" s="50">
        <v>45918</v>
      </c>
      <c r="T75" s="51">
        <f t="shared" ref="T75:T138" si="1">S75-R75</f>
        <v>5</v>
      </c>
      <c r="U75" s="56">
        <v>1</v>
      </c>
      <c r="V75" s="56">
        <v>0</v>
      </c>
      <c r="W75" s="56">
        <v>1</v>
      </c>
      <c r="X75" s="56">
        <v>0</v>
      </c>
      <c r="Y75" s="56">
        <v>0</v>
      </c>
      <c r="Z75" s="56">
        <v>0</v>
      </c>
      <c r="AA75" s="56">
        <v>0</v>
      </c>
      <c r="AB75" s="56"/>
      <c r="AC75" s="58">
        <v>45913</v>
      </c>
      <c r="AD75" s="59">
        <v>0.20486111110949423</v>
      </c>
      <c r="AE75" s="56" t="s">
        <v>342</v>
      </c>
      <c r="AF75" s="58">
        <v>45921</v>
      </c>
      <c r="AG75" s="59">
        <v>0.89583333333575865</v>
      </c>
      <c r="AH75" s="56" t="s">
        <v>343</v>
      </c>
      <c r="AI75" s="56" t="s">
        <v>236</v>
      </c>
      <c r="AJ75" s="56" t="s">
        <v>64</v>
      </c>
      <c r="AK75" s="56" t="s">
        <v>64</v>
      </c>
      <c r="AL75" s="56" t="s">
        <v>1</v>
      </c>
      <c r="AM75" s="56" t="s">
        <v>65</v>
      </c>
      <c r="AN75" s="60"/>
      <c r="AO75" s="61"/>
    </row>
    <row r="76" spans="3:41" ht="14.25" customHeight="1">
      <c r="C76" s="55">
        <f>IF($X76=1,COUNTIF($C$10:C75,"&gt;0")+1,"")</f>
        <v>35</v>
      </c>
      <c r="D76" s="56">
        <v>462710752</v>
      </c>
      <c r="E76" s="56" t="s">
        <v>229</v>
      </c>
      <c r="F76" s="57" t="s">
        <v>354</v>
      </c>
      <c r="G76" s="56" t="s">
        <v>354</v>
      </c>
      <c r="H76" s="56" t="s">
        <v>355</v>
      </c>
      <c r="I76" s="56" t="s">
        <v>356</v>
      </c>
      <c r="J76" s="56" t="s">
        <v>68</v>
      </c>
      <c r="K76" s="56" t="s">
        <v>59</v>
      </c>
      <c r="L76" s="58">
        <v>45662</v>
      </c>
      <c r="M76" s="56">
        <v>0</v>
      </c>
      <c r="N76" s="56" t="s">
        <v>357</v>
      </c>
      <c r="O76" s="58">
        <v>46656</v>
      </c>
      <c r="P76" s="56" t="s">
        <v>4</v>
      </c>
      <c r="Q76" s="56"/>
      <c r="R76" s="50">
        <v>45913</v>
      </c>
      <c r="S76" s="50">
        <v>45918</v>
      </c>
      <c r="T76" s="51">
        <f t="shared" si="1"/>
        <v>5</v>
      </c>
      <c r="U76" s="56">
        <v>1</v>
      </c>
      <c r="V76" s="56">
        <v>1</v>
      </c>
      <c r="W76" s="56">
        <v>0</v>
      </c>
      <c r="X76" s="56">
        <v>1</v>
      </c>
      <c r="Y76" s="56">
        <v>0</v>
      </c>
      <c r="Z76" s="56">
        <v>1</v>
      </c>
      <c r="AA76" s="56">
        <v>0</v>
      </c>
      <c r="AB76" s="56"/>
      <c r="AC76" s="58">
        <v>45913</v>
      </c>
      <c r="AD76" s="59">
        <v>0.40277777778101154</v>
      </c>
      <c r="AE76" s="56" t="s">
        <v>358</v>
      </c>
      <c r="AF76" s="58">
        <v>45918</v>
      </c>
      <c r="AG76" s="59">
        <v>0.79513888889050577</v>
      </c>
      <c r="AH76" s="56" t="s">
        <v>359</v>
      </c>
      <c r="AI76" s="56" t="s">
        <v>236</v>
      </c>
      <c r="AJ76" s="56" t="s">
        <v>64</v>
      </c>
      <c r="AK76" s="56" t="s">
        <v>64</v>
      </c>
      <c r="AL76" s="56" t="s">
        <v>1</v>
      </c>
      <c r="AM76" s="56" t="s">
        <v>65</v>
      </c>
      <c r="AN76" s="60"/>
      <c r="AO76" s="61"/>
    </row>
    <row r="77" spans="3:41" ht="14.25" customHeight="1">
      <c r="C77" s="55" t="str">
        <f>IF($X77=1,COUNTIF($C$10:C76,"&gt;0")+1,"")</f>
        <v/>
      </c>
      <c r="D77" s="56"/>
      <c r="E77" s="56" t="s">
        <v>229</v>
      </c>
      <c r="F77" s="57" t="s">
        <v>360</v>
      </c>
      <c r="G77" s="56" t="s">
        <v>354</v>
      </c>
      <c r="H77" s="56" t="s">
        <v>361</v>
      </c>
      <c r="I77" s="56" t="s">
        <v>362</v>
      </c>
      <c r="J77" s="56" t="s">
        <v>58</v>
      </c>
      <c r="K77" s="56" t="s">
        <v>59</v>
      </c>
      <c r="L77" s="58">
        <v>31490</v>
      </c>
      <c r="M77" s="56">
        <v>39</v>
      </c>
      <c r="N77" s="56" t="s">
        <v>363</v>
      </c>
      <c r="O77" s="58">
        <v>46341</v>
      </c>
      <c r="P77" s="56" t="s">
        <v>4</v>
      </c>
      <c r="Q77" s="56"/>
      <c r="R77" s="50">
        <v>45913</v>
      </c>
      <c r="S77" s="50">
        <v>45918</v>
      </c>
      <c r="T77" s="51">
        <f t="shared" si="1"/>
        <v>5</v>
      </c>
      <c r="U77" s="56">
        <v>1</v>
      </c>
      <c r="V77" s="56">
        <v>1</v>
      </c>
      <c r="W77" s="56">
        <v>0</v>
      </c>
      <c r="X77" s="56">
        <v>0</v>
      </c>
      <c r="Y77" s="56">
        <v>0</v>
      </c>
      <c r="Z77" s="56">
        <v>0</v>
      </c>
      <c r="AA77" s="56">
        <v>0</v>
      </c>
      <c r="AB77" s="56"/>
      <c r="AC77" s="58">
        <v>45913</v>
      </c>
      <c r="AD77" s="59">
        <v>0.40277777778101154</v>
      </c>
      <c r="AE77" s="56" t="s">
        <v>358</v>
      </c>
      <c r="AF77" s="58">
        <v>45918</v>
      </c>
      <c r="AG77" s="59">
        <v>0.79513888889050577</v>
      </c>
      <c r="AH77" s="56" t="s">
        <v>359</v>
      </c>
      <c r="AI77" s="56" t="s">
        <v>236</v>
      </c>
      <c r="AJ77" s="56" t="s">
        <v>64</v>
      </c>
      <c r="AK77" s="56" t="s">
        <v>64</v>
      </c>
      <c r="AL77" s="56" t="s">
        <v>1</v>
      </c>
      <c r="AM77" s="56" t="s">
        <v>65</v>
      </c>
      <c r="AN77" s="60"/>
      <c r="AO77" s="61"/>
    </row>
    <row r="78" spans="3:41" ht="14.25" customHeight="1">
      <c r="C78" s="55" t="str">
        <f>IF($X78=1,COUNTIF($C$10:C77,"&gt;0")+1,"")</f>
        <v/>
      </c>
      <c r="D78" s="56"/>
      <c r="E78" s="56" t="s">
        <v>229</v>
      </c>
      <c r="F78" s="57" t="s">
        <v>364</v>
      </c>
      <c r="G78" s="56" t="s">
        <v>354</v>
      </c>
      <c r="H78" s="56" t="s">
        <v>365</v>
      </c>
      <c r="I78" s="56" t="s">
        <v>362</v>
      </c>
      <c r="J78" s="56" t="s">
        <v>68</v>
      </c>
      <c r="K78" s="56" t="s">
        <v>59</v>
      </c>
      <c r="L78" s="58">
        <v>43628</v>
      </c>
      <c r="M78" s="56">
        <v>6</v>
      </c>
      <c r="N78" s="56" t="s">
        <v>366</v>
      </c>
      <c r="O78" s="58">
        <v>46554</v>
      </c>
      <c r="P78" s="56" t="s">
        <v>4</v>
      </c>
      <c r="Q78" s="56"/>
      <c r="R78" s="50">
        <v>45913</v>
      </c>
      <c r="S78" s="50">
        <v>45918</v>
      </c>
      <c r="T78" s="51">
        <f t="shared" si="1"/>
        <v>5</v>
      </c>
      <c r="U78" s="56">
        <v>1</v>
      </c>
      <c r="V78" s="56">
        <v>0</v>
      </c>
      <c r="W78" s="56">
        <v>1</v>
      </c>
      <c r="X78" s="56">
        <v>0</v>
      </c>
      <c r="Y78" s="56">
        <v>0</v>
      </c>
      <c r="Z78" s="56">
        <v>0</v>
      </c>
      <c r="AA78" s="56">
        <v>0</v>
      </c>
      <c r="AB78" s="56"/>
      <c r="AC78" s="58">
        <v>45913</v>
      </c>
      <c r="AD78" s="59">
        <v>0.40277777778101154</v>
      </c>
      <c r="AE78" s="56" t="s">
        <v>358</v>
      </c>
      <c r="AF78" s="58">
        <v>45918</v>
      </c>
      <c r="AG78" s="59">
        <v>0.79513888889050577</v>
      </c>
      <c r="AH78" s="56" t="s">
        <v>359</v>
      </c>
      <c r="AI78" s="56" t="s">
        <v>236</v>
      </c>
      <c r="AJ78" s="56" t="s">
        <v>64</v>
      </c>
      <c r="AK78" s="56" t="s">
        <v>64</v>
      </c>
      <c r="AL78" s="56" t="s">
        <v>1</v>
      </c>
      <c r="AM78" s="56" t="s">
        <v>65</v>
      </c>
      <c r="AN78" s="60"/>
      <c r="AO78" s="61"/>
    </row>
    <row r="79" spans="3:41" ht="14.25" customHeight="1">
      <c r="C79" s="55">
        <f>IF($X79=1,COUNTIF($C$10:C78,"&gt;0")+1,"")</f>
        <v>36</v>
      </c>
      <c r="D79" s="56">
        <v>462710753</v>
      </c>
      <c r="E79" s="56" t="s">
        <v>229</v>
      </c>
      <c r="F79" s="57" t="s">
        <v>367</v>
      </c>
      <c r="G79" s="56" t="s">
        <v>354</v>
      </c>
      <c r="H79" s="56" t="s">
        <v>368</v>
      </c>
      <c r="I79" s="56" t="s">
        <v>88</v>
      </c>
      <c r="J79" s="56" t="s">
        <v>68</v>
      </c>
      <c r="K79" s="56" t="s">
        <v>369</v>
      </c>
      <c r="L79" s="58">
        <v>24779</v>
      </c>
      <c r="M79" s="56">
        <v>57</v>
      </c>
      <c r="N79" s="56" t="s">
        <v>370</v>
      </c>
      <c r="O79" s="58">
        <v>47037</v>
      </c>
      <c r="P79" s="56" t="s">
        <v>4</v>
      </c>
      <c r="Q79" s="56"/>
      <c r="R79" s="50">
        <v>45913</v>
      </c>
      <c r="S79" s="50">
        <v>45918</v>
      </c>
      <c r="T79" s="51">
        <f t="shared" si="1"/>
        <v>5</v>
      </c>
      <c r="U79" s="56">
        <v>1</v>
      </c>
      <c r="V79" s="56">
        <v>1</v>
      </c>
      <c r="W79" s="56">
        <v>0</v>
      </c>
      <c r="X79" s="56">
        <v>1</v>
      </c>
      <c r="Y79" s="56">
        <v>0</v>
      </c>
      <c r="Z79" s="56">
        <v>1</v>
      </c>
      <c r="AA79" s="56">
        <v>0</v>
      </c>
      <c r="AB79" s="56"/>
      <c r="AC79" s="58">
        <v>45913</v>
      </c>
      <c r="AD79" s="59">
        <v>0.40277777778101154</v>
      </c>
      <c r="AE79" s="56" t="s">
        <v>358</v>
      </c>
      <c r="AF79" s="58">
        <v>45918</v>
      </c>
      <c r="AG79" s="59">
        <v>0.79513888889050577</v>
      </c>
      <c r="AH79" s="56" t="s">
        <v>359</v>
      </c>
      <c r="AI79" s="56" t="s">
        <v>236</v>
      </c>
      <c r="AJ79" s="56" t="s">
        <v>64</v>
      </c>
      <c r="AK79" s="56" t="s">
        <v>64</v>
      </c>
      <c r="AL79" s="56" t="s">
        <v>1</v>
      </c>
      <c r="AM79" s="56" t="s">
        <v>65</v>
      </c>
      <c r="AN79" s="60"/>
      <c r="AO79" s="61"/>
    </row>
    <row r="80" spans="3:41" ht="14.25" customHeight="1">
      <c r="C80" s="55" t="str">
        <f>IF($X80=1,COUNTIF($C$10:C79,"&gt;0")+1,"")</f>
        <v/>
      </c>
      <c r="D80" s="56"/>
      <c r="E80" s="56" t="s">
        <v>229</v>
      </c>
      <c r="F80" s="57" t="s">
        <v>371</v>
      </c>
      <c r="G80" s="56" t="s">
        <v>354</v>
      </c>
      <c r="H80" s="56" t="s">
        <v>372</v>
      </c>
      <c r="I80" s="56" t="s">
        <v>356</v>
      </c>
      <c r="J80" s="56" t="s">
        <v>58</v>
      </c>
      <c r="K80" s="56" t="s">
        <v>59</v>
      </c>
      <c r="L80" s="58">
        <v>24136</v>
      </c>
      <c r="M80" s="56">
        <v>59</v>
      </c>
      <c r="N80" s="56" t="s">
        <v>373</v>
      </c>
      <c r="O80" s="58">
        <v>46656</v>
      </c>
      <c r="P80" s="56" t="s">
        <v>4</v>
      </c>
      <c r="Q80" s="56"/>
      <c r="R80" s="50">
        <v>45913</v>
      </c>
      <c r="S80" s="50">
        <v>45918</v>
      </c>
      <c r="T80" s="51">
        <f t="shared" si="1"/>
        <v>5</v>
      </c>
      <c r="U80" s="56">
        <v>1</v>
      </c>
      <c r="V80" s="56">
        <v>1</v>
      </c>
      <c r="W80" s="56">
        <v>0</v>
      </c>
      <c r="X80" s="56">
        <v>0</v>
      </c>
      <c r="Y80" s="56">
        <v>0</v>
      </c>
      <c r="Z80" s="56">
        <v>0</v>
      </c>
      <c r="AA80" s="56">
        <v>0</v>
      </c>
      <c r="AB80" s="56"/>
      <c r="AC80" s="58">
        <v>45913</v>
      </c>
      <c r="AD80" s="59">
        <v>0.40277777778101154</v>
      </c>
      <c r="AE80" s="56" t="s">
        <v>358</v>
      </c>
      <c r="AF80" s="58">
        <v>45918</v>
      </c>
      <c r="AG80" s="59">
        <v>0.79513888889050577</v>
      </c>
      <c r="AH80" s="56" t="s">
        <v>359</v>
      </c>
      <c r="AI80" s="56" t="s">
        <v>236</v>
      </c>
      <c r="AJ80" s="56" t="s">
        <v>64</v>
      </c>
      <c r="AK80" s="56" t="s">
        <v>64</v>
      </c>
      <c r="AL80" s="56" t="s">
        <v>1</v>
      </c>
      <c r="AM80" s="56" t="s">
        <v>65</v>
      </c>
      <c r="AN80" s="60"/>
      <c r="AO80" s="61"/>
    </row>
    <row r="81" spans="3:41" ht="14.25" customHeight="1">
      <c r="C81" s="55" t="str">
        <f>IF($X81=1,COUNTIF($C$10:C80,"&gt;0")+1,"")</f>
        <v/>
      </c>
      <c r="D81" s="56"/>
      <c r="E81" s="56" t="s">
        <v>229</v>
      </c>
      <c r="F81" s="57" t="s">
        <v>374</v>
      </c>
      <c r="G81" s="56" t="s">
        <v>354</v>
      </c>
      <c r="H81" s="56" t="s">
        <v>375</v>
      </c>
      <c r="I81" s="56" t="s">
        <v>376</v>
      </c>
      <c r="J81" s="56" t="s">
        <v>58</v>
      </c>
      <c r="K81" s="56" t="s">
        <v>59</v>
      </c>
      <c r="L81" s="58">
        <v>44750</v>
      </c>
      <c r="M81" s="56">
        <v>3</v>
      </c>
      <c r="N81" s="56" t="s">
        <v>377</v>
      </c>
      <c r="O81" s="58">
        <v>46663</v>
      </c>
      <c r="P81" s="56" t="s">
        <v>4</v>
      </c>
      <c r="Q81" s="56"/>
      <c r="R81" s="50">
        <v>45913</v>
      </c>
      <c r="S81" s="50">
        <v>45918</v>
      </c>
      <c r="T81" s="51">
        <f t="shared" si="1"/>
        <v>5</v>
      </c>
      <c r="U81" s="56">
        <v>1</v>
      </c>
      <c r="V81" s="56">
        <v>0</v>
      </c>
      <c r="W81" s="56">
        <v>1</v>
      </c>
      <c r="X81" s="56">
        <v>0</v>
      </c>
      <c r="Y81" s="56">
        <v>0</v>
      </c>
      <c r="Z81" s="56">
        <v>0</v>
      </c>
      <c r="AA81" s="56">
        <v>0</v>
      </c>
      <c r="AB81" s="56"/>
      <c r="AC81" s="58">
        <v>45913</v>
      </c>
      <c r="AD81" s="59">
        <v>0.40277777778101154</v>
      </c>
      <c r="AE81" s="56" t="s">
        <v>358</v>
      </c>
      <c r="AF81" s="58">
        <v>45918</v>
      </c>
      <c r="AG81" s="59">
        <v>0.79513888889050577</v>
      </c>
      <c r="AH81" s="56" t="s">
        <v>359</v>
      </c>
      <c r="AI81" s="56" t="s">
        <v>236</v>
      </c>
      <c r="AJ81" s="56" t="s">
        <v>64</v>
      </c>
      <c r="AK81" s="56" t="s">
        <v>64</v>
      </c>
      <c r="AL81" s="56" t="s">
        <v>1</v>
      </c>
      <c r="AM81" s="56" t="s">
        <v>65</v>
      </c>
      <c r="AN81" s="60"/>
      <c r="AO81" s="61"/>
    </row>
    <row r="82" spans="3:41" ht="14.25" customHeight="1">
      <c r="C82" s="55">
        <f>IF($X82=1,COUNTIF($C$10:C81,"&gt;0")+1,"")</f>
        <v>37</v>
      </c>
      <c r="D82" s="56">
        <v>462710754</v>
      </c>
      <c r="E82" s="56" t="s">
        <v>229</v>
      </c>
      <c r="F82" s="57" t="s">
        <v>378</v>
      </c>
      <c r="G82" s="56" t="s">
        <v>378</v>
      </c>
      <c r="H82" s="56" t="s">
        <v>379</v>
      </c>
      <c r="I82" s="56" t="s">
        <v>380</v>
      </c>
      <c r="J82" s="56" t="s">
        <v>68</v>
      </c>
      <c r="K82" s="56" t="s">
        <v>59</v>
      </c>
      <c r="L82" s="58">
        <v>27768</v>
      </c>
      <c r="M82" s="56">
        <v>49</v>
      </c>
      <c r="N82" s="56" t="s">
        <v>381</v>
      </c>
      <c r="O82" s="58">
        <v>48217</v>
      </c>
      <c r="P82" s="56" t="s">
        <v>5</v>
      </c>
      <c r="Q82" s="56"/>
      <c r="R82" s="50">
        <v>45913</v>
      </c>
      <c r="S82" s="50">
        <v>45918</v>
      </c>
      <c r="T82" s="51">
        <f t="shared" si="1"/>
        <v>5</v>
      </c>
      <c r="U82" s="56">
        <v>1</v>
      </c>
      <c r="V82" s="56">
        <v>1</v>
      </c>
      <c r="W82" s="56">
        <v>0</v>
      </c>
      <c r="X82" s="56">
        <v>1</v>
      </c>
      <c r="Y82" s="56">
        <v>0</v>
      </c>
      <c r="Z82" s="56">
        <v>0</v>
      </c>
      <c r="AA82" s="56">
        <v>1</v>
      </c>
      <c r="AB82" s="56"/>
      <c r="AC82" s="58">
        <v>45913</v>
      </c>
      <c r="AD82" s="59">
        <v>0.25694444444525288</v>
      </c>
      <c r="AE82" s="56" t="s">
        <v>382</v>
      </c>
      <c r="AF82" s="58">
        <v>45918</v>
      </c>
      <c r="AG82" s="59">
        <v>0.62152777778101154</v>
      </c>
      <c r="AH82" s="56" t="s">
        <v>383</v>
      </c>
      <c r="AI82" s="56" t="s">
        <v>236</v>
      </c>
      <c r="AJ82" s="56" t="s">
        <v>64</v>
      </c>
      <c r="AK82" s="56" t="s">
        <v>64</v>
      </c>
      <c r="AL82" s="56" t="s">
        <v>1</v>
      </c>
      <c r="AM82" s="56" t="s">
        <v>65</v>
      </c>
      <c r="AN82" s="60"/>
      <c r="AO82" s="61"/>
    </row>
    <row r="83" spans="3:41" ht="14.25" customHeight="1">
      <c r="C83" s="55" t="str">
        <f>IF($X83=1,COUNTIF($C$10:C82,"&gt;0")+1,"")</f>
        <v/>
      </c>
      <c r="D83" s="56"/>
      <c r="E83" s="56" t="s">
        <v>229</v>
      </c>
      <c r="F83" s="57" t="s">
        <v>384</v>
      </c>
      <c r="G83" s="56" t="s">
        <v>378</v>
      </c>
      <c r="H83" s="56" t="s">
        <v>385</v>
      </c>
      <c r="I83" s="56" t="s">
        <v>386</v>
      </c>
      <c r="J83" s="56" t="s">
        <v>68</v>
      </c>
      <c r="K83" s="56" t="s">
        <v>59</v>
      </c>
      <c r="L83" s="58">
        <v>35321</v>
      </c>
      <c r="M83" s="56">
        <v>29</v>
      </c>
      <c r="N83" s="56" t="s">
        <v>387</v>
      </c>
      <c r="O83" s="58">
        <v>48678</v>
      </c>
      <c r="P83" s="56" t="s">
        <v>5</v>
      </c>
      <c r="Q83" s="56"/>
      <c r="R83" s="50">
        <v>45913</v>
      </c>
      <c r="S83" s="50">
        <v>45918</v>
      </c>
      <c r="T83" s="51">
        <f t="shared" si="1"/>
        <v>5</v>
      </c>
      <c r="U83" s="56">
        <v>1</v>
      </c>
      <c r="V83" s="56">
        <v>1</v>
      </c>
      <c r="W83" s="56">
        <v>0</v>
      </c>
      <c r="X83" s="56">
        <v>0</v>
      </c>
      <c r="Y83" s="56">
        <v>0</v>
      </c>
      <c r="Z83" s="56">
        <v>0</v>
      </c>
      <c r="AA83" s="56">
        <v>0</v>
      </c>
      <c r="AB83" s="56"/>
      <c r="AC83" s="58">
        <v>45913</v>
      </c>
      <c r="AD83" s="59">
        <v>0.80902777778101154</v>
      </c>
      <c r="AE83" s="56" t="s">
        <v>329</v>
      </c>
      <c r="AF83" s="58">
        <v>45918</v>
      </c>
      <c r="AG83" s="59">
        <v>0.77777777778101154</v>
      </c>
      <c r="AH83" s="56" t="s">
        <v>330</v>
      </c>
      <c r="AI83" s="56" t="s">
        <v>236</v>
      </c>
      <c r="AJ83" s="56" t="s">
        <v>64</v>
      </c>
      <c r="AK83" s="56" t="s">
        <v>64</v>
      </c>
      <c r="AL83" s="56" t="s">
        <v>1</v>
      </c>
      <c r="AM83" s="56" t="s">
        <v>65</v>
      </c>
      <c r="AN83" s="60" t="s">
        <v>331</v>
      </c>
      <c r="AO83" s="61"/>
    </row>
    <row r="84" spans="3:41" ht="14.25" customHeight="1">
      <c r="C84" s="55">
        <f>IF($X84=1,COUNTIF($C$10:C83,"&gt;0")+1,"")</f>
        <v>38</v>
      </c>
      <c r="D84" s="56">
        <v>462710755</v>
      </c>
      <c r="E84" s="56" t="s">
        <v>229</v>
      </c>
      <c r="F84" s="57" t="s">
        <v>388</v>
      </c>
      <c r="G84" s="56" t="s">
        <v>388</v>
      </c>
      <c r="H84" s="56" t="s">
        <v>389</v>
      </c>
      <c r="I84" s="56" t="s">
        <v>390</v>
      </c>
      <c r="J84" s="56" t="s">
        <v>58</v>
      </c>
      <c r="K84" s="56" t="s">
        <v>59</v>
      </c>
      <c r="L84" s="58">
        <v>22607</v>
      </c>
      <c r="M84" s="56">
        <v>63</v>
      </c>
      <c r="N84" s="56" t="s">
        <v>391</v>
      </c>
      <c r="O84" s="58">
        <v>44473</v>
      </c>
      <c r="P84" s="56" t="s">
        <v>4</v>
      </c>
      <c r="Q84" s="56"/>
      <c r="R84" s="50">
        <v>45913</v>
      </c>
      <c r="S84" s="50">
        <v>45918</v>
      </c>
      <c r="T84" s="51">
        <f t="shared" si="1"/>
        <v>5</v>
      </c>
      <c r="U84" s="56">
        <v>1</v>
      </c>
      <c r="V84" s="56">
        <v>1</v>
      </c>
      <c r="W84" s="56">
        <v>0</v>
      </c>
      <c r="X84" s="56">
        <v>1</v>
      </c>
      <c r="Y84" s="56">
        <v>0</v>
      </c>
      <c r="Z84" s="56">
        <v>1</v>
      </c>
      <c r="AA84" s="56">
        <v>0</v>
      </c>
      <c r="AB84" s="56"/>
      <c r="AC84" s="58">
        <v>45913</v>
      </c>
      <c r="AD84" s="59">
        <v>0.60069444444525288</v>
      </c>
      <c r="AE84" s="56" t="s">
        <v>392</v>
      </c>
      <c r="AF84" s="58">
        <v>45918</v>
      </c>
      <c r="AG84" s="59">
        <v>0.78472222221898846</v>
      </c>
      <c r="AH84" s="56" t="s">
        <v>393</v>
      </c>
      <c r="AI84" s="56" t="s">
        <v>236</v>
      </c>
      <c r="AJ84" s="56" t="s">
        <v>64</v>
      </c>
      <c r="AK84" s="56" t="s">
        <v>64</v>
      </c>
      <c r="AL84" s="56" t="s">
        <v>1</v>
      </c>
      <c r="AM84" s="56" t="s">
        <v>65</v>
      </c>
      <c r="AN84" s="60"/>
      <c r="AO84" s="61"/>
    </row>
    <row r="85" spans="3:41" ht="14.25" customHeight="1">
      <c r="C85" s="55" t="str">
        <f>IF($X85=1,COUNTIF($C$10:C84,"&gt;0")+1,"")</f>
        <v/>
      </c>
      <c r="D85" s="56"/>
      <c r="E85" s="56" t="s">
        <v>229</v>
      </c>
      <c r="F85" s="57" t="s">
        <v>394</v>
      </c>
      <c r="G85" s="56" t="s">
        <v>388</v>
      </c>
      <c r="H85" s="56" t="s">
        <v>395</v>
      </c>
      <c r="I85" s="56" t="s">
        <v>82</v>
      </c>
      <c r="J85" s="56" t="s">
        <v>68</v>
      </c>
      <c r="K85" s="56" t="s">
        <v>59</v>
      </c>
      <c r="L85" s="58">
        <v>31125</v>
      </c>
      <c r="M85" s="56">
        <v>40</v>
      </c>
      <c r="N85" s="56" t="s">
        <v>396</v>
      </c>
      <c r="O85" s="58">
        <v>46158</v>
      </c>
      <c r="P85" s="56" t="s">
        <v>4</v>
      </c>
      <c r="Q85" s="56"/>
      <c r="R85" s="50">
        <v>45913</v>
      </c>
      <c r="S85" s="50">
        <v>45918</v>
      </c>
      <c r="T85" s="51">
        <f t="shared" si="1"/>
        <v>5</v>
      </c>
      <c r="U85" s="56">
        <v>1</v>
      </c>
      <c r="V85" s="56">
        <v>1</v>
      </c>
      <c r="W85" s="56">
        <v>0</v>
      </c>
      <c r="X85" s="56">
        <v>0</v>
      </c>
      <c r="Y85" s="56">
        <v>0</v>
      </c>
      <c r="Z85" s="56">
        <v>0</v>
      </c>
      <c r="AA85" s="56">
        <v>0</v>
      </c>
      <c r="AB85" s="56"/>
      <c r="AC85" s="58">
        <v>45913</v>
      </c>
      <c r="AD85" s="59">
        <v>0.60069444444525288</v>
      </c>
      <c r="AE85" s="56" t="s">
        <v>392</v>
      </c>
      <c r="AF85" s="58">
        <v>45918</v>
      </c>
      <c r="AG85" s="59">
        <v>0.78472222221898846</v>
      </c>
      <c r="AH85" s="56" t="s">
        <v>393</v>
      </c>
      <c r="AI85" s="56" t="s">
        <v>236</v>
      </c>
      <c r="AJ85" s="56" t="s">
        <v>64</v>
      </c>
      <c r="AK85" s="56" t="s">
        <v>64</v>
      </c>
      <c r="AL85" s="56" t="s">
        <v>1</v>
      </c>
      <c r="AM85" s="56" t="s">
        <v>65</v>
      </c>
      <c r="AN85" s="60"/>
      <c r="AO85" s="61"/>
    </row>
    <row r="86" spans="3:41" ht="14.25" customHeight="1">
      <c r="C86" s="55">
        <f>IF($X86=1,COUNTIF($C$10:C85,"&gt;0")+1,"")</f>
        <v>39</v>
      </c>
      <c r="D86" s="56">
        <v>462710756</v>
      </c>
      <c r="E86" s="56" t="s">
        <v>229</v>
      </c>
      <c r="F86" s="57" t="s">
        <v>397</v>
      </c>
      <c r="G86" s="56" t="s">
        <v>397</v>
      </c>
      <c r="H86" s="56" t="s">
        <v>398</v>
      </c>
      <c r="I86" s="56" t="s">
        <v>399</v>
      </c>
      <c r="J86" s="56" t="s">
        <v>68</v>
      </c>
      <c r="K86" s="56" t="s">
        <v>59</v>
      </c>
      <c r="L86" s="58">
        <v>23865</v>
      </c>
      <c r="M86" s="56">
        <v>60</v>
      </c>
      <c r="N86" s="56" t="s">
        <v>400</v>
      </c>
      <c r="O86" s="58">
        <v>46144</v>
      </c>
      <c r="P86" s="56" t="s">
        <v>4</v>
      </c>
      <c r="Q86" s="56"/>
      <c r="R86" s="50">
        <v>45913</v>
      </c>
      <c r="S86" s="50">
        <v>45918</v>
      </c>
      <c r="T86" s="51">
        <f t="shared" si="1"/>
        <v>5</v>
      </c>
      <c r="U86" s="56">
        <v>1</v>
      </c>
      <c r="V86" s="56">
        <v>1</v>
      </c>
      <c r="W86" s="56">
        <v>0</v>
      </c>
      <c r="X86" s="56">
        <v>1</v>
      </c>
      <c r="Y86" s="56">
        <v>0</v>
      </c>
      <c r="Z86" s="56">
        <v>1</v>
      </c>
      <c r="AA86" s="56">
        <v>0</v>
      </c>
      <c r="AB86" s="56"/>
      <c r="AC86" s="58">
        <v>45913</v>
      </c>
      <c r="AD86" s="59">
        <v>0.60069444444525288</v>
      </c>
      <c r="AE86" s="56" t="s">
        <v>392</v>
      </c>
      <c r="AF86" s="58">
        <v>45918</v>
      </c>
      <c r="AG86" s="59">
        <v>0.78472222221898846</v>
      </c>
      <c r="AH86" s="56" t="s">
        <v>393</v>
      </c>
      <c r="AI86" s="56" t="s">
        <v>236</v>
      </c>
      <c r="AJ86" s="56" t="s">
        <v>64</v>
      </c>
      <c r="AK86" s="56" t="s">
        <v>64</v>
      </c>
      <c r="AL86" s="56" t="s">
        <v>1</v>
      </c>
      <c r="AM86" s="56" t="s">
        <v>65</v>
      </c>
      <c r="AN86" s="60"/>
      <c r="AO86" s="61"/>
    </row>
    <row r="87" spans="3:41" ht="14.25" customHeight="1">
      <c r="C87" s="55" t="str">
        <f>IF($X87=1,COUNTIF($C$10:C86,"&gt;0")+1,"")</f>
        <v/>
      </c>
      <c r="D87" s="56"/>
      <c r="E87" s="56" t="s">
        <v>229</v>
      </c>
      <c r="F87" s="57" t="s">
        <v>401</v>
      </c>
      <c r="G87" s="56" t="s">
        <v>397</v>
      </c>
      <c r="H87" s="56" t="s">
        <v>402</v>
      </c>
      <c r="I87" s="56" t="s">
        <v>390</v>
      </c>
      <c r="J87" s="56" t="s">
        <v>68</v>
      </c>
      <c r="K87" s="56" t="s">
        <v>59</v>
      </c>
      <c r="L87" s="58">
        <v>24206</v>
      </c>
      <c r="M87" s="56">
        <v>59</v>
      </c>
      <c r="N87" s="56" t="s">
        <v>403</v>
      </c>
      <c r="O87" s="58">
        <v>46996</v>
      </c>
      <c r="P87" s="56" t="s">
        <v>4</v>
      </c>
      <c r="Q87" s="56"/>
      <c r="R87" s="50">
        <v>45913</v>
      </c>
      <c r="S87" s="50">
        <v>45918</v>
      </c>
      <c r="T87" s="51">
        <f t="shared" si="1"/>
        <v>5</v>
      </c>
      <c r="U87" s="56">
        <v>1</v>
      </c>
      <c r="V87" s="56">
        <v>1</v>
      </c>
      <c r="W87" s="56">
        <v>0</v>
      </c>
      <c r="X87" s="56">
        <v>0</v>
      </c>
      <c r="Y87" s="56">
        <v>0</v>
      </c>
      <c r="Z87" s="56">
        <v>0</v>
      </c>
      <c r="AA87" s="56">
        <v>0</v>
      </c>
      <c r="AB87" s="56"/>
      <c r="AC87" s="58">
        <v>45913</v>
      </c>
      <c r="AD87" s="59">
        <v>0.60069444444525288</v>
      </c>
      <c r="AE87" s="56" t="s">
        <v>392</v>
      </c>
      <c r="AF87" s="58">
        <v>45918</v>
      </c>
      <c r="AG87" s="59">
        <v>0.78472222221898846</v>
      </c>
      <c r="AH87" s="56" t="s">
        <v>393</v>
      </c>
      <c r="AI87" s="56" t="s">
        <v>236</v>
      </c>
      <c r="AJ87" s="56" t="s">
        <v>64</v>
      </c>
      <c r="AK87" s="56" t="s">
        <v>64</v>
      </c>
      <c r="AL87" s="56" t="s">
        <v>1</v>
      </c>
      <c r="AM87" s="56" t="s">
        <v>65</v>
      </c>
      <c r="AN87" s="60"/>
      <c r="AO87" s="61"/>
    </row>
    <row r="88" spans="3:41" ht="14.25" customHeight="1">
      <c r="C88" s="55">
        <f>IF($X88=1,COUNTIF($C$10:C87,"&gt;0")+1,"")</f>
        <v>40</v>
      </c>
      <c r="D88" s="56">
        <v>462710757</v>
      </c>
      <c r="E88" s="56" t="s">
        <v>229</v>
      </c>
      <c r="F88" s="57" t="s">
        <v>404</v>
      </c>
      <c r="G88" s="56" t="s">
        <v>404</v>
      </c>
      <c r="H88" s="56" t="s">
        <v>405</v>
      </c>
      <c r="I88" s="56" t="s">
        <v>406</v>
      </c>
      <c r="J88" s="56" t="s">
        <v>58</v>
      </c>
      <c r="K88" s="56" t="s">
        <v>59</v>
      </c>
      <c r="L88" s="58">
        <v>22417</v>
      </c>
      <c r="M88" s="56">
        <v>64</v>
      </c>
      <c r="N88" s="56" t="s">
        <v>407</v>
      </c>
      <c r="O88" s="58">
        <v>48890</v>
      </c>
      <c r="P88" s="56" t="s">
        <v>4</v>
      </c>
      <c r="Q88" s="56"/>
      <c r="R88" s="50">
        <v>45913</v>
      </c>
      <c r="S88" s="50">
        <v>45918</v>
      </c>
      <c r="T88" s="51">
        <f t="shared" si="1"/>
        <v>5</v>
      </c>
      <c r="U88" s="56">
        <v>1</v>
      </c>
      <c r="V88" s="56">
        <v>1</v>
      </c>
      <c r="W88" s="56">
        <v>0</v>
      </c>
      <c r="X88" s="56">
        <v>1</v>
      </c>
      <c r="Y88" s="56">
        <v>0</v>
      </c>
      <c r="Z88" s="56">
        <v>1</v>
      </c>
      <c r="AA88" s="56">
        <v>0</v>
      </c>
      <c r="AB88" s="56"/>
      <c r="AC88" s="58">
        <v>45913</v>
      </c>
      <c r="AD88" s="59">
        <v>0.18055555555474712</v>
      </c>
      <c r="AE88" s="56" t="s">
        <v>408</v>
      </c>
      <c r="AF88" s="58">
        <v>45918</v>
      </c>
      <c r="AG88" s="59">
        <v>0.32638888889050577</v>
      </c>
      <c r="AH88" s="56" t="s">
        <v>409</v>
      </c>
      <c r="AI88" s="56" t="s">
        <v>236</v>
      </c>
      <c r="AJ88" s="56" t="s">
        <v>64</v>
      </c>
      <c r="AK88" s="56" t="s">
        <v>64</v>
      </c>
      <c r="AL88" s="56" t="s">
        <v>1</v>
      </c>
      <c r="AM88" s="56" t="s">
        <v>65</v>
      </c>
      <c r="AN88" s="60"/>
      <c r="AO88" s="61"/>
    </row>
    <row r="89" spans="3:41" ht="14.25" customHeight="1">
      <c r="C89" s="55" t="str">
        <f>IF($X89=1,COUNTIF($C$10:C88,"&gt;0")+1,"")</f>
        <v/>
      </c>
      <c r="D89" s="56"/>
      <c r="E89" s="56" t="s">
        <v>229</v>
      </c>
      <c r="F89" s="57" t="s">
        <v>410</v>
      </c>
      <c r="G89" s="56" t="s">
        <v>404</v>
      </c>
      <c r="H89" s="56" t="s">
        <v>411</v>
      </c>
      <c r="I89" s="56" t="s">
        <v>406</v>
      </c>
      <c r="J89" s="56" t="s">
        <v>68</v>
      </c>
      <c r="K89" s="56" t="s">
        <v>59</v>
      </c>
      <c r="L89" s="58">
        <v>23603</v>
      </c>
      <c r="M89" s="56">
        <v>61</v>
      </c>
      <c r="N89" s="56" t="s">
        <v>412</v>
      </c>
      <c r="O89" s="58">
        <v>46663</v>
      </c>
      <c r="P89" s="56" t="s">
        <v>4</v>
      </c>
      <c r="Q89" s="56"/>
      <c r="R89" s="50">
        <v>45913</v>
      </c>
      <c r="S89" s="50">
        <v>45918</v>
      </c>
      <c r="T89" s="51">
        <f t="shared" si="1"/>
        <v>5</v>
      </c>
      <c r="U89" s="56">
        <v>1</v>
      </c>
      <c r="V89" s="56">
        <v>1</v>
      </c>
      <c r="W89" s="56">
        <v>0</v>
      </c>
      <c r="X89" s="56">
        <v>0</v>
      </c>
      <c r="Y89" s="56">
        <v>0</v>
      </c>
      <c r="Z89" s="56">
        <v>0</v>
      </c>
      <c r="AA89" s="56">
        <v>0</v>
      </c>
      <c r="AB89" s="56"/>
      <c r="AC89" s="58">
        <v>45913</v>
      </c>
      <c r="AD89" s="59">
        <v>0.18055555555474712</v>
      </c>
      <c r="AE89" s="56" t="s">
        <v>408</v>
      </c>
      <c r="AF89" s="58">
        <v>45918</v>
      </c>
      <c r="AG89" s="59">
        <v>0.32638888889050577</v>
      </c>
      <c r="AH89" s="56" t="s">
        <v>409</v>
      </c>
      <c r="AI89" s="56" t="s">
        <v>236</v>
      </c>
      <c r="AJ89" s="56" t="s">
        <v>64</v>
      </c>
      <c r="AK89" s="56" t="s">
        <v>64</v>
      </c>
      <c r="AL89" s="56" t="s">
        <v>1</v>
      </c>
      <c r="AM89" s="56" t="s">
        <v>65</v>
      </c>
      <c r="AN89" s="60"/>
      <c r="AO89" s="61"/>
    </row>
    <row r="90" spans="3:41" ht="14.25" customHeight="1">
      <c r="C90" s="55">
        <f>IF($X90=1,COUNTIF($C$10:C89,"&gt;0")+1,"")</f>
        <v>41</v>
      </c>
      <c r="D90" s="56">
        <v>462710758</v>
      </c>
      <c r="E90" s="56" t="s">
        <v>229</v>
      </c>
      <c r="F90" s="57" t="s">
        <v>413</v>
      </c>
      <c r="G90" s="56" t="s">
        <v>413</v>
      </c>
      <c r="H90" s="56" t="s">
        <v>414</v>
      </c>
      <c r="I90" s="56" t="s">
        <v>415</v>
      </c>
      <c r="J90" s="56" t="s">
        <v>58</v>
      </c>
      <c r="K90" s="56" t="s">
        <v>59</v>
      </c>
      <c r="L90" s="58">
        <v>31747</v>
      </c>
      <c r="M90" s="56">
        <v>38</v>
      </c>
      <c r="N90" s="56" t="s">
        <v>416</v>
      </c>
      <c r="O90" s="58">
        <v>49484</v>
      </c>
      <c r="P90" s="56" t="s">
        <v>5</v>
      </c>
      <c r="Q90" s="56"/>
      <c r="R90" s="50">
        <v>45913</v>
      </c>
      <c r="S90" s="50">
        <v>45918</v>
      </c>
      <c r="T90" s="51">
        <f t="shared" si="1"/>
        <v>5</v>
      </c>
      <c r="U90" s="56">
        <v>1</v>
      </c>
      <c r="V90" s="56">
        <v>1</v>
      </c>
      <c r="W90" s="56">
        <v>0</v>
      </c>
      <c r="X90" s="56">
        <v>1</v>
      </c>
      <c r="Y90" s="56">
        <v>0</v>
      </c>
      <c r="Z90" s="56">
        <v>0</v>
      </c>
      <c r="AA90" s="56">
        <v>1</v>
      </c>
      <c r="AB90" s="56"/>
      <c r="AC90" s="58">
        <v>45913</v>
      </c>
      <c r="AD90" s="59">
        <v>0.18055555555474712</v>
      </c>
      <c r="AE90" s="56" t="s">
        <v>408</v>
      </c>
      <c r="AF90" s="58">
        <v>45918</v>
      </c>
      <c r="AG90" s="59">
        <v>0.32638888889050577</v>
      </c>
      <c r="AH90" s="56" t="s">
        <v>409</v>
      </c>
      <c r="AI90" s="56" t="s">
        <v>236</v>
      </c>
      <c r="AJ90" s="56" t="s">
        <v>64</v>
      </c>
      <c r="AK90" s="56" t="s">
        <v>64</v>
      </c>
      <c r="AL90" s="56" t="s">
        <v>1</v>
      </c>
      <c r="AM90" s="56" t="s">
        <v>65</v>
      </c>
      <c r="AN90" s="60"/>
      <c r="AO90" s="61"/>
    </row>
    <row r="91" spans="3:41" ht="14.25" customHeight="1">
      <c r="C91" s="55" t="str">
        <f>IF($X91=1,COUNTIF($C$10:C90,"&gt;0")+1,"")</f>
        <v/>
      </c>
      <c r="D91" s="56"/>
      <c r="E91" s="56" t="s">
        <v>229</v>
      </c>
      <c r="F91" s="57" t="s">
        <v>417</v>
      </c>
      <c r="G91" s="56" t="s">
        <v>413</v>
      </c>
      <c r="H91" s="56" t="s">
        <v>418</v>
      </c>
      <c r="I91" s="56" t="s">
        <v>419</v>
      </c>
      <c r="J91" s="56" t="s">
        <v>68</v>
      </c>
      <c r="K91" s="56" t="s">
        <v>59</v>
      </c>
      <c r="L91" s="58">
        <v>20466</v>
      </c>
      <c r="M91" s="56">
        <v>69</v>
      </c>
      <c r="N91" s="56" t="s">
        <v>420</v>
      </c>
      <c r="O91" s="58">
        <v>48174</v>
      </c>
      <c r="P91" s="56" t="s">
        <v>5</v>
      </c>
      <c r="Q91" s="56"/>
      <c r="R91" s="50">
        <v>45913</v>
      </c>
      <c r="S91" s="50">
        <v>45918</v>
      </c>
      <c r="T91" s="51">
        <f t="shared" si="1"/>
        <v>5</v>
      </c>
      <c r="U91" s="56">
        <v>1</v>
      </c>
      <c r="V91" s="56">
        <v>1</v>
      </c>
      <c r="W91" s="56">
        <v>0</v>
      </c>
      <c r="X91" s="56">
        <v>0</v>
      </c>
      <c r="Y91" s="56">
        <v>0</v>
      </c>
      <c r="Z91" s="56">
        <v>0</v>
      </c>
      <c r="AA91" s="56">
        <v>0</v>
      </c>
      <c r="AB91" s="56"/>
      <c r="AC91" s="58">
        <v>45913</v>
      </c>
      <c r="AD91" s="59">
        <v>0.18055555555474712</v>
      </c>
      <c r="AE91" s="56" t="s">
        <v>408</v>
      </c>
      <c r="AF91" s="58">
        <v>45918</v>
      </c>
      <c r="AG91" s="59">
        <v>0.32638888889050577</v>
      </c>
      <c r="AH91" s="56" t="s">
        <v>409</v>
      </c>
      <c r="AI91" s="56" t="s">
        <v>236</v>
      </c>
      <c r="AJ91" s="56" t="s">
        <v>64</v>
      </c>
      <c r="AK91" s="56" t="s">
        <v>64</v>
      </c>
      <c r="AL91" s="56" t="s">
        <v>1</v>
      </c>
      <c r="AM91" s="56" t="s">
        <v>65</v>
      </c>
      <c r="AN91" s="60"/>
      <c r="AO91" s="61"/>
    </row>
    <row r="92" spans="3:41" ht="14.25" customHeight="1">
      <c r="C92" s="55">
        <f>IF($X92=1,COUNTIF($C$10:C91,"&gt;0")+1,"")</f>
        <v>42</v>
      </c>
      <c r="D92" s="56">
        <v>462710759</v>
      </c>
      <c r="E92" s="56" t="s">
        <v>229</v>
      </c>
      <c r="F92" s="57" t="s">
        <v>421</v>
      </c>
      <c r="G92" s="56" t="s">
        <v>421</v>
      </c>
      <c r="H92" s="56" t="s">
        <v>422</v>
      </c>
      <c r="I92" s="56" t="s">
        <v>423</v>
      </c>
      <c r="J92" s="56" t="s">
        <v>68</v>
      </c>
      <c r="K92" s="56" t="s">
        <v>59</v>
      </c>
      <c r="L92" s="58">
        <v>23581</v>
      </c>
      <c r="M92" s="56">
        <v>61</v>
      </c>
      <c r="N92" s="56" t="s">
        <v>424</v>
      </c>
      <c r="O92" s="58">
        <v>47725</v>
      </c>
      <c r="P92" s="56" t="s">
        <v>4</v>
      </c>
      <c r="Q92" s="56"/>
      <c r="R92" s="50">
        <v>45913</v>
      </c>
      <c r="S92" s="50">
        <v>45918</v>
      </c>
      <c r="T92" s="51">
        <f t="shared" si="1"/>
        <v>5</v>
      </c>
      <c r="U92" s="56">
        <v>1</v>
      </c>
      <c r="V92" s="56">
        <v>1</v>
      </c>
      <c r="W92" s="56">
        <v>0</v>
      </c>
      <c r="X92" s="56">
        <v>1</v>
      </c>
      <c r="Y92" s="56">
        <v>0</v>
      </c>
      <c r="Z92" s="56">
        <v>1</v>
      </c>
      <c r="AA92" s="56">
        <v>0</v>
      </c>
      <c r="AB92" s="56"/>
      <c r="AC92" s="58">
        <v>45913</v>
      </c>
      <c r="AD92" s="59">
        <v>0.18055555555474712</v>
      </c>
      <c r="AE92" s="56" t="s">
        <v>408</v>
      </c>
      <c r="AF92" s="58">
        <v>45918</v>
      </c>
      <c r="AG92" s="59">
        <v>0.53125</v>
      </c>
      <c r="AH92" s="56" t="s">
        <v>269</v>
      </c>
      <c r="AI92" s="56" t="s">
        <v>236</v>
      </c>
      <c r="AJ92" s="56" t="s">
        <v>64</v>
      </c>
      <c r="AK92" s="56" t="s">
        <v>64</v>
      </c>
      <c r="AL92" s="56" t="s">
        <v>1</v>
      </c>
      <c r="AM92" s="56" t="s">
        <v>65</v>
      </c>
      <c r="AN92" s="60"/>
      <c r="AO92" s="61"/>
    </row>
    <row r="93" spans="3:41" ht="14.25" customHeight="1">
      <c r="C93" s="55" t="str">
        <f>IF($X93=1,COUNTIF($C$10:C92,"&gt;0")+1,"")</f>
        <v/>
      </c>
      <c r="D93" s="56"/>
      <c r="E93" s="56" t="s">
        <v>229</v>
      </c>
      <c r="F93" s="57" t="s">
        <v>425</v>
      </c>
      <c r="G93" s="56" t="s">
        <v>421</v>
      </c>
      <c r="H93" s="56" t="s">
        <v>426</v>
      </c>
      <c r="I93" s="56" t="s">
        <v>427</v>
      </c>
      <c r="J93" s="56" t="s">
        <v>68</v>
      </c>
      <c r="K93" s="56" t="s">
        <v>59</v>
      </c>
      <c r="L93" s="58">
        <v>21005</v>
      </c>
      <c r="M93" s="56">
        <v>68</v>
      </c>
      <c r="N93" s="56" t="s">
        <v>428</v>
      </c>
      <c r="O93" s="58">
        <v>48180</v>
      </c>
      <c r="P93" s="56" t="s">
        <v>4</v>
      </c>
      <c r="Q93" s="56"/>
      <c r="R93" s="50">
        <v>45913</v>
      </c>
      <c r="S93" s="50">
        <v>45918</v>
      </c>
      <c r="T93" s="51">
        <f t="shared" si="1"/>
        <v>5</v>
      </c>
      <c r="U93" s="56">
        <v>1</v>
      </c>
      <c r="V93" s="56">
        <v>1</v>
      </c>
      <c r="W93" s="56">
        <v>0</v>
      </c>
      <c r="X93" s="56">
        <v>0</v>
      </c>
      <c r="Y93" s="56">
        <v>0</v>
      </c>
      <c r="Z93" s="56">
        <v>0</v>
      </c>
      <c r="AA93" s="56">
        <v>0</v>
      </c>
      <c r="AB93" s="56"/>
      <c r="AC93" s="58">
        <v>45913</v>
      </c>
      <c r="AD93" s="59">
        <v>0.18055555555474712</v>
      </c>
      <c r="AE93" s="56" t="s">
        <v>408</v>
      </c>
      <c r="AF93" s="58">
        <v>45918</v>
      </c>
      <c r="AG93" s="59">
        <v>0.53125</v>
      </c>
      <c r="AH93" s="56" t="s">
        <v>269</v>
      </c>
      <c r="AI93" s="56" t="s">
        <v>236</v>
      </c>
      <c r="AJ93" s="56" t="s">
        <v>64</v>
      </c>
      <c r="AK93" s="56" t="s">
        <v>64</v>
      </c>
      <c r="AL93" s="56" t="s">
        <v>1</v>
      </c>
      <c r="AM93" s="56" t="s">
        <v>65</v>
      </c>
      <c r="AN93" s="60"/>
      <c r="AO93" s="61"/>
    </row>
    <row r="94" spans="3:41" ht="14.25" customHeight="1">
      <c r="C94" s="55">
        <f>IF($X94=1,COUNTIF($C$10:C93,"&gt;0")+1,"")</f>
        <v>43</v>
      </c>
      <c r="D94" s="56">
        <v>462710760</v>
      </c>
      <c r="E94" s="56" t="s">
        <v>229</v>
      </c>
      <c r="F94" s="57" t="s">
        <v>429</v>
      </c>
      <c r="G94" s="56" t="s">
        <v>429</v>
      </c>
      <c r="H94" s="56" t="s">
        <v>430</v>
      </c>
      <c r="I94" s="56" t="s">
        <v>431</v>
      </c>
      <c r="J94" s="56" t="s">
        <v>68</v>
      </c>
      <c r="K94" s="56" t="s">
        <v>59</v>
      </c>
      <c r="L94" s="58">
        <v>20988</v>
      </c>
      <c r="M94" s="56">
        <v>68</v>
      </c>
      <c r="N94" s="56" t="s">
        <v>432</v>
      </c>
      <c r="O94" s="58">
        <v>49175</v>
      </c>
      <c r="P94" s="56" t="s">
        <v>4</v>
      </c>
      <c r="Q94" s="56"/>
      <c r="R94" s="50">
        <v>45913</v>
      </c>
      <c r="S94" s="50">
        <v>45918</v>
      </c>
      <c r="T94" s="51">
        <f t="shared" si="1"/>
        <v>5</v>
      </c>
      <c r="U94" s="56">
        <v>1</v>
      </c>
      <c r="V94" s="56">
        <v>1</v>
      </c>
      <c r="W94" s="56">
        <v>0</v>
      </c>
      <c r="X94" s="56">
        <v>1</v>
      </c>
      <c r="Y94" s="56">
        <v>0</v>
      </c>
      <c r="Z94" s="56">
        <v>1</v>
      </c>
      <c r="AA94" s="56">
        <v>0</v>
      </c>
      <c r="AB94" s="56"/>
      <c r="AC94" s="58">
        <v>45913</v>
      </c>
      <c r="AD94" s="59">
        <v>0.58680555555474712</v>
      </c>
      <c r="AE94" s="56" t="s">
        <v>61</v>
      </c>
      <c r="AF94" s="58">
        <v>45918</v>
      </c>
      <c r="AG94" s="59">
        <v>0.32638888889050577</v>
      </c>
      <c r="AH94" s="56" t="s">
        <v>235</v>
      </c>
      <c r="AI94" s="56" t="s">
        <v>236</v>
      </c>
      <c r="AJ94" s="56" t="s">
        <v>64</v>
      </c>
      <c r="AK94" s="56" t="s">
        <v>64</v>
      </c>
      <c r="AL94" s="56" t="s">
        <v>1</v>
      </c>
      <c r="AM94" s="56" t="s">
        <v>65</v>
      </c>
      <c r="AN94" s="60"/>
      <c r="AO94" s="61"/>
    </row>
    <row r="95" spans="3:41" ht="14.25" customHeight="1">
      <c r="C95" s="55" t="str">
        <f>IF($X95=1,COUNTIF($C$10:C94,"&gt;0")+1,"")</f>
        <v/>
      </c>
      <c r="D95" s="56"/>
      <c r="E95" s="56" t="s">
        <v>229</v>
      </c>
      <c r="F95" s="57" t="s">
        <v>433</v>
      </c>
      <c r="G95" s="56" t="s">
        <v>429</v>
      </c>
      <c r="H95" s="56" t="s">
        <v>434</v>
      </c>
      <c r="I95" s="56" t="s">
        <v>431</v>
      </c>
      <c r="J95" s="56" t="s">
        <v>58</v>
      </c>
      <c r="K95" s="56" t="s">
        <v>59</v>
      </c>
      <c r="L95" s="58">
        <v>16999</v>
      </c>
      <c r="M95" s="56">
        <v>79</v>
      </c>
      <c r="N95" s="56" t="s">
        <v>435</v>
      </c>
      <c r="O95" s="58">
        <v>49209</v>
      </c>
      <c r="P95" s="56" t="s">
        <v>4</v>
      </c>
      <c r="Q95" s="56"/>
      <c r="R95" s="50">
        <v>45913</v>
      </c>
      <c r="S95" s="50">
        <v>45918</v>
      </c>
      <c r="T95" s="51">
        <f t="shared" si="1"/>
        <v>5</v>
      </c>
      <c r="U95" s="56">
        <v>1</v>
      </c>
      <c r="V95" s="56">
        <v>1</v>
      </c>
      <c r="W95" s="56">
        <v>0</v>
      </c>
      <c r="X95" s="56">
        <v>0</v>
      </c>
      <c r="Y95" s="56">
        <v>0</v>
      </c>
      <c r="Z95" s="56">
        <v>0</v>
      </c>
      <c r="AA95" s="56">
        <v>0</v>
      </c>
      <c r="AB95" s="56"/>
      <c r="AC95" s="58">
        <v>45913</v>
      </c>
      <c r="AD95" s="59">
        <v>0.58680555555474712</v>
      </c>
      <c r="AE95" s="56" t="s">
        <v>61</v>
      </c>
      <c r="AF95" s="58">
        <v>45918</v>
      </c>
      <c r="AG95" s="59">
        <v>0.32638888889050577</v>
      </c>
      <c r="AH95" s="56" t="s">
        <v>235</v>
      </c>
      <c r="AI95" s="56" t="s">
        <v>236</v>
      </c>
      <c r="AJ95" s="56" t="s">
        <v>64</v>
      </c>
      <c r="AK95" s="56" t="s">
        <v>64</v>
      </c>
      <c r="AL95" s="56" t="s">
        <v>1</v>
      </c>
      <c r="AM95" s="56" t="s">
        <v>65</v>
      </c>
      <c r="AN95" s="60"/>
      <c r="AO95" s="61"/>
    </row>
    <row r="96" spans="3:41" ht="14.25" customHeight="1">
      <c r="C96" s="55">
        <f>IF($X96=1,COUNTIF($C$10:C95,"&gt;0")+1,"")</f>
        <v>44</v>
      </c>
      <c r="D96" s="56">
        <v>462710761</v>
      </c>
      <c r="E96" s="56" t="s">
        <v>229</v>
      </c>
      <c r="F96" s="57" t="s">
        <v>436</v>
      </c>
      <c r="G96" s="56" t="s">
        <v>436</v>
      </c>
      <c r="H96" s="56" t="s">
        <v>437</v>
      </c>
      <c r="I96" s="56" t="s">
        <v>438</v>
      </c>
      <c r="J96" s="56" t="s">
        <v>68</v>
      </c>
      <c r="K96" s="56" t="s">
        <v>59</v>
      </c>
      <c r="L96" s="58">
        <v>24140</v>
      </c>
      <c r="M96" s="56">
        <v>59</v>
      </c>
      <c r="N96" s="56" t="s">
        <v>439</v>
      </c>
      <c r="O96" s="58">
        <v>48650</v>
      </c>
      <c r="P96" s="56" t="s">
        <v>4</v>
      </c>
      <c r="Q96" s="56"/>
      <c r="R96" s="50">
        <v>45913</v>
      </c>
      <c r="S96" s="50">
        <v>45918</v>
      </c>
      <c r="T96" s="51">
        <f t="shared" si="1"/>
        <v>5</v>
      </c>
      <c r="U96" s="56">
        <v>1</v>
      </c>
      <c r="V96" s="56">
        <v>1</v>
      </c>
      <c r="W96" s="56">
        <v>0</v>
      </c>
      <c r="X96" s="56">
        <v>1</v>
      </c>
      <c r="Y96" s="56">
        <v>0</v>
      </c>
      <c r="Z96" s="56">
        <v>1</v>
      </c>
      <c r="AA96" s="56">
        <v>0</v>
      </c>
      <c r="AB96" s="56"/>
      <c r="AC96" s="58">
        <v>45913</v>
      </c>
      <c r="AD96" s="59">
        <v>0.18055555555474712</v>
      </c>
      <c r="AE96" s="56" t="s">
        <v>95</v>
      </c>
      <c r="AF96" s="58">
        <v>45918</v>
      </c>
      <c r="AG96" s="59">
        <v>0.42013888889050577</v>
      </c>
      <c r="AH96" s="56" t="s">
        <v>440</v>
      </c>
      <c r="AI96" s="56" t="s">
        <v>236</v>
      </c>
      <c r="AJ96" s="56" t="s">
        <v>64</v>
      </c>
      <c r="AK96" s="56" t="s">
        <v>64</v>
      </c>
      <c r="AL96" s="56" t="s">
        <v>1</v>
      </c>
      <c r="AM96" s="56" t="s">
        <v>65</v>
      </c>
      <c r="AN96" s="60"/>
      <c r="AO96" s="61"/>
    </row>
    <row r="97" spans="3:41" ht="14.25" customHeight="1">
      <c r="C97" s="55" t="str">
        <f>IF($X97=1,COUNTIF($C$10:C96,"&gt;0")+1,"")</f>
        <v/>
      </c>
      <c r="D97" s="56"/>
      <c r="E97" s="56" t="s">
        <v>229</v>
      </c>
      <c r="F97" s="57" t="s">
        <v>441</v>
      </c>
      <c r="G97" s="56" t="s">
        <v>436</v>
      </c>
      <c r="H97" s="56" t="s">
        <v>442</v>
      </c>
      <c r="I97" s="56" t="s">
        <v>438</v>
      </c>
      <c r="J97" s="56" t="s">
        <v>58</v>
      </c>
      <c r="K97" s="56" t="s">
        <v>59</v>
      </c>
      <c r="L97" s="58">
        <v>23316</v>
      </c>
      <c r="M97" s="56">
        <v>61</v>
      </c>
      <c r="N97" s="56" t="s">
        <v>443</v>
      </c>
      <c r="O97" s="58">
        <v>49175</v>
      </c>
      <c r="P97" s="56" t="s">
        <v>4</v>
      </c>
      <c r="Q97" s="56"/>
      <c r="R97" s="50">
        <v>45913</v>
      </c>
      <c r="S97" s="50">
        <v>45918</v>
      </c>
      <c r="T97" s="51">
        <f t="shared" si="1"/>
        <v>5</v>
      </c>
      <c r="U97" s="56">
        <v>1</v>
      </c>
      <c r="V97" s="56">
        <v>1</v>
      </c>
      <c r="W97" s="56">
        <v>0</v>
      </c>
      <c r="X97" s="56">
        <v>0</v>
      </c>
      <c r="Y97" s="56">
        <v>0</v>
      </c>
      <c r="Z97" s="56">
        <v>0</v>
      </c>
      <c r="AA97" s="56">
        <v>0</v>
      </c>
      <c r="AB97" s="56"/>
      <c r="AC97" s="58">
        <v>45913</v>
      </c>
      <c r="AD97" s="59">
        <v>0.18055555555474712</v>
      </c>
      <c r="AE97" s="56" t="s">
        <v>95</v>
      </c>
      <c r="AF97" s="58">
        <v>45918</v>
      </c>
      <c r="AG97" s="59">
        <v>0.42013888889050577</v>
      </c>
      <c r="AH97" s="56" t="s">
        <v>440</v>
      </c>
      <c r="AI97" s="56" t="s">
        <v>236</v>
      </c>
      <c r="AJ97" s="56" t="s">
        <v>64</v>
      </c>
      <c r="AK97" s="56" t="s">
        <v>64</v>
      </c>
      <c r="AL97" s="56" t="s">
        <v>1</v>
      </c>
      <c r="AM97" s="56" t="s">
        <v>65</v>
      </c>
      <c r="AN97" s="60"/>
      <c r="AO97" s="61"/>
    </row>
    <row r="98" spans="3:41" ht="14.25" customHeight="1">
      <c r="C98" s="55">
        <f>IF($X98=1,COUNTIF($C$10:C97,"&gt;0")+1,"")</f>
        <v>45</v>
      </c>
      <c r="D98" s="56">
        <v>462710762</v>
      </c>
      <c r="E98" s="56" t="s">
        <v>229</v>
      </c>
      <c r="F98" s="57" t="s">
        <v>444</v>
      </c>
      <c r="G98" s="56" t="s">
        <v>444</v>
      </c>
      <c r="H98" s="56" t="s">
        <v>445</v>
      </c>
      <c r="I98" s="56" t="s">
        <v>446</v>
      </c>
      <c r="J98" s="56" t="s">
        <v>68</v>
      </c>
      <c r="K98" s="56" t="s">
        <v>59</v>
      </c>
      <c r="L98" s="58">
        <v>27342</v>
      </c>
      <c r="M98" s="56">
        <v>50</v>
      </c>
      <c r="N98" s="56" t="s">
        <v>447</v>
      </c>
      <c r="O98" s="58">
        <v>49196</v>
      </c>
      <c r="P98" s="56" t="s">
        <v>4</v>
      </c>
      <c r="Q98" s="56"/>
      <c r="R98" s="50">
        <v>45913</v>
      </c>
      <c r="S98" s="50">
        <v>45918</v>
      </c>
      <c r="T98" s="51">
        <f t="shared" si="1"/>
        <v>5</v>
      </c>
      <c r="U98" s="56">
        <v>1</v>
      </c>
      <c r="V98" s="56">
        <v>1</v>
      </c>
      <c r="W98" s="56">
        <v>0</v>
      </c>
      <c r="X98" s="56">
        <v>1</v>
      </c>
      <c r="Y98" s="56">
        <v>0</v>
      </c>
      <c r="Z98" s="56">
        <v>1</v>
      </c>
      <c r="AA98" s="56">
        <v>0</v>
      </c>
      <c r="AB98" s="56"/>
      <c r="AC98" s="58">
        <v>45913</v>
      </c>
      <c r="AD98" s="59">
        <v>0.18055555555474712</v>
      </c>
      <c r="AE98" s="56" t="s">
        <v>95</v>
      </c>
      <c r="AF98" s="58">
        <v>45918</v>
      </c>
      <c r="AG98" s="59">
        <v>0.4375</v>
      </c>
      <c r="AH98" s="56" t="s">
        <v>448</v>
      </c>
      <c r="AI98" s="56" t="s">
        <v>236</v>
      </c>
      <c r="AJ98" s="56" t="s">
        <v>64</v>
      </c>
      <c r="AK98" s="56" t="s">
        <v>64</v>
      </c>
      <c r="AL98" s="56" t="s">
        <v>1</v>
      </c>
      <c r="AM98" s="56" t="s">
        <v>65</v>
      </c>
      <c r="AN98" s="60"/>
      <c r="AO98" s="61"/>
    </row>
    <row r="99" spans="3:41" ht="14.25" customHeight="1">
      <c r="C99" s="55" t="str">
        <f>IF($X99=1,COUNTIF($C$10:C98,"&gt;0")+1,"")</f>
        <v/>
      </c>
      <c r="D99" s="56"/>
      <c r="E99" s="56" t="s">
        <v>229</v>
      </c>
      <c r="F99" s="57" t="s">
        <v>449</v>
      </c>
      <c r="G99" s="56" t="s">
        <v>444</v>
      </c>
      <c r="H99" s="56" t="s">
        <v>450</v>
      </c>
      <c r="I99" s="56" t="s">
        <v>451</v>
      </c>
      <c r="J99" s="56" t="s">
        <v>68</v>
      </c>
      <c r="K99" s="56" t="s">
        <v>59</v>
      </c>
      <c r="L99" s="58">
        <v>32197</v>
      </c>
      <c r="M99" s="56">
        <v>37</v>
      </c>
      <c r="N99" s="56" t="s">
        <v>452</v>
      </c>
      <c r="O99" s="58">
        <v>46369</v>
      </c>
      <c r="P99" s="56" t="s">
        <v>4</v>
      </c>
      <c r="Q99" s="56"/>
      <c r="R99" s="50">
        <v>45913</v>
      </c>
      <c r="S99" s="50">
        <v>45918</v>
      </c>
      <c r="T99" s="51">
        <f t="shared" si="1"/>
        <v>5</v>
      </c>
      <c r="U99" s="56">
        <v>1</v>
      </c>
      <c r="V99" s="56">
        <v>1</v>
      </c>
      <c r="W99" s="56">
        <v>0</v>
      </c>
      <c r="X99" s="56">
        <v>0</v>
      </c>
      <c r="Y99" s="56">
        <v>0</v>
      </c>
      <c r="Z99" s="56">
        <v>0</v>
      </c>
      <c r="AA99" s="56">
        <v>0</v>
      </c>
      <c r="AB99" s="56"/>
      <c r="AC99" s="58">
        <v>45913</v>
      </c>
      <c r="AD99" s="59">
        <v>0.18055555555474712</v>
      </c>
      <c r="AE99" s="56" t="s">
        <v>95</v>
      </c>
      <c r="AF99" s="58">
        <v>45918</v>
      </c>
      <c r="AG99" s="59">
        <v>0.47916666666424135</v>
      </c>
      <c r="AH99" s="56" t="s">
        <v>189</v>
      </c>
      <c r="AI99" s="56" t="s">
        <v>236</v>
      </c>
      <c r="AJ99" s="56" t="s">
        <v>64</v>
      </c>
      <c r="AK99" s="56" t="s">
        <v>64</v>
      </c>
      <c r="AL99" s="56" t="s">
        <v>1</v>
      </c>
      <c r="AM99" s="56" t="s">
        <v>65</v>
      </c>
      <c r="AN99" s="60"/>
      <c r="AO99" s="61"/>
    </row>
    <row r="100" spans="3:41" ht="14.25" customHeight="1">
      <c r="C100" s="55">
        <f>IF($X100=1,COUNTIF($C$10:C99,"&gt;0")+1,"")</f>
        <v>46</v>
      </c>
      <c r="D100" s="56">
        <v>462710763</v>
      </c>
      <c r="E100" s="56" t="s">
        <v>229</v>
      </c>
      <c r="F100" s="57" t="s">
        <v>453</v>
      </c>
      <c r="G100" s="56" t="s">
        <v>453</v>
      </c>
      <c r="H100" s="56" t="s">
        <v>454</v>
      </c>
      <c r="I100" s="56" t="s">
        <v>455</v>
      </c>
      <c r="J100" s="56" t="s">
        <v>68</v>
      </c>
      <c r="K100" s="56" t="s">
        <v>59</v>
      </c>
      <c r="L100" s="58">
        <v>25657</v>
      </c>
      <c r="M100" s="56">
        <v>55</v>
      </c>
      <c r="N100" s="56" t="s">
        <v>456</v>
      </c>
      <c r="O100" s="58">
        <v>48668</v>
      </c>
      <c r="P100" s="56" t="s">
        <v>3</v>
      </c>
      <c r="Q100" s="56"/>
      <c r="R100" s="50">
        <v>45913</v>
      </c>
      <c r="S100" s="50">
        <v>45918</v>
      </c>
      <c r="T100" s="51">
        <f t="shared" si="1"/>
        <v>5</v>
      </c>
      <c r="U100" s="56">
        <v>1</v>
      </c>
      <c r="V100" s="56">
        <v>1</v>
      </c>
      <c r="W100" s="56">
        <v>0</v>
      </c>
      <c r="X100" s="56">
        <v>1</v>
      </c>
      <c r="Y100" s="56">
        <v>1</v>
      </c>
      <c r="Z100" s="56">
        <v>0</v>
      </c>
      <c r="AA100" s="56">
        <v>0</v>
      </c>
      <c r="AB100" s="56"/>
      <c r="AC100" s="58">
        <v>45913</v>
      </c>
      <c r="AD100" s="59">
        <v>0.18055555555474712</v>
      </c>
      <c r="AE100" s="56" t="s">
        <v>95</v>
      </c>
      <c r="AF100" s="58">
        <v>45918</v>
      </c>
      <c r="AG100" s="59">
        <v>0.42013888889050577</v>
      </c>
      <c r="AH100" s="56" t="s">
        <v>440</v>
      </c>
      <c r="AI100" s="56" t="s">
        <v>236</v>
      </c>
      <c r="AJ100" s="56" t="s">
        <v>64</v>
      </c>
      <c r="AK100" s="56" t="s">
        <v>64</v>
      </c>
      <c r="AL100" s="56" t="s">
        <v>1</v>
      </c>
      <c r="AM100" s="56" t="s">
        <v>65</v>
      </c>
      <c r="AN100" s="60"/>
      <c r="AO100" s="61"/>
    </row>
    <row r="101" spans="3:41" ht="14.25" customHeight="1">
      <c r="C101" s="55">
        <f>IF($X101=1,COUNTIF($C$10:C100,"&gt;0")+1,"")</f>
        <v>47</v>
      </c>
      <c r="D101" s="56">
        <v>462710764</v>
      </c>
      <c r="E101" s="56" t="s">
        <v>229</v>
      </c>
      <c r="F101" s="57" t="s">
        <v>457</v>
      </c>
      <c r="G101" s="56" t="s">
        <v>457</v>
      </c>
      <c r="H101" s="56" t="s">
        <v>458</v>
      </c>
      <c r="I101" s="56" t="s">
        <v>459</v>
      </c>
      <c r="J101" s="56" t="s">
        <v>68</v>
      </c>
      <c r="K101" s="56" t="s">
        <v>460</v>
      </c>
      <c r="L101" s="58">
        <v>19195</v>
      </c>
      <c r="M101" s="56">
        <v>73</v>
      </c>
      <c r="N101" s="56" t="s">
        <v>461</v>
      </c>
      <c r="O101" s="58">
        <v>46537</v>
      </c>
      <c r="P101" s="56" t="s">
        <v>5</v>
      </c>
      <c r="Q101" s="56"/>
      <c r="R101" s="50">
        <v>45913</v>
      </c>
      <c r="S101" s="50">
        <v>45918</v>
      </c>
      <c r="T101" s="51">
        <f t="shared" si="1"/>
        <v>5</v>
      </c>
      <c r="U101" s="56">
        <v>1</v>
      </c>
      <c r="V101" s="56">
        <v>1</v>
      </c>
      <c r="W101" s="56">
        <v>0</v>
      </c>
      <c r="X101" s="56">
        <v>1</v>
      </c>
      <c r="Y101" s="56">
        <v>0</v>
      </c>
      <c r="Z101" s="56">
        <v>0</v>
      </c>
      <c r="AA101" s="56">
        <v>1</v>
      </c>
      <c r="AB101" s="56"/>
      <c r="AC101" s="58">
        <v>45913</v>
      </c>
      <c r="AD101" s="59">
        <v>0.78125</v>
      </c>
      <c r="AE101" s="56" t="s">
        <v>462</v>
      </c>
      <c r="AF101" s="58">
        <v>45918</v>
      </c>
      <c r="AG101" s="59">
        <v>0.86458333333575865</v>
      </c>
      <c r="AH101" s="56" t="s">
        <v>463</v>
      </c>
      <c r="AI101" s="56" t="s">
        <v>236</v>
      </c>
      <c r="AJ101" s="56" t="s">
        <v>64</v>
      </c>
      <c r="AK101" s="56" t="s">
        <v>64</v>
      </c>
      <c r="AL101" s="56" t="s">
        <v>1</v>
      </c>
      <c r="AM101" s="56" t="s">
        <v>65</v>
      </c>
      <c r="AN101" s="60" t="s">
        <v>331</v>
      </c>
      <c r="AO101" s="61"/>
    </row>
    <row r="102" spans="3:41" ht="14.25" customHeight="1">
      <c r="C102" s="55" t="str">
        <f>IF($X102=1,COUNTIF($C$10:C101,"&gt;0")+1,"")</f>
        <v/>
      </c>
      <c r="D102" s="56"/>
      <c r="E102" s="56" t="s">
        <v>229</v>
      </c>
      <c r="F102" s="57" t="s">
        <v>464</v>
      </c>
      <c r="G102" s="56" t="s">
        <v>457</v>
      </c>
      <c r="H102" s="56" t="s">
        <v>465</v>
      </c>
      <c r="I102" s="56" t="s">
        <v>466</v>
      </c>
      <c r="J102" s="56" t="s">
        <v>58</v>
      </c>
      <c r="K102" s="56" t="s">
        <v>460</v>
      </c>
      <c r="L102" s="58">
        <v>17771</v>
      </c>
      <c r="M102" s="56">
        <v>77</v>
      </c>
      <c r="N102" s="56" t="s">
        <v>467</v>
      </c>
      <c r="O102" s="58">
        <v>49079</v>
      </c>
      <c r="P102" s="56" t="s">
        <v>5</v>
      </c>
      <c r="Q102" s="56"/>
      <c r="R102" s="50">
        <v>45913</v>
      </c>
      <c r="S102" s="50">
        <v>45918</v>
      </c>
      <c r="T102" s="51">
        <f t="shared" si="1"/>
        <v>5</v>
      </c>
      <c r="U102" s="56">
        <v>1</v>
      </c>
      <c r="V102" s="56">
        <v>1</v>
      </c>
      <c r="W102" s="56">
        <v>0</v>
      </c>
      <c r="X102" s="56">
        <v>0</v>
      </c>
      <c r="Y102" s="56">
        <v>0</v>
      </c>
      <c r="Z102" s="56">
        <v>0</v>
      </c>
      <c r="AA102" s="56">
        <v>0</v>
      </c>
      <c r="AB102" s="56"/>
      <c r="AC102" s="58">
        <v>45913</v>
      </c>
      <c r="AD102" s="59">
        <v>0.78125</v>
      </c>
      <c r="AE102" s="56" t="s">
        <v>462</v>
      </c>
      <c r="AF102" s="58">
        <v>45918</v>
      </c>
      <c r="AG102" s="59">
        <v>0.86458333333575865</v>
      </c>
      <c r="AH102" s="56" t="s">
        <v>463</v>
      </c>
      <c r="AI102" s="56" t="s">
        <v>236</v>
      </c>
      <c r="AJ102" s="56" t="s">
        <v>64</v>
      </c>
      <c r="AK102" s="56" t="s">
        <v>64</v>
      </c>
      <c r="AL102" s="56" t="s">
        <v>1</v>
      </c>
      <c r="AM102" s="56" t="s">
        <v>65</v>
      </c>
      <c r="AN102" s="60" t="s">
        <v>331</v>
      </c>
      <c r="AO102" s="61"/>
    </row>
    <row r="103" spans="3:41" ht="14.25" customHeight="1">
      <c r="C103" s="55">
        <f>IF($X103=1,COUNTIF($C$10:C102,"&gt;0")+1,"")</f>
        <v>48</v>
      </c>
      <c r="D103" s="56">
        <v>462710765</v>
      </c>
      <c r="E103" s="56" t="s">
        <v>229</v>
      </c>
      <c r="F103" s="57" t="s">
        <v>468</v>
      </c>
      <c r="G103" s="56" t="s">
        <v>468</v>
      </c>
      <c r="H103" s="56" t="s">
        <v>469</v>
      </c>
      <c r="I103" s="56" t="s">
        <v>470</v>
      </c>
      <c r="J103" s="56" t="s">
        <v>58</v>
      </c>
      <c r="K103" s="56" t="s">
        <v>59</v>
      </c>
      <c r="L103" s="58">
        <v>18675</v>
      </c>
      <c r="M103" s="56">
        <v>74</v>
      </c>
      <c r="N103" s="56" t="s">
        <v>471</v>
      </c>
      <c r="O103" s="58">
        <v>48959</v>
      </c>
      <c r="P103" s="56" t="s">
        <v>4</v>
      </c>
      <c r="Q103" s="56"/>
      <c r="R103" s="50">
        <v>45913</v>
      </c>
      <c r="S103" s="50">
        <v>45918</v>
      </c>
      <c r="T103" s="51">
        <f t="shared" si="1"/>
        <v>5</v>
      </c>
      <c r="U103" s="56">
        <v>1</v>
      </c>
      <c r="V103" s="56">
        <v>1</v>
      </c>
      <c r="W103" s="56">
        <v>0</v>
      </c>
      <c r="X103" s="56">
        <v>1</v>
      </c>
      <c r="Y103" s="56">
        <v>0</v>
      </c>
      <c r="Z103" s="56">
        <v>1</v>
      </c>
      <c r="AA103" s="56">
        <v>0</v>
      </c>
      <c r="AB103" s="56"/>
      <c r="AC103" s="58">
        <v>45911</v>
      </c>
      <c r="AD103" s="59">
        <v>0.625</v>
      </c>
      <c r="AE103" s="56" t="s">
        <v>74</v>
      </c>
      <c r="AF103" s="58">
        <v>45918</v>
      </c>
      <c r="AG103" s="59">
        <v>0.47916666666424135</v>
      </c>
      <c r="AH103" s="56" t="s">
        <v>189</v>
      </c>
      <c r="AI103" s="56" t="s">
        <v>236</v>
      </c>
      <c r="AJ103" s="56" t="s">
        <v>64</v>
      </c>
      <c r="AK103" s="56" t="s">
        <v>64</v>
      </c>
      <c r="AL103" s="56" t="s">
        <v>1</v>
      </c>
      <c r="AM103" s="56" t="s">
        <v>65</v>
      </c>
      <c r="AN103" s="60"/>
      <c r="AO103" s="61"/>
    </row>
    <row r="104" spans="3:41" ht="14.25" customHeight="1">
      <c r="C104" s="55" t="str">
        <f>IF($X104=1,COUNTIF($C$10:C103,"&gt;0")+1,"")</f>
        <v/>
      </c>
      <c r="D104" s="56"/>
      <c r="E104" s="56" t="s">
        <v>229</v>
      </c>
      <c r="F104" s="57" t="s">
        <v>472</v>
      </c>
      <c r="G104" s="56" t="s">
        <v>468</v>
      </c>
      <c r="H104" s="56" t="s">
        <v>473</v>
      </c>
      <c r="I104" s="56" t="s">
        <v>474</v>
      </c>
      <c r="J104" s="56" t="s">
        <v>68</v>
      </c>
      <c r="K104" s="56" t="s">
        <v>59</v>
      </c>
      <c r="L104" s="58">
        <v>21319</v>
      </c>
      <c r="M104" s="56">
        <v>67</v>
      </c>
      <c r="N104" s="56" t="s">
        <v>475</v>
      </c>
      <c r="O104" s="58">
        <v>48959</v>
      </c>
      <c r="P104" s="56" t="s">
        <v>4</v>
      </c>
      <c r="Q104" s="56"/>
      <c r="R104" s="50">
        <v>45913</v>
      </c>
      <c r="S104" s="50">
        <v>45918</v>
      </c>
      <c r="T104" s="51">
        <f t="shared" si="1"/>
        <v>5</v>
      </c>
      <c r="U104" s="56">
        <v>1</v>
      </c>
      <c r="V104" s="56">
        <v>1</v>
      </c>
      <c r="W104" s="56">
        <v>0</v>
      </c>
      <c r="X104" s="56">
        <v>0</v>
      </c>
      <c r="Y104" s="56">
        <v>0</v>
      </c>
      <c r="Z104" s="56">
        <v>0</v>
      </c>
      <c r="AA104" s="56">
        <v>0</v>
      </c>
      <c r="AB104" s="56"/>
      <c r="AC104" s="58">
        <v>45911</v>
      </c>
      <c r="AD104" s="59">
        <v>0.625</v>
      </c>
      <c r="AE104" s="56" t="s">
        <v>74</v>
      </c>
      <c r="AF104" s="58">
        <v>45918</v>
      </c>
      <c r="AG104" s="59">
        <v>0.47916666666424135</v>
      </c>
      <c r="AH104" s="56" t="s">
        <v>189</v>
      </c>
      <c r="AI104" s="56" t="s">
        <v>236</v>
      </c>
      <c r="AJ104" s="56" t="s">
        <v>64</v>
      </c>
      <c r="AK104" s="56" t="s">
        <v>64</v>
      </c>
      <c r="AL104" s="56" t="s">
        <v>1</v>
      </c>
      <c r="AM104" s="56" t="s">
        <v>65</v>
      </c>
      <c r="AN104" s="60"/>
      <c r="AO104" s="61"/>
    </row>
    <row r="105" spans="3:41" ht="14.25" customHeight="1">
      <c r="C105" s="55">
        <f>IF($X105=1,COUNTIF($C$10:C104,"&gt;0")+1,"")</f>
        <v>49</v>
      </c>
      <c r="D105" s="56">
        <v>462710766</v>
      </c>
      <c r="E105" s="56" t="s">
        <v>229</v>
      </c>
      <c r="F105" s="57" t="s">
        <v>476</v>
      </c>
      <c r="G105" s="56" t="s">
        <v>476</v>
      </c>
      <c r="H105" s="56" t="s">
        <v>477</v>
      </c>
      <c r="I105" s="56" t="s">
        <v>478</v>
      </c>
      <c r="J105" s="56" t="s">
        <v>68</v>
      </c>
      <c r="K105" s="56" t="s">
        <v>59</v>
      </c>
      <c r="L105" s="58">
        <v>21570</v>
      </c>
      <c r="M105" s="56">
        <v>66</v>
      </c>
      <c r="N105" s="56" t="s">
        <v>479</v>
      </c>
      <c r="O105" s="58">
        <v>47293</v>
      </c>
      <c r="P105" s="56" t="s">
        <v>4</v>
      </c>
      <c r="Q105" s="56"/>
      <c r="R105" s="50">
        <v>45913</v>
      </c>
      <c r="S105" s="50">
        <v>45918</v>
      </c>
      <c r="T105" s="51">
        <f t="shared" si="1"/>
        <v>5</v>
      </c>
      <c r="U105" s="56">
        <v>1</v>
      </c>
      <c r="V105" s="56">
        <v>1</v>
      </c>
      <c r="W105" s="56">
        <v>0</v>
      </c>
      <c r="X105" s="56">
        <v>1</v>
      </c>
      <c r="Y105" s="56">
        <v>0</v>
      </c>
      <c r="Z105" s="56">
        <v>1</v>
      </c>
      <c r="AA105" s="56">
        <v>0</v>
      </c>
      <c r="AB105" s="56"/>
      <c r="AC105" s="58">
        <v>45913</v>
      </c>
      <c r="AD105" s="59">
        <v>0.6875</v>
      </c>
      <c r="AE105" s="56" t="s">
        <v>116</v>
      </c>
      <c r="AF105" s="58">
        <v>45918</v>
      </c>
      <c r="AG105" s="59">
        <v>0.37152777778101154</v>
      </c>
      <c r="AH105" s="56" t="s">
        <v>480</v>
      </c>
      <c r="AI105" s="56" t="s">
        <v>236</v>
      </c>
      <c r="AJ105" s="56" t="s">
        <v>64</v>
      </c>
      <c r="AK105" s="56" t="s">
        <v>64</v>
      </c>
      <c r="AL105" s="56" t="s">
        <v>1</v>
      </c>
      <c r="AM105" s="56" t="s">
        <v>65</v>
      </c>
      <c r="AN105" s="60"/>
      <c r="AO105" s="61"/>
    </row>
    <row r="106" spans="3:41" ht="14.25" customHeight="1">
      <c r="C106" s="55" t="str">
        <f>IF($X106=1,COUNTIF($C$10:C105,"&gt;0")+1,"")</f>
        <v/>
      </c>
      <c r="D106" s="56"/>
      <c r="E106" s="56" t="s">
        <v>229</v>
      </c>
      <c r="F106" s="57" t="s">
        <v>481</v>
      </c>
      <c r="G106" s="56" t="s">
        <v>476</v>
      </c>
      <c r="H106" s="56" t="s">
        <v>482</v>
      </c>
      <c r="I106" s="56" t="s">
        <v>478</v>
      </c>
      <c r="J106" s="56" t="s">
        <v>58</v>
      </c>
      <c r="K106" s="56" t="s">
        <v>59</v>
      </c>
      <c r="L106" s="58">
        <v>19997</v>
      </c>
      <c r="M106" s="56">
        <v>70</v>
      </c>
      <c r="N106" s="56" t="s">
        <v>483</v>
      </c>
      <c r="O106" s="58">
        <v>46946</v>
      </c>
      <c r="P106" s="56" t="s">
        <v>4</v>
      </c>
      <c r="Q106" s="56"/>
      <c r="R106" s="50">
        <v>45913</v>
      </c>
      <c r="S106" s="50">
        <v>45918</v>
      </c>
      <c r="T106" s="51">
        <f t="shared" si="1"/>
        <v>5</v>
      </c>
      <c r="U106" s="56">
        <v>1</v>
      </c>
      <c r="V106" s="56">
        <v>1</v>
      </c>
      <c r="W106" s="56">
        <v>0</v>
      </c>
      <c r="X106" s="56">
        <v>0</v>
      </c>
      <c r="Y106" s="56">
        <v>0</v>
      </c>
      <c r="Z106" s="56">
        <v>0</v>
      </c>
      <c r="AA106" s="56">
        <v>0</v>
      </c>
      <c r="AB106" s="56"/>
      <c r="AC106" s="58">
        <v>45913</v>
      </c>
      <c r="AD106" s="59">
        <v>0.6875</v>
      </c>
      <c r="AE106" s="56" t="s">
        <v>116</v>
      </c>
      <c r="AF106" s="58">
        <v>45918</v>
      </c>
      <c r="AG106" s="59">
        <v>0.37152777778101154</v>
      </c>
      <c r="AH106" s="56" t="s">
        <v>480</v>
      </c>
      <c r="AI106" s="56" t="s">
        <v>236</v>
      </c>
      <c r="AJ106" s="56" t="s">
        <v>64</v>
      </c>
      <c r="AK106" s="56" t="s">
        <v>64</v>
      </c>
      <c r="AL106" s="56" t="s">
        <v>1</v>
      </c>
      <c r="AM106" s="56" t="s">
        <v>65</v>
      </c>
      <c r="AN106" s="60"/>
      <c r="AO106" s="61"/>
    </row>
    <row r="107" spans="3:41" ht="14.25" customHeight="1">
      <c r="C107" s="55">
        <f>IF($X107=1,COUNTIF($C$10:C106,"&gt;0")+1,"")</f>
        <v>50</v>
      </c>
      <c r="D107" s="56">
        <v>462710767</v>
      </c>
      <c r="E107" s="56" t="s">
        <v>229</v>
      </c>
      <c r="F107" s="57" t="s">
        <v>484</v>
      </c>
      <c r="G107" s="56" t="s">
        <v>484</v>
      </c>
      <c r="H107" s="56" t="s">
        <v>485</v>
      </c>
      <c r="I107" s="56" t="s">
        <v>486</v>
      </c>
      <c r="J107" s="56" t="s">
        <v>68</v>
      </c>
      <c r="K107" s="56" t="s">
        <v>59</v>
      </c>
      <c r="L107" s="58">
        <v>18562</v>
      </c>
      <c r="M107" s="56">
        <v>74</v>
      </c>
      <c r="N107" s="56" t="s">
        <v>487</v>
      </c>
      <c r="O107" s="58">
        <v>48079</v>
      </c>
      <c r="P107" s="56" t="s">
        <v>4</v>
      </c>
      <c r="Q107" s="56"/>
      <c r="R107" s="50">
        <v>45913</v>
      </c>
      <c r="S107" s="50">
        <v>45918</v>
      </c>
      <c r="T107" s="51">
        <f t="shared" si="1"/>
        <v>5</v>
      </c>
      <c r="U107" s="56">
        <v>1</v>
      </c>
      <c r="V107" s="56">
        <v>1</v>
      </c>
      <c r="W107" s="56">
        <v>0</v>
      </c>
      <c r="X107" s="56">
        <v>1</v>
      </c>
      <c r="Y107" s="56">
        <v>0</v>
      </c>
      <c r="Z107" s="56">
        <v>1</v>
      </c>
      <c r="AA107" s="56">
        <v>0</v>
      </c>
      <c r="AB107" s="56"/>
      <c r="AC107" s="58">
        <v>45913</v>
      </c>
      <c r="AD107" s="59">
        <v>0.18055555555474712</v>
      </c>
      <c r="AE107" s="56" t="s">
        <v>408</v>
      </c>
      <c r="AF107" s="58">
        <v>45918</v>
      </c>
      <c r="AG107" s="59">
        <v>0.32638888889050577</v>
      </c>
      <c r="AH107" s="56" t="s">
        <v>409</v>
      </c>
      <c r="AI107" s="56" t="s">
        <v>236</v>
      </c>
      <c r="AJ107" s="56" t="s">
        <v>64</v>
      </c>
      <c r="AK107" s="56" t="s">
        <v>64</v>
      </c>
      <c r="AL107" s="56" t="s">
        <v>1</v>
      </c>
      <c r="AM107" s="56" t="s">
        <v>65</v>
      </c>
      <c r="AN107" s="60"/>
      <c r="AO107" s="61"/>
    </row>
    <row r="108" spans="3:41" ht="14.25" customHeight="1">
      <c r="C108" s="55" t="str">
        <f>IF($X108=1,COUNTIF($C$10:C107,"&gt;0")+1,"")</f>
        <v/>
      </c>
      <c r="D108" s="56"/>
      <c r="E108" s="56" t="s">
        <v>229</v>
      </c>
      <c r="F108" s="57" t="s">
        <v>488</v>
      </c>
      <c r="G108" s="56" t="s">
        <v>484</v>
      </c>
      <c r="H108" s="56" t="s">
        <v>489</v>
      </c>
      <c r="I108" s="56" t="s">
        <v>490</v>
      </c>
      <c r="J108" s="56" t="s">
        <v>58</v>
      </c>
      <c r="K108" s="56" t="s">
        <v>59</v>
      </c>
      <c r="L108" s="58">
        <v>21200</v>
      </c>
      <c r="M108" s="56">
        <v>67</v>
      </c>
      <c r="N108" s="56" t="s">
        <v>491</v>
      </c>
      <c r="O108" s="58">
        <v>46707</v>
      </c>
      <c r="P108" s="56" t="s">
        <v>4</v>
      </c>
      <c r="Q108" s="56"/>
      <c r="R108" s="50">
        <v>45913</v>
      </c>
      <c r="S108" s="50">
        <v>45918</v>
      </c>
      <c r="T108" s="51">
        <f t="shared" si="1"/>
        <v>5</v>
      </c>
      <c r="U108" s="56">
        <v>1</v>
      </c>
      <c r="V108" s="56">
        <v>1</v>
      </c>
      <c r="W108" s="56">
        <v>0</v>
      </c>
      <c r="X108" s="56">
        <v>0</v>
      </c>
      <c r="Y108" s="56">
        <v>0</v>
      </c>
      <c r="Z108" s="56">
        <v>0</v>
      </c>
      <c r="AA108" s="56">
        <v>0</v>
      </c>
      <c r="AB108" s="56"/>
      <c r="AC108" s="58">
        <v>45913</v>
      </c>
      <c r="AD108" s="59">
        <v>0.58680555555474712</v>
      </c>
      <c r="AE108" s="56" t="s">
        <v>61</v>
      </c>
      <c r="AF108" s="58">
        <v>45918</v>
      </c>
      <c r="AG108" s="59">
        <v>0.56944444444525288</v>
      </c>
      <c r="AH108" s="56" t="s">
        <v>492</v>
      </c>
      <c r="AI108" s="56" t="s">
        <v>236</v>
      </c>
      <c r="AJ108" s="56" t="s">
        <v>64</v>
      </c>
      <c r="AK108" s="56" t="s">
        <v>64</v>
      </c>
      <c r="AL108" s="56" t="s">
        <v>1</v>
      </c>
      <c r="AM108" s="56" t="s">
        <v>65</v>
      </c>
      <c r="AN108" s="60"/>
      <c r="AO108" s="61"/>
    </row>
    <row r="109" spans="3:41" ht="14.25" customHeight="1">
      <c r="C109" s="55">
        <f>IF($X109=1,COUNTIF($C$10:C108,"&gt;0")+1,"")</f>
        <v>51</v>
      </c>
      <c r="D109" s="56">
        <v>462710768</v>
      </c>
      <c r="E109" s="56" t="s">
        <v>229</v>
      </c>
      <c r="F109" s="57" t="s">
        <v>493</v>
      </c>
      <c r="G109" s="56" t="s">
        <v>493</v>
      </c>
      <c r="H109" s="56" t="s">
        <v>494</v>
      </c>
      <c r="I109" s="56" t="s">
        <v>495</v>
      </c>
      <c r="J109" s="56" t="s">
        <v>68</v>
      </c>
      <c r="K109" s="56" t="s">
        <v>59</v>
      </c>
      <c r="L109" s="58">
        <v>22630</v>
      </c>
      <c r="M109" s="56">
        <v>63</v>
      </c>
      <c r="N109" s="56" t="s">
        <v>496</v>
      </c>
      <c r="O109" s="58">
        <v>46465</v>
      </c>
      <c r="P109" s="56" t="s">
        <v>4</v>
      </c>
      <c r="Q109" s="56"/>
      <c r="R109" s="50">
        <v>45913</v>
      </c>
      <c r="S109" s="50">
        <v>45918</v>
      </c>
      <c r="T109" s="51">
        <f t="shared" si="1"/>
        <v>5</v>
      </c>
      <c r="U109" s="56">
        <v>1</v>
      </c>
      <c r="V109" s="56">
        <v>1</v>
      </c>
      <c r="W109" s="56">
        <v>0</v>
      </c>
      <c r="X109" s="56">
        <v>1</v>
      </c>
      <c r="Y109" s="56">
        <v>0</v>
      </c>
      <c r="Z109" s="56">
        <v>1</v>
      </c>
      <c r="AA109" s="56">
        <v>0</v>
      </c>
      <c r="AB109" s="56"/>
      <c r="AC109" s="58">
        <v>45913</v>
      </c>
      <c r="AD109" s="59">
        <v>0.64583333333575865</v>
      </c>
      <c r="AE109" s="56" t="s">
        <v>312</v>
      </c>
      <c r="AF109" s="58">
        <v>45918</v>
      </c>
      <c r="AG109" s="59">
        <v>0.37152777778101154</v>
      </c>
      <c r="AH109" s="56" t="s">
        <v>480</v>
      </c>
      <c r="AI109" s="56" t="s">
        <v>236</v>
      </c>
      <c r="AJ109" s="56" t="s">
        <v>64</v>
      </c>
      <c r="AK109" s="56" t="s">
        <v>64</v>
      </c>
      <c r="AL109" s="56" t="s">
        <v>1</v>
      </c>
      <c r="AM109" s="56" t="s">
        <v>65</v>
      </c>
      <c r="AN109" s="60"/>
      <c r="AO109" s="61"/>
    </row>
    <row r="110" spans="3:41" ht="14.25" customHeight="1">
      <c r="C110" s="55" t="str">
        <f>IF($X110=1,COUNTIF($C$10:C109,"&gt;0")+1,"")</f>
        <v/>
      </c>
      <c r="D110" s="56"/>
      <c r="E110" s="56" t="s">
        <v>229</v>
      </c>
      <c r="F110" s="57" t="s">
        <v>497</v>
      </c>
      <c r="G110" s="56" t="s">
        <v>493</v>
      </c>
      <c r="H110" s="56" t="s">
        <v>498</v>
      </c>
      <c r="I110" s="56" t="s">
        <v>495</v>
      </c>
      <c r="J110" s="56" t="s">
        <v>58</v>
      </c>
      <c r="K110" s="56" t="s">
        <v>59</v>
      </c>
      <c r="L110" s="58">
        <v>21450</v>
      </c>
      <c r="M110" s="56">
        <v>66</v>
      </c>
      <c r="N110" s="56" t="s">
        <v>499</v>
      </c>
      <c r="O110" s="58">
        <v>47316</v>
      </c>
      <c r="P110" s="56" t="s">
        <v>4</v>
      </c>
      <c r="Q110" s="56"/>
      <c r="R110" s="50">
        <v>45913</v>
      </c>
      <c r="S110" s="50">
        <v>45918</v>
      </c>
      <c r="T110" s="51">
        <f t="shared" si="1"/>
        <v>5</v>
      </c>
      <c r="U110" s="56">
        <v>1</v>
      </c>
      <c r="V110" s="56">
        <v>1</v>
      </c>
      <c r="W110" s="56">
        <v>0</v>
      </c>
      <c r="X110" s="56">
        <v>0</v>
      </c>
      <c r="Y110" s="56">
        <v>0</v>
      </c>
      <c r="Z110" s="56">
        <v>0</v>
      </c>
      <c r="AA110" s="56">
        <v>0</v>
      </c>
      <c r="AB110" s="56"/>
      <c r="AC110" s="58">
        <v>45913</v>
      </c>
      <c r="AD110" s="59">
        <v>0.64583333333575865</v>
      </c>
      <c r="AE110" s="56" t="s">
        <v>312</v>
      </c>
      <c r="AF110" s="58">
        <v>45918</v>
      </c>
      <c r="AG110" s="59">
        <v>0.37152777778101154</v>
      </c>
      <c r="AH110" s="56" t="s">
        <v>480</v>
      </c>
      <c r="AI110" s="56" t="s">
        <v>236</v>
      </c>
      <c r="AJ110" s="56" t="s">
        <v>64</v>
      </c>
      <c r="AK110" s="56" t="s">
        <v>64</v>
      </c>
      <c r="AL110" s="56" t="s">
        <v>1</v>
      </c>
      <c r="AM110" s="56" t="s">
        <v>65</v>
      </c>
      <c r="AN110" s="60"/>
      <c r="AO110" s="61"/>
    </row>
    <row r="111" spans="3:41" ht="14.25" customHeight="1">
      <c r="C111" s="55">
        <f>IF($X111=1,COUNTIF($C$10:C110,"&gt;0")+1,"")</f>
        <v>52</v>
      </c>
      <c r="D111" s="56">
        <v>462710769</v>
      </c>
      <c r="E111" s="56" t="s">
        <v>229</v>
      </c>
      <c r="F111" s="57" t="s">
        <v>500</v>
      </c>
      <c r="G111" s="56" t="s">
        <v>500</v>
      </c>
      <c r="H111" s="62" t="s">
        <v>501</v>
      </c>
      <c r="I111" s="62" t="s">
        <v>502</v>
      </c>
      <c r="J111" s="62" t="s">
        <v>68</v>
      </c>
      <c r="K111" s="62" t="s">
        <v>460</v>
      </c>
      <c r="L111" s="63">
        <v>23163</v>
      </c>
      <c r="M111" s="62">
        <v>62</v>
      </c>
      <c r="N111" s="62" t="s">
        <v>503</v>
      </c>
      <c r="O111" s="63">
        <v>49235</v>
      </c>
      <c r="P111" s="62" t="s">
        <v>4</v>
      </c>
      <c r="Q111" s="56"/>
      <c r="R111" s="50">
        <v>45913</v>
      </c>
      <c r="S111" s="50">
        <v>45918</v>
      </c>
      <c r="T111" s="51">
        <f t="shared" si="1"/>
        <v>5</v>
      </c>
      <c r="U111" s="56">
        <v>1</v>
      </c>
      <c r="V111" s="56">
        <v>1</v>
      </c>
      <c r="W111" s="56">
        <v>0</v>
      </c>
      <c r="X111" s="62">
        <v>1</v>
      </c>
      <c r="Y111" s="62">
        <v>0</v>
      </c>
      <c r="Z111" s="62">
        <v>1</v>
      </c>
      <c r="AA111" s="62">
        <v>0</v>
      </c>
      <c r="AB111" s="56"/>
      <c r="AC111" s="58">
        <v>45913</v>
      </c>
      <c r="AD111" s="59">
        <v>0.78125</v>
      </c>
      <c r="AE111" s="56" t="s">
        <v>462</v>
      </c>
      <c r="AF111" s="58">
        <v>45918</v>
      </c>
      <c r="AG111" s="59">
        <v>0.86458333333575865</v>
      </c>
      <c r="AH111" s="56" t="s">
        <v>463</v>
      </c>
      <c r="AI111" s="56" t="s">
        <v>236</v>
      </c>
      <c r="AJ111" s="56" t="s">
        <v>64</v>
      </c>
      <c r="AK111" s="56" t="s">
        <v>64</v>
      </c>
      <c r="AL111" s="56" t="s">
        <v>1</v>
      </c>
      <c r="AM111" s="56" t="s">
        <v>65</v>
      </c>
      <c r="AN111" s="60" t="s">
        <v>331</v>
      </c>
      <c r="AO111" s="64" t="s">
        <v>504</v>
      </c>
    </row>
    <row r="112" spans="3:41" ht="14.25" customHeight="1">
      <c r="C112" s="55" t="str">
        <f>IF($X112=1,COUNTIF($C$10:C111,"&gt;0")+1,"")</f>
        <v/>
      </c>
      <c r="D112" s="56"/>
      <c r="E112" s="56" t="s">
        <v>229</v>
      </c>
      <c r="F112" s="57" t="s">
        <v>505</v>
      </c>
      <c r="G112" s="56" t="s">
        <v>500</v>
      </c>
      <c r="H112" s="62" t="s">
        <v>506</v>
      </c>
      <c r="I112" s="62" t="s">
        <v>507</v>
      </c>
      <c r="J112" s="62" t="s">
        <v>68</v>
      </c>
      <c r="K112" s="62" t="s">
        <v>460</v>
      </c>
      <c r="L112" s="63">
        <v>32031</v>
      </c>
      <c r="M112" s="62">
        <v>38</v>
      </c>
      <c r="N112" s="62" t="s">
        <v>508</v>
      </c>
      <c r="O112" s="63">
        <v>48653</v>
      </c>
      <c r="P112" s="62" t="s">
        <v>4</v>
      </c>
      <c r="Q112" s="56"/>
      <c r="R112" s="50">
        <v>45913</v>
      </c>
      <c r="S112" s="50">
        <v>45918</v>
      </c>
      <c r="T112" s="51">
        <f t="shared" si="1"/>
        <v>5</v>
      </c>
      <c r="U112" s="56">
        <v>1</v>
      </c>
      <c r="V112" s="56">
        <v>1</v>
      </c>
      <c r="W112" s="56">
        <v>0</v>
      </c>
      <c r="X112" s="62">
        <v>0</v>
      </c>
      <c r="Y112" s="62">
        <v>0</v>
      </c>
      <c r="Z112" s="62">
        <v>0</v>
      </c>
      <c r="AA112" s="62">
        <v>0</v>
      </c>
      <c r="AB112" s="56"/>
      <c r="AC112" s="58">
        <v>45913</v>
      </c>
      <c r="AD112" s="59">
        <v>0.78125</v>
      </c>
      <c r="AE112" s="56" t="s">
        <v>462</v>
      </c>
      <c r="AF112" s="58">
        <v>45918</v>
      </c>
      <c r="AG112" s="59">
        <v>0.86458333333575865</v>
      </c>
      <c r="AH112" s="56" t="s">
        <v>463</v>
      </c>
      <c r="AI112" s="56" t="s">
        <v>236</v>
      </c>
      <c r="AJ112" s="56" t="s">
        <v>64</v>
      </c>
      <c r="AK112" s="56" t="s">
        <v>64</v>
      </c>
      <c r="AL112" s="56" t="s">
        <v>1</v>
      </c>
      <c r="AM112" s="56" t="s">
        <v>65</v>
      </c>
      <c r="AN112" s="60" t="s">
        <v>331</v>
      </c>
      <c r="AO112" s="64" t="s">
        <v>504</v>
      </c>
    </row>
    <row r="113" spans="3:41" ht="14.25" customHeight="1">
      <c r="C113" s="55">
        <f>IF($X113=1,COUNTIF($C$10:C112,"&gt;0")+1,"")</f>
        <v>53</v>
      </c>
      <c r="D113" s="56">
        <v>462710770</v>
      </c>
      <c r="E113" s="56" t="s">
        <v>229</v>
      </c>
      <c r="F113" s="57" t="s">
        <v>509</v>
      </c>
      <c r="G113" s="56" t="s">
        <v>509</v>
      </c>
      <c r="H113" s="62" t="s">
        <v>510</v>
      </c>
      <c r="I113" s="62" t="s">
        <v>511</v>
      </c>
      <c r="J113" s="62" t="s">
        <v>68</v>
      </c>
      <c r="K113" s="62" t="s">
        <v>460</v>
      </c>
      <c r="L113" s="63">
        <v>20140</v>
      </c>
      <c r="M113" s="62">
        <v>70</v>
      </c>
      <c r="N113" s="62" t="s">
        <v>512</v>
      </c>
      <c r="O113" s="63">
        <v>46862</v>
      </c>
      <c r="P113" s="62" t="s">
        <v>4</v>
      </c>
      <c r="Q113" s="56"/>
      <c r="R113" s="50">
        <v>45913</v>
      </c>
      <c r="S113" s="50">
        <v>45918</v>
      </c>
      <c r="T113" s="51">
        <f t="shared" si="1"/>
        <v>5</v>
      </c>
      <c r="U113" s="56">
        <v>1</v>
      </c>
      <c r="V113" s="56">
        <v>1</v>
      </c>
      <c r="W113" s="56">
        <v>0</v>
      </c>
      <c r="X113" s="62">
        <v>1</v>
      </c>
      <c r="Y113" s="62">
        <v>0</v>
      </c>
      <c r="Z113" s="62">
        <v>1</v>
      </c>
      <c r="AA113" s="62">
        <v>0</v>
      </c>
      <c r="AB113" s="56"/>
      <c r="AC113" s="58">
        <v>45913</v>
      </c>
      <c r="AD113" s="59">
        <v>0.78125</v>
      </c>
      <c r="AE113" s="56" t="s">
        <v>462</v>
      </c>
      <c r="AF113" s="58">
        <v>45918</v>
      </c>
      <c r="AG113" s="59">
        <v>0.86458333333575865</v>
      </c>
      <c r="AH113" s="56" t="s">
        <v>463</v>
      </c>
      <c r="AI113" s="56" t="s">
        <v>236</v>
      </c>
      <c r="AJ113" s="56" t="s">
        <v>64</v>
      </c>
      <c r="AK113" s="56" t="s">
        <v>64</v>
      </c>
      <c r="AL113" s="56" t="s">
        <v>1</v>
      </c>
      <c r="AM113" s="56" t="s">
        <v>65</v>
      </c>
      <c r="AN113" s="60" t="s">
        <v>331</v>
      </c>
      <c r="AO113" s="64" t="s">
        <v>504</v>
      </c>
    </row>
    <row r="114" spans="3:41" ht="14.25" customHeight="1">
      <c r="C114" s="55" t="str">
        <f>IF($X114=1,COUNTIF($C$10:C113,"&gt;0")+1,"")</f>
        <v/>
      </c>
      <c r="D114" s="56"/>
      <c r="E114" s="56" t="s">
        <v>229</v>
      </c>
      <c r="F114" s="57" t="s">
        <v>513</v>
      </c>
      <c r="G114" s="56" t="s">
        <v>509</v>
      </c>
      <c r="H114" s="62" t="s">
        <v>514</v>
      </c>
      <c r="I114" s="62" t="s">
        <v>515</v>
      </c>
      <c r="J114" s="62" t="s">
        <v>68</v>
      </c>
      <c r="K114" s="62" t="s">
        <v>460</v>
      </c>
      <c r="L114" s="63">
        <v>24672</v>
      </c>
      <c r="M114" s="62">
        <v>58</v>
      </c>
      <c r="N114" s="62" t="s">
        <v>516</v>
      </c>
      <c r="O114" s="63">
        <v>49494</v>
      </c>
      <c r="P114" s="62" t="s">
        <v>4</v>
      </c>
      <c r="Q114" s="56"/>
      <c r="R114" s="50">
        <v>45913</v>
      </c>
      <c r="S114" s="50">
        <v>45918</v>
      </c>
      <c r="T114" s="51">
        <f t="shared" si="1"/>
        <v>5</v>
      </c>
      <c r="U114" s="56">
        <v>1</v>
      </c>
      <c r="V114" s="56">
        <v>1</v>
      </c>
      <c r="W114" s="56">
        <v>0</v>
      </c>
      <c r="X114" s="62">
        <v>0</v>
      </c>
      <c r="Y114" s="62">
        <v>0</v>
      </c>
      <c r="Z114" s="62">
        <v>0</v>
      </c>
      <c r="AA114" s="62">
        <v>0</v>
      </c>
      <c r="AB114" s="56"/>
      <c r="AC114" s="58">
        <v>45913</v>
      </c>
      <c r="AD114" s="59">
        <v>0.78125</v>
      </c>
      <c r="AE114" s="56" t="s">
        <v>462</v>
      </c>
      <c r="AF114" s="58">
        <v>45918</v>
      </c>
      <c r="AG114" s="59">
        <v>0.86458333333575865</v>
      </c>
      <c r="AH114" s="56" t="s">
        <v>463</v>
      </c>
      <c r="AI114" s="56" t="s">
        <v>236</v>
      </c>
      <c r="AJ114" s="56" t="s">
        <v>64</v>
      </c>
      <c r="AK114" s="56" t="s">
        <v>64</v>
      </c>
      <c r="AL114" s="56" t="s">
        <v>1</v>
      </c>
      <c r="AM114" s="56" t="s">
        <v>65</v>
      </c>
      <c r="AN114" s="60" t="s">
        <v>331</v>
      </c>
      <c r="AO114" s="64" t="s">
        <v>504</v>
      </c>
    </row>
    <row r="115" spans="3:41" ht="14.25" customHeight="1">
      <c r="C115" s="55">
        <f>IF($X115=1,COUNTIF($C$10:C114,"&gt;0")+1,"")</f>
        <v>54</v>
      </c>
      <c r="D115" s="56">
        <v>462710771</v>
      </c>
      <c r="E115" s="56" t="s">
        <v>229</v>
      </c>
      <c r="F115" s="57" t="s">
        <v>517</v>
      </c>
      <c r="G115" s="56" t="s">
        <v>517</v>
      </c>
      <c r="H115" s="56" t="s">
        <v>518</v>
      </c>
      <c r="I115" s="56" t="s">
        <v>519</v>
      </c>
      <c r="J115" s="56" t="s">
        <v>68</v>
      </c>
      <c r="K115" s="56" t="s">
        <v>460</v>
      </c>
      <c r="L115" s="58">
        <v>22644</v>
      </c>
      <c r="M115" s="56">
        <v>63</v>
      </c>
      <c r="N115" s="56" t="s">
        <v>520</v>
      </c>
      <c r="O115" s="58">
        <v>46467</v>
      </c>
      <c r="P115" s="56" t="s">
        <v>4</v>
      </c>
      <c r="Q115" s="56"/>
      <c r="R115" s="50">
        <v>45913</v>
      </c>
      <c r="S115" s="50">
        <v>45918</v>
      </c>
      <c r="T115" s="51">
        <f t="shared" si="1"/>
        <v>5</v>
      </c>
      <c r="U115" s="56">
        <v>1</v>
      </c>
      <c r="V115" s="56">
        <v>1</v>
      </c>
      <c r="W115" s="56">
        <v>0</v>
      </c>
      <c r="X115" s="56">
        <v>1</v>
      </c>
      <c r="Y115" s="56">
        <v>0</v>
      </c>
      <c r="Z115" s="56">
        <v>1</v>
      </c>
      <c r="AA115" s="56">
        <v>0</v>
      </c>
      <c r="AB115" s="56"/>
      <c r="AC115" s="58">
        <v>45913</v>
      </c>
      <c r="AD115" s="59">
        <v>0.78125</v>
      </c>
      <c r="AE115" s="56" t="s">
        <v>462</v>
      </c>
      <c r="AF115" s="58">
        <v>45918</v>
      </c>
      <c r="AG115" s="59">
        <v>0.86458333333575865</v>
      </c>
      <c r="AH115" s="56" t="s">
        <v>463</v>
      </c>
      <c r="AI115" s="56" t="s">
        <v>236</v>
      </c>
      <c r="AJ115" s="56" t="s">
        <v>64</v>
      </c>
      <c r="AK115" s="56" t="s">
        <v>64</v>
      </c>
      <c r="AL115" s="56" t="s">
        <v>1</v>
      </c>
      <c r="AM115" s="56" t="s">
        <v>65</v>
      </c>
      <c r="AN115" s="60" t="s">
        <v>331</v>
      </c>
      <c r="AO115" s="61"/>
    </row>
    <row r="116" spans="3:41" ht="14.25" customHeight="1">
      <c r="C116" s="55" t="str">
        <f>IF($X116=1,COUNTIF($C$10:C115,"&gt;0")+1,"")</f>
        <v/>
      </c>
      <c r="D116" s="56"/>
      <c r="E116" s="56" t="s">
        <v>229</v>
      </c>
      <c r="F116" s="57" t="s">
        <v>521</v>
      </c>
      <c r="G116" s="56" t="s">
        <v>517</v>
      </c>
      <c r="H116" s="56" t="s">
        <v>522</v>
      </c>
      <c r="I116" s="56" t="s">
        <v>523</v>
      </c>
      <c r="J116" s="56" t="s">
        <v>58</v>
      </c>
      <c r="K116" s="56" t="s">
        <v>460</v>
      </c>
      <c r="L116" s="58">
        <v>21317</v>
      </c>
      <c r="M116" s="56">
        <v>67</v>
      </c>
      <c r="N116" s="56" t="s">
        <v>524</v>
      </c>
      <c r="O116" s="58">
        <v>46169</v>
      </c>
      <c r="P116" s="56" t="s">
        <v>4</v>
      </c>
      <c r="Q116" s="56"/>
      <c r="R116" s="50">
        <v>45913</v>
      </c>
      <c r="S116" s="50">
        <v>45918</v>
      </c>
      <c r="T116" s="51">
        <f t="shared" si="1"/>
        <v>5</v>
      </c>
      <c r="U116" s="56">
        <v>1</v>
      </c>
      <c r="V116" s="56">
        <v>1</v>
      </c>
      <c r="W116" s="56">
        <v>0</v>
      </c>
      <c r="X116" s="56">
        <v>0</v>
      </c>
      <c r="Y116" s="56">
        <v>0</v>
      </c>
      <c r="Z116" s="56">
        <v>0</v>
      </c>
      <c r="AA116" s="56">
        <v>0</v>
      </c>
      <c r="AB116" s="56"/>
      <c r="AC116" s="58">
        <v>45913</v>
      </c>
      <c r="AD116" s="59">
        <v>0.78125</v>
      </c>
      <c r="AE116" s="56" t="s">
        <v>462</v>
      </c>
      <c r="AF116" s="58">
        <v>45918</v>
      </c>
      <c r="AG116" s="59">
        <v>0.86458333333575865</v>
      </c>
      <c r="AH116" s="56" t="s">
        <v>463</v>
      </c>
      <c r="AI116" s="56" t="s">
        <v>236</v>
      </c>
      <c r="AJ116" s="56" t="s">
        <v>64</v>
      </c>
      <c r="AK116" s="56" t="s">
        <v>64</v>
      </c>
      <c r="AL116" s="56" t="s">
        <v>1</v>
      </c>
      <c r="AM116" s="56" t="s">
        <v>65</v>
      </c>
      <c r="AN116" s="60" t="s">
        <v>331</v>
      </c>
      <c r="AO116" s="61"/>
    </row>
    <row r="117" spans="3:41" ht="14.25" customHeight="1">
      <c r="C117" s="55">
        <f>IF($X117=1,COUNTIF($C$10:C116,"&gt;0")+1,"")</f>
        <v>55</v>
      </c>
      <c r="D117" s="56">
        <v>462710772</v>
      </c>
      <c r="E117" s="56" t="s">
        <v>229</v>
      </c>
      <c r="F117" s="57" t="s">
        <v>525</v>
      </c>
      <c r="G117" s="56" t="s">
        <v>525</v>
      </c>
      <c r="H117" s="62" t="s">
        <v>526</v>
      </c>
      <c r="I117" s="62" t="s">
        <v>527</v>
      </c>
      <c r="J117" s="62" t="s">
        <v>68</v>
      </c>
      <c r="K117" s="62" t="s">
        <v>460</v>
      </c>
      <c r="L117" s="63">
        <v>21984</v>
      </c>
      <c r="M117" s="62">
        <v>65</v>
      </c>
      <c r="N117" s="62" t="s">
        <v>528</v>
      </c>
      <c r="O117" s="63">
        <v>46501</v>
      </c>
      <c r="P117" s="62" t="s">
        <v>4</v>
      </c>
      <c r="Q117" s="56"/>
      <c r="R117" s="50">
        <v>45913</v>
      </c>
      <c r="S117" s="50">
        <v>45918</v>
      </c>
      <c r="T117" s="51">
        <f t="shared" si="1"/>
        <v>5</v>
      </c>
      <c r="U117" s="56">
        <v>1</v>
      </c>
      <c r="V117" s="56">
        <v>1</v>
      </c>
      <c r="W117" s="56">
        <v>0</v>
      </c>
      <c r="X117" s="62">
        <v>1</v>
      </c>
      <c r="Y117" s="62">
        <v>0</v>
      </c>
      <c r="Z117" s="62">
        <v>1</v>
      </c>
      <c r="AA117" s="62">
        <v>0</v>
      </c>
      <c r="AB117" s="56"/>
      <c r="AC117" s="58">
        <v>45913</v>
      </c>
      <c r="AD117" s="59">
        <v>0.78125</v>
      </c>
      <c r="AE117" s="56" t="s">
        <v>462</v>
      </c>
      <c r="AF117" s="58">
        <v>45918</v>
      </c>
      <c r="AG117" s="59">
        <v>0.86458333333575865</v>
      </c>
      <c r="AH117" s="56" t="s">
        <v>463</v>
      </c>
      <c r="AI117" s="56" t="s">
        <v>236</v>
      </c>
      <c r="AJ117" s="56" t="s">
        <v>64</v>
      </c>
      <c r="AK117" s="56" t="s">
        <v>64</v>
      </c>
      <c r="AL117" s="56" t="s">
        <v>1</v>
      </c>
      <c r="AM117" s="56" t="s">
        <v>65</v>
      </c>
      <c r="AN117" s="60" t="s">
        <v>331</v>
      </c>
      <c r="AO117" s="64" t="s">
        <v>504</v>
      </c>
    </row>
    <row r="118" spans="3:41" ht="14.25" customHeight="1">
      <c r="C118" s="55" t="str">
        <f>IF($X118=1,COUNTIF($C$10:C117,"&gt;0")+1,"")</f>
        <v/>
      </c>
      <c r="D118" s="56"/>
      <c r="E118" s="56" t="s">
        <v>229</v>
      </c>
      <c r="F118" s="57" t="s">
        <v>529</v>
      </c>
      <c r="G118" s="56" t="s">
        <v>525</v>
      </c>
      <c r="H118" s="62" t="s">
        <v>530</v>
      </c>
      <c r="I118" s="62" t="s">
        <v>531</v>
      </c>
      <c r="J118" s="62" t="s">
        <v>68</v>
      </c>
      <c r="K118" s="62" t="s">
        <v>460</v>
      </c>
      <c r="L118" s="63">
        <v>20895</v>
      </c>
      <c r="M118" s="62">
        <v>68</v>
      </c>
      <c r="N118" s="62" t="s">
        <v>532</v>
      </c>
      <c r="O118" s="63">
        <v>46462</v>
      </c>
      <c r="P118" s="62" t="s">
        <v>4</v>
      </c>
      <c r="Q118" s="56"/>
      <c r="R118" s="50">
        <v>45913</v>
      </c>
      <c r="S118" s="50">
        <v>45918</v>
      </c>
      <c r="T118" s="51">
        <f t="shared" si="1"/>
        <v>5</v>
      </c>
      <c r="U118" s="56">
        <v>1</v>
      </c>
      <c r="V118" s="56">
        <v>1</v>
      </c>
      <c r="W118" s="56">
        <v>0</v>
      </c>
      <c r="X118" s="62">
        <v>0</v>
      </c>
      <c r="Y118" s="62">
        <v>0</v>
      </c>
      <c r="Z118" s="62">
        <v>0</v>
      </c>
      <c r="AA118" s="62">
        <v>0</v>
      </c>
      <c r="AB118" s="56"/>
      <c r="AC118" s="58">
        <v>45913</v>
      </c>
      <c r="AD118" s="59">
        <v>0.78125</v>
      </c>
      <c r="AE118" s="56" t="s">
        <v>462</v>
      </c>
      <c r="AF118" s="58">
        <v>45918</v>
      </c>
      <c r="AG118" s="59">
        <v>0.86458333333575865</v>
      </c>
      <c r="AH118" s="56" t="s">
        <v>463</v>
      </c>
      <c r="AI118" s="56" t="s">
        <v>236</v>
      </c>
      <c r="AJ118" s="56" t="s">
        <v>64</v>
      </c>
      <c r="AK118" s="56" t="s">
        <v>64</v>
      </c>
      <c r="AL118" s="56" t="s">
        <v>1</v>
      </c>
      <c r="AM118" s="56" t="s">
        <v>65</v>
      </c>
      <c r="AN118" s="60" t="s">
        <v>331</v>
      </c>
      <c r="AO118" s="64" t="s">
        <v>504</v>
      </c>
    </row>
    <row r="119" spans="3:41" ht="14.25" customHeight="1">
      <c r="C119" s="55">
        <f>IF($X119=1,COUNTIF($C$10:C118,"&gt;0")+1,"")</f>
        <v>56</v>
      </c>
      <c r="D119" s="56">
        <v>462710773</v>
      </c>
      <c r="E119" s="56" t="s">
        <v>229</v>
      </c>
      <c r="F119" s="57" t="s">
        <v>533</v>
      </c>
      <c r="G119" s="56" t="s">
        <v>533</v>
      </c>
      <c r="H119" s="56" t="s">
        <v>534</v>
      </c>
      <c r="I119" s="56" t="s">
        <v>535</v>
      </c>
      <c r="J119" s="56" t="s">
        <v>68</v>
      </c>
      <c r="K119" s="56" t="s">
        <v>460</v>
      </c>
      <c r="L119" s="58">
        <v>31355</v>
      </c>
      <c r="M119" s="56">
        <v>39</v>
      </c>
      <c r="N119" s="56" t="s">
        <v>536</v>
      </c>
      <c r="O119" s="58">
        <v>46187</v>
      </c>
      <c r="P119" s="56" t="s">
        <v>4</v>
      </c>
      <c r="Q119" s="56"/>
      <c r="R119" s="50">
        <v>45913</v>
      </c>
      <c r="S119" s="50">
        <v>45918</v>
      </c>
      <c r="T119" s="51">
        <f t="shared" si="1"/>
        <v>5</v>
      </c>
      <c r="U119" s="56">
        <v>1</v>
      </c>
      <c r="V119" s="56">
        <v>1</v>
      </c>
      <c r="W119" s="56">
        <v>0</v>
      </c>
      <c r="X119" s="56">
        <v>1</v>
      </c>
      <c r="Y119" s="56">
        <v>0</v>
      </c>
      <c r="Z119" s="56">
        <v>1</v>
      </c>
      <c r="AA119" s="56">
        <v>0</v>
      </c>
      <c r="AB119" s="56"/>
      <c r="AC119" s="58">
        <v>45913</v>
      </c>
      <c r="AD119" s="59">
        <v>0.78125</v>
      </c>
      <c r="AE119" s="56" t="s">
        <v>462</v>
      </c>
      <c r="AF119" s="58">
        <v>45918</v>
      </c>
      <c r="AG119" s="59">
        <v>0.86458333333575865</v>
      </c>
      <c r="AH119" s="56" t="s">
        <v>463</v>
      </c>
      <c r="AI119" s="56" t="s">
        <v>236</v>
      </c>
      <c r="AJ119" s="56" t="s">
        <v>64</v>
      </c>
      <c r="AK119" s="56" t="s">
        <v>64</v>
      </c>
      <c r="AL119" s="56" t="s">
        <v>1</v>
      </c>
      <c r="AM119" s="56" t="s">
        <v>65</v>
      </c>
      <c r="AN119" s="60" t="s">
        <v>331</v>
      </c>
      <c r="AO119" s="61"/>
    </row>
    <row r="120" spans="3:41" ht="14.25" customHeight="1">
      <c r="C120" s="55" t="str">
        <f>IF($X120=1,COUNTIF($C$10:C119,"&gt;0")+1,"")</f>
        <v/>
      </c>
      <c r="D120" s="56"/>
      <c r="E120" s="56" t="s">
        <v>229</v>
      </c>
      <c r="F120" s="57" t="s">
        <v>537</v>
      </c>
      <c r="G120" s="56" t="s">
        <v>533</v>
      </c>
      <c r="H120" s="56" t="s">
        <v>538</v>
      </c>
      <c r="I120" s="56" t="s">
        <v>535</v>
      </c>
      <c r="J120" s="56" t="s">
        <v>58</v>
      </c>
      <c r="K120" s="56" t="s">
        <v>460</v>
      </c>
      <c r="L120" s="58">
        <v>28328</v>
      </c>
      <c r="M120" s="56">
        <v>48</v>
      </c>
      <c r="N120" s="56" t="s">
        <v>539</v>
      </c>
      <c r="O120" s="58">
        <v>49035</v>
      </c>
      <c r="P120" s="56" t="s">
        <v>4</v>
      </c>
      <c r="Q120" s="56"/>
      <c r="R120" s="50">
        <v>45913</v>
      </c>
      <c r="S120" s="50">
        <v>45918</v>
      </c>
      <c r="T120" s="51">
        <f t="shared" si="1"/>
        <v>5</v>
      </c>
      <c r="U120" s="56">
        <v>1</v>
      </c>
      <c r="V120" s="56">
        <v>1</v>
      </c>
      <c r="W120" s="56">
        <v>0</v>
      </c>
      <c r="X120" s="56">
        <v>0</v>
      </c>
      <c r="Y120" s="56">
        <v>0</v>
      </c>
      <c r="Z120" s="56">
        <v>0</v>
      </c>
      <c r="AA120" s="56">
        <v>0</v>
      </c>
      <c r="AB120" s="56"/>
      <c r="AC120" s="58">
        <v>45913</v>
      </c>
      <c r="AD120" s="59">
        <v>0.78125</v>
      </c>
      <c r="AE120" s="56" t="s">
        <v>462</v>
      </c>
      <c r="AF120" s="58">
        <v>45918</v>
      </c>
      <c r="AG120" s="59">
        <v>0.86458333333575865</v>
      </c>
      <c r="AH120" s="56" t="s">
        <v>463</v>
      </c>
      <c r="AI120" s="56" t="s">
        <v>236</v>
      </c>
      <c r="AJ120" s="56" t="s">
        <v>64</v>
      </c>
      <c r="AK120" s="56" t="s">
        <v>64</v>
      </c>
      <c r="AL120" s="56" t="s">
        <v>1</v>
      </c>
      <c r="AM120" s="56" t="s">
        <v>65</v>
      </c>
      <c r="AN120" s="60" t="s">
        <v>331</v>
      </c>
      <c r="AO120" s="61"/>
    </row>
    <row r="121" spans="3:41" ht="14.25" customHeight="1">
      <c r="C121" s="55">
        <f>IF($X121=1,COUNTIF($C$10:C120,"&gt;0")+1,"")</f>
        <v>57</v>
      </c>
      <c r="D121" s="56">
        <v>462710774</v>
      </c>
      <c r="E121" s="56" t="s">
        <v>229</v>
      </c>
      <c r="F121" s="57" t="s">
        <v>540</v>
      </c>
      <c r="G121" s="56" t="s">
        <v>540</v>
      </c>
      <c r="H121" s="56" t="s">
        <v>541</v>
      </c>
      <c r="I121" s="56" t="s">
        <v>542</v>
      </c>
      <c r="J121" s="56" t="s">
        <v>68</v>
      </c>
      <c r="K121" s="56" t="s">
        <v>460</v>
      </c>
      <c r="L121" s="58">
        <v>28259</v>
      </c>
      <c r="M121" s="56">
        <v>48</v>
      </c>
      <c r="N121" s="56" t="s">
        <v>543</v>
      </c>
      <c r="O121" s="58">
        <v>48928</v>
      </c>
      <c r="P121" s="56" t="s">
        <v>3</v>
      </c>
      <c r="Q121" s="56"/>
      <c r="R121" s="50">
        <v>45913</v>
      </c>
      <c r="S121" s="50">
        <v>45918</v>
      </c>
      <c r="T121" s="51">
        <f t="shared" si="1"/>
        <v>5</v>
      </c>
      <c r="U121" s="56">
        <v>1</v>
      </c>
      <c r="V121" s="56">
        <v>1</v>
      </c>
      <c r="W121" s="56">
        <v>0</v>
      </c>
      <c r="X121" s="56">
        <v>1</v>
      </c>
      <c r="Y121" s="56">
        <v>1</v>
      </c>
      <c r="Z121" s="56">
        <v>0</v>
      </c>
      <c r="AA121" s="56">
        <v>0</v>
      </c>
      <c r="AB121" s="56"/>
      <c r="AC121" s="58">
        <v>45913</v>
      </c>
      <c r="AD121" s="59">
        <v>0.78125</v>
      </c>
      <c r="AE121" s="56" t="s">
        <v>462</v>
      </c>
      <c r="AF121" s="58">
        <v>45918</v>
      </c>
      <c r="AG121" s="59">
        <v>0.86458333333575865</v>
      </c>
      <c r="AH121" s="56" t="s">
        <v>463</v>
      </c>
      <c r="AI121" s="56" t="s">
        <v>236</v>
      </c>
      <c r="AJ121" s="56" t="s">
        <v>64</v>
      </c>
      <c r="AK121" s="56" t="s">
        <v>64</v>
      </c>
      <c r="AL121" s="56" t="s">
        <v>1</v>
      </c>
      <c r="AM121" s="56" t="s">
        <v>65</v>
      </c>
      <c r="AN121" s="60" t="s">
        <v>331</v>
      </c>
      <c r="AO121" s="61"/>
    </row>
    <row r="122" spans="3:41" ht="14.25" customHeight="1">
      <c r="C122" s="55">
        <f>IF($X122=1,COUNTIF($C$10:C121,"&gt;0")+1,"")</f>
        <v>58</v>
      </c>
      <c r="D122" s="56">
        <v>462710775</v>
      </c>
      <c r="E122" s="56" t="s">
        <v>229</v>
      </c>
      <c r="F122" s="57" t="s">
        <v>544</v>
      </c>
      <c r="G122" s="56" t="s">
        <v>544</v>
      </c>
      <c r="H122" s="56" t="s">
        <v>545</v>
      </c>
      <c r="I122" s="56" t="s">
        <v>82</v>
      </c>
      <c r="J122" s="56" t="s">
        <v>58</v>
      </c>
      <c r="K122" s="56" t="s">
        <v>59</v>
      </c>
      <c r="L122" s="58">
        <v>34402</v>
      </c>
      <c r="M122" s="56">
        <v>31</v>
      </c>
      <c r="N122" s="56" t="s">
        <v>546</v>
      </c>
      <c r="O122" s="58">
        <v>48770</v>
      </c>
      <c r="P122" s="56" t="s">
        <v>5</v>
      </c>
      <c r="Q122" s="56"/>
      <c r="R122" s="50">
        <v>45913</v>
      </c>
      <c r="S122" s="50">
        <v>45918</v>
      </c>
      <c r="T122" s="51">
        <f t="shared" si="1"/>
        <v>5</v>
      </c>
      <c r="U122" s="56">
        <v>1</v>
      </c>
      <c r="V122" s="56">
        <v>1</v>
      </c>
      <c r="W122" s="56">
        <v>0</v>
      </c>
      <c r="X122" s="56">
        <v>1</v>
      </c>
      <c r="Y122" s="56">
        <v>0</v>
      </c>
      <c r="Z122" s="56">
        <v>0</v>
      </c>
      <c r="AA122" s="56">
        <v>1</v>
      </c>
      <c r="AB122" s="56"/>
      <c r="AC122" s="58">
        <v>45913</v>
      </c>
      <c r="AD122" s="59">
        <v>0.59027777778101154</v>
      </c>
      <c r="AE122" s="56" t="s">
        <v>547</v>
      </c>
      <c r="AF122" s="58">
        <v>45918</v>
      </c>
      <c r="AG122" s="59">
        <v>0.56597222221898846</v>
      </c>
      <c r="AH122" s="56" t="s">
        <v>548</v>
      </c>
      <c r="AI122" s="56" t="s">
        <v>236</v>
      </c>
      <c r="AJ122" s="56" t="s">
        <v>64</v>
      </c>
      <c r="AK122" s="56" t="s">
        <v>64</v>
      </c>
      <c r="AL122" s="56" t="s">
        <v>1</v>
      </c>
      <c r="AM122" s="56" t="s">
        <v>65</v>
      </c>
      <c r="AN122" s="60"/>
      <c r="AO122" s="61"/>
    </row>
    <row r="123" spans="3:41" ht="14.25" customHeight="1">
      <c r="C123" s="55" t="str">
        <f>IF($X123=1,COUNTIF($C$10:C122,"&gt;0")+1,"")</f>
        <v/>
      </c>
      <c r="D123" s="56"/>
      <c r="E123" s="56" t="s">
        <v>229</v>
      </c>
      <c r="F123" s="57" t="s">
        <v>549</v>
      </c>
      <c r="G123" s="56" t="s">
        <v>544</v>
      </c>
      <c r="H123" s="56" t="s">
        <v>550</v>
      </c>
      <c r="I123" s="56" t="s">
        <v>356</v>
      </c>
      <c r="J123" s="56" t="s">
        <v>58</v>
      </c>
      <c r="K123" s="56" t="s">
        <v>59</v>
      </c>
      <c r="L123" s="58">
        <v>34608</v>
      </c>
      <c r="M123" s="56">
        <v>30</v>
      </c>
      <c r="N123" s="56" t="s">
        <v>551</v>
      </c>
      <c r="O123" s="58">
        <v>48498</v>
      </c>
      <c r="P123" s="56" t="s">
        <v>5</v>
      </c>
      <c r="Q123" s="56"/>
      <c r="R123" s="50">
        <v>45913</v>
      </c>
      <c r="S123" s="50">
        <v>45918</v>
      </c>
      <c r="T123" s="51">
        <f t="shared" si="1"/>
        <v>5</v>
      </c>
      <c r="U123" s="56">
        <v>1</v>
      </c>
      <c r="V123" s="56">
        <v>1</v>
      </c>
      <c r="W123" s="56">
        <v>0</v>
      </c>
      <c r="X123" s="56">
        <v>0</v>
      </c>
      <c r="Y123" s="56">
        <v>0</v>
      </c>
      <c r="Z123" s="56">
        <v>0</v>
      </c>
      <c r="AA123" s="56">
        <v>0</v>
      </c>
      <c r="AB123" s="56"/>
      <c r="AC123" s="58">
        <v>45913</v>
      </c>
      <c r="AD123" s="59">
        <v>0.40277777778101154</v>
      </c>
      <c r="AE123" s="56" t="s">
        <v>358</v>
      </c>
      <c r="AF123" s="58">
        <v>45918</v>
      </c>
      <c r="AG123" s="59">
        <v>0.79513888889050577</v>
      </c>
      <c r="AH123" s="56" t="s">
        <v>359</v>
      </c>
      <c r="AI123" s="56" t="s">
        <v>236</v>
      </c>
      <c r="AJ123" s="56" t="s">
        <v>64</v>
      </c>
      <c r="AK123" s="56" t="s">
        <v>64</v>
      </c>
      <c r="AL123" s="56" t="s">
        <v>1</v>
      </c>
      <c r="AM123" s="56" t="s">
        <v>65</v>
      </c>
      <c r="AN123" s="60"/>
      <c r="AO123" s="61"/>
    </row>
    <row r="124" spans="3:41" ht="14.25" customHeight="1">
      <c r="C124" s="55" t="str">
        <f>IF($X124=1,COUNTIF($C$10:C123,"&gt;0")+1,"")</f>
        <v/>
      </c>
      <c r="D124" s="56"/>
      <c r="E124" s="56" t="s">
        <v>229</v>
      </c>
      <c r="F124" s="57" t="s">
        <v>552</v>
      </c>
      <c r="G124" s="56" t="s">
        <v>544</v>
      </c>
      <c r="H124" s="56" t="s">
        <v>553</v>
      </c>
      <c r="I124" s="56" t="s">
        <v>334</v>
      </c>
      <c r="J124" s="56" t="s">
        <v>58</v>
      </c>
      <c r="K124" s="56" t="s">
        <v>59</v>
      </c>
      <c r="L124" s="58">
        <v>45177</v>
      </c>
      <c r="M124" s="56">
        <v>2</v>
      </c>
      <c r="N124" s="56" t="s">
        <v>554</v>
      </c>
      <c r="O124" s="58">
        <v>47091</v>
      </c>
      <c r="P124" s="56" t="s">
        <v>5</v>
      </c>
      <c r="Q124" s="56"/>
      <c r="R124" s="50">
        <v>45913</v>
      </c>
      <c r="S124" s="50">
        <v>45918</v>
      </c>
      <c r="T124" s="51">
        <f t="shared" si="1"/>
        <v>5</v>
      </c>
      <c r="U124" s="56">
        <v>1</v>
      </c>
      <c r="V124" s="56">
        <v>0</v>
      </c>
      <c r="W124" s="56">
        <v>1</v>
      </c>
      <c r="X124" s="56">
        <v>0</v>
      </c>
      <c r="Y124" s="56">
        <v>0</v>
      </c>
      <c r="Z124" s="56">
        <v>0</v>
      </c>
      <c r="AA124" s="56">
        <v>0</v>
      </c>
      <c r="AB124" s="56"/>
      <c r="AC124" s="58">
        <v>45913</v>
      </c>
      <c r="AD124" s="59">
        <v>0.80902777778101154</v>
      </c>
      <c r="AE124" s="56" t="s">
        <v>329</v>
      </c>
      <c r="AF124" s="58">
        <v>45918</v>
      </c>
      <c r="AG124" s="59">
        <v>0.77777777778101154</v>
      </c>
      <c r="AH124" s="56" t="s">
        <v>330</v>
      </c>
      <c r="AI124" s="56" t="s">
        <v>236</v>
      </c>
      <c r="AJ124" s="56" t="s">
        <v>64</v>
      </c>
      <c r="AK124" s="56" t="s">
        <v>64</v>
      </c>
      <c r="AL124" s="56" t="s">
        <v>1</v>
      </c>
      <c r="AM124" s="56" t="s">
        <v>65</v>
      </c>
      <c r="AN124" s="60" t="s">
        <v>331</v>
      </c>
      <c r="AO124" s="61"/>
    </row>
    <row r="125" spans="3:41" ht="14.25" customHeight="1">
      <c r="C125" s="55">
        <f>IF($X125=1,COUNTIF($C$10:C124,"&gt;0")+1,"")</f>
        <v>59</v>
      </c>
      <c r="D125" s="56">
        <v>462710776</v>
      </c>
      <c r="E125" s="56" t="s">
        <v>229</v>
      </c>
      <c r="F125" s="57" t="s">
        <v>555</v>
      </c>
      <c r="G125" s="56" t="s">
        <v>555</v>
      </c>
      <c r="H125" s="56" t="s">
        <v>556</v>
      </c>
      <c r="I125" s="56" t="s">
        <v>557</v>
      </c>
      <c r="J125" s="56" t="s">
        <v>68</v>
      </c>
      <c r="K125" s="56" t="s">
        <v>59</v>
      </c>
      <c r="L125" s="58">
        <v>27330</v>
      </c>
      <c r="M125" s="56">
        <v>50</v>
      </c>
      <c r="N125" s="56" t="s">
        <v>558</v>
      </c>
      <c r="O125" s="58">
        <v>47397</v>
      </c>
      <c r="P125" s="56" t="s">
        <v>4</v>
      </c>
      <c r="Q125" s="56"/>
      <c r="R125" s="50">
        <v>45913</v>
      </c>
      <c r="S125" s="50">
        <v>45918</v>
      </c>
      <c r="T125" s="51">
        <f t="shared" si="1"/>
        <v>5</v>
      </c>
      <c r="U125" s="56">
        <v>1</v>
      </c>
      <c r="V125" s="56">
        <v>1</v>
      </c>
      <c r="W125" s="56">
        <v>0</v>
      </c>
      <c r="X125" s="56">
        <v>1</v>
      </c>
      <c r="Y125" s="56">
        <v>0</v>
      </c>
      <c r="Z125" s="56">
        <v>1</v>
      </c>
      <c r="AA125" s="56">
        <v>0</v>
      </c>
      <c r="AB125" s="56"/>
      <c r="AC125" s="58">
        <v>45913</v>
      </c>
      <c r="AD125" s="59">
        <v>0.625</v>
      </c>
      <c r="AE125" s="56" t="s">
        <v>74</v>
      </c>
      <c r="AF125" s="58">
        <v>45921</v>
      </c>
      <c r="AG125" s="59">
        <v>0.70138888889050577</v>
      </c>
      <c r="AH125" s="56" t="s">
        <v>96</v>
      </c>
      <c r="AI125" s="56" t="s">
        <v>236</v>
      </c>
      <c r="AJ125" s="56" t="s">
        <v>64</v>
      </c>
      <c r="AK125" s="56" t="s">
        <v>64</v>
      </c>
      <c r="AL125" s="56" t="s">
        <v>1</v>
      </c>
      <c r="AM125" s="56" t="s">
        <v>65</v>
      </c>
      <c r="AN125" s="60"/>
      <c r="AO125" s="61"/>
    </row>
    <row r="126" spans="3:41" ht="14.25" customHeight="1">
      <c r="C126" s="55" t="str">
        <f>IF($X126=1,COUNTIF($C$10:C125,"&gt;0")+1,"")</f>
        <v/>
      </c>
      <c r="D126" s="56"/>
      <c r="E126" s="56" t="s">
        <v>229</v>
      </c>
      <c r="F126" s="57" t="s">
        <v>559</v>
      </c>
      <c r="G126" s="56" t="s">
        <v>555</v>
      </c>
      <c r="H126" s="56" t="s">
        <v>560</v>
      </c>
      <c r="I126" s="56" t="s">
        <v>561</v>
      </c>
      <c r="J126" s="56" t="s">
        <v>58</v>
      </c>
      <c r="K126" s="56" t="s">
        <v>59</v>
      </c>
      <c r="L126" s="58">
        <v>27630</v>
      </c>
      <c r="M126" s="56">
        <v>50</v>
      </c>
      <c r="N126" s="56" t="s">
        <v>562</v>
      </c>
      <c r="O126" s="58">
        <v>49469</v>
      </c>
      <c r="P126" s="56" t="s">
        <v>4</v>
      </c>
      <c r="Q126" s="56"/>
      <c r="R126" s="50">
        <v>45913</v>
      </c>
      <c r="S126" s="50">
        <v>45918</v>
      </c>
      <c r="T126" s="51">
        <f t="shared" si="1"/>
        <v>5</v>
      </c>
      <c r="U126" s="56">
        <v>1</v>
      </c>
      <c r="V126" s="56">
        <v>1</v>
      </c>
      <c r="W126" s="56">
        <v>0</v>
      </c>
      <c r="X126" s="56">
        <v>0</v>
      </c>
      <c r="Y126" s="56">
        <v>0</v>
      </c>
      <c r="Z126" s="56">
        <v>0</v>
      </c>
      <c r="AA126" s="56">
        <v>0</v>
      </c>
      <c r="AB126" s="56"/>
      <c r="AC126" s="58">
        <v>45913</v>
      </c>
      <c r="AD126" s="59">
        <v>0.625</v>
      </c>
      <c r="AE126" s="56" t="s">
        <v>74</v>
      </c>
      <c r="AF126" s="58">
        <v>45921</v>
      </c>
      <c r="AG126" s="59">
        <v>0.70138888889050577</v>
      </c>
      <c r="AH126" s="56" t="s">
        <v>96</v>
      </c>
      <c r="AI126" s="56" t="s">
        <v>236</v>
      </c>
      <c r="AJ126" s="56" t="s">
        <v>64</v>
      </c>
      <c r="AK126" s="56" t="s">
        <v>64</v>
      </c>
      <c r="AL126" s="56" t="s">
        <v>1</v>
      </c>
      <c r="AM126" s="56" t="s">
        <v>65</v>
      </c>
      <c r="AN126" s="60"/>
      <c r="AO126" s="61"/>
    </row>
    <row r="127" spans="3:41" ht="14.25" customHeight="1">
      <c r="C127" s="55">
        <f>IF($X127=1,COUNTIF($C$10:C126,"&gt;0")+1,"")</f>
        <v>60</v>
      </c>
      <c r="D127" s="56">
        <v>462710777</v>
      </c>
      <c r="E127" s="56" t="s">
        <v>229</v>
      </c>
      <c r="F127" s="57" t="s">
        <v>563</v>
      </c>
      <c r="G127" s="56" t="s">
        <v>563</v>
      </c>
      <c r="H127" s="56" t="s">
        <v>564</v>
      </c>
      <c r="I127" s="56" t="s">
        <v>565</v>
      </c>
      <c r="J127" s="56" t="s">
        <v>58</v>
      </c>
      <c r="K127" s="56" t="s">
        <v>59</v>
      </c>
      <c r="L127" s="58">
        <v>25688</v>
      </c>
      <c r="M127" s="56">
        <v>55</v>
      </c>
      <c r="N127" s="56" t="s">
        <v>566</v>
      </c>
      <c r="O127" s="58">
        <v>46445</v>
      </c>
      <c r="P127" s="56" t="s">
        <v>4</v>
      </c>
      <c r="Q127" s="56"/>
      <c r="R127" s="50">
        <v>45913</v>
      </c>
      <c r="S127" s="50">
        <v>45918</v>
      </c>
      <c r="T127" s="51">
        <f t="shared" si="1"/>
        <v>5</v>
      </c>
      <c r="U127" s="56">
        <v>1</v>
      </c>
      <c r="V127" s="56">
        <v>1</v>
      </c>
      <c r="W127" s="56">
        <v>0</v>
      </c>
      <c r="X127" s="56">
        <v>1</v>
      </c>
      <c r="Y127" s="56">
        <v>0</v>
      </c>
      <c r="Z127" s="56">
        <v>1</v>
      </c>
      <c r="AA127" s="56">
        <v>0</v>
      </c>
      <c r="AB127" s="56"/>
      <c r="AC127" s="58">
        <v>45913</v>
      </c>
      <c r="AD127" s="59">
        <v>0.63888888889050577</v>
      </c>
      <c r="AE127" s="56" t="s">
        <v>84</v>
      </c>
      <c r="AF127" s="58">
        <v>45918</v>
      </c>
      <c r="AG127" s="59">
        <v>0.43055555555474712</v>
      </c>
      <c r="AH127" s="56" t="s">
        <v>567</v>
      </c>
      <c r="AI127" s="56" t="s">
        <v>236</v>
      </c>
      <c r="AJ127" s="56" t="s">
        <v>64</v>
      </c>
      <c r="AK127" s="56" t="s">
        <v>64</v>
      </c>
      <c r="AL127" s="56" t="s">
        <v>1</v>
      </c>
      <c r="AM127" s="56" t="s">
        <v>65</v>
      </c>
      <c r="AN127" s="60"/>
      <c r="AO127" s="61"/>
    </row>
    <row r="128" spans="3:41" ht="14.25" customHeight="1">
      <c r="C128" s="55" t="str">
        <f>IF($X128=1,COUNTIF($C$10:C127,"&gt;0")+1,"")</f>
        <v/>
      </c>
      <c r="D128" s="56"/>
      <c r="E128" s="56" t="s">
        <v>229</v>
      </c>
      <c r="F128" s="57" t="s">
        <v>568</v>
      </c>
      <c r="G128" s="56" t="s">
        <v>563</v>
      </c>
      <c r="H128" s="56" t="s">
        <v>569</v>
      </c>
      <c r="I128" s="56" t="s">
        <v>565</v>
      </c>
      <c r="J128" s="56" t="s">
        <v>68</v>
      </c>
      <c r="K128" s="56" t="s">
        <v>64</v>
      </c>
      <c r="L128" s="58">
        <v>28257</v>
      </c>
      <c r="M128" s="56">
        <v>48</v>
      </c>
      <c r="N128" s="56" t="s">
        <v>64</v>
      </c>
      <c r="O128" s="58" t="s">
        <v>64</v>
      </c>
      <c r="P128" s="56" t="s">
        <v>4</v>
      </c>
      <c r="Q128" s="56"/>
      <c r="R128" s="50">
        <v>45913</v>
      </c>
      <c r="S128" s="50">
        <v>45918</v>
      </c>
      <c r="T128" s="51">
        <f t="shared" si="1"/>
        <v>5</v>
      </c>
      <c r="U128" s="56">
        <v>1</v>
      </c>
      <c r="V128" s="56">
        <v>1</v>
      </c>
      <c r="W128" s="56">
        <v>0</v>
      </c>
      <c r="X128" s="56">
        <v>0</v>
      </c>
      <c r="Y128" s="56">
        <v>0</v>
      </c>
      <c r="Z128" s="56">
        <v>0</v>
      </c>
      <c r="AA128" s="56">
        <v>0</v>
      </c>
      <c r="AB128" s="56"/>
      <c r="AC128" s="58">
        <v>45913</v>
      </c>
      <c r="AD128" s="59">
        <v>0.63888888889050577</v>
      </c>
      <c r="AE128" s="56" t="s">
        <v>84</v>
      </c>
      <c r="AF128" s="58">
        <v>45918</v>
      </c>
      <c r="AG128" s="59">
        <v>0.43055555555474712</v>
      </c>
      <c r="AH128" s="56" t="s">
        <v>567</v>
      </c>
      <c r="AI128" s="56" t="s">
        <v>236</v>
      </c>
      <c r="AJ128" s="56" t="s">
        <v>64</v>
      </c>
      <c r="AK128" s="56" t="s">
        <v>64</v>
      </c>
      <c r="AL128" s="56" t="s">
        <v>1</v>
      </c>
      <c r="AM128" s="56" t="s">
        <v>65</v>
      </c>
      <c r="AN128" s="60"/>
      <c r="AO128" s="61"/>
    </row>
    <row r="129" spans="3:41" ht="14.25" customHeight="1">
      <c r="C129" s="55">
        <f>IF($X129=1,COUNTIF($C$10:C128,"&gt;0")+1,"")</f>
        <v>61</v>
      </c>
      <c r="D129" s="56">
        <v>462710778</v>
      </c>
      <c r="E129" s="56" t="s">
        <v>570</v>
      </c>
      <c r="F129" s="57" t="s">
        <v>571</v>
      </c>
      <c r="G129" s="56" t="s">
        <v>571</v>
      </c>
      <c r="H129" s="56" t="s">
        <v>572</v>
      </c>
      <c r="I129" s="56" t="s">
        <v>573</v>
      </c>
      <c r="J129" s="56" t="s">
        <v>58</v>
      </c>
      <c r="K129" s="56" t="s">
        <v>460</v>
      </c>
      <c r="L129" s="58">
        <v>36717</v>
      </c>
      <c r="M129" s="56">
        <v>25</v>
      </c>
      <c r="N129" s="56" t="s">
        <v>574</v>
      </c>
      <c r="O129" s="58">
        <v>46405</v>
      </c>
      <c r="P129" s="56" t="s">
        <v>5</v>
      </c>
      <c r="Q129" s="56"/>
      <c r="R129" s="50">
        <v>45913</v>
      </c>
      <c r="S129" s="50">
        <v>45918</v>
      </c>
      <c r="T129" s="51">
        <f t="shared" si="1"/>
        <v>5</v>
      </c>
      <c r="U129" s="56">
        <v>1</v>
      </c>
      <c r="V129" s="56">
        <v>1</v>
      </c>
      <c r="W129" s="56">
        <v>0</v>
      </c>
      <c r="X129" s="56">
        <v>1</v>
      </c>
      <c r="Y129" s="56">
        <v>0</v>
      </c>
      <c r="Z129" s="56">
        <v>0</v>
      </c>
      <c r="AA129" s="56">
        <v>1</v>
      </c>
      <c r="AB129" s="56"/>
      <c r="AC129" s="58">
        <v>45913</v>
      </c>
      <c r="AD129" s="59">
        <v>0.72916666666424135</v>
      </c>
      <c r="AE129" s="56" t="s">
        <v>575</v>
      </c>
      <c r="AF129" s="58">
        <v>45918</v>
      </c>
      <c r="AG129" s="59">
        <v>0.45833333333575865</v>
      </c>
      <c r="AH129" s="56" t="s">
        <v>576</v>
      </c>
      <c r="AI129" s="56" t="s">
        <v>577</v>
      </c>
      <c r="AJ129" s="56" t="s">
        <v>64</v>
      </c>
      <c r="AK129" s="56" t="s">
        <v>64</v>
      </c>
      <c r="AL129" s="56" t="s">
        <v>1</v>
      </c>
      <c r="AM129" s="56" t="s">
        <v>65</v>
      </c>
      <c r="AN129" s="60"/>
      <c r="AO129" s="61"/>
    </row>
    <row r="130" spans="3:41" ht="14.25" customHeight="1">
      <c r="C130" s="55" t="str">
        <f>IF($X130=1,COUNTIF($C$10:C129,"&gt;0")+1,"")</f>
        <v/>
      </c>
      <c r="D130" s="56"/>
      <c r="E130" s="56" t="s">
        <v>570</v>
      </c>
      <c r="F130" s="57" t="s">
        <v>578</v>
      </c>
      <c r="G130" s="56" t="s">
        <v>571</v>
      </c>
      <c r="H130" s="56" t="s">
        <v>579</v>
      </c>
      <c r="I130" s="56" t="s">
        <v>573</v>
      </c>
      <c r="J130" s="56" t="s">
        <v>58</v>
      </c>
      <c r="K130" s="56" t="s">
        <v>460</v>
      </c>
      <c r="L130" s="58">
        <v>23330</v>
      </c>
      <c r="M130" s="56">
        <v>61</v>
      </c>
      <c r="N130" s="56" t="s">
        <v>580</v>
      </c>
      <c r="O130" s="58">
        <v>49112</v>
      </c>
      <c r="P130" s="56" t="s">
        <v>5</v>
      </c>
      <c r="Q130" s="56"/>
      <c r="R130" s="50">
        <v>45913</v>
      </c>
      <c r="S130" s="50">
        <v>45918</v>
      </c>
      <c r="T130" s="51">
        <f t="shared" si="1"/>
        <v>5</v>
      </c>
      <c r="U130" s="56">
        <v>1</v>
      </c>
      <c r="V130" s="56">
        <v>1</v>
      </c>
      <c r="W130" s="56">
        <v>0</v>
      </c>
      <c r="X130" s="56">
        <v>0</v>
      </c>
      <c r="Y130" s="56">
        <v>0</v>
      </c>
      <c r="Z130" s="56">
        <v>0</v>
      </c>
      <c r="AA130" s="56">
        <v>0</v>
      </c>
      <c r="AB130" s="56"/>
      <c r="AC130" s="58">
        <v>45913</v>
      </c>
      <c r="AD130" s="59">
        <v>0.72916666666424135</v>
      </c>
      <c r="AE130" s="56" t="s">
        <v>575</v>
      </c>
      <c r="AF130" s="58">
        <v>45918</v>
      </c>
      <c r="AG130" s="59">
        <v>0.45833333333575865</v>
      </c>
      <c r="AH130" s="56" t="s">
        <v>576</v>
      </c>
      <c r="AI130" s="56" t="s">
        <v>577</v>
      </c>
      <c r="AJ130" s="56" t="s">
        <v>64</v>
      </c>
      <c r="AK130" s="56" t="s">
        <v>64</v>
      </c>
      <c r="AL130" s="56" t="s">
        <v>1</v>
      </c>
      <c r="AM130" s="56" t="s">
        <v>65</v>
      </c>
      <c r="AN130" s="60"/>
      <c r="AO130" s="61"/>
    </row>
    <row r="131" spans="3:41" ht="14.25" customHeight="1">
      <c r="C131" s="55">
        <f>IF($X131=1,COUNTIF($C$10:C130,"&gt;0")+1,"")</f>
        <v>62</v>
      </c>
      <c r="D131" s="56">
        <v>462710779</v>
      </c>
      <c r="E131" s="56" t="s">
        <v>570</v>
      </c>
      <c r="F131" s="57" t="s">
        <v>581</v>
      </c>
      <c r="G131" s="56" t="s">
        <v>571</v>
      </c>
      <c r="H131" s="62" t="s">
        <v>582</v>
      </c>
      <c r="I131" s="62" t="s">
        <v>573</v>
      </c>
      <c r="J131" s="62" t="s">
        <v>68</v>
      </c>
      <c r="K131" s="62" t="s">
        <v>460</v>
      </c>
      <c r="L131" s="63">
        <v>38111</v>
      </c>
      <c r="M131" s="62">
        <v>21</v>
      </c>
      <c r="N131" s="62" t="s">
        <v>583</v>
      </c>
      <c r="O131" s="63">
        <v>48548</v>
      </c>
      <c r="P131" s="62" t="s">
        <v>4</v>
      </c>
      <c r="Q131" s="56"/>
      <c r="R131" s="50">
        <v>45913</v>
      </c>
      <c r="S131" s="50">
        <v>45918</v>
      </c>
      <c r="T131" s="51">
        <f t="shared" si="1"/>
        <v>5</v>
      </c>
      <c r="U131" s="56">
        <v>1</v>
      </c>
      <c r="V131" s="56">
        <v>1</v>
      </c>
      <c r="W131" s="56">
        <v>0</v>
      </c>
      <c r="X131" s="62">
        <v>1</v>
      </c>
      <c r="Y131" s="62">
        <v>0</v>
      </c>
      <c r="Z131" s="62">
        <v>1</v>
      </c>
      <c r="AA131" s="62">
        <v>0</v>
      </c>
      <c r="AB131" s="56"/>
      <c r="AC131" s="58">
        <v>45913</v>
      </c>
      <c r="AD131" s="59">
        <v>0.72916666666424135</v>
      </c>
      <c r="AE131" s="56" t="s">
        <v>575</v>
      </c>
      <c r="AF131" s="58">
        <v>45918</v>
      </c>
      <c r="AG131" s="59">
        <v>0.45833333333575865</v>
      </c>
      <c r="AH131" s="56" t="s">
        <v>576</v>
      </c>
      <c r="AI131" s="56" t="s">
        <v>577</v>
      </c>
      <c r="AJ131" s="56" t="s">
        <v>64</v>
      </c>
      <c r="AK131" s="56" t="s">
        <v>64</v>
      </c>
      <c r="AL131" s="56" t="s">
        <v>1</v>
      </c>
      <c r="AM131" s="56" t="s">
        <v>65</v>
      </c>
      <c r="AN131" s="60"/>
      <c r="AO131" s="64" t="s">
        <v>504</v>
      </c>
    </row>
    <row r="132" spans="3:41" ht="14.25" customHeight="1">
      <c r="C132" s="55" t="str">
        <f>IF($X132=1,COUNTIF($C$10:C131,"&gt;0")+1,"")</f>
        <v/>
      </c>
      <c r="D132" s="56"/>
      <c r="E132" s="56" t="s">
        <v>570</v>
      </c>
      <c r="F132" s="57" t="s">
        <v>584</v>
      </c>
      <c r="G132" s="56" t="s">
        <v>571</v>
      </c>
      <c r="H132" s="62" t="s">
        <v>585</v>
      </c>
      <c r="I132" s="62" t="s">
        <v>586</v>
      </c>
      <c r="J132" s="62" t="s">
        <v>68</v>
      </c>
      <c r="K132" s="62" t="s">
        <v>460</v>
      </c>
      <c r="L132" s="63">
        <v>24507</v>
      </c>
      <c r="M132" s="62">
        <v>58</v>
      </c>
      <c r="N132" s="62" t="s">
        <v>587</v>
      </c>
      <c r="O132" s="63">
        <v>46405</v>
      </c>
      <c r="P132" s="62" t="s">
        <v>4</v>
      </c>
      <c r="Q132" s="56"/>
      <c r="R132" s="50">
        <v>45913</v>
      </c>
      <c r="S132" s="50">
        <v>45918</v>
      </c>
      <c r="T132" s="51">
        <f t="shared" si="1"/>
        <v>5</v>
      </c>
      <c r="U132" s="56">
        <v>1</v>
      </c>
      <c r="V132" s="56">
        <v>1</v>
      </c>
      <c r="W132" s="56">
        <v>0</v>
      </c>
      <c r="X132" s="62">
        <v>0</v>
      </c>
      <c r="Y132" s="62">
        <v>0</v>
      </c>
      <c r="Z132" s="62">
        <v>0</v>
      </c>
      <c r="AA132" s="62">
        <v>0</v>
      </c>
      <c r="AB132" s="56"/>
      <c r="AC132" s="58">
        <v>45913</v>
      </c>
      <c r="AD132" s="59">
        <v>0.72916666666424135</v>
      </c>
      <c r="AE132" s="56" t="s">
        <v>575</v>
      </c>
      <c r="AF132" s="58">
        <v>45918</v>
      </c>
      <c r="AG132" s="59">
        <v>0.45833333333575865</v>
      </c>
      <c r="AH132" s="56" t="s">
        <v>576</v>
      </c>
      <c r="AI132" s="56" t="s">
        <v>577</v>
      </c>
      <c r="AJ132" s="56" t="s">
        <v>64</v>
      </c>
      <c r="AK132" s="56" t="s">
        <v>64</v>
      </c>
      <c r="AL132" s="56" t="s">
        <v>1</v>
      </c>
      <c r="AM132" s="56" t="s">
        <v>65</v>
      </c>
      <c r="AN132" s="60"/>
      <c r="AO132" s="64" t="s">
        <v>504</v>
      </c>
    </row>
    <row r="133" spans="3:41" ht="14.25" customHeight="1">
      <c r="C133" s="55">
        <f>IF($X133=1,COUNTIF($C$10:C132,"&gt;0")+1,"")</f>
        <v>63</v>
      </c>
      <c r="D133" s="56">
        <v>462710780</v>
      </c>
      <c r="E133" s="56" t="s">
        <v>588</v>
      </c>
      <c r="F133" s="57" t="s">
        <v>589</v>
      </c>
      <c r="G133" s="56" t="s">
        <v>589</v>
      </c>
      <c r="H133" s="56" t="s">
        <v>590</v>
      </c>
      <c r="I133" s="56" t="s">
        <v>591</v>
      </c>
      <c r="J133" s="56" t="s">
        <v>68</v>
      </c>
      <c r="K133" s="56" t="s">
        <v>59</v>
      </c>
      <c r="L133" s="58">
        <v>23207</v>
      </c>
      <c r="M133" s="56">
        <v>62</v>
      </c>
      <c r="N133" s="56" t="s">
        <v>592</v>
      </c>
      <c r="O133" s="58">
        <v>48210</v>
      </c>
      <c r="P133" s="56" t="s">
        <v>3</v>
      </c>
      <c r="Q133" s="56"/>
      <c r="R133" s="50">
        <v>45913</v>
      </c>
      <c r="S133" s="50">
        <v>45918</v>
      </c>
      <c r="T133" s="51">
        <f t="shared" si="1"/>
        <v>5</v>
      </c>
      <c r="U133" s="56">
        <v>1</v>
      </c>
      <c r="V133" s="56">
        <v>1</v>
      </c>
      <c r="W133" s="56">
        <v>0</v>
      </c>
      <c r="X133" s="56">
        <v>1</v>
      </c>
      <c r="Y133" s="56">
        <v>1</v>
      </c>
      <c r="Z133" s="56">
        <v>0</v>
      </c>
      <c r="AA133" s="56">
        <v>0</v>
      </c>
      <c r="AB133" s="56"/>
      <c r="AC133" s="58">
        <v>45913</v>
      </c>
      <c r="AD133" s="59">
        <v>0.64583333333575865</v>
      </c>
      <c r="AE133" s="56" t="s">
        <v>312</v>
      </c>
      <c r="AF133" s="58">
        <v>45918</v>
      </c>
      <c r="AG133" s="59">
        <v>0.72569444444525288</v>
      </c>
      <c r="AH133" s="56" t="s">
        <v>313</v>
      </c>
      <c r="AI133" s="56" t="s">
        <v>593</v>
      </c>
      <c r="AJ133" s="56" t="s">
        <v>64</v>
      </c>
      <c r="AK133" s="56" t="s">
        <v>64</v>
      </c>
      <c r="AL133" s="56" t="s">
        <v>1</v>
      </c>
      <c r="AM133" s="56" t="s">
        <v>65</v>
      </c>
      <c r="AN133" s="60"/>
      <c r="AO133" s="61"/>
    </row>
    <row r="134" spans="3:41" ht="14.25" customHeight="1">
      <c r="C134" s="55">
        <f>IF($X134=1,COUNTIF($C$10:C133,"&gt;0")+1,"")</f>
        <v>64</v>
      </c>
      <c r="D134" s="56">
        <v>462710781</v>
      </c>
      <c r="E134" s="56" t="s">
        <v>588</v>
      </c>
      <c r="F134" s="57" t="s">
        <v>594</v>
      </c>
      <c r="G134" s="56" t="s">
        <v>594</v>
      </c>
      <c r="H134" s="56" t="s">
        <v>595</v>
      </c>
      <c r="I134" s="56" t="s">
        <v>596</v>
      </c>
      <c r="J134" s="56" t="s">
        <v>58</v>
      </c>
      <c r="K134" s="56" t="s">
        <v>59</v>
      </c>
      <c r="L134" s="58">
        <v>21618</v>
      </c>
      <c r="M134" s="56">
        <v>66</v>
      </c>
      <c r="N134" s="56" t="s">
        <v>597</v>
      </c>
      <c r="O134" s="58">
        <v>47344</v>
      </c>
      <c r="P134" s="56" t="s">
        <v>4</v>
      </c>
      <c r="Q134" s="56"/>
      <c r="R134" s="50">
        <v>45913</v>
      </c>
      <c r="S134" s="50">
        <v>45918</v>
      </c>
      <c r="T134" s="51">
        <f t="shared" si="1"/>
        <v>5</v>
      </c>
      <c r="U134" s="56">
        <v>1</v>
      </c>
      <c r="V134" s="56">
        <v>1</v>
      </c>
      <c r="W134" s="56">
        <v>0</v>
      </c>
      <c r="X134" s="56">
        <v>1</v>
      </c>
      <c r="Y134" s="56">
        <v>0</v>
      </c>
      <c r="Z134" s="56">
        <v>1</v>
      </c>
      <c r="AA134" s="56">
        <v>0</v>
      </c>
      <c r="AB134" s="56"/>
      <c r="AC134" s="58">
        <v>45913</v>
      </c>
      <c r="AD134" s="59">
        <v>0.65972222221898846</v>
      </c>
      <c r="AE134" s="56" t="s">
        <v>101</v>
      </c>
      <c r="AF134" s="58">
        <v>45918</v>
      </c>
      <c r="AG134" s="59">
        <v>0.70138888889050577</v>
      </c>
      <c r="AH134" s="56" t="s">
        <v>96</v>
      </c>
      <c r="AI134" s="56" t="s">
        <v>593</v>
      </c>
      <c r="AJ134" s="56" t="s">
        <v>598</v>
      </c>
      <c r="AK134" s="56" t="s">
        <v>64</v>
      </c>
      <c r="AL134" s="56" t="s">
        <v>1</v>
      </c>
      <c r="AM134" s="56" t="s">
        <v>65</v>
      </c>
      <c r="AN134" s="60"/>
      <c r="AO134" s="61"/>
    </row>
    <row r="135" spans="3:41" ht="14.25" customHeight="1">
      <c r="C135" s="55" t="str">
        <f>IF($X135=1,COUNTIF($C$10:C134,"&gt;0")+1,"")</f>
        <v/>
      </c>
      <c r="D135" s="56"/>
      <c r="E135" s="56" t="s">
        <v>588</v>
      </c>
      <c r="F135" s="57" t="s">
        <v>599</v>
      </c>
      <c r="G135" s="56" t="s">
        <v>594</v>
      </c>
      <c r="H135" s="56" t="s">
        <v>600</v>
      </c>
      <c r="I135" s="56" t="s">
        <v>596</v>
      </c>
      <c r="J135" s="56" t="s">
        <v>68</v>
      </c>
      <c r="K135" s="56" t="s">
        <v>59</v>
      </c>
      <c r="L135" s="58">
        <v>23594</v>
      </c>
      <c r="M135" s="56">
        <v>61</v>
      </c>
      <c r="N135" s="56" t="s">
        <v>601</v>
      </c>
      <c r="O135" s="58">
        <v>46950</v>
      </c>
      <c r="P135" s="56" t="s">
        <v>4</v>
      </c>
      <c r="Q135" s="56"/>
      <c r="R135" s="50">
        <v>45913</v>
      </c>
      <c r="S135" s="50">
        <v>45918</v>
      </c>
      <c r="T135" s="51">
        <f t="shared" si="1"/>
        <v>5</v>
      </c>
      <c r="U135" s="56">
        <v>1</v>
      </c>
      <c r="V135" s="56">
        <v>1</v>
      </c>
      <c r="W135" s="56">
        <v>0</v>
      </c>
      <c r="X135" s="56">
        <v>0</v>
      </c>
      <c r="Y135" s="56">
        <v>0</v>
      </c>
      <c r="Z135" s="56">
        <v>0</v>
      </c>
      <c r="AA135" s="56">
        <v>0</v>
      </c>
      <c r="AB135" s="56"/>
      <c r="AC135" s="58">
        <v>45913</v>
      </c>
      <c r="AD135" s="59">
        <v>0.65972222221898846</v>
      </c>
      <c r="AE135" s="56" t="s">
        <v>101</v>
      </c>
      <c r="AF135" s="58">
        <v>45918</v>
      </c>
      <c r="AG135" s="59">
        <v>0.70138888889050577</v>
      </c>
      <c r="AH135" s="56" t="s">
        <v>96</v>
      </c>
      <c r="AI135" s="56" t="s">
        <v>593</v>
      </c>
      <c r="AJ135" s="56" t="s">
        <v>64</v>
      </c>
      <c r="AK135" s="56" t="s">
        <v>64</v>
      </c>
      <c r="AL135" s="56" t="s">
        <v>1</v>
      </c>
      <c r="AM135" s="56" t="s">
        <v>65</v>
      </c>
      <c r="AN135" s="60"/>
      <c r="AO135" s="61"/>
    </row>
    <row r="136" spans="3:41" ht="14.25" customHeight="1">
      <c r="C136" s="55">
        <f>IF($X136=1,COUNTIF($C$10:C135,"&gt;0")+1,"")</f>
        <v>65</v>
      </c>
      <c r="D136" s="56">
        <v>462710782</v>
      </c>
      <c r="E136" s="56" t="s">
        <v>588</v>
      </c>
      <c r="F136" s="57" t="s">
        <v>602</v>
      </c>
      <c r="G136" s="56" t="s">
        <v>602</v>
      </c>
      <c r="H136" s="56" t="s">
        <v>603</v>
      </c>
      <c r="I136" s="56" t="s">
        <v>604</v>
      </c>
      <c r="J136" s="56" t="s">
        <v>58</v>
      </c>
      <c r="K136" s="56" t="s">
        <v>59</v>
      </c>
      <c r="L136" s="58">
        <v>24221</v>
      </c>
      <c r="M136" s="56">
        <v>59</v>
      </c>
      <c r="N136" s="56" t="s">
        <v>605</v>
      </c>
      <c r="O136" s="58">
        <v>48002</v>
      </c>
      <c r="P136" s="56" t="s">
        <v>4</v>
      </c>
      <c r="Q136" s="56"/>
      <c r="R136" s="50">
        <v>45913</v>
      </c>
      <c r="S136" s="50">
        <v>45918</v>
      </c>
      <c r="T136" s="51">
        <f t="shared" si="1"/>
        <v>5</v>
      </c>
      <c r="U136" s="56">
        <v>1</v>
      </c>
      <c r="V136" s="56">
        <v>1</v>
      </c>
      <c r="W136" s="56">
        <v>0</v>
      </c>
      <c r="X136" s="56">
        <v>1</v>
      </c>
      <c r="Y136" s="56">
        <v>0</v>
      </c>
      <c r="Z136" s="56">
        <v>1</v>
      </c>
      <c r="AA136" s="56">
        <v>0</v>
      </c>
      <c r="AB136" s="56"/>
      <c r="AC136" s="58">
        <v>45913</v>
      </c>
      <c r="AD136" s="59">
        <v>0.69444444444525288</v>
      </c>
      <c r="AE136" s="56" t="s">
        <v>606</v>
      </c>
      <c r="AF136" s="58">
        <v>45918</v>
      </c>
      <c r="AG136" s="59">
        <v>0.39583333333575865</v>
      </c>
      <c r="AH136" s="56" t="s">
        <v>607</v>
      </c>
      <c r="AI136" s="56" t="s">
        <v>593</v>
      </c>
      <c r="AJ136" s="56" t="s">
        <v>64</v>
      </c>
      <c r="AK136" s="56" t="s">
        <v>64</v>
      </c>
      <c r="AL136" s="56" t="s">
        <v>1</v>
      </c>
      <c r="AM136" s="56" t="s">
        <v>65</v>
      </c>
      <c r="AN136" s="60"/>
      <c r="AO136" s="61"/>
    </row>
    <row r="137" spans="3:41" ht="14.25" customHeight="1">
      <c r="C137" s="55" t="str">
        <f>IF($X137=1,COUNTIF($C$10:C136,"&gt;0")+1,"")</f>
        <v/>
      </c>
      <c r="D137" s="56"/>
      <c r="E137" s="56" t="s">
        <v>588</v>
      </c>
      <c r="F137" s="57" t="s">
        <v>608</v>
      </c>
      <c r="G137" s="56" t="s">
        <v>602</v>
      </c>
      <c r="H137" s="56" t="s">
        <v>609</v>
      </c>
      <c r="I137" s="56" t="s">
        <v>604</v>
      </c>
      <c r="J137" s="56" t="s">
        <v>68</v>
      </c>
      <c r="K137" s="56" t="s">
        <v>59</v>
      </c>
      <c r="L137" s="58">
        <v>25473</v>
      </c>
      <c r="M137" s="56">
        <v>55</v>
      </c>
      <c r="N137" s="56" t="s">
        <v>610</v>
      </c>
      <c r="O137" s="58">
        <v>49468</v>
      </c>
      <c r="P137" s="56" t="s">
        <v>4</v>
      </c>
      <c r="Q137" s="56"/>
      <c r="R137" s="50">
        <v>45913</v>
      </c>
      <c r="S137" s="50">
        <v>45918</v>
      </c>
      <c r="T137" s="51">
        <f t="shared" si="1"/>
        <v>5</v>
      </c>
      <c r="U137" s="56">
        <v>1</v>
      </c>
      <c r="V137" s="56">
        <v>1</v>
      </c>
      <c r="W137" s="56">
        <v>0</v>
      </c>
      <c r="X137" s="56">
        <v>0</v>
      </c>
      <c r="Y137" s="56">
        <v>0</v>
      </c>
      <c r="Z137" s="56">
        <v>0</v>
      </c>
      <c r="AA137" s="56">
        <v>0</v>
      </c>
      <c r="AB137" s="56"/>
      <c r="AC137" s="58">
        <v>45913</v>
      </c>
      <c r="AD137" s="59">
        <v>0.69444444444525288</v>
      </c>
      <c r="AE137" s="56" t="s">
        <v>606</v>
      </c>
      <c r="AF137" s="58">
        <v>45918</v>
      </c>
      <c r="AG137" s="59">
        <v>0.39583333333575865</v>
      </c>
      <c r="AH137" s="56" t="s">
        <v>607</v>
      </c>
      <c r="AI137" s="56" t="s">
        <v>593</v>
      </c>
      <c r="AJ137" s="56" t="s">
        <v>64</v>
      </c>
      <c r="AK137" s="56" t="s">
        <v>64</v>
      </c>
      <c r="AL137" s="56" t="s">
        <v>1</v>
      </c>
      <c r="AM137" s="56" t="s">
        <v>65</v>
      </c>
      <c r="AN137" s="60"/>
      <c r="AO137" s="61"/>
    </row>
    <row r="138" spans="3:41" ht="14.25" customHeight="1">
      <c r="C138" s="55">
        <f>IF($X138=1,COUNTIF($C$10:C137,"&gt;0")+1,"")</f>
        <v>66</v>
      </c>
      <c r="D138" s="56">
        <v>462710783</v>
      </c>
      <c r="E138" s="56" t="s">
        <v>588</v>
      </c>
      <c r="F138" s="57" t="s">
        <v>611</v>
      </c>
      <c r="G138" s="56" t="s">
        <v>611</v>
      </c>
      <c r="H138" s="56" t="s">
        <v>612</v>
      </c>
      <c r="I138" s="56" t="s">
        <v>613</v>
      </c>
      <c r="J138" s="56" t="s">
        <v>68</v>
      </c>
      <c r="K138" s="56" t="s">
        <v>59</v>
      </c>
      <c r="L138" s="58">
        <v>19068</v>
      </c>
      <c r="M138" s="56">
        <v>73</v>
      </c>
      <c r="N138" s="56" t="s">
        <v>614</v>
      </c>
      <c r="O138" s="58">
        <v>47162</v>
      </c>
      <c r="P138" s="56" t="s">
        <v>5</v>
      </c>
      <c r="Q138" s="56"/>
      <c r="R138" s="50">
        <v>45913</v>
      </c>
      <c r="S138" s="50">
        <v>45918</v>
      </c>
      <c r="T138" s="51">
        <f t="shared" si="1"/>
        <v>5</v>
      </c>
      <c r="U138" s="56">
        <v>1</v>
      </c>
      <c r="V138" s="56">
        <v>1</v>
      </c>
      <c r="W138" s="56">
        <v>0</v>
      </c>
      <c r="X138" s="56">
        <v>1</v>
      </c>
      <c r="Y138" s="56">
        <v>0</v>
      </c>
      <c r="Z138" s="56">
        <v>0</v>
      </c>
      <c r="AA138" s="56">
        <v>1</v>
      </c>
      <c r="AB138" s="56"/>
      <c r="AC138" s="58">
        <v>45913</v>
      </c>
      <c r="AD138" s="59">
        <v>0.64583333333575865</v>
      </c>
      <c r="AE138" s="56" t="s">
        <v>312</v>
      </c>
      <c r="AF138" s="58">
        <v>45918</v>
      </c>
      <c r="AG138" s="59">
        <v>0.72569444444525288</v>
      </c>
      <c r="AH138" s="56" t="s">
        <v>313</v>
      </c>
      <c r="AI138" s="56" t="s">
        <v>593</v>
      </c>
      <c r="AJ138" s="56" t="s">
        <v>64</v>
      </c>
      <c r="AK138" s="56" t="s">
        <v>64</v>
      </c>
      <c r="AL138" s="56" t="s">
        <v>1</v>
      </c>
      <c r="AM138" s="56" t="s">
        <v>65</v>
      </c>
      <c r="AN138" s="60"/>
      <c r="AO138" s="61"/>
    </row>
    <row r="139" spans="3:41" ht="14.25" customHeight="1">
      <c r="C139" s="55" t="str">
        <f>IF($X139=1,COUNTIF($C$10:C138,"&gt;0")+1,"")</f>
        <v/>
      </c>
      <c r="D139" s="56"/>
      <c r="E139" s="56" t="s">
        <v>588</v>
      </c>
      <c r="F139" s="57" t="s">
        <v>615</v>
      </c>
      <c r="G139" s="56" t="s">
        <v>611</v>
      </c>
      <c r="H139" s="56" t="s">
        <v>616</v>
      </c>
      <c r="I139" s="56" t="s">
        <v>617</v>
      </c>
      <c r="J139" s="56" t="s">
        <v>68</v>
      </c>
      <c r="K139" s="56" t="s">
        <v>59</v>
      </c>
      <c r="L139" s="58">
        <v>21969</v>
      </c>
      <c r="M139" s="56">
        <v>65</v>
      </c>
      <c r="N139" s="56" t="s">
        <v>618</v>
      </c>
      <c r="O139" s="58">
        <v>47363</v>
      </c>
      <c r="P139" s="56" t="s">
        <v>5</v>
      </c>
      <c r="Q139" s="56"/>
      <c r="R139" s="50">
        <v>45913</v>
      </c>
      <c r="S139" s="50">
        <v>45918</v>
      </c>
      <c r="T139" s="51">
        <f t="shared" ref="T139:T204" si="2">S139-R139</f>
        <v>5</v>
      </c>
      <c r="U139" s="56">
        <v>1</v>
      </c>
      <c r="V139" s="56">
        <v>1</v>
      </c>
      <c r="W139" s="56">
        <v>0</v>
      </c>
      <c r="X139" s="56">
        <v>0</v>
      </c>
      <c r="Y139" s="56">
        <v>0</v>
      </c>
      <c r="Z139" s="56">
        <v>0</v>
      </c>
      <c r="AA139" s="56">
        <v>0</v>
      </c>
      <c r="AB139" s="56"/>
      <c r="AC139" s="58">
        <v>45913</v>
      </c>
      <c r="AD139" s="59">
        <v>0.22222222221898846</v>
      </c>
      <c r="AE139" s="56" t="s">
        <v>619</v>
      </c>
      <c r="AF139" s="58">
        <v>45918</v>
      </c>
      <c r="AG139" s="59">
        <v>0.8125</v>
      </c>
      <c r="AH139" s="56" t="s">
        <v>620</v>
      </c>
      <c r="AI139" s="56" t="s">
        <v>593</v>
      </c>
      <c r="AJ139" s="56" t="s">
        <v>64</v>
      </c>
      <c r="AK139" s="56" t="s">
        <v>64</v>
      </c>
      <c r="AL139" s="56" t="s">
        <v>1</v>
      </c>
      <c r="AM139" s="56" t="s">
        <v>65</v>
      </c>
      <c r="AN139" s="60"/>
      <c r="AO139" s="61"/>
    </row>
    <row r="140" spans="3:41" ht="14.25" customHeight="1">
      <c r="C140" s="55">
        <f>IF($X140=1,COUNTIF($C$10:C139,"&gt;0")+1,"")</f>
        <v>67</v>
      </c>
      <c r="D140" s="56">
        <v>462710784</v>
      </c>
      <c r="E140" s="56" t="s">
        <v>588</v>
      </c>
      <c r="F140" s="57" t="s">
        <v>621</v>
      </c>
      <c r="G140" s="56" t="s">
        <v>621</v>
      </c>
      <c r="H140" s="56" t="s">
        <v>622</v>
      </c>
      <c r="I140" s="56" t="s">
        <v>623</v>
      </c>
      <c r="J140" s="56" t="s">
        <v>68</v>
      </c>
      <c r="K140" s="56" t="s">
        <v>59</v>
      </c>
      <c r="L140" s="58">
        <v>23385</v>
      </c>
      <c r="M140" s="56">
        <v>61</v>
      </c>
      <c r="N140" s="56" t="s">
        <v>624</v>
      </c>
      <c r="O140" s="58">
        <v>47471</v>
      </c>
      <c r="P140" s="56" t="s">
        <v>5</v>
      </c>
      <c r="Q140" s="56"/>
      <c r="R140" s="50">
        <v>45913</v>
      </c>
      <c r="S140" s="50">
        <v>45918</v>
      </c>
      <c r="T140" s="51">
        <f t="shared" si="2"/>
        <v>5</v>
      </c>
      <c r="U140" s="56">
        <v>1</v>
      </c>
      <c r="V140" s="56">
        <v>1</v>
      </c>
      <c r="W140" s="56">
        <v>0</v>
      </c>
      <c r="X140" s="56">
        <v>1</v>
      </c>
      <c r="Y140" s="56">
        <v>0</v>
      </c>
      <c r="Z140" s="56">
        <v>0</v>
      </c>
      <c r="AA140" s="56">
        <v>1</v>
      </c>
      <c r="AB140" s="56"/>
      <c r="AC140" s="58">
        <v>45913</v>
      </c>
      <c r="AD140" s="59">
        <v>0.16666666666424135</v>
      </c>
      <c r="AE140" s="56" t="s">
        <v>625</v>
      </c>
      <c r="AF140" s="58">
        <v>45918</v>
      </c>
      <c r="AG140" s="59">
        <v>0.68402777778101154</v>
      </c>
      <c r="AH140" s="56" t="s">
        <v>274</v>
      </c>
      <c r="AI140" s="56" t="s">
        <v>593</v>
      </c>
      <c r="AJ140" s="56" t="s">
        <v>64</v>
      </c>
      <c r="AK140" s="56" t="s">
        <v>64</v>
      </c>
      <c r="AL140" s="56" t="s">
        <v>1</v>
      </c>
      <c r="AM140" s="56" t="s">
        <v>65</v>
      </c>
      <c r="AN140" s="60"/>
      <c r="AO140" s="61"/>
    </row>
    <row r="141" spans="3:41" ht="14.25" customHeight="1">
      <c r="C141" s="55" t="str">
        <f>IF($X141=1,COUNTIF($C$10:C140,"&gt;0")+1,"")</f>
        <v/>
      </c>
      <c r="D141" s="56"/>
      <c r="E141" s="56" t="s">
        <v>588</v>
      </c>
      <c r="F141" s="57" t="s">
        <v>626</v>
      </c>
      <c r="G141" s="56" t="s">
        <v>621</v>
      </c>
      <c r="H141" s="56" t="s">
        <v>627</v>
      </c>
      <c r="I141" s="56" t="s">
        <v>628</v>
      </c>
      <c r="J141" s="56" t="s">
        <v>68</v>
      </c>
      <c r="K141" s="56" t="s">
        <v>59</v>
      </c>
      <c r="L141" s="58">
        <v>25874</v>
      </c>
      <c r="M141" s="56">
        <v>54</v>
      </c>
      <c r="N141" s="56" t="s">
        <v>629</v>
      </c>
      <c r="O141" s="58">
        <v>46845</v>
      </c>
      <c r="P141" s="56" t="s">
        <v>5</v>
      </c>
      <c r="Q141" s="56"/>
      <c r="R141" s="50">
        <v>45913</v>
      </c>
      <c r="S141" s="50">
        <v>45918</v>
      </c>
      <c r="T141" s="51">
        <f t="shared" si="2"/>
        <v>5</v>
      </c>
      <c r="U141" s="56">
        <v>1</v>
      </c>
      <c r="V141" s="56">
        <v>1</v>
      </c>
      <c r="W141" s="56">
        <v>0</v>
      </c>
      <c r="X141" s="56">
        <v>0</v>
      </c>
      <c r="Y141" s="56">
        <v>0</v>
      </c>
      <c r="Z141" s="56">
        <v>0</v>
      </c>
      <c r="AA141" s="56">
        <v>0</v>
      </c>
      <c r="AB141" s="56"/>
      <c r="AC141" s="58">
        <v>45913</v>
      </c>
      <c r="AD141" s="59">
        <v>0.64583333333575865</v>
      </c>
      <c r="AE141" s="56" t="s">
        <v>312</v>
      </c>
      <c r="AF141" s="58">
        <v>45918</v>
      </c>
      <c r="AG141" s="59">
        <v>0.72569444444525288</v>
      </c>
      <c r="AH141" s="56" t="s">
        <v>313</v>
      </c>
      <c r="AI141" s="56" t="s">
        <v>593</v>
      </c>
      <c r="AJ141" s="56" t="s">
        <v>64</v>
      </c>
      <c r="AK141" s="56" t="s">
        <v>64</v>
      </c>
      <c r="AL141" s="56" t="s">
        <v>1</v>
      </c>
      <c r="AM141" s="56" t="s">
        <v>65</v>
      </c>
      <c r="AN141" s="60"/>
      <c r="AO141" s="61"/>
    </row>
    <row r="142" spans="3:41" ht="14.25" customHeight="1">
      <c r="C142" s="55">
        <f>IF($X142=1,COUNTIF($C$10:C141,"&gt;0")+1,"")</f>
        <v>68</v>
      </c>
      <c r="D142" s="56">
        <v>462710785</v>
      </c>
      <c r="E142" s="56" t="s">
        <v>588</v>
      </c>
      <c r="F142" s="57" t="s">
        <v>630</v>
      </c>
      <c r="G142" s="56" t="s">
        <v>630</v>
      </c>
      <c r="H142" s="56" t="s">
        <v>631</v>
      </c>
      <c r="I142" s="56" t="s">
        <v>632</v>
      </c>
      <c r="J142" s="56" t="s">
        <v>68</v>
      </c>
      <c r="K142" s="56" t="s">
        <v>59</v>
      </c>
      <c r="L142" s="58">
        <v>25296</v>
      </c>
      <c r="M142" s="56">
        <v>56</v>
      </c>
      <c r="N142" s="56" t="s">
        <v>633</v>
      </c>
      <c r="O142" s="58">
        <v>49434</v>
      </c>
      <c r="P142" s="56" t="s">
        <v>5</v>
      </c>
      <c r="Q142" s="56"/>
      <c r="R142" s="50">
        <v>45913</v>
      </c>
      <c r="S142" s="50">
        <v>45918</v>
      </c>
      <c r="T142" s="51">
        <f t="shared" si="2"/>
        <v>5</v>
      </c>
      <c r="U142" s="56">
        <v>1</v>
      </c>
      <c r="V142" s="56">
        <v>1</v>
      </c>
      <c r="W142" s="56">
        <v>0</v>
      </c>
      <c r="X142" s="56">
        <v>1</v>
      </c>
      <c r="Y142" s="56">
        <v>0</v>
      </c>
      <c r="Z142" s="56">
        <v>0</v>
      </c>
      <c r="AA142" s="56">
        <v>1</v>
      </c>
      <c r="AB142" s="56"/>
      <c r="AC142" s="58">
        <v>45913</v>
      </c>
      <c r="AD142" s="59">
        <v>0.64583333333575865</v>
      </c>
      <c r="AE142" s="56" t="s">
        <v>312</v>
      </c>
      <c r="AF142" s="58">
        <v>45918</v>
      </c>
      <c r="AG142" s="59">
        <v>0.72569444444525288</v>
      </c>
      <c r="AH142" s="56" t="s">
        <v>313</v>
      </c>
      <c r="AI142" s="56" t="s">
        <v>593</v>
      </c>
      <c r="AJ142" s="56" t="s">
        <v>64</v>
      </c>
      <c r="AK142" s="56" t="s">
        <v>64</v>
      </c>
      <c r="AL142" s="56" t="s">
        <v>1</v>
      </c>
      <c r="AM142" s="56" t="s">
        <v>65</v>
      </c>
      <c r="AN142" s="60"/>
      <c r="AO142" s="61"/>
    </row>
    <row r="143" spans="3:41" ht="14.25" customHeight="1">
      <c r="C143" s="55" t="str">
        <f>IF($X143=1,COUNTIF($C$10:C142,"&gt;0")+1,"")</f>
        <v/>
      </c>
      <c r="D143" s="56"/>
      <c r="E143" s="56" t="s">
        <v>588</v>
      </c>
      <c r="F143" s="57" t="s">
        <v>634</v>
      </c>
      <c r="G143" s="56" t="s">
        <v>630</v>
      </c>
      <c r="H143" s="56" t="s">
        <v>635</v>
      </c>
      <c r="I143" s="56" t="s">
        <v>636</v>
      </c>
      <c r="J143" s="56" t="s">
        <v>68</v>
      </c>
      <c r="K143" s="56" t="s">
        <v>59</v>
      </c>
      <c r="L143" s="58">
        <v>26376</v>
      </c>
      <c r="M143" s="56">
        <v>53</v>
      </c>
      <c r="N143" s="56" t="s">
        <v>637</v>
      </c>
      <c r="O143" s="58">
        <v>46081</v>
      </c>
      <c r="P143" s="56" t="s">
        <v>5</v>
      </c>
      <c r="Q143" s="56"/>
      <c r="R143" s="50">
        <v>45913</v>
      </c>
      <c r="S143" s="50">
        <v>45918</v>
      </c>
      <c r="T143" s="51">
        <f t="shared" si="2"/>
        <v>5</v>
      </c>
      <c r="U143" s="56">
        <v>1</v>
      </c>
      <c r="V143" s="56">
        <v>1</v>
      </c>
      <c r="W143" s="56">
        <v>0</v>
      </c>
      <c r="X143" s="56">
        <v>0</v>
      </c>
      <c r="Y143" s="56">
        <v>0</v>
      </c>
      <c r="Z143" s="56">
        <v>0</v>
      </c>
      <c r="AA143" s="56">
        <v>0</v>
      </c>
      <c r="AB143" s="56"/>
      <c r="AC143" s="58">
        <v>45913</v>
      </c>
      <c r="AD143" s="59">
        <v>0.64583333333575865</v>
      </c>
      <c r="AE143" s="56" t="s">
        <v>312</v>
      </c>
      <c r="AF143" s="58">
        <v>45918</v>
      </c>
      <c r="AG143" s="59">
        <v>0.72569444444525288</v>
      </c>
      <c r="AH143" s="56" t="s">
        <v>313</v>
      </c>
      <c r="AI143" s="56" t="s">
        <v>593</v>
      </c>
      <c r="AJ143" s="56" t="s">
        <v>64</v>
      </c>
      <c r="AK143" s="56" t="s">
        <v>64</v>
      </c>
      <c r="AL143" s="56" t="s">
        <v>1</v>
      </c>
      <c r="AM143" s="56" t="s">
        <v>65</v>
      </c>
      <c r="AN143" s="60"/>
      <c r="AO143" s="61"/>
    </row>
    <row r="144" spans="3:41" ht="14.25" customHeight="1">
      <c r="C144" s="55">
        <f>IF($X144=1,COUNTIF($C$10:C143,"&gt;0")+1,"")</f>
        <v>69</v>
      </c>
      <c r="D144" s="56">
        <v>462710786</v>
      </c>
      <c r="E144" s="56" t="s">
        <v>588</v>
      </c>
      <c r="F144" s="57" t="s">
        <v>638</v>
      </c>
      <c r="G144" s="56" t="s">
        <v>638</v>
      </c>
      <c r="H144" s="56" t="s">
        <v>639</v>
      </c>
      <c r="I144" s="56" t="s">
        <v>640</v>
      </c>
      <c r="J144" s="56" t="s">
        <v>68</v>
      </c>
      <c r="K144" s="56" t="s">
        <v>59</v>
      </c>
      <c r="L144" s="58">
        <v>25132</v>
      </c>
      <c r="M144" s="56">
        <v>56</v>
      </c>
      <c r="N144" s="56" t="s">
        <v>641</v>
      </c>
      <c r="O144" s="58">
        <v>49472</v>
      </c>
      <c r="P144" s="56" t="s">
        <v>5</v>
      </c>
      <c r="Q144" s="56"/>
      <c r="R144" s="50">
        <v>45913</v>
      </c>
      <c r="S144" s="50">
        <v>45918</v>
      </c>
      <c r="T144" s="51">
        <f t="shared" si="2"/>
        <v>5</v>
      </c>
      <c r="U144" s="56">
        <v>1</v>
      </c>
      <c r="V144" s="56">
        <v>1</v>
      </c>
      <c r="W144" s="56">
        <v>0</v>
      </c>
      <c r="X144" s="56">
        <v>1</v>
      </c>
      <c r="Y144" s="56">
        <v>0</v>
      </c>
      <c r="Z144" s="56">
        <v>0</v>
      </c>
      <c r="AA144" s="56">
        <v>1</v>
      </c>
      <c r="AB144" s="56"/>
      <c r="AC144" s="58">
        <v>45913</v>
      </c>
      <c r="AD144" s="59">
        <v>0.64583333333575865</v>
      </c>
      <c r="AE144" s="56" t="s">
        <v>312</v>
      </c>
      <c r="AF144" s="58">
        <v>45918</v>
      </c>
      <c r="AG144" s="59">
        <v>0.72569444444525288</v>
      </c>
      <c r="AH144" s="56" t="s">
        <v>313</v>
      </c>
      <c r="AI144" s="56" t="s">
        <v>593</v>
      </c>
      <c r="AJ144" s="56" t="s">
        <v>64</v>
      </c>
      <c r="AK144" s="56" t="s">
        <v>64</v>
      </c>
      <c r="AL144" s="56" t="s">
        <v>1</v>
      </c>
      <c r="AM144" s="56" t="s">
        <v>65</v>
      </c>
      <c r="AN144" s="60"/>
      <c r="AO144" s="61"/>
    </row>
    <row r="145" spans="3:41" ht="14.25" customHeight="1">
      <c r="C145" s="55" t="str">
        <f>IF($X145=1,COUNTIF($C$10:C144,"&gt;0")+1,"")</f>
        <v/>
      </c>
      <c r="D145" s="56"/>
      <c r="E145" s="56" t="s">
        <v>588</v>
      </c>
      <c r="F145" s="57" t="s">
        <v>642</v>
      </c>
      <c r="G145" s="56" t="s">
        <v>638</v>
      </c>
      <c r="H145" s="56" t="s">
        <v>643</v>
      </c>
      <c r="I145" s="56" t="s">
        <v>644</v>
      </c>
      <c r="J145" s="56" t="s">
        <v>68</v>
      </c>
      <c r="K145" s="56" t="s">
        <v>59</v>
      </c>
      <c r="L145" s="58">
        <v>27012</v>
      </c>
      <c r="M145" s="56">
        <v>51</v>
      </c>
      <c r="N145" s="56" t="s">
        <v>645</v>
      </c>
      <c r="O145" s="58">
        <v>48127</v>
      </c>
      <c r="P145" s="56" t="s">
        <v>5</v>
      </c>
      <c r="Q145" s="56"/>
      <c r="R145" s="50">
        <v>45913</v>
      </c>
      <c r="S145" s="50">
        <v>45918</v>
      </c>
      <c r="T145" s="51">
        <f t="shared" si="2"/>
        <v>5</v>
      </c>
      <c r="U145" s="56">
        <v>1</v>
      </c>
      <c r="V145" s="56">
        <v>1</v>
      </c>
      <c r="W145" s="56">
        <v>0</v>
      </c>
      <c r="X145" s="56">
        <v>0</v>
      </c>
      <c r="Y145" s="56">
        <v>0</v>
      </c>
      <c r="Z145" s="56">
        <v>0</v>
      </c>
      <c r="AA145" s="56">
        <v>0</v>
      </c>
      <c r="AB145" s="56"/>
      <c r="AC145" s="58">
        <v>45913</v>
      </c>
      <c r="AD145" s="59">
        <v>0.64583333333575865</v>
      </c>
      <c r="AE145" s="56" t="s">
        <v>312</v>
      </c>
      <c r="AF145" s="58">
        <v>45918</v>
      </c>
      <c r="AG145" s="59">
        <v>0.72569444444525288</v>
      </c>
      <c r="AH145" s="56" t="s">
        <v>313</v>
      </c>
      <c r="AI145" s="56" t="s">
        <v>593</v>
      </c>
      <c r="AJ145" s="56" t="s">
        <v>64</v>
      </c>
      <c r="AK145" s="56" t="s">
        <v>64</v>
      </c>
      <c r="AL145" s="56" t="s">
        <v>1</v>
      </c>
      <c r="AM145" s="56" t="s">
        <v>65</v>
      </c>
      <c r="AN145" s="60"/>
      <c r="AO145" s="61"/>
    </row>
    <row r="146" spans="3:41" ht="14.25" customHeight="1">
      <c r="C146" s="55">
        <f>IF($X146=1,COUNTIF($C$10:C145,"&gt;0")+1,"")</f>
        <v>70</v>
      </c>
      <c r="D146" s="56">
        <v>462710787</v>
      </c>
      <c r="E146" s="56" t="s">
        <v>588</v>
      </c>
      <c r="F146" s="57" t="s">
        <v>646</v>
      </c>
      <c r="G146" s="56" t="s">
        <v>646</v>
      </c>
      <c r="H146" s="56" t="s">
        <v>647</v>
      </c>
      <c r="I146" s="56" t="s">
        <v>648</v>
      </c>
      <c r="J146" s="56" t="s">
        <v>68</v>
      </c>
      <c r="K146" s="56" t="s">
        <v>59</v>
      </c>
      <c r="L146" s="58">
        <v>28037</v>
      </c>
      <c r="M146" s="56">
        <v>48</v>
      </c>
      <c r="N146" s="56" t="s">
        <v>649</v>
      </c>
      <c r="O146" s="58">
        <v>46263</v>
      </c>
      <c r="P146" s="56" t="s">
        <v>5</v>
      </c>
      <c r="Q146" s="56"/>
      <c r="R146" s="50">
        <v>45913</v>
      </c>
      <c r="S146" s="50">
        <v>45918</v>
      </c>
      <c r="T146" s="51">
        <f t="shared" si="2"/>
        <v>5</v>
      </c>
      <c r="U146" s="56">
        <v>1</v>
      </c>
      <c r="V146" s="56">
        <v>1</v>
      </c>
      <c r="W146" s="56">
        <v>0</v>
      </c>
      <c r="X146" s="56">
        <v>1</v>
      </c>
      <c r="Y146" s="56">
        <v>0</v>
      </c>
      <c r="Z146" s="56">
        <v>0</v>
      </c>
      <c r="AA146" s="56">
        <v>1</v>
      </c>
      <c r="AB146" s="56"/>
      <c r="AC146" s="58">
        <v>45913</v>
      </c>
      <c r="AD146" s="59">
        <v>0.64583333333575865</v>
      </c>
      <c r="AE146" s="56" t="s">
        <v>312</v>
      </c>
      <c r="AF146" s="58">
        <v>45918</v>
      </c>
      <c r="AG146" s="59">
        <v>0.72569444444525288</v>
      </c>
      <c r="AH146" s="56" t="s">
        <v>313</v>
      </c>
      <c r="AI146" s="56" t="s">
        <v>593</v>
      </c>
      <c r="AJ146" s="56" t="s">
        <v>64</v>
      </c>
      <c r="AK146" s="56" t="s">
        <v>64</v>
      </c>
      <c r="AL146" s="56" t="s">
        <v>1</v>
      </c>
      <c r="AM146" s="56" t="s">
        <v>65</v>
      </c>
      <c r="AN146" s="60"/>
      <c r="AO146" s="61"/>
    </row>
    <row r="147" spans="3:41" ht="14.25" customHeight="1">
      <c r="C147" s="55" t="str">
        <f>IF($X147=1,COUNTIF($C$10:C146,"&gt;0")+1,"")</f>
        <v/>
      </c>
      <c r="D147" s="56"/>
      <c r="E147" s="56" t="s">
        <v>588</v>
      </c>
      <c r="F147" s="57" t="s">
        <v>650</v>
      </c>
      <c r="G147" s="56" t="s">
        <v>646</v>
      </c>
      <c r="H147" s="56" t="s">
        <v>651</v>
      </c>
      <c r="I147" s="56" t="s">
        <v>652</v>
      </c>
      <c r="J147" s="56" t="s">
        <v>68</v>
      </c>
      <c r="K147" s="56" t="s">
        <v>59</v>
      </c>
      <c r="L147" s="58">
        <v>30659</v>
      </c>
      <c r="M147" s="56">
        <v>41</v>
      </c>
      <c r="N147" s="56" t="s">
        <v>653</v>
      </c>
      <c r="O147" s="58">
        <v>49420</v>
      </c>
      <c r="P147" s="56" t="s">
        <v>5</v>
      </c>
      <c r="Q147" s="56"/>
      <c r="R147" s="50">
        <v>45913</v>
      </c>
      <c r="S147" s="50">
        <v>45918</v>
      </c>
      <c r="T147" s="51">
        <f t="shared" si="2"/>
        <v>5</v>
      </c>
      <c r="U147" s="56">
        <v>1</v>
      </c>
      <c r="V147" s="56">
        <v>1</v>
      </c>
      <c r="W147" s="56">
        <v>0</v>
      </c>
      <c r="X147" s="56">
        <v>0</v>
      </c>
      <c r="Y147" s="56">
        <v>0</v>
      </c>
      <c r="Z147" s="56">
        <v>0</v>
      </c>
      <c r="AA147" s="56">
        <v>0</v>
      </c>
      <c r="AB147" s="56"/>
      <c r="AC147" s="58">
        <v>45913</v>
      </c>
      <c r="AD147" s="59">
        <v>0.64583333333575865</v>
      </c>
      <c r="AE147" s="56" t="s">
        <v>312</v>
      </c>
      <c r="AF147" s="58">
        <v>45918</v>
      </c>
      <c r="AG147" s="59">
        <v>0.72569444444525288</v>
      </c>
      <c r="AH147" s="56" t="s">
        <v>313</v>
      </c>
      <c r="AI147" s="56" t="s">
        <v>593</v>
      </c>
      <c r="AJ147" s="56" t="s">
        <v>64</v>
      </c>
      <c r="AK147" s="56" t="s">
        <v>64</v>
      </c>
      <c r="AL147" s="56" t="s">
        <v>1</v>
      </c>
      <c r="AM147" s="56" t="s">
        <v>65</v>
      </c>
      <c r="AN147" s="60"/>
      <c r="AO147" s="61"/>
    </row>
    <row r="148" spans="3:41" ht="14.25" customHeight="1">
      <c r="C148" s="55">
        <f>IF($X148=1,COUNTIF($C$10:C147,"&gt;0")+1,"")</f>
        <v>71</v>
      </c>
      <c r="D148" s="56">
        <v>462710788</v>
      </c>
      <c r="E148" s="56" t="s">
        <v>654</v>
      </c>
      <c r="F148" s="57" t="s">
        <v>655</v>
      </c>
      <c r="G148" s="56" t="s">
        <v>655</v>
      </c>
      <c r="H148" s="56" t="s">
        <v>656</v>
      </c>
      <c r="I148" s="56" t="s">
        <v>657</v>
      </c>
      <c r="J148" s="56" t="s">
        <v>58</v>
      </c>
      <c r="K148" s="56" t="s">
        <v>59</v>
      </c>
      <c r="L148" s="58">
        <v>29777</v>
      </c>
      <c r="M148" s="56">
        <v>44</v>
      </c>
      <c r="N148" s="56" t="s">
        <v>658</v>
      </c>
      <c r="O148" s="58">
        <v>48936</v>
      </c>
      <c r="P148" s="56" t="s">
        <v>3</v>
      </c>
      <c r="Q148" s="56"/>
      <c r="R148" s="50">
        <v>45913</v>
      </c>
      <c r="S148" s="50">
        <v>45918</v>
      </c>
      <c r="T148" s="51">
        <f t="shared" si="2"/>
        <v>5</v>
      </c>
      <c r="U148" s="56">
        <v>1</v>
      </c>
      <c r="V148" s="56">
        <v>1</v>
      </c>
      <c r="W148" s="56">
        <v>0</v>
      </c>
      <c r="X148" s="56">
        <v>1</v>
      </c>
      <c r="Y148" s="56">
        <v>1</v>
      </c>
      <c r="Z148" s="56">
        <v>0</v>
      </c>
      <c r="AA148" s="56">
        <v>0</v>
      </c>
      <c r="AB148" s="56"/>
      <c r="AC148" s="58">
        <v>45913</v>
      </c>
      <c r="AD148" s="59">
        <v>0.45833333333575865</v>
      </c>
      <c r="AE148" s="56" t="s">
        <v>244</v>
      </c>
      <c r="AF148" s="58">
        <v>45918</v>
      </c>
      <c r="AG148" s="59">
        <v>0.46180555555474712</v>
      </c>
      <c r="AH148" s="56" t="s">
        <v>659</v>
      </c>
      <c r="AI148" s="56" t="s">
        <v>660</v>
      </c>
      <c r="AJ148" s="56" t="s">
        <v>64</v>
      </c>
      <c r="AK148" s="56" t="s">
        <v>64</v>
      </c>
      <c r="AL148" s="56" t="s">
        <v>1</v>
      </c>
      <c r="AM148" s="56" t="s">
        <v>65</v>
      </c>
      <c r="AN148" s="60"/>
      <c r="AO148" s="61"/>
    </row>
    <row r="149" spans="3:41" ht="14.25" customHeight="1">
      <c r="C149" s="55">
        <f>IF($X149=1,COUNTIF($C$10:C148,"&gt;0")+1,"")</f>
        <v>72</v>
      </c>
      <c r="D149" s="56">
        <v>462710789</v>
      </c>
      <c r="E149" s="56" t="s">
        <v>654</v>
      </c>
      <c r="F149" s="57" t="s">
        <v>661</v>
      </c>
      <c r="G149" s="56" t="s">
        <v>661</v>
      </c>
      <c r="H149" s="56" t="s">
        <v>662</v>
      </c>
      <c r="I149" s="56" t="s">
        <v>82</v>
      </c>
      <c r="J149" s="56" t="s">
        <v>58</v>
      </c>
      <c r="K149" s="56" t="s">
        <v>59</v>
      </c>
      <c r="L149" s="58">
        <v>24448</v>
      </c>
      <c r="M149" s="56">
        <v>58</v>
      </c>
      <c r="N149" s="56" t="s">
        <v>663</v>
      </c>
      <c r="O149" s="58">
        <v>47812</v>
      </c>
      <c r="P149" s="56" t="s">
        <v>4</v>
      </c>
      <c r="Q149" s="56"/>
      <c r="R149" s="50">
        <v>45913</v>
      </c>
      <c r="S149" s="50">
        <v>45918</v>
      </c>
      <c r="T149" s="51">
        <f t="shared" si="2"/>
        <v>5</v>
      </c>
      <c r="U149" s="56">
        <v>1</v>
      </c>
      <c r="V149" s="56">
        <v>1</v>
      </c>
      <c r="W149" s="56">
        <v>0</v>
      </c>
      <c r="X149" s="56">
        <v>1</v>
      </c>
      <c r="Y149" s="56">
        <v>0</v>
      </c>
      <c r="Z149" s="56">
        <v>1</v>
      </c>
      <c r="AA149" s="56">
        <v>0</v>
      </c>
      <c r="AB149" s="56"/>
      <c r="AC149" s="58">
        <v>45912</v>
      </c>
      <c r="AD149" s="59">
        <v>0.64583333333575865</v>
      </c>
      <c r="AE149" s="56" t="s">
        <v>312</v>
      </c>
      <c r="AF149" s="58">
        <v>45923</v>
      </c>
      <c r="AG149" s="59">
        <v>0.72569444444525288</v>
      </c>
      <c r="AH149" s="56" t="s">
        <v>313</v>
      </c>
      <c r="AI149" s="56" t="s">
        <v>660</v>
      </c>
      <c r="AJ149" s="56" t="s">
        <v>598</v>
      </c>
      <c r="AK149" s="56" t="s">
        <v>64</v>
      </c>
      <c r="AL149" s="56" t="s">
        <v>1</v>
      </c>
      <c r="AM149" s="56" t="s">
        <v>65</v>
      </c>
      <c r="AN149" s="60"/>
      <c r="AO149" s="61"/>
    </row>
    <row r="150" spans="3:41" ht="14.25" customHeight="1">
      <c r="C150" s="55" t="str">
        <f>IF($X150=1,COUNTIF($C$10:C149,"&gt;0")+1,"")</f>
        <v/>
      </c>
      <c r="D150" s="56"/>
      <c r="E150" s="56" t="s">
        <v>654</v>
      </c>
      <c r="F150" s="57" t="s">
        <v>664</v>
      </c>
      <c r="G150" s="56" t="s">
        <v>661</v>
      </c>
      <c r="H150" s="56" t="s">
        <v>665</v>
      </c>
      <c r="I150" s="56" t="s">
        <v>666</v>
      </c>
      <c r="J150" s="56" t="s">
        <v>68</v>
      </c>
      <c r="K150" s="56" t="s">
        <v>59</v>
      </c>
      <c r="L150" s="58">
        <v>28098</v>
      </c>
      <c r="M150" s="56">
        <v>48</v>
      </c>
      <c r="N150" s="56" t="s">
        <v>667</v>
      </c>
      <c r="O150" s="58">
        <v>47811</v>
      </c>
      <c r="P150" s="56" t="s">
        <v>4</v>
      </c>
      <c r="Q150" s="56"/>
      <c r="R150" s="50">
        <v>45913</v>
      </c>
      <c r="S150" s="50">
        <v>45918</v>
      </c>
      <c r="T150" s="51">
        <f t="shared" si="2"/>
        <v>5</v>
      </c>
      <c r="U150" s="56">
        <v>1</v>
      </c>
      <c r="V150" s="56">
        <v>1</v>
      </c>
      <c r="W150" s="56">
        <v>0</v>
      </c>
      <c r="X150" s="56">
        <v>0</v>
      </c>
      <c r="Y150" s="56">
        <v>0</v>
      </c>
      <c r="Z150" s="56">
        <v>0</v>
      </c>
      <c r="AA150" s="56">
        <v>0</v>
      </c>
      <c r="AB150" s="56"/>
      <c r="AC150" s="58">
        <v>45912</v>
      </c>
      <c r="AD150" s="59">
        <v>0.64583333333575865</v>
      </c>
      <c r="AE150" s="56" t="s">
        <v>312</v>
      </c>
      <c r="AF150" s="58">
        <v>45923</v>
      </c>
      <c r="AG150" s="59">
        <v>0.72569444444525288</v>
      </c>
      <c r="AH150" s="56" t="s">
        <v>313</v>
      </c>
      <c r="AI150" s="56" t="s">
        <v>660</v>
      </c>
      <c r="AJ150" s="56" t="s">
        <v>64</v>
      </c>
      <c r="AK150" s="56" t="s">
        <v>64</v>
      </c>
      <c r="AL150" s="56" t="s">
        <v>1</v>
      </c>
      <c r="AM150" s="56" t="s">
        <v>65</v>
      </c>
      <c r="AN150" s="60"/>
      <c r="AO150" s="61"/>
    </row>
    <row r="151" spans="3:41" ht="14.25" customHeight="1">
      <c r="C151" s="55" t="str">
        <f>IF($X151=1,COUNTIF($C$10:C150,"&gt;0")+1,"")</f>
        <v/>
      </c>
      <c r="D151" s="56"/>
      <c r="E151" s="56" t="s">
        <v>654</v>
      </c>
      <c r="F151" s="57" t="s">
        <v>668</v>
      </c>
      <c r="G151" s="56" t="s">
        <v>661</v>
      </c>
      <c r="H151" s="56" t="s">
        <v>669</v>
      </c>
      <c r="I151" s="56" t="s">
        <v>82</v>
      </c>
      <c r="J151" s="56" t="s">
        <v>68</v>
      </c>
      <c r="K151" s="56" t="s">
        <v>59</v>
      </c>
      <c r="L151" s="58">
        <v>42549</v>
      </c>
      <c r="M151" s="56">
        <v>9</v>
      </c>
      <c r="N151" s="56" t="s">
        <v>670</v>
      </c>
      <c r="O151" s="58">
        <v>47355</v>
      </c>
      <c r="P151" s="56" t="s">
        <v>4</v>
      </c>
      <c r="Q151" s="56"/>
      <c r="R151" s="50">
        <v>45913</v>
      </c>
      <c r="S151" s="50">
        <v>45918</v>
      </c>
      <c r="T151" s="51">
        <f t="shared" si="2"/>
        <v>5</v>
      </c>
      <c r="U151" s="56">
        <v>1</v>
      </c>
      <c r="V151" s="56">
        <v>0</v>
      </c>
      <c r="W151" s="56">
        <v>1</v>
      </c>
      <c r="X151" s="56">
        <v>0</v>
      </c>
      <c r="Y151" s="56">
        <v>0</v>
      </c>
      <c r="Z151" s="56">
        <v>0</v>
      </c>
      <c r="AA151" s="56">
        <v>0</v>
      </c>
      <c r="AB151" s="56"/>
      <c r="AC151" s="58">
        <v>45912</v>
      </c>
      <c r="AD151" s="59">
        <v>0.64583333333575865</v>
      </c>
      <c r="AE151" s="56" t="s">
        <v>312</v>
      </c>
      <c r="AF151" s="58">
        <v>45920</v>
      </c>
      <c r="AG151" s="59">
        <v>0.72569444444525288</v>
      </c>
      <c r="AH151" s="56" t="s">
        <v>313</v>
      </c>
      <c r="AI151" s="56" t="s">
        <v>660</v>
      </c>
      <c r="AJ151" s="56" t="s">
        <v>64</v>
      </c>
      <c r="AK151" s="56" t="s">
        <v>64</v>
      </c>
      <c r="AL151" s="56" t="s">
        <v>1</v>
      </c>
      <c r="AM151" s="56" t="s">
        <v>65</v>
      </c>
      <c r="AN151" s="60"/>
      <c r="AO151" s="61"/>
    </row>
    <row r="152" spans="3:41" ht="14.25" customHeight="1">
      <c r="C152" s="55">
        <f>IF($X152=1,COUNTIF($C$10:C151,"&gt;0")+1,"")</f>
        <v>73</v>
      </c>
      <c r="D152" s="56">
        <v>462710790</v>
      </c>
      <c r="E152" s="56" t="s">
        <v>654</v>
      </c>
      <c r="F152" s="57" t="s">
        <v>671</v>
      </c>
      <c r="G152" s="56" t="s">
        <v>671</v>
      </c>
      <c r="H152" s="62" t="s">
        <v>672</v>
      </c>
      <c r="I152" s="62" t="s">
        <v>673</v>
      </c>
      <c r="J152" s="62" t="s">
        <v>68</v>
      </c>
      <c r="K152" s="62" t="s">
        <v>59</v>
      </c>
      <c r="L152" s="63">
        <v>35691</v>
      </c>
      <c r="M152" s="62">
        <v>28</v>
      </c>
      <c r="N152" s="62" t="s">
        <v>674</v>
      </c>
      <c r="O152" s="63">
        <v>47232</v>
      </c>
      <c r="P152" s="62" t="s">
        <v>4</v>
      </c>
      <c r="Q152" s="56"/>
      <c r="R152" s="50">
        <v>45913</v>
      </c>
      <c r="S152" s="50">
        <v>45918</v>
      </c>
      <c r="T152" s="51">
        <f t="shared" si="2"/>
        <v>5</v>
      </c>
      <c r="U152" s="56">
        <v>1</v>
      </c>
      <c r="V152" s="56">
        <v>1</v>
      </c>
      <c r="W152" s="56">
        <v>0</v>
      </c>
      <c r="X152" s="62">
        <v>1</v>
      </c>
      <c r="Y152" s="62">
        <v>0</v>
      </c>
      <c r="Z152" s="62">
        <v>1</v>
      </c>
      <c r="AA152" s="62">
        <v>0</v>
      </c>
      <c r="AB152" s="56"/>
      <c r="AC152" s="58">
        <v>45913</v>
      </c>
      <c r="AD152" s="59">
        <v>0.63888888889050577</v>
      </c>
      <c r="AE152" s="56" t="s">
        <v>84</v>
      </c>
      <c r="AF152" s="58">
        <v>45918</v>
      </c>
      <c r="AG152" s="59">
        <v>0.78472222221898846</v>
      </c>
      <c r="AH152" s="56" t="s">
        <v>393</v>
      </c>
      <c r="AI152" s="56" t="s">
        <v>660</v>
      </c>
      <c r="AJ152" s="56" t="s">
        <v>64</v>
      </c>
      <c r="AK152" s="56" t="s">
        <v>64</v>
      </c>
      <c r="AL152" s="56" t="s">
        <v>1</v>
      </c>
      <c r="AM152" s="56" t="s">
        <v>65</v>
      </c>
      <c r="AN152" s="60"/>
      <c r="AO152" s="64" t="s">
        <v>504</v>
      </c>
    </row>
    <row r="153" spans="3:41" ht="14.25" customHeight="1">
      <c r="C153" s="55" t="str">
        <f>IF($X153=1,COUNTIF($C$10:C152,"&gt;0")+1,"")</f>
        <v/>
      </c>
      <c r="D153" s="56"/>
      <c r="E153" s="56" t="s">
        <v>654</v>
      </c>
      <c r="F153" s="57" t="s">
        <v>675</v>
      </c>
      <c r="G153" s="56" t="s">
        <v>671</v>
      </c>
      <c r="H153" s="62" t="s">
        <v>676</v>
      </c>
      <c r="I153" s="62" t="s">
        <v>673</v>
      </c>
      <c r="J153" s="62" t="s">
        <v>68</v>
      </c>
      <c r="K153" s="62" t="s">
        <v>59</v>
      </c>
      <c r="L153" s="63">
        <v>34906</v>
      </c>
      <c r="M153" s="62">
        <v>30</v>
      </c>
      <c r="N153" s="62" t="s">
        <v>677</v>
      </c>
      <c r="O153" s="63">
        <v>46404</v>
      </c>
      <c r="P153" s="62" t="s">
        <v>4</v>
      </c>
      <c r="Q153" s="56"/>
      <c r="R153" s="50">
        <v>45913</v>
      </c>
      <c r="S153" s="50">
        <v>45918</v>
      </c>
      <c r="T153" s="51">
        <f t="shared" si="2"/>
        <v>5</v>
      </c>
      <c r="U153" s="56">
        <v>1</v>
      </c>
      <c r="V153" s="56">
        <v>1</v>
      </c>
      <c r="W153" s="56">
        <v>0</v>
      </c>
      <c r="X153" s="62">
        <v>0</v>
      </c>
      <c r="Y153" s="62">
        <v>0</v>
      </c>
      <c r="Z153" s="62">
        <v>0</v>
      </c>
      <c r="AA153" s="62">
        <v>0</v>
      </c>
      <c r="AB153" s="56"/>
      <c r="AC153" s="58">
        <v>45913</v>
      </c>
      <c r="AD153" s="59">
        <v>0.63888888889050577</v>
      </c>
      <c r="AE153" s="56" t="s">
        <v>84</v>
      </c>
      <c r="AF153" s="58">
        <v>45918</v>
      </c>
      <c r="AG153" s="59">
        <v>0.78472222221898846</v>
      </c>
      <c r="AH153" s="56" t="s">
        <v>393</v>
      </c>
      <c r="AI153" s="56" t="s">
        <v>660</v>
      </c>
      <c r="AJ153" s="56" t="s">
        <v>64</v>
      </c>
      <c r="AK153" s="56" t="s">
        <v>64</v>
      </c>
      <c r="AL153" s="56" t="s">
        <v>1</v>
      </c>
      <c r="AM153" s="56" t="s">
        <v>65</v>
      </c>
      <c r="AN153" s="60"/>
      <c r="AO153" s="64" t="s">
        <v>504</v>
      </c>
    </row>
    <row r="154" spans="3:41" ht="14.25" customHeight="1">
      <c r="C154" s="55">
        <f>IF($X154=1,COUNTIF($C$10:C153,"&gt;0")+1,"")</f>
        <v>74</v>
      </c>
      <c r="D154" s="56">
        <v>462710791</v>
      </c>
      <c r="E154" s="56" t="s">
        <v>654</v>
      </c>
      <c r="F154" s="57" t="s">
        <v>678</v>
      </c>
      <c r="G154" s="56" t="s">
        <v>678</v>
      </c>
      <c r="H154" s="56" t="s">
        <v>679</v>
      </c>
      <c r="I154" s="56" t="s">
        <v>673</v>
      </c>
      <c r="J154" s="56" t="s">
        <v>68</v>
      </c>
      <c r="K154" s="56" t="s">
        <v>59</v>
      </c>
      <c r="L154" s="58">
        <v>23361</v>
      </c>
      <c r="M154" s="56">
        <v>61</v>
      </c>
      <c r="N154" s="56" t="s">
        <v>680</v>
      </c>
      <c r="O154" s="58">
        <v>48667</v>
      </c>
      <c r="P154" s="56" t="s">
        <v>4</v>
      </c>
      <c r="Q154" s="56"/>
      <c r="R154" s="50">
        <v>45913</v>
      </c>
      <c r="S154" s="50">
        <v>45918</v>
      </c>
      <c r="T154" s="51">
        <f t="shared" si="2"/>
        <v>5</v>
      </c>
      <c r="U154" s="56">
        <v>1</v>
      </c>
      <c r="V154" s="56">
        <v>1</v>
      </c>
      <c r="W154" s="56">
        <v>0</v>
      </c>
      <c r="X154" s="56">
        <v>1</v>
      </c>
      <c r="Y154" s="56">
        <v>0</v>
      </c>
      <c r="Z154" s="56">
        <v>1</v>
      </c>
      <c r="AA154" s="56">
        <v>0</v>
      </c>
      <c r="AB154" s="56"/>
      <c r="AC154" s="58">
        <v>45913</v>
      </c>
      <c r="AD154" s="59">
        <v>0.63888888889050577</v>
      </c>
      <c r="AE154" s="56" t="s">
        <v>84</v>
      </c>
      <c r="AF154" s="58">
        <v>45918</v>
      </c>
      <c r="AG154" s="59">
        <v>0.78472222221898846</v>
      </c>
      <c r="AH154" s="56" t="s">
        <v>393</v>
      </c>
      <c r="AI154" s="56" t="s">
        <v>660</v>
      </c>
      <c r="AJ154" s="56" t="s">
        <v>64</v>
      </c>
      <c r="AK154" s="56" t="s">
        <v>64</v>
      </c>
      <c r="AL154" s="56" t="s">
        <v>1</v>
      </c>
      <c r="AM154" s="56" t="s">
        <v>65</v>
      </c>
      <c r="AN154" s="60"/>
      <c r="AO154" s="61"/>
    </row>
    <row r="155" spans="3:41" ht="14.25" customHeight="1">
      <c r="C155" s="55" t="str">
        <f>IF($X155=1,COUNTIF($C$10:C154,"&gt;0")+1,"")</f>
        <v/>
      </c>
      <c r="D155" s="56"/>
      <c r="E155" s="56" t="s">
        <v>654</v>
      </c>
      <c r="F155" s="57" t="s">
        <v>681</v>
      </c>
      <c r="G155" s="56" t="s">
        <v>678</v>
      </c>
      <c r="H155" s="56" t="s">
        <v>682</v>
      </c>
      <c r="I155" s="56" t="s">
        <v>673</v>
      </c>
      <c r="J155" s="56" t="s">
        <v>58</v>
      </c>
      <c r="K155" s="56" t="s">
        <v>59</v>
      </c>
      <c r="L155" s="58">
        <v>22571</v>
      </c>
      <c r="M155" s="56">
        <v>63</v>
      </c>
      <c r="N155" s="56" t="s">
        <v>683</v>
      </c>
      <c r="O155" s="58">
        <v>46223</v>
      </c>
      <c r="P155" s="56" t="s">
        <v>4</v>
      </c>
      <c r="Q155" s="56"/>
      <c r="R155" s="50">
        <v>45913</v>
      </c>
      <c r="S155" s="50">
        <v>45918</v>
      </c>
      <c r="T155" s="51">
        <f t="shared" si="2"/>
        <v>5</v>
      </c>
      <c r="U155" s="56">
        <v>1</v>
      </c>
      <c r="V155" s="56">
        <v>1</v>
      </c>
      <c r="W155" s="56">
        <v>0</v>
      </c>
      <c r="X155" s="56">
        <v>0</v>
      </c>
      <c r="Y155" s="56">
        <v>0</v>
      </c>
      <c r="Z155" s="56">
        <v>0</v>
      </c>
      <c r="AA155" s="56">
        <v>0</v>
      </c>
      <c r="AB155" s="56"/>
      <c r="AC155" s="58">
        <v>45913</v>
      </c>
      <c r="AD155" s="59">
        <v>0.63888888889050577</v>
      </c>
      <c r="AE155" s="56" t="s">
        <v>84</v>
      </c>
      <c r="AF155" s="58">
        <v>45918</v>
      </c>
      <c r="AG155" s="59">
        <v>0.78472222221898846</v>
      </c>
      <c r="AH155" s="56" t="s">
        <v>393</v>
      </c>
      <c r="AI155" s="56" t="s">
        <v>660</v>
      </c>
      <c r="AJ155" s="56" t="s">
        <v>64</v>
      </c>
      <c r="AK155" s="56" t="s">
        <v>64</v>
      </c>
      <c r="AL155" s="56" t="s">
        <v>1</v>
      </c>
      <c r="AM155" s="56" t="s">
        <v>65</v>
      </c>
      <c r="AN155" s="60"/>
      <c r="AO155" s="61"/>
    </row>
    <row r="156" spans="3:41" ht="14.25" customHeight="1">
      <c r="C156" s="55">
        <f>IF($X156=1,COUNTIF($C$10:C155,"&gt;0")+1,"")</f>
        <v>75</v>
      </c>
      <c r="D156" s="56">
        <v>462710792</v>
      </c>
      <c r="E156" s="56" t="s">
        <v>654</v>
      </c>
      <c r="F156" s="57" t="s">
        <v>684</v>
      </c>
      <c r="G156" s="56" t="s">
        <v>684</v>
      </c>
      <c r="H156" s="56" t="s">
        <v>685</v>
      </c>
      <c r="I156" s="56" t="s">
        <v>686</v>
      </c>
      <c r="J156" s="56" t="s">
        <v>58</v>
      </c>
      <c r="K156" s="56" t="s">
        <v>59</v>
      </c>
      <c r="L156" s="58">
        <v>31944</v>
      </c>
      <c r="M156" s="56">
        <v>38</v>
      </c>
      <c r="N156" s="56" t="s">
        <v>687</v>
      </c>
      <c r="O156" s="58">
        <v>48549</v>
      </c>
      <c r="P156" s="56" t="s">
        <v>4</v>
      </c>
      <c r="Q156" s="56"/>
      <c r="R156" s="50">
        <v>45913</v>
      </c>
      <c r="S156" s="50">
        <v>45918</v>
      </c>
      <c r="T156" s="51">
        <f t="shared" si="2"/>
        <v>5</v>
      </c>
      <c r="U156" s="56">
        <v>1</v>
      </c>
      <c r="V156" s="56">
        <v>1</v>
      </c>
      <c r="W156" s="56">
        <v>0</v>
      </c>
      <c r="X156" s="56">
        <v>1</v>
      </c>
      <c r="Y156" s="56">
        <v>0</v>
      </c>
      <c r="Z156" s="56">
        <v>1</v>
      </c>
      <c r="AA156" s="56">
        <v>0</v>
      </c>
      <c r="AB156" s="56"/>
      <c r="AC156" s="58">
        <v>45913</v>
      </c>
      <c r="AD156" s="59">
        <v>0.68402777778101154</v>
      </c>
      <c r="AE156" s="56" t="s">
        <v>688</v>
      </c>
      <c r="AF156" s="58">
        <v>45918</v>
      </c>
      <c r="AG156" s="59">
        <v>0.42708333333575865</v>
      </c>
      <c r="AH156" s="56" t="s">
        <v>689</v>
      </c>
      <c r="AI156" s="56" t="s">
        <v>660</v>
      </c>
      <c r="AJ156" s="56" t="s">
        <v>64</v>
      </c>
      <c r="AK156" s="56" t="s">
        <v>64</v>
      </c>
      <c r="AL156" s="56" t="s">
        <v>1</v>
      </c>
      <c r="AM156" s="56" t="s">
        <v>65</v>
      </c>
      <c r="AN156" s="60"/>
      <c r="AO156" s="61"/>
    </row>
    <row r="157" spans="3:41" ht="14.25" customHeight="1">
      <c r="C157" s="55" t="str">
        <f>IF($X157=1,COUNTIF($C$10:C156,"&gt;0")+1,"")</f>
        <v/>
      </c>
      <c r="D157" s="56"/>
      <c r="E157" s="56" t="s">
        <v>654</v>
      </c>
      <c r="F157" s="57" t="s">
        <v>690</v>
      </c>
      <c r="G157" s="56" t="s">
        <v>684</v>
      </c>
      <c r="H157" s="56" t="s">
        <v>691</v>
      </c>
      <c r="I157" s="56" t="s">
        <v>692</v>
      </c>
      <c r="J157" s="56" t="s">
        <v>68</v>
      </c>
      <c r="K157" s="56" t="s">
        <v>59</v>
      </c>
      <c r="L157" s="58">
        <v>32591</v>
      </c>
      <c r="M157" s="56">
        <v>36</v>
      </c>
      <c r="N157" s="56" t="s">
        <v>687</v>
      </c>
      <c r="O157" s="58">
        <v>48552</v>
      </c>
      <c r="P157" s="56" t="s">
        <v>4</v>
      </c>
      <c r="Q157" s="56"/>
      <c r="R157" s="50">
        <v>45913</v>
      </c>
      <c r="S157" s="50">
        <v>45918</v>
      </c>
      <c r="T157" s="51">
        <f t="shared" si="2"/>
        <v>5</v>
      </c>
      <c r="U157" s="56">
        <v>1</v>
      </c>
      <c r="V157" s="56">
        <v>1</v>
      </c>
      <c r="W157" s="56">
        <v>0</v>
      </c>
      <c r="X157" s="56">
        <v>0</v>
      </c>
      <c r="Y157" s="56">
        <v>0</v>
      </c>
      <c r="Z157" s="56">
        <v>0</v>
      </c>
      <c r="AA157" s="56">
        <v>0</v>
      </c>
      <c r="AB157" s="56"/>
      <c r="AC157" s="58">
        <v>45913</v>
      </c>
      <c r="AD157" s="59">
        <v>0.68402777778101154</v>
      </c>
      <c r="AE157" s="56" t="s">
        <v>688</v>
      </c>
      <c r="AF157" s="58">
        <v>45918</v>
      </c>
      <c r="AG157" s="59">
        <v>0.42708333333575865</v>
      </c>
      <c r="AH157" s="56" t="s">
        <v>689</v>
      </c>
      <c r="AI157" s="56" t="s">
        <v>660</v>
      </c>
      <c r="AJ157" s="56" t="s">
        <v>64</v>
      </c>
      <c r="AK157" s="56" t="s">
        <v>64</v>
      </c>
      <c r="AL157" s="56" t="s">
        <v>1</v>
      </c>
      <c r="AM157" s="56" t="s">
        <v>65</v>
      </c>
      <c r="AN157" s="60"/>
      <c r="AO157" s="61"/>
    </row>
    <row r="158" spans="3:41" ht="14.25" customHeight="1">
      <c r="C158" s="55">
        <f>IF($X158=1,COUNTIF($C$10:C157,"&gt;0")+1,"")</f>
        <v>76</v>
      </c>
      <c r="D158" s="56">
        <v>462710793</v>
      </c>
      <c r="E158" s="56" t="s">
        <v>654</v>
      </c>
      <c r="F158" s="57" t="s">
        <v>693</v>
      </c>
      <c r="G158" s="56" t="s">
        <v>684</v>
      </c>
      <c r="H158" s="56" t="s">
        <v>694</v>
      </c>
      <c r="I158" s="56" t="s">
        <v>686</v>
      </c>
      <c r="J158" s="56" t="s">
        <v>58</v>
      </c>
      <c r="K158" s="56" t="s">
        <v>59</v>
      </c>
      <c r="L158" s="58">
        <v>41488</v>
      </c>
      <c r="M158" s="56">
        <v>12</v>
      </c>
      <c r="N158" s="56" t="s">
        <v>695</v>
      </c>
      <c r="O158" s="58">
        <v>47582</v>
      </c>
      <c r="P158" s="56" t="s">
        <v>3</v>
      </c>
      <c r="Q158" s="56"/>
      <c r="R158" s="50">
        <v>45913</v>
      </c>
      <c r="S158" s="50">
        <v>45918</v>
      </c>
      <c r="T158" s="51">
        <f t="shared" si="2"/>
        <v>5</v>
      </c>
      <c r="U158" s="56">
        <v>1</v>
      </c>
      <c r="V158" s="56">
        <v>1</v>
      </c>
      <c r="W158" s="56">
        <v>0</v>
      </c>
      <c r="X158" s="56">
        <v>1</v>
      </c>
      <c r="Y158" s="56">
        <v>1</v>
      </c>
      <c r="Z158" s="56">
        <v>0</v>
      </c>
      <c r="AA158" s="56">
        <v>0</v>
      </c>
      <c r="AB158" s="56"/>
      <c r="AC158" s="58">
        <v>45913</v>
      </c>
      <c r="AD158" s="59">
        <v>0.68402777778101154</v>
      </c>
      <c r="AE158" s="56" t="s">
        <v>688</v>
      </c>
      <c r="AF158" s="58">
        <v>45918</v>
      </c>
      <c r="AG158" s="59">
        <v>0.42708333333575865</v>
      </c>
      <c r="AH158" s="56" t="s">
        <v>689</v>
      </c>
      <c r="AI158" s="56" t="s">
        <v>660</v>
      </c>
      <c r="AJ158" s="56" t="s">
        <v>64</v>
      </c>
      <c r="AK158" s="56" t="s">
        <v>64</v>
      </c>
      <c r="AL158" s="56" t="s">
        <v>1</v>
      </c>
      <c r="AM158" s="56" t="s">
        <v>65</v>
      </c>
      <c r="AN158" s="60"/>
      <c r="AO158" s="61"/>
    </row>
    <row r="159" spans="3:41" ht="14.25" customHeight="1">
      <c r="C159" s="55" t="str">
        <f>IF($X159=1,COUNTIF($C$10:C158,"&gt;0")+1,"")</f>
        <v/>
      </c>
      <c r="D159" s="56"/>
      <c r="E159" s="56" t="s">
        <v>654</v>
      </c>
      <c r="F159" s="57" t="s">
        <v>696</v>
      </c>
      <c r="G159" s="56" t="s">
        <v>684</v>
      </c>
      <c r="H159" s="56" t="s">
        <v>697</v>
      </c>
      <c r="I159" s="56" t="s">
        <v>686</v>
      </c>
      <c r="J159" s="56" t="s">
        <v>58</v>
      </c>
      <c r="K159" s="56" t="s">
        <v>59</v>
      </c>
      <c r="L159" s="58">
        <v>43161</v>
      </c>
      <c r="M159" s="56">
        <v>7</v>
      </c>
      <c r="N159" s="56" t="s">
        <v>698</v>
      </c>
      <c r="O159" s="58">
        <v>47248</v>
      </c>
      <c r="P159" s="56" t="s">
        <v>3</v>
      </c>
      <c r="Q159" s="56"/>
      <c r="R159" s="50">
        <v>45913</v>
      </c>
      <c r="S159" s="50">
        <v>45918</v>
      </c>
      <c r="T159" s="51">
        <f t="shared" si="2"/>
        <v>5</v>
      </c>
      <c r="U159" s="56">
        <v>1</v>
      </c>
      <c r="V159" s="56">
        <v>0</v>
      </c>
      <c r="W159" s="56">
        <v>1</v>
      </c>
      <c r="X159" s="56">
        <v>0</v>
      </c>
      <c r="Y159" s="56">
        <v>0</v>
      </c>
      <c r="Z159" s="56">
        <v>0</v>
      </c>
      <c r="AA159" s="56">
        <v>0</v>
      </c>
      <c r="AB159" s="56"/>
      <c r="AC159" s="58">
        <v>45913</v>
      </c>
      <c r="AD159" s="59">
        <v>0.68402777778101154</v>
      </c>
      <c r="AE159" s="56" t="s">
        <v>688</v>
      </c>
      <c r="AF159" s="58">
        <v>45918</v>
      </c>
      <c r="AG159" s="59">
        <v>0.42708333333575865</v>
      </c>
      <c r="AH159" s="56" t="s">
        <v>689</v>
      </c>
      <c r="AI159" s="56" t="s">
        <v>660</v>
      </c>
      <c r="AJ159" s="56" t="s">
        <v>64</v>
      </c>
      <c r="AK159" s="56" t="s">
        <v>64</v>
      </c>
      <c r="AL159" s="56" t="s">
        <v>1</v>
      </c>
      <c r="AM159" s="56" t="s">
        <v>65</v>
      </c>
      <c r="AN159" s="60"/>
      <c r="AO159" s="61"/>
    </row>
    <row r="160" spans="3:41" ht="14.25" customHeight="1">
      <c r="C160" s="55">
        <f>IF($X160=1,COUNTIF($C$10:C159,"&gt;0")+1,"")</f>
        <v>77</v>
      </c>
      <c r="D160" s="56">
        <v>462710794</v>
      </c>
      <c r="E160" s="56" t="s">
        <v>654</v>
      </c>
      <c r="F160" s="57" t="s">
        <v>699</v>
      </c>
      <c r="G160" s="56" t="s">
        <v>699</v>
      </c>
      <c r="H160" s="56" t="s">
        <v>700</v>
      </c>
      <c r="I160" s="56" t="s">
        <v>701</v>
      </c>
      <c r="J160" s="56" t="s">
        <v>58</v>
      </c>
      <c r="K160" s="56" t="s">
        <v>59</v>
      </c>
      <c r="L160" s="58">
        <v>34432</v>
      </c>
      <c r="M160" s="56">
        <v>31</v>
      </c>
      <c r="N160" s="56" t="s">
        <v>702</v>
      </c>
      <c r="O160" s="58">
        <v>46936</v>
      </c>
      <c r="P160" s="56" t="s">
        <v>4</v>
      </c>
      <c r="Q160" s="56"/>
      <c r="R160" s="50">
        <v>45913</v>
      </c>
      <c r="S160" s="50">
        <v>45918</v>
      </c>
      <c r="T160" s="51">
        <f t="shared" si="2"/>
        <v>5</v>
      </c>
      <c r="U160" s="56">
        <v>1</v>
      </c>
      <c r="V160" s="56">
        <v>1</v>
      </c>
      <c r="W160" s="56">
        <v>0</v>
      </c>
      <c r="X160" s="56">
        <v>1</v>
      </c>
      <c r="Y160" s="56">
        <v>0</v>
      </c>
      <c r="Z160" s="56">
        <v>1</v>
      </c>
      <c r="AA160" s="56">
        <v>0</v>
      </c>
      <c r="AB160" s="56"/>
      <c r="AC160" s="58">
        <v>45913</v>
      </c>
      <c r="AD160" s="59">
        <v>0.36111111110949423</v>
      </c>
      <c r="AE160" s="56" t="s">
        <v>703</v>
      </c>
      <c r="AF160" s="58">
        <v>45918</v>
      </c>
      <c r="AG160" s="59">
        <v>0.53125</v>
      </c>
      <c r="AH160" s="56" t="s">
        <v>269</v>
      </c>
      <c r="AI160" s="56" t="s">
        <v>660</v>
      </c>
      <c r="AJ160" s="56" t="s">
        <v>64</v>
      </c>
      <c r="AK160" s="56" t="s">
        <v>64</v>
      </c>
      <c r="AL160" s="56" t="s">
        <v>1</v>
      </c>
      <c r="AM160" s="56" t="s">
        <v>65</v>
      </c>
      <c r="AN160" s="60"/>
      <c r="AO160" s="61"/>
    </row>
    <row r="161" spans="3:41" ht="14.25" customHeight="1">
      <c r="C161" s="55" t="str">
        <f>IF($X161=1,COUNTIF($C$10:C160,"&gt;0")+1,"")</f>
        <v/>
      </c>
      <c r="D161" s="56"/>
      <c r="E161" s="56" t="s">
        <v>654</v>
      </c>
      <c r="F161" s="57" t="s">
        <v>704</v>
      </c>
      <c r="G161" s="56" t="s">
        <v>699</v>
      </c>
      <c r="H161" s="56" t="s">
        <v>705</v>
      </c>
      <c r="I161" s="56" t="s">
        <v>706</v>
      </c>
      <c r="J161" s="56" t="s">
        <v>68</v>
      </c>
      <c r="K161" s="56" t="s">
        <v>59</v>
      </c>
      <c r="L161" s="58">
        <v>33841</v>
      </c>
      <c r="M161" s="56">
        <v>33</v>
      </c>
      <c r="N161" s="56" t="s">
        <v>707</v>
      </c>
      <c r="O161" s="58">
        <v>46656</v>
      </c>
      <c r="P161" s="56" t="s">
        <v>4</v>
      </c>
      <c r="Q161" s="56"/>
      <c r="R161" s="50">
        <v>45913</v>
      </c>
      <c r="S161" s="50">
        <v>45918</v>
      </c>
      <c r="T161" s="51">
        <f t="shared" si="2"/>
        <v>5</v>
      </c>
      <c r="U161" s="56">
        <v>1</v>
      </c>
      <c r="V161" s="56">
        <v>1</v>
      </c>
      <c r="W161" s="56">
        <v>0</v>
      </c>
      <c r="X161" s="56">
        <v>0</v>
      </c>
      <c r="Y161" s="56">
        <v>0</v>
      </c>
      <c r="Z161" s="56">
        <v>0</v>
      </c>
      <c r="AA161" s="56">
        <v>0</v>
      </c>
      <c r="AB161" s="56"/>
      <c r="AC161" s="58">
        <v>45913</v>
      </c>
      <c r="AD161" s="59">
        <v>0.36111111110949423</v>
      </c>
      <c r="AE161" s="56" t="s">
        <v>703</v>
      </c>
      <c r="AF161" s="58">
        <v>45918</v>
      </c>
      <c r="AG161" s="59">
        <v>0.53125</v>
      </c>
      <c r="AH161" s="56" t="s">
        <v>269</v>
      </c>
      <c r="AI161" s="56" t="s">
        <v>660</v>
      </c>
      <c r="AJ161" s="56" t="s">
        <v>64</v>
      </c>
      <c r="AK161" s="56" t="s">
        <v>64</v>
      </c>
      <c r="AL161" s="56" t="s">
        <v>1</v>
      </c>
      <c r="AM161" s="56" t="s">
        <v>65</v>
      </c>
      <c r="AN161" s="60"/>
      <c r="AO161" s="61"/>
    </row>
    <row r="162" spans="3:41" ht="14.25" customHeight="1">
      <c r="C162" s="55">
        <f>IF($X162=1,COUNTIF($C$10:C161,"&gt;0")+1,"")</f>
        <v>78</v>
      </c>
      <c r="D162" s="56">
        <v>462710795</v>
      </c>
      <c r="E162" s="56" t="s">
        <v>654</v>
      </c>
      <c r="F162" s="57" t="s">
        <v>708</v>
      </c>
      <c r="G162" s="56" t="s">
        <v>708</v>
      </c>
      <c r="H162" s="56" t="s">
        <v>709</v>
      </c>
      <c r="I162" s="56" t="s">
        <v>710</v>
      </c>
      <c r="J162" s="56" t="s">
        <v>68</v>
      </c>
      <c r="K162" s="56" t="s">
        <v>59</v>
      </c>
      <c r="L162" s="58">
        <v>28994</v>
      </c>
      <c r="M162" s="56">
        <v>46</v>
      </c>
      <c r="N162" s="56" t="s">
        <v>711</v>
      </c>
      <c r="O162" s="58">
        <v>47847</v>
      </c>
      <c r="P162" s="56" t="s">
        <v>4</v>
      </c>
      <c r="Q162" s="56"/>
      <c r="R162" s="50">
        <v>45913</v>
      </c>
      <c r="S162" s="50">
        <v>45918</v>
      </c>
      <c r="T162" s="51">
        <f t="shared" si="2"/>
        <v>5</v>
      </c>
      <c r="U162" s="56">
        <v>1</v>
      </c>
      <c r="V162" s="56">
        <v>1</v>
      </c>
      <c r="W162" s="56">
        <v>0</v>
      </c>
      <c r="X162" s="56">
        <v>1</v>
      </c>
      <c r="Y162" s="56">
        <v>0</v>
      </c>
      <c r="Z162" s="56">
        <v>1</v>
      </c>
      <c r="AA162" s="56">
        <v>0</v>
      </c>
      <c r="AB162" s="56"/>
      <c r="AC162" s="58">
        <v>45913</v>
      </c>
      <c r="AD162" s="59">
        <v>0.85416666666424135</v>
      </c>
      <c r="AE162" s="56" t="s">
        <v>712</v>
      </c>
      <c r="AF162" s="58">
        <v>45918</v>
      </c>
      <c r="AG162" s="59">
        <v>0.87152777778101154</v>
      </c>
      <c r="AH162" s="56" t="s">
        <v>102</v>
      </c>
      <c r="AI162" s="56" t="s">
        <v>660</v>
      </c>
      <c r="AJ162" s="56" t="s">
        <v>64</v>
      </c>
      <c r="AK162" s="56" t="s">
        <v>64</v>
      </c>
      <c r="AL162" s="56" t="s">
        <v>1</v>
      </c>
      <c r="AM162" s="56" t="s">
        <v>65</v>
      </c>
      <c r="AN162" s="60" t="s">
        <v>331</v>
      </c>
      <c r="AO162" s="61"/>
    </row>
    <row r="163" spans="3:41" ht="14.25" customHeight="1">
      <c r="C163" s="55" t="str">
        <f>IF($X163=1,COUNTIF($C$10:C162,"&gt;0")+1,"")</f>
        <v/>
      </c>
      <c r="D163" s="56"/>
      <c r="E163" s="56" t="s">
        <v>654</v>
      </c>
      <c r="F163" s="57" t="s">
        <v>713</v>
      </c>
      <c r="G163" s="56" t="s">
        <v>708</v>
      </c>
      <c r="H163" s="56" t="s">
        <v>714</v>
      </c>
      <c r="I163" s="56" t="s">
        <v>715</v>
      </c>
      <c r="J163" s="56" t="s">
        <v>68</v>
      </c>
      <c r="K163" s="56" t="s">
        <v>59</v>
      </c>
      <c r="L163" s="58">
        <v>39498</v>
      </c>
      <c r="M163" s="56">
        <v>17</v>
      </c>
      <c r="N163" s="56" t="s">
        <v>716</v>
      </c>
      <c r="O163" s="58">
        <v>47031</v>
      </c>
      <c r="P163" s="56" t="s">
        <v>4</v>
      </c>
      <c r="Q163" s="56"/>
      <c r="R163" s="50">
        <v>45913</v>
      </c>
      <c r="S163" s="50">
        <v>45918</v>
      </c>
      <c r="T163" s="51">
        <f t="shared" si="2"/>
        <v>5</v>
      </c>
      <c r="U163" s="56">
        <v>1</v>
      </c>
      <c r="V163" s="56">
        <v>1</v>
      </c>
      <c r="W163" s="56">
        <v>0</v>
      </c>
      <c r="X163" s="56">
        <v>0</v>
      </c>
      <c r="Y163" s="56">
        <v>0</v>
      </c>
      <c r="Z163" s="56">
        <v>0</v>
      </c>
      <c r="AA163" s="56">
        <v>0</v>
      </c>
      <c r="AB163" s="56"/>
      <c r="AC163" s="58">
        <v>45913</v>
      </c>
      <c r="AD163" s="59">
        <v>0.85416666666424135</v>
      </c>
      <c r="AE163" s="56" t="s">
        <v>712</v>
      </c>
      <c r="AF163" s="58">
        <v>45918</v>
      </c>
      <c r="AG163" s="59">
        <v>0.87152777778101154</v>
      </c>
      <c r="AH163" s="56" t="s">
        <v>102</v>
      </c>
      <c r="AI163" s="56" t="s">
        <v>660</v>
      </c>
      <c r="AJ163" s="56" t="s">
        <v>64</v>
      </c>
      <c r="AK163" s="56" t="s">
        <v>64</v>
      </c>
      <c r="AL163" s="56" t="s">
        <v>1</v>
      </c>
      <c r="AM163" s="56" t="s">
        <v>65</v>
      </c>
      <c r="AN163" s="60" t="s">
        <v>331</v>
      </c>
      <c r="AO163" s="61"/>
    </row>
    <row r="164" spans="3:41" ht="14.25" customHeight="1">
      <c r="C164" s="55">
        <f>IF($X164=1,COUNTIF($C$10:C163,"&gt;0")+1,"")</f>
        <v>79</v>
      </c>
      <c r="D164" s="56">
        <v>462710796</v>
      </c>
      <c r="E164" s="56" t="s">
        <v>654</v>
      </c>
      <c r="F164" s="57" t="s">
        <v>717</v>
      </c>
      <c r="G164" s="56" t="s">
        <v>717</v>
      </c>
      <c r="H164" s="56" t="s">
        <v>718</v>
      </c>
      <c r="I164" s="56" t="s">
        <v>719</v>
      </c>
      <c r="J164" s="56" t="s">
        <v>58</v>
      </c>
      <c r="K164" s="56" t="s">
        <v>59</v>
      </c>
      <c r="L164" s="58">
        <v>25530</v>
      </c>
      <c r="M164" s="56">
        <v>55</v>
      </c>
      <c r="N164" s="56" t="s">
        <v>720</v>
      </c>
      <c r="O164" s="58">
        <v>47492</v>
      </c>
      <c r="P164" s="56" t="s">
        <v>5</v>
      </c>
      <c r="Q164" s="56"/>
      <c r="R164" s="50">
        <v>45913</v>
      </c>
      <c r="S164" s="50">
        <v>45918</v>
      </c>
      <c r="T164" s="51">
        <f t="shared" si="2"/>
        <v>5</v>
      </c>
      <c r="U164" s="56">
        <v>1</v>
      </c>
      <c r="V164" s="56">
        <v>1</v>
      </c>
      <c r="W164" s="56">
        <v>0</v>
      </c>
      <c r="X164" s="56">
        <v>1</v>
      </c>
      <c r="Y164" s="56">
        <v>0</v>
      </c>
      <c r="Z164" s="56">
        <v>0</v>
      </c>
      <c r="AA164" s="56">
        <v>1</v>
      </c>
      <c r="AB164" s="56"/>
      <c r="AC164" s="58" t="s">
        <v>64</v>
      </c>
      <c r="AD164" s="59" t="s">
        <v>64</v>
      </c>
      <c r="AE164" s="56" t="s">
        <v>64</v>
      </c>
      <c r="AF164" s="58" t="s">
        <v>64</v>
      </c>
      <c r="AG164" s="59" t="s">
        <v>64</v>
      </c>
      <c r="AH164" s="56" t="s">
        <v>64</v>
      </c>
      <c r="AI164" s="56" t="s">
        <v>660</v>
      </c>
      <c r="AJ164" s="56" t="s">
        <v>64</v>
      </c>
      <c r="AK164" s="56" t="s">
        <v>64</v>
      </c>
      <c r="AL164" s="56" t="s">
        <v>1</v>
      </c>
      <c r="AM164" s="56" t="s">
        <v>65</v>
      </c>
      <c r="AN164" s="60"/>
      <c r="AO164" s="61"/>
    </row>
    <row r="165" spans="3:41" ht="14.25" customHeight="1">
      <c r="C165" s="55" t="str">
        <f>IF($X165=1,COUNTIF($C$10:C164,"&gt;0")+1,"")</f>
        <v/>
      </c>
      <c r="D165" s="56"/>
      <c r="E165" s="56" t="s">
        <v>654</v>
      </c>
      <c r="F165" s="57" t="s">
        <v>721</v>
      </c>
      <c r="G165" s="56" t="s">
        <v>717</v>
      </c>
      <c r="H165" s="56" t="s">
        <v>722</v>
      </c>
      <c r="I165" s="56" t="s">
        <v>719</v>
      </c>
      <c r="J165" s="56" t="s">
        <v>68</v>
      </c>
      <c r="K165" s="56" t="s">
        <v>59</v>
      </c>
      <c r="L165" s="58">
        <v>26119</v>
      </c>
      <c r="M165" s="56">
        <v>54</v>
      </c>
      <c r="N165" s="56" t="s">
        <v>723</v>
      </c>
      <c r="O165" s="58">
        <v>47686</v>
      </c>
      <c r="P165" s="56" t="s">
        <v>5</v>
      </c>
      <c r="Q165" s="56"/>
      <c r="R165" s="50">
        <v>45913</v>
      </c>
      <c r="S165" s="50">
        <v>45918</v>
      </c>
      <c r="T165" s="51">
        <f t="shared" si="2"/>
        <v>5</v>
      </c>
      <c r="U165" s="56">
        <v>1</v>
      </c>
      <c r="V165" s="56">
        <v>1</v>
      </c>
      <c r="W165" s="56">
        <v>0</v>
      </c>
      <c r="X165" s="56">
        <v>0</v>
      </c>
      <c r="Y165" s="56">
        <v>0</v>
      </c>
      <c r="Z165" s="56">
        <v>0</v>
      </c>
      <c r="AA165" s="56">
        <v>0</v>
      </c>
      <c r="AB165" s="56"/>
      <c r="AC165" s="58" t="s">
        <v>64</v>
      </c>
      <c r="AD165" s="59" t="s">
        <v>64</v>
      </c>
      <c r="AE165" s="56" t="s">
        <v>64</v>
      </c>
      <c r="AF165" s="58" t="s">
        <v>64</v>
      </c>
      <c r="AG165" s="59" t="s">
        <v>64</v>
      </c>
      <c r="AH165" s="56" t="s">
        <v>64</v>
      </c>
      <c r="AI165" s="56" t="s">
        <v>660</v>
      </c>
      <c r="AJ165" s="56" t="s">
        <v>64</v>
      </c>
      <c r="AK165" s="56" t="s">
        <v>64</v>
      </c>
      <c r="AL165" s="56" t="s">
        <v>1</v>
      </c>
      <c r="AM165" s="56" t="s">
        <v>65</v>
      </c>
      <c r="AN165" s="60"/>
      <c r="AO165" s="61"/>
    </row>
    <row r="166" spans="3:41" ht="14.25" customHeight="1">
      <c r="C166" s="55">
        <f>IF($X166=1,COUNTIF($C$10:C165,"&gt;0")+1,"")</f>
        <v>80</v>
      </c>
      <c r="D166" s="56">
        <v>462710797</v>
      </c>
      <c r="E166" s="56" t="s">
        <v>654</v>
      </c>
      <c r="F166" s="57" t="s">
        <v>724</v>
      </c>
      <c r="G166" s="56" t="s">
        <v>724</v>
      </c>
      <c r="H166" s="56" t="s">
        <v>725</v>
      </c>
      <c r="I166" s="56" t="s">
        <v>726</v>
      </c>
      <c r="J166" s="56" t="s">
        <v>58</v>
      </c>
      <c r="K166" s="56" t="s">
        <v>59</v>
      </c>
      <c r="L166" s="58">
        <v>22821</v>
      </c>
      <c r="M166" s="56">
        <v>63</v>
      </c>
      <c r="N166" s="56" t="s">
        <v>727</v>
      </c>
      <c r="O166" s="58">
        <v>47244</v>
      </c>
      <c r="P166" s="56" t="s">
        <v>3</v>
      </c>
      <c r="Q166" s="56"/>
      <c r="R166" s="50">
        <v>45913</v>
      </c>
      <c r="S166" s="50">
        <v>45918</v>
      </c>
      <c r="T166" s="51">
        <f t="shared" si="2"/>
        <v>5</v>
      </c>
      <c r="U166" s="56">
        <v>1</v>
      </c>
      <c r="V166" s="56">
        <v>1</v>
      </c>
      <c r="W166" s="56">
        <v>0</v>
      </c>
      <c r="X166" s="56">
        <v>1</v>
      </c>
      <c r="Y166" s="56">
        <v>1</v>
      </c>
      <c r="Z166" s="56">
        <v>0</v>
      </c>
      <c r="AA166" s="56">
        <v>0</v>
      </c>
      <c r="AB166" s="56"/>
      <c r="AC166" s="58">
        <v>45913</v>
      </c>
      <c r="AD166" s="59">
        <v>0.64583333333575865</v>
      </c>
      <c r="AE166" s="56" t="s">
        <v>312</v>
      </c>
      <c r="AF166" s="58">
        <v>45918</v>
      </c>
      <c r="AG166" s="59">
        <v>0.72569444444525288</v>
      </c>
      <c r="AH166" s="56" t="s">
        <v>313</v>
      </c>
      <c r="AI166" s="56" t="s">
        <v>660</v>
      </c>
      <c r="AJ166" s="56" t="s">
        <v>64</v>
      </c>
      <c r="AK166" s="56" t="s">
        <v>64</v>
      </c>
      <c r="AL166" s="56" t="s">
        <v>1</v>
      </c>
      <c r="AM166" s="56" t="s">
        <v>65</v>
      </c>
      <c r="AN166" s="60"/>
      <c r="AO166" s="61"/>
    </row>
    <row r="167" spans="3:41" ht="14.25" customHeight="1">
      <c r="C167" s="55">
        <f>IF($X167=1,COUNTIF($C$10:C166,"&gt;0")+1,"")</f>
        <v>81</v>
      </c>
      <c r="D167" s="56">
        <v>462710798</v>
      </c>
      <c r="E167" s="56" t="s">
        <v>654</v>
      </c>
      <c r="F167" s="57" t="s">
        <v>728</v>
      </c>
      <c r="G167" s="56" t="s">
        <v>728</v>
      </c>
      <c r="H167" s="56" t="s">
        <v>729</v>
      </c>
      <c r="I167" s="56" t="s">
        <v>438</v>
      </c>
      <c r="J167" s="56" t="s">
        <v>58</v>
      </c>
      <c r="K167" s="56" t="s">
        <v>59</v>
      </c>
      <c r="L167" s="58">
        <v>29259</v>
      </c>
      <c r="M167" s="56">
        <v>45</v>
      </c>
      <c r="N167" s="56" t="s">
        <v>730</v>
      </c>
      <c r="O167" s="58">
        <v>49498</v>
      </c>
      <c r="P167" s="56" t="s">
        <v>5</v>
      </c>
      <c r="Q167" s="56"/>
      <c r="R167" s="50">
        <v>45913</v>
      </c>
      <c r="S167" s="50">
        <v>45918</v>
      </c>
      <c r="T167" s="51">
        <f t="shared" si="2"/>
        <v>5</v>
      </c>
      <c r="U167" s="56">
        <v>1</v>
      </c>
      <c r="V167" s="56">
        <v>1</v>
      </c>
      <c r="W167" s="56">
        <v>0</v>
      </c>
      <c r="X167" s="56">
        <v>1</v>
      </c>
      <c r="Y167" s="56">
        <v>0</v>
      </c>
      <c r="Z167" s="56">
        <v>0</v>
      </c>
      <c r="AA167" s="56">
        <v>1</v>
      </c>
      <c r="AB167" s="56"/>
      <c r="AC167" s="58">
        <v>45913</v>
      </c>
      <c r="AD167" s="59">
        <v>0.32986111110949423</v>
      </c>
      <c r="AE167" s="56" t="s">
        <v>731</v>
      </c>
      <c r="AF167" s="58" t="s">
        <v>64</v>
      </c>
      <c r="AG167" s="59" t="s">
        <v>64</v>
      </c>
      <c r="AH167" s="56" t="s">
        <v>64</v>
      </c>
      <c r="AI167" s="56" t="s">
        <v>660</v>
      </c>
      <c r="AJ167" s="56" t="s">
        <v>64</v>
      </c>
      <c r="AK167" s="56" t="s">
        <v>64</v>
      </c>
      <c r="AL167" s="56" t="s">
        <v>1</v>
      </c>
      <c r="AM167" s="56" t="s">
        <v>65</v>
      </c>
      <c r="AN167" s="60"/>
      <c r="AO167" s="61"/>
    </row>
    <row r="168" spans="3:41" ht="14.25" customHeight="1">
      <c r="C168" s="55" t="str">
        <f>IF($X168=1,COUNTIF($C$10:C167,"&gt;0")+1,"")</f>
        <v/>
      </c>
      <c r="D168" s="56"/>
      <c r="E168" s="56" t="s">
        <v>654</v>
      </c>
      <c r="F168" s="57" t="s">
        <v>732</v>
      </c>
      <c r="G168" s="56" t="s">
        <v>728</v>
      </c>
      <c r="H168" s="56" t="s">
        <v>733</v>
      </c>
      <c r="I168" s="56" t="s">
        <v>82</v>
      </c>
      <c r="J168" s="56" t="s">
        <v>68</v>
      </c>
      <c r="K168" s="56" t="s">
        <v>59</v>
      </c>
      <c r="L168" s="58">
        <v>29952</v>
      </c>
      <c r="M168" s="56">
        <v>43</v>
      </c>
      <c r="N168" s="56" t="s">
        <v>64</v>
      </c>
      <c r="O168" s="58" t="s">
        <v>64</v>
      </c>
      <c r="P168" s="56" t="s">
        <v>5</v>
      </c>
      <c r="Q168" s="56"/>
      <c r="R168" s="50">
        <v>45913</v>
      </c>
      <c r="S168" s="50">
        <v>45918</v>
      </c>
      <c r="T168" s="51">
        <f t="shared" si="2"/>
        <v>5</v>
      </c>
      <c r="U168" s="56">
        <v>1</v>
      </c>
      <c r="V168" s="56">
        <v>1</v>
      </c>
      <c r="W168" s="56">
        <v>0</v>
      </c>
      <c r="X168" s="56">
        <v>0</v>
      </c>
      <c r="Y168" s="56">
        <v>0</v>
      </c>
      <c r="Z168" s="56">
        <v>0</v>
      </c>
      <c r="AA168" s="56">
        <v>0</v>
      </c>
      <c r="AB168" s="56"/>
      <c r="AC168" s="58">
        <v>45913</v>
      </c>
      <c r="AD168" s="59">
        <v>0.32986111110949423</v>
      </c>
      <c r="AE168" s="56" t="s">
        <v>731</v>
      </c>
      <c r="AF168" s="58" t="s">
        <v>64</v>
      </c>
      <c r="AG168" s="59" t="s">
        <v>64</v>
      </c>
      <c r="AH168" s="56" t="s">
        <v>64</v>
      </c>
      <c r="AI168" s="56" t="s">
        <v>660</v>
      </c>
      <c r="AJ168" s="56" t="s">
        <v>64</v>
      </c>
      <c r="AK168" s="56" t="s">
        <v>64</v>
      </c>
      <c r="AL168" s="56" t="s">
        <v>1</v>
      </c>
      <c r="AM168" s="56" t="s">
        <v>65</v>
      </c>
      <c r="AN168" s="60"/>
      <c r="AO168" s="61"/>
    </row>
    <row r="169" spans="3:41" ht="14.25" customHeight="1">
      <c r="C169" s="55">
        <f>IF($X169=1,COUNTIF($C$10:C168,"&gt;0")+1,"")</f>
        <v>82</v>
      </c>
      <c r="D169" s="56">
        <v>462710799</v>
      </c>
      <c r="E169" s="56" t="s">
        <v>654</v>
      </c>
      <c r="F169" s="57" t="s">
        <v>734</v>
      </c>
      <c r="G169" s="56" t="s">
        <v>734</v>
      </c>
      <c r="H169" s="56" t="s">
        <v>735</v>
      </c>
      <c r="I169" s="56" t="s">
        <v>736</v>
      </c>
      <c r="J169" s="56" t="s">
        <v>58</v>
      </c>
      <c r="K169" s="56" t="s">
        <v>59</v>
      </c>
      <c r="L169" s="58">
        <v>31527</v>
      </c>
      <c r="M169" s="56">
        <v>39</v>
      </c>
      <c r="N169" s="56" t="s">
        <v>737</v>
      </c>
      <c r="O169" s="58">
        <v>48546</v>
      </c>
      <c r="P169" s="56" t="s">
        <v>4</v>
      </c>
      <c r="Q169" s="56"/>
      <c r="R169" s="50">
        <v>45913</v>
      </c>
      <c r="S169" s="50">
        <v>45918</v>
      </c>
      <c r="T169" s="51">
        <f t="shared" si="2"/>
        <v>5</v>
      </c>
      <c r="U169" s="56">
        <v>1</v>
      </c>
      <c r="V169" s="56">
        <v>1</v>
      </c>
      <c r="W169" s="56">
        <v>0</v>
      </c>
      <c r="X169" s="56">
        <v>1</v>
      </c>
      <c r="Y169" s="56">
        <v>0</v>
      </c>
      <c r="Z169" s="56">
        <v>1</v>
      </c>
      <c r="AA169" s="56">
        <v>0</v>
      </c>
      <c r="AB169" s="56"/>
      <c r="AC169" s="58">
        <v>45912</v>
      </c>
      <c r="AD169" s="59">
        <v>0.64583333333575865</v>
      </c>
      <c r="AE169" s="56" t="s">
        <v>312</v>
      </c>
      <c r="AF169" s="58">
        <v>45918</v>
      </c>
      <c r="AG169" s="59">
        <v>0.53819444444525288</v>
      </c>
      <c r="AH169" s="56" t="s">
        <v>738</v>
      </c>
      <c r="AI169" s="56" t="s">
        <v>660</v>
      </c>
      <c r="AJ169" s="56" t="s">
        <v>64</v>
      </c>
      <c r="AK169" s="56" t="s">
        <v>64</v>
      </c>
      <c r="AL169" s="56" t="s">
        <v>1</v>
      </c>
      <c r="AM169" s="56" t="s">
        <v>65</v>
      </c>
      <c r="AN169" s="60"/>
      <c r="AO169" s="61"/>
    </row>
    <row r="170" spans="3:41" ht="14.25" customHeight="1">
      <c r="C170" s="55" t="str">
        <f>IF($X170=1,COUNTIF($C$10:C169,"&gt;0")+1,"")</f>
        <v/>
      </c>
      <c r="D170" s="56"/>
      <c r="E170" s="56" t="s">
        <v>654</v>
      </c>
      <c r="F170" s="57" t="s">
        <v>739</v>
      </c>
      <c r="G170" s="56" t="s">
        <v>734</v>
      </c>
      <c r="H170" s="56" t="s">
        <v>740</v>
      </c>
      <c r="I170" s="56" t="s">
        <v>736</v>
      </c>
      <c r="J170" s="56" t="s">
        <v>58</v>
      </c>
      <c r="K170" s="56" t="s">
        <v>59</v>
      </c>
      <c r="L170" s="58">
        <v>33706</v>
      </c>
      <c r="M170" s="56">
        <v>33</v>
      </c>
      <c r="N170" s="56" t="s">
        <v>741</v>
      </c>
      <c r="O170" s="58">
        <v>48546</v>
      </c>
      <c r="P170" s="56" t="s">
        <v>4</v>
      </c>
      <c r="Q170" s="56"/>
      <c r="R170" s="50">
        <v>45913</v>
      </c>
      <c r="S170" s="50">
        <v>45918</v>
      </c>
      <c r="T170" s="51">
        <f t="shared" si="2"/>
        <v>5</v>
      </c>
      <c r="U170" s="56">
        <v>1</v>
      </c>
      <c r="V170" s="56">
        <v>1</v>
      </c>
      <c r="W170" s="56">
        <v>0</v>
      </c>
      <c r="X170" s="56">
        <v>0</v>
      </c>
      <c r="Y170" s="56">
        <v>0</v>
      </c>
      <c r="Z170" s="56">
        <v>0</v>
      </c>
      <c r="AA170" s="56">
        <v>0</v>
      </c>
      <c r="AB170" s="56"/>
      <c r="AC170" s="58">
        <v>45912</v>
      </c>
      <c r="AD170" s="59">
        <v>0.64583333333575865</v>
      </c>
      <c r="AE170" s="56" t="s">
        <v>312</v>
      </c>
      <c r="AF170" s="58">
        <v>45918</v>
      </c>
      <c r="AG170" s="59">
        <v>0.53819444444525288</v>
      </c>
      <c r="AH170" s="56" t="s">
        <v>738</v>
      </c>
      <c r="AI170" s="56" t="s">
        <v>660</v>
      </c>
      <c r="AJ170" s="56" t="s">
        <v>64</v>
      </c>
      <c r="AK170" s="56" t="s">
        <v>64</v>
      </c>
      <c r="AL170" s="56" t="s">
        <v>1</v>
      </c>
      <c r="AM170" s="56" t="s">
        <v>65</v>
      </c>
      <c r="AN170" s="60"/>
      <c r="AO170" s="61"/>
    </row>
    <row r="171" spans="3:41" ht="14.25" customHeight="1">
      <c r="C171" s="55">
        <f>IF($X171=1,COUNTIF($C$10:C170,"&gt;0")+1,"")</f>
        <v>83</v>
      </c>
      <c r="D171" s="56">
        <v>462710800</v>
      </c>
      <c r="E171" s="56" t="s">
        <v>654</v>
      </c>
      <c r="F171" s="57" t="s">
        <v>742</v>
      </c>
      <c r="G171" s="56" t="s">
        <v>742</v>
      </c>
      <c r="H171" s="56" t="s">
        <v>743</v>
      </c>
      <c r="I171" s="56" t="s">
        <v>744</v>
      </c>
      <c r="J171" s="56" t="s">
        <v>68</v>
      </c>
      <c r="K171" s="56" t="s">
        <v>59</v>
      </c>
      <c r="L171" s="58">
        <v>30244</v>
      </c>
      <c r="M171" s="56">
        <v>42</v>
      </c>
      <c r="N171" s="56" t="s">
        <v>745</v>
      </c>
      <c r="O171" s="58">
        <v>49176</v>
      </c>
      <c r="P171" s="56" t="s">
        <v>4</v>
      </c>
      <c r="Q171" s="56"/>
      <c r="R171" s="50">
        <v>45913</v>
      </c>
      <c r="S171" s="50">
        <v>45918</v>
      </c>
      <c r="T171" s="51">
        <f t="shared" si="2"/>
        <v>5</v>
      </c>
      <c r="U171" s="56">
        <v>1</v>
      </c>
      <c r="V171" s="56">
        <v>1</v>
      </c>
      <c r="W171" s="56">
        <v>0</v>
      </c>
      <c r="X171" s="56">
        <v>1</v>
      </c>
      <c r="Y171" s="56">
        <v>0</v>
      </c>
      <c r="Z171" s="56">
        <v>1</v>
      </c>
      <c r="AA171" s="56">
        <v>0</v>
      </c>
      <c r="AB171" s="56"/>
      <c r="AC171" s="58">
        <v>45912</v>
      </c>
      <c r="AD171" s="59">
        <v>0.64583333333575865</v>
      </c>
      <c r="AE171" s="56" t="s">
        <v>312</v>
      </c>
      <c r="AF171" s="58">
        <v>45920</v>
      </c>
      <c r="AG171" s="59">
        <v>0.72569444444525288</v>
      </c>
      <c r="AH171" s="56" t="s">
        <v>313</v>
      </c>
      <c r="AI171" s="56" t="s">
        <v>660</v>
      </c>
      <c r="AJ171" s="56" t="s">
        <v>64</v>
      </c>
      <c r="AK171" s="56" t="s">
        <v>64</v>
      </c>
      <c r="AL171" s="56" t="s">
        <v>1</v>
      </c>
      <c r="AM171" s="56" t="s">
        <v>65</v>
      </c>
      <c r="AN171" s="60"/>
      <c r="AO171" s="61"/>
    </row>
    <row r="172" spans="3:41" ht="14.25" customHeight="1">
      <c r="C172" s="55" t="str">
        <f>IF($X172=1,COUNTIF($C$10:C171,"&gt;0")+1,"")</f>
        <v/>
      </c>
      <c r="D172" s="56"/>
      <c r="E172" s="56" t="s">
        <v>654</v>
      </c>
      <c r="F172" s="57" t="s">
        <v>746</v>
      </c>
      <c r="G172" s="56" t="s">
        <v>742</v>
      </c>
      <c r="H172" s="56" t="s">
        <v>747</v>
      </c>
      <c r="I172" s="56" t="s">
        <v>82</v>
      </c>
      <c r="J172" s="56" t="s">
        <v>58</v>
      </c>
      <c r="K172" s="56" t="s">
        <v>748</v>
      </c>
      <c r="L172" s="58">
        <v>27767</v>
      </c>
      <c r="M172" s="56">
        <v>49</v>
      </c>
      <c r="N172" s="56" t="s">
        <v>749</v>
      </c>
      <c r="O172" s="58">
        <v>49178</v>
      </c>
      <c r="P172" s="56" t="s">
        <v>4</v>
      </c>
      <c r="Q172" s="56"/>
      <c r="R172" s="50">
        <v>45913</v>
      </c>
      <c r="S172" s="50">
        <v>45918</v>
      </c>
      <c r="T172" s="51">
        <f t="shared" si="2"/>
        <v>5</v>
      </c>
      <c r="U172" s="56">
        <v>1</v>
      </c>
      <c r="V172" s="56">
        <v>1</v>
      </c>
      <c r="W172" s="56">
        <v>0</v>
      </c>
      <c r="X172" s="56">
        <v>0</v>
      </c>
      <c r="Y172" s="56">
        <v>0</v>
      </c>
      <c r="Z172" s="56">
        <v>0</v>
      </c>
      <c r="AA172" s="56">
        <v>0</v>
      </c>
      <c r="AB172" s="56"/>
      <c r="AC172" s="58">
        <v>45912</v>
      </c>
      <c r="AD172" s="59">
        <v>0.64583333333575865</v>
      </c>
      <c r="AE172" s="56" t="s">
        <v>312</v>
      </c>
      <c r="AF172" s="58">
        <v>45920</v>
      </c>
      <c r="AG172" s="59">
        <v>0.72569444444525288</v>
      </c>
      <c r="AH172" s="56" t="s">
        <v>313</v>
      </c>
      <c r="AI172" s="56" t="s">
        <v>660</v>
      </c>
      <c r="AJ172" s="56" t="s">
        <v>64</v>
      </c>
      <c r="AK172" s="56" t="s">
        <v>64</v>
      </c>
      <c r="AL172" s="56" t="s">
        <v>1</v>
      </c>
      <c r="AM172" s="56" t="s">
        <v>65</v>
      </c>
      <c r="AN172" s="60"/>
      <c r="AO172" s="61"/>
    </row>
    <row r="173" spans="3:41" ht="14.25" customHeight="1">
      <c r="C173" s="55" t="str">
        <f>IF($X173=1,COUNTIF($C$10:C172,"&gt;0")+1,"")</f>
        <v/>
      </c>
      <c r="D173" s="56"/>
      <c r="E173" s="56" t="s">
        <v>654</v>
      </c>
      <c r="F173" s="57" t="s">
        <v>750</v>
      </c>
      <c r="G173" s="56" t="s">
        <v>742</v>
      </c>
      <c r="H173" s="56" t="s">
        <v>751</v>
      </c>
      <c r="I173" s="56" t="s">
        <v>82</v>
      </c>
      <c r="J173" s="56" t="s">
        <v>58</v>
      </c>
      <c r="K173" s="56" t="s">
        <v>59</v>
      </c>
      <c r="L173" s="58">
        <v>44446</v>
      </c>
      <c r="M173" s="56">
        <v>4</v>
      </c>
      <c r="N173" s="56" t="s">
        <v>752</v>
      </c>
      <c r="O173" s="58">
        <v>47355</v>
      </c>
      <c r="P173" s="56" t="s">
        <v>4</v>
      </c>
      <c r="Q173" s="56"/>
      <c r="R173" s="50">
        <v>45913</v>
      </c>
      <c r="S173" s="50">
        <v>45918</v>
      </c>
      <c r="T173" s="51">
        <f t="shared" si="2"/>
        <v>5</v>
      </c>
      <c r="U173" s="56">
        <v>1</v>
      </c>
      <c r="V173" s="56">
        <v>0</v>
      </c>
      <c r="W173" s="56">
        <v>1</v>
      </c>
      <c r="X173" s="56">
        <v>0</v>
      </c>
      <c r="Y173" s="56">
        <v>0</v>
      </c>
      <c r="Z173" s="56">
        <v>0</v>
      </c>
      <c r="AA173" s="56">
        <v>0</v>
      </c>
      <c r="AB173" s="56"/>
      <c r="AC173" s="58">
        <v>45912</v>
      </c>
      <c r="AD173" s="59">
        <v>0.64583333333575865</v>
      </c>
      <c r="AE173" s="56" t="s">
        <v>312</v>
      </c>
      <c r="AF173" s="58">
        <v>45920</v>
      </c>
      <c r="AG173" s="59">
        <v>0.72569444444525288</v>
      </c>
      <c r="AH173" s="56" t="s">
        <v>313</v>
      </c>
      <c r="AI173" s="56" t="s">
        <v>660</v>
      </c>
      <c r="AJ173" s="56" t="s">
        <v>64</v>
      </c>
      <c r="AK173" s="56" t="s">
        <v>64</v>
      </c>
      <c r="AL173" s="56" t="s">
        <v>1</v>
      </c>
      <c r="AM173" s="56" t="s">
        <v>65</v>
      </c>
      <c r="AN173" s="60"/>
      <c r="AO173" s="61"/>
    </row>
    <row r="174" spans="3:41" ht="14.25" customHeight="1">
      <c r="C174" s="55">
        <f>IF($X174=1,COUNTIF($C$10:C173,"&gt;0")+1,"")</f>
        <v>84</v>
      </c>
      <c r="D174" s="56">
        <v>462710801</v>
      </c>
      <c r="E174" s="56" t="s">
        <v>654</v>
      </c>
      <c r="F174" s="57" t="s">
        <v>753</v>
      </c>
      <c r="G174" s="56" t="s">
        <v>753</v>
      </c>
      <c r="H174" s="56" t="s">
        <v>754</v>
      </c>
      <c r="I174" s="56" t="s">
        <v>755</v>
      </c>
      <c r="J174" s="56" t="s">
        <v>58</v>
      </c>
      <c r="K174" s="56" t="s">
        <v>748</v>
      </c>
      <c r="L174" s="58">
        <v>33123</v>
      </c>
      <c r="M174" s="56">
        <v>35</v>
      </c>
      <c r="N174" s="56" t="s">
        <v>756</v>
      </c>
      <c r="O174" s="58">
        <v>49142</v>
      </c>
      <c r="P174" s="56" t="s">
        <v>4</v>
      </c>
      <c r="Q174" s="56"/>
      <c r="R174" s="50">
        <v>45913</v>
      </c>
      <c r="S174" s="50">
        <v>45918</v>
      </c>
      <c r="T174" s="51">
        <f t="shared" si="2"/>
        <v>5</v>
      </c>
      <c r="U174" s="56">
        <v>1</v>
      </c>
      <c r="V174" s="56">
        <v>1</v>
      </c>
      <c r="W174" s="56">
        <v>0</v>
      </c>
      <c r="X174" s="56">
        <v>1</v>
      </c>
      <c r="Y174" s="56">
        <v>0</v>
      </c>
      <c r="Z174" s="56">
        <v>1</v>
      </c>
      <c r="AA174" s="56">
        <v>0</v>
      </c>
      <c r="AB174" s="56"/>
      <c r="AC174" s="58">
        <v>45913</v>
      </c>
      <c r="AD174" s="59">
        <v>0.64583333333575865</v>
      </c>
      <c r="AE174" s="56" t="s">
        <v>312</v>
      </c>
      <c r="AF174" s="58">
        <v>45918</v>
      </c>
      <c r="AG174" s="59">
        <v>0.72569444444525288</v>
      </c>
      <c r="AH174" s="56" t="s">
        <v>313</v>
      </c>
      <c r="AI174" s="56" t="s">
        <v>660</v>
      </c>
      <c r="AJ174" s="56" t="s">
        <v>64</v>
      </c>
      <c r="AK174" s="56" t="s">
        <v>64</v>
      </c>
      <c r="AL174" s="56" t="s">
        <v>1</v>
      </c>
      <c r="AM174" s="56" t="s">
        <v>65</v>
      </c>
      <c r="AN174" s="60"/>
      <c r="AO174" s="61"/>
    </row>
    <row r="175" spans="3:41" ht="14.25" customHeight="1">
      <c r="C175" s="55" t="str">
        <f>IF($X175=1,COUNTIF($C$10:C174,"&gt;0")+1,"")</f>
        <v/>
      </c>
      <c r="D175" s="56"/>
      <c r="E175" s="56" t="s">
        <v>654</v>
      </c>
      <c r="F175" s="57" t="s">
        <v>757</v>
      </c>
      <c r="G175" s="56" t="s">
        <v>753</v>
      </c>
      <c r="H175" s="56" t="s">
        <v>758</v>
      </c>
      <c r="I175" s="56" t="s">
        <v>759</v>
      </c>
      <c r="J175" s="56" t="s">
        <v>68</v>
      </c>
      <c r="K175" s="56" t="s">
        <v>59</v>
      </c>
      <c r="L175" s="58">
        <v>35661</v>
      </c>
      <c r="M175" s="56">
        <v>28</v>
      </c>
      <c r="N175" s="56" t="s">
        <v>760</v>
      </c>
      <c r="O175" s="58">
        <v>49503</v>
      </c>
      <c r="P175" s="56" t="s">
        <v>4</v>
      </c>
      <c r="Q175" s="56"/>
      <c r="R175" s="50">
        <v>45913</v>
      </c>
      <c r="S175" s="50">
        <v>45918</v>
      </c>
      <c r="T175" s="51">
        <f t="shared" si="2"/>
        <v>5</v>
      </c>
      <c r="U175" s="56">
        <v>1</v>
      </c>
      <c r="V175" s="56">
        <v>1</v>
      </c>
      <c r="W175" s="56">
        <v>0</v>
      </c>
      <c r="X175" s="56">
        <v>0</v>
      </c>
      <c r="Y175" s="56">
        <v>0</v>
      </c>
      <c r="Z175" s="56">
        <v>0</v>
      </c>
      <c r="AA175" s="56">
        <v>0</v>
      </c>
      <c r="AB175" s="56"/>
      <c r="AC175" s="58">
        <v>45913</v>
      </c>
      <c r="AD175" s="59">
        <v>0.64583333333575865</v>
      </c>
      <c r="AE175" s="56" t="s">
        <v>312</v>
      </c>
      <c r="AF175" s="58">
        <v>45918</v>
      </c>
      <c r="AG175" s="59">
        <v>0.72569444444525288</v>
      </c>
      <c r="AH175" s="56" t="s">
        <v>313</v>
      </c>
      <c r="AI175" s="56" t="s">
        <v>660</v>
      </c>
      <c r="AJ175" s="56" t="s">
        <v>64</v>
      </c>
      <c r="AK175" s="56" t="s">
        <v>64</v>
      </c>
      <c r="AL175" s="56" t="s">
        <v>1</v>
      </c>
      <c r="AM175" s="56" t="s">
        <v>65</v>
      </c>
      <c r="AN175" s="60"/>
      <c r="AO175" s="61"/>
    </row>
    <row r="176" spans="3:41" ht="14.25" customHeight="1">
      <c r="C176" s="55"/>
      <c r="D176" s="56"/>
      <c r="E176" s="56" t="s">
        <v>654</v>
      </c>
      <c r="F176" s="65" t="s">
        <v>761</v>
      </c>
      <c r="G176" s="62" t="s">
        <v>753</v>
      </c>
      <c r="H176" s="62" t="s">
        <v>762</v>
      </c>
      <c r="I176" s="62" t="s">
        <v>755</v>
      </c>
      <c r="J176" s="62" t="s">
        <v>58</v>
      </c>
      <c r="K176" s="62" t="s">
        <v>59</v>
      </c>
      <c r="L176" s="63">
        <v>43802</v>
      </c>
      <c r="M176" s="62">
        <v>5</v>
      </c>
      <c r="N176" s="62">
        <v>668517363</v>
      </c>
      <c r="O176" s="63">
        <v>46194</v>
      </c>
      <c r="P176" s="62" t="s">
        <v>4</v>
      </c>
      <c r="Q176" s="62"/>
      <c r="R176" s="66">
        <v>45913</v>
      </c>
      <c r="S176" s="66">
        <v>45918</v>
      </c>
      <c r="T176" s="67">
        <f t="shared" si="2"/>
        <v>5</v>
      </c>
      <c r="U176" s="62">
        <v>1</v>
      </c>
      <c r="V176" s="62">
        <v>0</v>
      </c>
      <c r="W176" s="62">
        <v>1</v>
      </c>
      <c r="X176" s="62">
        <v>0</v>
      </c>
      <c r="Y176" s="62">
        <v>0</v>
      </c>
      <c r="Z176" s="62">
        <v>0</v>
      </c>
      <c r="AA176" s="62">
        <v>0</v>
      </c>
      <c r="AB176" s="62"/>
      <c r="AC176" s="63">
        <v>45913</v>
      </c>
      <c r="AD176" s="68">
        <v>0.64583333333575865</v>
      </c>
      <c r="AE176" s="62" t="s">
        <v>312</v>
      </c>
      <c r="AF176" s="63">
        <v>45918</v>
      </c>
      <c r="AG176" s="68">
        <v>0.72569444444525288</v>
      </c>
      <c r="AH176" s="62" t="s">
        <v>313</v>
      </c>
      <c r="AI176" s="62" t="s">
        <v>660</v>
      </c>
      <c r="AJ176" s="56"/>
      <c r="AK176" s="56"/>
      <c r="AL176" s="56" t="s">
        <v>1</v>
      </c>
      <c r="AM176" s="56" t="s">
        <v>65</v>
      </c>
      <c r="AN176" s="60"/>
      <c r="AO176" s="64" t="s">
        <v>763</v>
      </c>
    </row>
    <row r="177" spans="3:41" ht="14.25" customHeight="1">
      <c r="C177" s="55"/>
      <c r="D177" s="56"/>
      <c r="E177" s="56" t="s">
        <v>654</v>
      </c>
      <c r="F177" s="65" t="s">
        <v>764</v>
      </c>
      <c r="G177" s="62" t="s">
        <v>753</v>
      </c>
      <c r="H177" s="62" t="s">
        <v>765</v>
      </c>
      <c r="I177" s="62" t="s">
        <v>755</v>
      </c>
      <c r="J177" s="62" t="s">
        <v>68</v>
      </c>
      <c r="K177" s="62" t="s">
        <v>59</v>
      </c>
      <c r="L177" s="63">
        <v>44508</v>
      </c>
      <c r="M177" s="62">
        <v>3</v>
      </c>
      <c r="N177" s="62">
        <v>679975731</v>
      </c>
      <c r="O177" s="63">
        <v>46606</v>
      </c>
      <c r="P177" s="62" t="s">
        <v>4</v>
      </c>
      <c r="Q177" s="62"/>
      <c r="R177" s="66">
        <v>45913</v>
      </c>
      <c r="S177" s="66">
        <v>45918</v>
      </c>
      <c r="T177" s="67">
        <f t="shared" si="2"/>
        <v>5</v>
      </c>
      <c r="U177" s="62">
        <v>1</v>
      </c>
      <c r="V177" s="62">
        <v>0</v>
      </c>
      <c r="W177" s="62">
        <v>1</v>
      </c>
      <c r="X177" s="62">
        <v>0</v>
      </c>
      <c r="Y177" s="62">
        <v>0</v>
      </c>
      <c r="Z177" s="62">
        <v>0</v>
      </c>
      <c r="AA177" s="62">
        <v>0</v>
      </c>
      <c r="AB177" s="62"/>
      <c r="AC177" s="63">
        <v>45913</v>
      </c>
      <c r="AD177" s="68">
        <v>0.64583333333575865</v>
      </c>
      <c r="AE177" s="62" t="s">
        <v>312</v>
      </c>
      <c r="AF177" s="63">
        <v>45918</v>
      </c>
      <c r="AG177" s="68">
        <v>0.72569444444525288</v>
      </c>
      <c r="AH177" s="62" t="s">
        <v>313</v>
      </c>
      <c r="AI177" s="62" t="s">
        <v>660</v>
      </c>
      <c r="AJ177" s="56"/>
      <c r="AK177" s="56"/>
      <c r="AL177" s="56" t="s">
        <v>1</v>
      </c>
      <c r="AM177" s="56" t="s">
        <v>65</v>
      </c>
      <c r="AN177" s="60"/>
      <c r="AO177" s="64" t="s">
        <v>763</v>
      </c>
    </row>
    <row r="178" spans="3:41" ht="14.25" customHeight="1">
      <c r="C178" s="55">
        <f>IF($X178=1,COUNTIF($C$10:C175,"&gt;0")+1,"")</f>
        <v>85</v>
      </c>
      <c r="D178" s="56">
        <v>462710802</v>
      </c>
      <c r="E178" s="56" t="s">
        <v>654</v>
      </c>
      <c r="F178" s="57" t="s">
        <v>766</v>
      </c>
      <c r="G178" s="56" t="s">
        <v>766</v>
      </c>
      <c r="H178" s="62" t="s">
        <v>767</v>
      </c>
      <c r="I178" s="62" t="s">
        <v>768</v>
      </c>
      <c r="J178" s="62" t="s">
        <v>68</v>
      </c>
      <c r="K178" s="62" t="s">
        <v>59</v>
      </c>
      <c r="L178" s="63">
        <v>33931</v>
      </c>
      <c r="M178" s="62">
        <v>32</v>
      </c>
      <c r="N178" s="62" t="s">
        <v>769</v>
      </c>
      <c r="O178" s="63">
        <v>46811</v>
      </c>
      <c r="P178" s="62" t="s">
        <v>4</v>
      </c>
      <c r="Q178" s="56"/>
      <c r="R178" s="50">
        <v>45913</v>
      </c>
      <c r="S178" s="50">
        <v>45918</v>
      </c>
      <c r="T178" s="51">
        <f t="shared" si="2"/>
        <v>5</v>
      </c>
      <c r="U178" s="56">
        <v>1</v>
      </c>
      <c r="V178" s="56">
        <v>1</v>
      </c>
      <c r="W178" s="56">
        <v>0</v>
      </c>
      <c r="X178" s="62">
        <v>1</v>
      </c>
      <c r="Y178" s="62">
        <v>0</v>
      </c>
      <c r="Z178" s="62">
        <v>1</v>
      </c>
      <c r="AA178" s="62">
        <v>0</v>
      </c>
      <c r="AB178" s="56"/>
      <c r="AC178" s="58">
        <v>45913</v>
      </c>
      <c r="AD178" s="59">
        <v>0.63888888889050577</v>
      </c>
      <c r="AE178" s="56" t="s">
        <v>84</v>
      </c>
      <c r="AF178" s="58">
        <v>45918</v>
      </c>
      <c r="AG178" s="59">
        <v>0.81944444444525288</v>
      </c>
      <c r="AH178" s="56" t="s">
        <v>770</v>
      </c>
      <c r="AI178" s="56" t="s">
        <v>660</v>
      </c>
      <c r="AJ178" s="56" t="s">
        <v>64</v>
      </c>
      <c r="AK178" s="56" t="s">
        <v>64</v>
      </c>
      <c r="AL178" s="56" t="s">
        <v>1</v>
      </c>
      <c r="AM178" s="56" t="s">
        <v>65</v>
      </c>
      <c r="AN178" s="60"/>
      <c r="AO178" s="64" t="s">
        <v>504</v>
      </c>
    </row>
    <row r="179" spans="3:41" ht="14.25" customHeight="1">
      <c r="C179" s="55" t="str">
        <f>IF($X179=1,COUNTIF($C$10:C178,"&gt;0")+1,"")</f>
        <v/>
      </c>
      <c r="D179" s="56"/>
      <c r="E179" s="56" t="s">
        <v>654</v>
      </c>
      <c r="F179" s="57" t="s">
        <v>771</v>
      </c>
      <c r="G179" s="56" t="s">
        <v>766</v>
      </c>
      <c r="H179" s="62" t="s">
        <v>772</v>
      </c>
      <c r="I179" s="62" t="s">
        <v>531</v>
      </c>
      <c r="J179" s="62" t="s">
        <v>58</v>
      </c>
      <c r="K179" s="62" t="s">
        <v>59</v>
      </c>
      <c r="L179" s="63">
        <v>33387</v>
      </c>
      <c r="M179" s="62">
        <v>34</v>
      </c>
      <c r="N179" s="62" t="s">
        <v>773</v>
      </c>
      <c r="O179" s="63">
        <v>49541</v>
      </c>
      <c r="P179" s="62" t="s">
        <v>4</v>
      </c>
      <c r="Q179" s="56"/>
      <c r="R179" s="50">
        <v>45913</v>
      </c>
      <c r="S179" s="50">
        <v>45918</v>
      </c>
      <c r="T179" s="51">
        <f t="shared" si="2"/>
        <v>5</v>
      </c>
      <c r="U179" s="56">
        <v>1</v>
      </c>
      <c r="V179" s="56">
        <v>1</v>
      </c>
      <c r="W179" s="56">
        <v>0</v>
      </c>
      <c r="X179" s="62">
        <v>0</v>
      </c>
      <c r="Y179" s="62">
        <v>0</v>
      </c>
      <c r="Z179" s="62">
        <v>0</v>
      </c>
      <c r="AA179" s="62">
        <v>0</v>
      </c>
      <c r="AB179" s="56"/>
      <c r="AC179" s="58">
        <v>45913</v>
      </c>
      <c r="AD179" s="59">
        <v>0.63888888889050577</v>
      </c>
      <c r="AE179" s="56" t="s">
        <v>84</v>
      </c>
      <c r="AF179" s="58">
        <v>45918</v>
      </c>
      <c r="AG179" s="59">
        <v>0.81944444444525288</v>
      </c>
      <c r="AH179" s="56" t="s">
        <v>770</v>
      </c>
      <c r="AI179" s="56" t="s">
        <v>660</v>
      </c>
      <c r="AJ179" s="56" t="s">
        <v>64</v>
      </c>
      <c r="AK179" s="56" t="s">
        <v>64</v>
      </c>
      <c r="AL179" s="56" t="s">
        <v>1</v>
      </c>
      <c r="AM179" s="56" t="s">
        <v>65</v>
      </c>
      <c r="AN179" s="60"/>
      <c r="AO179" s="64" t="s">
        <v>504</v>
      </c>
    </row>
    <row r="180" spans="3:41" ht="14.25" customHeight="1">
      <c r="C180" s="55">
        <f>IF($X180=1,COUNTIF($C$10:C179,"&gt;0")+1,"")</f>
        <v>86</v>
      </c>
      <c r="D180" s="56">
        <v>462710803</v>
      </c>
      <c r="E180" s="56" t="s">
        <v>654</v>
      </c>
      <c r="F180" s="57" t="s">
        <v>774</v>
      </c>
      <c r="G180" s="56" t="s">
        <v>774</v>
      </c>
      <c r="H180" s="56" t="s">
        <v>775</v>
      </c>
      <c r="I180" s="56" t="s">
        <v>82</v>
      </c>
      <c r="J180" s="56" t="s">
        <v>68</v>
      </c>
      <c r="K180" s="56" t="s">
        <v>59</v>
      </c>
      <c r="L180" s="58">
        <v>25255</v>
      </c>
      <c r="M180" s="56">
        <v>56</v>
      </c>
      <c r="N180" s="56" t="s">
        <v>776</v>
      </c>
      <c r="O180" s="58">
        <v>47427</v>
      </c>
      <c r="P180" s="56" t="s">
        <v>4</v>
      </c>
      <c r="Q180" s="56"/>
      <c r="R180" s="50">
        <v>45913</v>
      </c>
      <c r="S180" s="50">
        <v>45918</v>
      </c>
      <c r="T180" s="51">
        <f t="shared" si="2"/>
        <v>5</v>
      </c>
      <c r="U180" s="56">
        <v>1</v>
      </c>
      <c r="V180" s="56">
        <v>1</v>
      </c>
      <c r="W180" s="56">
        <v>0</v>
      </c>
      <c r="X180" s="56">
        <v>1</v>
      </c>
      <c r="Y180" s="56">
        <v>0</v>
      </c>
      <c r="Z180" s="56">
        <v>1</v>
      </c>
      <c r="AA180" s="56">
        <v>0</v>
      </c>
      <c r="AB180" s="56"/>
      <c r="AC180" s="58">
        <v>45913</v>
      </c>
      <c r="AD180" s="59">
        <v>0.64583333333575865</v>
      </c>
      <c r="AE180" s="56" t="s">
        <v>312</v>
      </c>
      <c r="AF180" s="58">
        <v>45918</v>
      </c>
      <c r="AG180" s="59">
        <v>0.72569444444525288</v>
      </c>
      <c r="AH180" s="56" t="s">
        <v>313</v>
      </c>
      <c r="AI180" s="56" t="s">
        <v>660</v>
      </c>
      <c r="AJ180" s="56" t="s">
        <v>64</v>
      </c>
      <c r="AK180" s="56" t="s">
        <v>64</v>
      </c>
      <c r="AL180" s="56" t="s">
        <v>1</v>
      </c>
      <c r="AM180" s="56" t="s">
        <v>65</v>
      </c>
      <c r="AN180" s="60"/>
      <c r="AO180" s="61"/>
    </row>
    <row r="181" spans="3:41" ht="14.25" customHeight="1">
      <c r="C181" s="55" t="str">
        <f>IF($X181=1,COUNTIF($C$10:C180,"&gt;0")+1,"")</f>
        <v/>
      </c>
      <c r="D181" s="56"/>
      <c r="E181" s="56" t="s">
        <v>654</v>
      </c>
      <c r="F181" s="57" t="s">
        <v>777</v>
      </c>
      <c r="G181" s="56" t="s">
        <v>774</v>
      </c>
      <c r="H181" s="56" t="s">
        <v>778</v>
      </c>
      <c r="I181" s="56" t="s">
        <v>82</v>
      </c>
      <c r="J181" s="56" t="s">
        <v>58</v>
      </c>
      <c r="K181" s="56" t="s">
        <v>59</v>
      </c>
      <c r="L181" s="58">
        <v>23988</v>
      </c>
      <c r="M181" s="56">
        <v>60</v>
      </c>
      <c r="N181" s="56" t="s">
        <v>779</v>
      </c>
      <c r="O181" s="58">
        <v>47426</v>
      </c>
      <c r="P181" s="56" t="s">
        <v>4</v>
      </c>
      <c r="Q181" s="56"/>
      <c r="R181" s="50">
        <v>45913</v>
      </c>
      <c r="S181" s="50">
        <v>45918</v>
      </c>
      <c r="T181" s="51">
        <f t="shared" si="2"/>
        <v>5</v>
      </c>
      <c r="U181" s="56">
        <v>1</v>
      </c>
      <c r="V181" s="56">
        <v>1</v>
      </c>
      <c r="W181" s="56">
        <v>0</v>
      </c>
      <c r="X181" s="56">
        <v>0</v>
      </c>
      <c r="Y181" s="56">
        <v>0</v>
      </c>
      <c r="Z181" s="56">
        <v>0</v>
      </c>
      <c r="AA181" s="56">
        <v>0</v>
      </c>
      <c r="AB181" s="56"/>
      <c r="AC181" s="58">
        <v>45913</v>
      </c>
      <c r="AD181" s="59">
        <v>0.64583333333575865</v>
      </c>
      <c r="AE181" s="56" t="s">
        <v>312</v>
      </c>
      <c r="AF181" s="58">
        <v>45918</v>
      </c>
      <c r="AG181" s="59">
        <v>0.72569444444525288</v>
      </c>
      <c r="AH181" s="56" t="s">
        <v>313</v>
      </c>
      <c r="AI181" s="56" t="s">
        <v>660</v>
      </c>
      <c r="AJ181" s="56" t="s">
        <v>64</v>
      </c>
      <c r="AK181" s="56" t="s">
        <v>64</v>
      </c>
      <c r="AL181" s="56" t="s">
        <v>1</v>
      </c>
      <c r="AM181" s="56" t="s">
        <v>65</v>
      </c>
      <c r="AN181" s="60"/>
      <c r="AO181" s="61"/>
    </row>
    <row r="182" spans="3:41" ht="14.25" customHeight="1">
      <c r="C182" s="55">
        <f>IF($X182=1,COUNTIF($C$10:C181,"&gt;0")+1,"")</f>
        <v>87</v>
      </c>
      <c r="D182" s="56">
        <v>462710804</v>
      </c>
      <c r="E182" s="56" t="s">
        <v>654</v>
      </c>
      <c r="F182" s="57" t="s">
        <v>780</v>
      </c>
      <c r="G182" s="56" t="s">
        <v>780</v>
      </c>
      <c r="H182" s="56" t="s">
        <v>781</v>
      </c>
      <c r="I182" s="56" t="s">
        <v>82</v>
      </c>
      <c r="J182" s="56" t="s">
        <v>58</v>
      </c>
      <c r="K182" s="56" t="s">
        <v>59</v>
      </c>
      <c r="L182" s="58">
        <v>27997</v>
      </c>
      <c r="M182" s="56">
        <v>49</v>
      </c>
      <c r="N182" s="56" t="s">
        <v>782</v>
      </c>
      <c r="O182" s="58">
        <v>46370</v>
      </c>
      <c r="P182" s="56" t="s">
        <v>4</v>
      </c>
      <c r="Q182" s="56"/>
      <c r="R182" s="50">
        <v>45913</v>
      </c>
      <c r="S182" s="50">
        <v>45918</v>
      </c>
      <c r="T182" s="51">
        <f t="shared" si="2"/>
        <v>5</v>
      </c>
      <c r="U182" s="56">
        <v>1</v>
      </c>
      <c r="V182" s="56">
        <v>1</v>
      </c>
      <c r="W182" s="56">
        <v>0</v>
      </c>
      <c r="X182" s="56">
        <v>1</v>
      </c>
      <c r="Y182" s="56">
        <v>0</v>
      </c>
      <c r="Z182" s="56">
        <v>1</v>
      </c>
      <c r="AA182" s="56">
        <v>0</v>
      </c>
      <c r="AB182" s="56"/>
      <c r="AC182" s="58">
        <v>45914</v>
      </c>
      <c r="AD182" s="59">
        <v>3.125E-2</v>
      </c>
      <c r="AE182" s="56" t="s">
        <v>783</v>
      </c>
      <c r="AF182" s="58">
        <v>45918</v>
      </c>
      <c r="AG182" s="59">
        <v>0.78472222221898846</v>
      </c>
      <c r="AH182" s="56" t="s">
        <v>393</v>
      </c>
      <c r="AI182" s="56" t="s">
        <v>660</v>
      </c>
      <c r="AJ182" s="56" t="s">
        <v>64</v>
      </c>
      <c r="AK182" s="56" t="s">
        <v>64</v>
      </c>
      <c r="AL182" s="56" t="s">
        <v>1</v>
      </c>
      <c r="AM182" s="56" t="s">
        <v>65</v>
      </c>
      <c r="AN182" s="60"/>
      <c r="AO182" s="61"/>
    </row>
    <row r="183" spans="3:41" ht="14.25" customHeight="1">
      <c r="C183" s="55" t="str">
        <f>IF($X183=1,COUNTIF($C$10:C182,"&gt;0")+1,"")</f>
        <v/>
      </c>
      <c r="D183" s="56"/>
      <c r="E183" s="56" t="s">
        <v>654</v>
      </c>
      <c r="F183" s="57" t="s">
        <v>784</v>
      </c>
      <c r="G183" s="56" t="s">
        <v>780</v>
      </c>
      <c r="H183" s="56" t="s">
        <v>785</v>
      </c>
      <c r="I183" s="56" t="s">
        <v>399</v>
      </c>
      <c r="J183" s="56" t="s">
        <v>68</v>
      </c>
      <c r="K183" s="56" t="s">
        <v>59</v>
      </c>
      <c r="L183" s="58">
        <v>30529</v>
      </c>
      <c r="M183" s="56">
        <v>42</v>
      </c>
      <c r="N183" s="56" t="s">
        <v>786</v>
      </c>
      <c r="O183" s="58">
        <v>49015</v>
      </c>
      <c r="P183" s="56" t="s">
        <v>4</v>
      </c>
      <c r="Q183" s="56"/>
      <c r="R183" s="50">
        <v>45913</v>
      </c>
      <c r="S183" s="50">
        <v>45918</v>
      </c>
      <c r="T183" s="51">
        <f t="shared" si="2"/>
        <v>5</v>
      </c>
      <c r="U183" s="56">
        <v>1</v>
      </c>
      <c r="V183" s="56">
        <v>1</v>
      </c>
      <c r="W183" s="56">
        <v>0</v>
      </c>
      <c r="X183" s="56">
        <v>0</v>
      </c>
      <c r="Y183" s="56">
        <v>0</v>
      </c>
      <c r="Z183" s="56">
        <v>0</v>
      </c>
      <c r="AA183" s="56">
        <v>0</v>
      </c>
      <c r="AB183" s="56"/>
      <c r="AC183" s="58">
        <v>45914</v>
      </c>
      <c r="AD183" s="59">
        <v>3.125E-2</v>
      </c>
      <c r="AE183" s="56" t="s">
        <v>783</v>
      </c>
      <c r="AF183" s="58">
        <v>45918</v>
      </c>
      <c r="AG183" s="59">
        <v>0.78472222221898846</v>
      </c>
      <c r="AH183" s="56" t="s">
        <v>393</v>
      </c>
      <c r="AI183" s="56" t="s">
        <v>660</v>
      </c>
      <c r="AJ183" s="56" t="s">
        <v>64</v>
      </c>
      <c r="AK183" s="56" t="s">
        <v>64</v>
      </c>
      <c r="AL183" s="56" t="s">
        <v>1</v>
      </c>
      <c r="AM183" s="56" t="s">
        <v>65</v>
      </c>
      <c r="AN183" s="60"/>
      <c r="AO183" s="61"/>
    </row>
    <row r="184" spans="3:41" ht="14.25" customHeight="1">
      <c r="C184" s="55">
        <f>IF($X184=1,COUNTIF($C$10:C183,"&gt;0")+1,"")</f>
        <v>88</v>
      </c>
      <c r="D184" s="56">
        <v>462710805</v>
      </c>
      <c r="E184" s="56" t="s">
        <v>787</v>
      </c>
      <c r="F184" s="57" t="s">
        <v>788</v>
      </c>
      <c r="G184" s="56" t="s">
        <v>788</v>
      </c>
      <c r="H184" s="56" t="s">
        <v>789</v>
      </c>
      <c r="I184" s="56" t="s">
        <v>790</v>
      </c>
      <c r="J184" s="56" t="s">
        <v>68</v>
      </c>
      <c r="K184" s="56" t="s">
        <v>460</v>
      </c>
      <c r="L184" s="58">
        <v>27993</v>
      </c>
      <c r="M184" s="56">
        <v>49</v>
      </c>
      <c r="N184" s="56" t="s">
        <v>791</v>
      </c>
      <c r="O184" s="58">
        <v>48494</v>
      </c>
      <c r="P184" s="56" t="s">
        <v>5</v>
      </c>
      <c r="Q184" s="56"/>
      <c r="R184" s="50">
        <v>45913</v>
      </c>
      <c r="S184" s="50">
        <v>45918</v>
      </c>
      <c r="T184" s="51">
        <f t="shared" si="2"/>
        <v>5</v>
      </c>
      <c r="U184" s="56">
        <v>1</v>
      </c>
      <c r="V184" s="56">
        <v>1</v>
      </c>
      <c r="W184" s="56">
        <v>0</v>
      </c>
      <c r="X184" s="56">
        <v>1</v>
      </c>
      <c r="Y184" s="56">
        <v>0</v>
      </c>
      <c r="Z184" s="56">
        <v>0</v>
      </c>
      <c r="AA184" s="56">
        <v>1</v>
      </c>
      <c r="AB184" s="56"/>
      <c r="AC184" s="58">
        <v>45909</v>
      </c>
      <c r="AD184" s="59">
        <v>0.82638888889050577</v>
      </c>
      <c r="AE184" s="56" t="s">
        <v>792</v>
      </c>
      <c r="AF184" s="58">
        <v>45918</v>
      </c>
      <c r="AG184" s="59">
        <v>0.85416666666424135</v>
      </c>
      <c r="AH184" s="56" t="s">
        <v>183</v>
      </c>
      <c r="AI184" s="56" t="s">
        <v>793</v>
      </c>
      <c r="AJ184" s="56" t="s">
        <v>64</v>
      </c>
      <c r="AK184" s="56" t="s">
        <v>64</v>
      </c>
      <c r="AL184" s="56" t="s">
        <v>1</v>
      </c>
      <c r="AM184" s="56" t="s">
        <v>65</v>
      </c>
      <c r="AN184" s="60"/>
      <c r="AO184" s="61"/>
    </row>
    <row r="185" spans="3:41" ht="14.25" customHeight="1">
      <c r="C185" s="55" t="str">
        <f>IF($X185=1,COUNTIF($C$10:C184,"&gt;0")+1,"")</f>
        <v/>
      </c>
      <c r="D185" s="56"/>
      <c r="E185" s="56" t="s">
        <v>787</v>
      </c>
      <c r="F185" s="57" t="s">
        <v>794</v>
      </c>
      <c r="G185" s="56" t="s">
        <v>788</v>
      </c>
      <c r="H185" s="56" t="s">
        <v>795</v>
      </c>
      <c r="I185" s="56" t="s">
        <v>796</v>
      </c>
      <c r="J185" s="56" t="s">
        <v>58</v>
      </c>
      <c r="K185" s="56" t="s">
        <v>460</v>
      </c>
      <c r="L185" s="58">
        <v>36884</v>
      </c>
      <c r="M185" s="56">
        <v>24</v>
      </c>
      <c r="N185" s="56" t="s">
        <v>797</v>
      </c>
      <c r="O185" s="58">
        <v>48393</v>
      </c>
      <c r="P185" s="56" t="s">
        <v>5</v>
      </c>
      <c r="Q185" s="56"/>
      <c r="R185" s="50">
        <v>45913</v>
      </c>
      <c r="S185" s="50">
        <v>45918</v>
      </c>
      <c r="T185" s="51">
        <f t="shared" si="2"/>
        <v>5</v>
      </c>
      <c r="U185" s="56">
        <v>1</v>
      </c>
      <c r="V185" s="56">
        <v>1</v>
      </c>
      <c r="W185" s="56">
        <v>0</v>
      </c>
      <c r="X185" s="56">
        <v>0</v>
      </c>
      <c r="Y185" s="56">
        <v>0</v>
      </c>
      <c r="Z185" s="56">
        <v>0</v>
      </c>
      <c r="AA185" s="56">
        <v>0</v>
      </c>
      <c r="AB185" s="56"/>
      <c r="AC185" s="58">
        <v>45909</v>
      </c>
      <c r="AD185" s="59">
        <v>0.82638888889050577</v>
      </c>
      <c r="AE185" s="56" t="s">
        <v>792</v>
      </c>
      <c r="AF185" s="58">
        <v>45918</v>
      </c>
      <c r="AG185" s="59">
        <v>0.85416666666424135</v>
      </c>
      <c r="AH185" s="56" t="s">
        <v>183</v>
      </c>
      <c r="AI185" s="56" t="s">
        <v>793</v>
      </c>
      <c r="AJ185" s="56" t="s">
        <v>64</v>
      </c>
      <c r="AK185" s="56" t="s">
        <v>64</v>
      </c>
      <c r="AL185" s="56" t="s">
        <v>1</v>
      </c>
      <c r="AM185" s="56" t="s">
        <v>65</v>
      </c>
      <c r="AN185" s="60"/>
      <c r="AO185" s="61"/>
    </row>
    <row r="186" spans="3:41" ht="14.25" customHeight="1">
      <c r="C186" s="55">
        <f>IF($X186=1,COUNTIF($C$10:C185,"&gt;0")+1,"")</f>
        <v>89</v>
      </c>
      <c r="D186" s="56">
        <v>462710806</v>
      </c>
      <c r="E186" s="56" t="s">
        <v>787</v>
      </c>
      <c r="F186" s="57" t="s">
        <v>798</v>
      </c>
      <c r="G186" s="56" t="s">
        <v>788</v>
      </c>
      <c r="H186" s="56" t="s">
        <v>799</v>
      </c>
      <c r="I186" s="56" t="s">
        <v>796</v>
      </c>
      <c r="J186" s="56" t="s">
        <v>68</v>
      </c>
      <c r="K186" s="56" t="s">
        <v>460</v>
      </c>
      <c r="L186" s="58">
        <v>26730</v>
      </c>
      <c r="M186" s="56">
        <v>52</v>
      </c>
      <c r="N186" s="56" t="s">
        <v>800</v>
      </c>
      <c r="O186" s="58">
        <v>49344</v>
      </c>
      <c r="P186" s="56" t="s">
        <v>4</v>
      </c>
      <c r="Q186" s="56"/>
      <c r="R186" s="50">
        <v>45913</v>
      </c>
      <c r="S186" s="50">
        <v>45918</v>
      </c>
      <c r="T186" s="51">
        <f t="shared" si="2"/>
        <v>5</v>
      </c>
      <c r="U186" s="56">
        <v>1</v>
      </c>
      <c r="V186" s="56">
        <v>1</v>
      </c>
      <c r="W186" s="56">
        <v>0</v>
      </c>
      <c r="X186" s="56">
        <v>1</v>
      </c>
      <c r="Y186" s="56">
        <v>0</v>
      </c>
      <c r="Z186" s="56">
        <v>1</v>
      </c>
      <c r="AA186" s="56">
        <v>0</v>
      </c>
      <c r="AB186" s="56"/>
      <c r="AC186" s="58">
        <v>45909</v>
      </c>
      <c r="AD186" s="59">
        <v>0.82638888889050577</v>
      </c>
      <c r="AE186" s="56" t="s">
        <v>792</v>
      </c>
      <c r="AF186" s="58">
        <v>45918</v>
      </c>
      <c r="AG186" s="59">
        <v>0.85416666666424135</v>
      </c>
      <c r="AH186" s="56" t="s">
        <v>183</v>
      </c>
      <c r="AI186" s="56" t="s">
        <v>793</v>
      </c>
      <c r="AJ186" s="56" t="s">
        <v>64</v>
      </c>
      <c r="AK186" s="56" t="s">
        <v>64</v>
      </c>
      <c r="AL186" s="56" t="s">
        <v>1</v>
      </c>
      <c r="AM186" s="56" t="s">
        <v>65</v>
      </c>
      <c r="AN186" s="60"/>
      <c r="AO186" s="61"/>
    </row>
    <row r="187" spans="3:41" ht="14.25" customHeight="1">
      <c r="C187" s="55" t="str">
        <f>IF($X187=1,COUNTIF($C$10:C186,"&gt;0")+1,"")</f>
        <v/>
      </c>
      <c r="D187" s="56"/>
      <c r="E187" s="56" t="s">
        <v>787</v>
      </c>
      <c r="F187" s="57" t="s">
        <v>801</v>
      </c>
      <c r="G187" s="56" t="s">
        <v>788</v>
      </c>
      <c r="H187" s="56" t="s">
        <v>802</v>
      </c>
      <c r="I187" s="56" t="s">
        <v>796</v>
      </c>
      <c r="J187" s="56" t="s">
        <v>58</v>
      </c>
      <c r="K187" s="56" t="s">
        <v>460</v>
      </c>
      <c r="L187" s="58">
        <v>25894</v>
      </c>
      <c r="M187" s="56">
        <v>54</v>
      </c>
      <c r="N187" s="56" t="s">
        <v>803</v>
      </c>
      <c r="O187" s="58">
        <v>49345</v>
      </c>
      <c r="P187" s="56" t="s">
        <v>4</v>
      </c>
      <c r="Q187" s="56"/>
      <c r="R187" s="50">
        <v>45913</v>
      </c>
      <c r="S187" s="50">
        <v>45918</v>
      </c>
      <c r="T187" s="51">
        <f t="shared" si="2"/>
        <v>5</v>
      </c>
      <c r="U187" s="56">
        <v>1</v>
      </c>
      <c r="V187" s="56">
        <v>1</v>
      </c>
      <c r="W187" s="56">
        <v>0</v>
      </c>
      <c r="X187" s="56">
        <v>0</v>
      </c>
      <c r="Y187" s="56">
        <v>0</v>
      </c>
      <c r="Z187" s="56">
        <v>0</v>
      </c>
      <c r="AA187" s="56">
        <v>0</v>
      </c>
      <c r="AB187" s="56"/>
      <c r="AC187" s="58">
        <v>45909</v>
      </c>
      <c r="AD187" s="59">
        <v>0.82638888889050577</v>
      </c>
      <c r="AE187" s="56" t="s">
        <v>792</v>
      </c>
      <c r="AF187" s="58">
        <v>45918</v>
      </c>
      <c r="AG187" s="59">
        <v>0.85416666666424135</v>
      </c>
      <c r="AH187" s="56" t="s">
        <v>183</v>
      </c>
      <c r="AI187" s="56" t="s">
        <v>793</v>
      </c>
      <c r="AJ187" s="56" t="s">
        <v>64</v>
      </c>
      <c r="AK187" s="56" t="s">
        <v>64</v>
      </c>
      <c r="AL187" s="56" t="s">
        <v>1</v>
      </c>
      <c r="AM187" s="56" t="s">
        <v>65</v>
      </c>
      <c r="AN187" s="60"/>
      <c r="AO187" s="61"/>
    </row>
    <row r="188" spans="3:41" ht="14.25" customHeight="1">
      <c r="C188" s="55">
        <f>IF($X188=1,COUNTIF($C$10:C187,"&gt;0")+1,"")</f>
        <v>90</v>
      </c>
      <c r="D188" s="56">
        <v>462710807</v>
      </c>
      <c r="E188" s="56" t="s">
        <v>787</v>
      </c>
      <c r="F188" s="57" t="s">
        <v>804</v>
      </c>
      <c r="G188" s="56" t="s">
        <v>804</v>
      </c>
      <c r="H188" s="56" t="s">
        <v>805</v>
      </c>
      <c r="I188" s="56" t="s">
        <v>806</v>
      </c>
      <c r="J188" s="56" t="s">
        <v>68</v>
      </c>
      <c r="K188" s="56" t="s">
        <v>460</v>
      </c>
      <c r="L188" s="58">
        <v>45744</v>
      </c>
      <c r="M188" s="56">
        <v>0</v>
      </c>
      <c r="N188" s="56" t="s">
        <v>807</v>
      </c>
      <c r="O188" s="58">
        <v>48620</v>
      </c>
      <c r="P188" s="56" t="s">
        <v>4</v>
      </c>
      <c r="Q188" s="56"/>
      <c r="R188" s="50">
        <v>45913</v>
      </c>
      <c r="S188" s="50">
        <v>45918</v>
      </c>
      <c r="T188" s="51">
        <f t="shared" si="2"/>
        <v>5</v>
      </c>
      <c r="U188" s="56">
        <v>1</v>
      </c>
      <c r="V188" s="56">
        <v>1</v>
      </c>
      <c r="W188" s="56">
        <v>0</v>
      </c>
      <c r="X188" s="56">
        <v>1</v>
      </c>
      <c r="Y188" s="56">
        <v>0</v>
      </c>
      <c r="Z188" s="56">
        <v>1</v>
      </c>
      <c r="AA188" s="56">
        <v>0</v>
      </c>
      <c r="AB188" s="56"/>
      <c r="AC188" s="58">
        <v>45909</v>
      </c>
      <c r="AD188" s="59">
        <v>0.80555555555474712</v>
      </c>
      <c r="AE188" s="56" t="s">
        <v>808</v>
      </c>
      <c r="AF188" s="58">
        <v>45918</v>
      </c>
      <c r="AG188" s="59">
        <v>0.85416666666424135</v>
      </c>
      <c r="AH188" s="56" t="s">
        <v>183</v>
      </c>
      <c r="AI188" s="56" t="s">
        <v>793</v>
      </c>
      <c r="AJ188" s="56" t="s">
        <v>64</v>
      </c>
      <c r="AK188" s="56" t="s">
        <v>64</v>
      </c>
      <c r="AL188" s="56" t="s">
        <v>1</v>
      </c>
      <c r="AM188" s="56" t="s">
        <v>65</v>
      </c>
      <c r="AN188" s="60"/>
      <c r="AO188" s="61"/>
    </row>
    <row r="189" spans="3:41" ht="14.25" customHeight="1">
      <c r="C189" s="55" t="str">
        <f>IF($X189=1,COUNTIF($C$10:C188,"&gt;0")+1,"")</f>
        <v/>
      </c>
      <c r="D189" s="56"/>
      <c r="E189" s="56" t="s">
        <v>787</v>
      </c>
      <c r="F189" s="57" t="s">
        <v>809</v>
      </c>
      <c r="G189" s="56" t="s">
        <v>804</v>
      </c>
      <c r="H189" s="56" t="s">
        <v>810</v>
      </c>
      <c r="I189" s="56" t="s">
        <v>811</v>
      </c>
      <c r="J189" s="56" t="s">
        <v>68</v>
      </c>
      <c r="K189" s="56" t="s">
        <v>460</v>
      </c>
      <c r="L189" s="58">
        <v>29712</v>
      </c>
      <c r="M189" s="56">
        <v>44</v>
      </c>
      <c r="N189" s="56" t="s">
        <v>812</v>
      </c>
      <c r="O189" s="58">
        <v>47044</v>
      </c>
      <c r="P189" s="56" t="s">
        <v>4</v>
      </c>
      <c r="Q189" s="56"/>
      <c r="R189" s="50">
        <v>45913</v>
      </c>
      <c r="S189" s="50">
        <v>45918</v>
      </c>
      <c r="T189" s="51">
        <f t="shared" si="2"/>
        <v>5</v>
      </c>
      <c r="U189" s="56">
        <v>1</v>
      </c>
      <c r="V189" s="56">
        <v>1</v>
      </c>
      <c r="W189" s="56">
        <v>0</v>
      </c>
      <c r="X189" s="56">
        <v>0</v>
      </c>
      <c r="Y189" s="56">
        <v>0</v>
      </c>
      <c r="Z189" s="56">
        <v>0</v>
      </c>
      <c r="AA189" s="56">
        <v>0</v>
      </c>
      <c r="AB189" s="56"/>
      <c r="AC189" s="58">
        <v>45909</v>
      </c>
      <c r="AD189" s="59">
        <v>0.80555555555474712</v>
      </c>
      <c r="AE189" s="56" t="s">
        <v>808</v>
      </c>
      <c r="AF189" s="58">
        <v>45918</v>
      </c>
      <c r="AG189" s="59">
        <v>0.85416666666424135</v>
      </c>
      <c r="AH189" s="56" t="s">
        <v>183</v>
      </c>
      <c r="AI189" s="56" t="s">
        <v>793</v>
      </c>
      <c r="AJ189" s="56" t="s">
        <v>64</v>
      </c>
      <c r="AK189" s="56" t="s">
        <v>64</v>
      </c>
      <c r="AL189" s="56" t="s">
        <v>1</v>
      </c>
      <c r="AM189" s="56" t="s">
        <v>65</v>
      </c>
      <c r="AN189" s="60"/>
      <c r="AO189" s="61"/>
    </row>
    <row r="190" spans="3:41" ht="14.25" customHeight="1">
      <c r="C190" s="55">
        <f>IF($X190=1,COUNTIF($C$10:C189,"&gt;0")+1,"")</f>
        <v>91</v>
      </c>
      <c r="D190" s="56">
        <v>462710808</v>
      </c>
      <c r="E190" s="56" t="s">
        <v>787</v>
      </c>
      <c r="F190" s="57" t="s">
        <v>813</v>
      </c>
      <c r="G190" s="56" t="s">
        <v>813</v>
      </c>
      <c r="H190" s="56" t="s">
        <v>814</v>
      </c>
      <c r="I190" s="56" t="s">
        <v>815</v>
      </c>
      <c r="J190" s="56" t="s">
        <v>58</v>
      </c>
      <c r="K190" s="56" t="s">
        <v>460</v>
      </c>
      <c r="L190" s="58">
        <v>30195</v>
      </c>
      <c r="M190" s="56">
        <v>43</v>
      </c>
      <c r="N190" s="56" t="s">
        <v>816</v>
      </c>
      <c r="O190" s="58">
        <v>49233</v>
      </c>
      <c r="P190" s="56" t="s">
        <v>4</v>
      </c>
      <c r="Q190" s="56"/>
      <c r="R190" s="50">
        <v>45913</v>
      </c>
      <c r="S190" s="50">
        <v>45918</v>
      </c>
      <c r="T190" s="51">
        <f t="shared" si="2"/>
        <v>5</v>
      </c>
      <c r="U190" s="56">
        <v>1</v>
      </c>
      <c r="V190" s="56">
        <v>1</v>
      </c>
      <c r="W190" s="56">
        <v>0</v>
      </c>
      <c r="X190" s="56">
        <v>1</v>
      </c>
      <c r="Y190" s="56">
        <v>0</v>
      </c>
      <c r="Z190" s="56">
        <v>1</v>
      </c>
      <c r="AA190" s="56">
        <v>0</v>
      </c>
      <c r="AB190" s="56"/>
      <c r="AC190" s="58">
        <v>45910</v>
      </c>
      <c r="AD190" s="59">
        <v>0.70486111110949423</v>
      </c>
      <c r="AE190" s="56" t="s">
        <v>817</v>
      </c>
      <c r="AF190" s="58">
        <v>45918</v>
      </c>
      <c r="AG190" s="59">
        <v>0.80208333333575865</v>
      </c>
      <c r="AH190" s="56" t="s">
        <v>221</v>
      </c>
      <c r="AI190" s="56" t="s">
        <v>793</v>
      </c>
      <c r="AJ190" s="56" t="s">
        <v>64</v>
      </c>
      <c r="AK190" s="56" t="s">
        <v>64</v>
      </c>
      <c r="AL190" s="56" t="s">
        <v>1</v>
      </c>
      <c r="AM190" s="56" t="s">
        <v>65</v>
      </c>
      <c r="AN190" s="60"/>
      <c r="AO190" s="61"/>
    </row>
    <row r="191" spans="3:41" ht="14.25" customHeight="1">
      <c r="C191" s="55" t="str">
        <f>IF($X191=1,COUNTIF($C$10:C190,"&gt;0")+1,"")</f>
        <v/>
      </c>
      <c r="D191" s="56"/>
      <c r="E191" s="56" t="s">
        <v>787</v>
      </c>
      <c r="F191" s="57" t="s">
        <v>818</v>
      </c>
      <c r="G191" s="56" t="s">
        <v>813</v>
      </c>
      <c r="H191" s="56" t="s">
        <v>819</v>
      </c>
      <c r="I191" s="56" t="s">
        <v>820</v>
      </c>
      <c r="J191" s="56" t="s">
        <v>58</v>
      </c>
      <c r="K191" s="56" t="s">
        <v>460</v>
      </c>
      <c r="L191" s="58">
        <v>30315</v>
      </c>
      <c r="M191" s="56">
        <v>42</v>
      </c>
      <c r="N191" s="56" t="s">
        <v>821</v>
      </c>
      <c r="O191" s="58">
        <v>46417</v>
      </c>
      <c r="P191" s="56" t="s">
        <v>4</v>
      </c>
      <c r="Q191" s="56"/>
      <c r="R191" s="50">
        <v>45913</v>
      </c>
      <c r="S191" s="50">
        <v>45918</v>
      </c>
      <c r="T191" s="51">
        <f t="shared" si="2"/>
        <v>5</v>
      </c>
      <c r="U191" s="56">
        <v>1</v>
      </c>
      <c r="V191" s="56">
        <v>1</v>
      </c>
      <c r="W191" s="56">
        <v>0</v>
      </c>
      <c r="X191" s="56">
        <v>0</v>
      </c>
      <c r="Y191" s="56">
        <v>0</v>
      </c>
      <c r="Z191" s="56">
        <v>0</v>
      </c>
      <c r="AA191" s="56">
        <v>0</v>
      </c>
      <c r="AB191" s="56"/>
      <c r="AC191" s="58">
        <v>45910</v>
      </c>
      <c r="AD191" s="59">
        <v>0.70486111110949423</v>
      </c>
      <c r="AE191" s="56" t="s">
        <v>817</v>
      </c>
      <c r="AF191" s="58">
        <v>45918</v>
      </c>
      <c r="AG191" s="59">
        <v>0.80208333333575865</v>
      </c>
      <c r="AH191" s="56" t="s">
        <v>221</v>
      </c>
      <c r="AI191" s="56" t="s">
        <v>793</v>
      </c>
      <c r="AJ191" s="56" t="s">
        <v>598</v>
      </c>
      <c r="AK191" s="56" t="s">
        <v>64</v>
      </c>
      <c r="AL191" s="56" t="s">
        <v>1</v>
      </c>
      <c r="AM191" s="56" t="s">
        <v>65</v>
      </c>
      <c r="AN191" s="60"/>
      <c r="AO191" s="61"/>
    </row>
    <row r="192" spans="3:41" ht="14.25" customHeight="1">
      <c r="C192" s="55">
        <f>IF($X192=1,COUNTIF($C$10:C191,"&gt;0")+1,"")</f>
        <v>92</v>
      </c>
      <c r="D192" s="56">
        <v>462710809</v>
      </c>
      <c r="E192" s="56" t="s">
        <v>787</v>
      </c>
      <c r="F192" s="57" t="s">
        <v>822</v>
      </c>
      <c r="G192" s="56" t="s">
        <v>822</v>
      </c>
      <c r="H192" s="56" t="s">
        <v>823</v>
      </c>
      <c r="I192" s="56" t="s">
        <v>824</v>
      </c>
      <c r="J192" s="56" t="s">
        <v>68</v>
      </c>
      <c r="K192" s="56" t="s">
        <v>460</v>
      </c>
      <c r="L192" s="58">
        <v>33745</v>
      </c>
      <c r="M192" s="56">
        <v>33</v>
      </c>
      <c r="N192" s="56" t="s">
        <v>825</v>
      </c>
      <c r="O192" s="58">
        <v>48611</v>
      </c>
      <c r="P192" s="56" t="s">
        <v>3</v>
      </c>
      <c r="Q192" s="56"/>
      <c r="R192" s="50">
        <v>45913</v>
      </c>
      <c r="S192" s="50">
        <v>45918</v>
      </c>
      <c r="T192" s="51">
        <f t="shared" si="2"/>
        <v>5</v>
      </c>
      <c r="U192" s="56">
        <v>1</v>
      </c>
      <c r="V192" s="56">
        <v>1</v>
      </c>
      <c r="W192" s="56">
        <v>0</v>
      </c>
      <c r="X192" s="56">
        <v>1</v>
      </c>
      <c r="Y192" s="56">
        <v>1</v>
      </c>
      <c r="Z192" s="56">
        <v>0</v>
      </c>
      <c r="AA192" s="56">
        <v>0</v>
      </c>
      <c r="AB192" s="56"/>
      <c r="AC192" s="58">
        <v>45913</v>
      </c>
      <c r="AD192" s="59">
        <v>0.72916666666424135</v>
      </c>
      <c r="AE192" s="56" t="s">
        <v>575</v>
      </c>
      <c r="AF192" s="58">
        <v>45918</v>
      </c>
      <c r="AG192" s="59">
        <v>0.79513888889050577</v>
      </c>
      <c r="AH192" s="56" t="s">
        <v>359</v>
      </c>
      <c r="AI192" s="56" t="s">
        <v>793</v>
      </c>
      <c r="AJ192" s="56" t="s">
        <v>64</v>
      </c>
      <c r="AK192" s="56" t="s">
        <v>64</v>
      </c>
      <c r="AL192" s="56" t="s">
        <v>1</v>
      </c>
      <c r="AM192" s="56" t="s">
        <v>65</v>
      </c>
      <c r="AN192" s="60"/>
      <c r="AO192" s="61"/>
    </row>
    <row r="193" spans="3:41" ht="14.25" customHeight="1">
      <c r="C193" s="55">
        <f>IF($X193=1,COUNTIF($C$10:C192,"&gt;0")+1,"")</f>
        <v>93</v>
      </c>
      <c r="D193" s="56">
        <v>462710810</v>
      </c>
      <c r="E193" s="56" t="s">
        <v>787</v>
      </c>
      <c r="F193" s="57" t="s">
        <v>826</v>
      </c>
      <c r="G193" s="56" t="s">
        <v>826</v>
      </c>
      <c r="H193" s="56" t="s">
        <v>827</v>
      </c>
      <c r="I193" s="56" t="s">
        <v>828</v>
      </c>
      <c r="J193" s="56" t="s">
        <v>68</v>
      </c>
      <c r="K193" s="56" t="s">
        <v>460</v>
      </c>
      <c r="L193" s="58">
        <v>27214</v>
      </c>
      <c r="M193" s="56">
        <v>51</v>
      </c>
      <c r="N193" s="56" t="s">
        <v>829</v>
      </c>
      <c r="O193" s="58">
        <v>48849</v>
      </c>
      <c r="P193" s="56" t="s">
        <v>4</v>
      </c>
      <c r="Q193" s="56"/>
      <c r="R193" s="50">
        <v>45913</v>
      </c>
      <c r="S193" s="50">
        <v>45918</v>
      </c>
      <c r="T193" s="51">
        <f t="shared" si="2"/>
        <v>5</v>
      </c>
      <c r="U193" s="56">
        <v>1</v>
      </c>
      <c r="V193" s="56">
        <v>1</v>
      </c>
      <c r="W193" s="56">
        <v>0</v>
      </c>
      <c r="X193" s="56">
        <v>1</v>
      </c>
      <c r="Y193" s="56">
        <v>0</v>
      </c>
      <c r="Z193" s="56">
        <v>1</v>
      </c>
      <c r="AA193" s="56">
        <v>0</v>
      </c>
      <c r="AB193" s="56"/>
      <c r="AC193" s="58">
        <v>45910</v>
      </c>
      <c r="AD193" s="59">
        <v>0.1875</v>
      </c>
      <c r="AE193" s="56" t="s">
        <v>830</v>
      </c>
      <c r="AF193" s="58">
        <v>45918</v>
      </c>
      <c r="AG193" s="59">
        <v>0.79513888889050577</v>
      </c>
      <c r="AH193" s="56" t="s">
        <v>831</v>
      </c>
      <c r="AI193" s="56" t="s">
        <v>793</v>
      </c>
      <c r="AJ193" s="56" t="s">
        <v>64</v>
      </c>
      <c r="AK193" s="56" t="s">
        <v>64</v>
      </c>
      <c r="AL193" s="56" t="s">
        <v>1</v>
      </c>
      <c r="AM193" s="56" t="s">
        <v>65</v>
      </c>
      <c r="AN193" s="60"/>
      <c r="AO193" s="61"/>
    </row>
    <row r="194" spans="3:41" ht="14.25" customHeight="1">
      <c r="C194" s="55" t="str">
        <f>IF($X194=1,COUNTIF($C$10:C193,"&gt;0")+1,"")</f>
        <v/>
      </c>
      <c r="D194" s="56"/>
      <c r="E194" s="56" t="s">
        <v>787</v>
      </c>
      <c r="F194" s="57" t="s">
        <v>832</v>
      </c>
      <c r="G194" s="56" t="s">
        <v>826</v>
      </c>
      <c r="H194" s="56" t="s">
        <v>833</v>
      </c>
      <c r="I194" s="56" t="s">
        <v>834</v>
      </c>
      <c r="J194" s="56" t="s">
        <v>58</v>
      </c>
      <c r="K194" s="56" t="s">
        <v>460</v>
      </c>
      <c r="L194" s="58">
        <v>29031</v>
      </c>
      <c r="M194" s="56">
        <v>46</v>
      </c>
      <c r="N194" s="56" t="s">
        <v>835</v>
      </c>
      <c r="O194" s="58">
        <v>49365</v>
      </c>
      <c r="P194" s="56" t="s">
        <v>4</v>
      </c>
      <c r="Q194" s="56"/>
      <c r="R194" s="50">
        <v>45913</v>
      </c>
      <c r="S194" s="50">
        <v>45918</v>
      </c>
      <c r="T194" s="51">
        <f t="shared" si="2"/>
        <v>5</v>
      </c>
      <c r="U194" s="56">
        <v>1</v>
      </c>
      <c r="V194" s="56">
        <v>1</v>
      </c>
      <c r="W194" s="56">
        <v>0</v>
      </c>
      <c r="X194" s="56">
        <v>0</v>
      </c>
      <c r="Y194" s="56">
        <v>0</v>
      </c>
      <c r="Z194" s="56">
        <v>0</v>
      </c>
      <c r="AA194" s="56">
        <v>0</v>
      </c>
      <c r="AB194" s="56"/>
      <c r="AC194" s="58">
        <v>45910</v>
      </c>
      <c r="AD194" s="59">
        <v>0.1875</v>
      </c>
      <c r="AE194" s="56" t="s">
        <v>830</v>
      </c>
      <c r="AF194" s="58">
        <v>45918</v>
      </c>
      <c r="AG194" s="59">
        <v>0.79513888889050577</v>
      </c>
      <c r="AH194" s="56" t="s">
        <v>831</v>
      </c>
      <c r="AI194" s="56" t="s">
        <v>793</v>
      </c>
      <c r="AJ194" s="56" t="s">
        <v>64</v>
      </c>
      <c r="AK194" s="56" t="s">
        <v>64</v>
      </c>
      <c r="AL194" s="56" t="s">
        <v>1</v>
      </c>
      <c r="AM194" s="56" t="s">
        <v>65</v>
      </c>
      <c r="AN194" s="60"/>
      <c r="AO194" s="61"/>
    </row>
    <row r="195" spans="3:41" ht="14.25" customHeight="1">
      <c r="C195" s="55">
        <f>IF($X195=1,COUNTIF($C$10:C194,"&gt;0")+1,"")</f>
        <v>94</v>
      </c>
      <c r="D195" s="56">
        <v>462710812</v>
      </c>
      <c r="E195" s="56" t="s">
        <v>836</v>
      </c>
      <c r="F195" s="57" t="s">
        <v>837</v>
      </c>
      <c r="G195" s="56" t="s">
        <v>837</v>
      </c>
      <c r="H195" s="56" t="s">
        <v>838</v>
      </c>
      <c r="I195" s="56" t="s">
        <v>839</v>
      </c>
      <c r="J195" s="56" t="s">
        <v>68</v>
      </c>
      <c r="K195" s="56" t="s">
        <v>59</v>
      </c>
      <c r="L195" s="58">
        <v>23493</v>
      </c>
      <c r="M195" s="56">
        <v>61</v>
      </c>
      <c r="N195" s="56" t="s">
        <v>840</v>
      </c>
      <c r="O195" s="58">
        <v>46131</v>
      </c>
      <c r="P195" s="56" t="s">
        <v>4</v>
      </c>
      <c r="Q195" s="56"/>
      <c r="R195" s="50">
        <v>45913</v>
      </c>
      <c r="S195" s="50">
        <v>45918</v>
      </c>
      <c r="T195" s="51">
        <f t="shared" si="2"/>
        <v>5</v>
      </c>
      <c r="U195" s="56">
        <v>1</v>
      </c>
      <c r="V195" s="56">
        <v>1</v>
      </c>
      <c r="W195" s="56">
        <v>0</v>
      </c>
      <c r="X195" s="56">
        <v>1</v>
      </c>
      <c r="Y195" s="56">
        <v>0</v>
      </c>
      <c r="Z195" s="56">
        <v>1</v>
      </c>
      <c r="AA195" s="56">
        <v>0</v>
      </c>
      <c r="AB195" s="56"/>
      <c r="AC195" s="58">
        <v>45913</v>
      </c>
      <c r="AD195" s="59">
        <v>0.61111111110949423</v>
      </c>
      <c r="AE195" s="56" t="s">
        <v>841</v>
      </c>
      <c r="AF195" s="58">
        <v>45918</v>
      </c>
      <c r="AG195" s="59">
        <v>0.52777777778101154</v>
      </c>
      <c r="AH195" s="56" t="s">
        <v>842</v>
      </c>
      <c r="AI195" s="56" t="s">
        <v>843</v>
      </c>
      <c r="AJ195" s="56" t="s">
        <v>64</v>
      </c>
      <c r="AK195" s="56" t="s">
        <v>64</v>
      </c>
      <c r="AL195" s="56" t="s">
        <v>1</v>
      </c>
      <c r="AM195" s="56" t="s">
        <v>65</v>
      </c>
      <c r="AN195" s="60"/>
      <c r="AO195" s="61"/>
    </row>
    <row r="196" spans="3:41" ht="14.25" customHeight="1">
      <c r="C196" s="55" t="str">
        <f>IF($X196=1,COUNTIF($C$10:C195,"&gt;0")+1,"")</f>
        <v/>
      </c>
      <c r="D196" s="56"/>
      <c r="E196" s="56" t="s">
        <v>836</v>
      </c>
      <c r="F196" s="57" t="s">
        <v>844</v>
      </c>
      <c r="G196" s="56" t="s">
        <v>837</v>
      </c>
      <c r="H196" s="56" t="s">
        <v>845</v>
      </c>
      <c r="I196" s="56" t="s">
        <v>846</v>
      </c>
      <c r="J196" s="56" t="s">
        <v>68</v>
      </c>
      <c r="K196" s="56" t="s">
        <v>180</v>
      </c>
      <c r="L196" s="58">
        <v>20639</v>
      </c>
      <c r="M196" s="56">
        <v>69</v>
      </c>
      <c r="N196" s="56" t="s">
        <v>847</v>
      </c>
      <c r="O196" s="58">
        <v>46008</v>
      </c>
      <c r="P196" s="56" t="s">
        <v>4</v>
      </c>
      <c r="Q196" s="56"/>
      <c r="R196" s="50">
        <v>45913</v>
      </c>
      <c r="S196" s="50">
        <v>45918</v>
      </c>
      <c r="T196" s="51">
        <f t="shared" si="2"/>
        <v>5</v>
      </c>
      <c r="U196" s="56">
        <v>1</v>
      </c>
      <c r="V196" s="56">
        <v>1</v>
      </c>
      <c r="W196" s="56">
        <v>0</v>
      </c>
      <c r="X196" s="56">
        <v>0</v>
      </c>
      <c r="Y196" s="56">
        <v>0</v>
      </c>
      <c r="Z196" s="56">
        <v>0</v>
      </c>
      <c r="AA196" s="56">
        <v>0</v>
      </c>
      <c r="AB196" s="56"/>
      <c r="AC196" s="58">
        <v>45913</v>
      </c>
      <c r="AD196" s="59">
        <v>0.61111111110949423</v>
      </c>
      <c r="AE196" s="56" t="s">
        <v>841</v>
      </c>
      <c r="AF196" s="58">
        <v>45918</v>
      </c>
      <c r="AG196" s="59">
        <v>0.82291666666424135</v>
      </c>
      <c r="AH196" s="56" t="s">
        <v>848</v>
      </c>
      <c r="AI196" s="56" t="s">
        <v>843</v>
      </c>
      <c r="AJ196" s="56" t="s">
        <v>64</v>
      </c>
      <c r="AK196" s="56" t="s">
        <v>64</v>
      </c>
      <c r="AL196" s="56" t="s">
        <v>1</v>
      </c>
      <c r="AM196" s="56" t="s">
        <v>65</v>
      </c>
      <c r="AN196" s="60"/>
      <c r="AO196" s="61"/>
    </row>
    <row r="197" spans="3:41" ht="14.25" customHeight="1">
      <c r="C197" s="55">
        <f>IF($X197=1,COUNTIF($C$10:C196,"&gt;0")+1,"")</f>
        <v>95</v>
      </c>
      <c r="D197" s="56">
        <v>462710813</v>
      </c>
      <c r="E197" s="56" t="s">
        <v>836</v>
      </c>
      <c r="F197" s="57" t="s">
        <v>849</v>
      </c>
      <c r="G197" s="56" t="s">
        <v>849</v>
      </c>
      <c r="H197" s="56" t="s">
        <v>850</v>
      </c>
      <c r="I197" s="56" t="s">
        <v>744</v>
      </c>
      <c r="J197" s="56" t="s">
        <v>68</v>
      </c>
      <c r="K197" s="56" t="s">
        <v>59</v>
      </c>
      <c r="L197" s="58">
        <v>21743</v>
      </c>
      <c r="M197" s="56">
        <v>66</v>
      </c>
      <c r="N197" s="56" t="s">
        <v>851</v>
      </c>
      <c r="O197" s="58">
        <v>46121</v>
      </c>
      <c r="P197" s="56" t="s">
        <v>4</v>
      </c>
      <c r="Q197" s="56"/>
      <c r="R197" s="50">
        <v>45913</v>
      </c>
      <c r="S197" s="50">
        <v>45918</v>
      </c>
      <c r="T197" s="51">
        <f t="shared" si="2"/>
        <v>5</v>
      </c>
      <c r="U197" s="56">
        <v>1</v>
      </c>
      <c r="V197" s="56">
        <v>1</v>
      </c>
      <c r="W197" s="56">
        <v>0</v>
      </c>
      <c r="X197" s="56">
        <v>1</v>
      </c>
      <c r="Y197" s="56">
        <v>0</v>
      </c>
      <c r="Z197" s="56">
        <v>1</v>
      </c>
      <c r="AA197" s="56">
        <v>0</v>
      </c>
      <c r="AB197" s="56"/>
      <c r="AC197" s="58">
        <v>45913</v>
      </c>
      <c r="AD197" s="59">
        <v>0.58680555555474712</v>
      </c>
      <c r="AE197" s="56" t="s">
        <v>61</v>
      </c>
      <c r="AF197" s="58">
        <v>45918</v>
      </c>
      <c r="AG197" s="59">
        <v>0.375</v>
      </c>
      <c r="AH197" s="56" t="s">
        <v>852</v>
      </c>
      <c r="AI197" s="56" t="s">
        <v>843</v>
      </c>
      <c r="AJ197" s="56" t="s">
        <v>64</v>
      </c>
      <c r="AK197" s="56" t="s">
        <v>64</v>
      </c>
      <c r="AL197" s="56" t="s">
        <v>1</v>
      </c>
      <c r="AM197" s="56" t="s">
        <v>65</v>
      </c>
      <c r="AN197" s="60"/>
      <c r="AO197" s="61"/>
    </row>
    <row r="198" spans="3:41" ht="14.25" customHeight="1">
      <c r="C198" s="55" t="str">
        <f>IF($X198=1,COUNTIF($C$10:C197,"&gt;0")+1,"")</f>
        <v/>
      </c>
      <c r="D198" s="56"/>
      <c r="E198" s="56" t="s">
        <v>836</v>
      </c>
      <c r="F198" s="57" t="s">
        <v>853</v>
      </c>
      <c r="G198" s="56" t="s">
        <v>849</v>
      </c>
      <c r="H198" s="56" t="s">
        <v>854</v>
      </c>
      <c r="I198" s="56" t="s">
        <v>744</v>
      </c>
      <c r="J198" s="56" t="s">
        <v>68</v>
      </c>
      <c r="K198" s="56" t="s">
        <v>59</v>
      </c>
      <c r="L198" s="58">
        <v>22541</v>
      </c>
      <c r="M198" s="56">
        <v>64</v>
      </c>
      <c r="N198" s="56" t="s">
        <v>855</v>
      </c>
      <c r="O198" s="58">
        <v>48295</v>
      </c>
      <c r="P198" s="56" t="s">
        <v>4</v>
      </c>
      <c r="Q198" s="56"/>
      <c r="R198" s="50">
        <v>45913</v>
      </c>
      <c r="S198" s="50">
        <v>45918</v>
      </c>
      <c r="T198" s="51">
        <f t="shared" si="2"/>
        <v>5</v>
      </c>
      <c r="U198" s="56">
        <v>1</v>
      </c>
      <c r="V198" s="56">
        <v>1</v>
      </c>
      <c r="W198" s="56">
        <v>0</v>
      </c>
      <c r="X198" s="56">
        <v>0</v>
      </c>
      <c r="Y198" s="56">
        <v>0</v>
      </c>
      <c r="Z198" s="56">
        <v>0</v>
      </c>
      <c r="AA198" s="56">
        <v>0</v>
      </c>
      <c r="AB198" s="56"/>
      <c r="AC198" s="58">
        <v>45913</v>
      </c>
      <c r="AD198" s="59">
        <v>0.58680555555474712</v>
      </c>
      <c r="AE198" s="56" t="s">
        <v>61</v>
      </c>
      <c r="AF198" s="58">
        <v>45918</v>
      </c>
      <c r="AG198" s="59">
        <v>0.375</v>
      </c>
      <c r="AH198" s="56" t="s">
        <v>852</v>
      </c>
      <c r="AI198" s="56" t="s">
        <v>843</v>
      </c>
      <c r="AJ198" s="56" t="s">
        <v>64</v>
      </c>
      <c r="AK198" s="56" t="s">
        <v>64</v>
      </c>
      <c r="AL198" s="56" t="s">
        <v>1</v>
      </c>
      <c r="AM198" s="56" t="s">
        <v>65</v>
      </c>
      <c r="AN198" s="60"/>
      <c r="AO198" s="61"/>
    </row>
    <row r="199" spans="3:41" ht="14.25" customHeight="1">
      <c r="C199" s="55">
        <f>IF($X199=1,COUNTIF($C$10:C198,"&gt;0")+1,"")</f>
        <v>96</v>
      </c>
      <c r="D199" s="56">
        <v>462710814</v>
      </c>
      <c r="E199" s="56" t="s">
        <v>836</v>
      </c>
      <c r="F199" s="57" t="s">
        <v>856</v>
      </c>
      <c r="G199" s="56" t="s">
        <v>856</v>
      </c>
      <c r="H199" s="56" t="s">
        <v>857</v>
      </c>
      <c r="I199" s="56" t="s">
        <v>858</v>
      </c>
      <c r="J199" s="56" t="s">
        <v>58</v>
      </c>
      <c r="K199" s="56" t="s">
        <v>59</v>
      </c>
      <c r="L199" s="58">
        <v>21670</v>
      </c>
      <c r="M199" s="56">
        <v>66</v>
      </c>
      <c r="N199" s="56" t="s">
        <v>859</v>
      </c>
      <c r="O199" s="58">
        <v>48483</v>
      </c>
      <c r="P199" s="56" t="s">
        <v>4</v>
      </c>
      <c r="Q199" s="56"/>
      <c r="R199" s="50">
        <v>45913</v>
      </c>
      <c r="S199" s="50">
        <v>45918</v>
      </c>
      <c r="T199" s="51">
        <f t="shared" si="2"/>
        <v>5</v>
      </c>
      <c r="U199" s="56">
        <v>1</v>
      </c>
      <c r="V199" s="56">
        <v>1</v>
      </c>
      <c r="W199" s="56">
        <v>0</v>
      </c>
      <c r="X199" s="56">
        <v>1</v>
      </c>
      <c r="Y199" s="56">
        <v>0</v>
      </c>
      <c r="Z199" s="56">
        <v>1</v>
      </c>
      <c r="AA199" s="56">
        <v>0</v>
      </c>
      <c r="AB199" s="56"/>
      <c r="AC199" s="58">
        <v>45913</v>
      </c>
      <c r="AD199" s="59">
        <v>0.58680555555474712</v>
      </c>
      <c r="AE199" s="56" t="s">
        <v>61</v>
      </c>
      <c r="AF199" s="58">
        <v>45918</v>
      </c>
      <c r="AG199" s="59">
        <v>0.56944444444525288</v>
      </c>
      <c r="AH199" s="56" t="s">
        <v>492</v>
      </c>
      <c r="AI199" s="56" t="s">
        <v>843</v>
      </c>
      <c r="AJ199" s="56" t="s">
        <v>64</v>
      </c>
      <c r="AK199" s="56" t="s">
        <v>64</v>
      </c>
      <c r="AL199" s="56" t="s">
        <v>1</v>
      </c>
      <c r="AM199" s="56" t="s">
        <v>65</v>
      </c>
      <c r="AN199" s="60"/>
      <c r="AO199" s="61"/>
    </row>
    <row r="200" spans="3:41" ht="14.25" customHeight="1">
      <c r="C200" s="55" t="str">
        <f>IF($X200=1,COUNTIF($C$10:C199,"&gt;0")+1,"")</f>
        <v/>
      </c>
      <c r="D200" s="56"/>
      <c r="E200" s="56" t="s">
        <v>836</v>
      </c>
      <c r="F200" s="57" t="s">
        <v>860</v>
      </c>
      <c r="G200" s="56" t="s">
        <v>856</v>
      </c>
      <c r="H200" s="56" t="s">
        <v>861</v>
      </c>
      <c r="I200" s="56" t="s">
        <v>862</v>
      </c>
      <c r="J200" s="56" t="s">
        <v>68</v>
      </c>
      <c r="K200" s="56" t="s">
        <v>59</v>
      </c>
      <c r="L200" s="58">
        <v>22088</v>
      </c>
      <c r="M200" s="56">
        <v>65</v>
      </c>
      <c r="N200" s="56" t="s">
        <v>863</v>
      </c>
      <c r="O200" s="58">
        <v>46621</v>
      </c>
      <c r="P200" s="56" t="s">
        <v>4</v>
      </c>
      <c r="Q200" s="56"/>
      <c r="R200" s="50">
        <v>45913</v>
      </c>
      <c r="S200" s="50">
        <v>45918</v>
      </c>
      <c r="T200" s="51">
        <f t="shared" si="2"/>
        <v>5</v>
      </c>
      <c r="U200" s="56">
        <v>1</v>
      </c>
      <c r="V200" s="56">
        <v>1</v>
      </c>
      <c r="W200" s="56">
        <v>0</v>
      </c>
      <c r="X200" s="56">
        <v>0</v>
      </c>
      <c r="Y200" s="56">
        <v>0</v>
      </c>
      <c r="Z200" s="56">
        <v>0</v>
      </c>
      <c r="AA200" s="56">
        <v>0</v>
      </c>
      <c r="AB200" s="56"/>
      <c r="AC200" s="58">
        <v>45913</v>
      </c>
      <c r="AD200" s="59">
        <v>0.58680555555474712</v>
      </c>
      <c r="AE200" s="56" t="s">
        <v>61</v>
      </c>
      <c r="AF200" s="58">
        <v>45918</v>
      </c>
      <c r="AG200" s="59">
        <v>0.56944444444525288</v>
      </c>
      <c r="AH200" s="56" t="s">
        <v>492</v>
      </c>
      <c r="AI200" s="56" t="s">
        <v>843</v>
      </c>
      <c r="AJ200" s="56" t="s">
        <v>64</v>
      </c>
      <c r="AK200" s="56" t="s">
        <v>64</v>
      </c>
      <c r="AL200" s="56" t="s">
        <v>1</v>
      </c>
      <c r="AM200" s="56" t="s">
        <v>65</v>
      </c>
      <c r="AN200" s="60"/>
      <c r="AO200" s="61"/>
    </row>
    <row r="201" spans="3:41" ht="14.25" customHeight="1">
      <c r="C201" s="55">
        <f>IF($X201=1,COUNTIF($C$10:C200,"&gt;0")+1,"")</f>
        <v>97</v>
      </c>
      <c r="D201" s="56">
        <v>462710815</v>
      </c>
      <c r="E201" s="56" t="s">
        <v>836</v>
      </c>
      <c r="F201" s="57" t="s">
        <v>864</v>
      </c>
      <c r="G201" s="56" t="s">
        <v>856</v>
      </c>
      <c r="H201" s="56" t="s">
        <v>865</v>
      </c>
      <c r="I201" s="56" t="s">
        <v>862</v>
      </c>
      <c r="J201" s="56" t="s">
        <v>68</v>
      </c>
      <c r="K201" s="56" t="s">
        <v>59</v>
      </c>
      <c r="L201" s="58">
        <v>32816</v>
      </c>
      <c r="M201" s="56">
        <v>35</v>
      </c>
      <c r="N201" s="56" t="s">
        <v>866</v>
      </c>
      <c r="O201" s="58">
        <v>46951</v>
      </c>
      <c r="P201" s="56" t="s">
        <v>4</v>
      </c>
      <c r="Q201" s="56"/>
      <c r="R201" s="50">
        <v>45913</v>
      </c>
      <c r="S201" s="50">
        <v>45918</v>
      </c>
      <c r="T201" s="51">
        <f t="shared" si="2"/>
        <v>5</v>
      </c>
      <c r="U201" s="56">
        <v>1</v>
      </c>
      <c r="V201" s="56">
        <v>1</v>
      </c>
      <c r="W201" s="56">
        <v>0</v>
      </c>
      <c r="X201" s="56">
        <v>1</v>
      </c>
      <c r="Y201" s="56">
        <v>0</v>
      </c>
      <c r="Z201" s="56">
        <v>1</v>
      </c>
      <c r="AA201" s="56">
        <v>0</v>
      </c>
      <c r="AB201" s="56"/>
      <c r="AC201" s="58">
        <v>45913</v>
      </c>
      <c r="AD201" s="59">
        <v>0.58680555555474712</v>
      </c>
      <c r="AE201" s="56" t="s">
        <v>61</v>
      </c>
      <c r="AF201" s="58">
        <v>45918</v>
      </c>
      <c r="AG201" s="59">
        <v>0.56944444444525288</v>
      </c>
      <c r="AH201" s="56" t="s">
        <v>492</v>
      </c>
      <c r="AI201" s="56" t="s">
        <v>843</v>
      </c>
      <c r="AJ201" s="56" t="s">
        <v>64</v>
      </c>
      <c r="AK201" s="56" t="s">
        <v>64</v>
      </c>
      <c r="AL201" s="56" t="s">
        <v>1</v>
      </c>
      <c r="AM201" s="56" t="s">
        <v>65</v>
      </c>
      <c r="AN201" s="60"/>
      <c r="AO201" s="61"/>
    </row>
    <row r="202" spans="3:41" ht="14.25" customHeight="1">
      <c r="C202" s="55" t="str">
        <f>IF($X202=1,COUNTIF($C$10:C201,"&gt;0")+1,"")</f>
        <v/>
      </c>
      <c r="D202" s="56"/>
      <c r="E202" s="56" t="s">
        <v>836</v>
      </c>
      <c r="F202" s="57" t="s">
        <v>867</v>
      </c>
      <c r="G202" s="56" t="s">
        <v>856</v>
      </c>
      <c r="H202" s="56" t="s">
        <v>868</v>
      </c>
      <c r="I202" s="56" t="s">
        <v>862</v>
      </c>
      <c r="J202" s="56" t="s">
        <v>68</v>
      </c>
      <c r="K202" s="56" t="s">
        <v>59</v>
      </c>
      <c r="L202" s="58">
        <v>34235</v>
      </c>
      <c r="M202" s="56">
        <v>31</v>
      </c>
      <c r="N202" s="56" t="s">
        <v>869</v>
      </c>
      <c r="O202" s="58">
        <v>46952</v>
      </c>
      <c r="P202" s="56" t="s">
        <v>4</v>
      </c>
      <c r="Q202" s="56"/>
      <c r="R202" s="50">
        <v>45913</v>
      </c>
      <c r="S202" s="50">
        <v>45918</v>
      </c>
      <c r="T202" s="51">
        <f t="shared" si="2"/>
        <v>5</v>
      </c>
      <c r="U202" s="56">
        <v>1</v>
      </c>
      <c r="V202" s="56">
        <v>1</v>
      </c>
      <c r="W202" s="56">
        <v>0</v>
      </c>
      <c r="X202" s="56">
        <v>0</v>
      </c>
      <c r="Y202" s="56">
        <v>0</v>
      </c>
      <c r="Z202" s="56">
        <v>0</v>
      </c>
      <c r="AA202" s="56">
        <v>0</v>
      </c>
      <c r="AB202" s="56"/>
      <c r="AC202" s="58">
        <v>45913</v>
      </c>
      <c r="AD202" s="59">
        <v>0.58680555555474712</v>
      </c>
      <c r="AE202" s="56" t="s">
        <v>61</v>
      </c>
      <c r="AF202" s="58">
        <v>45918</v>
      </c>
      <c r="AG202" s="59">
        <v>0.56944444444525288</v>
      </c>
      <c r="AH202" s="56" t="s">
        <v>492</v>
      </c>
      <c r="AI202" s="56" t="s">
        <v>843</v>
      </c>
      <c r="AJ202" s="56" t="s">
        <v>64</v>
      </c>
      <c r="AK202" s="56" t="s">
        <v>64</v>
      </c>
      <c r="AL202" s="56" t="s">
        <v>1</v>
      </c>
      <c r="AM202" s="56" t="s">
        <v>65</v>
      </c>
      <c r="AN202" s="60"/>
      <c r="AO202" s="61"/>
    </row>
    <row r="203" spans="3:41" ht="14.25" customHeight="1">
      <c r="C203" s="55">
        <f>IF($X203=1,COUNTIF($C$10:C202,"&gt;0")+1,"")</f>
        <v>98</v>
      </c>
      <c r="D203" s="56">
        <v>462710816</v>
      </c>
      <c r="E203" s="56" t="s">
        <v>836</v>
      </c>
      <c r="F203" s="57" t="s">
        <v>870</v>
      </c>
      <c r="G203" s="56" t="s">
        <v>856</v>
      </c>
      <c r="H203" s="56" t="s">
        <v>871</v>
      </c>
      <c r="I203" s="56" t="s">
        <v>862</v>
      </c>
      <c r="J203" s="56" t="s">
        <v>58</v>
      </c>
      <c r="K203" s="56" t="s">
        <v>59</v>
      </c>
      <c r="L203" s="58">
        <v>32251</v>
      </c>
      <c r="M203" s="56">
        <v>37</v>
      </c>
      <c r="N203" s="56" t="s">
        <v>872</v>
      </c>
      <c r="O203" s="58">
        <v>48401</v>
      </c>
      <c r="P203" s="56" t="s">
        <v>3</v>
      </c>
      <c r="Q203" s="56"/>
      <c r="R203" s="50">
        <v>45913</v>
      </c>
      <c r="S203" s="50">
        <v>45918</v>
      </c>
      <c r="T203" s="51">
        <f t="shared" si="2"/>
        <v>5</v>
      </c>
      <c r="U203" s="56">
        <v>1</v>
      </c>
      <c r="V203" s="56">
        <v>1</v>
      </c>
      <c r="W203" s="56">
        <v>0</v>
      </c>
      <c r="X203" s="56">
        <v>1</v>
      </c>
      <c r="Y203" s="56">
        <v>1</v>
      </c>
      <c r="Z203" s="56">
        <v>0</v>
      </c>
      <c r="AA203" s="56">
        <v>0</v>
      </c>
      <c r="AB203" s="56"/>
      <c r="AC203" s="58">
        <v>45913</v>
      </c>
      <c r="AD203" s="59">
        <v>0.58680555555474712</v>
      </c>
      <c r="AE203" s="56" t="s">
        <v>61</v>
      </c>
      <c r="AF203" s="58">
        <v>45918</v>
      </c>
      <c r="AG203" s="59">
        <v>0.56944444444525288</v>
      </c>
      <c r="AH203" s="56" t="s">
        <v>492</v>
      </c>
      <c r="AI203" s="56" t="s">
        <v>843</v>
      </c>
      <c r="AJ203" s="56" t="s">
        <v>64</v>
      </c>
      <c r="AK203" s="56" t="s">
        <v>64</v>
      </c>
      <c r="AL203" s="56" t="s">
        <v>1</v>
      </c>
      <c r="AM203" s="56" t="s">
        <v>65</v>
      </c>
      <c r="AN203" s="60"/>
      <c r="AO203" s="61"/>
    </row>
    <row r="204" spans="3:41" ht="14.25" customHeight="1">
      <c r="C204" s="55" t="str">
        <f>IF($X204=1,COUNTIF($C$10:C203,"&gt;0")+1,"")</f>
        <v/>
      </c>
      <c r="D204" s="56"/>
      <c r="E204" s="56" t="s">
        <v>836</v>
      </c>
      <c r="F204" s="57" t="s">
        <v>873</v>
      </c>
      <c r="G204" s="56" t="s">
        <v>856</v>
      </c>
      <c r="H204" s="56" t="s">
        <v>874</v>
      </c>
      <c r="I204" s="56" t="s">
        <v>858</v>
      </c>
      <c r="J204" s="56" t="s">
        <v>68</v>
      </c>
      <c r="K204" s="56" t="s">
        <v>59</v>
      </c>
      <c r="L204" s="58">
        <v>44381</v>
      </c>
      <c r="M204" s="56">
        <v>4</v>
      </c>
      <c r="N204" s="56" t="s">
        <v>875</v>
      </c>
      <c r="O204" s="58">
        <v>46740</v>
      </c>
      <c r="P204" s="56" t="s">
        <v>3</v>
      </c>
      <c r="Q204" s="56"/>
      <c r="R204" s="50">
        <v>45913</v>
      </c>
      <c r="S204" s="50">
        <v>45918</v>
      </c>
      <c r="T204" s="51">
        <f t="shared" si="2"/>
        <v>5</v>
      </c>
      <c r="U204" s="56">
        <v>1</v>
      </c>
      <c r="V204" s="56">
        <v>0</v>
      </c>
      <c r="W204" s="56">
        <v>1</v>
      </c>
      <c r="X204" s="56">
        <v>0</v>
      </c>
      <c r="Y204" s="56">
        <v>0</v>
      </c>
      <c r="Z204" s="56">
        <v>0</v>
      </c>
      <c r="AA204" s="56">
        <v>0</v>
      </c>
      <c r="AB204" s="56"/>
      <c r="AC204" s="58">
        <v>45913</v>
      </c>
      <c r="AD204" s="59">
        <v>0.58680555555474712</v>
      </c>
      <c r="AE204" s="56" t="s">
        <v>61</v>
      </c>
      <c r="AF204" s="58">
        <v>45918</v>
      </c>
      <c r="AG204" s="59">
        <v>0.56944444444525288</v>
      </c>
      <c r="AH204" s="56" t="s">
        <v>492</v>
      </c>
      <c r="AI204" s="56" t="s">
        <v>843</v>
      </c>
      <c r="AJ204" s="56" t="s">
        <v>64</v>
      </c>
      <c r="AK204" s="56" t="s">
        <v>64</v>
      </c>
      <c r="AL204" s="56" t="s">
        <v>1</v>
      </c>
      <c r="AM204" s="56" t="s">
        <v>65</v>
      </c>
      <c r="AN204" s="60"/>
      <c r="AO204" s="61"/>
    </row>
    <row r="205" spans="3:41" ht="14.25" customHeight="1">
      <c r="C205" s="55">
        <f>IF($X205=1,COUNTIF($C$10:C204,"&gt;0")+1,"")</f>
        <v>99</v>
      </c>
      <c r="D205" s="56">
        <v>462710818</v>
      </c>
      <c r="E205" s="56" t="s">
        <v>836</v>
      </c>
      <c r="F205" s="57" t="s">
        <v>876</v>
      </c>
      <c r="G205" s="56" t="s">
        <v>876</v>
      </c>
      <c r="H205" s="56" t="s">
        <v>877</v>
      </c>
      <c r="I205" s="56" t="s">
        <v>878</v>
      </c>
      <c r="J205" s="56" t="s">
        <v>58</v>
      </c>
      <c r="K205" s="56" t="s">
        <v>59</v>
      </c>
      <c r="L205" s="58">
        <v>25345</v>
      </c>
      <c r="M205" s="56">
        <v>56</v>
      </c>
      <c r="N205" s="56" t="s">
        <v>879</v>
      </c>
      <c r="O205" s="58">
        <v>48152</v>
      </c>
      <c r="P205" s="56" t="s">
        <v>5</v>
      </c>
      <c r="Q205" s="56"/>
      <c r="R205" s="50">
        <v>45913</v>
      </c>
      <c r="S205" s="50">
        <v>45918</v>
      </c>
      <c r="T205" s="51">
        <f t="shared" ref="T205:T268" si="3">S205-R205</f>
        <v>5</v>
      </c>
      <c r="U205" s="56">
        <v>1</v>
      </c>
      <c r="V205" s="56">
        <v>1</v>
      </c>
      <c r="W205" s="56">
        <v>0</v>
      </c>
      <c r="X205" s="56">
        <v>1</v>
      </c>
      <c r="Y205" s="56">
        <v>0</v>
      </c>
      <c r="Z205" s="56">
        <v>0</v>
      </c>
      <c r="AA205" s="56">
        <v>1</v>
      </c>
      <c r="AB205" s="56"/>
      <c r="AC205" s="58">
        <v>45913</v>
      </c>
      <c r="AD205" s="59">
        <v>0.58680555555474712</v>
      </c>
      <c r="AE205" s="56" t="s">
        <v>61</v>
      </c>
      <c r="AF205" s="58">
        <v>45918</v>
      </c>
      <c r="AG205" s="59">
        <v>0.56944444444525288</v>
      </c>
      <c r="AH205" s="56" t="s">
        <v>492</v>
      </c>
      <c r="AI205" s="56" t="s">
        <v>843</v>
      </c>
      <c r="AJ205" s="56" t="s">
        <v>64</v>
      </c>
      <c r="AK205" s="56" t="s">
        <v>64</v>
      </c>
      <c r="AL205" s="56" t="s">
        <v>1</v>
      </c>
      <c r="AM205" s="56" t="s">
        <v>65</v>
      </c>
      <c r="AN205" s="60"/>
      <c r="AO205" s="61"/>
    </row>
    <row r="206" spans="3:41" ht="14.25" customHeight="1">
      <c r="C206" s="55" t="str">
        <f>IF($X206=1,COUNTIF($C$10:C205,"&gt;0")+1,"")</f>
        <v/>
      </c>
      <c r="D206" s="56"/>
      <c r="E206" s="56" t="s">
        <v>836</v>
      </c>
      <c r="F206" s="57" t="s">
        <v>880</v>
      </c>
      <c r="G206" s="56" t="s">
        <v>876</v>
      </c>
      <c r="H206" s="56" t="s">
        <v>881</v>
      </c>
      <c r="I206" s="56" t="s">
        <v>882</v>
      </c>
      <c r="J206" s="56" t="s">
        <v>58</v>
      </c>
      <c r="K206" s="56" t="s">
        <v>59</v>
      </c>
      <c r="L206" s="58">
        <v>29575</v>
      </c>
      <c r="M206" s="56">
        <v>44</v>
      </c>
      <c r="N206" s="56" t="s">
        <v>883</v>
      </c>
      <c r="O206" s="58">
        <v>46259</v>
      </c>
      <c r="P206" s="56" t="s">
        <v>5</v>
      </c>
      <c r="Q206" s="56"/>
      <c r="R206" s="50">
        <v>45913</v>
      </c>
      <c r="S206" s="50">
        <v>45918</v>
      </c>
      <c r="T206" s="51">
        <f t="shared" si="3"/>
        <v>5</v>
      </c>
      <c r="U206" s="56">
        <v>1</v>
      </c>
      <c r="V206" s="56">
        <v>1</v>
      </c>
      <c r="W206" s="56">
        <v>0</v>
      </c>
      <c r="X206" s="56">
        <v>0</v>
      </c>
      <c r="Y206" s="56">
        <v>0</v>
      </c>
      <c r="Z206" s="56">
        <v>0</v>
      </c>
      <c r="AA206" s="56">
        <v>0</v>
      </c>
      <c r="AB206" s="56"/>
      <c r="AC206" s="58">
        <v>45913</v>
      </c>
      <c r="AD206" s="59">
        <v>0.625</v>
      </c>
      <c r="AE206" s="56" t="s">
        <v>884</v>
      </c>
      <c r="AF206" s="58">
        <v>45918</v>
      </c>
      <c r="AG206" s="59">
        <v>0.59027777778101154</v>
      </c>
      <c r="AH206" s="56" t="s">
        <v>885</v>
      </c>
      <c r="AI206" s="56" t="s">
        <v>843</v>
      </c>
      <c r="AJ206" s="56" t="s">
        <v>64</v>
      </c>
      <c r="AK206" s="56"/>
      <c r="AL206" s="56" t="s">
        <v>1</v>
      </c>
      <c r="AM206" s="56" t="s">
        <v>65</v>
      </c>
      <c r="AN206" s="60"/>
      <c r="AO206" s="61"/>
    </row>
    <row r="207" spans="3:41" ht="14.25" customHeight="1">
      <c r="C207" s="55">
        <f>IF($X207=1,COUNTIF($C$10:C206,"&gt;0")+1,"")</f>
        <v>100</v>
      </c>
      <c r="D207" s="56">
        <v>462710819</v>
      </c>
      <c r="E207" s="56" t="s">
        <v>836</v>
      </c>
      <c r="F207" s="57" t="s">
        <v>886</v>
      </c>
      <c r="G207" s="56" t="s">
        <v>886</v>
      </c>
      <c r="H207" s="56" t="s">
        <v>887</v>
      </c>
      <c r="I207" s="56" t="s">
        <v>888</v>
      </c>
      <c r="J207" s="56" t="s">
        <v>68</v>
      </c>
      <c r="K207" s="56" t="s">
        <v>59</v>
      </c>
      <c r="L207" s="58">
        <v>34727</v>
      </c>
      <c r="M207" s="56">
        <v>30</v>
      </c>
      <c r="N207" s="56" t="s">
        <v>889</v>
      </c>
      <c r="O207" s="58">
        <v>48757</v>
      </c>
      <c r="P207" s="56" t="s">
        <v>5</v>
      </c>
      <c r="Q207" s="56"/>
      <c r="R207" s="50">
        <v>45913</v>
      </c>
      <c r="S207" s="50">
        <v>45918</v>
      </c>
      <c r="T207" s="51">
        <f t="shared" si="3"/>
        <v>5</v>
      </c>
      <c r="U207" s="56">
        <v>1</v>
      </c>
      <c r="V207" s="56">
        <v>1</v>
      </c>
      <c r="W207" s="56">
        <v>0</v>
      </c>
      <c r="X207" s="56">
        <v>1</v>
      </c>
      <c r="Y207" s="56">
        <v>0</v>
      </c>
      <c r="Z207" s="56">
        <v>0</v>
      </c>
      <c r="AA207" s="56">
        <v>1</v>
      </c>
      <c r="AB207" s="56"/>
      <c r="AC207" s="58">
        <v>45913</v>
      </c>
      <c r="AD207" s="59">
        <v>0.625</v>
      </c>
      <c r="AE207" s="56" t="s">
        <v>884</v>
      </c>
      <c r="AF207" s="58">
        <v>45918</v>
      </c>
      <c r="AG207" s="59">
        <v>0.80555555555474712</v>
      </c>
      <c r="AH207" s="56" t="s">
        <v>890</v>
      </c>
      <c r="AI207" s="56" t="s">
        <v>843</v>
      </c>
      <c r="AJ207" s="56" t="s">
        <v>64</v>
      </c>
      <c r="AK207" s="56" t="s">
        <v>64</v>
      </c>
      <c r="AL207" s="56" t="s">
        <v>1</v>
      </c>
      <c r="AM207" s="56" t="s">
        <v>65</v>
      </c>
      <c r="AN207" s="60"/>
      <c r="AO207" s="61"/>
    </row>
    <row r="208" spans="3:41" ht="14.25" customHeight="1">
      <c r="C208" s="55" t="str">
        <f>IF($X208=1,COUNTIF($C$10:C207,"&gt;0")+1,"")</f>
        <v/>
      </c>
      <c r="D208" s="56"/>
      <c r="E208" s="56" t="s">
        <v>836</v>
      </c>
      <c r="F208" s="57" t="s">
        <v>891</v>
      </c>
      <c r="G208" s="56" t="s">
        <v>886</v>
      </c>
      <c r="H208" s="56" t="s">
        <v>892</v>
      </c>
      <c r="I208" s="56" t="s">
        <v>893</v>
      </c>
      <c r="J208" s="56" t="s">
        <v>68</v>
      </c>
      <c r="K208" s="56" t="s">
        <v>59</v>
      </c>
      <c r="L208" s="58">
        <v>23491</v>
      </c>
      <c r="M208" s="56">
        <v>61</v>
      </c>
      <c r="N208" s="56" t="s">
        <v>894</v>
      </c>
      <c r="O208" s="58">
        <v>46069</v>
      </c>
      <c r="P208" s="56" t="s">
        <v>5</v>
      </c>
      <c r="Q208" s="56"/>
      <c r="R208" s="50">
        <v>45913</v>
      </c>
      <c r="S208" s="50">
        <v>45918</v>
      </c>
      <c r="T208" s="51">
        <f t="shared" si="3"/>
        <v>5</v>
      </c>
      <c r="U208" s="56">
        <v>1</v>
      </c>
      <c r="V208" s="56">
        <v>1</v>
      </c>
      <c r="W208" s="56">
        <v>0</v>
      </c>
      <c r="X208" s="56">
        <v>0</v>
      </c>
      <c r="Y208" s="56">
        <v>0</v>
      </c>
      <c r="Z208" s="56">
        <v>0</v>
      </c>
      <c r="AA208" s="56">
        <v>0</v>
      </c>
      <c r="AB208" s="56"/>
      <c r="AC208" s="58">
        <v>45913</v>
      </c>
      <c r="AD208" s="59">
        <v>0.61111111110949423</v>
      </c>
      <c r="AE208" s="56" t="s">
        <v>841</v>
      </c>
      <c r="AF208" s="58">
        <v>45918</v>
      </c>
      <c r="AG208" s="59">
        <v>0.82291666666424135</v>
      </c>
      <c r="AH208" s="56" t="s">
        <v>848</v>
      </c>
      <c r="AI208" s="56" t="s">
        <v>843</v>
      </c>
      <c r="AJ208" s="56" t="s">
        <v>64</v>
      </c>
      <c r="AK208" s="56" t="s">
        <v>64</v>
      </c>
      <c r="AL208" s="56" t="s">
        <v>1</v>
      </c>
      <c r="AM208" s="56" t="s">
        <v>65</v>
      </c>
      <c r="AN208" s="60"/>
      <c r="AO208" s="61"/>
    </row>
    <row r="209" spans="3:41" ht="14.25" customHeight="1">
      <c r="C209" s="55">
        <f>IF($X209=1,COUNTIF($C$10:C208,"&gt;0")+1,"")</f>
        <v>101</v>
      </c>
      <c r="D209" s="56">
        <v>462710820</v>
      </c>
      <c r="E209" s="56" t="s">
        <v>836</v>
      </c>
      <c r="F209" s="57" t="s">
        <v>895</v>
      </c>
      <c r="G209" s="56" t="s">
        <v>895</v>
      </c>
      <c r="H209" s="56" t="s">
        <v>896</v>
      </c>
      <c r="I209" s="56" t="s">
        <v>897</v>
      </c>
      <c r="J209" s="56" t="s">
        <v>68</v>
      </c>
      <c r="K209" s="56" t="s">
        <v>59</v>
      </c>
      <c r="L209" s="58">
        <v>26548</v>
      </c>
      <c r="M209" s="56">
        <v>53</v>
      </c>
      <c r="N209" s="56" t="s">
        <v>898</v>
      </c>
      <c r="O209" s="58">
        <v>46455</v>
      </c>
      <c r="P209" s="56" t="s">
        <v>4</v>
      </c>
      <c r="Q209" s="56"/>
      <c r="R209" s="50">
        <v>45913</v>
      </c>
      <c r="S209" s="50">
        <v>45918</v>
      </c>
      <c r="T209" s="51">
        <f t="shared" si="3"/>
        <v>5</v>
      </c>
      <c r="U209" s="56">
        <v>1</v>
      </c>
      <c r="V209" s="56">
        <v>1</v>
      </c>
      <c r="W209" s="56">
        <v>0</v>
      </c>
      <c r="X209" s="56">
        <v>1</v>
      </c>
      <c r="Y209" s="56">
        <v>0</v>
      </c>
      <c r="Z209" s="56">
        <v>1</v>
      </c>
      <c r="AA209" s="56">
        <v>0</v>
      </c>
      <c r="AB209" s="56"/>
      <c r="AC209" s="58">
        <v>45913</v>
      </c>
      <c r="AD209" s="59">
        <v>0.47916666666424135</v>
      </c>
      <c r="AE209" s="56" t="s">
        <v>899</v>
      </c>
      <c r="AF209" s="58">
        <v>45918</v>
      </c>
      <c r="AG209" s="59">
        <v>0.50347222221898846</v>
      </c>
      <c r="AH209" s="56" t="s">
        <v>900</v>
      </c>
      <c r="AI209" s="56" t="s">
        <v>843</v>
      </c>
      <c r="AJ209" s="56" t="s">
        <v>64</v>
      </c>
      <c r="AK209" s="56"/>
      <c r="AL209" s="56" t="s">
        <v>1</v>
      </c>
      <c r="AM209" s="56" t="s">
        <v>65</v>
      </c>
      <c r="AN209" s="60"/>
      <c r="AO209" s="61"/>
    </row>
    <row r="210" spans="3:41" ht="14.25" customHeight="1">
      <c r="C210" s="55" t="str">
        <f>IF($X210=1,COUNTIF($C$10:C209,"&gt;0")+1,"")</f>
        <v/>
      </c>
      <c r="D210" s="56"/>
      <c r="E210" s="56" t="s">
        <v>836</v>
      </c>
      <c r="F210" s="57" t="s">
        <v>901</v>
      </c>
      <c r="G210" s="56" t="s">
        <v>895</v>
      </c>
      <c r="H210" s="56" t="s">
        <v>902</v>
      </c>
      <c r="I210" s="56" t="s">
        <v>903</v>
      </c>
      <c r="J210" s="56" t="s">
        <v>58</v>
      </c>
      <c r="K210" s="56" t="s">
        <v>59</v>
      </c>
      <c r="L210" s="58">
        <v>26118</v>
      </c>
      <c r="M210" s="56">
        <v>54</v>
      </c>
      <c r="N210" s="56" t="s">
        <v>904</v>
      </c>
      <c r="O210" s="58">
        <v>46806</v>
      </c>
      <c r="P210" s="56" t="s">
        <v>4</v>
      </c>
      <c r="Q210" s="56"/>
      <c r="R210" s="50">
        <v>45913</v>
      </c>
      <c r="S210" s="50">
        <v>45918</v>
      </c>
      <c r="T210" s="51">
        <f t="shared" si="3"/>
        <v>5</v>
      </c>
      <c r="U210" s="56">
        <v>1</v>
      </c>
      <c r="V210" s="56">
        <v>1</v>
      </c>
      <c r="W210" s="56">
        <v>0</v>
      </c>
      <c r="X210" s="56">
        <v>0</v>
      </c>
      <c r="Y210" s="56">
        <v>0</v>
      </c>
      <c r="Z210" s="56">
        <v>0</v>
      </c>
      <c r="AA210" s="56">
        <v>0</v>
      </c>
      <c r="AB210" s="56"/>
      <c r="AC210" s="58">
        <v>45913</v>
      </c>
      <c r="AD210" s="59">
        <v>0.47916666666424135</v>
      </c>
      <c r="AE210" s="56" t="s">
        <v>899</v>
      </c>
      <c r="AF210" s="58">
        <v>45918</v>
      </c>
      <c r="AG210" s="59">
        <v>0.50347222221898846</v>
      </c>
      <c r="AH210" s="56" t="s">
        <v>900</v>
      </c>
      <c r="AI210" s="56" t="s">
        <v>843</v>
      </c>
      <c r="AJ210" s="56" t="s">
        <v>64</v>
      </c>
      <c r="AK210" s="56"/>
      <c r="AL210" s="56" t="s">
        <v>1</v>
      </c>
      <c r="AM210" s="56" t="s">
        <v>65</v>
      </c>
      <c r="AN210" s="60"/>
      <c r="AO210" s="61"/>
    </row>
    <row r="211" spans="3:41" ht="14.25" customHeight="1">
      <c r="C211" s="55">
        <f>IF($X211=1,COUNTIF($C$10:C210,"&gt;0")+1,"")</f>
        <v>102</v>
      </c>
      <c r="D211" s="56">
        <v>462710821</v>
      </c>
      <c r="E211" s="56" t="s">
        <v>836</v>
      </c>
      <c r="F211" s="57" t="s">
        <v>905</v>
      </c>
      <c r="G211" s="56" t="s">
        <v>905</v>
      </c>
      <c r="H211" s="56" t="s">
        <v>906</v>
      </c>
      <c r="I211" s="56" t="s">
        <v>907</v>
      </c>
      <c r="J211" s="56" t="s">
        <v>58</v>
      </c>
      <c r="K211" s="56" t="s">
        <v>180</v>
      </c>
      <c r="L211" s="58">
        <v>25750</v>
      </c>
      <c r="M211" s="56">
        <v>55</v>
      </c>
      <c r="N211" s="56" t="s">
        <v>908</v>
      </c>
      <c r="O211" s="58">
        <v>47806</v>
      </c>
      <c r="P211" s="56" t="s">
        <v>3</v>
      </c>
      <c r="Q211" s="56"/>
      <c r="R211" s="50">
        <v>45913</v>
      </c>
      <c r="S211" s="50">
        <v>45918</v>
      </c>
      <c r="T211" s="51">
        <f t="shared" si="3"/>
        <v>5</v>
      </c>
      <c r="U211" s="56">
        <v>1</v>
      </c>
      <c r="V211" s="56">
        <v>1</v>
      </c>
      <c r="W211" s="56">
        <v>0</v>
      </c>
      <c r="X211" s="56">
        <v>1</v>
      </c>
      <c r="Y211" s="56">
        <v>1</v>
      </c>
      <c r="Z211" s="56">
        <v>0</v>
      </c>
      <c r="AA211" s="56">
        <v>0</v>
      </c>
      <c r="AB211" s="56"/>
      <c r="AC211" s="58" t="s">
        <v>64</v>
      </c>
      <c r="AD211" s="59" t="s">
        <v>64</v>
      </c>
      <c r="AE211" s="56" t="s">
        <v>64</v>
      </c>
      <c r="AF211" s="58" t="s">
        <v>64</v>
      </c>
      <c r="AG211" s="59" t="s">
        <v>64</v>
      </c>
      <c r="AH211" s="56" t="s">
        <v>64</v>
      </c>
      <c r="AI211" s="56" t="s">
        <v>843</v>
      </c>
      <c r="AJ211" s="56" t="s">
        <v>598</v>
      </c>
      <c r="AK211" s="56" t="s">
        <v>136</v>
      </c>
      <c r="AL211" s="56" t="s">
        <v>1</v>
      </c>
      <c r="AM211" s="56" t="s">
        <v>65</v>
      </c>
      <c r="AN211" s="60"/>
      <c r="AO211" s="61"/>
    </row>
    <row r="212" spans="3:41" ht="14.25" customHeight="1">
      <c r="C212" s="55">
        <f>IF($X212=1,COUNTIF($C$10:C211,"&gt;0")+1,"")</f>
        <v>103</v>
      </c>
      <c r="D212" s="56">
        <v>462710822</v>
      </c>
      <c r="E212" s="56" t="s">
        <v>836</v>
      </c>
      <c r="F212" s="57" t="s">
        <v>909</v>
      </c>
      <c r="G212" s="56" t="s">
        <v>909</v>
      </c>
      <c r="H212" s="56" t="s">
        <v>910</v>
      </c>
      <c r="I212" s="56" t="s">
        <v>911</v>
      </c>
      <c r="J212" s="56" t="s">
        <v>68</v>
      </c>
      <c r="K212" s="56" t="s">
        <v>59</v>
      </c>
      <c r="L212" s="58">
        <v>24661</v>
      </c>
      <c r="M212" s="56">
        <v>58</v>
      </c>
      <c r="N212" s="56" t="s">
        <v>912</v>
      </c>
      <c r="O212" s="58">
        <v>48590</v>
      </c>
      <c r="P212" s="56" t="s">
        <v>4</v>
      </c>
      <c r="Q212" s="56"/>
      <c r="R212" s="50">
        <v>45913</v>
      </c>
      <c r="S212" s="50">
        <v>45918</v>
      </c>
      <c r="T212" s="51">
        <f t="shared" si="3"/>
        <v>5</v>
      </c>
      <c r="U212" s="56">
        <v>1</v>
      </c>
      <c r="V212" s="56">
        <v>1</v>
      </c>
      <c r="W212" s="56">
        <v>0</v>
      </c>
      <c r="X212" s="56">
        <v>1</v>
      </c>
      <c r="Y212" s="56">
        <v>0</v>
      </c>
      <c r="Z212" s="56">
        <v>1</v>
      </c>
      <c r="AA212" s="56">
        <v>0</v>
      </c>
      <c r="AB212" s="56"/>
      <c r="AC212" s="58">
        <v>45913</v>
      </c>
      <c r="AD212" s="59">
        <v>0.72222222221898846</v>
      </c>
      <c r="AE212" s="56" t="s">
        <v>164</v>
      </c>
      <c r="AF212" s="58">
        <v>45918</v>
      </c>
      <c r="AG212" s="59">
        <v>0.66666666666424135</v>
      </c>
      <c r="AH212" s="56" t="s">
        <v>165</v>
      </c>
      <c r="AI212" s="56" t="s">
        <v>843</v>
      </c>
      <c r="AJ212" s="56" t="s">
        <v>64</v>
      </c>
      <c r="AK212" s="56"/>
      <c r="AL212" s="56" t="s">
        <v>1</v>
      </c>
      <c r="AM212" s="56" t="s">
        <v>65</v>
      </c>
      <c r="AN212" s="60"/>
      <c r="AO212" s="61"/>
    </row>
    <row r="213" spans="3:41" ht="14.25" customHeight="1">
      <c r="C213" s="55" t="str">
        <f>IF($X213=1,COUNTIF($C$10:C212,"&gt;0")+1,"")</f>
        <v/>
      </c>
      <c r="D213" s="56"/>
      <c r="E213" s="56" t="s">
        <v>836</v>
      </c>
      <c r="F213" s="57" t="s">
        <v>913</v>
      </c>
      <c r="G213" s="56" t="s">
        <v>909</v>
      </c>
      <c r="H213" s="56" t="s">
        <v>914</v>
      </c>
      <c r="I213" s="56" t="s">
        <v>915</v>
      </c>
      <c r="J213" s="56" t="s">
        <v>68</v>
      </c>
      <c r="K213" s="56" t="s">
        <v>59</v>
      </c>
      <c r="L213" s="58">
        <v>21072</v>
      </c>
      <c r="M213" s="56">
        <v>68</v>
      </c>
      <c r="N213" s="56" t="s">
        <v>916</v>
      </c>
      <c r="O213" s="58">
        <v>48097</v>
      </c>
      <c r="P213" s="56" t="s">
        <v>4</v>
      </c>
      <c r="Q213" s="56"/>
      <c r="R213" s="50">
        <v>45913</v>
      </c>
      <c r="S213" s="50">
        <v>45918</v>
      </c>
      <c r="T213" s="51">
        <f t="shared" si="3"/>
        <v>5</v>
      </c>
      <c r="U213" s="56">
        <v>1</v>
      </c>
      <c r="V213" s="56">
        <v>1</v>
      </c>
      <c r="W213" s="56">
        <v>0</v>
      </c>
      <c r="X213" s="56">
        <v>0</v>
      </c>
      <c r="Y213" s="56">
        <v>0</v>
      </c>
      <c r="Z213" s="56">
        <v>0</v>
      </c>
      <c r="AA213" s="56">
        <v>0</v>
      </c>
      <c r="AB213" s="56"/>
      <c r="AC213" s="58">
        <v>45913</v>
      </c>
      <c r="AD213" s="59">
        <v>0.58680555555474712</v>
      </c>
      <c r="AE213" s="56" t="s">
        <v>61</v>
      </c>
      <c r="AF213" s="58">
        <v>45918</v>
      </c>
      <c r="AG213" s="59">
        <v>0.375</v>
      </c>
      <c r="AH213" s="56" t="s">
        <v>852</v>
      </c>
      <c r="AI213" s="56" t="s">
        <v>843</v>
      </c>
      <c r="AJ213" s="56" t="s">
        <v>64</v>
      </c>
      <c r="AK213" s="56" t="s">
        <v>64</v>
      </c>
      <c r="AL213" s="56" t="s">
        <v>1</v>
      </c>
      <c r="AM213" s="56" t="s">
        <v>65</v>
      </c>
      <c r="AN213" s="60"/>
      <c r="AO213" s="61"/>
    </row>
    <row r="214" spans="3:41" ht="14.25" customHeight="1">
      <c r="C214" s="55">
        <f>IF($X214=1,COUNTIF($C$10:C213,"&gt;0")+1,"")</f>
        <v>104</v>
      </c>
      <c r="D214" s="56">
        <v>462710823</v>
      </c>
      <c r="E214" s="56" t="s">
        <v>836</v>
      </c>
      <c r="F214" s="57" t="s">
        <v>917</v>
      </c>
      <c r="G214" s="56" t="s">
        <v>917</v>
      </c>
      <c r="H214" s="56" t="s">
        <v>918</v>
      </c>
      <c r="I214" s="56" t="s">
        <v>919</v>
      </c>
      <c r="J214" s="56" t="s">
        <v>68</v>
      </c>
      <c r="K214" s="56" t="s">
        <v>59</v>
      </c>
      <c r="L214" s="58">
        <v>30867</v>
      </c>
      <c r="M214" s="56">
        <v>41</v>
      </c>
      <c r="N214" s="56" t="s">
        <v>920</v>
      </c>
      <c r="O214" s="58">
        <v>46426</v>
      </c>
      <c r="P214" s="56" t="s">
        <v>4</v>
      </c>
      <c r="Q214" s="56"/>
      <c r="R214" s="50">
        <v>45913</v>
      </c>
      <c r="S214" s="50">
        <v>45918</v>
      </c>
      <c r="T214" s="51">
        <f t="shared" si="3"/>
        <v>5</v>
      </c>
      <c r="U214" s="56">
        <v>1</v>
      </c>
      <c r="V214" s="56">
        <v>1</v>
      </c>
      <c r="W214" s="56">
        <v>0</v>
      </c>
      <c r="X214" s="56">
        <v>1</v>
      </c>
      <c r="Y214" s="56">
        <v>0</v>
      </c>
      <c r="Z214" s="56">
        <v>1</v>
      </c>
      <c r="AA214" s="56">
        <v>0</v>
      </c>
      <c r="AB214" s="56"/>
      <c r="AC214" s="69">
        <v>45913</v>
      </c>
      <c r="AD214" s="70">
        <v>0.49305555555555558</v>
      </c>
      <c r="AE214" s="71" t="s">
        <v>921</v>
      </c>
      <c r="AF214" s="58">
        <v>45921</v>
      </c>
      <c r="AG214" s="59">
        <v>0.66666666666424135</v>
      </c>
      <c r="AH214" s="56" t="s">
        <v>165</v>
      </c>
      <c r="AI214" s="56" t="s">
        <v>843</v>
      </c>
      <c r="AJ214" s="56" t="s">
        <v>64</v>
      </c>
      <c r="AK214" s="56" t="s">
        <v>64</v>
      </c>
      <c r="AL214" s="56" t="s">
        <v>1</v>
      </c>
      <c r="AM214" s="56" t="s">
        <v>65</v>
      </c>
      <c r="AN214" s="60"/>
      <c r="AO214" s="61"/>
    </row>
    <row r="215" spans="3:41" ht="14.25" customHeight="1">
      <c r="C215" s="55" t="str">
        <f>IF($X215=1,COUNTIF($C$10:C214,"&gt;0")+1,"")</f>
        <v/>
      </c>
      <c r="D215" s="56"/>
      <c r="E215" s="56" t="s">
        <v>836</v>
      </c>
      <c r="F215" s="57" t="s">
        <v>922</v>
      </c>
      <c r="G215" s="56" t="s">
        <v>917</v>
      </c>
      <c r="H215" s="56" t="s">
        <v>923</v>
      </c>
      <c r="I215" s="56" t="s">
        <v>919</v>
      </c>
      <c r="J215" s="56" t="s">
        <v>58</v>
      </c>
      <c r="K215" s="56" t="s">
        <v>59</v>
      </c>
      <c r="L215" s="58">
        <v>25517</v>
      </c>
      <c r="M215" s="56">
        <v>55</v>
      </c>
      <c r="N215" s="56" t="s">
        <v>924</v>
      </c>
      <c r="O215" s="58">
        <v>47588</v>
      </c>
      <c r="P215" s="56" t="s">
        <v>4</v>
      </c>
      <c r="Q215" s="56"/>
      <c r="R215" s="50">
        <v>45913</v>
      </c>
      <c r="S215" s="50">
        <v>45918</v>
      </c>
      <c r="T215" s="51">
        <f t="shared" si="3"/>
        <v>5</v>
      </c>
      <c r="U215" s="56">
        <v>1</v>
      </c>
      <c r="V215" s="56">
        <v>1</v>
      </c>
      <c r="W215" s="56">
        <v>0</v>
      </c>
      <c r="X215" s="56">
        <v>0</v>
      </c>
      <c r="Y215" s="56">
        <v>0</v>
      </c>
      <c r="Z215" s="56">
        <v>0</v>
      </c>
      <c r="AA215" s="56">
        <v>0</v>
      </c>
      <c r="AB215" s="56"/>
      <c r="AC215" s="69">
        <v>45913</v>
      </c>
      <c r="AD215" s="70">
        <v>0.49305555555555558</v>
      </c>
      <c r="AE215" s="71" t="s">
        <v>921</v>
      </c>
      <c r="AF215" s="58">
        <v>45921</v>
      </c>
      <c r="AG215" s="59">
        <v>0.66666666666424135</v>
      </c>
      <c r="AH215" s="56" t="s">
        <v>165</v>
      </c>
      <c r="AI215" s="56" t="s">
        <v>843</v>
      </c>
      <c r="AJ215" s="56" t="s">
        <v>64</v>
      </c>
      <c r="AK215" s="56" t="s">
        <v>64</v>
      </c>
      <c r="AL215" s="56" t="s">
        <v>1</v>
      </c>
      <c r="AM215" s="56" t="s">
        <v>65</v>
      </c>
      <c r="AN215" s="60"/>
      <c r="AO215" s="61"/>
    </row>
    <row r="216" spans="3:41" ht="14.25" customHeight="1">
      <c r="C216" s="55" t="str">
        <f>IF($X216=1,COUNTIF($C$10:C215,"&gt;0")+1,"")</f>
        <v/>
      </c>
      <c r="D216" s="56"/>
      <c r="E216" s="56" t="s">
        <v>836</v>
      </c>
      <c r="F216" s="57" t="s">
        <v>925</v>
      </c>
      <c r="G216" s="56" t="s">
        <v>917</v>
      </c>
      <c r="H216" s="56" t="s">
        <v>926</v>
      </c>
      <c r="I216" s="56" t="s">
        <v>919</v>
      </c>
      <c r="J216" s="56" t="s">
        <v>58</v>
      </c>
      <c r="K216" s="56" t="s">
        <v>59</v>
      </c>
      <c r="L216" s="58">
        <v>41791</v>
      </c>
      <c r="M216" s="56">
        <v>11</v>
      </c>
      <c r="N216" s="56" t="s">
        <v>927</v>
      </c>
      <c r="O216" s="58">
        <v>47588</v>
      </c>
      <c r="P216" s="56" t="s">
        <v>4</v>
      </c>
      <c r="Q216" s="56"/>
      <c r="R216" s="50">
        <v>45913</v>
      </c>
      <c r="S216" s="50">
        <v>45918</v>
      </c>
      <c r="T216" s="51">
        <f t="shared" si="3"/>
        <v>5</v>
      </c>
      <c r="U216" s="56">
        <v>1</v>
      </c>
      <c r="V216" s="56">
        <v>0</v>
      </c>
      <c r="W216" s="56">
        <v>1</v>
      </c>
      <c r="X216" s="56">
        <v>0</v>
      </c>
      <c r="Y216" s="56">
        <v>0</v>
      </c>
      <c r="Z216" s="56">
        <v>0</v>
      </c>
      <c r="AA216" s="56">
        <v>0</v>
      </c>
      <c r="AB216" s="56"/>
      <c r="AC216" s="69">
        <v>45913</v>
      </c>
      <c r="AD216" s="70">
        <v>0.49305555555555558</v>
      </c>
      <c r="AE216" s="71" t="s">
        <v>921</v>
      </c>
      <c r="AF216" s="58">
        <v>45921</v>
      </c>
      <c r="AG216" s="59">
        <v>0.66666666666424135</v>
      </c>
      <c r="AH216" s="56" t="s">
        <v>165</v>
      </c>
      <c r="AI216" s="56" t="s">
        <v>843</v>
      </c>
      <c r="AJ216" s="56" t="s">
        <v>64</v>
      </c>
      <c r="AK216" s="56" t="s">
        <v>64</v>
      </c>
      <c r="AL216" s="56" t="s">
        <v>1</v>
      </c>
      <c r="AM216" s="56" t="s">
        <v>65</v>
      </c>
      <c r="AN216" s="60"/>
      <c r="AO216" s="61"/>
    </row>
    <row r="217" spans="3:41" ht="14.25" customHeight="1">
      <c r="C217" s="55">
        <f>IF($X217=1,COUNTIF($C$10:C216,"&gt;0")+1,"")</f>
        <v>105</v>
      </c>
      <c r="D217" s="56">
        <v>462710824</v>
      </c>
      <c r="E217" s="56" t="s">
        <v>836</v>
      </c>
      <c r="F217" s="57" t="s">
        <v>928</v>
      </c>
      <c r="G217" s="56" t="s">
        <v>928</v>
      </c>
      <c r="H217" s="56" t="s">
        <v>929</v>
      </c>
      <c r="I217" s="56" t="s">
        <v>930</v>
      </c>
      <c r="J217" s="56" t="s">
        <v>68</v>
      </c>
      <c r="K217" s="56" t="s">
        <v>59</v>
      </c>
      <c r="L217" s="58">
        <v>21327</v>
      </c>
      <c r="M217" s="56">
        <v>67</v>
      </c>
      <c r="N217" s="56" t="s">
        <v>931</v>
      </c>
      <c r="O217" s="58">
        <v>49501</v>
      </c>
      <c r="P217" s="56" t="s">
        <v>4</v>
      </c>
      <c r="Q217" s="56"/>
      <c r="R217" s="50">
        <v>45913</v>
      </c>
      <c r="S217" s="50">
        <v>45918</v>
      </c>
      <c r="T217" s="51">
        <f t="shared" si="3"/>
        <v>5</v>
      </c>
      <c r="U217" s="56">
        <v>1</v>
      </c>
      <c r="V217" s="56">
        <v>1</v>
      </c>
      <c r="W217" s="56">
        <v>0</v>
      </c>
      <c r="X217" s="56">
        <v>1</v>
      </c>
      <c r="Y217" s="56">
        <v>0</v>
      </c>
      <c r="Z217" s="56">
        <v>1</v>
      </c>
      <c r="AA217" s="56">
        <v>0</v>
      </c>
      <c r="AB217" s="56"/>
      <c r="AC217" s="58">
        <v>45913</v>
      </c>
      <c r="AD217" s="59">
        <v>0.50694444444525288</v>
      </c>
      <c r="AE217" s="56" t="s">
        <v>182</v>
      </c>
      <c r="AF217" s="58">
        <v>45921</v>
      </c>
      <c r="AG217" s="59">
        <v>0.53819444444525288</v>
      </c>
      <c r="AH217" s="56" t="s">
        <v>932</v>
      </c>
      <c r="AI217" s="56" t="s">
        <v>843</v>
      </c>
      <c r="AJ217" s="56" t="s">
        <v>64</v>
      </c>
      <c r="AK217" s="56" t="s">
        <v>64</v>
      </c>
      <c r="AL217" s="56" t="s">
        <v>1</v>
      </c>
      <c r="AM217" s="56" t="s">
        <v>65</v>
      </c>
      <c r="AN217" s="60"/>
      <c r="AO217" s="61"/>
    </row>
    <row r="218" spans="3:41" ht="14.25" customHeight="1">
      <c r="C218" s="55" t="str">
        <f>IF($X218=1,COUNTIF($C$10:C217,"&gt;0")+1,"")</f>
        <v/>
      </c>
      <c r="D218" s="56"/>
      <c r="E218" s="56" t="s">
        <v>836</v>
      </c>
      <c r="F218" s="57" t="s">
        <v>933</v>
      </c>
      <c r="G218" s="56" t="s">
        <v>928</v>
      </c>
      <c r="H218" s="56" t="s">
        <v>934</v>
      </c>
      <c r="I218" s="56" t="s">
        <v>82</v>
      </c>
      <c r="J218" s="56" t="s">
        <v>68</v>
      </c>
      <c r="K218" s="56" t="s">
        <v>59</v>
      </c>
      <c r="L218" s="58">
        <v>26672</v>
      </c>
      <c r="M218" s="56">
        <v>52</v>
      </c>
      <c r="N218" s="56" t="s">
        <v>935</v>
      </c>
      <c r="O218" s="58">
        <v>46189</v>
      </c>
      <c r="P218" s="56" t="s">
        <v>4</v>
      </c>
      <c r="Q218" s="56"/>
      <c r="R218" s="50">
        <v>45913</v>
      </c>
      <c r="S218" s="50">
        <v>45918</v>
      </c>
      <c r="T218" s="51">
        <f t="shared" si="3"/>
        <v>5</v>
      </c>
      <c r="U218" s="56">
        <v>1</v>
      </c>
      <c r="V218" s="56">
        <v>1</v>
      </c>
      <c r="W218" s="56">
        <v>0</v>
      </c>
      <c r="X218" s="56">
        <v>0</v>
      </c>
      <c r="Y218" s="56">
        <v>0</v>
      </c>
      <c r="Z218" s="56">
        <v>0</v>
      </c>
      <c r="AA218" s="56">
        <v>0</v>
      </c>
      <c r="AB218" s="56"/>
      <c r="AC218" s="58">
        <v>45913</v>
      </c>
      <c r="AD218" s="59">
        <v>0.75694444444525288</v>
      </c>
      <c r="AE218" s="56" t="s">
        <v>64</v>
      </c>
      <c r="AF218" s="58">
        <v>45918</v>
      </c>
      <c r="AG218" s="59">
        <v>0.72569444444525288</v>
      </c>
      <c r="AH218" s="56" t="s">
        <v>64</v>
      </c>
      <c r="AI218" s="56" t="s">
        <v>843</v>
      </c>
      <c r="AJ218" s="56" t="s">
        <v>64</v>
      </c>
      <c r="AK218" s="56" t="s">
        <v>64</v>
      </c>
      <c r="AL218" s="56" t="s">
        <v>1</v>
      </c>
      <c r="AM218" s="56" t="s">
        <v>65</v>
      </c>
      <c r="AN218" s="60"/>
      <c r="AO218" s="61"/>
    </row>
    <row r="219" spans="3:41" ht="14.25" customHeight="1">
      <c r="C219" s="55">
        <f>IF($X219=1,COUNTIF($C$10:C218,"&gt;0")+1,"")</f>
        <v>106</v>
      </c>
      <c r="D219" s="56">
        <v>462710825</v>
      </c>
      <c r="E219" s="56" t="s">
        <v>836</v>
      </c>
      <c r="F219" s="57" t="s">
        <v>936</v>
      </c>
      <c r="G219" s="56" t="s">
        <v>936</v>
      </c>
      <c r="H219" s="56" t="s">
        <v>937</v>
      </c>
      <c r="I219" s="56" t="s">
        <v>938</v>
      </c>
      <c r="J219" s="56" t="s">
        <v>68</v>
      </c>
      <c r="K219" s="56" t="s">
        <v>59</v>
      </c>
      <c r="L219" s="58">
        <v>31279</v>
      </c>
      <c r="M219" s="56">
        <v>40</v>
      </c>
      <c r="N219" s="56" t="s">
        <v>939</v>
      </c>
      <c r="O219" s="58">
        <v>48124</v>
      </c>
      <c r="P219" s="56" t="s">
        <v>4</v>
      </c>
      <c r="Q219" s="56"/>
      <c r="R219" s="50">
        <v>45913</v>
      </c>
      <c r="S219" s="50">
        <v>45918</v>
      </c>
      <c r="T219" s="51">
        <f t="shared" si="3"/>
        <v>5</v>
      </c>
      <c r="U219" s="56">
        <v>1</v>
      </c>
      <c r="V219" s="56">
        <v>1</v>
      </c>
      <c r="W219" s="56">
        <v>0</v>
      </c>
      <c r="X219" s="56">
        <v>1</v>
      </c>
      <c r="Y219" s="56">
        <v>0</v>
      </c>
      <c r="Z219" s="56">
        <v>1</v>
      </c>
      <c r="AA219" s="56">
        <v>0</v>
      </c>
      <c r="AB219" s="56"/>
      <c r="AC219" s="58">
        <v>45913</v>
      </c>
      <c r="AD219" s="59">
        <v>0.625</v>
      </c>
      <c r="AE219" s="56" t="s">
        <v>884</v>
      </c>
      <c r="AF219" s="58">
        <v>45918</v>
      </c>
      <c r="AG219" s="59">
        <v>0.80555555555474712</v>
      </c>
      <c r="AH219" s="56" t="s">
        <v>117</v>
      </c>
      <c r="AI219" s="56" t="s">
        <v>843</v>
      </c>
      <c r="AJ219" s="56" t="s">
        <v>64</v>
      </c>
      <c r="AK219" s="56" t="s">
        <v>64</v>
      </c>
      <c r="AL219" s="56" t="s">
        <v>1</v>
      </c>
      <c r="AM219" s="56" t="s">
        <v>65</v>
      </c>
      <c r="AN219" s="60"/>
      <c r="AO219" s="61"/>
    </row>
    <row r="220" spans="3:41" ht="14.25" customHeight="1">
      <c r="C220" s="55" t="str">
        <f>IF($X220=1,COUNTIF($C$10:C219,"&gt;0")+1,"")</f>
        <v/>
      </c>
      <c r="D220" s="56"/>
      <c r="E220" s="56" t="s">
        <v>836</v>
      </c>
      <c r="F220" s="57" t="s">
        <v>940</v>
      </c>
      <c r="G220" s="56" t="s">
        <v>936</v>
      </c>
      <c r="H220" s="56" t="s">
        <v>941</v>
      </c>
      <c r="I220" s="56" t="s">
        <v>938</v>
      </c>
      <c r="J220" s="56" t="s">
        <v>68</v>
      </c>
      <c r="K220" s="56" t="s">
        <v>59</v>
      </c>
      <c r="L220" s="58">
        <v>42230</v>
      </c>
      <c r="M220" s="56">
        <v>10</v>
      </c>
      <c r="N220" s="56" t="s">
        <v>942</v>
      </c>
      <c r="O220" s="58">
        <v>46299</v>
      </c>
      <c r="P220" s="56" t="s">
        <v>4</v>
      </c>
      <c r="Q220" s="56"/>
      <c r="R220" s="50">
        <v>45913</v>
      </c>
      <c r="S220" s="50">
        <v>45918</v>
      </c>
      <c r="T220" s="51">
        <f t="shared" si="3"/>
        <v>5</v>
      </c>
      <c r="U220" s="56">
        <v>1</v>
      </c>
      <c r="V220" s="56">
        <v>1</v>
      </c>
      <c r="W220" s="56">
        <v>0</v>
      </c>
      <c r="X220" s="56">
        <v>0</v>
      </c>
      <c r="Y220" s="56">
        <v>0</v>
      </c>
      <c r="Z220" s="56">
        <v>0</v>
      </c>
      <c r="AA220" s="56">
        <v>0</v>
      </c>
      <c r="AB220" s="56"/>
      <c r="AC220" s="58">
        <v>45913</v>
      </c>
      <c r="AD220" s="59">
        <v>0.625</v>
      </c>
      <c r="AE220" s="56" t="s">
        <v>884</v>
      </c>
      <c r="AF220" s="58">
        <v>45918</v>
      </c>
      <c r="AG220" s="59">
        <v>0.80555555555474712</v>
      </c>
      <c r="AH220" s="56" t="s">
        <v>117</v>
      </c>
      <c r="AI220" s="56" t="s">
        <v>843</v>
      </c>
      <c r="AJ220" s="56" t="s">
        <v>64</v>
      </c>
      <c r="AK220" s="56" t="s">
        <v>64</v>
      </c>
      <c r="AL220" s="56" t="s">
        <v>1</v>
      </c>
      <c r="AM220" s="56" t="s">
        <v>65</v>
      </c>
      <c r="AN220" s="60"/>
      <c r="AO220" s="61"/>
    </row>
    <row r="221" spans="3:41" ht="14.25" customHeight="1">
      <c r="C221" s="55">
        <f>IF($X221=1,COUNTIF($C$10:C220,"&gt;0")+1,"")</f>
        <v>107</v>
      </c>
      <c r="D221" s="56">
        <v>462710826</v>
      </c>
      <c r="E221" s="56" t="s">
        <v>836</v>
      </c>
      <c r="F221" s="57" t="s">
        <v>943</v>
      </c>
      <c r="G221" s="56" t="s">
        <v>943</v>
      </c>
      <c r="H221" s="62" t="s">
        <v>944</v>
      </c>
      <c r="I221" s="62" t="s">
        <v>945</v>
      </c>
      <c r="J221" s="62" t="s">
        <v>68</v>
      </c>
      <c r="K221" s="62" t="s">
        <v>59</v>
      </c>
      <c r="L221" s="63">
        <v>35264</v>
      </c>
      <c r="M221" s="62">
        <v>29</v>
      </c>
      <c r="N221" s="62" t="s">
        <v>946</v>
      </c>
      <c r="O221" s="63">
        <v>46290</v>
      </c>
      <c r="P221" s="62" t="s">
        <v>4</v>
      </c>
      <c r="Q221" s="56"/>
      <c r="R221" s="50">
        <v>45913</v>
      </c>
      <c r="S221" s="50">
        <v>45918</v>
      </c>
      <c r="T221" s="51">
        <f t="shared" si="3"/>
        <v>5</v>
      </c>
      <c r="U221" s="56">
        <v>1</v>
      </c>
      <c r="V221" s="56">
        <v>1</v>
      </c>
      <c r="W221" s="56">
        <v>0</v>
      </c>
      <c r="X221" s="62">
        <v>1</v>
      </c>
      <c r="Y221" s="62">
        <v>0</v>
      </c>
      <c r="Z221" s="62">
        <v>1</v>
      </c>
      <c r="AA221" s="62">
        <v>0</v>
      </c>
      <c r="AB221" s="56"/>
      <c r="AC221" s="58">
        <v>45913</v>
      </c>
      <c r="AD221" s="59">
        <v>0.625</v>
      </c>
      <c r="AE221" s="56" t="s">
        <v>884</v>
      </c>
      <c r="AF221" s="58">
        <v>45918</v>
      </c>
      <c r="AG221" s="59">
        <v>0.80555555555474712</v>
      </c>
      <c r="AH221" s="56" t="s">
        <v>117</v>
      </c>
      <c r="AI221" s="56" t="s">
        <v>843</v>
      </c>
      <c r="AJ221" s="56" t="s">
        <v>64</v>
      </c>
      <c r="AK221" s="56" t="s">
        <v>64</v>
      </c>
      <c r="AL221" s="56" t="s">
        <v>1</v>
      </c>
      <c r="AM221" s="56" t="s">
        <v>65</v>
      </c>
      <c r="AN221" s="60"/>
      <c r="AO221" s="64" t="s">
        <v>504</v>
      </c>
    </row>
    <row r="222" spans="3:41" ht="14.25" customHeight="1">
      <c r="C222" s="55" t="str">
        <f>IF($X222=1,COUNTIF($C$10:C221,"&gt;0")+1,"")</f>
        <v/>
      </c>
      <c r="D222" s="56"/>
      <c r="E222" s="56" t="s">
        <v>836</v>
      </c>
      <c r="F222" s="57" t="s">
        <v>947</v>
      </c>
      <c r="G222" s="56" t="s">
        <v>943</v>
      </c>
      <c r="H222" s="62" t="s">
        <v>948</v>
      </c>
      <c r="I222" s="62" t="s">
        <v>949</v>
      </c>
      <c r="J222" s="62" t="s">
        <v>68</v>
      </c>
      <c r="K222" s="62" t="s">
        <v>59</v>
      </c>
      <c r="L222" s="63">
        <v>39894</v>
      </c>
      <c r="M222" s="62">
        <v>16</v>
      </c>
      <c r="N222" s="62" t="s">
        <v>950</v>
      </c>
      <c r="O222" s="63">
        <v>47044</v>
      </c>
      <c r="P222" s="62" t="s">
        <v>4</v>
      </c>
      <c r="Q222" s="56"/>
      <c r="R222" s="50">
        <v>45913</v>
      </c>
      <c r="S222" s="50">
        <v>45918</v>
      </c>
      <c r="T222" s="51">
        <f t="shared" si="3"/>
        <v>5</v>
      </c>
      <c r="U222" s="56">
        <v>1</v>
      </c>
      <c r="V222" s="56">
        <v>1</v>
      </c>
      <c r="W222" s="56">
        <v>0</v>
      </c>
      <c r="X222" s="62">
        <v>0</v>
      </c>
      <c r="Y222" s="62">
        <v>0</v>
      </c>
      <c r="Z222" s="62">
        <v>0</v>
      </c>
      <c r="AA222" s="62">
        <v>0</v>
      </c>
      <c r="AB222" s="56"/>
      <c r="AC222" s="58">
        <v>45913</v>
      </c>
      <c r="AD222" s="59">
        <v>0.625</v>
      </c>
      <c r="AE222" s="56" t="s">
        <v>884</v>
      </c>
      <c r="AF222" s="58">
        <v>45918</v>
      </c>
      <c r="AG222" s="59">
        <v>0.85416666666424135</v>
      </c>
      <c r="AH222" s="56" t="s">
        <v>183</v>
      </c>
      <c r="AI222" s="56" t="s">
        <v>843</v>
      </c>
      <c r="AJ222" s="56" t="s">
        <v>64</v>
      </c>
      <c r="AK222" s="56" t="s">
        <v>64</v>
      </c>
      <c r="AL222" s="56" t="s">
        <v>1</v>
      </c>
      <c r="AM222" s="56" t="s">
        <v>65</v>
      </c>
      <c r="AN222" s="60"/>
      <c r="AO222" s="64" t="s">
        <v>504</v>
      </c>
    </row>
    <row r="223" spans="3:41" ht="14.25" customHeight="1">
      <c r="C223" s="55">
        <f>IF($X223=1,COUNTIF($C$10:C222,"&gt;0")+1,"")</f>
        <v>108</v>
      </c>
      <c r="D223" s="56">
        <v>462710827</v>
      </c>
      <c r="E223" s="56" t="s">
        <v>836</v>
      </c>
      <c r="F223" s="57" t="s">
        <v>951</v>
      </c>
      <c r="G223" s="56" t="s">
        <v>951</v>
      </c>
      <c r="H223" s="56" t="s">
        <v>952</v>
      </c>
      <c r="I223" s="56" t="s">
        <v>953</v>
      </c>
      <c r="J223" s="56" t="s">
        <v>58</v>
      </c>
      <c r="K223" s="56" t="s">
        <v>59</v>
      </c>
      <c r="L223" s="58">
        <v>32351</v>
      </c>
      <c r="M223" s="56">
        <v>37</v>
      </c>
      <c r="N223" s="56" t="s">
        <v>954</v>
      </c>
      <c r="O223" s="58">
        <v>46839</v>
      </c>
      <c r="P223" s="56" t="s">
        <v>4</v>
      </c>
      <c r="Q223" s="56"/>
      <c r="R223" s="50">
        <v>45913</v>
      </c>
      <c r="S223" s="50">
        <v>45918</v>
      </c>
      <c r="T223" s="51">
        <f t="shared" si="3"/>
        <v>5</v>
      </c>
      <c r="U223" s="56">
        <v>1</v>
      </c>
      <c r="V223" s="56">
        <v>1</v>
      </c>
      <c r="W223" s="56">
        <v>0</v>
      </c>
      <c r="X223" s="56">
        <v>1</v>
      </c>
      <c r="Y223" s="56">
        <v>0</v>
      </c>
      <c r="Z223" s="56">
        <v>1</v>
      </c>
      <c r="AA223" s="56">
        <v>0</v>
      </c>
      <c r="AB223" s="56"/>
      <c r="AC223" s="58">
        <v>45913</v>
      </c>
      <c r="AD223" s="59">
        <v>0.18055555555474712</v>
      </c>
      <c r="AE223" s="56" t="s">
        <v>95</v>
      </c>
      <c r="AF223" s="58">
        <v>45918</v>
      </c>
      <c r="AG223" s="59">
        <v>0.58680555555474712</v>
      </c>
      <c r="AH223" s="56" t="s">
        <v>255</v>
      </c>
      <c r="AI223" s="56" t="s">
        <v>843</v>
      </c>
      <c r="AJ223" s="56" t="s">
        <v>64</v>
      </c>
      <c r="AK223" s="56" t="s">
        <v>64</v>
      </c>
      <c r="AL223" s="56" t="s">
        <v>1</v>
      </c>
      <c r="AM223" s="56" t="s">
        <v>65</v>
      </c>
      <c r="AN223" s="60"/>
      <c r="AO223" s="61"/>
    </row>
    <row r="224" spans="3:41" ht="14.25" customHeight="1">
      <c r="C224" s="55" t="str">
        <f>IF($X224=1,COUNTIF($C$10:C223,"&gt;0")+1,"")</f>
        <v/>
      </c>
      <c r="D224" s="56"/>
      <c r="E224" s="56" t="s">
        <v>836</v>
      </c>
      <c r="F224" s="57" t="s">
        <v>955</v>
      </c>
      <c r="G224" s="56" t="s">
        <v>951</v>
      </c>
      <c r="H224" s="56" t="s">
        <v>956</v>
      </c>
      <c r="I224" s="56" t="s">
        <v>957</v>
      </c>
      <c r="J224" s="56" t="s">
        <v>68</v>
      </c>
      <c r="K224" s="56" t="s">
        <v>59</v>
      </c>
      <c r="L224" s="58">
        <v>33830</v>
      </c>
      <c r="M224" s="56">
        <v>33</v>
      </c>
      <c r="N224" s="56" t="s">
        <v>958</v>
      </c>
      <c r="O224" s="58">
        <v>47210</v>
      </c>
      <c r="P224" s="56" t="s">
        <v>4</v>
      </c>
      <c r="Q224" s="56"/>
      <c r="R224" s="50">
        <v>45913</v>
      </c>
      <c r="S224" s="50">
        <v>45918</v>
      </c>
      <c r="T224" s="51">
        <f t="shared" si="3"/>
        <v>5</v>
      </c>
      <c r="U224" s="56">
        <v>1</v>
      </c>
      <c r="V224" s="56">
        <v>1</v>
      </c>
      <c r="W224" s="56">
        <v>0</v>
      </c>
      <c r="X224" s="56">
        <v>0</v>
      </c>
      <c r="Y224" s="56">
        <v>0</v>
      </c>
      <c r="Z224" s="56">
        <v>0</v>
      </c>
      <c r="AA224" s="56">
        <v>0</v>
      </c>
      <c r="AB224" s="56"/>
      <c r="AC224" s="58">
        <v>45913</v>
      </c>
      <c r="AD224" s="59">
        <v>0.18055555555474712</v>
      </c>
      <c r="AE224" s="56" t="s">
        <v>95</v>
      </c>
      <c r="AF224" s="58">
        <v>45918</v>
      </c>
      <c r="AG224" s="59">
        <v>0.58680555555474712</v>
      </c>
      <c r="AH224" s="56" t="s">
        <v>255</v>
      </c>
      <c r="AI224" s="56" t="s">
        <v>843</v>
      </c>
      <c r="AJ224" s="56" t="s">
        <v>64</v>
      </c>
      <c r="AK224" s="56" t="s">
        <v>64</v>
      </c>
      <c r="AL224" s="56" t="s">
        <v>1</v>
      </c>
      <c r="AM224" s="56" t="s">
        <v>65</v>
      </c>
      <c r="AN224" s="60"/>
      <c r="AO224" s="61"/>
    </row>
    <row r="225" spans="3:41" ht="14.25" customHeight="1">
      <c r="C225" s="55">
        <f>IF($X225=1,COUNTIF($C$10:C224,"&gt;0")+1,"")</f>
        <v>109</v>
      </c>
      <c r="D225" s="56">
        <v>462710828</v>
      </c>
      <c r="E225" s="56" t="s">
        <v>836</v>
      </c>
      <c r="F225" s="57" t="s">
        <v>959</v>
      </c>
      <c r="G225" s="56" t="s">
        <v>959</v>
      </c>
      <c r="H225" s="56" t="s">
        <v>960</v>
      </c>
      <c r="I225" s="56" t="s">
        <v>957</v>
      </c>
      <c r="J225" s="56" t="s">
        <v>58</v>
      </c>
      <c r="K225" s="56" t="s">
        <v>59</v>
      </c>
      <c r="L225" s="58">
        <v>24716</v>
      </c>
      <c r="M225" s="56">
        <v>58</v>
      </c>
      <c r="N225" s="56" t="s">
        <v>961</v>
      </c>
      <c r="O225" s="58">
        <v>48429</v>
      </c>
      <c r="P225" s="56" t="s">
        <v>4</v>
      </c>
      <c r="Q225" s="56"/>
      <c r="R225" s="50">
        <v>45913</v>
      </c>
      <c r="S225" s="50">
        <v>45918</v>
      </c>
      <c r="T225" s="51">
        <f t="shared" si="3"/>
        <v>5</v>
      </c>
      <c r="U225" s="56">
        <v>1</v>
      </c>
      <c r="V225" s="56">
        <v>1</v>
      </c>
      <c r="W225" s="56">
        <v>0</v>
      </c>
      <c r="X225" s="56">
        <v>1</v>
      </c>
      <c r="Y225" s="56">
        <v>0</v>
      </c>
      <c r="Z225" s="56">
        <v>1</v>
      </c>
      <c r="AA225" s="56">
        <v>0</v>
      </c>
      <c r="AB225" s="56"/>
      <c r="AC225" s="58">
        <v>45913</v>
      </c>
      <c r="AD225" s="59">
        <v>0.58680555555474712</v>
      </c>
      <c r="AE225" s="56" t="s">
        <v>61</v>
      </c>
      <c r="AF225" s="58">
        <v>45923</v>
      </c>
      <c r="AG225" s="59">
        <v>0.83680555555474712</v>
      </c>
      <c r="AH225" s="56" t="s">
        <v>962</v>
      </c>
      <c r="AI225" s="56" t="s">
        <v>843</v>
      </c>
      <c r="AJ225" s="56" t="s">
        <v>64</v>
      </c>
      <c r="AK225" s="56" t="s">
        <v>64</v>
      </c>
      <c r="AL225" s="56" t="s">
        <v>1</v>
      </c>
      <c r="AM225" s="56" t="s">
        <v>65</v>
      </c>
      <c r="AN225" s="60"/>
      <c r="AO225" s="61"/>
    </row>
    <row r="226" spans="3:41" ht="14.25" customHeight="1">
      <c r="C226" s="55" t="str">
        <f>IF($X226=1,COUNTIF($C$10:C225,"&gt;0")+1,"")</f>
        <v/>
      </c>
      <c r="D226" s="56"/>
      <c r="E226" s="56" t="s">
        <v>836</v>
      </c>
      <c r="F226" s="57" t="s">
        <v>963</v>
      </c>
      <c r="G226" s="56" t="s">
        <v>959</v>
      </c>
      <c r="H226" s="56" t="s">
        <v>964</v>
      </c>
      <c r="I226" s="56" t="s">
        <v>957</v>
      </c>
      <c r="J226" s="56" t="s">
        <v>68</v>
      </c>
      <c r="K226" s="56" t="s">
        <v>59</v>
      </c>
      <c r="L226" s="58">
        <v>26409</v>
      </c>
      <c r="M226" s="56">
        <v>53</v>
      </c>
      <c r="N226" s="56" t="s">
        <v>965</v>
      </c>
      <c r="O226" s="58">
        <v>47210</v>
      </c>
      <c r="P226" s="56" t="s">
        <v>4</v>
      </c>
      <c r="Q226" s="56"/>
      <c r="R226" s="50">
        <v>45913</v>
      </c>
      <c r="S226" s="50">
        <v>45918</v>
      </c>
      <c r="T226" s="51">
        <f t="shared" si="3"/>
        <v>5</v>
      </c>
      <c r="U226" s="56">
        <v>1</v>
      </c>
      <c r="V226" s="56">
        <v>1</v>
      </c>
      <c r="W226" s="56">
        <v>0</v>
      </c>
      <c r="X226" s="56">
        <v>0</v>
      </c>
      <c r="Y226" s="56">
        <v>0</v>
      </c>
      <c r="Z226" s="56">
        <v>0</v>
      </c>
      <c r="AA226" s="56">
        <v>0</v>
      </c>
      <c r="AB226" s="56"/>
      <c r="AC226" s="58">
        <v>45913</v>
      </c>
      <c r="AD226" s="59">
        <v>0.58680555555474712</v>
      </c>
      <c r="AE226" s="56" t="s">
        <v>61</v>
      </c>
      <c r="AF226" s="58">
        <v>45923</v>
      </c>
      <c r="AG226" s="59">
        <v>0.83680555555474712</v>
      </c>
      <c r="AH226" s="56" t="s">
        <v>962</v>
      </c>
      <c r="AI226" s="56" t="s">
        <v>843</v>
      </c>
      <c r="AJ226" s="56" t="s">
        <v>64</v>
      </c>
      <c r="AK226" s="56" t="s">
        <v>64</v>
      </c>
      <c r="AL226" s="56" t="s">
        <v>1</v>
      </c>
      <c r="AM226" s="56" t="s">
        <v>65</v>
      </c>
      <c r="AN226" s="60"/>
      <c r="AO226" s="61"/>
    </row>
    <row r="227" spans="3:41" ht="14.25" customHeight="1">
      <c r="C227" s="55">
        <f>IF($X227=1,COUNTIF($C$10:C226,"&gt;0")+1,"")</f>
        <v>110</v>
      </c>
      <c r="D227" s="56">
        <v>462710829</v>
      </c>
      <c r="E227" s="56" t="s">
        <v>836</v>
      </c>
      <c r="F227" s="57" t="s">
        <v>966</v>
      </c>
      <c r="G227" s="56" t="s">
        <v>966</v>
      </c>
      <c r="H227" s="56" t="s">
        <v>967</v>
      </c>
      <c r="I227" s="56" t="s">
        <v>968</v>
      </c>
      <c r="J227" s="56" t="s">
        <v>68</v>
      </c>
      <c r="K227" s="56" t="s">
        <v>59</v>
      </c>
      <c r="L227" s="58">
        <v>24852</v>
      </c>
      <c r="M227" s="56">
        <v>57</v>
      </c>
      <c r="N227" s="56" t="s">
        <v>969</v>
      </c>
      <c r="O227" s="58">
        <v>45922</v>
      </c>
      <c r="P227" s="56" t="s">
        <v>4</v>
      </c>
      <c r="Q227" s="56"/>
      <c r="R227" s="50">
        <v>45913</v>
      </c>
      <c r="S227" s="50">
        <v>45918</v>
      </c>
      <c r="T227" s="51">
        <f t="shared" si="3"/>
        <v>5</v>
      </c>
      <c r="U227" s="56">
        <v>1</v>
      </c>
      <c r="V227" s="56">
        <v>1</v>
      </c>
      <c r="W227" s="56">
        <v>0</v>
      </c>
      <c r="X227" s="56">
        <v>1</v>
      </c>
      <c r="Y227" s="56">
        <v>0</v>
      </c>
      <c r="Z227" s="56">
        <v>1</v>
      </c>
      <c r="AA227" s="56">
        <v>0</v>
      </c>
      <c r="AB227" s="56"/>
      <c r="AC227" s="58">
        <v>45913</v>
      </c>
      <c r="AD227" s="59">
        <v>0.625</v>
      </c>
      <c r="AE227" s="56" t="s">
        <v>74</v>
      </c>
      <c r="AF227" s="58">
        <v>45918</v>
      </c>
      <c r="AG227" s="59">
        <v>0.47916666666424135</v>
      </c>
      <c r="AH227" s="56" t="s">
        <v>189</v>
      </c>
      <c r="AI227" s="56" t="s">
        <v>843</v>
      </c>
      <c r="AJ227" s="56" t="s">
        <v>64</v>
      </c>
      <c r="AK227" s="56" t="s">
        <v>64</v>
      </c>
      <c r="AL227" s="56" t="s">
        <v>1</v>
      </c>
      <c r="AM227" s="56" t="s">
        <v>65</v>
      </c>
      <c r="AN227" s="60"/>
      <c r="AO227" s="61"/>
    </row>
    <row r="228" spans="3:41" ht="14.25" customHeight="1">
      <c r="C228" s="55" t="str">
        <f>IF($X228=1,COUNTIF($C$10:C227,"&gt;0")+1,"")</f>
        <v/>
      </c>
      <c r="D228" s="56"/>
      <c r="E228" s="56" t="s">
        <v>836</v>
      </c>
      <c r="F228" s="57" t="s">
        <v>970</v>
      </c>
      <c r="G228" s="56" t="s">
        <v>966</v>
      </c>
      <c r="H228" s="56" t="s">
        <v>971</v>
      </c>
      <c r="I228" s="56" t="s">
        <v>972</v>
      </c>
      <c r="J228" s="56" t="s">
        <v>68</v>
      </c>
      <c r="K228" s="56" t="s">
        <v>59</v>
      </c>
      <c r="L228" s="58">
        <v>23783</v>
      </c>
      <c r="M228" s="56">
        <v>60</v>
      </c>
      <c r="N228" s="56" t="s">
        <v>973</v>
      </c>
      <c r="O228" s="58">
        <v>47933</v>
      </c>
      <c r="P228" s="56" t="s">
        <v>4</v>
      </c>
      <c r="Q228" s="56"/>
      <c r="R228" s="50">
        <v>45913</v>
      </c>
      <c r="S228" s="50">
        <v>45918</v>
      </c>
      <c r="T228" s="51">
        <f t="shared" si="3"/>
        <v>5</v>
      </c>
      <c r="U228" s="56">
        <v>1</v>
      </c>
      <c r="V228" s="56">
        <v>1</v>
      </c>
      <c r="W228" s="56">
        <v>0</v>
      </c>
      <c r="X228" s="56">
        <v>0</v>
      </c>
      <c r="Y228" s="56">
        <v>0</v>
      </c>
      <c r="Z228" s="56">
        <v>0</v>
      </c>
      <c r="AA228" s="56">
        <v>0</v>
      </c>
      <c r="AB228" s="56"/>
      <c r="AC228" s="58">
        <v>45913</v>
      </c>
      <c r="AD228" s="59">
        <v>0.625</v>
      </c>
      <c r="AE228" s="56" t="s">
        <v>74</v>
      </c>
      <c r="AF228" s="58">
        <v>45918</v>
      </c>
      <c r="AG228" s="59">
        <v>0.47916666666424135</v>
      </c>
      <c r="AH228" s="56" t="s">
        <v>189</v>
      </c>
      <c r="AI228" s="56" t="s">
        <v>843</v>
      </c>
      <c r="AJ228" s="56" t="s">
        <v>64</v>
      </c>
      <c r="AK228" s="56"/>
      <c r="AL228" s="56" t="s">
        <v>1</v>
      </c>
      <c r="AM228" s="56" t="s">
        <v>65</v>
      </c>
      <c r="AN228" s="60"/>
      <c r="AO228" s="61"/>
    </row>
    <row r="229" spans="3:41" ht="14.25" customHeight="1">
      <c r="C229" s="55">
        <f>IF($X229=1,COUNTIF($C$10:C228,"&gt;0")+1,"")</f>
        <v>111</v>
      </c>
      <c r="D229" s="56">
        <v>462710830</v>
      </c>
      <c r="E229" s="56" t="s">
        <v>836</v>
      </c>
      <c r="F229" s="57" t="s">
        <v>974</v>
      </c>
      <c r="G229" s="56" t="s">
        <v>974</v>
      </c>
      <c r="H229" s="56" t="s">
        <v>975</v>
      </c>
      <c r="I229" s="56" t="s">
        <v>976</v>
      </c>
      <c r="J229" s="56" t="s">
        <v>58</v>
      </c>
      <c r="K229" s="56" t="s">
        <v>460</v>
      </c>
      <c r="L229" s="58">
        <v>31391</v>
      </c>
      <c r="M229" s="56">
        <v>39</v>
      </c>
      <c r="N229" s="56" t="s">
        <v>977</v>
      </c>
      <c r="O229" s="58">
        <v>47352</v>
      </c>
      <c r="P229" s="56" t="s">
        <v>3</v>
      </c>
      <c r="Q229" s="56"/>
      <c r="R229" s="50">
        <v>45913</v>
      </c>
      <c r="S229" s="50">
        <v>45918</v>
      </c>
      <c r="T229" s="51">
        <f t="shared" si="3"/>
        <v>5</v>
      </c>
      <c r="U229" s="56">
        <v>1</v>
      </c>
      <c r="V229" s="56">
        <v>1</v>
      </c>
      <c r="W229" s="56">
        <v>0</v>
      </c>
      <c r="X229" s="56">
        <v>1</v>
      </c>
      <c r="Y229" s="56">
        <v>1</v>
      </c>
      <c r="Z229" s="56">
        <v>0</v>
      </c>
      <c r="AA229" s="56">
        <v>0</v>
      </c>
      <c r="AB229" s="56"/>
      <c r="AC229" s="58">
        <v>45913</v>
      </c>
      <c r="AD229" s="59">
        <v>0.18055555555474712</v>
      </c>
      <c r="AE229" s="56" t="s">
        <v>95</v>
      </c>
      <c r="AF229" s="58">
        <v>45918</v>
      </c>
      <c r="AG229" s="59">
        <v>0.79513888889050577</v>
      </c>
      <c r="AH229" s="56" t="s">
        <v>831</v>
      </c>
      <c r="AI229" s="56" t="s">
        <v>843</v>
      </c>
      <c r="AJ229" s="56" t="s">
        <v>64</v>
      </c>
      <c r="AK229" s="56" t="s">
        <v>64</v>
      </c>
      <c r="AL229" s="56" t="s">
        <v>1</v>
      </c>
      <c r="AM229" s="56" t="s">
        <v>65</v>
      </c>
      <c r="AN229" s="60"/>
      <c r="AO229" s="61"/>
    </row>
    <row r="230" spans="3:41" ht="14.25" customHeight="1">
      <c r="C230" s="55">
        <f>IF($X230=1,COUNTIF($C$10:C229,"&gt;0")+1,"")</f>
        <v>112</v>
      </c>
      <c r="D230" s="56">
        <v>462710831</v>
      </c>
      <c r="E230" s="56" t="s">
        <v>836</v>
      </c>
      <c r="F230" s="57" t="s">
        <v>978</v>
      </c>
      <c r="G230" s="56" t="s">
        <v>978</v>
      </c>
      <c r="H230" s="56" t="s">
        <v>979</v>
      </c>
      <c r="I230" s="56" t="s">
        <v>976</v>
      </c>
      <c r="J230" s="56" t="s">
        <v>58</v>
      </c>
      <c r="K230" s="56" t="s">
        <v>460</v>
      </c>
      <c r="L230" s="58">
        <v>21076</v>
      </c>
      <c r="M230" s="56">
        <v>68</v>
      </c>
      <c r="N230" s="56" t="s">
        <v>980</v>
      </c>
      <c r="O230" s="58">
        <v>47136</v>
      </c>
      <c r="P230" s="56" t="s">
        <v>4</v>
      </c>
      <c r="Q230" s="56"/>
      <c r="R230" s="50">
        <v>45913</v>
      </c>
      <c r="S230" s="50">
        <v>45918</v>
      </c>
      <c r="T230" s="51">
        <f t="shared" si="3"/>
        <v>5</v>
      </c>
      <c r="U230" s="56">
        <v>1</v>
      </c>
      <c r="V230" s="56">
        <v>1</v>
      </c>
      <c r="W230" s="56">
        <v>0</v>
      </c>
      <c r="X230" s="56">
        <v>1</v>
      </c>
      <c r="Y230" s="56">
        <v>0</v>
      </c>
      <c r="Z230" s="56">
        <v>1</v>
      </c>
      <c r="AA230" s="56">
        <v>0</v>
      </c>
      <c r="AB230" s="56"/>
      <c r="AC230" s="58">
        <v>45913</v>
      </c>
      <c r="AD230" s="59">
        <v>0.1875</v>
      </c>
      <c r="AE230" s="56" t="s">
        <v>830</v>
      </c>
      <c r="AF230" s="58">
        <v>45918</v>
      </c>
      <c r="AG230" s="59">
        <v>0.79513888889050577</v>
      </c>
      <c r="AH230" s="56" t="s">
        <v>831</v>
      </c>
      <c r="AI230" s="56" t="s">
        <v>843</v>
      </c>
      <c r="AJ230" s="56" t="s">
        <v>64</v>
      </c>
      <c r="AK230" s="56" t="s">
        <v>64</v>
      </c>
      <c r="AL230" s="56" t="s">
        <v>1</v>
      </c>
      <c r="AM230" s="56" t="s">
        <v>65</v>
      </c>
      <c r="AN230" s="60"/>
      <c r="AO230" s="61"/>
    </row>
    <row r="231" spans="3:41" ht="14.25" customHeight="1">
      <c r="C231" s="55" t="str">
        <f>IF($X231=1,COUNTIF($C$10:C230,"&gt;0")+1,"")</f>
        <v/>
      </c>
      <c r="D231" s="56"/>
      <c r="E231" s="56" t="s">
        <v>836</v>
      </c>
      <c r="F231" s="57" t="s">
        <v>981</v>
      </c>
      <c r="G231" s="56" t="s">
        <v>978</v>
      </c>
      <c r="H231" s="56" t="s">
        <v>982</v>
      </c>
      <c r="I231" s="56" t="s">
        <v>976</v>
      </c>
      <c r="J231" s="56" t="s">
        <v>68</v>
      </c>
      <c r="K231" s="56" t="s">
        <v>460</v>
      </c>
      <c r="L231" s="58">
        <v>21269</v>
      </c>
      <c r="M231" s="56">
        <v>67</v>
      </c>
      <c r="N231" s="56" t="s">
        <v>983</v>
      </c>
      <c r="O231" s="58">
        <v>47359</v>
      </c>
      <c r="P231" s="56" t="s">
        <v>4</v>
      </c>
      <c r="Q231" s="56"/>
      <c r="R231" s="50">
        <v>45913</v>
      </c>
      <c r="S231" s="50">
        <v>45918</v>
      </c>
      <c r="T231" s="51">
        <f t="shared" si="3"/>
        <v>5</v>
      </c>
      <c r="U231" s="56">
        <v>1</v>
      </c>
      <c r="V231" s="56">
        <v>1</v>
      </c>
      <c r="W231" s="56">
        <v>0</v>
      </c>
      <c r="X231" s="56">
        <v>0</v>
      </c>
      <c r="Y231" s="56">
        <v>0</v>
      </c>
      <c r="Z231" s="56">
        <v>0</v>
      </c>
      <c r="AA231" s="56">
        <v>0</v>
      </c>
      <c r="AB231" s="56"/>
      <c r="AC231" s="58">
        <v>45913</v>
      </c>
      <c r="AD231" s="59">
        <v>0.1875</v>
      </c>
      <c r="AE231" s="56" t="s">
        <v>830</v>
      </c>
      <c r="AF231" s="58">
        <v>45918</v>
      </c>
      <c r="AG231" s="59">
        <v>0.79513888889050577</v>
      </c>
      <c r="AH231" s="56" t="s">
        <v>831</v>
      </c>
      <c r="AI231" s="56" t="s">
        <v>843</v>
      </c>
      <c r="AJ231" s="56" t="s">
        <v>64</v>
      </c>
      <c r="AK231" s="56" t="s">
        <v>64</v>
      </c>
      <c r="AL231" s="56" t="s">
        <v>1</v>
      </c>
      <c r="AM231" s="56" t="s">
        <v>65</v>
      </c>
      <c r="AN231" s="60"/>
      <c r="AO231" s="61"/>
    </row>
    <row r="232" spans="3:41" ht="14.25" customHeight="1">
      <c r="C232" s="55">
        <f>IF($X232=1,COUNTIF($C$10:C231,"&gt;0")+1,"")</f>
        <v>113</v>
      </c>
      <c r="D232" s="56">
        <v>462710832</v>
      </c>
      <c r="E232" s="56" t="s">
        <v>836</v>
      </c>
      <c r="F232" s="57" t="s">
        <v>984</v>
      </c>
      <c r="G232" s="56" t="s">
        <v>984</v>
      </c>
      <c r="H232" s="56" t="s">
        <v>985</v>
      </c>
      <c r="I232" s="56" t="s">
        <v>986</v>
      </c>
      <c r="J232" s="56" t="s">
        <v>68</v>
      </c>
      <c r="K232" s="56" t="s">
        <v>59</v>
      </c>
      <c r="L232" s="58">
        <v>25847</v>
      </c>
      <c r="M232" s="56">
        <v>54</v>
      </c>
      <c r="N232" s="56" t="s">
        <v>987</v>
      </c>
      <c r="O232" s="58">
        <v>47818</v>
      </c>
      <c r="P232" s="56" t="s">
        <v>4</v>
      </c>
      <c r="Q232" s="56"/>
      <c r="R232" s="50">
        <v>45913</v>
      </c>
      <c r="S232" s="50">
        <v>45918</v>
      </c>
      <c r="T232" s="51">
        <f t="shared" si="3"/>
        <v>5</v>
      </c>
      <c r="U232" s="56">
        <v>1</v>
      </c>
      <c r="V232" s="56">
        <v>1</v>
      </c>
      <c r="W232" s="56">
        <v>0</v>
      </c>
      <c r="X232" s="56">
        <v>1</v>
      </c>
      <c r="Y232" s="56">
        <v>0</v>
      </c>
      <c r="Z232" s="56">
        <v>1</v>
      </c>
      <c r="AA232" s="56">
        <v>0</v>
      </c>
      <c r="AB232" s="56"/>
      <c r="AC232" s="58">
        <v>45913</v>
      </c>
      <c r="AD232" s="59">
        <v>0.72222222221898846</v>
      </c>
      <c r="AE232" s="56" t="s">
        <v>164</v>
      </c>
      <c r="AF232" s="58">
        <v>45918</v>
      </c>
      <c r="AG232" s="59">
        <v>0.66666666666424135</v>
      </c>
      <c r="AH232" s="56" t="s">
        <v>165</v>
      </c>
      <c r="AI232" s="56" t="s">
        <v>843</v>
      </c>
      <c r="AJ232" s="56" t="s">
        <v>64</v>
      </c>
      <c r="AK232" s="56" t="s">
        <v>64</v>
      </c>
      <c r="AL232" s="56" t="s">
        <v>1</v>
      </c>
      <c r="AM232" s="56" t="s">
        <v>65</v>
      </c>
      <c r="AN232" s="60"/>
      <c r="AO232" s="61"/>
    </row>
    <row r="233" spans="3:41" ht="14.25" customHeight="1">
      <c r="C233" s="55" t="str">
        <f>IF($X233=1,COUNTIF($C$10:C232,"&gt;0")+1,"")</f>
        <v/>
      </c>
      <c r="D233" s="56"/>
      <c r="E233" s="56" t="s">
        <v>836</v>
      </c>
      <c r="F233" s="57" t="s">
        <v>988</v>
      </c>
      <c r="G233" s="56" t="s">
        <v>984</v>
      </c>
      <c r="H233" s="56" t="s">
        <v>989</v>
      </c>
      <c r="I233" s="56" t="s">
        <v>986</v>
      </c>
      <c r="J233" s="56" t="s">
        <v>68</v>
      </c>
      <c r="K233" s="56" t="s">
        <v>59</v>
      </c>
      <c r="L233" s="58">
        <v>38141</v>
      </c>
      <c r="M233" s="56">
        <v>21</v>
      </c>
      <c r="N233" s="56" t="s">
        <v>990</v>
      </c>
      <c r="O233" s="58">
        <v>48519</v>
      </c>
      <c r="P233" s="56" t="s">
        <v>4</v>
      </c>
      <c r="Q233" s="56"/>
      <c r="R233" s="50">
        <v>45913</v>
      </c>
      <c r="S233" s="50">
        <v>45918</v>
      </c>
      <c r="T233" s="51">
        <f t="shared" si="3"/>
        <v>5</v>
      </c>
      <c r="U233" s="56">
        <v>1</v>
      </c>
      <c r="V233" s="56">
        <v>1</v>
      </c>
      <c r="W233" s="56">
        <v>0</v>
      </c>
      <c r="X233" s="56">
        <v>0</v>
      </c>
      <c r="Y233" s="56">
        <v>0</v>
      </c>
      <c r="Z233" s="56">
        <v>0</v>
      </c>
      <c r="AA233" s="56">
        <v>0</v>
      </c>
      <c r="AB233" s="56"/>
      <c r="AC233" s="58">
        <v>45913</v>
      </c>
      <c r="AD233" s="59">
        <v>0.72222222221898846</v>
      </c>
      <c r="AE233" s="56" t="s">
        <v>164</v>
      </c>
      <c r="AF233" s="58">
        <v>45918</v>
      </c>
      <c r="AG233" s="59">
        <v>0.66666666666424135</v>
      </c>
      <c r="AH233" s="56" t="s">
        <v>165</v>
      </c>
      <c r="AI233" s="56" t="s">
        <v>843</v>
      </c>
      <c r="AJ233" s="56" t="s">
        <v>64</v>
      </c>
      <c r="AK233" s="56" t="s">
        <v>64</v>
      </c>
      <c r="AL233" s="56" t="s">
        <v>1</v>
      </c>
      <c r="AM233" s="56" t="s">
        <v>65</v>
      </c>
      <c r="AN233" s="60"/>
      <c r="AO233" s="61"/>
    </row>
    <row r="234" spans="3:41" ht="14.25" customHeight="1">
      <c r="C234" s="55">
        <f>IF($X234=1,COUNTIF($C$10:C233,"&gt;0")+1,"")</f>
        <v>114</v>
      </c>
      <c r="D234" s="56">
        <v>462710833</v>
      </c>
      <c r="E234" s="56" t="s">
        <v>836</v>
      </c>
      <c r="F234" s="57" t="s">
        <v>991</v>
      </c>
      <c r="G234" s="56" t="s">
        <v>991</v>
      </c>
      <c r="H234" s="56" t="s">
        <v>992</v>
      </c>
      <c r="I234" s="56" t="s">
        <v>993</v>
      </c>
      <c r="J234" s="56" t="s">
        <v>68</v>
      </c>
      <c r="K234" s="56" t="s">
        <v>59</v>
      </c>
      <c r="L234" s="58">
        <v>28098</v>
      </c>
      <c r="M234" s="56">
        <v>48</v>
      </c>
      <c r="N234" s="56" t="s">
        <v>994</v>
      </c>
      <c r="O234" s="58">
        <v>46895</v>
      </c>
      <c r="P234" s="56" t="s">
        <v>4</v>
      </c>
      <c r="Q234" s="56"/>
      <c r="R234" s="50">
        <v>45913</v>
      </c>
      <c r="S234" s="50">
        <v>45918</v>
      </c>
      <c r="T234" s="51">
        <f t="shared" si="3"/>
        <v>5</v>
      </c>
      <c r="U234" s="56">
        <v>1</v>
      </c>
      <c r="V234" s="56">
        <v>1</v>
      </c>
      <c r="W234" s="56">
        <v>0</v>
      </c>
      <c r="X234" s="56">
        <v>1</v>
      </c>
      <c r="Y234" s="56">
        <v>0</v>
      </c>
      <c r="Z234" s="56">
        <v>1</v>
      </c>
      <c r="AA234" s="56">
        <v>0</v>
      </c>
      <c r="AB234" s="56"/>
      <c r="AC234" s="58">
        <v>45913</v>
      </c>
      <c r="AD234" s="59">
        <v>0.69444444444525288</v>
      </c>
      <c r="AE234" s="56" t="s">
        <v>995</v>
      </c>
      <c r="AF234" s="58">
        <v>45920</v>
      </c>
      <c r="AG234" s="59">
        <v>0.69444444444525288</v>
      </c>
      <c r="AH234" s="56" t="s">
        <v>996</v>
      </c>
      <c r="AI234" s="56" t="s">
        <v>843</v>
      </c>
      <c r="AJ234" s="56" t="s">
        <v>64</v>
      </c>
      <c r="AK234" s="56" t="s">
        <v>64</v>
      </c>
      <c r="AL234" s="56" t="s">
        <v>1</v>
      </c>
      <c r="AM234" s="56" t="s">
        <v>65</v>
      </c>
      <c r="AN234" s="60"/>
      <c r="AO234" s="61"/>
    </row>
    <row r="235" spans="3:41" ht="14.25" customHeight="1">
      <c r="C235" s="55" t="str">
        <f>IF($X235=1,COUNTIF($C$10:C234,"&gt;0")+1,"")</f>
        <v/>
      </c>
      <c r="D235" s="56"/>
      <c r="E235" s="56" t="s">
        <v>836</v>
      </c>
      <c r="F235" s="57" t="s">
        <v>997</v>
      </c>
      <c r="G235" s="56" t="s">
        <v>991</v>
      </c>
      <c r="H235" s="56" t="s">
        <v>998</v>
      </c>
      <c r="I235" s="56" t="s">
        <v>999</v>
      </c>
      <c r="J235" s="56" t="s">
        <v>68</v>
      </c>
      <c r="K235" s="56" t="s">
        <v>59</v>
      </c>
      <c r="L235" s="58">
        <v>40993</v>
      </c>
      <c r="M235" s="56">
        <v>13</v>
      </c>
      <c r="N235" s="56" t="s">
        <v>1000</v>
      </c>
      <c r="O235" s="58">
        <v>46433</v>
      </c>
      <c r="P235" s="56" t="s">
        <v>4</v>
      </c>
      <c r="Q235" s="56"/>
      <c r="R235" s="50">
        <v>45913</v>
      </c>
      <c r="S235" s="50">
        <v>45918</v>
      </c>
      <c r="T235" s="51">
        <f t="shared" si="3"/>
        <v>5</v>
      </c>
      <c r="U235" s="56">
        <v>1</v>
      </c>
      <c r="V235" s="56">
        <v>1</v>
      </c>
      <c r="W235" s="56">
        <v>0</v>
      </c>
      <c r="X235" s="56">
        <v>0</v>
      </c>
      <c r="Y235" s="56">
        <v>0</v>
      </c>
      <c r="Z235" s="56">
        <v>0</v>
      </c>
      <c r="AA235" s="56">
        <v>0</v>
      </c>
      <c r="AB235" s="56"/>
      <c r="AC235" s="58">
        <v>45913</v>
      </c>
      <c r="AD235" s="59">
        <v>0.69444444444525288</v>
      </c>
      <c r="AE235" s="56" t="s">
        <v>995</v>
      </c>
      <c r="AF235" s="58">
        <v>45920</v>
      </c>
      <c r="AG235" s="59">
        <v>0.69444444444525288</v>
      </c>
      <c r="AH235" s="56" t="s">
        <v>996</v>
      </c>
      <c r="AI235" s="56" t="s">
        <v>843</v>
      </c>
      <c r="AJ235" s="56" t="s">
        <v>64</v>
      </c>
      <c r="AK235" s="56" t="s">
        <v>64</v>
      </c>
      <c r="AL235" s="56" t="s">
        <v>1</v>
      </c>
      <c r="AM235" s="56" t="s">
        <v>65</v>
      </c>
      <c r="AN235" s="60"/>
      <c r="AO235" s="61"/>
    </row>
    <row r="236" spans="3:41" ht="14.25" customHeight="1">
      <c r="C236" s="55">
        <f>IF($X236=1,COUNTIF($C$10:C235,"&gt;0")+1,"")</f>
        <v>115</v>
      </c>
      <c r="D236" s="56">
        <v>462710834</v>
      </c>
      <c r="E236" s="56" t="s">
        <v>836</v>
      </c>
      <c r="F236" s="57" t="s">
        <v>1001</v>
      </c>
      <c r="G236" s="56" t="s">
        <v>991</v>
      </c>
      <c r="H236" s="56" t="s">
        <v>1002</v>
      </c>
      <c r="I236" s="56" t="s">
        <v>999</v>
      </c>
      <c r="J236" s="56" t="s">
        <v>68</v>
      </c>
      <c r="K236" s="56" t="s">
        <v>59</v>
      </c>
      <c r="L236" s="58">
        <v>38231</v>
      </c>
      <c r="M236" s="56">
        <v>21</v>
      </c>
      <c r="N236" s="56" t="s">
        <v>1003</v>
      </c>
      <c r="O236" s="58">
        <v>48973</v>
      </c>
      <c r="P236" s="56" t="s">
        <v>4</v>
      </c>
      <c r="Q236" s="56"/>
      <c r="R236" s="50">
        <v>45913</v>
      </c>
      <c r="S236" s="50">
        <v>45918</v>
      </c>
      <c r="T236" s="51">
        <f t="shared" si="3"/>
        <v>5</v>
      </c>
      <c r="U236" s="56">
        <v>1</v>
      </c>
      <c r="V236" s="56">
        <v>1</v>
      </c>
      <c r="W236" s="56">
        <v>0</v>
      </c>
      <c r="X236" s="56">
        <v>1</v>
      </c>
      <c r="Y236" s="56">
        <v>0</v>
      </c>
      <c r="Z236" s="56">
        <v>1</v>
      </c>
      <c r="AA236" s="56">
        <v>0</v>
      </c>
      <c r="AB236" s="56"/>
      <c r="AC236" s="58">
        <v>45913</v>
      </c>
      <c r="AD236" s="59">
        <v>0.53472222221898846</v>
      </c>
      <c r="AE236" s="56" t="s">
        <v>1004</v>
      </c>
      <c r="AF236" s="58">
        <v>45920</v>
      </c>
      <c r="AG236" s="59">
        <v>0.82291666666424135</v>
      </c>
      <c r="AH236" s="56" t="s">
        <v>848</v>
      </c>
      <c r="AI236" s="56" t="s">
        <v>843</v>
      </c>
      <c r="AJ236" s="56" t="s">
        <v>64</v>
      </c>
      <c r="AK236" s="56" t="s">
        <v>64</v>
      </c>
      <c r="AL236" s="56" t="s">
        <v>1</v>
      </c>
      <c r="AM236" s="56" t="s">
        <v>65</v>
      </c>
      <c r="AN236" s="60"/>
      <c r="AO236" s="61"/>
    </row>
    <row r="237" spans="3:41" ht="14.25" customHeight="1">
      <c r="C237" s="55" t="str">
        <f>IF($X237=1,COUNTIF($C$10:C236,"&gt;0")+1,"")</f>
        <v/>
      </c>
      <c r="D237" s="56"/>
      <c r="E237" s="56" t="s">
        <v>836</v>
      </c>
      <c r="F237" s="57" t="s">
        <v>1005</v>
      </c>
      <c r="G237" s="56" t="s">
        <v>991</v>
      </c>
      <c r="H237" s="56" t="s">
        <v>1006</v>
      </c>
      <c r="I237" s="56" t="s">
        <v>999</v>
      </c>
      <c r="J237" s="56" t="s">
        <v>68</v>
      </c>
      <c r="K237" s="56" t="s">
        <v>59</v>
      </c>
      <c r="L237" s="58">
        <v>38231</v>
      </c>
      <c r="M237" s="56">
        <v>21</v>
      </c>
      <c r="N237" s="56" t="s">
        <v>1007</v>
      </c>
      <c r="O237" s="58">
        <v>48973</v>
      </c>
      <c r="P237" s="56" t="s">
        <v>4</v>
      </c>
      <c r="Q237" s="56"/>
      <c r="R237" s="50">
        <v>45913</v>
      </c>
      <c r="S237" s="50">
        <v>45918</v>
      </c>
      <c r="T237" s="51">
        <f t="shared" si="3"/>
        <v>5</v>
      </c>
      <c r="U237" s="56">
        <v>1</v>
      </c>
      <c r="V237" s="56">
        <v>1</v>
      </c>
      <c r="W237" s="56">
        <v>0</v>
      </c>
      <c r="X237" s="56">
        <v>0</v>
      </c>
      <c r="Y237" s="56">
        <v>0</v>
      </c>
      <c r="Z237" s="56">
        <v>0</v>
      </c>
      <c r="AA237" s="56">
        <v>0</v>
      </c>
      <c r="AB237" s="56"/>
      <c r="AC237" s="58">
        <v>45913</v>
      </c>
      <c r="AD237" s="59">
        <v>0.53472222221898846</v>
      </c>
      <c r="AE237" s="56" t="s">
        <v>1004</v>
      </c>
      <c r="AF237" s="58">
        <v>45920</v>
      </c>
      <c r="AG237" s="59">
        <v>0.82291666666424135</v>
      </c>
      <c r="AH237" s="56" t="s">
        <v>848</v>
      </c>
      <c r="AI237" s="56" t="s">
        <v>843</v>
      </c>
      <c r="AJ237" s="56" t="s">
        <v>64</v>
      </c>
      <c r="AK237" s="56" t="s">
        <v>64</v>
      </c>
      <c r="AL237" s="56" t="s">
        <v>1</v>
      </c>
      <c r="AM237" s="56" t="s">
        <v>65</v>
      </c>
      <c r="AN237" s="60"/>
      <c r="AO237" s="61"/>
    </row>
    <row r="238" spans="3:41" ht="14.25" customHeight="1">
      <c r="C238" s="55">
        <f>IF($X238=1,COUNTIF($C$10:C237,"&gt;0")+1,"")</f>
        <v>116</v>
      </c>
      <c r="D238" s="56">
        <v>462710835</v>
      </c>
      <c r="E238" s="56" t="s">
        <v>836</v>
      </c>
      <c r="F238" s="57" t="s">
        <v>1008</v>
      </c>
      <c r="G238" s="56" t="s">
        <v>1008</v>
      </c>
      <c r="H238" s="56" t="s">
        <v>1009</v>
      </c>
      <c r="I238" s="56" t="s">
        <v>1010</v>
      </c>
      <c r="J238" s="56" t="s">
        <v>68</v>
      </c>
      <c r="K238" s="56" t="s">
        <v>59</v>
      </c>
      <c r="L238" s="58">
        <v>32536</v>
      </c>
      <c r="M238" s="56">
        <v>36</v>
      </c>
      <c r="N238" s="56" t="s">
        <v>1011</v>
      </c>
      <c r="O238" s="58">
        <v>49366</v>
      </c>
      <c r="P238" s="56" t="s">
        <v>3</v>
      </c>
      <c r="Q238" s="56"/>
      <c r="R238" s="50">
        <v>45913</v>
      </c>
      <c r="S238" s="50">
        <v>45918</v>
      </c>
      <c r="T238" s="51">
        <f t="shared" si="3"/>
        <v>5</v>
      </c>
      <c r="U238" s="56">
        <v>1</v>
      </c>
      <c r="V238" s="56">
        <v>1</v>
      </c>
      <c r="W238" s="56">
        <v>0</v>
      </c>
      <c r="X238" s="56">
        <v>1</v>
      </c>
      <c r="Y238" s="56">
        <v>1</v>
      </c>
      <c r="Z238" s="56">
        <v>0</v>
      </c>
      <c r="AA238" s="56">
        <v>0</v>
      </c>
      <c r="AB238" s="56"/>
      <c r="AC238" s="58">
        <v>45913</v>
      </c>
      <c r="AD238" s="59">
        <v>0.625</v>
      </c>
      <c r="AE238" s="56" t="s">
        <v>884</v>
      </c>
      <c r="AF238" s="58">
        <v>45918</v>
      </c>
      <c r="AG238" s="59">
        <v>0.80555555555474712</v>
      </c>
      <c r="AH238" s="56" t="s">
        <v>117</v>
      </c>
      <c r="AI238" s="56" t="s">
        <v>843</v>
      </c>
      <c r="AJ238" s="56" t="s">
        <v>64</v>
      </c>
      <c r="AK238" s="56" t="s">
        <v>64</v>
      </c>
      <c r="AL238" s="56" t="s">
        <v>1</v>
      </c>
      <c r="AM238" s="56" t="s">
        <v>65</v>
      </c>
      <c r="AN238" s="60"/>
      <c r="AO238" s="61"/>
    </row>
    <row r="239" spans="3:41" ht="14.25" customHeight="1">
      <c r="C239" s="55">
        <f>IF($X239=1,COUNTIF($C$10:C238,"&gt;0")+1,"")</f>
        <v>117</v>
      </c>
      <c r="D239" s="56">
        <v>462710836</v>
      </c>
      <c r="E239" s="56" t="s">
        <v>836</v>
      </c>
      <c r="F239" s="57" t="s">
        <v>1012</v>
      </c>
      <c r="G239" s="56" t="s">
        <v>1012</v>
      </c>
      <c r="H239" s="56" t="s">
        <v>1013</v>
      </c>
      <c r="I239" s="56" t="s">
        <v>1014</v>
      </c>
      <c r="J239" s="56" t="s">
        <v>68</v>
      </c>
      <c r="K239" s="56" t="s">
        <v>59</v>
      </c>
      <c r="L239" s="58">
        <v>29157</v>
      </c>
      <c r="M239" s="56">
        <v>45</v>
      </c>
      <c r="N239" s="56" t="s">
        <v>1015</v>
      </c>
      <c r="O239" s="58">
        <v>47222</v>
      </c>
      <c r="P239" s="56" t="s">
        <v>4</v>
      </c>
      <c r="Q239" s="56"/>
      <c r="R239" s="50">
        <v>45913</v>
      </c>
      <c r="S239" s="50">
        <v>45918</v>
      </c>
      <c r="T239" s="51">
        <f t="shared" si="3"/>
        <v>5</v>
      </c>
      <c r="U239" s="56">
        <v>1</v>
      </c>
      <c r="V239" s="56">
        <v>1</v>
      </c>
      <c r="W239" s="56">
        <v>0</v>
      </c>
      <c r="X239" s="56">
        <v>1</v>
      </c>
      <c r="Y239" s="56">
        <v>0</v>
      </c>
      <c r="Z239" s="56">
        <v>1</v>
      </c>
      <c r="AA239" s="56">
        <v>0</v>
      </c>
      <c r="AB239" s="56"/>
      <c r="AC239" s="58">
        <v>45913</v>
      </c>
      <c r="AD239" s="59">
        <v>0.625</v>
      </c>
      <c r="AE239" s="56" t="s">
        <v>884</v>
      </c>
      <c r="AF239" s="58">
        <v>45918</v>
      </c>
      <c r="AG239" s="59">
        <v>0.80555555555474712</v>
      </c>
      <c r="AH239" s="56" t="s">
        <v>117</v>
      </c>
      <c r="AI239" s="56" t="s">
        <v>843</v>
      </c>
      <c r="AJ239" s="56" t="s">
        <v>64</v>
      </c>
      <c r="AK239" s="56" t="s">
        <v>64</v>
      </c>
      <c r="AL239" s="56" t="s">
        <v>1</v>
      </c>
      <c r="AM239" s="56" t="s">
        <v>65</v>
      </c>
      <c r="AN239" s="60"/>
      <c r="AO239" s="61"/>
    </row>
    <row r="240" spans="3:41" ht="14.25" customHeight="1">
      <c r="C240" s="55" t="str">
        <f>IF($X240=1,COUNTIF($C$10:C239,"&gt;0")+1,"")</f>
        <v/>
      </c>
      <c r="D240" s="56"/>
      <c r="E240" s="56" t="s">
        <v>836</v>
      </c>
      <c r="F240" s="57" t="s">
        <v>1016</v>
      </c>
      <c r="G240" s="56" t="s">
        <v>1012</v>
      </c>
      <c r="H240" s="56" t="s">
        <v>1017</v>
      </c>
      <c r="I240" s="56" t="s">
        <v>1018</v>
      </c>
      <c r="J240" s="56" t="s">
        <v>58</v>
      </c>
      <c r="K240" s="56" t="s">
        <v>59</v>
      </c>
      <c r="L240" s="58">
        <v>28594</v>
      </c>
      <c r="M240" s="56">
        <v>47</v>
      </c>
      <c r="N240" s="56" t="s">
        <v>1019</v>
      </c>
      <c r="O240" s="58">
        <v>46711</v>
      </c>
      <c r="P240" s="56" t="s">
        <v>4</v>
      </c>
      <c r="Q240" s="56"/>
      <c r="R240" s="50">
        <v>45913</v>
      </c>
      <c r="S240" s="50">
        <v>45918</v>
      </c>
      <c r="T240" s="51">
        <f t="shared" si="3"/>
        <v>5</v>
      </c>
      <c r="U240" s="56">
        <v>1</v>
      </c>
      <c r="V240" s="56">
        <v>1</v>
      </c>
      <c r="W240" s="56">
        <v>0</v>
      </c>
      <c r="X240" s="56">
        <v>0</v>
      </c>
      <c r="Y240" s="56">
        <v>0</v>
      </c>
      <c r="Z240" s="56">
        <v>0</v>
      </c>
      <c r="AA240" s="56">
        <v>0</v>
      </c>
      <c r="AB240" s="56"/>
      <c r="AC240" s="58">
        <v>45913</v>
      </c>
      <c r="AD240" s="59">
        <v>0.625</v>
      </c>
      <c r="AE240" s="56" t="s">
        <v>884</v>
      </c>
      <c r="AF240" s="58">
        <v>45918</v>
      </c>
      <c r="AG240" s="59">
        <v>0.80555555555474712</v>
      </c>
      <c r="AH240" s="56" t="s">
        <v>117</v>
      </c>
      <c r="AI240" s="56" t="s">
        <v>843</v>
      </c>
      <c r="AJ240" s="56" t="s">
        <v>64</v>
      </c>
      <c r="AK240" s="56" t="s">
        <v>64</v>
      </c>
      <c r="AL240" s="56" t="s">
        <v>1</v>
      </c>
      <c r="AM240" s="56" t="s">
        <v>65</v>
      </c>
      <c r="AN240" s="60"/>
      <c r="AO240" s="61"/>
    </row>
    <row r="241" spans="3:41" ht="14.25" customHeight="1">
      <c r="C241" s="55" t="str">
        <f>IF($X241=1,COUNTIF($C$10:C240,"&gt;0")+1,"")</f>
        <v/>
      </c>
      <c r="D241" s="56"/>
      <c r="E241" s="56" t="s">
        <v>836</v>
      </c>
      <c r="F241" s="57" t="s">
        <v>1020</v>
      </c>
      <c r="G241" s="56" t="s">
        <v>1012</v>
      </c>
      <c r="H241" s="56" t="s">
        <v>1021</v>
      </c>
      <c r="I241" s="56" t="s">
        <v>1014</v>
      </c>
      <c r="J241" s="56" t="s">
        <v>68</v>
      </c>
      <c r="K241" s="56" t="s">
        <v>59</v>
      </c>
      <c r="L241" s="58">
        <v>42551</v>
      </c>
      <c r="M241" s="56">
        <v>9</v>
      </c>
      <c r="N241" s="56" t="s">
        <v>1022</v>
      </c>
      <c r="O241" s="58">
        <v>46621</v>
      </c>
      <c r="P241" s="56" t="s">
        <v>4</v>
      </c>
      <c r="Q241" s="56"/>
      <c r="R241" s="50">
        <v>45913</v>
      </c>
      <c r="S241" s="50">
        <v>45918</v>
      </c>
      <c r="T241" s="51">
        <f t="shared" si="3"/>
        <v>5</v>
      </c>
      <c r="U241" s="56">
        <v>1</v>
      </c>
      <c r="V241" s="56">
        <v>0</v>
      </c>
      <c r="W241" s="56">
        <v>1</v>
      </c>
      <c r="X241" s="56">
        <v>0</v>
      </c>
      <c r="Y241" s="56">
        <v>0</v>
      </c>
      <c r="Z241" s="56">
        <v>0</v>
      </c>
      <c r="AA241" s="56">
        <v>0</v>
      </c>
      <c r="AB241" s="56"/>
      <c r="AC241" s="58">
        <v>45913</v>
      </c>
      <c r="AD241" s="59">
        <v>0.625</v>
      </c>
      <c r="AE241" s="56" t="s">
        <v>884</v>
      </c>
      <c r="AF241" s="58">
        <v>45918</v>
      </c>
      <c r="AG241" s="59">
        <v>0.80555555555474712</v>
      </c>
      <c r="AH241" s="56" t="s">
        <v>117</v>
      </c>
      <c r="AI241" s="56" t="s">
        <v>843</v>
      </c>
      <c r="AJ241" s="56" t="s">
        <v>64</v>
      </c>
      <c r="AK241" s="56" t="s">
        <v>64</v>
      </c>
      <c r="AL241" s="56" t="s">
        <v>1</v>
      </c>
      <c r="AM241" s="56" t="s">
        <v>65</v>
      </c>
      <c r="AN241" s="60"/>
      <c r="AO241" s="61"/>
    </row>
    <row r="242" spans="3:41" ht="14.25" customHeight="1">
      <c r="C242" s="55">
        <f>IF($X242=1,COUNTIF($C$10:C241,"&gt;0")+1,"")</f>
        <v>118</v>
      </c>
      <c r="D242" s="56">
        <v>462710837</v>
      </c>
      <c r="E242" s="56" t="s">
        <v>836</v>
      </c>
      <c r="F242" s="57" t="s">
        <v>1023</v>
      </c>
      <c r="G242" s="56" t="s">
        <v>1023</v>
      </c>
      <c r="H242" s="56" t="s">
        <v>1024</v>
      </c>
      <c r="I242" s="56" t="s">
        <v>1025</v>
      </c>
      <c r="J242" s="56" t="s">
        <v>68</v>
      </c>
      <c r="K242" s="56" t="s">
        <v>59</v>
      </c>
      <c r="L242" s="58">
        <v>20626</v>
      </c>
      <c r="M242" s="56">
        <v>69</v>
      </c>
      <c r="N242" s="56" t="s">
        <v>1026</v>
      </c>
      <c r="O242" s="58">
        <v>47282</v>
      </c>
      <c r="P242" s="56" t="s">
        <v>5</v>
      </c>
      <c r="Q242" s="56"/>
      <c r="R242" s="50">
        <v>45913</v>
      </c>
      <c r="S242" s="50">
        <v>45918</v>
      </c>
      <c r="T242" s="51">
        <f t="shared" si="3"/>
        <v>5</v>
      </c>
      <c r="U242" s="56">
        <v>1</v>
      </c>
      <c r="V242" s="56">
        <v>1</v>
      </c>
      <c r="W242" s="56">
        <v>0</v>
      </c>
      <c r="X242" s="56">
        <v>1</v>
      </c>
      <c r="Y242" s="56">
        <v>0</v>
      </c>
      <c r="Z242" s="56">
        <v>0</v>
      </c>
      <c r="AA242" s="56">
        <v>1</v>
      </c>
      <c r="AB242" s="56"/>
      <c r="AC242" s="58" t="s">
        <v>64</v>
      </c>
      <c r="AD242" s="59" t="s">
        <v>64</v>
      </c>
      <c r="AE242" s="56" t="s">
        <v>64</v>
      </c>
      <c r="AF242" s="58" t="s">
        <v>64</v>
      </c>
      <c r="AG242" s="59" t="s">
        <v>64</v>
      </c>
      <c r="AH242" s="56" t="s">
        <v>64</v>
      </c>
      <c r="AI242" s="56" t="s">
        <v>843</v>
      </c>
      <c r="AJ242" s="56" t="s">
        <v>64</v>
      </c>
      <c r="AK242" s="56" t="s">
        <v>64</v>
      </c>
      <c r="AL242" s="56" t="s">
        <v>1</v>
      </c>
      <c r="AM242" s="56" t="s">
        <v>65</v>
      </c>
      <c r="AN242" s="60"/>
      <c r="AO242" s="61"/>
    </row>
    <row r="243" spans="3:41" ht="14.25" customHeight="1">
      <c r="C243" s="55" t="str">
        <f>IF($X243=1,COUNTIF($C$10:C242,"&gt;0")+1,"")</f>
        <v/>
      </c>
      <c r="D243" s="56"/>
      <c r="E243" s="56" t="s">
        <v>836</v>
      </c>
      <c r="F243" s="57" t="s">
        <v>1027</v>
      </c>
      <c r="G243" s="56" t="s">
        <v>1023</v>
      </c>
      <c r="H243" s="56" t="s">
        <v>1028</v>
      </c>
      <c r="I243" s="56" t="s">
        <v>1029</v>
      </c>
      <c r="J243" s="56" t="s">
        <v>68</v>
      </c>
      <c r="K243" s="56" t="s">
        <v>64</v>
      </c>
      <c r="L243" s="58" t="s">
        <v>64</v>
      </c>
      <c r="M243" s="56" t="s">
        <v>64</v>
      </c>
      <c r="N243" s="56" t="s">
        <v>64</v>
      </c>
      <c r="O243" s="58" t="s">
        <v>64</v>
      </c>
      <c r="P243" s="56" t="s">
        <v>5</v>
      </c>
      <c r="Q243" s="56"/>
      <c r="R243" s="50">
        <v>45913</v>
      </c>
      <c r="S243" s="50">
        <v>45918</v>
      </c>
      <c r="T243" s="51">
        <f t="shared" si="3"/>
        <v>5</v>
      </c>
      <c r="U243" s="56">
        <v>1</v>
      </c>
      <c r="V243" s="56">
        <v>1</v>
      </c>
      <c r="W243" s="56">
        <v>0</v>
      </c>
      <c r="X243" s="56">
        <v>0</v>
      </c>
      <c r="Y243" s="56">
        <v>0</v>
      </c>
      <c r="Z243" s="56">
        <v>0</v>
      </c>
      <c r="AA243" s="56">
        <v>0</v>
      </c>
      <c r="AB243" s="56"/>
      <c r="AC243" s="58">
        <v>45913</v>
      </c>
      <c r="AD243" s="59">
        <v>0.625</v>
      </c>
      <c r="AE243" s="56" t="s">
        <v>884</v>
      </c>
      <c r="AF243" s="58">
        <v>45918</v>
      </c>
      <c r="AG243" s="59">
        <v>0.85416666666424135</v>
      </c>
      <c r="AH243" s="56" t="s">
        <v>183</v>
      </c>
      <c r="AI243" s="56" t="s">
        <v>843</v>
      </c>
      <c r="AJ243" s="56" t="s">
        <v>64</v>
      </c>
      <c r="AK243" s="56" t="s">
        <v>64</v>
      </c>
      <c r="AL243" s="56" t="s">
        <v>1</v>
      </c>
      <c r="AM243" s="56" t="s">
        <v>65</v>
      </c>
      <c r="AN243" s="60"/>
      <c r="AO243" s="61"/>
    </row>
    <row r="244" spans="3:41" ht="14.25" customHeight="1">
      <c r="C244" s="55">
        <f>IF($X244=1,COUNTIF($C$10:C243,"&gt;0")+1,"")</f>
        <v>119</v>
      </c>
      <c r="D244" s="56">
        <v>462710838</v>
      </c>
      <c r="E244" s="56" t="s">
        <v>836</v>
      </c>
      <c r="F244" s="57" t="s">
        <v>1030</v>
      </c>
      <c r="G244" s="56" t="s">
        <v>1030</v>
      </c>
      <c r="H244" s="62" t="s">
        <v>1031</v>
      </c>
      <c r="I244" s="62" t="s">
        <v>1032</v>
      </c>
      <c r="J244" s="62" t="s">
        <v>68</v>
      </c>
      <c r="K244" s="62" t="s">
        <v>59</v>
      </c>
      <c r="L244" s="63">
        <v>35753</v>
      </c>
      <c r="M244" s="62">
        <v>27</v>
      </c>
      <c r="N244" s="62" t="s">
        <v>1033</v>
      </c>
      <c r="O244" s="63">
        <v>49490</v>
      </c>
      <c r="P244" s="62" t="s">
        <v>4</v>
      </c>
      <c r="Q244" s="56"/>
      <c r="R244" s="50">
        <v>45913</v>
      </c>
      <c r="S244" s="50">
        <v>45918</v>
      </c>
      <c r="T244" s="51">
        <f t="shared" si="3"/>
        <v>5</v>
      </c>
      <c r="U244" s="56">
        <v>1</v>
      </c>
      <c r="V244" s="56">
        <v>1</v>
      </c>
      <c r="W244" s="56">
        <v>0</v>
      </c>
      <c r="X244" s="62">
        <v>1</v>
      </c>
      <c r="Y244" s="62">
        <v>0</v>
      </c>
      <c r="Z244" s="62">
        <v>1</v>
      </c>
      <c r="AA244" s="62">
        <v>0</v>
      </c>
      <c r="AB244" s="56"/>
      <c r="AC244" s="58">
        <v>45913</v>
      </c>
      <c r="AD244" s="59">
        <v>0.625</v>
      </c>
      <c r="AE244" s="56" t="s">
        <v>884</v>
      </c>
      <c r="AF244" s="58">
        <v>45918</v>
      </c>
      <c r="AG244" s="59">
        <v>0.80555555555474712</v>
      </c>
      <c r="AH244" s="56" t="s">
        <v>890</v>
      </c>
      <c r="AI244" s="56" t="s">
        <v>843</v>
      </c>
      <c r="AJ244" s="56" t="s">
        <v>64</v>
      </c>
      <c r="AK244" s="56" t="s">
        <v>64</v>
      </c>
      <c r="AL244" s="56" t="s">
        <v>1</v>
      </c>
      <c r="AM244" s="56" t="s">
        <v>65</v>
      </c>
      <c r="AN244" s="60"/>
      <c r="AO244" s="64" t="s">
        <v>504</v>
      </c>
    </row>
    <row r="245" spans="3:41" ht="14.25" customHeight="1">
      <c r="C245" s="55" t="str">
        <f>IF($X245=1,COUNTIF($C$10:C244,"&gt;0")+1,"")</f>
        <v/>
      </c>
      <c r="D245" s="56"/>
      <c r="E245" s="56" t="s">
        <v>836</v>
      </c>
      <c r="F245" s="57" t="s">
        <v>1034</v>
      </c>
      <c r="G245" s="56" t="s">
        <v>1030</v>
      </c>
      <c r="H245" s="62" t="s">
        <v>1035</v>
      </c>
      <c r="I245" s="62" t="s">
        <v>1036</v>
      </c>
      <c r="J245" s="62" t="s">
        <v>68</v>
      </c>
      <c r="K245" s="62" t="s">
        <v>59</v>
      </c>
      <c r="L245" s="63">
        <v>35390</v>
      </c>
      <c r="M245" s="62">
        <v>28</v>
      </c>
      <c r="N245" s="62" t="s">
        <v>1037</v>
      </c>
      <c r="O245" s="63">
        <v>48836</v>
      </c>
      <c r="P245" s="62" t="s">
        <v>4</v>
      </c>
      <c r="Q245" s="56"/>
      <c r="R245" s="50">
        <v>45913</v>
      </c>
      <c r="S245" s="50">
        <v>45918</v>
      </c>
      <c r="T245" s="51">
        <f t="shared" si="3"/>
        <v>5</v>
      </c>
      <c r="U245" s="56">
        <v>1</v>
      </c>
      <c r="V245" s="56">
        <v>1</v>
      </c>
      <c r="W245" s="56">
        <v>0</v>
      </c>
      <c r="X245" s="62">
        <v>0</v>
      </c>
      <c r="Y245" s="62">
        <v>0</v>
      </c>
      <c r="Z245" s="62">
        <v>0</v>
      </c>
      <c r="AA245" s="62">
        <v>0</v>
      </c>
      <c r="AB245" s="56"/>
      <c r="AC245" s="58">
        <v>45913</v>
      </c>
      <c r="AD245" s="59">
        <v>0.625</v>
      </c>
      <c r="AE245" s="56" t="s">
        <v>884</v>
      </c>
      <c r="AF245" s="58">
        <v>45918</v>
      </c>
      <c r="AG245" s="59">
        <v>0.80555555555474712</v>
      </c>
      <c r="AH245" s="56" t="s">
        <v>890</v>
      </c>
      <c r="AI245" s="56" t="s">
        <v>843</v>
      </c>
      <c r="AJ245" s="56" t="s">
        <v>64</v>
      </c>
      <c r="AK245" s="56" t="s">
        <v>64</v>
      </c>
      <c r="AL245" s="56" t="s">
        <v>1</v>
      </c>
      <c r="AM245" s="56" t="s">
        <v>65</v>
      </c>
      <c r="AN245" s="60"/>
      <c r="AO245" s="64" t="s">
        <v>504</v>
      </c>
    </row>
    <row r="246" spans="3:41" ht="14.25" customHeight="1">
      <c r="C246" s="55">
        <f>IF($X246=1,COUNTIF($C$10:C245,"&gt;0")+1,"")</f>
        <v>120</v>
      </c>
      <c r="D246" s="56">
        <v>462710839</v>
      </c>
      <c r="E246" s="56" t="s">
        <v>836</v>
      </c>
      <c r="F246" s="57" t="s">
        <v>1038</v>
      </c>
      <c r="G246" s="56" t="s">
        <v>1038</v>
      </c>
      <c r="H246" s="56" t="s">
        <v>1039</v>
      </c>
      <c r="I246" s="56" t="s">
        <v>1040</v>
      </c>
      <c r="J246" s="56" t="s">
        <v>68</v>
      </c>
      <c r="K246" s="56" t="s">
        <v>64</v>
      </c>
      <c r="L246" s="58" t="s">
        <v>64</v>
      </c>
      <c r="M246" s="56" t="s">
        <v>64</v>
      </c>
      <c r="N246" s="56" t="s">
        <v>64</v>
      </c>
      <c r="O246" s="58" t="s">
        <v>64</v>
      </c>
      <c r="P246" s="56" t="s">
        <v>4</v>
      </c>
      <c r="Q246" s="56"/>
      <c r="R246" s="50">
        <v>45913</v>
      </c>
      <c r="S246" s="50">
        <v>45918</v>
      </c>
      <c r="T246" s="51">
        <f t="shared" si="3"/>
        <v>5</v>
      </c>
      <c r="U246" s="56">
        <v>1</v>
      </c>
      <c r="V246" s="56">
        <v>1</v>
      </c>
      <c r="W246" s="56">
        <v>0</v>
      </c>
      <c r="X246" s="56">
        <v>1</v>
      </c>
      <c r="Y246" s="56">
        <v>0</v>
      </c>
      <c r="Z246" s="56">
        <v>1</v>
      </c>
      <c r="AA246" s="56">
        <v>0</v>
      </c>
      <c r="AB246" s="56"/>
      <c r="AC246" s="58">
        <v>45913</v>
      </c>
      <c r="AD246" s="59">
        <v>0.625</v>
      </c>
      <c r="AE246" s="56" t="s">
        <v>884</v>
      </c>
      <c r="AF246" s="58">
        <v>45918</v>
      </c>
      <c r="AG246" s="59">
        <v>0.87152777778101154</v>
      </c>
      <c r="AH246" s="56" t="s">
        <v>102</v>
      </c>
      <c r="AI246" s="56" t="s">
        <v>843</v>
      </c>
      <c r="AJ246" s="56" t="s">
        <v>64</v>
      </c>
      <c r="AK246" s="56" t="s">
        <v>64</v>
      </c>
      <c r="AL246" s="56" t="s">
        <v>1</v>
      </c>
      <c r="AM246" s="56" t="s">
        <v>65</v>
      </c>
      <c r="AN246" s="60"/>
      <c r="AO246" s="61"/>
    </row>
    <row r="247" spans="3:41" ht="14.25" customHeight="1">
      <c r="C247" s="55" t="str">
        <f>IF($X247=1,COUNTIF($C$10:C246,"&gt;0")+1,"")</f>
        <v/>
      </c>
      <c r="D247" s="56"/>
      <c r="E247" s="56" t="s">
        <v>836</v>
      </c>
      <c r="F247" s="57" t="s">
        <v>1041</v>
      </c>
      <c r="G247" s="56" t="s">
        <v>1038</v>
      </c>
      <c r="H247" s="56" t="s">
        <v>1042</v>
      </c>
      <c r="I247" s="56" t="s">
        <v>1040</v>
      </c>
      <c r="J247" s="56" t="s">
        <v>58</v>
      </c>
      <c r="K247" s="56" t="s">
        <v>64</v>
      </c>
      <c r="L247" s="58" t="s">
        <v>64</v>
      </c>
      <c r="M247" s="56" t="s">
        <v>64</v>
      </c>
      <c r="N247" s="56" t="s">
        <v>64</v>
      </c>
      <c r="O247" s="58" t="s">
        <v>64</v>
      </c>
      <c r="P247" s="56" t="s">
        <v>4</v>
      </c>
      <c r="Q247" s="56"/>
      <c r="R247" s="50">
        <v>45913</v>
      </c>
      <c r="S247" s="50">
        <v>45918</v>
      </c>
      <c r="T247" s="51">
        <f t="shared" si="3"/>
        <v>5</v>
      </c>
      <c r="U247" s="56">
        <v>1</v>
      </c>
      <c r="V247" s="56">
        <v>1</v>
      </c>
      <c r="W247" s="56">
        <v>0</v>
      </c>
      <c r="X247" s="56">
        <v>0</v>
      </c>
      <c r="Y247" s="56">
        <v>0</v>
      </c>
      <c r="Z247" s="56">
        <v>0</v>
      </c>
      <c r="AA247" s="56">
        <v>0</v>
      </c>
      <c r="AB247" s="56"/>
      <c r="AC247" s="58">
        <v>45913</v>
      </c>
      <c r="AD247" s="59">
        <v>0.625</v>
      </c>
      <c r="AE247" s="56" t="s">
        <v>884</v>
      </c>
      <c r="AF247" s="58">
        <v>45918</v>
      </c>
      <c r="AG247" s="59">
        <v>0.87152777778101154</v>
      </c>
      <c r="AH247" s="56" t="s">
        <v>102</v>
      </c>
      <c r="AI247" s="56" t="s">
        <v>843</v>
      </c>
      <c r="AJ247" s="56" t="s">
        <v>64</v>
      </c>
      <c r="AK247" s="56" t="s">
        <v>64</v>
      </c>
      <c r="AL247" s="56" t="s">
        <v>1</v>
      </c>
      <c r="AM247" s="56" t="s">
        <v>65</v>
      </c>
      <c r="AN247" s="60"/>
      <c r="AO247" s="61"/>
    </row>
    <row r="248" spans="3:41" ht="14.25" customHeight="1">
      <c r="C248" s="55">
        <f>IF($X248=1,COUNTIF($C$10:C247,"&gt;0")+1,"")</f>
        <v>121</v>
      </c>
      <c r="D248" s="56">
        <v>462710840</v>
      </c>
      <c r="E248" s="56" t="s">
        <v>836</v>
      </c>
      <c r="F248" s="57" t="s">
        <v>1043</v>
      </c>
      <c r="G248" s="56" t="s">
        <v>1043</v>
      </c>
      <c r="H248" s="56" t="s">
        <v>1044</v>
      </c>
      <c r="I248" s="56" t="s">
        <v>949</v>
      </c>
      <c r="J248" s="56" t="s">
        <v>58</v>
      </c>
      <c r="K248" s="56" t="s">
        <v>59</v>
      </c>
      <c r="L248" s="58">
        <v>29650</v>
      </c>
      <c r="M248" s="56">
        <v>44</v>
      </c>
      <c r="N248" s="56" t="s">
        <v>64</v>
      </c>
      <c r="O248" s="58" t="s">
        <v>64</v>
      </c>
      <c r="P248" s="56" t="s">
        <v>4</v>
      </c>
      <c r="Q248" s="56"/>
      <c r="R248" s="50">
        <v>45913</v>
      </c>
      <c r="S248" s="50">
        <v>45918</v>
      </c>
      <c r="T248" s="51">
        <f t="shared" si="3"/>
        <v>5</v>
      </c>
      <c r="U248" s="56">
        <v>1</v>
      </c>
      <c r="V248" s="56">
        <v>1</v>
      </c>
      <c r="W248" s="56">
        <v>0</v>
      </c>
      <c r="X248" s="56">
        <v>1</v>
      </c>
      <c r="Y248" s="56">
        <v>0</v>
      </c>
      <c r="Z248" s="56">
        <v>1</v>
      </c>
      <c r="AA248" s="56">
        <v>0</v>
      </c>
      <c r="AB248" s="56"/>
      <c r="AC248" s="58">
        <v>45913</v>
      </c>
      <c r="AD248" s="59">
        <v>0.625</v>
      </c>
      <c r="AE248" s="56" t="s">
        <v>884</v>
      </c>
      <c r="AF248" s="58">
        <v>45918</v>
      </c>
      <c r="AG248" s="59">
        <v>0.85416666666424135</v>
      </c>
      <c r="AH248" s="56" t="s">
        <v>183</v>
      </c>
      <c r="AI248" s="56" t="s">
        <v>843</v>
      </c>
      <c r="AJ248" s="56" t="s">
        <v>64</v>
      </c>
      <c r="AK248" s="56" t="s">
        <v>64</v>
      </c>
      <c r="AL248" s="56" t="s">
        <v>1</v>
      </c>
      <c r="AM248" s="56" t="s">
        <v>65</v>
      </c>
      <c r="AN248" s="60"/>
      <c r="AO248" s="61"/>
    </row>
    <row r="249" spans="3:41" ht="14.25" customHeight="1">
      <c r="C249" s="55" t="str">
        <f>IF($X249=1,COUNTIF($C$10:C248,"&gt;0")+1,"")</f>
        <v/>
      </c>
      <c r="D249" s="56"/>
      <c r="E249" s="56" t="s">
        <v>836</v>
      </c>
      <c r="F249" s="57" t="s">
        <v>1045</v>
      </c>
      <c r="G249" s="56" t="s">
        <v>1043</v>
      </c>
      <c r="H249" s="56" t="s">
        <v>1046</v>
      </c>
      <c r="I249" s="56" t="s">
        <v>949</v>
      </c>
      <c r="J249" s="56" t="s">
        <v>68</v>
      </c>
      <c r="K249" s="56" t="s">
        <v>64</v>
      </c>
      <c r="L249" s="58" t="s">
        <v>64</v>
      </c>
      <c r="M249" s="56" t="s">
        <v>64</v>
      </c>
      <c r="N249" s="56" t="s">
        <v>64</v>
      </c>
      <c r="O249" s="58" t="s">
        <v>64</v>
      </c>
      <c r="P249" s="56" t="s">
        <v>4</v>
      </c>
      <c r="Q249" s="56"/>
      <c r="R249" s="50">
        <v>45913</v>
      </c>
      <c r="S249" s="50">
        <v>45918</v>
      </c>
      <c r="T249" s="51">
        <f t="shared" si="3"/>
        <v>5</v>
      </c>
      <c r="U249" s="56">
        <v>1</v>
      </c>
      <c r="V249" s="56">
        <v>1</v>
      </c>
      <c r="W249" s="56">
        <v>0</v>
      </c>
      <c r="X249" s="56">
        <v>0</v>
      </c>
      <c r="Y249" s="56">
        <v>0</v>
      </c>
      <c r="Z249" s="56">
        <v>0</v>
      </c>
      <c r="AA249" s="56">
        <v>0</v>
      </c>
      <c r="AB249" s="56"/>
      <c r="AC249" s="58">
        <v>45913</v>
      </c>
      <c r="AD249" s="59">
        <v>0.625</v>
      </c>
      <c r="AE249" s="56" t="s">
        <v>884</v>
      </c>
      <c r="AF249" s="58">
        <v>45918</v>
      </c>
      <c r="AG249" s="59">
        <v>0.85416666666424135</v>
      </c>
      <c r="AH249" s="56" t="s">
        <v>183</v>
      </c>
      <c r="AI249" s="56" t="s">
        <v>843</v>
      </c>
      <c r="AJ249" s="56" t="s">
        <v>64</v>
      </c>
      <c r="AK249" s="56" t="s">
        <v>64</v>
      </c>
      <c r="AL249" s="56" t="s">
        <v>1</v>
      </c>
      <c r="AM249" s="56" t="s">
        <v>65</v>
      </c>
      <c r="AN249" s="60"/>
      <c r="AO249" s="61"/>
    </row>
    <row r="250" spans="3:41" ht="14.25" customHeight="1">
      <c r="C250" s="55">
        <f>IF($X250=1,COUNTIF($C$10:C249,"&gt;0")+1,"")</f>
        <v>122</v>
      </c>
      <c r="D250" s="56">
        <v>462710841</v>
      </c>
      <c r="E250" s="56" t="s">
        <v>1047</v>
      </c>
      <c r="F250" s="57" t="s">
        <v>1048</v>
      </c>
      <c r="G250" s="56" t="s">
        <v>1048</v>
      </c>
      <c r="H250" s="56" t="s">
        <v>1049</v>
      </c>
      <c r="I250" s="56" t="s">
        <v>1050</v>
      </c>
      <c r="J250" s="56" t="s">
        <v>58</v>
      </c>
      <c r="K250" s="56" t="s">
        <v>460</v>
      </c>
      <c r="L250" s="58">
        <v>31730</v>
      </c>
      <c r="M250" s="56">
        <v>38</v>
      </c>
      <c r="N250" s="56" t="s">
        <v>1051</v>
      </c>
      <c r="O250" s="58">
        <v>47209</v>
      </c>
      <c r="P250" s="56" t="s">
        <v>3</v>
      </c>
      <c r="Q250" s="56"/>
      <c r="R250" s="50">
        <v>45913</v>
      </c>
      <c r="S250" s="50">
        <v>45918</v>
      </c>
      <c r="T250" s="51">
        <f t="shared" si="3"/>
        <v>5</v>
      </c>
      <c r="U250" s="56">
        <v>1</v>
      </c>
      <c r="V250" s="56">
        <v>1</v>
      </c>
      <c r="W250" s="56">
        <v>0</v>
      </c>
      <c r="X250" s="56">
        <v>1</v>
      </c>
      <c r="Y250" s="56">
        <v>1</v>
      </c>
      <c r="Z250" s="56">
        <v>0</v>
      </c>
      <c r="AA250" s="56">
        <v>0</v>
      </c>
      <c r="AB250" s="56"/>
      <c r="AC250" s="58">
        <v>45913</v>
      </c>
      <c r="AD250" s="59">
        <v>0.6875</v>
      </c>
      <c r="AE250" s="56" t="s">
        <v>1052</v>
      </c>
      <c r="AF250" s="58">
        <v>45920</v>
      </c>
      <c r="AG250" s="59">
        <v>0.86458333333575865</v>
      </c>
      <c r="AH250" s="56" t="s">
        <v>463</v>
      </c>
      <c r="AI250" s="56" t="s">
        <v>1053</v>
      </c>
      <c r="AJ250" s="56" t="s">
        <v>64</v>
      </c>
      <c r="AK250" s="56" t="s">
        <v>64</v>
      </c>
      <c r="AL250" s="56" t="s">
        <v>1</v>
      </c>
      <c r="AM250" s="56" t="s">
        <v>65</v>
      </c>
      <c r="AN250" s="60"/>
      <c r="AO250" s="61"/>
    </row>
    <row r="251" spans="3:41" ht="14.25" customHeight="1">
      <c r="C251" s="55">
        <f>IF($X251=1,COUNTIF($C$10:C250,"&gt;0")+1,"")</f>
        <v>123</v>
      </c>
      <c r="D251" s="56">
        <v>462710842</v>
      </c>
      <c r="E251" s="56" t="s">
        <v>1047</v>
      </c>
      <c r="F251" s="57" t="s">
        <v>1054</v>
      </c>
      <c r="G251" s="56" t="s">
        <v>1054</v>
      </c>
      <c r="H251" s="56" t="s">
        <v>1055</v>
      </c>
      <c r="I251" s="56" t="s">
        <v>1056</v>
      </c>
      <c r="J251" s="56" t="s">
        <v>68</v>
      </c>
      <c r="K251" s="56" t="s">
        <v>460</v>
      </c>
      <c r="L251" s="58">
        <v>29031</v>
      </c>
      <c r="M251" s="56">
        <v>46</v>
      </c>
      <c r="N251" s="56" t="s">
        <v>1057</v>
      </c>
      <c r="O251" s="58">
        <v>48198</v>
      </c>
      <c r="P251" s="56" t="s">
        <v>4</v>
      </c>
      <c r="Q251" s="56"/>
      <c r="R251" s="50">
        <v>45913</v>
      </c>
      <c r="S251" s="50">
        <v>45918</v>
      </c>
      <c r="T251" s="51">
        <f t="shared" si="3"/>
        <v>5</v>
      </c>
      <c r="U251" s="56">
        <v>1</v>
      </c>
      <c r="V251" s="56">
        <v>1</v>
      </c>
      <c r="W251" s="56">
        <v>0</v>
      </c>
      <c r="X251" s="56">
        <v>1</v>
      </c>
      <c r="Y251" s="56">
        <v>0</v>
      </c>
      <c r="Z251" s="56">
        <v>1</v>
      </c>
      <c r="AA251" s="56">
        <v>0</v>
      </c>
      <c r="AB251" s="56"/>
      <c r="AC251" s="58">
        <v>45913</v>
      </c>
      <c r="AD251" s="59">
        <v>0.6875</v>
      </c>
      <c r="AE251" s="56" t="s">
        <v>1052</v>
      </c>
      <c r="AF251" s="58" t="s">
        <v>64</v>
      </c>
      <c r="AG251" s="59" t="s">
        <v>64</v>
      </c>
      <c r="AH251" s="56" t="s">
        <v>1058</v>
      </c>
      <c r="AI251" s="56" t="s">
        <v>1053</v>
      </c>
      <c r="AJ251" s="56" t="s">
        <v>64</v>
      </c>
      <c r="AK251" s="56" t="s">
        <v>64</v>
      </c>
      <c r="AL251" s="56" t="s">
        <v>1</v>
      </c>
      <c r="AM251" s="56" t="s">
        <v>65</v>
      </c>
      <c r="AN251" s="60"/>
      <c r="AO251" s="61"/>
    </row>
    <row r="252" spans="3:41" ht="14.25" customHeight="1">
      <c r="C252" s="55" t="str">
        <f>IF($X252=1,COUNTIF($C$10:C251,"&gt;0")+1,"")</f>
        <v/>
      </c>
      <c r="D252" s="56"/>
      <c r="E252" s="56" t="s">
        <v>1047</v>
      </c>
      <c r="F252" s="57" t="s">
        <v>1059</v>
      </c>
      <c r="G252" s="56" t="s">
        <v>1054</v>
      </c>
      <c r="H252" s="56" t="s">
        <v>1060</v>
      </c>
      <c r="I252" s="56" t="s">
        <v>1061</v>
      </c>
      <c r="J252" s="56" t="s">
        <v>68</v>
      </c>
      <c r="K252" s="56" t="s">
        <v>460</v>
      </c>
      <c r="L252" s="58">
        <v>41165</v>
      </c>
      <c r="M252" s="56">
        <v>13</v>
      </c>
      <c r="N252" s="56" t="s">
        <v>1062</v>
      </c>
      <c r="O252" s="58">
        <v>46372</v>
      </c>
      <c r="P252" s="56" t="s">
        <v>4</v>
      </c>
      <c r="Q252" s="56"/>
      <c r="R252" s="50">
        <v>45913</v>
      </c>
      <c r="S252" s="50">
        <v>45918</v>
      </c>
      <c r="T252" s="51">
        <f t="shared" si="3"/>
        <v>5</v>
      </c>
      <c r="U252" s="56">
        <v>1</v>
      </c>
      <c r="V252" s="56">
        <v>1</v>
      </c>
      <c r="W252" s="56">
        <v>0</v>
      </c>
      <c r="X252" s="56">
        <v>0</v>
      </c>
      <c r="Y252" s="56">
        <v>0</v>
      </c>
      <c r="Z252" s="56">
        <v>0</v>
      </c>
      <c r="AA252" s="56">
        <v>0</v>
      </c>
      <c r="AB252" s="56"/>
      <c r="AC252" s="58">
        <v>45913</v>
      </c>
      <c r="AD252" s="59">
        <v>0.6875</v>
      </c>
      <c r="AE252" s="56" t="s">
        <v>1052</v>
      </c>
      <c r="AF252" s="58" t="s">
        <v>64</v>
      </c>
      <c r="AG252" s="59" t="s">
        <v>64</v>
      </c>
      <c r="AH252" s="56" t="s">
        <v>1058</v>
      </c>
      <c r="AI252" s="56" t="s">
        <v>1053</v>
      </c>
      <c r="AJ252" s="56" t="s">
        <v>64</v>
      </c>
      <c r="AK252" s="56" t="s">
        <v>64</v>
      </c>
      <c r="AL252" s="56" t="s">
        <v>1</v>
      </c>
      <c r="AM252" s="56" t="s">
        <v>65</v>
      </c>
      <c r="AN252" s="60"/>
      <c r="AO252" s="61"/>
    </row>
    <row r="253" spans="3:41" ht="14.25" customHeight="1">
      <c r="C253" s="55">
        <f>IF($X253=1,COUNTIF($C$10:C252,"&gt;0")+1,"")</f>
        <v>124</v>
      </c>
      <c r="D253" s="56">
        <v>462710843</v>
      </c>
      <c r="E253" s="56" t="s">
        <v>1047</v>
      </c>
      <c r="F253" s="57" t="s">
        <v>1063</v>
      </c>
      <c r="G253" s="56" t="s">
        <v>1063</v>
      </c>
      <c r="H253" s="56" t="s">
        <v>1064</v>
      </c>
      <c r="I253" s="56" t="s">
        <v>1056</v>
      </c>
      <c r="J253" s="56" t="s">
        <v>58</v>
      </c>
      <c r="K253" s="56" t="s">
        <v>460</v>
      </c>
      <c r="L253" s="58">
        <v>37478</v>
      </c>
      <c r="M253" s="56">
        <v>23</v>
      </c>
      <c r="N253" s="56" t="s">
        <v>1065</v>
      </c>
      <c r="O253" s="58">
        <v>48962</v>
      </c>
      <c r="P253" s="56" t="s">
        <v>4</v>
      </c>
      <c r="Q253" s="56"/>
      <c r="R253" s="50">
        <v>45913</v>
      </c>
      <c r="S253" s="50">
        <v>45918</v>
      </c>
      <c r="T253" s="51">
        <f t="shared" si="3"/>
        <v>5</v>
      </c>
      <c r="U253" s="56">
        <v>1</v>
      </c>
      <c r="V253" s="56">
        <v>1</v>
      </c>
      <c r="W253" s="56">
        <v>0</v>
      </c>
      <c r="X253" s="56">
        <v>1</v>
      </c>
      <c r="Y253" s="56">
        <v>0</v>
      </c>
      <c r="Z253" s="56">
        <v>1</v>
      </c>
      <c r="AA253" s="56">
        <v>0</v>
      </c>
      <c r="AB253" s="56"/>
      <c r="AC253" s="58">
        <v>45913</v>
      </c>
      <c r="AD253" s="59">
        <v>0.6875</v>
      </c>
      <c r="AE253" s="56" t="s">
        <v>1052</v>
      </c>
      <c r="AF253" s="58" t="s">
        <v>64</v>
      </c>
      <c r="AG253" s="59" t="s">
        <v>64</v>
      </c>
      <c r="AH253" s="56" t="s">
        <v>1058</v>
      </c>
      <c r="AI253" s="56" t="s">
        <v>1053</v>
      </c>
      <c r="AJ253" s="56" t="s">
        <v>64</v>
      </c>
      <c r="AK253" s="56" t="s">
        <v>64</v>
      </c>
      <c r="AL253" s="56" t="s">
        <v>1</v>
      </c>
      <c r="AM253" s="56" t="s">
        <v>65</v>
      </c>
      <c r="AN253" s="60"/>
      <c r="AO253" s="61"/>
    </row>
    <row r="254" spans="3:41" ht="14.25" customHeight="1">
      <c r="C254" s="55" t="str">
        <f>IF($X254=1,COUNTIF($C$10:C253,"&gt;0")+1,"")</f>
        <v/>
      </c>
      <c r="D254" s="56"/>
      <c r="E254" s="56" t="s">
        <v>1047</v>
      </c>
      <c r="F254" s="57" t="s">
        <v>1066</v>
      </c>
      <c r="G254" s="56" t="s">
        <v>1063</v>
      </c>
      <c r="H254" s="56" t="s">
        <v>1067</v>
      </c>
      <c r="I254" s="56" t="s">
        <v>1056</v>
      </c>
      <c r="J254" s="56" t="s">
        <v>68</v>
      </c>
      <c r="K254" s="56" t="s">
        <v>460</v>
      </c>
      <c r="L254" s="58">
        <v>36822</v>
      </c>
      <c r="M254" s="56">
        <v>24</v>
      </c>
      <c r="N254" s="56" t="s">
        <v>1068</v>
      </c>
      <c r="O254" s="58">
        <v>48962</v>
      </c>
      <c r="P254" s="56" t="s">
        <v>4</v>
      </c>
      <c r="Q254" s="56"/>
      <c r="R254" s="50">
        <v>45913</v>
      </c>
      <c r="S254" s="50">
        <v>45918</v>
      </c>
      <c r="T254" s="51">
        <f t="shared" si="3"/>
        <v>5</v>
      </c>
      <c r="U254" s="56">
        <v>1</v>
      </c>
      <c r="V254" s="56">
        <v>1</v>
      </c>
      <c r="W254" s="56">
        <v>0</v>
      </c>
      <c r="X254" s="56">
        <v>0</v>
      </c>
      <c r="Y254" s="56">
        <v>0</v>
      </c>
      <c r="Z254" s="56">
        <v>0</v>
      </c>
      <c r="AA254" s="56">
        <v>0</v>
      </c>
      <c r="AB254" s="56"/>
      <c r="AC254" s="58">
        <v>45913</v>
      </c>
      <c r="AD254" s="59">
        <v>0.6875</v>
      </c>
      <c r="AE254" s="56" t="s">
        <v>1052</v>
      </c>
      <c r="AF254" s="58" t="s">
        <v>64</v>
      </c>
      <c r="AG254" s="59" t="s">
        <v>64</v>
      </c>
      <c r="AH254" s="56" t="s">
        <v>1058</v>
      </c>
      <c r="AI254" s="56" t="s">
        <v>1053</v>
      </c>
      <c r="AJ254" s="56" t="s">
        <v>64</v>
      </c>
      <c r="AK254" s="56" t="s">
        <v>64</v>
      </c>
      <c r="AL254" s="56" t="s">
        <v>1</v>
      </c>
      <c r="AM254" s="56" t="s">
        <v>65</v>
      </c>
      <c r="AN254" s="60"/>
      <c r="AO254" s="61"/>
    </row>
    <row r="255" spans="3:41" ht="14.25" customHeight="1">
      <c r="C255" s="55">
        <f>IF($X255=1,COUNTIF($C$10:C254,"&gt;0")+1,"")</f>
        <v>125</v>
      </c>
      <c r="D255" s="56">
        <v>462710844</v>
      </c>
      <c r="E255" s="56" t="s">
        <v>1047</v>
      </c>
      <c r="F255" s="57" t="s">
        <v>1069</v>
      </c>
      <c r="G255" s="56" t="s">
        <v>1069</v>
      </c>
      <c r="H255" s="56" t="s">
        <v>1070</v>
      </c>
      <c r="I255" s="56" t="s">
        <v>1071</v>
      </c>
      <c r="J255" s="56" t="s">
        <v>68</v>
      </c>
      <c r="K255" s="56" t="s">
        <v>460</v>
      </c>
      <c r="L255" s="58">
        <v>24739</v>
      </c>
      <c r="M255" s="56">
        <v>57</v>
      </c>
      <c r="N255" s="56" t="s">
        <v>1072</v>
      </c>
      <c r="O255" s="58">
        <v>47525</v>
      </c>
      <c r="P255" s="56" t="s">
        <v>4</v>
      </c>
      <c r="Q255" s="56"/>
      <c r="R255" s="50">
        <v>45913</v>
      </c>
      <c r="S255" s="50">
        <v>45918</v>
      </c>
      <c r="T255" s="51">
        <f t="shared" si="3"/>
        <v>5</v>
      </c>
      <c r="U255" s="56">
        <v>1</v>
      </c>
      <c r="V255" s="56">
        <v>1</v>
      </c>
      <c r="W255" s="56">
        <v>0</v>
      </c>
      <c r="X255" s="56">
        <v>1</v>
      </c>
      <c r="Y255" s="56">
        <v>0</v>
      </c>
      <c r="Z255" s="56">
        <v>1</v>
      </c>
      <c r="AA255" s="56">
        <v>0</v>
      </c>
      <c r="AB255" s="56"/>
      <c r="AC255" s="58">
        <v>45913</v>
      </c>
      <c r="AD255" s="59">
        <v>0.6875</v>
      </c>
      <c r="AE255" s="56" t="s">
        <v>1052</v>
      </c>
      <c r="AF255" s="58">
        <v>45920</v>
      </c>
      <c r="AG255" s="59">
        <v>0.86458333333575865</v>
      </c>
      <c r="AH255" s="56" t="s">
        <v>463</v>
      </c>
      <c r="AI255" s="56" t="s">
        <v>1053</v>
      </c>
      <c r="AJ255" s="56" t="s">
        <v>64</v>
      </c>
      <c r="AK255" s="56" t="s">
        <v>64</v>
      </c>
      <c r="AL255" s="56" t="s">
        <v>1</v>
      </c>
      <c r="AM255" s="56" t="s">
        <v>65</v>
      </c>
      <c r="AN255" s="60"/>
      <c r="AO255" s="61"/>
    </row>
    <row r="256" spans="3:41" ht="14.25" customHeight="1">
      <c r="C256" s="55" t="str">
        <f>IF($X256=1,COUNTIF($C$10:C255,"&gt;0")+1,"")</f>
        <v/>
      </c>
      <c r="D256" s="56"/>
      <c r="E256" s="56" t="s">
        <v>1047</v>
      </c>
      <c r="F256" s="57" t="s">
        <v>1073</v>
      </c>
      <c r="G256" s="56" t="s">
        <v>1069</v>
      </c>
      <c r="H256" s="56" t="s">
        <v>1074</v>
      </c>
      <c r="I256" s="56" t="s">
        <v>1071</v>
      </c>
      <c r="J256" s="56" t="s">
        <v>58</v>
      </c>
      <c r="K256" s="56" t="s">
        <v>460</v>
      </c>
      <c r="L256" s="58">
        <v>25394</v>
      </c>
      <c r="M256" s="56">
        <v>56</v>
      </c>
      <c r="N256" s="56" t="s">
        <v>1075</v>
      </c>
      <c r="O256" s="58">
        <v>49408</v>
      </c>
      <c r="P256" s="56" t="s">
        <v>4</v>
      </c>
      <c r="Q256" s="56"/>
      <c r="R256" s="50">
        <v>45913</v>
      </c>
      <c r="S256" s="50">
        <v>45918</v>
      </c>
      <c r="T256" s="51">
        <f t="shared" si="3"/>
        <v>5</v>
      </c>
      <c r="U256" s="56">
        <v>1</v>
      </c>
      <c r="V256" s="56">
        <v>1</v>
      </c>
      <c r="W256" s="56">
        <v>0</v>
      </c>
      <c r="X256" s="56">
        <v>0</v>
      </c>
      <c r="Y256" s="56">
        <v>0</v>
      </c>
      <c r="Z256" s="56">
        <v>0</v>
      </c>
      <c r="AA256" s="56">
        <v>0</v>
      </c>
      <c r="AB256" s="56"/>
      <c r="AC256" s="58">
        <v>45913</v>
      </c>
      <c r="AD256" s="59">
        <v>0.6875</v>
      </c>
      <c r="AE256" s="56" t="s">
        <v>1052</v>
      </c>
      <c r="AF256" s="58">
        <v>45920</v>
      </c>
      <c r="AG256" s="59">
        <v>0.86458333333575865</v>
      </c>
      <c r="AH256" s="56" t="s">
        <v>463</v>
      </c>
      <c r="AI256" s="56" t="s">
        <v>1053</v>
      </c>
      <c r="AJ256" s="56" t="s">
        <v>64</v>
      </c>
      <c r="AK256" s="56" t="s">
        <v>64</v>
      </c>
      <c r="AL256" s="56" t="s">
        <v>1</v>
      </c>
      <c r="AM256" s="56" t="s">
        <v>65</v>
      </c>
      <c r="AN256" s="60"/>
      <c r="AO256" s="61"/>
    </row>
    <row r="257" spans="3:41" ht="14.25" customHeight="1">
      <c r="C257" s="55">
        <f>IF($X257=1,COUNTIF($C$10:C256,"&gt;0")+1,"")</f>
        <v>126</v>
      </c>
      <c r="D257" s="56">
        <v>462710845</v>
      </c>
      <c r="E257" s="56" t="s">
        <v>1047</v>
      </c>
      <c r="F257" s="57" t="s">
        <v>1076</v>
      </c>
      <c r="G257" s="56" t="s">
        <v>1076</v>
      </c>
      <c r="H257" s="56" t="s">
        <v>1077</v>
      </c>
      <c r="I257" s="56" t="s">
        <v>1078</v>
      </c>
      <c r="J257" s="56" t="s">
        <v>68</v>
      </c>
      <c r="K257" s="56" t="s">
        <v>460</v>
      </c>
      <c r="L257" s="58">
        <v>28144</v>
      </c>
      <c r="M257" s="56">
        <v>48</v>
      </c>
      <c r="N257" s="56" t="s">
        <v>1079</v>
      </c>
      <c r="O257" s="58">
        <v>47265</v>
      </c>
      <c r="P257" s="56" t="s">
        <v>4</v>
      </c>
      <c r="Q257" s="56"/>
      <c r="R257" s="50">
        <v>45913</v>
      </c>
      <c r="S257" s="50">
        <v>45918</v>
      </c>
      <c r="T257" s="51">
        <f t="shared" si="3"/>
        <v>5</v>
      </c>
      <c r="U257" s="56">
        <v>1</v>
      </c>
      <c r="V257" s="56">
        <v>1</v>
      </c>
      <c r="W257" s="56">
        <v>0</v>
      </c>
      <c r="X257" s="56">
        <v>1</v>
      </c>
      <c r="Y257" s="56">
        <v>0</v>
      </c>
      <c r="Z257" s="56">
        <v>1</v>
      </c>
      <c r="AA257" s="56">
        <v>0</v>
      </c>
      <c r="AB257" s="56"/>
      <c r="AC257" s="58">
        <v>45913</v>
      </c>
      <c r="AD257" s="59">
        <v>0.30555555555474712</v>
      </c>
      <c r="AE257" s="56" t="s">
        <v>1080</v>
      </c>
      <c r="AF257" s="58">
        <v>45918</v>
      </c>
      <c r="AG257" s="59">
        <v>0.94097222221898846</v>
      </c>
      <c r="AH257" s="56" t="s">
        <v>1081</v>
      </c>
      <c r="AI257" s="56" t="s">
        <v>1053</v>
      </c>
      <c r="AJ257" s="56" t="s">
        <v>64</v>
      </c>
      <c r="AK257" s="56" t="s">
        <v>64</v>
      </c>
      <c r="AL257" s="56" t="s">
        <v>1</v>
      </c>
      <c r="AM257" s="56" t="s">
        <v>65</v>
      </c>
      <c r="AN257" s="60"/>
      <c r="AO257" s="61"/>
    </row>
    <row r="258" spans="3:41" ht="14.25" customHeight="1">
      <c r="C258" s="55" t="str">
        <f>IF($X258=1,COUNTIF($C$10:C257,"&gt;0")+1,"")</f>
        <v/>
      </c>
      <c r="D258" s="56"/>
      <c r="E258" s="56" t="s">
        <v>1047</v>
      </c>
      <c r="F258" s="57" t="s">
        <v>1082</v>
      </c>
      <c r="G258" s="56" t="s">
        <v>1076</v>
      </c>
      <c r="H258" s="56" t="s">
        <v>1083</v>
      </c>
      <c r="I258" s="56" t="s">
        <v>1084</v>
      </c>
      <c r="J258" s="56" t="s">
        <v>58</v>
      </c>
      <c r="K258" s="56" t="s">
        <v>460</v>
      </c>
      <c r="L258" s="58">
        <v>32101</v>
      </c>
      <c r="M258" s="56">
        <v>37</v>
      </c>
      <c r="N258" s="56" t="s">
        <v>1085</v>
      </c>
      <c r="O258" s="58">
        <v>49393</v>
      </c>
      <c r="P258" s="56" t="s">
        <v>4</v>
      </c>
      <c r="Q258" s="56"/>
      <c r="R258" s="50">
        <v>45913</v>
      </c>
      <c r="S258" s="50">
        <v>45918</v>
      </c>
      <c r="T258" s="51">
        <f t="shared" si="3"/>
        <v>5</v>
      </c>
      <c r="U258" s="56">
        <v>1</v>
      </c>
      <c r="V258" s="56">
        <v>1</v>
      </c>
      <c r="W258" s="56">
        <v>0</v>
      </c>
      <c r="X258" s="56">
        <v>0</v>
      </c>
      <c r="Y258" s="56">
        <v>0</v>
      </c>
      <c r="Z258" s="56">
        <v>0</v>
      </c>
      <c r="AA258" s="56">
        <v>0</v>
      </c>
      <c r="AB258" s="56"/>
      <c r="AC258" s="58">
        <v>45913</v>
      </c>
      <c r="AD258" s="59">
        <v>0.30555555555474712</v>
      </c>
      <c r="AE258" s="56" t="s">
        <v>1080</v>
      </c>
      <c r="AF258" s="58">
        <v>45918</v>
      </c>
      <c r="AG258" s="59">
        <v>0.94097222221898846</v>
      </c>
      <c r="AH258" s="56" t="s">
        <v>1081</v>
      </c>
      <c r="AI258" s="56" t="s">
        <v>1053</v>
      </c>
      <c r="AJ258" s="56" t="s">
        <v>64</v>
      </c>
      <c r="AK258" s="56" t="s">
        <v>64</v>
      </c>
      <c r="AL258" s="56" t="s">
        <v>1</v>
      </c>
      <c r="AM258" s="56" t="s">
        <v>65</v>
      </c>
      <c r="AN258" s="60"/>
      <c r="AO258" s="61"/>
    </row>
    <row r="259" spans="3:41" ht="14.25" customHeight="1">
      <c r="C259" s="55" t="str">
        <f>IF($X259=1,COUNTIF($C$10:C258,"&gt;0")+1,"")</f>
        <v/>
      </c>
      <c r="D259" s="56"/>
      <c r="E259" s="56" t="s">
        <v>1047</v>
      </c>
      <c r="F259" s="57" t="s">
        <v>1086</v>
      </c>
      <c r="G259" s="56" t="s">
        <v>1076</v>
      </c>
      <c r="H259" s="56" t="s">
        <v>1087</v>
      </c>
      <c r="I259" s="56" t="s">
        <v>1084</v>
      </c>
      <c r="J259" s="56" t="s">
        <v>58</v>
      </c>
      <c r="K259" s="56" t="s">
        <v>460</v>
      </c>
      <c r="L259" s="58">
        <v>43778</v>
      </c>
      <c r="M259" s="56">
        <v>5</v>
      </c>
      <c r="N259" s="56" t="s">
        <v>1088</v>
      </c>
      <c r="O259" s="58">
        <v>47373</v>
      </c>
      <c r="P259" s="56" t="s">
        <v>4</v>
      </c>
      <c r="Q259" s="56"/>
      <c r="R259" s="50">
        <v>45913</v>
      </c>
      <c r="S259" s="50">
        <v>45918</v>
      </c>
      <c r="T259" s="51">
        <f t="shared" si="3"/>
        <v>5</v>
      </c>
      <c r="U259" s="56">
        <v>1</v>
      </c>
      <c r="V259" s="56">
        <v>0</v>
      </c>
      <c r="W259" s="56">
        <v>1</v>
      </c>
      <c r="X259" s="56">
        <v>0</v>
      </c>
      <c r="Y259" s="56">
        <v>0</v>
      </c>
      <c r="Z259" s="56">
        <v>0</v>
      </c>
      <c r="AA259" s="56">
        <v>0</v>
      </c>
      <c r="AB259" s="56"/>
      <c r="AC259" s="58">
        <v>45913</v>
      </c>
      <c r="AD259" s="59">
        <v>0.30555555555474712</v>
      </c>
      <c r="AE259" s="56" t="s">
        <v>1080</v>
      </c>
      <c r="AF259" s="58">
        <v>45918</v>
      </c>
      <c r="AG259" s="59">
        <v>0.94097222221898846</v>
      </c>
      <c r="AH259" s="56" t="s">
        <v>1081</v>
      </c>
      <c r="AI259" s="56" t="s">
        <v>1053</v>
      </c>
      <c r="AJ259" s="56" t="s">
        <v>64</v>
      </c>
      <c r="AK259" s="56" t="s">
        <v>64</v>
      </c>
      <c r="AL259" s="56" t="s">
        <v>1</v>
      </c>
      <c r="AM259" s="56" t="s">
        <v>65</v>
      </c>
      <c r="AN259" s="60"/>
      <c r="AO259" s="61"/>
    </row>
    <row r="260" spans="3:41" ht="14.25" customHeight="1">
      <c r="C260" s="55">
        <f>IF($X260=1,COUNTIF($C$10:C259,"&gt;0")+1,"")</f>
        <v>127</v>
      </c>
      <c r="D260" s="56">
        <v>462710846</v>
      </c>
      <c r="E260" s="56" t="s">
        <v>1047</v>
      </c>
      <c r="F260" s="57" t="s">
        <v>1089</v>
      </c>
      <c r="G260" s="56" t="s">
        <v>1089</v>
      </c>
      <c r="H260" s="56" t="s">
        <v>1090</v>
      </c>
      <c r="I260" s="56" t="s">
        <v>1091</v>
      </c>
      <c r="J260" s="56" t="s">
        <v>68</v>
      </c>
      <c r="K260" s="56" t="s">
        <v>460</v>
      </c>
      <c r="L260" s="58">
        <v>30366</v>
      </c>
      <c r="M260" s="56">
        <v>42</v>
      </c>
      <c r="N260" s="56" t="s">
        <v>1092</v>
      </c>
      <c r="O260" s="58">
        <v>48590</v>
      </c>
      <c r="P260" s="56" t="s">
        <v>4</v>
      </c>
      <c r="Q260" s="56"/>
      <c r="R260" s="50">
        <v>45913</v>
      </c>
      <c r="S260" s="50">
        <v>45918</v>
      </c>
      <c r="T260" s="51">
        <f t="shared" si="3"/>
        <v>5</v>
      </c>
      <c r="U260" s="56">
        <v>1</v>
      </c>
      <c r="V260" s="56">
        <v>1</v>
      </c>
      <c r="W260" s="56">
        <v>0</v>
      </c>
      <c r="X260" s="56">
        <v>1</v>
      </c>
      <c r="Y260" s="56">
        <v>0</v>
      </c>
      <c r="Z260" s="56">
        <v>1</v>
      </c>
      <c r="AA260" s="56">
        <v>0</v>
      </c>
      <c r="AB260" s="56"/>
      <c r="AC260" s="58">
        <v>45913</v>
      </c>
      <c r="AD260" s="59">
        <v>0.34375</v>
      </c>
      <c r="AE260" s="56" t="s">
        <v>1093</v>
      </c>
      <c r="AF260" s="58">
        <v>45918</v>
      </c>
      <c r="AG260" s="59">
        <v>0.78125</v>
      </c>
      <c r="AH260" s="56" t="s">
        <v>1094</v>
      </c>
      <c r="AI260" s="56" t="s">
        <v>1053</v>
      </c>
      <c r="AJ260" s="56" t="s">
        <v>64</v>
      </c>
      <c r="AK260" s="56" t="s">
        <v>64</v>
      </c>
      <c r="AL260" s="56" t="s">
        <v>1</v>
      </c>
      <c r="AM260" s="56" t="s">
        <v>65</v>
      </c>
      <c r="AN260" s="60"/>
      <c r="AO260" s="61"/>
    </row>
    <row r="261" spans="3:41" ht="14.25" customHeight="1">
      <c r="C261" s="55" t="str">
        <f>IF($X261=1,COUNTIF($C$10:C260,"&gt;0")+1,"")</f>
        <v/>
      </c>
      <c r="D261" s="56"/>
      <c r="E261" s="56" t="s">
        <v>1047</v>
      </c>
      <c r="F261" s="57" t="s">
        <v>1095</v>
      </c>
      <c r="G261" s="56" t="s">
        <v>1089</v>
      </c>
      <c r="H261" s="56" t="s">
        <v>1096</v>
      </c>
      <c r="I261" s="56" t="s">
        <v>1097</v>
      </c>
      <c r="J261" s="56" t="s">
        <v>68</v>
      </c>
      <c r="K261" s="56" t="s">
        <v>460</v>
      </c>
      <c r="L261" s="58">
        <v>30350</v>
      </c>
      <c r="M261" s="56">
        <v>42</v>
      </c>
      <c r="N261" s="56" t="s">
        <v>1098</v>
      </c>
      <c r="O261" s="58">
        <v>46973</v>
      </c>
      <c r="P261" s="56" t="s">
        <v>4</v>
      </c>
      <c r="Q261" s="56"/>
      <c r="R261" s="50">
        <v>45913</v>
      </c>
      <c r="S261" s="50">
        <v>45918</v>
      </c>
      <c r="T261" s="51">
        <f t="shared" si="3"/>
        <v>5</v>
      </c>
      <c r="U261" s="56">
        <v>1</v>
      </c>
      <c r="V261" s="56">
        <v>1</v>
      </c>
      <c r="W261" s="56">
        <v>0</v>
      </c>
      <c r="X261" s="56">
        <v>0</v>
      </c>
      <c r="Y261" s="56">
        <v>0</v>
      </c>
      <c r="Z261" s="56">
        <v>0</v>
      </c>
      <c r="AA261" s="56">
        <v>0</v>
      </c>
      <c r="AB261" s="56"/>
      <c r="AC261" s="58">
        <v>45913</v>
      </c>
      <c r="AD261" s="59">
        <v>0.34375</v>
      </c>
      <c r="AE261" s="56" t="s">
        <v>1093</v>
      </c>
      <c r="AF261" s="58">
        <v>45918</v>
      </c>
      <c r="AG261" s="59">
        <v>0.79513888889050577</v>
      </c>
      <c r="AH261" s="56" t="s">
        <v>831</v>
      </c>
      <c r="AI261" s="56" t="s">
        <v>1053</v>
      </c>
      <c r="AJ261" s="56" t="s">
        <v>64</v>
      </c>
      <c r="AK261" s="56" t="s">
        <v>64</v>
      </c>
      <c r="AL261" s="56" t="s">
        <v>1</v>
      </c>
      <c r="AM261" s="56" t="s">
        <v>65</v>
      </c>
      <c r="AN261" s="60"/>
      <c r="AO261" s="61"/>
    </row>
    <row r="262" spans="3:41" ht="14.25" customHeight="1">
      <c r="C262" s="55">
        <f>IF($X262=1,COUNTIF($C$10:C261,"&gt;0")+1,"")</f>
        <v>128</v>
      </c>
      <c r="D262" s="56">
        <v>462710847</v>
      </c>
      <c r="E262" s="56" t="s">
        <v>1047</v>
      </c>
      <c r="F262" s="57" t="s">
        <v>1099</v>
      </c>
      <c r="G262" s="56" t="s">
        <v>1099</v>
      </c>
      <c r="H262" s="56" t="s">
        <v>1100</v>
      </c>
      <c r="I262" s="56" t="s">
        <v>1101</v>
      </c>
      <c r="J262" s="56" t="s">
        <v>58</v>
      </c>
      <c r="K262" s="56" t="s">
        <v>460</v>
      </c>
      <c r="L262" s="58">
        <v>30584</v>
      </c>
      <c r="M262" s="56">
        <v>41</v>
      </c>
      <c r="N262" s="56" t="s">
        <v>1102</v>
      </c>
      <c r="O262" s="58">
        <v>47142</v>
      </c>
      <c r="P262" s="56" t="s">
        <v>4</v>
      </c>
      <c r="Q262" s="56"/>
      <c r="R262" s="50">
        <v>45913</v>
      </c>
      <c r="S262" s="50">
        <v>45918</v>
      </c>
      <c r="T262" s="51">
        <f t="shared" si="3"/>
        <v>5</v>
      </c>
      <c r="U262" s="56">
        <v>1</v>
      </c>
      <c r="V262" s="56">
        <v>1</v>
      </c>
      <c r="W262" s="56">
        <v>0</v>
      </c>
      <c r="X262" s="56">
        <v>1</v>
      </c>
      <c r="Y262" s="56">
        <v>0</v>
      </c>
      <c r="Z262" s="56">
        <v>1</v>
      </c>
      <c r="AA262" s="56">
        <v>0</v>
      </c>
      <c r="AB262" s="56"/>
      <c r="AC262" s="58">
        <v>45913</v>
      </c>
      <c r="AD262" s="59">
        <v>0.6875</v>
      </c>
      <c r="AE262" s="56" t="s">
        <v>1052</v>
      </c>
      <c r="AF262" s="58">
        <v>45920</v>
      </c>
      <c r="AG262" s="59">
        <v>5.2083333335758653E-2</v>
      </c>
      <c r="AH262" s="56" t="s">
        <v>1103</v>
      </c>
      <c r="AI262" s="56" t="s">
        <v>1053</v>
      </c>
      <c r="AJ262" s="56" t="s">
        <v>64</v>
      </c>
      <c r="AK262" s="56" t="s">
        <v>64</v>
      </c>
      <c r="AL262" s="56" t="s">
        <v>1</v>
      </c>
      <c r="AM262" s="56" t="s">
        <v>65</v>
      </c>
      <c r="AN262" s="60"/>
      <c r="AO262" s="61"/>
    </row>
    <row r="263" spans="3:41" ht="14.25" customHeight="1">
      <c r="C263" s="55" t="str">
        <f>IF($X263=1,COUNTIF($C$10:C262,"&gt;0")+1,"")</f>
        <v/>
      </c>
      <c r="D263" s="56"/>
      <c r="E263" s="56" t="s">
        <v>1047</v>
      </c>
      <c r="F263" s="57" t="s">
        <v>1104</v>
      </c>
      <c r="G263" s="56" t="s">
        <v>1099</v>
      </c>
      <c r="H263" s="56" t="s">
        <v>1105</v>
      </c>
      <c r="I263" s="56" t="s">
        <v>1106</v>
      </c>
      <c r="J263" s="56" t="s">
        <v>68</v>
      </c>
      <c r="K263" s="56" t="s">
        <v>460</v>
      </c>
      <c r="L263" s="58">
        <v>29861</v>
      </c>
      <c r="M263" s="56">
        <v>43</v>
      </c>
      <c r="N263" s="56" t="s">
        <v>1107</v>
      </c>
      <c r="O263" s="58">
        <v>49239</v>
      </c>
      <c r="P263" s="56" t="s">
        <v>4</v>
      </c>
      <c r="Q263" s="56"/>
      <c r="R263" s="50">
        <v>45913</v>
      </c>
      <c r="S263" s="50">
        <v>45918</v>
      </c>
      <c r="T263" s="51">
        <f t="shared" si="3"/>
        <v>5</v>
      </c>
      <c r="U263" s="56">
        <v>1</v>
      </c>
      <c r="V263" s="56">
        <v>1</v>
      </c>
      <c r="W263" s="56">
        <v>0</v>
      </c>
      <c r="X263" s="56">
        <v>0</v>
      </c>
      <c r="Y263" s="56">
        <v>0</v>
      </c>
      <c r="Z263" s="56">
        <v>0</v>
      </c>
      <c r="AA263" s="56">
        <v>0</v>
      </c>
      <c r="AB263" s="56"/>
      <c r="AC263" s="58">
        <v>45913</v>
      </c>
      <c r="AD263" s="59">
        <v>0.67013888889050577</v>
      </c>
      <c r="AE263" s="56" t="s">
        <v>234</v>
      </c>
      <c r="AF263" s="58">
        <v>45919</v>
      </c>
      <c r="AG263" s="59">
        <v>0.35416666666424135</v>
      </c>
      <c r="AH263" s="56" t="s">
        <v>1108</v>
      </c>
      <c r="AI263" s="56" t="s">
        <v>1053</v>
      </c>
      <c r="AJ263" s="56" t="s">
        <v>64</v>
      </c>
      <c r="AK263" s="56" t="s">
        <v>64</v>
      </c>
      <c r="AL263" s="56" t="s">
        <v>1</v>
      </c>
      <c r="AM263" s="56" t="s">
        <v>65</v>
      </c>
      <c r="AN263" s="60"/>
      <c r="AO263" s="61"/>
    </row>
    <row r="264" spans="3:41" ht="14.25" customHeight="1">
      <c r="C264" s="55">
        <f>IF($X264=1,COUNTIF($C$10:C263,"&gt;0")+1,"")</f>
        <v>129</v>
      </c>
      <c r="D264" s="56">
        <v>462710848</v>
      </c>
      <c r="E264" s="56" t="s">
        <v>1047</v>
      </c>
      <c r="F264" s="57" t="s">
        <v>1109</v>
      </c>
      <c r="G264" s="56" t="s">
        <v>1109</v>
      </c>
      <c r="H264" s="56" t="s">
        <v>1110</v>
      </c>
      <c r="I264" s="56" t="s">
        <v>1111</v>
      </c>
      <c r="J264" s="56" t="s">
        <v>68</v>
      </c>
      <c r="K264" s="56" t="s">
        <v>59</v>
      </c>
      <c r="L264" s="58">
        <v>22593</v>
      </c>
      <c r="M264" s="56">
        <v>63</v>
      </c>
      <c r="N264" s="56" t="s">
        <v>1112</v>
      </c>
      <c r="O264" s="58">
        <v>49534</v>
      </c>
      <c r="P264" s="56" t="s">
        <v>4</v>
      </c>
      <c r="Q264" s="56"/>
      <c r="R264" s="50">
        <v>45913</v>
      </c>
      <c r="S264" s="50">
        <v>45918</v>
      </c>
      <c r="T264" s="51">
        <f t="shared" si="3"/>
        <v>5</v>
      </c>
      <c r="U264" s="56">
        <v>1</v>
      </c>
      <c r="V264" s="56">
        <v>1</v>
      </c>
      <c r="W264" s="56">
        <v>0</v>
      </c>
      <c r="X264" s="56">
        <v>1</v>
      </c>
      <c r="Y264" s="56">
        <v>0</v>
      </c>
      <c r="Z264" s="56">
        <v>1</v>
      </c>
      <c r="AA264" s="56">
        <v>0</v>
      </c>
      <c r="AB264" s="56"/>
      <c r="AC264" s="58">
        <v>45913</v>
      </c>
      <c r="AD264" s="59">
        <v>0.18055555555474712</v>
      </c>
      <c r="AE264" s="56" t="s">
        <v>95</v>
      </c>
      <c r="AF264" s="58">
        <v>45919</v>
      </c>
      <c r="AG264" s="59">
        <v>0.375</v>
      </c>
      <c r="AH264" s="56" t="s">
        <v>852</v>
      </c>
      <c r="AI264" s="56" t="s">
        <v>1053</v>
      </c>
      <c r="AJ264" s="56" t="s">
        <v>64</v>
      </c>
      <c r="AK264" s="56" t="s">
        <v>64</v>
      </c>
      <c r="AL264" s="56" t="s">
        <v>1</v>
      </c>
      <c r="AM264" s="56" t="s">
        <v>65</v>
      </c>
      <c r="AN264" s="60"/>
      <c r="AO264" s="61"/>
    </row>
    <row r="265" spans="3:41" ht="14.25" customHeight="1">
      <c r="C265" s="55" t="str">
        <f>IF($X265=1,COUNTIF($C$10:C264,"&gt;0")+1,"")</f>
        <v/>
      </c>
      <c r="D265" s="56"/>
      <c r="E265" s="56" t="s">
        <v>1047</v>
      </c>
      <c r="F265" s="57" t="s">
        <v>1113</v>
      </c>
      <c r="G265" s="56" t="s">
        <v>1109</v>
      </c>
      <c r="H265" s="56" t="s">
        <v>1114</v>
      </c>
      <c r="I265" s="56" t="s">
        <v>1115</v>
      </c>
      <c r="J265" s="56" t="s">
        <v>68</v>
      </c>
      <c r="K265" s="56" t="s">
        <v>460</v>
      </c>
      <c r="L265" s="58">
        <v>21628</v>
      </c>
      <c r="M265" s="56">
        <v>66</v>
      </c>
      <c r="N265" s="56" t="s">
        <v>1116</v>
      </c>
      <c r="O265" s="58">
        <v>48534</v>
      </c>
      <c r="P265" s="56" t="s">
        <v>4</v>
      </c>
      <c r="Q265" s="56"/>
      <c r="R265" s="50">
        <v>45913</v>
      </c>
      <c r="S265" s="50">
        <v>45918</v>
      </c>
      <c r="T265" s="51">
        <f t="shared" si="3"/>
        <v>5</v>
      </c>
      <c r="U265" s="56">
        <v>1</v>
      </c>
      <c r="V265" s="56">
        <v>1</v>
      </c>
      <c r="W265" s="56">
        <v>0</v>
      </c>
      <c r="X265" s="56">
        <v>0</v>
      </c>
      <c r="Y265" s="56">
        <v>0</v>
      </c>
      <c r="Z265" s="56">
        <v>0</v>
      </c>
      <c r="AA265" s="56">
        <v>0</v>
      </c>
      <c r="AB265" s="56"/>
      <c r="AC265" s="58">
        <v>45913</v>
      </c>
      <c r="AD265" s="59">
        <v>0.67013888889050577</v>
      </c>
      <c r="AE265" s="56" t="s">
        <v>234</v>
      </c>
      <c r="AF265" s="58">
        <v>45919</v>
      </c>
      <c r="AG265" s="59">
        <v>0.73958333333575865</v>
      </c>
      <c r="AH265" s="56" t="s">
        <v>1117</v>
      </c>
      <c r="AI265" s="56" t="s">
        <v>1053</v>
      </c>
      <c r="AJ265" s="56" t="s">
        <v>64</v>
      </c>
      <c r="AK265" s="56" t="s">
        <v>64</v>
      </c>
      <c r="AL265" s="56" t="s">
        <v>1</v>
      </c>
      <c r="AM265" s="56" t="s">
        <v>65</v>
      </c>
      <c r="AN265" s="60"/>
      <c r="AO265" s="61"/>
    </row>
    <row r="266" spans="3:41" ht="14.25" customHeight="1">
      <c r="C266" s="55">
        <f>IF($X266=1,COUNTIF($C$10:C265,"&gt;0")+1,"")</f>
        <v>130</v>
      </c>
      <c r="D266" s="56">
        <v>462710849</v>
      </c>
      <c r="E266" s="56" t="s">
        <v>1047</v>
      </c>
      <c r="F266" s="57" t="s">
        <v>1118</v>
      </c>
      <c r="G266" s="56" t="s">
        <v>1118</v>
      </c>
      <c r="H266" s="56" t="s">
        <v>1119</v>
      </c>
      <c r="I266" s="56" t="s">
        <v>1120</v>
      </c>
      <c r="J266" s="56" t="s">
        <v>68</v>
      </c>
      <c r="K266" s="56" t="s">
        <v>460</v>
      </c>
      <c r="L266" s="58">
        <v>30189</v>
      </c>
      <c r="M266" s="56">
        <v>43</v>
      </c>
      <c r="N266" s="56" t="s">
        <v>1121</v>
      </c>
      <c r="O266" s="58">
        <v>45909</v>
      </c>
      <c r="P266" s="56" t="s">
        <v>4</v>
      </c>
      <c r="Q266" s="56"/>
      <c r="R266" s="50">
        <v>45913</v>
      </c>
      <c r="S266" s="50">
        <v>45918</v>
      </c>
      <c r="T266" s="51">
        <f t="shared" si="3"/>
        <v>5</v>
      </c>
      <c r="U266" s="56">
        <v>1</v>
      </c>
      <c r="V266" s="56">
        <v>1</v>
      </c>
      <c r="W266" s="56">
        <v>0</v>
      </c>
      <c r="X266" s="56">
        <v>1</v>
      </c>
      <c r="Y266" s="56">
        <v>0</v>
      </c>
      <c r="Z266" s="56">
        <v>1</v>
      </c>
      <c r="AA266" s="56">
        <v>0</v>
      </c>
      <c r="AB266" s="56"/>
      <c r="AC266" s="58">
        <v>45913</v>
      </c>
      <c r="AD266" s="59">
        <v>0.67013888889050577</v>
      </c>
      <c r="AE266" s="56" t="s">
        <v>234</v>
      </c>
      <c r="AF266" s="58">
        <v>45918</v>
      </c>
      <c r="AG266" s="59">
        <v>0.85416666666424135</v>
      </c>
      <c r="AH266" s="56" t="s">
        <v>183</v>
      </c>
      <c r="AI266" s="56" t="s">
        <v>1053</v>
      </c>
      <c r="AJ266" s="56" t="s">
        <v>64</v>
      </c>
      <c r="AK266" s="56" t="s">
        <v>64</v>
      </c>
      <c r="AL266" s="56" t="s">
        <v>1</v>
      </c>
      <c r="AM266" s="56" t="s">
        <v>65</v>
      </c>
      <c r="AN266" s="60"/>
      <c r="AO266" s="61"/>
    </row>
    <row r="267" spans="3:41" ht="14.25" customHeight="1">
      <c r="C267" s="55" t="str">
        <f>IF($X267=1,COUNTIF($C$10:C266,"&gt;0")+1,"")</f>
        <v/>
      </c>
      <c r="D267" s="56"/>
      <c r="E267" s="56" t="s">
        <v>1047</v>
      </c>
      <c r="F267" s="57" t="s">
        <v>1122</v>
      </c>
      <c r="G267" s="56" t="s">
        <v>1118</v>
      </c>
      <c r="H267" s="56" t="s">
        <v>1123</v>
      </c>
      <c r="I267" s="56" t="s">
        <v>1120</v>
      </c>
      <c r="J267" s="56" t="s">
        <v>58</v>
      </c>
      <c r="K267" s="56" t="s">
        <v>460</v>
      </c>
      <c r="L267" s="58">
        <v>28566</v>
      </c>
      <c r="M267" s="56">
        <v>47</v>
      </c>
      <c r="N267" s="56" t="s">
        <v>1124</v>
      </c>
      <c r="O267" s="58">
        <v>46645</v>
      </c>
      <c r="P267" s="56" t="s">
        <v>4</v>
      </c>
      <c r="Q267" s="56"/>
      <c r="R267" s="50">
        <v>45913</v>
      </c>
      <c r="S267" s="50">
        <v>45918</v>
      </c>
      <c r="T267" s="51">
        <f t="shared" si="3"/>
        <v>5</v>
      </c>
      <c r="U267" s="56">
        <v>1</v>
      </c>
      <c r="V267" s="56">
        <v>1</v>
      </c>
      <c r="W267" s="56">
        <v>0</v>
      </c>
      <c r="X267" s="56">
        <v>0</v>
      </c>
      <c r="Y267" s="56">
        <v>0</v>
      </c>
      <c r="Z267" s="56">
        <v>0</v>
      </c>
      <c r="AA267" s="56">
        <v>0</v>
      </c>
      <c r="AB267" s="56"/>
      <c r="AC267" s="58">
        <v>45913</v>
      </c>
      <c r="AD267" s="59">
        <v>0.67013888889050577</v>
      </c>
      <c r="AE267" s="56" t="s">
        <v>234</v>
      </c>
      <c r="AF267" s="58">
        <v>45918</v>
      </c>
      <c r="AG267" s="59">
        <v>0.85416666666424135</v>
      </c>
      <c r="AH267" s="56" t="s">
        <v>183</v>
      </c>
      <c r="AI267" s="56" t="s">
        <v>1053</v>
      </c>
      <c r="AJ267" s="56" t="s">
        <v>64</v>
      </c>
      <c r="AK267" s="56" t="s">
        <v>64</v>
      </c>
      <c r="AL267" s="56" t="s">
        <v>1</v>
      </c>
      <c r="AM267" s="56" t="s">
        <v>65</v>
      </c>
      <c r="AN267" s="60"/>
      <c r="AO267" s="61"/>
    </row>
    <row r="268" spans="3:41" ht="14.25" customHeight="1">
      <c r="C268" s="55" t="str">
        <f>IF($X268=1,COUNTIF($C$10:C267,"&gt;0")+1,"")</f>
        <v/>
      </c>
      <c r="D268" s="56"/>
      <c r="E268" s="56" t="s">
        <v>1047</v>
      </c>
      <c r="F268" s="57" t="s">
        <v>1125</v>
      </c>
      <c r="G268" s="56" t="s">
        <v>1118</v>
      </c>
      <c r="H268" s="56" t="s">
        <v>1126</v>
      </c>
      <c r="I268" s="56" t="s">
        <v>1120</v>
      </c>
      <c r="J268" s="56" t="s">
        <v>68</v>
      </c>
      <c r="K268" s="56" t="s">
        <v>460</v>
      </c>
      <c r="L268" s="58">
        <v>44326</v>
      </c>
      <c r="M268" s="56">
        <v>4</v>
      </c>
      <c r="N268" s="56" t="s">
        <v>1127</v>
      </c>
      <c r="O268" s="58">
        <v>46250</v>
      </c>
      <c r="P268" s="56" t="s">
        <v>4</v>
      </c>
      <c r="Q268" s="56"/>
      <c r="R268" s="50">
        <v>45913</v>
      </c>
      <c r="S268" s="50">
        <v>45918</v>
      </c>
      <c r="T268" s="51">
        <f t="shared" si="3"/>
        <v>5</v>
      </c>
      <c r="U268" s="56">
        <v>1</v>
      </c>
      <c r="V268" s="56">
        <v>0</v>
      </c>
      <c r="W268" s="56">
        <v>1</v>
      </c>
      <c r="X268" s="56">
        <v>0</v>
      </c>
      <c r="Y268" s="56">
        <v>0</v>
      </c>
      <c r="Z268" s="56">
        <v>0</v>
      </c>
      <c r="AA268" s="56">
        <v>0</v>
      </c>
      <c r="AB268" s="56"/>
      <c r="AC268" s="58">
        <v>45913</v>
      </c>
      <c r="AD268" s="59">
        <v>0.67013888889050577</v>
      </c>
      <c r="AE268" s="56" t="s">
        <v>234</v>
      </c>
      <c r="AF268" s="58">
        <v>45918</v>
      </c>
      <c r="AG268" s="59">
        <v>0.85416666666424135</v>
      </c>
      <c r="AH268" s="56" t="s">
        <v>183</v>
      </c>
      <c r="AI268" s="56" t="s">
        <v>1053</v>
      </c>
      <c r="AJ268" s="56" t="s">
        <v>64</v>
      </c>
      <c r="AK268" s="56" t="s">
        <v>64</v>
      </c>
      <c r="AL268" s="56" t="s">
        <v>1</v>
      </c>
      <c r="AM268" s="56" t="s">
        <v>65</v>
      </c>
      <c r="AN268" s="60"/>
      <c r="AO268" s="61"/>
    </row>
    <row r="269" spans="3:41" ht="14.25" customHeight="1">
      <c r="C269" s="55">
        <f>IF($X269=1,COUNTIF($C$10:C268,"&gt;0")+1,"")</f>
        <v>131</v>
      </c>
      <c r="D269" s="56">
        <v>462710850</v>
      </c>
      <c r="E269" s="56" t="s">
        <v>1047</v>
      </c>
      <c r="F269" s="57" t="s">
        <v>1128</v>
      </c>
      <c r="G269" s="56" t="s">
        <v>1128</v>
      </c>
      <c r="H269" s="56" t="s">
        <v>1129</v>
      </c>
      <c r="I269" s="56" t="s">
        <v>1130</v>
      </c>
      <c r="J269" s="56" t="s">
        <v>68</v>
      </c>
      <c r="K269" s="56" t="s">
        <v>460</v>
      </c>
      <c r="L269" s="58">
        <v>30865</v>
      </c>
      <c r="M269" s="56">
        <v>41</v>
      </c>
      <c r="N269" s="56" t="s">
        <v>1131</v>
      </c>
      <c r="O269" s="58">
        <v>46741</v>
      </c>
      <c r="P269" s="56" t="s">
        <v>4</v>
      </c>
      <c r="Q269" s="56"/>
      <c r="R269" s="50">
        <v>45913</v>
      </c>
      <c r="S269" s="50">
        <v>45918</v>
      </c>
      <c r="T269" s="51">
        <f t="shared" ref="T269:T332" si="4">S269-R269</f>
        <v>5</v>
      </c>
      <c r="U269" s="56">
        <v>1</v>
      </c>
      <c r="V269" s="56">
        <v>1</v>
      </c>
      <c r="W269" s="56">
        <v>0</v>
      </c>
      <c r="X269" s="56">
        <v>1</v>
      </c>
      <c r="Y269" s="56">
        <v>0</v>
      </c>
      <c r="Z269" s="56">
        <v>1</v>
      </c>
      <c r="AA269" s="56">
        <v>0</v>
      </c>
      <c r="AB269" s="56"/>
      <c r="AC269" s="58">
        <v>45913</v>
      </c>
      <c r="AD269" s="59">
        <v>0.67013888889050577</v>
      </c>
      <c r="AE269" s="56" t="s">
        <v>234</v>
      </c>
      <c r="AF269" s="58">
        <v>45920</v>
      </c>
      <c r="AG269" s="59">
        <v>0.73958333333575865</v>
      </c>
      <c r="AH269" s="56" t="s">
        <v>1117</v>
      </c>
      <c r="AI269" s="56" t="s">
        <v>1053</v>
      </c>
      <c r="AJ269" s="56" t="s">
        <v>598</v>
      </c>
      <c r="AK269" s="56" t="s">
        <v>136</v>
      </c>
      <c r="AL269" s="56" t="s">
        <v>1</v>
      </c>
      <c r="AM269" s="56" t="s">
        <v>65</v>
      </c>
      <c r="AN269" s="60"/>
      <c r="AO269" s="61"/>
    </row>
    <row r="270" spans="3:41" ht="14.25" customHeight="1">
      <c r="C270" s="55" t="str">
        <f>IF($X270=1,COUNTIF($C$10:C269,"&gt;0")+1,"")</f>
        <v/>
      </c>
      <c r="D270" s="56"/>
      <c r="E270" s="56" t="s">
        <v>1047</v>
      </c>
      <c r="F270" s="57" t="s">
        <v>1132</v>
      </c>
      <c r="G270" s="56" t="s">
        <v>1128</v>
      </c>
      <c r="H270" s="56" t="s">
        <v>1133</v>
      </c>
      <c r="I270" s="56" t="s">
        <v>1130</v>
      </c>
      <c r="J270" s="56" t="s">
        <v>68</v>
      </c>
      <c r="K270" s="56" t="s">
        <v>460</v>
      </c>
      <c r="L270" s="58">
        <v>30835</v>
      </c>
      <c r="M270" s="56">
        <v>41</v>
      </c>
      <c r="N270" s="56" t="s">
        <v>1134</v>
      </c>
      <c r="O270" s="58">
        <v>46741</v>
      </c>
      <c r="P270" s="56" t="s">
        <v>4</v>
      </c>
      <c r="Q270" s="56"/>
      <c r="R270" s="50">
        <v>45913</v>
      </c>
      <c r="S270" s="50">
        <v>45918</v>
      </c>
      <c r="T270" s="51">
        <f t="shared" si="4"/>
        <v>5</v>
      </c>
      <c r="U270" s="56">
        <v>1</v>
      </c>
      <c r="V270" s="56">
        <v>1</v>
      </c>
      <c r="W270" s="56">
        <v>0</v>
      </c>
      <c r="X270" s="56">
        <v>0</v>
      </c>
      <c r="Y270" s="56">
        <v>0</v>
      </c>
      <c r="Z270" s="56">
        <v>0</v>
      </c>
      <c r="AA270" s="56">
        <v>0</v>
      </c>
      <c r="AB270" s="56"/>
      <c r="AC270" s="58">
        <v>45913</v>
      </c>
      <c r="AD270" s="59">
        <v>0.67013888889050577</v>
      </c>
      <c r="AE270" s="56" t="s">
        <v>234</v>
      </c>
      <c r="AF270" s="58">
        <v>45920</v>
      </c>
      <c r="AG270" s="59">
        <v>0.73958333333575865</v>
      </c>
      <c r="AH270" s="56" t="s">
        <v>1117</v>
      </c>
      <c r="AI270" s="56" t="s">
        <v>1053</v>
      </c>
      <c r="AJ270" s="56" t="s">
        <v>64</v>
      </c>
      <c r="AK270" s="56" t="s">
        <v>64</v>
      </c>
      <c r="AL270" s="56" t="s">
        <v>1</v>
      </c>
      <c r="AM270" s="56" t="s">
        <v>65</v>
      </c>
      <c r="AN270" s="60"/>
      <c r="AO270" s="61"/>
    </row>
    <row r="271" spans="3:41" ht="14.25" customHeight="1">
      <c r="C271" s="55" t="str">
        <f>IF($X271=1,COUNTIF($C$10:C270,"&gt;0")+1,"")</f>
        <v/>
      </c>
      <c r="D271" s="56"/>
      <c r="E271" s="56" t="s">
        <v>1047</v>
      </c>
      <c r="F271" s="57" t="s">
        <v>1135</v>
      </c>
      <c r="G271" s="56" t="s">
        <v>1128</v>
      </c>
      <c r="H271" s="56" t="s">
        <v>1136</v>
      </c>
      <c r="I271" s="56" t="s">
        <v>1130</v>
      </c>
      <c r="J271" s="56" t="s">
        <v>58</v>
      </c>
      <c r="K271" s="56" t="s">
        <v>460</v>
      </c>
      <c r="L271" s="58">
        <v>42277</v>
      </c>
      <c r="M271" s="56">
        <v>9</v>
      </c>
      <c r="N271" s="56" t="s">
        <v>1137</v>
      </c>
      <c r="O271" s="58">
        <v>46243</v>
      </c>
      <c r="P271" s="56" t="s">
        <v>4</v>
      </c>
      <c r="Q271" s="56"/>
      <c r="R271" s="50">
        <v>45913</v>
      </c>
      <c r="S271" s="50">
        <v>45918</v>
      </c>
      <c r="T271" s="51">
        <f t="shared" si="4"/>
        <v>5</v>
      </c>
      <c r="U271" s="56">
        <v>1</v>
      </c>
      <c r="V271" s="56">
        <v>0</v>
      </c>
      <c r="W271" s="56">
        <v>1</v>
      </c>
      <c r="X271" s="56">
        <v>0</v>
      </c>
      <c r="Y271" s="56">
        <v>0</v>
      </c>
      <c r="Z271" s="56">
        <v>0</v>
      </c>
      <c r="AA271" s="56">
        <v>0</v>
      </c>
      <c r="AB271" s="56"/>
      <c r="AC271" s="58">
        <v>45913</v>
      </c>
      <c r="AD271" s="59">
        <v>0.67013888889050577</v>
      </c>
      <c r="AE271" s="56" t="s">
        <v>234</v>
      </c>
      <c r="AF271" s="58">
        <v>45920</v>
      </c>
      <c r="AG271" s="59">
        <v>0.73958333333575865</v>
      </c>
      <c r="AH271" s="56" t="s">
        <v>1117</v>
      </c>
      <c r="AI271" s="56" t="s">
        <v>1053</v>
      </c>
      <c r="AJ271" s="56" t="s">
        <v>64</v>
      </c>
      <c r="AK271" s="56" t="s">
        <v>64</v>
      </c>
      <c r="AL271" s="56" t="s">
        <v>1</v>
      </c>
      <c r="AM271" s="56" t="s">
        <v>65</v>
      </c>
      <c r="AN271" s="60"/>
      <c r="AO271" s="61"/>
    </row>
    <row r="272" spans="3:41" ht="14.25" customHeight="1">
      <c r="C272" s="55">
        <f>IF($X272=1,COUNTIF($C$10:C271,"&gt;0")+1,"")</f>
        <v>132</v>
      </c>
      <c r="D272" s="56">
        <v>462110047</v>
      </c>
      <c r="E272" s="56" t="s">
        <v>1047</v>
      </c>
      <c r="F272" s="57" t="s">
        <v>1138</v>
      </c>
      <c r="G272" s="56" t="s">
        <v>1138</v>
      </c>
      <c r="H272" s="56" t="s">
        <v>1042</v>
      </c>
      <c r="I272" s="56" t="s">
        <v>1139</v>
      </c>
      <c r="J272" s="56" t="s">
        <v>68</v>
      </c>
      <c r="K272" s="56" t="s">
        <v>460</v>
      </c>
      <c r="L272" s="58">
        <v>25449</v>
      </c>
      <c r="M272" s="56">
        <v>56</v>
      </c>
      <c r="N272" s="56" t="s">
        <v>1140</v>
      </c>
      <c r="O272" s="58">
        <v>49183</v>
      </c>
      <c r="P272" s="56" t="s">
        <v>3</v>
      </c>
      <c r="Q272" s="56" t="s">
        <v>1141</v>
      </c>
      <c r="R272" s="72">
        <v>45912</v>
      </c>
      <c r="S272" s="72">
        <v>45918</v>
      </c>
      <c r="T272" s="73">
        <f t="shared" si="4"/>
        <v>6</v>
      </c>
      <c r="U272" s="56">
        <v>1</v>
      </c>
      <c r="V272" s="56">
        <v>1</v>
      </c>
      <c r="W272" s="56">
        <v>0</v>
      </c>
      <c r="X272" s="56">
        <v>1</v>
      </c>
      <c r="Y272" s="56">
        <v>1</v>
      </c>
      <c r="Z272" s="56">
        <v>0</v>
      </c>
      <c r="AA272" s="56">
        <v>0</v>
      </c>
      <c r="AB272" s="56"/>
      <c r="AC272" s="58">
        <v>45912</v>
      </c>
      <c r="AD272" s="59">
        <v>0.78125</v>
      </c>
      <c r="AE272" s="56" t="s">
        <v>462</v>
      </c>
      <c r="AF272" s="58">
        <v>45918</v>
      </c>
      <c r="AG272" s="59">
        <v>0.625</v>
      </c>
      <c r="AH272" s="56" t="s">
        <v>62</v>
      </c>
      <c r="AI272" s="56" t="s">
        <v>1053</v>
      </c>
      <c r="AJ272" s="56" t="s">
        <v>64</v>
      </c>
      <c r="AK272" s="56"/>
      <c r="AL272" s="56" t="s">
        <v>1</v>
      </c>
      <c r="AM272" s="56" t="s">
        <v>65</v>
      </c>
      <c r="AN272" s="60"/>
      <c r="AO272" s="61"/>
    </row>
    <row r="273" spans="3:41" ht="14.25" customHeight="1">
      <c r="C273" s="55">
        <f>IF($X273=1,COUNTIF($C$10:C272,"&gt;0")+1,"")</f>
        <v>133</v>
      </c>
      <c r="D273" s="56">
        <v>461611223</v>
      </c>
      <c r="E273" s="56" t="s">
        <v>1047</v>
      </c>
      <c r="F273" s="57" t="s">
        <v>1142</v>
      </c>
      <c r="G273" s="56" t="s">
        <v>1142</v>
      </c>
      <c r="H273" s="56" t="s">
        <v>1143</v>
      </c>
      <c r="I273" s="56" t="s">
        <v>1144</v>
      </c>
      <c r="J273" s="56" t="s">
        <v>68</v>
      </c>
      <c r="K273" s="56" t="s">
        <v>180</v>
      </c>
      <c r="L273" s="58">
        <v>36509</v>
      </c>
      <c r="M273" s="56">
        <v>25</v>
      </c>
      <c r="N273" s="56" t="s">
        <v>1145</v>
      </c>
      <c r="O273" s="58">
        <v>47363</v>
      </c>
      <c r="P273" s="56" t="s">
        <v>4</v>
      </c>
      <c r="Q273" s="56"/>
      <c r="R273" s="50">
        <v>45913</v>
      </c>
      <c r="S273" s="50">
        <v>45918</v>
      </c>
      <c r="T273" s="51">
        <f t="shared" si="4"/>
        <v>5</v>
      </c>
      <c r="U273" s="56">
        <v>1</v>
      </c>
      <c r="V273" s="56">
        <v>1</v>
      </c>
      <c r="W273" s="56">
        <v>0</v>
      </c>
      <c r="X273" s="56">
        <v>1</v>
      </c>
      <c r="Y273" s="56">
        <v>0</v>
      </c>
      <c r="Z273" s="56">
        <v>1</v>
      </c>
      <c r="AA273" s="56">
        <v>0</v>
      </c>
      <c r="AB273" s="56"/>
      <c r="AC273" s="58">
        <v>45913</v>
      </c>
      <c r="AD273" s="59">
        <v>0.67013888889050577</v>
      </c>
      <c r="AE273" s="56" t="s">
        <v>234</v>
      </c>
      <c r="AF273" s="58">
        <v>45917</v>
      </c>
      <c r="AG273" s="59">
        <v>0.79513888889050577</v>
      </c>
      <c r="AH273" s="56" t="s">
        <v>831</v>
      </c>
      <c r="AI273" s="56" t="s">
        <v>1053</v>
      </c>
      <c r="AJ273" s="56" t="s">
        <v>64</v>
      </c>
      <c r="AK273" s="56" t="s">
        <v>64</v>
      </c>
      <c r="AL273" s="56" t="s">
        <v>1</v>
      </c>
      <c r="AM273" s="56" t="s">
        <v>65</v>
      </c>
      <c r="AN273" s="60"/>
      <c r="AO273" s="61"/>
    </row>
    <row r="274" spans="3:41" ht="14.25" customHeight="1">
      <c r="C274" s="55" t="str">
        <f>IF($X274=1,COUNTIF($C$10:C273,"&gt;0")+1,"")</f>
        <v/>
      </c>
      <c r="D274" s="56"/>
      <c r="E274" s="56" t="s">
        <v>1047</v>
      </c>
      <c r="F274" s="57" t="s">
        <v>1146</v>
      </c>
      <c r="G274" s="56" t="s">
        <v>1142</v>
      </c>
      <c r="H274" s="56" t="s">
        <v>1147</v>
      </c>
      <c r="I274" s="56" t="s">
        <v>1148</v>
      </c>
      <c r="J274" s="56" t="s">
        <v>68</v>
      </c>
      <c r="K274" s="56" t="s">
        <v>460</v>
      </c>
      <c r="L274" s="58">
        <v>22466</v>
      </c>
      <c r="M274" s="56">
        <v>64</v>
      </c>
      <c r="N274" s="56" t="s">
        <v>1149</v>
      </c>
      <c r="O274" s="58">
        <v>46369</v>
      </c>
      <c r="P274" s="56" t="s">
        <v>4</v>
      </c>
      <c r="Q274" s="56"/>
      <c r="R274" s="50">
        <v>45913</v>
      </c>
      <c r="S274" s="50">
        <v>45918</v>
      </c>
      <c r="T274" s="51">
        <f t="shared" si="4"/>
        <v>5</v>
      </c>
      <c r="U274" s="56">
        <v>1</v>
      </c>
      <c r="V274" s="56">
        <v>1</v>
      </c>
      <c r="W274" s="56">
        <v>0</v>
      </c>
      <c r="X274" s="56">
        <v>0</v>
      </c>
      <c r="Y274" s="56">
        <v>0</v>
      </c>
      <c r="Z274" s="56">
        <v>0</v>
      </c>
      <c r="AA274" s="56">
        <v>0</v>
      </c>
      <c r="AB274" s="56"/>
      <c r="AC274" s="58">
        <v>45913</v>
      </c>
      <c r="AD274" s="59">
        <v>0.67013888889050577</v>
      </c>
      <c r="AE274" s="56" t="s">
        <v>234</v>
      </c>
      <c r="AF274" s="58">
        <v>45917</v>
      </c>
      <c r="AG274" s="59">
        <v>0.79513888889050577</v>
      </c>
      <c r="AH274" s="56" t="s">
        <v>831</v>
      </c>
      <c r="AI274" s="56" t="s">
        <v>1053</v>
      </c>
      <c r="AJ274" s="56" t="s">
        <v>64</v>
      </c>
      <c r="AK274" s="56" t="s">
        <v>64</v>
      </c>
      <c r="AL274" s="56" t="s">
        <v>1</v>
      </c>
      <c r="AM274" s="56" t="s">
        <v>65</v>
      </c>
      <c r="AN274" s="60"/>
      <c r="AO274" s="61"/>
    </row>
    <row r="275" spans="3:41" ht="14.25" customHeight="1">
      <c r="C275" s="55">
        <f>IF($X275=1,COUNTIF($C$10:C274,"&gt;0")+1,"")</f>
        <v>134</v>
      </c>
      <c r="D275" s="56">
        <v>462710851</v>
      </c>
      <c r="E275" s="56" t="s">
        <v>1047</v>
      </c>
      <c r="F275" s="57" t="s">
        <v>1150</v>
      </c>
      <c r="G275" s="56" t="s">
        <v>1150</v>
      </c>
      <c r="H275" s="56" t="s">
        <v>1151</v>
      </c>
      <c r="I275" s="56" t="s">
        <v>1152</v>
      </c>
      <c r="J275" s="56" t="s">
        <v>58</v>
      </c>
      <c r="K275" s="56" t="s">
        <v>460</v>
      </c>
      <c r="L275" s="58">
        <v>31868</v>
      </c>
      <c r="M275" s="56">
        <v>38</v>
      </c>
      <c r="N275" s="56" t="s">
        <v>1153</v>
      </c>
      <c r="O275" s="58">
        <v>48547</v>
      </c>
      <c r="P275" s="56" t="s">
        <v>4</v>
      </c>
      <c r="Q275" s="56"/>
      <c r="R275" s="50">
        <v>45913</v>
      </c>
      <c r="S275" s="50">
        <v>45918</v>
      </c>
      <c r="T275" s="51">
        <f t="shared" si="4"/>
        <v>5</v>
      </c>
      <c r="U275" s="56">
        <v>1</v>
      </c>
      <c r="V275" s="56">
        <v>1</v>
      </c>
      <c r="W275" s="56">
        <v>0</v>
      </c>
      <c r="X275" s="56">
        <v>1</v>
      </c>
      <c r="Y275" s="56">
        <v>0</v>
      </c>
      <c r="Z275" s="56">
        <v>1</v>
      </c>
      <c r="AA275" s="56">
        <v>0</v>
      </c>
      <c r="AB275" s="56"/>
      <c r="AC275" s="58">
        <v>45913</v>
      </c>
      <c r="AD275" s="59">
        <v>0.67013888889050577</v>
      </c>
      <c r="AE275" s="56" t="s">
        <v>234</v>
      </c>
      <c r="AF275" s="58">
        <v>45918</v>
      </c>
      <c r="AG275" s="59">
        <v>0.40625</v>
      </c>
      <c r="AH275" s="56" t="s">
        <v>1154</v>
      </c>
      <c r="AI275" s="56" t="s">
        <v>1053</v>
      </c>
      <c r="AJ275" s="56" t="s">
        <v>64</v>
      </c>
      <c r="AK275" s="56" t="s">
        <v>64</v>
      </c>
      <c r="AL275" s="56" t="s">
        <v>1</v>
      </c>
      <c r="AM275" s="56" t="s">
        <v>65</v>
      </c>
      <c r="AN275" s="60"/>
      <c r="AO275" s="61"/>
    </row>
    <row r="276" spans="3:41" ht="14.25" customHeight="1">
      <c r="C276" s="55" t="str">
        <f>IF($X276=1,COUNTIF($C$10:C275,"&gt;0")+1,"")</f>
        <v/>
      </c>
      <c r="D276" s="56"/>
      <c r="E276" s="56" t="s">
        <v>1047</v>
      </c>
      <c r="F276" s="57" t="s">
        <v>1155</v>
      </c>
      <c r="G276" s="56" t="s">
        <v>1150</v>
      </c>
      <c r="H276" s="56" t="s">
        <v>1156</v>
      </c>
      <c r="I276" s="56" t="s">
        <v>1152</v>
      </c>
      <c r="J276" s="56" t="s">
        <v>68</v>
      </c>
      <c r="K276" s="56" t="s">
        <v>460</v>
      </c>
      <c r="L276" s="58">
        <v>32626</v>
      </c>
      <c r="M276" s="56">
        <v>36</v>
      </c>
      <c r="N276" s="56" t="s">
        <v>1157</v>
      </c>
      <c r="O276" s="58">
        <v>48547</v>
      </c>
      <c r="P276" s="56" t="s">
        <v>4</v>
      </c>
      <c r="Q276" s="56"/>
      <c r="R276" s="50">
        <v>45913</v>
      </c>
      <c r="S276" s="50">
        <v>45918</v>
      </c>
      <c r="T276" s="51">
        <f t="shared" si="4"/>
        <v>5</v>
      </c>
      <c r="U276" s="56">
        <v>1</v>
      </c>
      <c r="V276" s="56">
        <v>1</v>
      </c>
      <c r="W276" s="56">
        <v>0</v>
      </c>
      <c r="X276" s="56">
        <v>0</v>
      </c>
      <c r="Y276" s="56">
        <v>0</v>
      </c>
      <c r="Z276" s="56">
        <v>0</v>
      </c>
      <c r="AA276" s="56">
        <v>0</v>
      </c>
      <c r="AB276" s="56"/>
      <c r="AC276" s="58">
        <v>45913</v>
      </c>
      <c r="AD276" s="59">
        <v>0.67013888889050577</v>
      </c>
      <c r="AE276" s="56" t="s">
        <v>234</v>
      </c>
      <c r="AF276" s="58">
        <v>45918</v>
      </c>
      <c r="AG276" s="59">
        <v>0.40625</v>
      </c>
      <c r="AH276" s="56" t="s">
        <v>1154</v>
      </c>
      <c r="AI276" s="56" t="s">
        <v>1053</v>
      </c>
      <c r="AJ276" s="56" t="s">
        <v>64</v>
      </c>
      <c r="AK276" s="56" t="s">
        <v>64</v>
      </c>
      <c r="AL276" s="56" t="s">
        <v>1</v>
      </c>
      <c r="AM276" s="56" t="s">
        <v>65</v>
      </c>
      <c r="AN276" s="60"/>
      <c r="AO276" s="61"/>
    </row>
    <row r="277" spans="3:41" ht="14.25" customHeight="1">
      <c r="C277" s="55" t="str">
        <f>IF($X277=1,COUNTIF($C$10:C276,"&gt;0")+1,"")</f>
        <v/>
      </c>
      <c r="D277" s="56"/>
      <c r="E277" s="56" t="s">
        <v>1047</v>
      </c>
      <c r="F277" s="57" t="s">
        <v>1158</v>
      </c>
      <c r="G277" s="56" t="s">
        <v>1150</v>
      </c>
      <c r="H277" s="56" t="s">
        <v>1159</v>
      </c>
      <c r="I277" s="56" t="s">
        <v>1152</v>
      </c>
      <c r="J277" s="56" t="s">
        <v>68</v>
      </c>
      <c r="K277" s="56" t="s">
        <v>460</v>
      </c>
      <c r="L277" s="58">
        <v>43635</v>
      </c>
      <c r="M277" s="56">
        <v>6</v>
      </c>
      <c r="N277" s="56" t="s">
        <v>1160</v>
      </c>
      <c r="O277" s="58">
        <v>47423</v>
      </c>
      <c r="P277" s="56" t="s">
        <v>4</v>
      </c>
      <c r="Q277" s="56"/>
      <c r="R277" s="50">
        <v>45913</v>
      </c>
      <c r="S277" s="50">
        <v>45918</v>
      </c>
      <c r="T277" s="51">
        <f t="shared" si="4"/>
        <v>5</v>
      </c>
      <c r="U277" s="56">
        <v>1</v>
      </c>
      <c r="V277" s="56">
        <v>0</v>
      </c>
      <c r="W277" s="56">
        <v>1</v>
      </c>
      <c r="X277" s="56">
        <v>0</v>
      </c>
      <c r="Y277" s="56">
        <v>0</v>
      </c>
      <c r="Z277" s="56">
        <v>0</v>
      </c>
      <c r="AA277" s="56">
        <v>0</v>
      </c>
      <c r="AB277" s="56"/>
      <c r="AC277" s="58">
        <v>45913</v>
      </c>
      <c r="AD277" s="59">
        <v>0.67013888889050577</v>
      </c>
      <c r="AE277" s="56" t="s">
        <v>234</v>
      </c>
      <c r="AF277" s="58">
        <v>45918</v>
      </c>
      <c r="AG277" s="59">
        <v>0.40625</v>
      </c>
      <c r="AH277" s="56" t="s">
        <v>1154</v>
      </c>
      <c r="AI277" s="56" t="s">
        <v>1053</v>
      </c>
      <c r="AJ277" s="56" t="s">
        <v>64</v>
      </c>
      <c r="AK277" s="56" t="s">
        <v>64</v>
      </c>
      <c r="AL277" s="56" t="s">
        <v>1</v>
      </c>
      <c r="AM277" s="56" t="s">
        <v>65</v>
      </c>
      <c r="AN277" s="60"/>
      <c r="AO277" s="61"/>
    </row>
    <row r="278" spans="3:41" ht="14.25" customHeight="1">
      <c r="C278" s="55">
        <f>IF($X278=1,COUNTIF($C$10:C277,"&gt;0")+1,"")</f>
        <v>135</v>
      </c>
      <c r="D278" s="56">
        <v>462638036</v>
      </c>
      <c r="E278" s="56" t="s">
        <v>1047</v>
      </c>
      <c r="F278" s="57" t="s">
        <v>1161</v>
      </c>
      <c r="G278" s="56" t="s">
        <v>1161</v>
      </c>
      <c r="H278" s="56" t="s">
        <v>1162</v>
      </c>
      <c r="I278" s="56" t="s">
        <v>1163</v>
      </c>
      <c r="J278" s="56" t="s">
        <v>68</v>
      </c>
      <c r="K278" s="56" t="s">
        <v>180</v>
      </c>
      <c r="L278" s="58">
        <v>31900</v>
      </c>
      <c r="M278" s="56">
        <v>38</v>
      </c>
      <c r="N278" s="56" t="s">
        <v>1164</v>
      </c>
      <c r="O278" s="58">
        <v>47434</v>
      </c>
      <c r="P278" s="56" t="s">
        <v>4</v>
      </c>
      <c r="Q278" s="56"/>
      <c r="R278" s="50">
        <v>45913</v>
      </c>
      <c r="S278" s="50">
        <v>45918</v>
      </c>
      <c r="T278" s="51">
        <f t="shared" si="4"/>
        <v>5</v>
      </c>
      <c r="U278" s="56">
        <v>1</v>
      </c>
      <c r="V278" s="56">
        <v>1</v>
      </c>
      <c r="W278" s="56">
        <v>0</v>
      </c>
      <c r="X278" s="56">
        <v>1</v>
      </c>
      <c r="Y278" s="56">
        <v>0</v>
      </c>
      <c r="Z278" s="56">
        <v>1</v>
      </c>
      <c r="AA278" s="56">
        <v>0</v>
      </c>
      <c r="AB278" s="56"/>
      <c r="AC278" s="58">
        <v>45913</v>
      </c>
      <c r="AD278" s="59">
        <v>0.78125</v>
      </c>
      <c r="AE278" s="56" t="s">
        <v>462</v>
      </c>
      <c r="AF278" s="58">
        <v>45918</v>
      </c>
      <c r="AG278" s="59">
        <v>0.86458333333575865</v>
      </c>
      <c r="AH278" s="56" t="s">
        <v>463</v>
      </c>
      <c r="AI278" s="56" t="s">
        <v>1053</v>
      </c>
      <c r="AJ278" s="56" t="s">
        <v>64</v>
      </c>
      <c r="AK278" s="56" t="s">
        <v>64</v>
      </c>
      <c r="AL278" s="56" t="s">
        <v>1</v>
      </c>
      <c r="AM278" s="56" t="s">
        <v>65</v>
      </c>
      <c r="AN278" s="60" t="s">
        <v>331</v>
      </c>
      <c r="AO278" s="61"/>
    </row>
    <row r="279" spans="3:41" ht="14.25" customHeight="1">
      <c r="C279" s="55" t="str">
        <f>IF($X279=1,COUNTIF($C$10:C278,"&gt;0")+1,"")</f>
        <v/>
      </c>
      <c r="D279" s="56"/>
      <c r="E279" s="56" t="s">
        <v>1047</v>
      </c>
      <c r="F279" s="57" t="s">
        <v>1165</v>
      </c>
      <c r="G279" s="56" t="s">
        <v>1161</v>
      </c>
      <c r="H279" s="56" t="s">
        <v>1166</v>
      </c>
      <c r="I279" s="56" t="s">
        <v>1167</v>
      </c>
      <c r="J279" s="56" t="s">
        <v>68</v>
      </c>
      <c r="K279" s="56" t="s">
        <v>460</v>
      </c>
      <c r="L279" s="58">
        <v>30949</v>
      </c>
      <c r="M279" s="56">
        <v>40</v>
      </c>
      <c r="N279" s="56" t="s">
        <v>1168</v>
      </c>
      <c r="O279" s="58">
        <v>47518</v>
      </c>
      <c r="P279" s="56" t="s">
        <v>4</v>
      </c>
      <c r="Q279" s="56"/>
      <c r="R279" s="50">
        <v>45913</v>
      </c>
      <c r="S279" s="50">
        <v>45918</v>
      </c>
      <c r="T279" s="51">
        <f t="shared" si="4"/>
        <v>5</v>
      </c>
      <c r="U279" s="56">
        <v>1</v>
      </c>
      <c r="V279" s="56">
        <v>1</v>
      </c>
      <c r="W279" s="56">
        <v>0</v>
      </c>
      <c r="X279" s="56">
        <v>0</v>
      </c>
      <c r="Y279" s="56">
        <v>0</v>
      </c>
      <c r="Z279" s="56">
        <v>0</v>
      </c>
      <c r="AA279" s="56">
        <v>0</v>
      </c>
      <c r="AB279" s="56"/>
      <c r="AC279" s="58">
        <v>45913</v>
      </c>
      <c r="AD279" s="59">
        <v>0.6875</v>
      </c>
      <c r="AE279" s="56" t="s">
        <v>1052</v>
      </c>
      <c r="AF279" s="58">
        <v>45920</v>
      </c>
      <c r="AG279" s="59">
        <v>5.2083333335758653E-2</v>
      </c>
      <c r="AH279" s="56" t="s">
        <v>1103</v>
      </c>
      <c r="AI279" s="56" t="s">
        <v>1053</v>
      </c>
      <c r="AJ279" s="56" t="s">
        <v>64</v>
      </c>
      <c r="AK279" s="56" t="s">
        <v>64</v>
      </c>
      <c r="AL279" s="56" t="s">
        <v>1</v>
      </c>
      <c r="AM279" s="56" t="s">
        <v>65</v>
      </c>
      <c r="AN279" s="60"/>
      <c r="AO279" s="61"/>
    </row>
    <row r="280" spans="3:41" ht="14.25" customHeight="1">
      <c r="C280" s="55" t="str">
        <f>IF($X280=1,COUNTIF($C$10:C279,"&gt;0")+1,"")</f>
        <v/>
      </c>
      <c r="D280" s="56"/>
      <c r="E280" s="56" t="s">
        <v>1047</v>
      </c>
      <c r="F280" s="57" t="s">
        <v>1169</v>
      </c>
      <c r="G280" s="56" t="s">
        <v>1161</v>
      </c>
      <c r="H280" s="56" t="s">
        <v>1170</v>
      </c>
      <c r="I280" s="56" t="s">
        <v>1171</v>
      </c>
      <c r="J280" s="56" t="s">
        <v>58</v>
      </c>
      <c r="K280" s="56" t="s">
        <v>460</v>
      </c>
      <c r="L280" s="58">
        <v>42654</v>
      </c>
      <c r="M280" s="56">
        <v>8</v>
      </c>
      <c r="N280" s="56" t="s">
        <v>1172</v>
      </c>
      <c r="O280" s="58">
        <v>46679</v>
      </c>
      <c r="P280" s="56" t="s">
        <v>4</v>
      </c>
      <c r="Q280" s="56"/>
      <c r="R280" s="50">
        <v>45913</v>
      </c>
      <c r="S280" s="50">
        <v>45918</v>
      </c>
      <c r="T280" s="51">
        <f t="shared" si="4"/>
        <v>5</v>
      </c>
      <c r="U280" s="56">
        <v>1</v>
      </c>
      <c r="V280" s="56">
        <v>0</v>
      </c>
      <c r="W280" s="56">
        <v>1</v>
      </c>
      <c r="X280" s="56">
        <v>0</v>
      </c>
      <c r="Y280" s="56">
        <v>0</v>
      </c>
      <c r="Z280" s="56">
        <v>0</v>
      </c>
      <c r="AA280" s="56">
        <v>0</v>
      </c>
      <c r="AB280" s="56"/>
      <c r="AC280" s="58">
        <v>45913</v>
      </c>
      <c r="AD280" s="59">
        <v>0.78125</v>
      </c>
      <c r="AE280" s="56" t="s">
        <v>462</v>
      </c>
      <c r="AF280" s="58">
        <v>45918</v>
      </c>
      <c r="AG280" s="59">
        <v>0.86458333333575865</v>
      </c>
      <c r="AH280" s="56" t="s">
        <v>463</v>
      </c>
      <c r="AI280" s="56" t="s">
        <v>1053</v>
      </c>
      <c r="AJ280" s="56" t="s">
        <v>64</v>
      </c>
      <c r="AK280" s="56" t="s">
        <v>64</v>
      </c>
      <c r="AL280" s="56" t="s">
        <v>1</v>
      </c>
      <c r="AM280" s="56" t="s">
        <v>65</v>
      </c>
      <c r="AN280" s="60" t="s">
        <v>331</v>
      </c>
      <c r="AO280" s="61"/>
    </row>
    <row r="281" spans="3:41" ht="14.25" customHeight="1">
      <c r="C281" s="55">
        <f>IF($X281=1,COUNTIF($C$10:C280,"&gt;0")+1,"")</f>
        <v>136</v>
      </c>
      <c r="D281" s="56">
        <v>462710852</v>
      </c>
      <c r="E281" s="56" t="s">
        <v>1047</v>
      </c>
      <c r="F281" s="57" t="s">
        <v>1173</v>
      </c>
      <c r="G281" s="56" t="s">
        <v>1173</v>
      </c>
      <c r="H281" s="56" t="s">
        <v>1174</v>
      </c>
      <c r="I281" s="56" t="s">
        <v>1175</v>
      </c>
      <c r="J281" s="56" t="s">
        <v>68</v>
      </c>
      <c r="K281" s="56" t="s">
        <v>460</v>
      </c>
      <c r="L281" s="58">
        <v>30144</v>
      </c>
      <c r="M281" s="56">
        <v>43</v>
      </c>
      <c r="N281" s="56" t="s">
        <v>1176</v>
      </c>
      <c r="O281" s="58">
        <v>47317</v>
      </c>
      <c r="P281" s="56" t="s">
        <v>4</v>
      </c>
      <c r="Q281" s="56"/>
      <c r="R281" s="50">
        <v>45913</v>
      </c>
      <c r="S281" s="50">
        <v>45918</v>
      </c>
      <c r="T281" s="51">
        <f t="shared" si="4"/>
        <v>5</v>
      </c>
      <c r="U281" s="56">
        <v>1</v>
      </c>
      <c r="V281" s="56">
        <v>1</v>
      </c>
      <c r="W281" s="56">
        <v>0</v>
      </c>
      <c r="X281" s="56">
        <v>1</v>
      </c>
      <c r="Y281" s="56">
        <v>0</v>
      </c>
      <c r="Z281" s="56">
        <v>1</v>
      </c>
      <c r="AA281" s="56">
        <v>0</v>
      </c>
      <c r="AB281" s="56"/>
      <c r="AC281" s="58">
        <v>45913</v>
      </c>
      <c r="AD281" s="59">
        <v>0.6875</v>
      </c>
      <c r="AE281" s="56" t="s">
        <v>1052</v>
      </c>
      <c r="AF281" s="58">
        <v>45920</v>
      </c>
      <c r="AG281" s="59">
        <v>0.86458333333575865</v>
      </c>
      <c r="AH281" s="56" t="s">
        <v>463</v>
      </c>
      <c r="AI281" s="56" t="s">
        <v>1053</v>
      </c>
      <c r="AJ281" s="56" t="s">
        <v>64</v>
      </c>
      <c r="AK281" s="56" t="s">
        <v>64</v>
      </c>
      <c r="AL281" s="56" t="s">
        <v>1</v>
      </c>
      <c r="AM281" s="56" t="s">
        <v>65</v>
      </c>
      <c r="AN281" s="60"/>
      <c r="AO281" s="61"/>
    </row>
    <row r="282" spans="3:41" ht="14.25" customHeight="1">
      <c r="C282" s="55" t="str">
        <f>IF($X282=1,COUNTIF($C$10:C281,"&gt;0")+1,"")</f>
        <v/>
      </c>
      <c r="D282" s="56"/>
      <c r="E282" s="56" t="s">
        <v>1047</v>
      </c>
      <c r="F282" s="57" t="s">
        <v>1177</v>
      </c>
      <c r="G282" s="56" t="s">
        <v>1173</v>
      </c>
      <c r="H282" s="56" t="s">
        <v>1178</v>
      </c>
      <c r="I282" s="56" t="s">
        <v>1167</v>
      </c>
      <c r="J282" s="56" t="s">
        <v>68</v>
      </c>
      <c r="K282" s="56" t="s">
        <v>460</v>
      </c>
      <c r="L282" s="58">
        <v>31741</v>
      </c>
      <c r="M282" s="56">
        <v>38</v>
      </c>
      <c r="N282" s="56" t="s">
        <v>1179</v>
      </c>
      <c r="O282" s="58">
        <v>48413</v>
      </c>
      <c r="P282" s="56" t="s">
        <v>4</v>
      </c>
      <c r="Q282" s="56"/>
      <c r="R282" s="50">
        <v>45913</v>
      </c>
      <c r="S282" s="50">
        <v>45918</v>
      </c>
      <c r="T282" s="51">
        <f t="shared" si="4"/>
        <v>5</v>
      </c>
      <c r="U282" s="56">
        <v>1</v>
      </c>
      <c r="V282" s="56">
        <v>1</v>
      </c>
      <c r="W282" s="56">
        <v>0</v>
      </c>
      <c r="X282" s="56">
        <v>0</v>
      </c>
      <c r="Y282" s="56">
        <v>0</v>
      </c>
      <c r="Z282" s="56">
        <v>0</v>
      </c>
      <c r="AA282" s="56">
        <v>0</v>
      </c>
      <c r="AB282" s="56"/>
      <c r="AC282" s="58">
        <v>45913</v>
      </c>
      <c r="AD282" s="59">
        <v>0.6875</v>
      </c>
      <c r="AE282" s="56" t="s">
        <v>1052</v>
      </c>
      <c r="AF282" s="58">
        <v>45920</v>
      </c>
      <c r="AG282" s="59">
        <v>0.86458333333575865</v>
      </c>
      <c r="AH282" s="56" t="s">
        <v>463</v>
      </c>
      <c r="AI282" s="56" t="s">
        <v>1053</v>
      </c>
      <c r="AJ282" s="56" t="s">
        <v>64</v>
      </c>
      <c r="AK282" s="56" t="s">
        <v>64</v>
      </c>
      <c r="AL282" s="56" t="s">
        <v>1</v>
      </c>
      <c r="AM282" s="56" t="s">
        <v>65</v>
      </c>
      <c r="AN282" s="60"/>
      <c r="AO282" s="61"/>
    </row>
    <row r="283" spans="3:41" ht="14.25" customHeight="1">
      <c r="C283" s="55">
        <f>IF($X283=1,COUNTIF($C$10:C282,"&gt;0")+1,"")</f>
        <v>137</v>
      </c>
      <c r="D283" s="56">
        <v>462710853</v>
      </c>
      <c r="E283" s="56" t="s">
        <v>1047</v>
      </c>
      <c r="F283" s="57" t="s">
        <v>1180</v>
      </c>
      <c r="G283" s="56" t="s">
        <v>1180</v>
      </c>
      <c r="H283" s="56" t="s">
        <v>1181</v>
      </c>
      <c r="I283" s="56" t="s">
        <v>1182</v>
      </c>
      <c r="J283" s="56" t="s">
        <v>68</v>
      </c>
      <c r="K283" s="56" t="s">
        <v>460</v>
      </c>
      <c r="L283" s="58">
        <v>20260</v>
      </c>
      <c r="M283" s="56">
        <v>70</v>
      </c>
      <c r="N283" s="56" t="s">
        <v>1183</v>
      </c>
      <c r="O283" s="58">
        <v>46687</v>
      </c>
      <c r="P283" s="56" t="s">
        <v>5</v>
      </c>
      <c r="Q283" s="56"/>
      <c r="R283" s="50">
        <v>45913</v>
      </c>
      <c r="S283" s="50">
        <v>45918</v>
      </c>
      <c r="T283" s="51">
        <f t="shared" si="4"/>
        <v>5</v>
      </c>
      <c r="U283" s="56">
        <v>1</v>
      </c>
      <c r="V283" s="56">
        <v>1</v>
      </c>
      <c r="W283" s="56">
        <v>0</v>
      </c>
      <c r="X283" s="56">
        <v>1</v>
      </c>
      <c r="Y283" s="56">
        <v>0</v>
      </c>
      <c r="Z283" s="56">
        <v>0</v>
      </c>
      <c r="AA283" s="56">
        <v>1</v>
      </c>
      <c r="AB283" s="56"/>
      <c r="AC283" s="58">
        <v>45913</v>
      </c>
      <c r="AD283" s="59">
        <v>0.67013888889050577</v>
      </c>
      <c r="AE283" s="56" t="s">
        <v>234</v>
      </c>
      <c r="AF283" s="58">
        <v>45920</v>
      </c>
      <c r="AG283" s="59">
        <v>0.73958333333575865</v>
      </c>
      <c r="AH283" s="56" t="s">
        <v>1117</v>
      </c>
      <c r="AI283" s="56" t="s">
        <v>1053</v>
      </c>
      <c r="AJ283" s="56" t="s">
        <v>64</v>
      </c>
      <c r="AK283" s="56" t="s">
        <v>64</v>
      </c>
      <c r="AL283" s="56" t="s">
        <v>1</v>
      </c>
      <c r="AM283" s="56" t="s">
        <v>65</v>
      </c>
      <c r="AN283" s="60"/>
      <c r="AO283" s="61"/>
    </row>
    <row r="284" spans="3:41" ht="14.25" customHeight="1">
      <c r="C284" s="55" t="str">
        <f>IF($X284=1,COUNTIF($C$10:C283,"&gt;0")+1,"")</f>
        <v/>
      </c>
      <c r="D284" s="56"/>
      <c r="E284" s="56" t="s">
        <v>1047</v>
      </c>
      <c r="F284" s="57" t="s">
        <v>1184</v>
      </c>
      <c r="G284" s="56" t="s">
        <v>1180</v>
      </c>
      <c r="H284" s="56" t="s">
        <v>1185</v>
      </c>
      <c r="I284" s="56" t="s">
        <v>1182</v>
      </c>
      <c r="J284" s="56" t="s">
        <v>58</v>
      </c>
      <c r="K284" s="56" t="s">
        <v>460</v>
      </c>
      <c r="L284" s="58">
        <v>28661</v>
      </c>
      <c r="M284" s="56">
        <v>47</v>
      </c>
      <c r="N284" s="56" t="s">
        <v>1186</v>
      </c>
      <c r="O284" s="58">
        <v>46104</v>
      </c>
      <c r="P284" s="56" t="s">
        <v>5</v>
      </c>
      <c r="Q284" s="56"/>
      <c r="R284" s="50">
        <v>45913</v>
      </c>
      <c r="S284" s="50">
        <v>45918</v>
      </c>
      <c r="T284" s="51">
        <f t="shared" si="4"/>
        <v>5</v>
      </c>
      <c r="U284" s="56">
        <v>1</v>
      </c>
      <c r="V284" s="56">
        <v>1</v>
      </c>
      <c r="W284" s="56">
        <v>0</v>
      </c>
      <c r="X284" s="56">
        <v>0</v>
      </c>
      <c r="Y284" s="56">
        <v>0</v>
      </c>
      <c r="Z284" s="56">
        <v>0</v>
      </c>
      <c r="AA284" s="56">
        <v>0</v>
      </c>
      <c r="AB284" s="56"/>
      <c r="AC284" s="58">
        <v>45913</v>
      </c>
      <c r="AD284" s="59">
        <v>0.67013888889050577</v>
      </c>
      <c r="AE284" s="56" t="s">
        <v>234</v>
      </c>
      <c r="AF284" s="58">
        <v>45920</v>
      </c>
      <c r="AG284" s="59">
        <v>0.73958333333575865</v>
      </c>
      <c r="AH284" s="56" t="s">
        <v>1117</v>
      </c>
      <c r="AI284" s="56" t="s">
        <v>1053</v>
      </c>
      <c r="AJ284" s="56" t="s">
        <v>64</v>
      </c>
      <c r="AK284" s="56" t="s">
        <v>64</v>
      </c>
      <c r="AL284" s="56" t="s">
        <v>1</v>
      </c>
      <c r="AM284" s="56" t="s">
        <v>65</v>
      </c>
      <c r="AN284" s="60"/>
      <c r="AO284" s="61"/>
    </row>
    <row r="285" spans="3:41" ht="14.25" customHeight="1">
      <c r="C285" s="55" t="str">
        <f>IF($X285=1,COUNTIF($C$10:C284,"&gt;0")+1,"")</f>
        <v/>
      </c>
      <c r="D285" s="56"/>
      <c r="E285" s="56" t="s">
        <v>1047</v>
      </c>
      <c r="F285" s="57" t="s">
        <v>1187</v>
      </c>
      <c r="G285" s="56" t="s">
        <v>1180</v>
      </c>
      <c r="H285" s="56" t="s">
        <v>1188</v>
      </c>
      <c r="I285" s="56" t="s">
        <v>1130</v>
      </c>
      <c r="J285" s="56" t="s">
        <v>68</v>
      </c>
      <c r="K285" s="56" t="s">
        <v>460</v>
      </c>
      <c r="L285" s="58">
        <v>44705</v>
      </c>
      <c r="M285" s="56">
        <v>3</v>
      </c>
      <c r="N285" s="56" t="s">
        <v>1189</v>
      </c>
      <c r="O285" s="58">
        <v>46657</v>
      </c>
      <c r="P285" s="56" t="s">
        <v>5</v>
      </c>
      <c r="Q285" s="56"/>
      <c r="R285" s="50">
        <v>45913</v>
      </c>
      <c r="S285" s="50">
        <v>45918</v>
      </c>
      <c r="T285" s="51">
        <f t="shared" si="4"/>
        <v>5</v>
      </c>
      <c r="U285" s="56">
        <v>1</v>
      </c>
      <c r="V285" s="56">
        <v>0</v>
      </c>
      <c r="W285" s="56">
        <v>1</v>
      </c>
      <c r="X285" s="56">
        <v>0</v>
      </c>
      <c r="Y285" s="56">
        <v>0</v>
      </c>
      <c r="Z285" s="56">
        <v>0</v>
      </c>
      <c r="AA285" s="56">
        <v>0</v>
      </c>
      <c r="AB285" s="56"/>
      <c r="AC285" s="58">
        <v>45913</v>
      </c>
      <c r="AD285" s="59">
        <v>0.67013888889050577</v>
      </c>
      <c r="AE285" s="56" t="s">
        <v>234</v>
      </c>
      <c r="AF285" s="58">
        <v>45920</v>
      </c>
      <c r="AG285" s="59">
        <v>0.73958333333575865</v>
      </c>
      <c r="AH285" s="56" t="s">
        <v>1117</v>
      </c>
      <c r="AI285" s="56" t="s">
        <v>1053</v>
      </c>
      <c r="AJ285" s="56" t="s">
        <v>64</v>
      </c>
      <c r="AK285" s="56" t="s">
        <v>64</v>
      </c>
      <c r="AL285" s="56" t="s">
        <v>1</v>
      </c>
      <c r="AM285" s="56" t="s">
        <v>65</v>
      </c>
      <c r="AN285" s="60"/>
      <c r="AO285" s="61"/>
    </row>
    <row r="286" spans="3:41" ht="14.25" customHeight="1">
      <c r="C286" s="55">
        <f>IF($X286=1,COUNTIF($C$10:C285,"&gt;0")+1,"")</f>
        <v>138</v>
      </c>
      <c r="D286" s="56">
        <v>462710854</v>
      </c>
      <c r="E286" s="56" t="s">
        <v>1190</v>
      </c>
      <c r="F286" s="57" t="s">
        <v>1191</v>
      </c>
      <c r="G286" s="56" t="s">
        <v>1191</v>
      </c>
      <c r="H286" s="56" t="s">
        <v>1192</v>
      </c>
      <c r="I286" s="56" t="s">
        <v>1193</v>
      </c>
      <c r="J286" s="56" t="s">
        <v>58</v>
      </c>
      <c r="K286" s="56" t="s">
        <v>460</v>
      </c>
      <c r="L286" s="58">
        <v>29356</v>
      </c>
      <c r="M286" s="56">
        <v>45</v>
      </c>
      <c r="N286" s="56" t="s">
        <v>1194</v>
      </c>
      <c r="O286" s="58">
        <v>48230</v>
      </c>
      <c r="P286" s="56" t="s">
        <v>4</v>
      </c>
      <c r="Q286" s="56"/>
      <c r="R286" s="50">
        <v>45913</v>
      </c>
      <c r="S286" s="50">
        <v>45918</v>
      </c>
      <c r="T286" s="51">
        <f t="shared" si="4"/>
        <v>5</v>
      </c>
      <c r="U286" s="56">
        <v>1</v>
      </c>
      <c r="V286" s="56">
        <v>1</v>
      </c>
      <c r="W286" s="56">
        <v>0</v>
      </c>
      <c r="X286" s="56">
        <v>1</v>
      </c>
      <c r="Y286" s="56">
        <v>0</v>
      </c>
      <c r="Z286" s="56">
        <v>1</v>
      </c>
      <c r="AA286" s="56">
        <v>0</v>
      </c>
      <c r="AB286" s="56"/>
      <c r="AC286" s="58">
        <v>45913</v>
      </c>
      <c r="AD286" s="59">
        <v>0.67013888889050577</v>
      </c>
      <c r="AE286" s="56" t="s">
        <v>234</v>
      </c>
      <c r="AF286" s="58">
        <v>45922</v>
      </c>
      <c r="AG286" s="59">
        <v>0.73958333333575865</v>
      </c>
      <c r="AH286" s="56" t="s">
        <v>1117</v>
      </c>
      <c r="AI286" s="56" t="s">
        <v>1195</v>
      </c>
      <c r="AJ286" s="56" t="s">
        <v>64</v>
      </c>
      <c r="AK286" s="74" t="s">
        <v>1196</v>
      </c>
      <c r="AL286" s="56" t="s">
        <v>1</v>
      </c>
      <c r="AM286" s="56" t="s">
        <v>65</v>
      </c>
      <c r="AN286" s="60"/>
      <c r="AO286" s="61"/>
    </row>
    <row r="287" spans="3:41" ht="14.25" customHeight="1">
      <c r="C287" s="55" t="str">
        <f>IF($X287=1,COUNTIF($C$10:C286,"&gt;0")+1,"")</f>
        <v/>
      </c>
      <c r="D287" s="56"/>
      <c r="E287" s="56" t="s">
        <v>1190</v>
      </c>
      <c r="F287" s="57" t="s">
        <v>1197</v>
      </c>
      <c r="G287" s="56" t="s">
        <v>1191</v>
      </c>
      <c r="H287" s="56" t="s">
        <v>1198</v>
      </c>
      <c r="I287" s="56" t="s">
        <v>1193</v>
      </c>
      <c r="J287" s="56" t="s">
        <v>68</v>
      </c>
      <c r="K287" s="56" t="s">
        <v>460</v>
      </c>
      <c r="L287" s="58">
        <v>32231</v>
      </c>
      <c r="M287" s="56">
        <v>37</v>
      </c>
      <c r="N287" s="56" t="s">
        <v>1199</v>
      </c>
      <c r="O287" s="58">
        <v>48174</v>
      </c>
      <c r="P287" s="56" t="s">
        <v>4</v>
      </c>
      <c r="Q287" s="56"/>
      <c r="R287" s="50">
        <v>45913</v>
      </c>
      <c r="S287" s="50">
        <v>45918</v>
      </c>
      <c r="T287" s="51">
        <f t="shared" si="4"/>
        <v>5</v>
      </c>
      <c r="U287" s="56">
        <v>1</v>
      </c>
      <c r="V287" s="56">
        <v>1</v>
      </c>
      <c r="W287" s="56">
        <v>0</v>
      </c>
      <c r="X287" s="56">
        <v>0</v>
      </c>
      <c r="Y287" s="56">
        <v>0</v>
      </c>
      <c r="Z287" s="56">
        <v>0</v>
      </c>
      <c r="AA287" s="56">
        <v>0</v>
      </c>
      <c r="AB287" s="56"/>
      <c r="AC287" s="58">
        <v>45913</v>
      </c>
      <c r="AD287" s="59">
        <v>0.67013888889050577</v>
      </c>
      <c r="AE287" s="56" t="s">
        <v>234</v>
      </c>
      <c r="AF287" s="58">
        <v>45922</v>
      </c>
      <c r="AG287" s="59">
        <v>0.73958333333575865</v>
      </c>
      <c r="AH287" s="56" t="s">
        <v>1117</v>
      </c>
      <c r="AI287" s="56" t="s">
        <v>1195</v>
      </c>
      <c r="AJ287" s="56" t="s">
        <v>64</v>
      </c>
      <c r="AK287" s="74" t="s">
        <v>64</v>
      </c>
      <c r="AL287" s="56" t="s">
        <v>1</v>
      </c>
      <c r="AM287" s="56" t="s">
        <v>65</v>
      </c>
      <c r="AN287" s="60"/>
      <c r="AO287" s="61"/>
    </row>
    <row r="288" spans="3:41" ht="14.25" customHeight="1">
      <c r="C288" s="55" t="str">
        <f>IF($X288=1,COUNTIF($C$10:C287,"&gt;0")+1,"")</f>
        <v/>
      </c>
      <c r="D288" s="56"/>
      <c r="E288" s="56" t="s">
        <v>1190</v>
      </c>
      <c r="F288" s="57" t="s">
        <v>1200</v>
      </c>
      <c r="G288" s="56" t="s">
        <v>1191</v>
      </c>
      <c r="H288" s="56" t="s">
        <v>1201</v>
      </c>
      <c r="I288" s="56" t="s">
        <v>1193</v>
      </c>
      <c r="J288" s="56" t="s">
        <v>58</v>
      </c>
      <c r="K288" s="56" t="s">
        <v>460</v>
      </c>
      <c r="L288" s="58">
        <v>44649</v>
      </c>
      <c r="M288" s="56">
        <v>3</v>
      </c>
      <c r="N288" s="56" t="s">
        <v>1202</v>
      </c>
      <c r="O288" s="58">
        <v>46783</v>
      </c>
      <c r="P288" s="56" t="s">
        <v>4</v>
      </c>
      <c r="Q288" s="56"/>
      <c r="R288" s="50">
        <v>45913</v>
      </c>
      <c r="S288" s="50">
        <v>45918</v>
      </c>
      <c r="T288" s="51">
        <f t="shared" si="4"/>
        <v>5</v>
      </c>
      <c r="U288" s="56">
        <v>1</v>
      </c>
      <c r="V288" s="56">
        <v>0</v>
      </c>
      <c r="W288" s="56">
        <v>1</v>
      </c>
      <c r="X288" s="56">
        <v>0</v>
      </c>
      <c r="Y288" s="56">
        <v>0</v>
      </c>
      <c r="Z288" s="56">
        <v>0</v>
      </c>
      <c r="AA288" s="56">
        <v>0</v>
      </c>
      <c r="AB288" s="56"/>
      <c r="AC288" s="58">
        <v>45913</v>
      </c>
      <c r="AD288" s="59">
        <v>0.67013888889050577</v>
      </c>
      <c r="AE288" s="56" t="s">
        <v>234</v>
      </c>
      <c r="AF288" s="58">
        <v>45922</v>
      </c>
      <c r="AG288" s="59">
        <v>0.73958333333575865</v>
      </c>
      <c r="AH288" s="56" t="s">
        <v>1117</v>
      </c>
      <c r="AI288" s="56" t="s">
        <v>1195</v>
      </c>
      <c r="AJ288" s="56" t="s">
        <v>64</v>
      </c>
      <c r="AK288" s="74" t="s">
        <v>64</v>
      </c>
      <c r="AL288" s="56" t="s">
        <v>1</v>
      </c>
      <c r="AM288" s="56" t="s">
        <v>65</v>
      </c>
      <c r="AN288" s="60"/>
      <c r="AO288" s="61"/>
    </row>
    <row r="289" spans="3:41" ht="14.25" customHeight="1">
      <c r="C289" s="55">
        <f>IF($X289=1,COUNTIF($C$10:C288,"&gt;0")+1,"")</f>
        <v>139</v>
      </c>
      <c r="D289" s="56">
        <v>462710855</v>
      </c>
      <c r="E289" s="56" t="s">
        <v>1190</v>
      </c>
      <c r="F289" s="57" t="s">
        <v>1203</v>
      </c>
      <c r="G289" s="56" t="s">
        <v>1203</v>
      </c>
      <c r="H289" s="56" t="s">
        <v>1204</v>
      </c>
      <c r="I289" s="56" t="s">
        <v>1205</v>
      </c>
      <c r="J289" s="56" t="s">
        <v>58</v>
      </c>
      <c r="K289" s="56" t="s">
        <v>460</v>
      </c>
      <c r="L289" s="58">
        <v>21526</v>
      </c>
      <c r="M289" s="56">
        <v>66</v>
      </c>
      <c r="N289" s="56" t="s">
        <v>1206</v>
      </c>
      <c r="O289" s="58">
        <v>48967</v>
      </c>
      <c r="P289" s="56" t="s">
        <v>4</v>
      </c>
      <c r="Q289" s="56"/>
      <c r="R289" s="50">
        <v>45913</v>
      </c>
      <c r="S289" s="50">
        <v>45918</v>
      </c>
      <c r="T289" s="51">
        <f t="shared" si="4"/>
        <v>5</v>
      </c>
      <c r="U289" s="56">
        <v>1</v>
      </c>
      <c r="V289" s="56">
        <v>1</v>
      </c>
      <c r="W289" s="56">
        <v>0</v>
      </c>
      <c r="X289" s="56">
        <v>1</v>
      </c>
      <c r="Y289" s="56">
        <v>0</v>
      </c>
      <c r="Z289" s="56">
        <v>1</v>
      </c>
      <c r="AA289" s="56">
        <v>0</v>
      </c>
      <c r="AB289" s="56"/>
      <c r="AC289" s="58">
        <v>45913</v>
      </c>
      <c r="AD289" s="59">
        <v>0.34375</v>
      </c>
      <c r="AE289" s="56" t="s">
        <v>1093</v>
      </c>
      <c r="AF289" s="58">
        <v>45918</v>
      </c>
      <c r="AG289" s="59">
        <v>0.79513888889050577</v>
      </c>
      <c r="AH289" s="56" t="s">
        <v>359</v>
      </c>
      <c r="AI289" s="56" t="s">
        <v>1195</v>
      </c>
      <c r="AJ289" s="56" t="s">
        <v>64</v>
      </c>
      <c r="AK289" s="74" t="s">
        <v>1207</v>
      </c>
      <c r="AL289" s="56" t="s">
        <v>1</v>
      </c>
      <c r="AM289" s="56" t="s">
        <v>65</v>
      </c>
      <c r="AN289" s="60"/>
      <c r="AO289" s="61"/>
    </row>
    <row r="290" spans="3:41" ht="14.25" customHeight="1">
      <c r="C290" s="55" t="str">
        <f>IF($X290=1,COUNTIF($C$10:C289,"&gt;0")+1,"")</f>
        <v/>
      </c>
      <c r="D290" s="56"/>
      <c r="E290" s="56" t="s">
        <v>1190</v>
      </c>
      <c r="F290" s="57" t="s">
        <v>1208</v>
      </c>
      <c r="G290" s="56" t="s">
        <v>1203</v>
      </c>
      <c r="H290" s="56" t="s">
        <v>1209</v>
      </c>
      <c r="I290" s="56" t="s">
        <v>1205</v>
      </c>
      <c r="J290" s="56" t="s">
        <v>68</v>
      </c>
      <c r="K290" s="56" t="s">
        <v>460</v>
      </c>
      <c r="L290" s="58">
        <v>21579</v>
      </c>
      <c r="M290" s="56">
        <v>66</v>
      </c>
      <c r="N290" s="56" t="s">
        <v>1210</v>
      </c>
      <c r="O290" s="58">
        <v>46424</v>
      </c>
      <c r="P290" s="56" t="s">
        <v>4</v>
      </c>
      <c r="Q290" s="56"/>
      <c r="R290" s="50">
        <v>45913</v>
      </c>
      <c r="S290" s="50">
        <v>45918</v>
      </c>
      <c r="T290" s="51">
        <f t="shared" si="4"/>
        <v>5</v>
      </c>
      <c r="U290" s="56">
        <v>1</v>
      </c>
      <c r="V290" s="56">
        <v>1</v>
      </c>
      <c r="W290" s="56">
        <v>0</v>
      </c>
      <c r="X290" s="56">
        <v>0</v>
      </c>
      <c r="Y290" s="56">
        <v>0</v>
      </c>
      <c r="Z290" s="56">
        <v>0</v>
      </c>
      <c r="AA290" s="56">
        <v>0</v>
      </c>
      <c r="AB290" s="56"/>
      <c r="AC290" s="58">
        <v>45913</v>
      </c>
      <c r="AD290" s="59">
        <v>0.34375</v>
      </c>
      <c r="AE290" s="56" t="s">
        <v>1093</v>
      </c>
      <c r="AF290" s="58">
        <v>45918</v>
      </c>
      <c r="AG290" s="59">
        <v>0.79513888889050577</v>
      </c>
      <c r="AH290" s="56" t="s">
        <v>359</v>
      </c>
      <c r="AI290" s="56" t="s">
        <v>1195</v>
      </c>
      <c r="AJ290" s="56" t="s">
        <v>598</v>
      </c>
      <c r="AK290" s="75" t="s">
        <v>136</v>
      </c>
      <c r="AL290" s="56" t="s">
        <v>1</v>
      </c>
      <c r="AM290" s="56" t="s">
        <v>65</v>
      </c>
      <c r="AN290" s="60"/>
      <c r="AO290" s="61"/>
    </row>
    <row r="291" spans="3:41" ht="14.25" customHeight="1">
      <c r="C291" s="55" t="str">
        <f>IF($X291=1,COUNTIF($C$10:C290,"&gt;0")+1,"")</f>
        <v/>
      </c>
      <c r="D291" s="56"/>
      <c r="E291" s="56" t="s">
        <v>1190</v>
      </c>
      <c r="F291" s="57" t="s">
        <v>1211</v>
      </c>
      <c r="G291" s="56" t="s">
        <v>1203</v>
      </c>
      <c r="H291" s="56" t="s">
        <v>1212</v>
      </c>
      <c r="I291" s="56" t="s">
        <v>1193</v>
      </c>
      <c r="J291" s="56" t="s">
        <v>68</v>
      </c>
      <c r="K291" s="56" t="s">
        <v>460</v>
      </c>
      <c r="L291" s="58">
        <v>43630</v>
      </c>
      <c r="M291" s="56">
        <v>6</v>
      </c>
      <c r="N291" s="56" t="s">
        <v>1213</v>
      </c>
      <c r="O291" s="58">
        <v>47267</v>
      </c>
      <c r="P291" s="56" t="s">
        <v>4</v>
      </c>
      <c r="Q291" s="56"/>
      <c r="R291" s="50">
        <v>45913</v>
      </c>
      <c r="S291" s="50">
        <v>45918</v>
      </c>
      <c r="T291" s="51">
        <f t="shared" si="4"/>
        <v>5</v>
      </c>
      <c r="U291" s="56">
        <v>1</v>
      </c>
      <c r="V291" s="56">
        <v>0</v>
      </c>
      <c r="W291" s="56">
        <v>1</v>
      </c>
      <c r="X291" s="56">
        <v>0</v>
      </c>
      <c r="Y291" s="56">
        <v>0</v>
      </c>
      <c r="Z291" s="56">
        <v>0</v>
      </c>
      <c r="AA291" s="56">
        <v>0</v>
      </c>
      <c r="AB291" s="56"/>
      <c r="AC291" s="58">
        <v>45913</v>
      </c>
      <c r="AD291" s="59">
        <v>0.67013888889050577</v>
      </c>
      <c r="AE291" s="56" t="s">
        <v>234</v>
      </c>
      <c r="AF291" s="58">
        <v>45922</v>
      </c>
      <c r="AG291" s="59">
        <v>0.73958333333575865</v>
      </c>
      <c r="AH291" s="56" t="s">
        <v>1117</v>
      </c>
      <c r="AI291" s="56" t="s">
        <v>1195</v>
      </c>
      <c r="AJ291" s="56" t="s">
        <v>64</v>
      </c>
      <c r="AK291" s="74"/>
      <c r="AL291" s="56" t="s">
        <v>1</v>
      </c>
      <c r="AM291" s="56" t="s">
        <v>65</v>
      </c>
      <c r="AN291" s="60"/>
      <c r="AO291" s="61"/>
    </row>
    <row r="292" spans="3:41" ht="14.25" customHeight="1">
      <c r="C292" s="55">
        <f>IF($X292=1,COUNTIF($C$10:C291,"&gt;0")+1,"")</f>
        <v>140</v>
      </c>
      <c r="D292" s="56">
        <v>462710856</v>
      </c>
      <c r="E292" s="56" t="s">
        <v>1190</v>
      </c>
      <c r="F292" s="57" t="s">
        <v>1214</v>
      </c>
      <c r="G292" s="56" t="s">
        <v>1214</v>
      </c>
      <c r="H292" s="56" t="s">
        <v>1215</v>
      </c>
      <c r="I292" s="56" t="s">
        <v>1216</v>
      </c>
      <c r="J292" s="56" t="s">
        <v>68</v>
      </c>
      <c r="K292" s="56" t="s">
        <v>460</v>
      </c>
      <c r="L292" s="58">
        <v>32639</v>
      </c>
      <c r="M292" s="56">
        <v>36</v>
      </c>
      <c r="N292" s="56" t="s">
        <v>1217</v>
      </c>
      <c r="O292" s="58">
        <v>46140</v>
      </c>
      <c r="P292" s="56" t="s">
        <v>4</v>
      </c>
      <c r="Q292" s="56"/>
      <c r="R292" s="50">
        <v>45913</v>
      </c>
      <c r="S292" s="50">
        <v>45918</v>
      </c>
      <c r="T292" s="51">
        <f t="shared" si="4"/>
        <v>5</v>
      </c>
      <c r="U292" s="56">
        <v>1</v>
      </c>
      <c r="V292" s="56">
        <v>1</v>
      </c>
      <c r="W292" s="56">
        <v>0</v>
      </c>
      <c r="X292" s="56">
        <v>1</v>
      </c>
      <c r="Y292" s="56">
        <v>0</v>
      </c>
      <c r="Z292" s="56">
        <v>1</v>
      </c>
      <c r="AA292" s="56">
        <v>0</v>
      </c>
      <c r="AB292" s="56"/>
      <c r="AC292" s="58">
        <v>45913</v>
      </c>
      <c r="AD292" s="59">
        <v>0.67013888889050577</v>
      </c>
      <c r="AE292" s="56" t="s">
        <v>234</v>
      </c>
      <c r="AF292" s="58" t="s">
        <v>64</v>
      </c>
      <c r="AG292" s="59" t="s">
        <v>64</v>
      </c>
      <c r="AH292" s="56" t="s">
        <v>1058</v>
      </c>
      <c r="AI292" s="56" t="s">
        <v>1195</v>
      </c>
      <c r="AJ292" s="56" t="s">
        <v>64</v>
      </c>
      <c r="AK292" s="56" t="s">
        <v>64</v>
      </c>
      <c r="AL292" s="56" t="s">
        <v>1</v>
      </c>
      <c r="AM292" s="56" t="s">
        <v>65</v>
      </c>
      <c r="AN292" s="60"/>
      <c r="AO292" s="61"/>
    </row>
    <row r="293" spans="3:41" ht="14.25" customHeight="1">
      <c r="C293" s="55" t="str">
        <f>IF($X293=1,COUNTIF($C$10:C292,"&gt;0")+1,"")</f>
        <v/>
      </c>
      <c r="D293" s="56"/>
      <c r="E293" s="56" t="s">
        <v>1190</v>
      </c>
      <c r="F293" s="57" t="s">
        <v>1218</v>
      </c>
      <c r="G293" s="56" t="s">
        <v>1214</v>
      </c>
      <c r="H293" s="56" t="s">
        <v>1219</v>
      </c>
      <c r="I293" s="56" t="s">
        <v>1220</v>
      </c>
      <c r="J293" s="56" t="s">
        <v>68</v>
      </c>
      <c r="K293" s="56" t="s">
        <v>460</v>
      </c>
      <c r="L293" s="58">
        <v>32639</v>
      </c>
      <c r="M293" s="56">
        <v>36</v>
      </c>
      <c r="N293" s="56" t="s">
        <v>1221</v>
      </c>
      <c r="O293" s="58">
        <v>46251</v>
      </c>
      <c r="P293" s="56" t="s">
        <v>4</v>
      </c>
      <c r="Q293" s="56"/>
      <c r="R293" s="50">
        <v>45913</v>
      </c>
      <c r="S293" s="50">
        <v>45918</v>
      </c>
      <c r="T293" s="51">
        <f t="shared" si="4"/>
        <v>5</v>
      </c>
      <c r="U293" s="56">
        <v>1</v>
      </c>
      <c r="V293" s="56">
        <v>1</v>
      </c>
      <c r="W293" s="56">
        <v>0</v>
      </c>
      <c r="X293" s="56">
        <v>0</v>
      </c>
      <c r="Y293" s="56">
        <v>0</v>
      </c>
      <c r="Z293" s="56">
        <v>0</v>
      </c>
      <c r="AA293" s="56">
        <v>0</v>
      </c>
      <c r="AB293" s="56"/>
      <c r="AC293" s="58">
        <v>45913</v>
      </c>
      <c r="AD293" s="59">
        <v>0.67013888889050577</v>
      </c>
      <c r="AE293" s="56" t="s">
        <v>234</v>
      </c>
      <c r="AF293" s="58" t="s">
        <v>64</v>
      </c>
      <c r="AG293" s="59" t="s">
        <v>64</v>
      </c>
      <c r="AH293" s="56" t="s">
        <v>1058</v>
      </c>
      <c r="AI293" s="56" t="s">
        <v>1195</v>
      </c>
      <c r="AJ293" s="56" t="s">
        <v>64</v>
      </c>
      <c r="AK293" s="56" t="s">
        <v>64</v>
      </c>
      <c r="AL293" s="56" t="s">
        <v>1</v>
      </c>
      <c r="AM293" s="56" t="s">
        <v>65</v>
      </c>
      <c r="AN293" s="60"/>
      <c r="AO293" s="61"/>
    </row>
    <row r="294" spans="3:41" ht="14.25" customHeight="1">
      <c r="C294" s="55">
        <f>IF($X294=1,COUNTIF($C$10:C293,"&gt;0")+1,"")</f>
        <v>141</v>
      </c>
      <c r="D294" s="56">
        <v>462710857</v>
      </c>
      <c r="E294" s="56" t="s">
        <v>1190</v>
      </c>
      <c r="F294" s="57" t="s">
        <v>1222</v>
      </c>
      <c r="G294" s="56" t="s">
        <v>1222</v>
      </c>
      <c r="H294" s="56" t="s">
        <v>1223</v>
      </c>
      <c r="I294" s="56" t="s">
        <v>1224</v>
      </c>
      <c r="J294" s="56" t="s">
        <v>58</v>
      </c>
      <c r="K294" s="56" t="s">
        <v>460</v>
      </c>
      <c r="L294" s="58">
        <v>29805</v>
      </c>
      <c r="M294" s="56">
        <v>44</v>
      </c>
      <c r="N294" s="56" t="s">
        <v>1225</v>
      </c>
      <c r="O294" s="58">
        <v>47044</v>
      </c>
      <c r="P294" s="56" t="s">
        <v>4</v>
      </c>
      <c r="Q294" s="56"/>
      <c r="R294" s="50">
        <v>45913</v>
      </c>
      <c r="S294" s="50">
        <v>45918</v>
      </c>
      <c r="T294" s="51">
        <f t="shared" si="4"/>
        <v>5</v>
      </c>
      <c r="U294" s="56">
        <v>1</v>
      </c>
      <c r="V294" s="56">
        <v>1</v>
      </c>
      <c r="W294" s="56">
        <v>0</v>
      </c>
      <c r="X294" s="56">
        <v>1</v>
      </c>
      <c r="Y294" s="56">
        <v>0</v>
      </c>
      <c r="Z294" s="56">
        <v>1</v>
      </c>
      <c r="AA294" s="56">
        <v>0</v>
      </c>
      <c r="AB294" s="56"/>
      <c r="AC294" s="58">
        <v>45913</v>
      </c>
      <c r="AD294" s="59">
        <v>0.67013888889050577</v>
      </c>
      <c r="AE294" s="56" t="s">
        <v>234</v>
      </c>
      <c r="AF294" s="58">
        <v>45919</v>
      </c>
      <c r="AG294" s="59">
        <v>0.35416666666424135</v>
      </c>
      <c r="AH294" s="56" t="s">
        <v>1108</v>
      </c>
      <c r="AI294" s="56" t="s">
        <v>1195</v>
      </c>
      <c r="AJ294" s="56" t="s">
        <v>64</v>
      </c>
      <c r="AK294" s="56" t="s">
        <v>64</v>
      </c>
      <c r="AL294" s="56" t="s">
        <v>1</v>
      </c>
      <c r="AM294" s="56" t="s">
        <v>65</v>
      </c>
      <c r="AN294" s="60"/>
      <c r="AO294" s="61"/>
    </row>
    <row r="295" spans="3:41" ht="14.25" customHeight="1">
      <c r="C295" s="55" t="str">
        <f>IF($X295=1,COUNTIF($C$10:C294,"&gt;0")+1,"")</f>
        <v/>
      </c>
      <c r="D295" s="56"/>
      <c r="E295" s="56" t="s">
        <v>1190</v>
      </c>
      <c r="F295" s="57" t="s">
        <v>1226</v>
      </c>
      <c r="G295" s="56" t="s">
        <v>1222</v>
      </c>
      <c r="H295" s="56" t="s">
        <v>1227</v>
      </c>
      <c r="I295" s="56" t="s">
        <v>1228</v>
      </c>
      <c r="J295" s="56" t="s">
        <v>68</v>
      </c>
      <c r="K295" s="56" t="s">
        <v>460</v>
      </c>
      <c r="L295" s="58">
        <v>28725</v>
      </c>
      <c r="M295" s="56">
        <v>47</v>
      </c>
      <c r="N295" s="56" t="s">
        <v>1229</v>
      </c>
      <c r="O295" s="58">
        <v>47233</v>
      </c>
      <c r="P295" s="56" t="s">
        <v>4</v>
      </c>
      <c r="Q295" s="56"/>
      <c r="R295" s="50">
        <v>45913</v>
      </c>
      <c r="S295" s="50">
        <v>45918</v>
      </c>
      <c r="T295" s="51">
        <f t="shared" si="4"/>
        <v>5</v>
      </c>
      <c r="U295" s="56">
        <v>1</v>
      </c>
      <c r="V295" s="56">
        <v>1</v>
      </c>
      <c r="W295" s="56">
        <v>0</v>
      </c>
      <c r="X295" s="56">
        <v>0</v>
      </c>
      <c r="Y295" s="56">
        <v>0</v>
      </c>
      <c r="Z295" s="56">
        <v>0</v>
      </c>
      <c r="AA295" s="56">
        <v>0</v>
      </c>
      <c r="AB295" s="56"/>
      <c r="AC295" s="58">
        <v>45913</v>
      </c>
      <c r="AD295" s="59">
        <v>0.67013888889050577</v>
      </c>
      <c r="AE295" s="56" t="s">
        <v>234</v>
      </c>
      <c r="AF295" s="58">
        <v>45919</v>
      </c>
      <c r="AG295" s="59">
        <v>0.35416666666424135</v>
      </c>
      <c r="AH295" s="56" t="s">
        <v>1108</v>
      </c>
      <c r="AI295" s="56" t="s">
        <v>1195</v>
      </c>
      <c r="AJ295" s="56" t="s">
        <v>64</v>
      </c>
      <c r="AK295" s="56" t="s">
        <v>64</v>
      </c>
      <c r="AL295" s="56" t="s">
        <v>1</v>
      </c>
      <c r="AM295" s="56" t="s">
        <v>65</v>
      </c>
      <c r="AN295" s="60"/>
      <c r="AO295" s="61"/>
    </row>
    <row r="296" spans="3:41" ht="14.25" customHeight="1">
      <c r="C296" s="55" t="str">
        <f>IF($X296=1,COUNTIF($C$10:C295,"&gt;0")+1,"")</f>
        <v/>
      </c>
      <c r="D296" s="56"/>
      <c r="E296" s="56" t="s">
        <v>1190</v>
      </c>
      <c r="F296" s="57" t="s">
        <v>1230</v>
      </c>
      <c r="G296" s="56" t="s">
        <v>1222</v>
      </c>
      <c r="H296" s="56" t="s">
        <v>1231</v>
      </c>
      <c r="I296" s="56" t="s">
        <v>1224</v>
      </c>
      <c r="J296" s="56" t="s">
        <v>68</v>
      </c>
      <c r="K296" s="56" t="s">
        <v>460</v>
      </c>
      <c r="L296" s="58">
        <v>42296</v>
      </c>
      <c r="M296" s="56">
        <v>9</v>
      </c>
      <c r="N296" s="56" t="s">
        <v>1232</v>
      </c>
      <c r="O296" s="58">
        <v>46981</v>
      </c>
      <c r="P296" s="56" t="s">
        <v>4</v>
      </c>
      <c r="Q296" s="56"/>
      <c r="R296" s="50">
        <v>45913</v>
      </c>
      <c r="S296" s="50">
        <v>45918</v>
      </c>
      <c r="T296" s="51">
        <f t="shared" si="4"/>
        <v>5</v>
      </c>
      <c r="U296" s="56">
        <v>1</v>
      </c>
      <c r="V296" s="56">
        <v>0</v>
      </c>
      <c r="W296" s="56">
        <v>1</v>
      </c>
      <c r="X296" s="56">
        <v>0</v>
      </c>
      <c r="Y296" s="56">
        <v>0</v>
      </c>
      <c r="Z296" s="56">
        <v>0</v>
      </c>
      <c r="AA296" s="56">
        <v>0</v>
      </c>
      <c r="AB296" s="56"/>
      <c r="AC296" s="58">
        <v>45913</v>
      </c>
      <c r="AD296" s="59">
        <v>0.67013888889050577</v>
      </c>
      <c r="AE296" s="56" t="s">
        <v>234</v>
      </c>
      <c r="AF296" s="58">
        <v>45919</v>
      </c>
      <c r="AG296" s="59">
        <v>0.35416666666424135</v>
      </c>
      <c r="AH296" s="56" t="s">
        <v>1108</v>
      </c>
      <c r="AI296" s="56" t="s">
        <v>1195</v>
      </c>
      <c r="AJ296" s="56" t="s">
        <v>64</v>
      </c>
      <c r="AK296" s="56" t="s">
        <v>64</v>
      </c>
      <c r="AL296" s="56" t="s">
        <v>1</v>
      </c>
      <c r="AM296" s="56" t="s">
        <v>65</v>
      </c>
      <c r="AN296" s="60"/>
      <c r="AO296" s="61"/>
    </row>
    <row r="297" spans="3:41" ht="14.25" customHeight="1">
      <c r="C297" s="55">
        <f>IF($X297=1,COUNTIF($C$10:C296,"&gt;0")+1,"")</f>
        <v>142</v>
      </c>
      <c r="D297" s="56">
        <v>462710858</v>
      </c>
      <c r="E297" s="56" t="s">
        <v>1190</v>
      </c>
      <c r="F297" s="57" t="s">
        <v>1233</v>
      </c>
      <c r="G297" s="56" t="s">
        <v>1233</v>
      </c>
      <c r="H297" s="56" t="s">
        <v>1234</v>
      </c>
      <c r="I297" s="56" t="s">
        <v>573</v>
      </c>
      <c r="J297" s="56" t="s">
        <v>68</v>
      </c>
      <c r="K297" s="56" t="s">
        <v>460</v>
      </c>
      <c r="L297" s="58">
        <v>22881</v>
      </c>
      <c r="M297" s="56">
        <v>63</v>
      </c>
      <c r="N297" s="56" t="s">
        <v>1235</v>
      </c>
      <c r="O297" s="58">
        <v>47546</v>
      </c>
      <c r="P297" s="56" t="s">
        <v>5</v>
      </c>
      <c r="Q297" s="56"/>
      <c r="R297" s="50">
        <v>45913</v>
      </c>
      <c r="S297" s="50">
        <v>45918</v>
      </c>
      <c r="T297" s="51">
        <f t="shared" si="4"/>
        <v>5</v>
      </c>
      <c r="U297" s="56">
        <v>1</v>
      </c>
      <c r="V297" s="56">
        <v>1</v>
      </c>
      <c r="W297" s="56">
        <v>0</v>
      </c>
      <c r="X297" s="56">
        <v>1</v>
      </c>
      <c r="Y297" s="56">
        <v>0</v>
      </c>
      <c r="Z297" s="56">
        <v>0</v>
      </c>
      <c r="AA297" s="56">
        <v>1</v>
      </c>
      <c r="AB297" s="56"/>
      <c r="AC297" s="58">
        <v>45913</v>
      </c>
      <c r="AD297" s="59">
        <v>0.72916666666424135</v>
      </c>
      <c r="AE297" s="56" t="s">
        <v>575</v>
      </c>
      <c r="AF297" s="58">
        <v>45918</v>
      </c>
      <c r="AG297" s="59">
        <v>0.58333333333575865</v>
      </c>
      <c r="AH297" s="56" t="s">
        <v>1236</v>
      </c>
      <c r="AI297" s="56" t="s">
        <v>1195</v>
      </c>
      <c r="AJ297" s="56" t="s">
        <v>64</v>
      </c>
      <c r="AK297" s="56" t="s">
        <v>64</v>
      </c>
      <c r="AL297" s="56" t="s">
        <v>1</v>
      </c>
      <c r="AM297" s="56" t="s">
        <v>65</v>
      </c>
      <c r="AN297" s="60"/>
      <c r="AO297" s="61"/>
    </row>
    <row r="298" spans="3:41" ht="14.25" customHeight="1">
      <c r="C298" s="55" t="str">
        <f>IF($X298=1,COUNTIF($C$10:C297,"&gt;0")+1,"")</f>
        <v/>
      </c>
      <c r="D298" s="56"/>
      <c r="E298" s="56" t="s">
        <v>1190</v>
      </c>
      <c r="F298" s="57" t="s">
        <v>1237</v>
      </c>
      <c r="G298" s="56" t="s">
        <v>1233</v>
      </c>
      <c r="H298" s="56" t="s">
        <v>1238</v>
      </c>
      <c r="I298" s="56" t="s">
        <v>1239</v>
      </c>
      <c r="J298" s="56" t="s">
        <v>68</v>
      </c>
      <c r="K298" s="56" t="s">
        <v>460</v>
      </c>
      <c r="L298" s="58">
        <v>26849</v>
      </c>
      <c r="M298" s="56">
        <v>52</v>
      </c>
      <c r="N298" s="56" t="s">
        <v>1240</v>
      </c>
      <c r="O298" s="58">
        <v>46014</v>
      </c>
      <c r="P298" s="56" t="s">
        <v>5</v>
      </c>
      <c r="Q298" s="56"/>
      <c r="R298" s="50">
        <v>45913</v>
      </c>
      <c r="S298" s="50">
        <v>45918</v>
      </c>
      <c r="T298" s="51">
        <f t="shared" si="4"/>
        <v>5</v>
      </c>
      <c r="U298" s="56">
        <v>1</v>
      </c>
      <c r="V298" s="56">
        <v>1</v>
      </c>
      <c r="W298" s="56">
        <v>0</v>
      </c>
      <c r="X298" s="56">
        <v>0</v>
      </c>
      <c r="Y298" s="56">
        <v>0</v>
      </c>
      <c r="Z298" s="56">
        <v>0</v>
      </c>
      <c r="AA298" s="56">
        <v>0</v>
      </c>
      <c r="AB298" s="56"/>
      <c r="AC298" s="58">
        <v>45913</v>
      </c>
      <c r="AD298" s="59">
        <v>0.78125</v>
      </c>
      <c r="AE298" s="56" t="s">
        <v>462</v>
      </c>
      <c r="AF298" s="58">
        <v>45919</v>
      </c>
      <c r="AG298" s="59">
        <v>0.38194444444525288</v>
      </c>
      <c r="AH298" s="56" t="s">
        <v>1241</v>
      </c>
      <c r="AI298" s="56" t="s">
        <v>1195</v>
      </c>
      <c r="AJ298" s="56" t="s">
        <v>64</v>
      </c>
      <c r="AK298" s="56" t="s">
        <v>64</v>
      </c>
      <c r="AL298" s="56" t="s">
        <v>1</v>
      </c>
      <c r="AM298" s="56" t="s">
        <v>65</v>
      </c>
      <c r="AN298" s="60" t="s">
        <v>331</v>
      </c>
      <c r="AO298" s="61"/>
    </row>
    <row r="299" spans="3:41" ht="14.25" customHeight="1">
      <c r="C299" s="55">
        <f>IF($X299=1,COUNTIF($C$10:C298,"&gt;0")+1,"")</f>
        <v>143</v>
      </c>
      <c r="D299" s="56">
        <v>462710859</v>
      </c>
      <c r="E299" s="56" t="s">
        <v>1242</v>
      </c>
      <c r="F299" s="57" t="s">
        <v>1243</v>
      </c>
      <c r="G299" s="56" t="s">
        <v>1243</v>
      </c>
      <c r="H299" s="56" t="s">
        <v>1244</v>
      </c>
      <c r="I299" s="56" t="s">
        <v>1245</v>
      </c>
      <c r="J299" s="56" t="s">
        <v>68</v>
      </c>
      <c r="K299" s="56" t="s">
        <v>460</v>
      </c>
      <c r="L299" s="58">
        <v>29321</v>
      </c>
      <c r="M299" s="56">
        <v>45</v>
      </c>
      <c r="N299" s="56" t="s">
        <v>1246</v>
      </c>
      <c r="O299" s="58">
        <v>47359</v>
      </c>
      <c r="P299" s="56" t="s">
        <v>4</v>
      </c>
      <c r="Q299" s="56"/>
      <c r="R299" s="50">
        <v>45913</v>
      </c>
      <c r="S299" s="50">
        <v>45918</v>
      </c>
      <c r="T299" s="51">
        <f t="shared" si="4"/>
        <v>5</v>
      </c>
      <c r="U299" s="56">
        <v>1</v>
      </c>
      <c r="V299" s="56">
        <v>1</v>
      </c>
      <c r="W299" s="56">
        <v>0</v>
      </c>
      <c r="X299" s="56">
        <v>1</v>
      </c>
      <c r="Y299" s="56">
        <v>0</v>
      </c>
      <c r="Z299" s="56">
        <v>1</v>
      </c>
      <c r="AA299" s="56">
        <v>0</v>
      </c>
      <c r="AB299" s="56"/>
      <c r="AC299" s="58">
        <v>45913</v>
      </c>
      <c r="AD299" s="59">
        <v>0.26041666666424135</v>
      </c>
      <c r="AE299" s="56" t="s">
        <v>1247</v>
      </c>
      <c r="AF299" s="58">
        <v>45919</v>
      </c>
      <c r="AG299" s="59">
        <v>0.78125</v>
      </c>
      <c r="AH299" s="56" t="s">
        <v>1094</v>
      </c>
      <c r="AI299" s="56" t="s">
        <v>1248</v>
      </c>
      <c r="AJ299" s="56" t="s">
        <v>64</v>
      </c>
      <c r="AK299" s="56" t="s">
        <v>64</v>
      </c>
      <c r="AL299" s="56" t="s">
        <v>1</v>
      </c>
      <c r="AM299" s="56" t="s">
        <v>65</v>
      </c>
      <c r="AN299" s="60"/>
      <c r="AO299" s="61"/>
    </row>
    <row r="300" spans="3:41" ht="14.25" customHeight="1">
      <c r="C300" s="55" t="str">
        <f>IF($X300=1,COUNTIF($C$10:C299,"&gt;0")+1,"")</f>
        <v/>
      </c>
      <c r="D300" s="56"/>
      <c r="E300" s="56" t="s">
        <v>1242</v>
      </c>
      <c r="F300" s="57" t="s">
        <v>1249</v>
      </c>
      <c r="G300" s="56" t="s">
        <v>1243</v>
      </c>
      <c r="H300" s="56" t="s">
        <v>1250</v>
      </c>
      <c r="I300" s="56" t="s">
        <v>1245</v>
      </c>
      <c r="J300" s="56" t="s">
        <v>58</v>
      </c>
      <c r="K300" s="56" t="s">
        <v>460</v>
      </c>
      <c r="L300" s="58">
        <v>29093</v>
      </c>
      <c r="M300" s="56">
        <v>46</v>
      </c>
      <c r="N300" s="56" t="s">
        <v>1251</v>
      </c>
      <c r="O300" s="58">
        <v>47359</v>
      </c>
      <c r="P300" s="56" t="s">
        <v>4</v>
      </c>
      <c r="Q300" s="56"/>
      <c r="R300" s="50">
        <v>45913</v>
      </c>
      <c r="S300" s="50">
        <v>45918</v>
      </c>
      <c r="T300" s="51">
        <f t="shared" si="4"/>
        <v>5</v>
      </c>
      <c r="U300" s="56">
        <v>1</v>
      </c>
      <c r="V300" s="56">
        <v>1</v>
      </c>
      <c r="W300" s="56">
        <v>0</v>
      </c>
      <c r="X300" s="56">
        <v>0</v>
      </c>
      <c r="Y300" s="56">
        <v>0</v>
      </c>
      <c r="Z300" s="56">
        <v>0</v>
      </c>
      <c r="AA300" s="56">
        <v>0</v>
      </c>
      <c r="AB300" s="56"/>
      <c r="AC300" s="58">
        <v>45913</v>
      </c>
      <c r="AD300" s="59">
        <v>0.26041666666424135</v>
      </c>
      <c r="AE300" s="56" t="s">
        <v>1247</v>
      </c>
      <c r="AF300" s="58">
        <v>45919</v>
      </c>
      <c r="AG300" s="59">
        <v>0.78125</v>
      </c>
      <c r="AH300" s="56" t="s">
        <v>1094</v>
      </c>
      <c r="AI300" s="56" t="s">
        <v>1248</v>
      </c>
      <c r="AJ300" s="56" t="s">
        <v>64</v>
      </c>
      <c r="AK300" s="56" t="s">
        <v>64</v>
      </c>
      <c r="AL300" s="56" t="s">
        <v>1</v>
      </c>
      <c r="AM300" s="56" t="s">
        <v>65</v>
      </c>
      <c r="AN300" s="60"/>
      <c r="AO300" s="61"/>
    </row>
    <row r="301" spans="3:41" ht="14.25" customHeight="1">
      <c r="C301" s="55">
        <f>IF($X301=1,COUNTIF($C$10:C300,"&gt;0")+1,"")</f>
        <v>144</v>
      </c>
      <c r="D301" s="56">
        <v>462710860</v>
      </c>
      <c r="E301" s="56" t="s">
        <v>1242</v>
      </c>
      <c r="F301" s="57" t="s">
        <v>1252</v>
      </c>
      <c r="G301" s="56" t="s">
        <v>1243</v>
      </c>
      <c r="H301" s="56" t="s">
        <v>1253</v>
      </c>
      <c r="I301" s="56" t="s">
        <v>1245</v>
      </c>
      <c r="J301" s="56" t="s">
        <v>58</v>
      </c>
      <c r="K301" s="56" t="s">
        <v>460</v>
      </c>
      <c r="L301" s="58">
        <v>37803</v>
      </c>
      <c r="M301" s="56">
        <v>22</v>
      </c>
      <c r="N301" s="56" t="s">
        <v>1254</v>
      </c>
      <c r="O301" s="58">
        <v>48455</v>
      </c>
      <c r="P301" s="56" t="s">
        <v>5</v>
      </c>
      <c r="Q301" s="56"/>
      <c r="R301" s="50">
        <v>45913</v>
      </c>
      <c r="S301" s="50">
        <v>45918</v>
      </c>
      <c r="T301" s="51">
        <f t="shared" si="4"/>
        <v>5</v>
      </c>
      <c r="U301" s="56">
        <v>1</v>
      </c>
      <c r="V301" s="56">
        <v>1</v>
      </c>
      <c r="W301" s="56">
        <v>0</v>
      </c>
      <c r="X301" s="56">
        <v>1</v>
      </c>
      <c r="Y301" s="56">
        <v>0</v>
      </c>
      <c r="Z301" s="56">
        <v>0</v>
      </c>
      <c r="AA301" s="56">
        <v>1</v>
      </c>
      <c r="AB301" s="56"/>
      <c r="AC301" s="58">
        <v>45913</v>
      </c>
      <c r="AD301" s="59">
        <v>0.26041666666424135</v>
      </c>
      <c r="AE301" s="56" t="s">
        <v>1247</v>
      </c>
      <c r="AF301" s="58">
        <v>45919</v>
      </c>
      <c r="AG301" s="59">
        <v>0.78125</v>
      </c>
      <c r="AH301" s="56" t="s">
        <v>1094</v>
      </c>
      <c r="AI301" s="56" t="s">
        <v>1248</v>
      </c>
      <c r="AJ301" s="56" t="s">
        <v>64</v>
      </c>
      <c r="AK301" s="56" t="s">
        <v>64</v>
      </c>
      <c r="AL301" s="56" t="s">
        <v>1</v>
      </c>
      <c r="AM301" s="56" t="s">
        <v>65</v>
      </c>
      <c r="AN301" s="60"/>
      <c r="AO301" s="61"/>
    </row>
    <row r="302" spans="3:41" ht="14.25" customHeight="1">
      <c r="C302" s="55" t="str">
        <f>IF($X302=1,COUNTIF($C$10:C301,"&gt;0")+1,"")</f>
        <v/>
      </c>
      <c r="D302" s="56"/>
      <c r="E302" s="56" t="s">
        <v>1242</v>
      </c>
      <c r="F302" s="57" t="s">
        <v>1255</v>
      </c>
      <c r="G302" s="56" t="s">
        <v>1243</v>
      </c>
      <c r="H302" s="56" t="s">
        <v>1256</v>
      </c>
      <c r="I302" s="56" t="s">
        <v>1245</v>
      </c>
      <c r="J302" s="56" t="s">
        <v>58</v>
      </c>
      <c r="K302" s="56" t="s">
        <v>460</v>
      </c>
      <c r="L302" s="58">
        <v>40782</v>
      </c>
      <c r="M302" s="56">
        <v>14</v>
      </c>
      <c r="N302" s="56" t="s">
        <v>1257</v>
      </c>
      <c r="O302" s="58">
        <v>46630</v>
      </c>
      <c r="P302" s="56" t="s">
        <v>5</v>
      </c>
      <c r="Q302" s="56"/>
      <c r="R302" s="50">
        <v>45913</v>
      </c>
      <c r="S302" s="50">
        <v>45918</v>
      </c>
      <c r="T302" s="51">
        <f t="shared" si="4"/>
        <v>5</v>
      </c>
      <c r="U302" s="56">
        <v>1</v>
      </c>
      <c r="V302" s="56">
        <v>1</v>
      </c>
      <c r="W302" s="56">
        <v>0</v>
      </c>
      <c r="X302" s="56">
        <v>0</v>
      </c>
      <c r="Y302" s="56">
        <v>0</v>
      </c>
      <c r="Z302" s="56">
        <v>0</v>
      </c>
      <c r="AA302" s="56">
        <v>0</v>
      </c>
      <c r="AB302" s="56"/>
      <c r="AC302" s="58">
        <v>45913</v>
      </c>
      <c r="AD302" s="59">
        <v>0.26041666666424135</v>
      </c>
      <c r="AE302" s="56" t="s">
        <v>1247</v>
      </c>
      <c r="AF302" s="58">
        <v>45919</v>
      </c>
      <c r="AG302" s="59">
        <v>0.78125</v>
      </c>
      <c r="AH302" s="56" t="s">
        <v>1094</v>
      </c>
      <c r="AI302" s="56" t="s">
        <v>1248</v>
      </c>
      <c r="AJ302" s="56" t="s">
        <v>64</v>
      </c>
      <c r="AK302" s="56" t="s">
        <v>64</v>
      </c>
      <c r="AL302" s="56" t="s">
        <v>1</v>
      </c>
      <c r="AM302" s="56" t="s">
        <v>65</v>
      </c>
      <c r="AN302" s="60"/>
      <c r="AO302" s="61"/>
    </row>
    <row r="303" spans="3:41" ht="14.25" customHeight="1">
      <c r="C303" s="55">
        <f>IF($X303=1,COUNTIF($C$10:C302,"&gt;0")+1,"")</f>
        <v>145</v>
      </c>
      <c r="D303" s="56">
        <v>462710861</v>
      </c>
      <c r="E303" s="56" t="s">
        <v>1242</v>
      </c>
      <c r="F303" s="57" t="s">
        <v>1258</v>
      </c>
      <c r="G303" s="56" t="s">
        <v>1258</v>
      </c>
      <c r="H303" s="56" t="s">
        <v>1259</v>
      </c>
      <c r="I303" s="56" t="s">
        <v>1260</v>
      </c>
      <c r="J303" s="56" t="s">
        <v>68</v>
      </c>
      <c r="K303" s="56" t="s">
        <v>460</v>
      </c>
      <c r="L303" s="58">
        <v>22265</v>
      </c>
      <c r="M303" s="56">
        <v>64</v>
      </c>
      <c r="N303" s="56" t="s">
        <v>1261</v>
      </c>
      <c r="O303" s="58">
        <v>46370</v>
      </c>
      <c r="P303" s="56" t="s">
        <v>4</v>
      </c>
      <c r="Q303" s="56"/>
      <c r="R303" s="50">
        <v>45913</v>
      </c>
      <c r="S303" s="50">
        <v>45918</v>
      </c>
      <c r="T303" s="51">
        <f t="shared" si="4"/>
        <v>5</v>
      </c>
      <c r="U303" s="56">
        <v>1</v>
      </c>
      <c r="V303" s="56">
        <v>1</v>
      </c>
      <c r="W303" s="56">
        <v>0</v>
      </c>
      <c r="X303" s="56">
        <v>1</v>
      </c>
      <c r="Y303" s="56">
        <v>0</v>
      </c>
      <c r="Z303" s="56">
        <v>1</v>
      </c>
      <c r="AA303" s="56">
        <v>0</v>
      </c>
      <c r="AB303" s="56"/>
      <c r="AC303" s="58">
        <v>45913</v>
      </c>
      <c r="AD303" s="59">
        <v>0.72916666666424135</v>
      </c>
      <c r="AE303" s="56" t="s">
        <v>575</v>
      </c>
      <c r="AF303" s="58">
        <v>45918</v>
      </c>
      <c r="AG303" s="59">
        <v>0.79513888889050577</v>
      </c>
      <c r="AH303" s="56" t="s">
        <v>359</v>
      </c>
      <c r="AI303" s="56" t="s">
        <v>1248</v>
      </c>
      <c r="AJ303" s="56" t="s">
        <v>598</v>
      </c>
      <c r="AK303" s="56" t="s">
        <v>64</v>
      </c>
      <c r="AL303" s="56" t="s">
        <v>1</v>
      </c>
      <c r="AM303" s="56" t="s">
        <v>65</v>
      </c>
      <c r="AN303" s="60"/>
      <c r="AO303" s="61"/>
    </row>
    <row r="304" spans="3:41" ht="14.25" customHeight="1">
      <c r="C304" s="55" t="str">
        <f>IF($X304=1,COUNTIF($C$10:C303,"&gt;0")+1,"")</f>
        <v/>
      </c>
      <c r="D304" s="56"/>
      <c r="E304" s="56" t="s">
        <v>1242</v>
      </c>
      <c r="F304" s="57" t="s">
        <v>1262</v>
      </c>
      <c r="G304" s="56" t="s">
        <v>1258</v>
      </c>
      <c r="H304" s="56" t="s">
        <v>1263</v>
      </c>
      <c r="I304" s="56" t="s">
        <v>1260</v>
      </c>
      <c r="J304" s="56" t="s">
        <v>58</v>
      </c>
      <c r="K304" s="56" t="s">
        <v>460</v>
      </c>
      <c r="L304" s="58">
        <v>25147</v>
      </c>
      <c r="M304" s="56">
        <v>56</v>
      </c>
      <c r="N304" s="56" t="s">
        <v>1264</v>
      </c>
      <c r="O304" s="58">
        <v>46370</v>
      </c>
      <c r="P304" s="56" t="s">
        <v>4</v>
      </c>
      <c r="Q304" s="56"/>
      <c r="R304" s="50">
        <v>45913</v>
      </c>
      <c r="S304" s="50">
        <v>45918</v>
      </c>
      <c r="T304" s="51">
        <f t="shared" si="4"/>
        <v>5</v>
      </c>
      <c r="U304" s="56">
        <v>1</v>
      </c>
      <c r="V304" s="56">
        <v>1</v>
      </c>
      <c r="W304" s="56">
        <v>0</v>
      </c>
      <c r="X304" s="56">
        <v>0</v>
      </c>
      <c r="Y304" s="56">
        <v>0</v>
      </c>
      <c r="Z304" s="56">
        <v>0</v>
      </c>
      <c r="AA304" s="56">
        <v>0</v>
      </c>
      <c r="AB304" s="56"/>
      <c r="AC304" s="58">
        <v>45913</v>
      </c>
      <c r="AD304" s="59">
        <v>0.72916666666424135</v>
      </c>
      <c r="AE304" s="56" t="s">
        <v>575</v>
      </c>
      <c r="AF304" s="58">
        <v>45918</v>
      </c>
      <c r="AG304" s="59">
        <v>0.79513888889050577</v>
      </c>
      <c r="AH304" s="56" t="s">
        <v>359</v>
      </c>
      <c r="AI304" s="56" t="s">
        <v>1248</v>
      </c>
      <c r="AJ304" s="56" t="s">
        <v>64</v>
      </c>
      <c r="AK304" s="56" t="s">
        <v>64</v>
      </c>
      <c r="AL304" s="56" t="s">
        <v>1</v>
      </c>
      <c r="AM304" s="56" t="s">
        <v>65</v>
      </c>
      <c r="AN304" s="60"/>
      <c r="AO304" s="61"/>
    </row>
    <row r="305" spans="3:41" ht="14.25" customHeight="1">
      <c r="C305" s="55">
        <f>IF($X305=1,COUNTIF($C$10:C304,"&gt;0")+1,"")</f>
        <v>146</v>
      </c>
      <c r="D305" s="56">
        <v>462710863</v>
      </c>
      <c r="E305" s="56" t="s">
        <v>1242</v>
      </c>
      <c r="F305" s="57" t="s">
        <v>1265</v>
      </c>
      <c r="G305" s="56" t="s">
        <v>1265</v>
      </c>
      <c r="H305" s="56" t="s">
        <v>1266</v>
      </c>
      <c r="I305" s="56" t="s">
        <v>208</v>
      </c>
      <c r="J305" s="56" t="s">
        <v>68</v>
      </c>
      <c r="K305" s="56" t="s">
        <v>460</v>
      </c>
      <c r="L305" s="58">
        <v>26258</v>
      </c>
      <c r="M305" s="56">
        <v>53</v>
      </c>
      <c r="N305" s="56" t="s">
        <v>1267</v>
      </c>
      <c r="O305" s="58">
        <v>46113</v>
      </c>
      <c r="P305" s="56" t="s">
        <v>4</v>
      </c>
      <c r="Q305" s="56"/>
      <c r="R305" s="50">
        <v>45913</v>
      </c>
      <c r="S305" s="50">
        <v>45918</v>
      </c>
      <c r="T305" s="51">
        <f t="shared" si="4"/>
        <v>5</v>
      </c>
      <c r="U305" s="56">
        <v>1</v>
      </c>
      <c r="V305" s="56">
        <v>1</v>
      </c>
      <c r="W305" s="56">
        <v>0</v>
      </c>
      <c r="X305" s="56">
        <v>1</v>
      </c>
      <c r="Y305" s="56">
        <v>0</v>
      </c>
      <c r="Z305" s="56">
        <v>1</v>
      </c>
      <c r="AA305" s="56">
        <v>0</v>
      </c>
      <c r="AB305" s="56"/>
      <c r="AC305" s="58">
        <v>45913</v>
      </c>
      <c r="AD305" s="59">
        <v>0.72916666666424135</v>
      </c>
      <c r="AE305" s="56" t="s">
        <v>575</v>
      </c>
      <c r="AF305" s="58">
        <v>45918</v>
      </c>
      <c r="AG305" s="59">
        <v>0.85416666666424135</v>
      </c>
      <c r="AH305" s="56" t="s">
        <v>183</v>
      </c>
      <c r="AI305" s="56" t="s">
        <v>1248</v>
      </c>
      <c r="AJ305" s="56" t="s">
        <v>64</v>
      </c>
      <c r="AK305" s="56" t="s">
        <v>64</v>
      </c>
      <c r="AL305" s="56" t="s">
        <v>1</v>
      </c>
      <c r="AM305" s="56" t="s">
        <v>65</v>
      </c>
      <c r="AN305" s="60"/>
      <c r="AO305" s="61"/>
    </row>
    <row r="306" spans="3:41" ht="14.25" customHeight="1">
      <c r="C306" s="55" t="str">
        <f>IF($X306=1,COUNTIF($C$10:C305,"&gt;0")+1,"")</f>
        <v/>
      </c>
      <c r="D306" s="56"/>
      <c r="E306" s="56" t="s">
        <v>1242</v>
      </c>
      <c r="F306" s="57" t="s">
        <v>1268</v>
      </c>
      <c r="G306" s="56" t="s">
        <v>1265</v>
      </c>
      <c r="H306" s="56" t="s">
        <v>1269</v>
      </c>
      <c r="I306" s="56" t="s">
        <v>1270</v>
      </c>
      <c r="J306" s="56" t="s">
        <v>58</v>
      </c>
      <c r="K306" s="56" t="s">
        <v>460</v>
      </c>
      <c r="L306" s="58">
        <v>26042</v>
      </c>
      <c r="M306" s="56">
        <v>54</v>
      </c>
      <c r="N306" s="56" t="s">
        <v>1271</v>
      </c>
      <c r="O306" s="58">
        <v>47245</v>
      </c>
      <c r="P306" s="56" t="s">
        <v>4</v>
      </c>
      <c r="Q306" s="56"/>
      <c r="R306" s="50">
        <v>45913</v>
      </c>
      <c r="S306" s="50">
        <v>45918</v>
      </c>
      <c r="T306" s="51">
        <f t="shared" si="4"/>
        <v>5</v>
      </c>
      <c r="U306" s="56">
        <v>1</v>
      </c>
      <c r="V306" s="56">
        <v>1</v>
      </c>
      <c r="W306" s="56">
        <v>0</v>
      </c>
      <c r="X306" s="56">
        <v>0</v>
      </c>
      <c r="Y306" s="56">
        <v>0</v>
      </c>
      <c r="Z306" s="56">
        <v>0</v>
      </c>
      <c r="AA306" s="56">
        <v>0</v>
      </c>
      <c r="AB306" s="56"/>
      <c r="AC306" s="58">
        <v>45913</v>
      </c>
      <c r="AD306" s="59">
        <v>0.72916666666424135</v>
      </c>
      <c r="AE306" s="56" t="s">
        <v>575</v>
      </c>
      <c r="AF306" s="58">
        <v>45918</v>
      </c>
      <c r="AG306" s="59">
        <v>0.85416666666424135</v>
      </c>
      <c r="AH306" s="56" t="s">
        <v>183</v>
      </c>
      <c r="AI306" s="56" t="s">
        <v>1248</v>
      </c>
      <c r="AJ306" s="56" t="s">
        <v>64</v>
      </c>
      <c r="AK306" s="56" t="s">
        <v>64</v>
      </c>
      <c r="AL306" s="56" t="s">
        <v>1</v>
      </c>
      <c r="AM306" s="56" t="s">
        <v>65</v>
      </c>
      <c r="AN306" s="60"/>
      <c r="AO306" s="61"/>
    </row>
    <row r="307" spans="3:41" ht="14.25" customHeight="1">
      <c r="C307" s="55">
        <f>IF($X307=1,COUNTIF($C$10:C306,"&gt;0")+1,"")</f>
        <v>147</v>
      </c>
      <c r="D307" s="56">
        <v>462710864</v>
      </c>
      <c r="E307" s="56" t="s">
        <v>1242</v>
      </c>
      <c r="F307" s="57" t="s">
        <v>1272</v>
      </c>
      <c r="G307" s="56" t="s">
        <v>1272</v>
      </c>
      <c r="H307" s="56" t="s">
        <v>1273</v>
      </c>
      <c r="I307" s="56" t="s">
        <v>1274</v>
      </c>
      <c r="J307" s="56" t="s">
        <v>68</v>
      </c>
      <c r="K307" s="56" t="s">
        <v>460</v>
      </c>
      <c r="L307" s="58">
        <v>26600</v>
      </c>
      <c r="M307" s="56">
        <v>52</v>
      </c>
      <c r="N307" s="56" t="s">
        <v>1275</v>
      </c>
      <c r="O307" s="58">
        <v>49051</v>
      </c>
      <c r="P307" s="56" t="s">
        <v>5</v>
      </c>
      <c r="Q307" s="56"/>
      <c r="R307" s="50">
        <v>45913</v>
      </c>
      <c r="S307" s="50">
        <v>45918</v>
      </c>
      <c r="T307" s="51">
        <f t="shared" si="4"/>
        <v>5</v>
      </c>
      <c r="U307" s="56">
        <v>1</v>
      </c>
      <c r="V307" s="56">
        <v>1</v>
      </c>
      <c r="W307" s="56">
        <v>0</v>
      </c>
      <c r="X307" s="56">
        <v>1</v>
      </c>
      <c r="Y307" s="56">
        <v>0</v>
      </c>
      <c r="Z307" s="56">
        <v>0</v>
      </c>
      <c r="AA307" s="56">
        <v>1</v>
      </c>
      <c r="AB307" s="56"/>
      <c r="AC307" s="58">
        <v>45913</v>
      </c>
      <c r="AD307" s="59">
        <v>0.80555555555474712</v>
      </c>
      <c r="AE307" s="56" t="s">
        <v>808</v>
      </c>
      <c r="AF307" s="58">
        <v>45918</v>
      </c>
      <c r="AG307" s="59">
        <v>0.73958333333575865</v>
      </c>
      <c r="AH307" s="56" t="s">
        <v>1117</v>
      </c>
      <c r="AI307" s="56" t="s">
        <v>1248</v>
      </c>
      <c r="AJ307" s="56" t="s">
        <v>64</v>
      </c>
      <c r="AK307" s="56" t="s">
        <v>64</v>
      </c>
      <c r="AL307" s="56" t="s">
        <v>1</v>
      </c>
      <c r="AM307" s="56" t="s">
        <v>65</v>
      </c>
      <c r="AN307" s="60" t="s">
        <v>331</v>
      </c>
      <c r="AO307" s="61"/>
    </row>
    <row r="308" spans="3:41" ht="14.25" customHeight="1">
      <c r="C308" s="55" t="str">
        <f>IF($X308=1,COUNTIF($C$10:C307,"&gt;0")+1,"")</f>
        <v/>
      </c>
      <c r="D308" s="56"/>
      <c r="E308" s="56" t="s">
        <v>1242</v>
      </c>
      <c r="F308" s="57" t="s">
        <v>1276</v>
      </c>
      <c r="G308" s="56" t="s">
        <v>1272</v>
      </c>
      <c r="H308" s="56" t="s">
        <v>1277</v>
      </c>
      <c r="I308" s="56" t="s">
        <v>1278</v>
      </c>
      <c r="J308" s="56" t="s">
        <v>58</v>
      </c>
      <c r="K308" s="56" t="s">
        <v>460</v>
      </c>
      <c r="L308" s="58">
        <v>37840</v>
      </c>
      <c r="M308" s="56">
        <v>22</v>
      </c>
      <c r="N308" s="56" t="s">
        <v>1279</v>
      </c>
      <c r="O308" s="58">
        <v>48484</v>
      </c>
      <c r="P308" s="56" t="s">
        <v>5</v>
      </c>
      <c r="Q308" s="56"/>
      <c r="R308" s="50">
        <v>45913</v>
      </c>
      <c r="S308" s="50">
        <v>45918</v>
      </c>
      <c r="T308" s="51">
        <f t="shared" si="4"/>
        <v>5</v>
      </c>
      <c r="U308" s="56">
        <v>1</v>
      </c>
      <c r="V308" s="56">
        <v>1</v>
      </c>
      <c r="W308" s="56">
        <v>0</v>
      </c>
      <c r="X308" s="56">
        <v>0</v>
      </c>
      <c r="Y308" s="56">
        <v>0</v>
      </c>
      <c r="Z308" s="56">
        <v>0</v>
      </c>
      <c r="AA308" s="56">
        <v>0</v>
      </c>
      <c r="AB308" s="56"/>
      <c r="AC308" s="58">
        <v>45913</v>
      </c>
      <c r="AD308" s="59">
        <v>0.80555555555474712</v>
      </c>
      <c r="AE308" s="56" t="s">
        <v>808</v>
      </c>
      <c r="AF308" s="58">
        <v>45918</v>
      </c>
      <c r="AG308" s="59">
        <v>0.73958333333575865</v>
      </c>
      <c r="AH308" s="56" t="s">
        <v>1117</v>
      </c>
      <c r="AI308" s="56" t="s">
        <v>1248</v>
      </c>
      <c r="AJ308" s="56" t="s">
        <v>64</v>
      </c>
      <c r="AK308" s="56" t="s">
        <v>64</v>
      </c>
      <c r="AL308" s="56" t="s">
        <v>1</v>
      </c>
      <c r="AM308" s="56" t="s">
        <v>65</v>
      </c>
      <c r="AN308" s="60" t="s">
        <v>331</v>
      </c>
      <c r="AO308" s="61"/>
    </row>
    <row r="309" spans="3:41" ht="14.25" customHeight="1">
      <c r="C309" s="55">
        <f>IF($X309=1,COUNTIF($C$10:C308,"&gt;0")+1,"")</f>
        <v>148</v>
      </c>
      <c r="D309" s="56">
        <v>462710865</v>
      </c>
      <c r="E309" s="56" t="s">
        <v>1242</v>
      </c>
      <c r="F309" s="57" t="s">
        <v>1280</v>
      </c>
      <c r="G309" s="56" t="s">
        <v>1280</v>
      </c>
      <c r="H309" s="56" t="s">
        <v>1281</v>
      </c>
      <c r="I309" s="56" t="s">
        <v>1282</v>
      </c>
      <c r="J309" s="56" t="s">
        <v>68</v>
      </c>
      <c r="K309" s="56" t="s">
        <v>460</v>
      </c>
      <c r="L309" s="58">
        <v>26214</v>
      </c>
      <c r="M309" s="56">
        <v>53</v>
      </c>
      <c r="N309" s="56" t="s">
        <v>1283</v>
      </c>
      <c r="O309" s="58">
        <v>46330</v>
      </c>
      <c r="P309" s="56" t="s">
        <v>4</v>
      </c>
      <c r="Q309" s="56"/>
      <c r="R309" s="50">
        <v>45913</v>
      </c>
      <c r="S309" s="50">
        <v>45918</v>
      </c>
      <c r="T309" s="51">
        <f t="shared" si="4"/>
        <v>5</v>
      </c>
      <c r="U309" s="56">
        <v>1</v>
      </c>
      <c r="V309" s="56">
        <v>1</v>
      </c>
      <c r="W309" s="56">
        <v>0</v>
      </c>
      <c r="X309" s="56">
        <v>1</v>
      </c>
      <c r="Y309" s="56">
        <v>0</v>
      </c>
      <c r="Z309" s="56">
        <v>1</v>
      </c>
      <c r="AA309" s="56">
        <v>0</v>
      </c>
      <c r="AB309" s="56"/>
      <c r="AC309" s="58">
        <v>45913</v>
      </c>
      <c r="AD309" s="59">
        <v>0.67013888889050577</v>
      </c>
      <c r="AE309" s="56" t="s">
        <v>234</v>
      </c>
      <c r="AF309" s="58">
        <v>45918</v>
      </c>
      <c r="AG309" s="59">
        <v>0.58333333333575865</v>
      </c>
      <c r="AH309" s="56" t="s">
        <v>1236</v>
      </c>
      <c r="AI309" s="56" t="s">
        <v>1248</v>
      </c>
      <c r="AJ309" s="56" t="s">
        <v>64</v>
      </c>
      <c r="AK309" s="56" t="s">
        <v>64</v>
      </c>
      <c r="AL309" s="56" t="s">
        <v>1</v>
      </c>
      <c r="AM309" s="56" t="s">
        <v>65</v>
      </c>
      <c r="AN309" s="60"/>
      <c r="AO309" s="61"/>
    </row>
    <row r="310" spans="3:41" ht="14.25" customHeight="1">
      <c r="C310" s="55" t="str">
        <f>IF($X310=1,COUNTIF($C$10:C309,"&gt;0")+1,"")</f>
        <v/>
      </c>
      <c r="D310" s="56"/>
      <c r="E310" s="56" t="s">
        <v>1242</v>
      </c>
      <c r="F310" s="57" t="s">
        <v>1284</v>
      </c>
      <c r="G310" s="56" t="s">
        <v>1280</v>
      </c>
      <c r="H310" s="56" t="s">
        <v>1285</v>
      </c>
      <c r="I310" s="56" t="s">
        <v>1282</v>
      </c>
      <c r="J310" s="56" t="s">
        <v>58</v>
      </c>
      <c r="K310" s="56" t="s">
        <v>460</v>
      </c>
      <c r="L310" s="58">
        <v>26035</v>
      </c>
      <c r="M310" s="56">
        <v>54</v>
      </c>
      <c r="N310" s="56" t="s">
        <v>1286</v>
      </c>
      <c r="O310" s="58">
        <v>49207</v>
      </c>
      <c r="P310" s="56" t="s">
        <v>4</v>
      </c>
      <c r="Q310" s="56"/>
      <c r="R310" s="50">
        <v>45913</v>
      </c>
      <c r="S310" s="50">
        <v>45918</v>
      </c>
      <c r="T310" s="51">
        <f t="shared" si="4"/>
        <v>5</v>
      </c>
      <c r="U310" s="56">
        <v>1</v>
      </c>
      <c r="V310" s="56">
        <v>1</v>
      </c>
      <c r="W310" s="56">
        <v>0</v>
      </c>
      <c r="X310" s="56">
        <v>0</v>
      </c>
      <c r="Y310" s="56">
        <v>0</v>
      </c>
      <c r="Z310" s="56">
        <v>0</v>
      </c>
      <c r="AA310" s="56">
        <v>0</v>
      </c>
      <c r="AB310" s="56"/>
      <c r="AC310" s="58">
        <v>45913</v>
      </c>
      <c r="AD310" s="59">
        <v>0.67013888889050577</v>
      </c>
      <c r="AE310" s="56" t="s">
        <v>234</v>
      </c>
      <c r="AF310" s="58">
        <v>45918</v>
      </c>
      <c r="AG310" s="59">
        <v>0.58333333333575865</v>
      </c>
      <c r="AH310" s="56" t="s">
        <v>1236</v>
      </c>
      <c r="AI310" s="56" t="s">
        <v>1248</v>
      </c>
      <c r="AJ310" s="56" t="s">
        <v>64</v>
      </c>
      <c r="AK310" s="56" t="s">
        <v>64</v>
      </c>
      <c r="AL310" s="56" t="s">
        <v>1</v>
      </c>
      <c r="AM310" s="56" t="s">
        <v>65</v>
      </c>
      <c r="AN310" s="60"/>
      <c r="AO310" s="61"/>
    </row>
    <row r="311" spans="3:41" ht="14.25" customHeight="1">
      <c r="C311" s="55">
        <f>IF($X311=1,COUNTIF($C$10:C310,"&gt;0")+1,"")</f>
        <v>149</v>
      </c>
      <c r="D311" s="56">
        <v>462710866</v>
      </c>
      <c r="E311" s="56" t="s">
        <v>1287</v>
      </c>
      <c r="F311" s="57" t="s">
        <v>1288</v>
      </c>
      <c r="G311" s="56" t="s">
        <v>1288</v>
      </c>
      <c r="H311" s="56" t="s">
        <v>1289</v>
      </c>
      <c r="I311" s="56" t="s">
        <v>1290</v>
      </c>
      <c r="J311" s="56" t="s">
        <v>68</v>
      </c>
      <c r="K311" s="56" t="s">
        <v>59</v>
      </c>
      <c r="L311" s="58">
        <v>30169</v>
      </c>
      <c r="M311" s="56">
        <v>43</v>
      </c>
      <c r="N311" s="56" t="s">
        <v>1291</v>
      </c>
      <c r="O311" s="58">
        <v>46210</v>
      </c>
      <c r="P311" s="56" t="s">
        <v>4</v>
      </c>
      <c r="Q311" s="56"/>
      <c r="R311" s="50">
        <v>45913</v>
      </c>
      <c r="S311" s="50">
        <v>45918</v>
      </c>
      <c r="T311" s="51">
        <f t="shared" si="4"/>
        <v>5</v>
      </c>
      <c r="U311" s="56">
        <v>1</v>
      </c>
      <c r="V311" s="56">
        <v>1</v>
      </c>
      <c r="W311" s="56">
        <v>0</v>
      </c>
      <c r="X311" s="56">
        <v>1</v>
      </c>
      <c r="Y311" s="56">
        <v>0</v>
      </c>
      <c r="Z311" s="56">
        <v>1</v>
      </c>
      <c r="AA311" s="56">
        <v>0</v>
      </c>
      <c r="AB311" s="56"/>
      <c r="AC311" s="58">
        <v>45913</v>
      </c>
      <c r="AD311" s="59">
        <v>0.65972222221898846</v>
      </c>
      <c r="AE311" s="56" t="s">
        <v>101</v>
      </c>
      <c r="AF311" s="58">
        <v>45918</v>
      </c>
      <c r="AG311" s="59">
        <v>0.86111111110949423</v>
      </c>
      <c r="AH311" s="56" t="s">
        <v>1292</v>
      </c>
      <c r="AI311" s="56" t="s">
        <v>1293</v>
      </c>
      <c r="AJ311" s="56" t="s">
        <v>64</v>
      </c>
      <c r="AK311" s="56" t="s">
        <v>64</v>
      </c>
      <c r="AL311" s="56" t="s">
        <v>1</v>
      </c>
      <c r="AM311" s="56" t="s">
        <v>65</v>
      </c>
      <c r="AN311" s="60"/>
      <c r="AO311" s="61"/>
    </row>
    <row r="312" spans="3:41" ht="14.25" customHeight="1">
      <c r="C312" s="55" t="str">
        <f>IF($X312=1,COUNTIF($C$10:C311,"&gt;0")+1,"")</f>
        <v/>
      </c>
      <c r="D312" s="56"/>
      <c r="E312" s="56" t="s">
        <v>1287</v>
      </c>
      <c r="F312" s="57" t="s">
        <v>1294</v>
      </c>
      <c r="G312" s="56" t="s">
        <v>1288</v>
      </c>
      <c r="H312" s="56" t="s">
        <v>1295</v>
      </c>
      <c r="I312" s="56" t="s">
        <v>1296</v>
      </c>
      <c r="J312" s="56" t="s">
        <v>58</v>
      </c>
      <c r="K312" s="56" t="s">
        <v>59</v>
      </c>
      <c r="L312" s="58">
        <v>29679</v>
      </c>
      <c r="M312" s="56">
        <v>44</v>
      </c>
      <c r="N312" s="56" t="s">
        <v>1297</v>
      </c>
      <c r="O312" s="58">
        <v>46180</v>
      </c>
      <c r="P312" s="56" t="s">
        <v>4</v>
      </c>
      <c r="Q312" s="56"/>
      <c r="R312" s="50">
        <v>45913</v>
      </c>
      <c r="S312" s="50">
        <v>45918</v>
      </c>
      <c r="T312" s="51">
        <f t="shared" si="4"/>
        <v>5</v>
      </c>
      <c r="U312" s="56">
        <v>1</v>
      </c>
      <c r="V312" s="56">
        <v>1</v>
      </c>
      <c r="W312" s="56">
        <v>0</v>
      </c>
      <c r="X312" s="56">
        <v>0</v>
      </c>
      <c r="Y312" s="56">
        <v>0</v>
      </c>
      <c r="Z312" s="56">
        <v>0</v>
      </c>
      <c r="AA312" s="56">
        <v>0</v>
      </c>
      <c r="AB312" s="56"/>
      <c r="AC312" s="58">
        <v>45913</v>
      </c>
      <c r="AD312" s="59">
        <v>0.65972222221898846</v>
      </c>
      <c r="AE312" s="56" t="s">
        <v>101</v>
      </c>
      <c r="AF312" s="58">
        <v>45918</v>
      </c>
      <c r="AG312" s="59">
        <v>0.86111111110949423</v>
      </c>
      <c r="AH312" s="56" t="s">
        <v>1292</v>
      </c>
      <c r="AI312" s="56" t="s">
        <v>1293</v>
      </c>
      <c r="AJ312" s="56" t="s">
        <v>64</v>
      </c>
      <c r="AK312" s="56" t="s">
        <v>64</v>
      </c>
      <c r="AL312" s="56" t="s">
        <v>1</v>
      </c>
      <c r="AM312" s="56" t="s">
        <v>65</v>
      </c>
      <c r="AN312" s="60"/>
      <c r="AO312" s="61"/>
    </row>
    <row r="313" spans="3:41" ht="14.25" customHeight="1">
      <c r="C313" s="55">
        <f>IF($X313=1,COUNTIF($C$10:C312,"&gt;0")+1,"")</f>
        <v>150</v>
      </c>
      <c r="D313" s="56">
        <v>462710867</v>
      </c>
      <c r="E313" s="56" t="s">
        <v>1287</v>
      </c>
      <c r="F313" s="57" t="s">
        <v>1298</v>
      </c>
      <c r="G313" s="56" t="s">
        <v>1288</v>
      </c>
      <c r="H313" s="56" t="s">
        <v>1299</v>
      </c>
      <c r="I313" s="56" t="s">
        <v>1290</v>
      </c>
      <c r="J313" s="56" t="s">
        <v>58</v>
      </c>
      <c r="K313" s="56" t="s">
        <v>59</v>
      </c>
      <c r="L313" s="58">
        <v>41156</v>
      </c>
      <c r="M313" s="56">
        <v>13</v>
      </c>
      <c r="N313" s="56" t="s">
        <v>1300</v>
      </c>
      <c r="O313" s="58">
        <v>46476</v>
      </c>
      <c r="P313" s="56" t="s">
        <v>4</v>
      </c>
      <c r="Q313" s="56"/>
      <c r="R313" s="50">
        <v>45913</v>
      </c>
      <c r="S313" s="50">
        <v>45918</v>
      </c>
      <c r="T313" s="51">
        <f t="shared" si="4"/>
        <v>5</v>
      </c>
      <c r="U313" s="56">
        <v>1</v>
      </c>
      <c r="V313" s="56">
        <v>1</v>
      </c>
      <c r="W313" s="56">
        <v>0</v>
      </c>
      <c r="X313" s="56">
        <v>1</v>
      </c>
      <c r="Y313" s="56">
        <v>0</v>
      </c>
      <c r="Z313" s="56">
        <v>1</v>
      </c>
      <c r="AA313" s="56">
        <v>0</v>
      </c>
      <c r="AB313" s="56"/>
      <c r="AC313" s="58">
        <v>45913</v>
      </c>
      <c r="AD313" s="59">
        <v>0.65972222221898846</v>
      </c>
      <c r="AE313" s="56" t="s">
        <v>101</v>
      </c>
      <c r="AF313" s="58">
        <v>45918</v>
      </c>
      <c r="AG313" s="59">
        <v>0.86111111110949423</v>
      </c>
      <c r="AH313" s="56" t="s">
        <v>1292</v>
      </c>
      <c r="AI313" s="56" t="s">
        <v>1293</v>
      </c>
      <c r="AJ313" s="56" t="s">
        <v>64</v>
      </c>
      <c r="AK313" s="56" t="s">
        <v>64</v>
      </c>
      <c r="AL313" s="56" t="s">
        <v>1</v>
      </c>
      <c r="AM313" s="56" t="s">
        <v>65</v>
      </c>
      <c r="AN313" s="60"/>
      <c r="AO313" s="61"/>
    </row>
    <row r="314" spans="3:41" ht="14.25" customHeight="1">
      <c r="C314" s="55" t="str">
        <f>IF($X314=1,COUNTIF($C$10:C313,"&gt;0")+1,"")</f>
        <v/>
      </c>
      <c r="D314" s="56"/>
      <c r="E314" s="56" t="s">
        <v>1287</v>
      </c>
      <c r="F314" s="57" t="s">
        <v>1301</v>
      </c>
      <c r="G314" s="56" t="s">
        <v>1288</v>
      </c>
      <c r="H314" s="56" t="s">
        <v>1302</v>
      </c>
      <c r="I314" s="56" t="s">
        <v>1290</v>
      </c>
      <c r="J314" s="56" t="s">
        <v>68</v>
      </c>
      <c r="K314" s="56" t="s">
        <v>59</v>
      </c>
      <c r="L314" s="58">
        <v>38963</v>
      </c>
      <c r="M314" s="56">
        <v>19</v>
      </c>
      <c r="N314" s="56" t="s">
        <v>1303</v>
      </c>
      <c r="O314" s="58">
        <v>46476</v>
      </c>
      <c r="P314" s="56" t="s">
        <v>4</v>
      </c>
      <c r="Q314" s="56"/>
      <c r="R314" s="50">
        <v>45913</v>
      </c>
      <c r="S314" s="50">
        <v>45918</v>
      </c>
      <c r="T314" s="51">
        <f t="shared" si="4"/>
        <v>5</v>
      </c>
      <c r="U314" s="56">
        <v>1</v>
      </c>
      <c r="V314" s="56">
        <v>1</v>
      </c>
      <c r="W314" s="56">
        <v>0</v>
      </c>
      <c r="X314" s="56">
        <v>0</v>
      </c>
      <c r="Y314" s="56">
        <v>0</v>
      </c>
      <c r="Z314" s="56">
        <v>0</v>
      </c>
      <c r="AA314" s="56">
        <v>0</v>
      </c>
      <c r="AB314" s="56"/>
      <c r="AC314" s="58">
        <v>45913</v>
      </c>
      <c r="AD314" s="59">
        <v>0.65972222221898846</v>
      </c>
      <c r="AE314" s="56" t="s">
        <v>101</v>
      </c>
      <c r="AF314" s="58">
        <v>45918</v>
      </c>
      <c r="AG314" s="59">
        <v>0.86111111110949423</v>
      </c>
      <c r="AH314" s="56" t="s">
        <v>1292</v>
      </c>
      <c r="AI314" s="56" t="s">
        <v>1293</v>
      </c>
      <c r="AJ314" s="56" t="s">
        <v>64</v>
      </c>
      <c r="AK314" s="56" t="s">
        <v>64</v>
      </c>
      <c r="AL314" s="56" t="s">
        <v>1</v>
      </c>
      <c r="AM314" s="56" t="s">
        <v>65</v>
      </c>
      <c r="AN314" s="60"/>
      <c r="AO314" s="61"/>
    </row>
    <row r="315" spans="3:41" ht="14.25" customHeight="1">
      <c r="C315" s="55">
        <f>IF($X315=1,COUNTIF($C$10:C314,"&gt;0")+1,"")</f>
        <v>151</v>
      </c>
      <c r="D315" s="56">
        <v>462710868</v>
      </c>
      <c r="E315" s="56" t="s">
        <v>1287</v>
      </c>
      <c r="F315" s="57" t="s">
        <v>1304</v>
      </c>
      <c r="G315" s="56" t="s">
        <v>1304</v>
      </c>
      <c r="H315" s="56" t="s">
        <v>1305</v>
      </c>
      <c r="I315" s="56" t="s">
        <v>82</v>
      </c>
      <c r="J315" s="56" t="s">
        <v>68</v>
      </c>
      <c r="K315" s="56" t="s">
        <v>59</v>
      </c>
      <c r="L315" s="58">
        <v>27032</v>
      </c>
      <c r="M315" s="56">
        <v>51</v>
      </c>
      <c r="N315" s="56" t="s">
        <v>1306</v>
      </c>
      <c r="O315" s="58">
        <v>48736</v>
      </c>
      <c r="P315" s="56" t="s">
        <v>4</v>
      </c>
      <c r="Q315" s="56"/>
      <c r="R315" s="50">
        <v>45913</v>
      </c>
      <c r="S315" s="50">
        <v>45918</v>
      </c>
      <c r="T315" s="51">
        <f t="shared" si="4"/>
        <v>5</v>
      </c>
      <c r="U315" s="56">
        <v>1</v>
      </c>
      <c r="V315" s="56">
        <v>1</v>
      </c>
      <c r="W315" s="56">
        <v>0</v>
      </c>
      <c r="X315" s="56">
        <v>1</v>
      </c>
      <c r="Y315" s="56">
        <v>0</v>
      </c>
      <c r="Z315" s="56">
        <v>1</v>
      </c>
      <c r="AA315" s="56">
        <v>0</v>
      </c>
      <c r="AB315" s="56"/>
      <c r="AC315" s="58">
        <v>45913</v>
      </c>
      <c r="AD315" s="59">
        <v>0.58680555555474712</v>
      </c>
      <c r="AE315" s="56" t="s">
        <v>61</v>
      </c>
      <c r="AF315" s="58">
        <v>45918</v>
      </c>
      <c r="AG315" s="59">
        <v>0.56944444444525288</v>
      </c>
      <c r="AH315" s="56" t="s">
        <v>492</v>
      </c>
      <c r="AI315" s="56" t="s">
        <v>1293</v>
      </c>
      <c r="AJ315" s="56" t="s">
        <v>64</v>
      </c>
      <c r="AK315" s="56" t="s">
        <v>64</v>
      </c>
      <c r="AL315" s="56" t="s">
        <v>1</v>
      </c>
      <c r="AM315" s="56" t="s">
        <v>65</v>
      </c>
      <c r="AN315" s="60"/>
      <c r="AO315" s="61"/>
    </row>
    <row r="316" spans="3:41" ht="14.25" customHeight="1">
      <c r="C316" s="55" t="str">
        <f>IF($X316=1,COUNTIF($C$10:C315,"&gt;0")+1,"")</f>
        <v/>
      </c>
      <c r="D316" s="56"/>
      <c r="E316" s="56" t="s">
        <v>1287</v>
      </c>
      <c r="F316" s="57" t="s">
        <v>1307</v>
      </c>
      <c r="G316" s="56" t="s">
        <v>1304</v>
      </c>
      <c r="H316" s="56" t="s">
        <v>1308</v>
      </c>
      <c r="I316" s="56" t="s">
        <v>1309</v>
      </c>
      <c r="J316" s="56" t="s">
        <v>68</v>
      </c>
      <c r="K316" s="56" t="s">
        <v>59</v>
      </c>
      <c r="L316" s="58">
        <v>24327</v>
      </c>
      <c r="M316" s="56">
        <v>59</v>
      </c>
      <c r="N316" s="56" t="s">
        <v>1310</v>
      </c>
      <c r="O316" s="58">
        <v>48449</v>
      </c>
      <c r="P316" s="56" t="s">
        <v>4</v>
      </c>
      <c r="Q316" s="56"/>
      <c r="R316" s="50">
        <v>45913</v>
      </c>
      <c r="S316" s="50">
        <v>45918</v>
      </c>
      <c r="T316" s="51">
        <f t="shared" si="4"/>
        <v>5</v>
      </c>
      <c r="U316" s="56">
        <v>1</v>
      </c>
      <c r="V316" s="56">
        <v>1</v>
      </c>
      <c r="W316" s="56">
        <v>0</v>
      </c>
      <c r="X316" s="56">
        <v>0</v>
      </c>
      <c r="Y316" s="56">
        <v>0</v>
      </c>
      <c r="Z316" s="56">
        <v>0</v>
      </c>
      <c r="AA316" s="56">
        <v>0</v>
      </c>
      <c r="AB316" s="56"/>
      <c r="AC316" s="58">
        <v>45913</v>
      </c>
      <c r="AD316" s="59">
        <v>0.65972222221898846</v>
      </c>
      <c r="AE316" s="56" t="s">
        <v>101</v>
      </c>
      <c r="AF316" s="58">
        <v>45918</v>
      </c>
      <c r="AG316" s="59">
        <v>0.87152777778101154</v>
      </c>
      <c r="AH316" s="56" t="s">
        <v>102</v>
      </c>
      <c r="AI316" s="56" t="s">
        <v>1293</v>
      </c>
      <c r="AJ316" s="56" t="s">
        <v>64</v>
      </c>
      <c r="AK316" s="56" t="s">
        <v>64</v>
      </c>
      <c r="AL316" s="56" t="s">
        <v>1</v>
      </c>
      <c r="AM316" s="56" t="s">
        <v>65</v>
      </c>
      <c r="AN316" s="60"/>
      <c r="AO316" s="61"/>
    </row>
    <row r="317" spans="3:41" ht="14.25" customHeight="1">
      <c r="C317" s="55" t="str">
        <f>IF($X317=1,COUNTIF($C$10:C316,"&gt;0")+1,"")</f>
        <v/>
      </c>
      <c r="D317" s="56"/>
      <c r="E317" s="56" t="s">
        <v>1287</v>
      </c>
      <c r="F317" s="57" t="s">
        <v>1311</v>
      </c>
      <c r="G317" s="56" t="s">
        <v>1304</v>
      </c>
      <c r="H317" s="56" t="s">
        <v>1312</v>
      </c>
      <c r="I317" s="56" t="s">
        <v>82</v>
      </c>
      <c r="J317" s="56" t="s">
        <v>58</v>
      </c>
      <c r="K317" s="56" t="s">
        <v>59</v>
      </c>
      <c r="L317" s="58">
        <v>42112</v>
      </c>
      <c r="M317" s="56">
        <v>10</v>
      </c>
      <c r="N317" s="56" t="s">
        <v>1313</v>
      </c>
      <c r="O317" s="58">
        <v>47313</v>
      </c>
      <c r="P317" s="56" t="s">
        <v>4</v>
      </c>
      <c r="Q317" s="56"/>
      <c r="R317" s="50">
        <v>45913</v>
      </c>
      <c r="S317" s="50">
        <v>45918</v>
      </c>
      <c r="T317" s="51">
        <f t="shared" si="4"/>
        <v>5</v>
      </c>
      <c r="U317" s="56">
        <v>1</v>
      </c>
      <c r="V317" s="56">
        <v>0</v>
      </c>
      <c r="W317" s="56">
        <v>1</v>
      </c>
      <c r="X317" s="56">
        <v>0</v>
      </c>
      <c r="Y317" s="56">
        <v>0</v>
      </c>
      <c r="Z317" s="56">
        <v>0</v>
      </c>
      <c r="AA317" s="56">
        <v>0</v>
      </c>
      <c r="AB317" s="56"/>
      <c r="AC317" s="58">
        <v>45913</v>
      </c>
      <c r="AD317" s="59">
        <v>0.58680555555474712</v>
      </c>
      <c r="AE317" s="56" t="s">
        <v>61</v>
      </c>
      <c r="AF317" s="58">
        <v>45918</v>
      </c>
      <c r="AG317" s="59">
        <v>0.56944444444525288</v>
      </c>
      <c r="AH317" s="56" t="s">
        <v>492</v>
      </c>
      <c r="AI317" s="56" t="s">
        <v>1293</v>
      </c>
      <c r="AJ317" s="56" t="s">
        <v>64</v>
      </c>
      <c r="AK317" s="56" t="s">
        <v>64</v>
      </c>
      <c r="AL317" s="56" t="s">
        <v>1</v>
      </c>
      <c r="AM317" s="56" t="s">
        <v>65</v>
      </c>
      <c r="AN317" s="60"/>
      <c r="AO317" s="61"/>
    </row>
    <row r="318" spans="3:41" ht="14.25" customHeight="1">
      <c r="C318" s="55">
        <f>IF($X318=1,COUNTIF($C$10:C317,"&gt;0")+1,"")</f>
        <v>152</v>
      </c>
      <c r="D318" s="56">
        <v>462710869</v>
      </c>
      <c r="E318" s="56" t="s">
        <v>1287</v>
      </c>
      <c r="F318" s="57" t="s">
        <v>1314</v>
      </c>
      <c r="G318" s="56" t="s">
        <v>1314</v>
      </c>
      <c r="H318" s="56" t="s">
        <v>1315</v>
      </c>
      <c r="I318" s="56" t="s">
        <v>390</v>
      </c>
      <c r="J318" s="56" t="s">
        <v>68</v>
      </c>
      <c r="K318" s="56" t="s">
        <v>59</v>
      </c>
      <c r="L318" s="58">
        <v>26561</v>
      </c>
      <c r="M318" s="56">
        <v>52</v>
      </c>
      <c r="N318" s="56" t="s">
        <v>1316</v>
      </c>
      <c r="O318" s="58">
        <v>49072</v>
      </c>
      <c r="P318" s="56" t="s">
        <v>4</v>
      </c>
      <c r="Q318" s="56"/>
      <c r="R318" s="50">
        <v>45913</v>
      </c>
      <c r="S318" s="50">
        <v>45918</v>
      </c>
      <c r="T318" s="51">
        <f t="shared" si="4"/>
        <v>5</v>
      </c>
      <c r="U318" s="56">
        <v>1</v>
      </c>
      <c r="V318" s="56">
        <v>1</v>
      </c>
      <c r="W318" s="56">
        <v>0</v>
      </c>
      <c r="X318" s="56">
        <v>1</v>
      </c>
      <c r="Y318" s="56">
        <v>0</v>
      </c>
      <c r="Z318" s="56">
        <v>1</v>
      </c>
      <c r="AA318" s="56">
        <v>0</v>
      </c>
      <c r="AB318" s="56"/>
      <c r="AC318" s="58">
        <v>45913</v>
      </c>
      <c r="AD318" s="59">
        <v>0.58680555555474712</v>
      </c>
      <c r="AE318" s="56" t="s">
        <v>61</v>
      </c>
      <c r="AF318" s="58">
        <v>45918</v>
      </c>
      <c r="AG318" s="59">
        <v>0.56944444444525288</v>
      </c>
      <c r="AH318" s="56" t="s">
        <v>492</v>
      </c>
      <c r="AI318" s="56" t="s">
        <v>1293</v>
      </c>
      <c r="AJ318" s="56" t="s">
        <v>64</v>
      </c>
      <c r="AK318" s="56"/>
      <c r="AL318" s="56" t="s">
        <v>1</v>
      </c>
      <c r="AM318" s="56" t="s">
        <v>65</v>
      </c>
      <c r="AN318" s="60"/>
      <c r="AO318" s="61"/>
    </row>
    <row r="319" spans="3:41" ht="14.25" customHeight="1">
      <c r="C319" s="55" t="str">
        <f>IF($X319=1,COUNTIF($C$10:C318,"&gt;0")+1,"")</f>
        <v/>
      </c>
      <c r="D319" s="56"/>
      <c r="E319" s="56" t="s">
        <v>1287</v>
      </c>
      <c r="F319" s="57" t="s">
        <v>1317</v>
      </c>
      <c r="G319" s="56" t="s">
        <v>1314</v>
      </c>
      <c r="H319" s="56" t="s">
        <v>1318</v>
      </c>
      <c r="I319" s="56" t="s">
        <v>1319</v>
      </c>
      <c r="J319" s="56" t="s">
        <v>68</v>
      </c>
      <c r="K319" s="56" t="s">
        <v>59</v>
      </c>
      <c r="L319" s="58">
        <v>30629</v>
      </c>
      <c r="M319" s="56">
        <v>41</v>
      </c>
      <c r="N319" s="56" t="s">
        <v>1320</v>
      </c>
      <c r="O319" s="58">
        <v>45456</v>
      </c>
      <c r="P319" s="56" t="s">
        <v>4</v>
      </c>
      <c r="Q319" s="56"/>
      <c r="R319" s="50">
        <v>45913</v>
      </c>
      <c r="S319" s="50">
        <v>45918</v>
      </c>
      <c r="T319" s="51">
        <f t="shared" si="4"/>
        <v>5</v>
      </c>
      <c r="U319" s="56">
        <v>1</v>
      </c>
      <c r="V319" s="56">
        <v>1</v>
      </c>
      <c r="W319" s="56">
        <v>0</v>
      </c>
      <c r="X319" s="56">
        <v>0</v>
      </c>
      <c r="Y319" s="56">
        <v>0</v>
      </c>
      <c r="Z319" s="56">
        <v>0</v>
      </c>
      <c r="AA319" s="56">
        <v>0</v>
      </c>
      <c r="AB319" s="56"/>
      <c r="AC319" s="58">
        <v>45913</v>
      </c>
      <c r="AD319" s="59">
        <v>0.72222222222222221</v>
      </c>
      <c r="AE319" s="56" t="s">
        <v>1321</v>
      </c>
      <c r="AF319" s="58">
        <v>45918</v>
      </c>
      <c r="AG319" s="70">
        <v>0.78472222222222221</v>
      </c>
      <c r="AH319" s="56" t="s">
        <v>393</v>
      </c>
      <c r="AI319" s="56" t="s">
        <v>1293</v>
      </c>
      <c r="AJ319" s="56" t="s">
        <v>64</v>
      </c>
      <c r="AK319" s="56" t="s">
        <v>64</v>
      </c>
      <c r="AL319" s="56" t="s">
        <v>1</v>
      </c>
      <c r="AM319" s="56" t="s">
        <v>65</v>
      </c>
      <c r="AN319" s="60"/>
      <c r="AO319" s="61"/>
    </row>
    <row r="320" spans="3:41" ht="14.25" customHeight="1">
      <c r="C320" s="55">
        <f>IF($X320=1,COUNTIF($C$10:C319,"&gt;0")+1,"")</f>
        <v>153</v>
      </c>
      <c r="D320" s="56">
        <v>462710870</v>
      </c>
      <c r="E320" s="56" t="s">
        <v>1287</v>
      </c>
      <c r="F320" s="57" t="s">
        <v>1322</v>
      </c>
      <c r="G320" s="56" t="s">
        <v>1322</v>
      </c>
      <c r="H320" s="56" t="s">
        <v>1323</v>
      </c>
      <c r="I320" s="56" t="s">
        <v>455</v>
      </c>
      <c r="J320" s="56" t="s">
        <v>68</v>
      </c>
      <c r="K320" s="56" t="s">
        <v>59</v>
      </c>
      <c r="L320" s="58">
        <v>18499</v>
      </c>
      <c r="M320" s="56">
        <v>75</v>
      </c>
      <c r="N320" s="56" t="s">
        <v>1324</v>
      </c>
      <c r="O320" s="58">
        <v>48736</v>
      </c>
      <c r="P320" s="56" t="s">
        <v>4</v>
      </c>
      <c r="Q320" s="56"/>
      <c r="R320" s="50">
        <v>45913</v>
      </c>
      <c r="S320" s="50">
        <v>45918</v>
      </c>
      <c r="T320" s="51">
        <f t="shared" si="4"/>
        <v>5</v>
      </c>
      <c r="U320" s="56">
        <v>1</v>
      </c>
      <c r="V320" s="56">
        <v>1</v>
      </c>
      <c r="W320" s="56">
        <v>0</v>
      </c>
      <c r="X320" s="56">
        <v>1</v>
      </c>
      <c r="Y320" s="56">
        <v>0</v>
      </c>
      <c r="Z320" s="56">
        <v>1</v>
      </c>
      <c r="AA320" s="56">
        <v>0</v>
      </c>
      <c r="AB320" s="56"/>
      <c r="AC320" s="58">
        <v>45913</v>
      </c>
      <c r="AD320" s="59">
        <v>0.20833333333575865</v>
      </c>
      <c r="AE320" s="56" t="s">
        <v>1325</v>
      </c>
      <c r="AF320" s="58" t="s">
        <v>64</v>
      </c>
      <c r="AG320" s="59" t="s">
        <v>64</v>
      </c>
      <c r="AH320" s="56" t="s">
        <v>64</v>
      </c>
      <c r="AI320" s="56" t="s">
        <v>1293</v>
      </c>
      <c r="AJ320" s="56" t="s">
        <v>64</v>
      </c>
      <c r="AK320" s="56" t="s">
        <v>64</v>
      </c>
      <c r="AL320" s="56" t="s">
        <v>1</v>
      </c>
      <c r="AM320" s="56" t="s">
        <v>65</v>
      </c>
      <c r="AN320" s="60"/>
      <c r="AO320" s="61"/>
    </row>
    <row r="321" spans="3:41" ht="14.25" customHeight="1">
      <c r="C321" s="55" t="str">
        <f>IF($X321=1,COUNTIF($C$10:C320,"&gt;0")+1,"")</f>
        <v/>
      </c>
      <c r="D321" s="56"/>
      <c r="E321" s="56" t="s">
        <v>1287</v>
      </c>
      <c r="F321" s="57" t="s">
        <v>1326</v>
      </c>
      <c r="G321" s="56" t="s">
        <v>1322</v>
      </c>
      <c r="H321" s="56" t="s">
        <v>1327</v>
      </c>
      <c r="I321" s="56" t="s">
        <v>1328</v>
      </c>
      <c r="J321" s="56" t="s">
        <v>68</v>
      </c>
      <c r="K321" s="56" t="s">
        <v>59</v>
      </c>
      <c r="L321" s="58">
        <v>31093</v>
      </c>
      <c r="M321" s="56">
        <v>40</v>
      </c>
      <c r="N321" s="56" t="s">
        <v>1329</v>
      </c>
      <c r="O321" s="58">
        <v>46509</v>
      </c>
      <c r="P321" s="56" t="s">
        <v>4</v>
      </c>
      <c r="Q321" s="56"/>
      <c r="R321" s="50">
        <v>45913</v>
      </c>
      <c r="S321" s="50">
        <v>45918</v>
      </c>
      <c r="T321" s="51">
        <f t="shared" si="4"/>
        <v>5</v>
      </c>
      <c r="U321" s="56">
        <v>1</v>
      </c>
      <c r="V321" s="56">
        <v>1</v>
      </c>
      <c r="W321" s="56">
        <v>0</v>
      </c>
      <c r="X321" s="56">
        <v>0</v>
      </c>
      <c r="Y321" s="56">
        <v>0</v>
      </c>
      <c r="Z321" s="56">
        <v>0</v>
      </c>
      <c r="AA321" s="56">
        <v>0</v>
      </c>
      <c r="AB321" s="56"/>
      <c r="AC321" s="58">
        <v>45913</v>
      </c>
      <c r="AD321" s="59">
        <v>0.64583333333575865</v>
      </c>
      <c r="AE321" s="56" t="s">
        <v>312</v>
      </c>
      <c r="AF321" s="58" t="s">
        <v>64</v>
      </c>
      <c r="AG321" s="59" t="s">
        <v>64</v>
      </c>
      <c r="AH321" s="56" t="s">
        <v>64</v>
      </c>
      <c r="AI321" s="56" t="s">
        <v>1293</v>
      </c>
      <c r="AJ321" s="56" t="s">
        <v>64</v>
      </c>
      <c r="AK321" s="56" t="s">
        <v>64</v>
      </c>
      <c r="AL321" s="56" t="s">
        <v>1</v>
      </c>
      <c r="AM321" s="56" t="s">
        <v>65</v>
      </c>
      <c r="AN321" s="60"/>
      <c r="AO321" s="61"/>
    </row>
    <row r="322" spans="3:41" ht="14.25" customHeight="1">
      <c r="C322" s="55">
        <f>IF($X322=1,COUNTIF($C$10:C321,"&gt;0")+1,"")</f>
        <v>154</v>
      </c>
      <c r="D322" s="76">
        <v>462710871</v>
      </c>
      <c r="E322" s="56" t="s">
        <v>1287</v>
      </c>
      <c r="F322" s="57" t="s">
        <v>1330</v>
      </c>
      <c r="G322" s="56" t="s">
        <v>1330</v>
      </c>
      <c r="H322" s="56" t="s">
        <v>1331</v>
      </c>
      <c r="I322" s="56" t="s">
        <v>1332</v>
      </c>
      <c r="J322" s="56" t="s">
        <v>68</v>
      </c>
      <c r="K322" s="56" t="s">
        <v>59</v>
      </c>
      <c r="L322" s="58">
        <v>26151</v>
      </c>
      <c r="M322" s="56">
        <v>54</v>
      </c>
      <c r="N322" s="56" t="s">
        <v>1333</v>
      </c>
      <c r="O322" s="58">
        <v>47357</v>
      </c>
      <c r="P322" s="56" t="s">
        <v>4</v>
      </c>
      <c r="Q322" s="56"/>
      <c r="R322" s="50">
        <v>45913</v>
      </c>
      <c r="S322" s="50">
        <v>45918</v>
      </c>
      <c r="T322" s="51">
        <f t="shared" si="4"/>
        <v>5</v>
      </c>
      <c r="U322" s="56">
        <v>1</v>
      </c>
      <c r="V322" s="56">
        <v>1</v>
      </c>
      <c r="W322" s="56">
        <v>0</v>
      </c>
      <c r="X322" s="56">
        <v>1</v>
      </c>
      <c r="Y322" s="56">
        <v>0</v>
      </c>
      <c r="Z322" s="56">
        <v>1</v>
      </c>
      <c r="AA322" s="56">
        <v>0</v>
      </c>
      <c r="AB322" s="56"/>
      <c r="AC322" s="58">
        <v>45913</v>
      </c>
      <c r="AD322" s="59">
        <v>0.20833333333575865</v>
      </c>
      <c r="AE322" s="56" t="s">
        <v>1325</v>
      </c>
      <c r="AF322" s="58">
        <v>45918</v>
      </c>
      <c r="AG322" s="59">
        <v>0.85069444444525288</v>
      </c>
      <c r="AH322" s="56" t="s">
        <v>1334</v>
      </c>
      <c r="AI322" s="56" t="s">
        <v>1293</v>
      </c>
      <c r="AJ322" s="56" t="s">
        <v>598</v>
      </c>
      <c r="AK322" s="74" t="s">
        <v>1335</v>
      </c>
      <c r="AL322" s="56" t="s">
        <v>1</v>
      </c>
      <c r="AM322" s="56" t="s">
        <v>65</v>
      </c>
      <c r="AN322" s="60"/>
      <c r="AO322" s="61"/>
    </row>
    <row r="323" spans="3:41" ht="14.25" customHeight="1">
      <c r="C323" s="55" t="str">
        <f>IF($X323=1,COUNTIF($C$10:C322,"&gt;0")+1,"")</f>
        <v/>
      </c>
      <c r="D323" s="76"/>
      <c r="E323" s="56" t="s">
        <v>1287</v>
      </c>
      <c r="F323" s="57" t="s">
        <v>1336</v>
      </c>
      <c r="G323" s="56" t="s">
        <v>1330</v>
      </c>
      <c r="H323" s="56" t="s">
        <v>1337</v>
      </c>
      <c r="I323" s="56" t="s">
        <v>82</v>
      </c>
      <c r="J323" s="56" t="s">
        <v>58</v>
      </c>
      <c r="K323" s="56" t="s">
        <v>59</v>
      </c>
      <c r="L323" s="58">
        <v>26232</v>
      </c>
      <c r="M323" s="56">
        <v>53</v>
      </c>
      <c r="N323" s="56" t="s">
        <v>1338</v>
      </c>
      <c r="O323" s="58">
        <v>48519</v>
      </c>
      <c r="P323" s="56" t="s">
        <v>4</v>
      </c>
      <c r="Q323" s="56"/>
      <c r="R323" s="50">
        <v>45913</v>
      </c>
      <c r="S323" s="50">
        <v>45918</v>
      </c>
      <c r="T323" s="51">
        <f t="shared" si="4"/>
        <v>5</v>
      </c>
      <c r="U323" s="56">
        <v>1</v>
      </c>
      <c r="V323" s="56">
        <v>1</v>
      </c>
      <c r="W323" s="56">
        <v>0</v>
      </c>
      <c r="X323" s="56">
        <v>0</v>
      </c>
      <c r="Y323" s="56">
        <v>0</v>
      </c>
      <c r="Z323" s="56">
        <v>0</v>
      </c>
      <c r="AA323" s="56">
        <v>0</v>
      </c>
      <c r="AB323" s="56"/>
      <c r="AC323" s="58">
        <v>45913</v>
      </c>
      <c r="AD323" s="59">
        <v>0.20833333333575865</v>
      </c>
      <c r="AE323" s="56" t="s">
        <v>1325</v>
      </c>
      <c r="AF323" s="58">
        <v>45918</v>
      </c>
      <c r="AG323" s="59">
        <v>0.85069444444525288</v>
      </c>
      <c r="AH323" s="56" t="s">
        <v>1334</v>
      </c>
      <c r="AI323" s="56" t="s">
        <v>1293</v>
      </c>
      <c r="AJ323" s="56" t="s">
        <v>64</v>
      </c>
      <c r="AK323" s="74" t="s">
        <v>64</v>
      </c>
      <c r="AL323" s="56" t="s">
        <v>1</v>
      </c>
      <c r="AM323" s="56" t="s">
        <v>65</v>
      </c>
      <c r="AN323" s="60"/>
      <c r="AO323" s="61"/>
    </row>
    <row r="324" spans="3:41" ht="14.25" customHeight="1">
      <c r="C324" s="55">
        <f>IF($X324=1,COUNTIF($C$10:C323,"&gt;0")+1,"")</f>
        <v>155</v>
      </c>
      <c r="D324" s="76">
        <v>462710872</v>
      </c>
      <c r="E324" s="56" t="s">
        <v>1287</v>
      </c>
      <c r="F324" s="57" t="s">
        <v>1339</v>
      </c>
      <c r="G324" s="56" t="s">
        <v>1330</v>
      </c>
      <c r="H324" s="56" t="s">
        <v>1340</v>
      </c>
      <c r="I324" s="56" t="s">
        <v>82</v>
      </c>
      <c r="J324" s="56" t="s">
        <v>58</v>
      </c>
      <c r="K324" s="56" t="s">
        <v>59</v>
      </c>
      <c r="L324" s="58">
        <v>37982</v>
      </c>
      <c r="M324" s="56">
        <v>21</v>
      </c>
      <c r="N324" s="56" t="s">
        <v>1341</v>
      </c>
      <c r="O324" s="58">
        <v>49045</v>
      </c>
      <c r="P324" s="56" t="s">
        <v>4</v>
      </c>
      <c r="Q324" s="56"/>
      <c r="R324" s="50">
        <v>45913</v>
      </c>
      <c r="S324" s="50">
        <v>45918</v>
      </c>
      <c r="T324" s="51">
        <f t="shared" si="4"/>
        <v>5</v>
      </c>
      <c r="U324" s="56">
        <v>1</v>
      </c>
      <c r="V324" s="56">
        <v>1</v>
      </c>
      <c r="W324" s="56">
        <v>0</v>
      </c>
      <c r="X324" s="56">
        <v>1</v>
      </c>
      <c r="Y324" s="56">
        <v>0</v>
      </c>
      <c r="Z324" s="56">
        <v>1</v>
      </c>
      <c r="AA324" s="56">
        <v>0</v>
      </c>
      <c r="AB324" s="56"/>
      <c r="AC324" s="58">
        <v>45913</v>
      </c>
      <c r="AD324" s="59">
        <v>0.20833333333575865</v>
      </c>
      <c r="AE324" s="56" t="s">
        <v>1325</v>
      </c>
      <c r="AF324" s="58">
        <v>45918</v>
      </c>
      <c r="AG324" s="59">
        <v>0.85069444444525288</v>
      </c>
      <c r="AH324" s="56" t="s">
        <v>1334</v>
      </c>
      <c r="AI324" s="56" t="s">
        <v>1293</v>
      </c>
      <c r="AJ324" s="56" t="s">
        <v>64</v>
      </c>
      <c r="AK324" s="74" t="s">
        <v>1342</v>
      </c>
      <c r="AL324" s="56" t="s">
        <v>1</v>
      </c>
      <c r="AM324" s="56" t="s">
        <v>65</v>
      </c>
      <c r="AN324" s="60"/>
      <c r="AO324" s="61"/>
    </row>
    <row r="325" spans="3:41" ht="14.25" customHeight="1">
      <c r="C325" s="55" t="str">
        <f>IF($X325=1,COUNTIF($C$10:C324,"&gt;0")+1,"")</f>
        <v/>
      </c>
      <c r="D325" s="76"/>
      <c r="E325" s="56" t="s">
        <v>1287</v>
      </c>
      <c r="F325" s="57" t="s">
        <v>1343</v>
      </c>
      <c r="G325" s="56" t="s">
        <v>1330</v>
      </c>
      <c r="H325" s="56" t="s">
        <v>1344</v>
      </c>
      <c r="I325" s="56" t="s">
        <v>82</v>
      </c>
      <c r="J325" s="56" t="s">
        <v>58</v>
      </c>
      <c r="K325" s="56" t="s">
        <v>59</v>
      </c>
      <c r="L325" s="58">
        <v>39053</v>
      </c>
      <c r="M325" s="56">
        <v>18</v>
      </c>
      <c r="N325" s="56" t="s">
        <v>1345</v>
      </c>
      <c r="O325" s="58">
        <v>49045</v>
      </c>
      <c r="P325" s="56" t="s">
        <v>4</v>
      </c>
      <c r="Q325" s="56"/>
      <c r="R325" s="50">
        <v>45913</v>
      </c>
      <c r="S325" s="50">
        <v>45918</v>
      </c>
      <c r="T325" s="51">
        <f t="shared" si="4"/>
        <v>5</v>
      </c>
      <c r="U325" s="56">
        <v>1</v>
      </c>
      <c r="V325" s="56">
        <v>1</v>
      </c>
      <c r="W325" s="56">
        <v>0</v>
      </c>
      <c r="X325" s="56">
        <v>0</v>
      </c>
      <c r="Y325" s="56">
        <v>0</v>
      </c>
      <c r="Z325" s="56">
        <v>0</v>
      </c>
      <c r="AA325" s="56">
        <v>0</v>
      </c>
      <c r="AB325" s="56"/>
      <c r="AC325" s="58">
        <v>45913</v>
      </c>
      <c r="AD325" s="59">
        <v>0.20833333333575865</v>
      </c>
      <c r="AE325" s="56" t="s">
        <v>1325</v>
      </c>
      <c r="AF325" s="58">
        <v>45918</v>
      </c>
      <c r="AG325" s="59">
        <v>0.85069444444525288</v>
      </c>
      <c r="AH325" s="56" t="s">
        <v>1334</v>
      </c>
      <c r="AI325" s="56" t="s">
        <v>1293</v>
      </c>
      <c r="AJ325" s="56" t="s">
        <v>64</v>
      </c>
      <c r="AK325" s="74" t="s">
        <v>64</v>
      </c>
      <c r="AL325" s="56" t="s">
        <v>1</v>
      </c>
      <c r="AM325" s="56" t="s">
        <v>65</v>
      </c>
      <c r="AN325" s="60"/>
      <c r="AO325" s="61"/>
    </row>
    <row r="326" spans="3:41" ht="14.25" customHeight="1">
      <c r="C326" s="55">
        <f>IF($X326=1,COUNTIF($C$10:C325,"&gt;0")+1,"")</f>
        <v>156</v>
      </c>
      <c r="D326" s="76">
        <v>462710873</v>
      </c>
      <c r="E326" s="56" t="s">
        <v>1287</v>
      </c>
      <c r="F326" s="57" t="s">
        <v>1346</v>
      </c>
      <c r="G326" s="56" t="s">
        <v>1346</v>
      </c>
      <c r="H326" s="56" t="s">
        <v>1347</v>
      </c>
      <c r="I326" s="56" t="s">
        <v>1348</v>
      </c>
      <c r="J326" s="56" t="s">
        <v>68</v>
      </c>
      <c r="K326" s="56" t="s">
        <v>59</v>
      </c>
      <c r="L326" s="58">
        <v>30863</v>
      </c>
      <c r="M326" s="56">
        <v>41</v>
      </c>
      <c r="N326" s="56" t="s">
        <v>1349</v>
      </c>
      <c r="O326" s="58">
        <v>46231</v>
      </c>
      <c r="P326" s="56" t="s">
        <v>4</v>
      </c>
      <c r="Q326" s="56"/>
      <c r="R326" s="50">
        <v>45913</v>
      </c>
      <c r="S326" s="50">
        <v>45918</v>
      </c>
      <c r="T326" s="51">
        <f t="shared" si="4"/>
        <v>5</v>
      </c>
      <c r="U326" s="56">
        <v>1</v>
      </c>
      <c r="V326" s="56">
        <v>1</v>
      </c>
      <c r="W326" s="56">
        <v>0</v>
      </c>
      <c r="X326" s="56">
        <v>1</v>
      </c>
      <c r="Y326" s="56">
        <v>0</v>
      </c>
      <c r="Z326" s="56">
        <v>1</v>
      </c>
      <c r="AA326" s="56">
        <v>0</v>
      </c>
      <c r="AB326" s="56"/>
      <c r="AC326" s="58">
        <v>45913</v>
      </c>
      <c r="AD326" s="59">
        <v>0.65972222221898846</v>
      </c>
      <c r="AE326" s="56" t="s">
        <v>101</v>
      </c>
      <c r="AF326" s="58">
        <v>45918</v>
      </c>
      <c r="AG326" s="59">
        <v>0.86111111110949423</v>
      </c>
      <c r="AH326" s="56" t="s">
        <v>1292</v>
      </c>
      <c r="AI326" s="56" t="s">
        <v>1293</v>
      </c>
      <c r="AJ326" s="56" t="s">
        <v>64</v>
      </c>
      <c r="AK326" s="56" t="s">
        <v>64</v>
      </c>
      <c r="AL326" s="56" t="s">
        <v>1</v>
      </c>
      <c r="AM326" s="56" t="s">
        <v>65</v>
      </c>
      <c r="AN326" s="60"/>
      <c r="AO326" s="61"/>
    </row>
    <row r="327" spans="3:41" ht="14.25" customHeight="1">
      <c r="C327" s="55" t="str">
        <f>IF($X327=1,COUNTIF($C$10:C326,"&gt;0")+1,"")</f>
        <v/>
      </c>
      <c r="D327" s="76"/>
      <c r="E327" s="56" t="s">
        <v>1287</v>
      </c>
      <c r="F327" s="57" t="s">
        <v>1350</v>
      </c>
      <c r="G327" s="56" t="s">
        <v>1346</v>
      </c>
      <c r="H327" s="56" t="s">
        <v>1351</v>
      </c>
      <c r="I327" s="56" t="s">
        <v>1352</v>
      </c>
      <c r="J327" s="56" t="s">
        <v>58</v>
      </c>
      <c r="K327" s="56" t="s">
        <v>59</v>
      </c>
      <c r="L327" s="58">
        <v>29170</v>
      </c>
      <c r="M327" s="56">
        <v>45</v>
      </c>
      <c r="N327" s="56" t="s">
        <v>1353</v>
      </c>
      <c r="O327" s="58">
        <v>46227</v>
      </c>
      <c r="P327" s="56" t="s">
        <v>4</v>
      </c>
      <c r="Q327" s="56"/>
      <c r="R327" s="50">
        <v>45913</v>
      </c>
      <c r="S327" s="50">
        <v>45918</v>
      </c>
      <c r="T327" s="51">
        <f t="shared" si="4"/>
        <v>5</v>
      </c>
      <c r="U327" s="56">
        <v>1</v>
      </c>
      <c r="V327" s="56">
        <v>1</v>
      </c>
      <c r="W327" s="56">
        <v>0</v>
      </c>
      <c r="X327" s="56">
        <v>0</v>
      </c>
      <c r="Y327" s="56">
        <v>0</v>
      </c>
      <c r="Z327" s="56">
        <v>0</v>
      </c>
      <c r="AA327" s="56">
        <v>0</v>
      </c>
      <c r="AB327" s="56"/>
      <c r="AC327" s="58">
        <v>45913</v>
      </c>
      <c r="AD327" s="59">
        <v>0.65972222221898846</v>
      </c>
      <c r="AE327" s="56" t="s">
        <v>101</v>
      </c>
      <c r="AF327" s="58">
        <v>45918</v>
      </c>
      <c r="AG327" s="59">
        <v>0.86111111110949423</v>
      </c>
      <c r="AH327" s="56" t="s">
        <v>1292</v>
      </c>
      <c r="AI327" s="56" t="s">
        <v>1293</v>
      </c>
      <c r="AJ327" s="56" t="s">
        <v>64</v>
      </c>
      <c r="AK327" s="56" t="s">
        <v>64</v>
      </c>
      <c r="AL327" s="56" t="s">
        <v>1</v>
      </c>
      <c r="AM327" s="56" t="s">
        <v>65</v>
      </c>
      <c r="AN327" s="60"/>
      <c r="AO327" s="61"/>
    </row>
    <row r="328" spans="3:41" ht="14.25" customHeight="1">
      <c r="C328" s="55">
        <f>IF($X328=1,COUNTIF($C$10:C327,"&gt;0")+1,"")</f>
        <v>157</v>
      </c>
      <c r="D328" s="76">
        <v>462710874</v>
      </c>
      <c r="E328" s="56" t="s">
        <v>1287</v>
      </c>
      <c r="F328" s="57" t="s">
        <v>1354</v>
      </c>
      <c r="G328" s="56" t="s">
        <v>1346</v>
      </c>
      <c r="H328" s="56" t="s">
        <v>1355</v>
      </c>
      <c r="I328" s="56" t="s">
        <v>1352</v>
      </c>
      <c r="J328" s="56" t="s">
        <v>68</v>
      </c>
      <c r="K328" s="56" t="s">
        <v>59</v>
      </c>
      <c r="L328" s="58">
        <v>39729</v>
      </c>
      <c r="M328" s="56">
        <v>16</v>
      </c>
      <c r="N328" s="56" t="s">
        <v>1356</v>
      </c>
      <c r="O328" s="58">
        <v>46491</v>
      </c>
      <c r="P328" s="56" t="s">
        <v>5</v>
      </c>
      <c r="Q328" s="56"/>
      <c r="R328" s="50">
        <v>45913</v>
      </c>
      <c r="S328" s="50">
        <v>45918</v>
      </c>
      <c r="T328" s="51">
        <f t="shared" si="4"/>
        <v>5</v>
      </c>
      <c r="U328" s="56">
        <v>1</v>
      </c>
      <c r="V328" s="56">
        <v>1</v>
      </c>
      <c r="W328" s="56">
        <v>0</v>
      </c>
      <c r="X328" s="56">
        <v>1</v>
      </c>
      <c r="Y328" s="56">
        <v>0</v>
      </c>
      <c r="Z328" s="56">
        <v>0</v>
      </c>
      <c r="AA328" s="56">
        <v>1</v>
      </c>
      <c r="AB328" s="56"/>
      <c r="AC328" s="58">
        <v>45913</v>
      </c>
      <c r="AD328" s="59">
        <v>0.65972222221898846</v>
      </c>
      <c r="AE328" s="56" t="s">
        <v>101</v>
      </c>
      <c r="AF328" s="58">
        <v>45918</v>
      </c>
      <c r="AG328" s="59">
        <v>0.86111111110949423</v>
      </c>
      <c r="AH328" s="56" t="s">
        <v>1292</v>
      </c>
      <c r="AI328" s="56" t="s">
        <v>1293</v>
      </c>
      <c r="AJ328" s="56" t="s">
        <v>64</v>
      </c>
      <c r="AK328" s="56" t="s">
        <v>64</v>
      </c>
      <c r="AL328" s="56" t="s">
        <v>1</v>
      </c>
      <c r="AM328" s="56" t="s">
        <v>65</v>
      </c>
      <c r="AN328" s="60"/>
      <c r="AO328" s="61"/>
    </row>
    <row r="329" spans="3:41" ht="14.25" customHeight="1">
      <c r="C329" s="55" t="str">
        <f>IF($X329=1,COUNTIF($C$10:C328,"&gt;0")+1,"")</f>
        <v/>
      </c>
      <c r="D329" s="76"/>
      <c r="E329" s="56" t="s">
        <v>1287</v>
      </c>
      <c r="F329" s="57" t="s">
        <v>1357</v>
      </c>
      <c r="G329" s="56" t="s">
        <v>1346</v>
      </c>
      <c r="H329" s="56" t="s">
        <v>1358</v>
      </c>
      <c r="I329" s="56" t="s">
        <v>1359</v>
      </c>
      <c r="J329" s="56" t="s">
        <v>68</v>
      </c>
      <c r="K329" s="56" t="s">
        <v>59</v>
      </c>
      <c r="L329" s="58">
        <v>31325</v>
      </c>
      <c r="M329" s="56">
        <v>39</v>
      </c>
      <c r="N329" s="56" t="s">
        <v>1360</v>
      </c>
      <c r="O329" s="58">
        <v>46322</v>
      </c>
      <c r="P329" s="56" t="s">
        <v>5</v>
      </c>
      <c r="Q329" s="56"/>
      <c r="R329" s="50">
        <v>45913</v>
      </c>
      <c r="S329" s="50">
        <v>45918</v>
      </c>
      <c r="T329" s="51">
        <f t="shared" si="4"/>
        <v>5</v>
      </c>
      <c r="U329" s="56">
        <v>1</v>
      </c>
      <c r="V329" s="56">
        <v>1</v>
      </c>
      <c r="W329" s="56">
        <v>0</v>
      </c>
      <c r="X329" s="56">
        <v>0</v>
      </c>
      <c r="Y329" s="56">
        <v>0</v>
      </c>
      <c r="Z329" s="56">
        <v>0</v>
      </c>
      <c r="AA329" s="56">
        <v>0</v>
      </c>
      <c r="AB329" s="56"/>
      <c r="AC329" s="58">
        <v>45913</v>
      </c>
      <c r="AD329" s="59">
        <v>0.65972222221898846</v>
      </c>
      <c r="AE329" s="56" t="s">
        <v>101</v>
      </c>
      <c r="AF329" s="58">
        <v>45918</v>
      </c>
      <c r="AG329" s="59">
        <v>0.86111111110949423</v>
      </c>
      <c r="AH329" s="56" t="s">
        <v>1292</v>
      </c>
      <c r="AI329" s="56" t="s">
        <v>1293</v>
      </c>
      <c r="AJ329" s="56" t="s">
        <v>64</v>
      </c>
      <c r="AK329" s="56" t="s">
        <v>64</v>
      </c>
      <c r="AL329" s="56" t="s">
        <v>1</v>
      </c>
      <c r="AM329" s="56" t="s">
        <v>65</v>
      </c>
      <c r="AN329" s="60"/>
      <c r="AO329" s="61"/>
    </row>
    <row r="330" spans="3:41" ht="14.25" customHeight="1">
      <c r="C330" s="55">
        <f>IF($X330=1,COUNTIF($C$10:C329,"&gt;0")+1,"")</f>
        <v>158</v>
      </c>
      <c r="D330" s="76">
        <v>462710875</v>
      </c>
      <c r="E330" s="56" t="s">
        <v>1287</v>
      </c>
      <c r="F330" s="57" t="s">
        <v>1361</v>
      </c>
      <c r="G330" s="56" t="s">
        <v>1346</v>
      </c>
      <c r="H330" s="56" t="s">
        <v>1362</v>
      </c>
      <c r="I330" s="56" t="s">
        <v>1352</v>
      </c>
      <c r="J330" s="56" t="s">
        <v>58</v>
      </c>
      <c r="K330" s="56" t="s">
        <v>59</v>
      </c>
      <c r="L330" s="58">
        <v>38408</v>
      </c>
      <c r="M330" s="56">
        <v>20</v>
      </c>
      <c r="N330" s="56" t="s">
        <v>1363</v>
      </c>
      <c r="O330" s="58">
        <v>48318</v>
      </c>
      <c r="P330" s="56" t="s">
        <v>5</v>
      </c>
      <c r="Q330" s="56"/>
      <c r="R330" s="50">
        <v>45913</v>
      </c>
      <c r="S330" s="50">
        <v>45918</v>
      </c>
      <c r="T330" s="51">
        <f t="shared" si="4"/>
        <v>5</v>
      </c>
      <c r="U330" s="56">
        <v>1</v>
      </c>
      <c r="V330" s="56">
        <v>1</v>
      </c>
      <c r="W330" s="56">
        <v>0</v>
      </c>
      <c r="X330" s="56">
        <v>1</v>
      </c>
      <c r="Y330" s="56">
        <v>0</v>
      </c>
      <c r="Z330" s="56">
        <v>0</v>
      </c>
      <c r="AA330" s="56">
        <v>1</v>
      </c>
      <c r="AB330" s="56"/>
      <c r="AC330" s="58">
        <v>45913</v>
      </c>
      <c r="AD330" s="59">
        <v>0.65972222221898846</v>
      </c>
      <c r="AE330" s="56" t="s">
        <v>101</v>
      </c>
      <c r="AF330" s="58">
        <v>45918</v>
      </c>
      <c r="AG330" s="59">
        <v>0.86111111110949423</v>
      </c>
      <c r="AH330" s="56" t="s">
        <v>1292</v>
      </c>
      <c r="AI330" s="56" t="s">
        <v>1293</v>
      </c>
      <c r="AJ330" s="56" t="s">
        <v>64</v>
      </c>
      <c r="AK330" s="56" t="s">
        <v>64</v>
      </c>
      <c r="AL330" s="56" t="s">
        <v>1</v>
      </c>
      <c r="AM330" s="56" t="s">
        <v>65</v>
      </c>
      <c r="AN330" s="60"/>
      <c r="AO330" s="61"/>
    </row>
    <row r="331" spans="3:41" ht="14.25" customHeight="1">
      <c r="C331" s="55" t="str">
        <f>IF($X331=1,COUNTIF($C$10:C330,"&gt;0")+1,"")</f>
        <v/>
      </c>
      <c r="D331" s="76"/>
      <c r="E331" s="56" t="s">
        <v>1287</v>
      </c>
      <c r="F331" s="57" t="s">
        <v>1364</v>
      </c>
      <c r="G331" s="56" t="s">
        <v>1346</v>
      </c>
      <c r="H331" s="56" t="s">
        <v>1365</v>
      </c>
      <c r="I331" s="56" t="s">
        <v>1352</v>
      </c>
      <c r="J331" s="56" t="s">
        <v>58</v>
      </c>
      <c r="K331" s="56" t="s">
        <v>59</v>
      </c>
      <c r="L331" s="58">
        <v>41273</v>
      </c>
      <c r="M331" s="56">
        <v>12</v>
      </c>
      <c r="N331" s="56" t="s">
        <v>1366</v>
      </c>
      <c r="O331" s="58">
        <v>46491</v>
      </c>
      <c r="P331" s="56" t="s">
        <v>5</v>
      </c>
      <c r="Q331" s="56"/>
      <c r="R331" s="50">
        <v>45913</v>
      </c>
      <c r="S331" s="50">
        <v>45918</v>
      </c>
      <c r="T331" s="51">
        <f t="shared" si="4"/>
        <v>5</v>
      </c>
      <c r="U331" s="56">
        <v>1</v>
      </c>
      <c r="V331" s="56">
        <v>1</v>
      </c>
      <c r="W331" s="56">
        <v>0</v>
      </c>
      <c r="X331" s="56">
        <v>0</v>
      </c>
      <c r="Y331" s="56">
        <v>0</v>
      </c>
      <c r="Z331" s="56">
        <v>0</v>
      </c>
      <c r="AA331" s="56">
        <v>0</v>
      </c>
      <c r="AB331" s="56"/>
      <c r="AC331" s="58">
        <v>45913</v>
      </c>
      <c r="AD331" s="59">
        <v>0.65972222221898846</v>
      </c>
      <c r="AE331" s="56" t="s">
        <v>101</v>
      </c>
      <c r="AF331" s="58">
        <v>45918</v>
      </c>
      <c r="AG331" s="59">
        <v>0.86111111110949423</v>
      </c>
      <c r="AH331" s="56" t="s">
        <v>1292</v>
      </c>
      <c r="AI331" s="56" t="s">
        <v>1293</v>
      </c>
      <c r="AJ331" s="56" t="s">
        <v>64</v>
      </c>
      <c r="AK331" s="56" t="s">
        <v>64</v>
      </c>
      <c r="AL331" s="56" t="s">
        <v>1</v>
      </c>
      <c r="AM331" s="56" t="s">
        <v>65</v>
      </c>
      <c r="AN331" s="60"/>
      <c r="AO331" s="61"/>
    </row>
    <row r="332" spans="3:41" ht="14.25" customHeight="1">
      <c r="C332" s="55">
        <f>IF($X332=1,COUNTIF($C$10:C331,"&gt;0")+1,"")</f>
        <v>159</v>
      </c>
      <c r="D332" s="76">
        <v>462710877</v>
      </c>
      <c r="E332" s="56" t="s">
        <v>1287</v>
      </c>
      <c r="F332" s="57" t="s">
        <v>1367</v>
      </c>
      <c r="G332" s="56" t="s">
        <v>1367</v>
      </c>
      <c r="H332" s="56" t="s">
        <v>1368</v>
      </c>
      <c r="I332" s="56" t="s">
        <v>1369</v>
      </c>
      <c r="J332" s="56" t="s">
        <v>68</v>
      </c>
      <c r="K332" s="56" t="s">
        <v>59</v>
      </c>
      <c r="L332" s="58">
        <v>28876</v>
      </c>
      <c r="M332" s="56">
        <v>46</v>
      </c>
      <c r="N332" s="56" t="s">
        <v>1370</v>
      </c>
      <c r="O332" s="58">
        <v>48190</v>
      </c>
      <c r="P332" s="56" t="s">
        <v>4</v>
      </c>
      <c r="Q332" s="56"/>
      <c r="R332" s="50">
        <v>45913</v>
      </c>
      <c r="S332" s="50">
        <v>45918</v>
      </c>
      <c r="T332" s="51">
        <f t="shared" si="4"/>
        <v>5</v>
      </c>
      <c r="U332" s="56">
        <v>1</v>
      </c>
      <c r="V332" s="56">
        <v>1</v>
      </c>
      <c r="W332" s="56">
        <v>0</v>
      </c>
      <c r="X332" s="56">
        <v>1</v>
      </c>
      <c r="Y332" s="56">
        <v>0</v>
      </c>
      <c r="Z332" s="56">
        <v>1</v>
      </c>
      <c r="AA332" s="56">
        <v>0</v>
      </c>
      <c r="AB332" s="56"/>
      <c r="AC332" s="58">
        <v>45913</v>
      </c>
      <c r="AD332" s="59">
        <v>0.58680555555474712</v>
      </c>
      <c r="AE332" s="56" t="s">
        <v>61</v>
      </c>
      <c r="AF332" s="58">
        <v>45918</v>
      </c>
      <c r="AG332" s="59">
        <v>0.56944444444525288</v>
      </c>
      <c r="AH332" s="56" t="s">
        <v>492</v>
      </c>
      <c r="AI332" s="56" t="s">
        <v>1293</v>
      </c>
      <c r="AJ332" s="56" t="s">
        <v>64</v>
      </c>
      <c r="AK332" s="56" t="s">
        <v>64</v>
      </c>
      <c r="AL332" s="56" t="s">
        <v>1</v>
      </c>
      <c r="AM332" s="56" t="s">
        <v>65</v>
      </c>
      <c r="AN332" s="60"/>
      <c r="AO332" s="61"/>
    </row>
    <row r="333" spans="3:41" ht="14.25" customHeight="1">
      <c r="C333" s="55" t="str">
        <f>IF($X333=1,COUNTIF($C$10:C332,"&gt;0")+1,"")</f>
        <v/>
      </c>
      <c r="D333" s="76"/>
      <c r="E333" s="56" t="s">
        <v>1287</v>
      </c>
      <c r="F333" s="57" t="s">
        <v>1371</v>
      </c>
      <c r="G333" s="56" t="s">
        <v>1367</v>
      </c>
      <c r="H333" s="56" t="s">
        <v>1372</v>
      </c>
      <c r="I333" s="56" t="s">
        <v>759</v>
      </c>
      <c r="J333" s="56" t="s">
        <v>68</v>
      </c>
      <c r="K333" s="56" t="s">
        <v>59</v>
      </c>
      <c r="L333" s="58">
        <v>41168</v>
      </c>
      <c r="M333" s="56">
        <v>13</v>
      </c>
      <c r="N333" s="56" t="s">
        <v>1373</v>
      </c>
      <c r="O333" s="58">
        <v>46351</v>
      </c>
      <c r="P333" s="56" t="s">
        <v>4</v>
      </c>
      <c r="Q333" s="56"/>
      <c r="R333" s="50">
        <v>45913</v>
      </c>
      <c r="S333" s="50">
        <v>45918</v>
      </c>
      <c r="T333" s="51">
        <f t="shared" ref="T333:T376" si="5">S333-R333</f>
        <v>5</v>
      </c>
      <c r="U333" s="56">
        <v>1</v>
      </c>
      <c r="V333" s="56">
        <v>1</v>
      </c>
      <c r="W333" s="56">
        <v>0</v>
      </c>
      <c r="X333" s="56">
        <v>0</v>
      </c>
      <c r="Y333" s="56">
        <v>0</v>
      </c>
      <c r="Z333" s="56">
        <v>0</v>
      </c>
      <c r="AA333" s="56">
        <v>0</v>
      </c>
      <c r="AB333" s="56"/>
      <c r="AC333" s="58">
        <v>45913</v>
      </c>
      <c r="AD333" s="59">
        <v>0.58680555555474712</v>
      </c>
      <c r="AE333" s="56" t="s">
        <v>61</v>
      </c>
      <c r="AF333" s="58">
        <v>45918</v>
      </c>
      <c r="AG333" s="59">
        <v>0.56944444444525288</v>
      </c>
      <c r="AH333" s="56" t="s">
        <v>492</v>
      </c>
      <c r="AI333" s="56" t="s">
        <v>1293</v>
      </c>
      <c r="AJ333" s="56" t="s">
        <v>64</v>
      </c>
      <c r="AK333" s="56" t="s">
        <v>64</v>
      </c>
      <c r="AL333" s="56" t="s">
        <v>1</v>
      </c>
      <c r="AM333" s="56" t="s">
        <v>65</v>
      </c>
      <c r="AN333" s="60"/>
      <c r="AO333" s="61"/>
    </row>
    <row r="334" spans="3:41" ht="14.25" customHeight="1">
      <c r="C334" s="55">
        <f>IF($X334=1,COUNTIF($C$10:C333,"&gt;0")+1,"")</f>
        <v>160</v>
      </c>
      <c r="D334" s="76">
        <v>462710878</v>
      </c>
      <c r="E334" s="56" t="s">
        <v>1287</v>
      </c>
      <c r="F334" s="57" t="s">
        <v>1374</v>
      </c>
      <c r="G334" s="56" t="s">
        <v>1374</v>
      </c>
      <c r="H334" s="56" t="s">
        <v>1375</v>
      </c>
      <c r="I334" s="56" t="s">
        <v>1376</v>
      </c>
      <c r="J334" s="56" t="s">
        <v>68</v>
      </c>
      <c r="K334" s="56" t="s">
        <v>59</v>
      </c>
      <c r="L334" s="58">
        <v>30346</v>
      </c>
      <c r="M334" s="56">
        <v>42</v>
      </c>
      <c r="N334" s="56" t="s">
        <v>1377</v>
      </c>
      <c r="O334" s="58">
        <v>46297</v>
      </c>
      <c r="P334" s="56" t="s">
        <v>4</v>
      </c>
      <c r="Q334" s="56"/>
      <c r="R334" s="50">
        <v>45913</v>
      </c>
      <c r="S334" s="50">
        <v>45918</v>
      </c>
      <c r="T334" s="51">
        <f t="shared" si="5"/>
        <v>5</v>
      </c>
      <c r="U334" s="56">
        <v>1</v>
      </c>
      <c r="V334" s="56">
        <v>1</v>
      </c>
      <c r="W334" s="56">
        <v>0</v>
      </c>
      <c r="X334" s="56">
        <v>1</v>
      </c>
      <c r="Y334" s="56">
        <v>0</v>
      </c>
      <c r="Z334" s="56">
        <v>1</v>
      </c>
      <c r="AA334" s="56">
        <v>0</v>
      </c>
      <c r="AB334" s="56"/>
      <c r="AC334" s="58">
        <v>45913</v>
      </c>
      <c r="AD334" s="59">
        <v>0.65972222221898846</v>
      </c>
      <c r="AE334" s="56" t="s">
        <v>101</v>
      </c>
      <c r="AF334" s="58">
        <v>45918</v>
      </c>
      <c r="AG334" s="59">
        <v>0.86111111110949423</v>
      </c>
      <c r="AH334" s="56" t="s">
        <v>1292</v>
      </c>
      <c r="AI334" s="56" t="s">
        <v>1293</v>
      </c>
      <c r="AJ334" s="56" t="s">
        <v>64</v>
      </c>
      <c r="AK334" s="56" t="s">
        <v>64</v>
      </c>
      <c r="AL334" s="56" t="s">
        <v>1</v>
      </c>
      <c r="AM334" s="56" t="s">
        <v>65</v>
      </c>
      <c r="AN334" s="60"/>
      <c r="AO334" s="61"/>
    </row>
    <row r="335" spans="3:41" ht="14.25" customHeight="1">
      <c r="C335" s="55" t="str">
        <f>IF($X335=1,COUNTIF($C$10:C334,"&gt;0")+1,"")</f>
        <v/>
      </c>
      <c r="D335" s="76"/>
      <c r="E335" s="56" t="s">
        <v>1287</v>
      </c>
      <c r="F335" s="57" t="s">
        <v>1378</v>
      </c>
      <c r="G335" s="56" t="s">
        <v>1374</v>
      </c>
      <c r="H335" s="56" t="s">
        <v>1379</v>
      </c>
      <c r="I335" s="56" t="s">
        <v>1380</v>
      </c>
      <c r="J335" s="56" t="s">
        <v>58</v>
      </c>
      <c r="K335" s="56" t="s">
        <v>59</v>
      </c>
      <c r="L335" s="58">
        <v>30844</v>
      </c>
      <c r="M335" s="56">
        <v>41</v>
      </c>
      <c r="N335" s="56" t="s">
        <v>1381</v>
      </c>
      <c r="O335" s="58">
        <v>48007</v>
      </c>
      <c r="P335" s="56" t="s">
        <v>4</v>
      </c>
      <c r="Q335" s="56"/>
      <c r="R335" s="50">
        <v>45913</v>
      </c>
      <c r="S335" s="50">
        <v>45918</v>
      </c>
      <c r="T335" s="51">
        <f t="shared" si="5"/>
        <v>5</v>
      </c>
      <c r="U335" s="56">
        <v>1</v>
      </c>
      <c r="V335" s="56">
        <v>1</v>
      </c>
      <c r="W335" s="56">
        <v>0</v>
      </c>
      <c r="X335" s="56">
        <v>0</v>
      </c>
      <c r="Y335" s="56">
        <v>0</v>
      </c>
      <c r="Z335" s="56">
        <v>0</v>
      </c>
      <c r="AA335" s="56">
        <v>0</v>
      </c>
      <c r="AB335" s="56"/>
      <c r="AC335" s="58">
        <v>45913</v>
      </c>
      <c r="AD335" s="59">
        <v>0.65972222221898846</v>
      </c>
      <c r="AE335" s="56" t="s">
        <v>101</v>
      </c>
      <c r="AF335" s="58">
        <v>45918</v>
      </c>
      <c r="AG335" s="59">
        <v>0.86111111110949423</v>
      </c>
      <c r="AH335" s="56" t="s">
        <v>1292</v>
      </c>
      <c r="AI335" s="56" t="s">
        <v>1293</v>
      </c>
      <c r="AJ335" s="56" t="s">
        <v>64</v>
      </c>
      <c r="AK335" s="56" t="s">
        <v>64</v>
      </c>
      <c r="AL335" s="56" t="s">
        <v>1</v>
      </c>
      <c r="AM335" s="56" t="s">
        <v>65</v>
      </c>
      <c r="AN335" s="60"/>
      <c r="AO335" s="61"/>
    </row>
    <row r="336" spans="3:41" ht="14.25" customHeight="1">
      <c r="C336" s="55">
        <f>IF($X336=1,COUNTIF($C$10:C335,"&gt;0")+1,"")</f>
        <v>161</v>
      </c>
      <c r="D336" s="76">
        <v>462710879</v>
      </c>
      <c r="E336" s="56" t="s">
        <v>1287</v>
      </c>
      <c r="F336" s="57" t="s">
        <v>1382</v>
      </c>
      <c r="G336" s="56" t="s">
        <v>1382</v>
      </c>
      <c r="H336" s="56" t="s">
        <v>1383</v>
      </c>
      <c r="I336" s="56" t="s">
        <v>1376</v>
      </c>
      <c r="J336" s="56" t="s">
        <v>68</v>
      </c>
      <c r="K336" s="56" t="s">
        <v>59</v>
      </c>
      <c r="L336" s="58">
        <v>27258</v>
      </c>
      <c r="M336" s="56">
        <v>51</v>
      </c>
      <c r="N336" s="56" t="s">
        <v>1384</v>
      </c>
      <c r="O336" s="58">
        <v>46105</v>
      </c>
      <c r="P336" s="56" t="s">
        <v>5</v>
      </c>
      <c r="Q336" s="56"/>
      <c r="R336" s="50">
        <v>45913</v>
      </c>
      <c r="S336" s="50">
        <v>45918</v>
      </c>
      <c r="T336" s="51">
        <f t="shared" si="5"/>
        <v>5</v>
      </c>
      <c r="U336" s="56">
        <v>1</v>
      </c>
      <c r="V336" s="56">
        <v>1</v>
      </c>
      <c r="W336" s="56">
        <v>0</v>
      </c>
      <c r="X336" s="56">
        <v>1</v>
      </c>
      <c r="Y336" s="56">
        <v>0</v>
      </c>
      <c r="Z336" s="56">
        <v>0</v>
      </c>
      <c r="AA336" s="56">
        <v>1</v>
      </c>
      <c r="AB336" s="56"/>
      <c r="AC336" s="58">
        <v>45913</v>
      </c>
      <c r="AD336" s="59">
        <v>0.65625</v>
      </c>
      <c r="AE336" s="56" t="s">
        <v>1385</v>
      </c>
      <c r="AF336" s="58">
        <v>45918</v>
      </c>
      <c r="AG336" s="59">
        <v>0.53125</v>
      </c>
      <c r="AH336" s="56" t="s">
        <v>269</v>
      </c>
      <c r="AI336" s="56" t="s">
        <v>1293</v>
      </c>
      <c r="AJ336" s="56" t="s">
        <v>64</v>
      </c>
      <c r="AK336" s="56" t="s">
        <v>64</v>
      </c>
      <c r="AL336" s="56" t="s">
        <v>1</v>
      </c>
      <c r="AM336" s="56" t="s">
        <v>65</v>
      </c>
      <c r="AN336" s="60"/>
      <c r="AO336" s="61"/>
    </row>
    <row r="337" spans="3:41" ht="14.25" customHeight="1">
      <c r="C337" s="55" t="str">
        <f>IF($X337=1,COUNTIF($C$10:C336,"&gt;0")+1,"")</f>
        <v/>
      </c>
      <c r="D337" s="76"/>
      <c r="E337" s="56" t="s">
        <v>1287</v>
      </c>
      <c r="F337" s="57" t="s">
        <v>1386</v>
      </c>
      <c r="G337" s="56" t="s">
        <v>1382</v>
      </c>
      <c r="H337" s="56" t="s">
        <v>1387</v>
      </c>
      <c r="I337" s="56" t="s">
        <v>82</v>
      </c>
      <c r="J337" s="56" t="s">
        <v>68</v>
      </c>
      <c r="K337" s="56" t="s">
        <v>59</v>
      </c>
      <c r="L337" s="58">
        <v>30123</v>
      </c>
      <c r="M337" s="56">
        <v>43</v>
      </c>
      <c r="N337" s="56" t="s">
        <v>1388</v>
      </c>
      <c r="O337" s="58">
        <v>48391</v>
      </c>
      <c r="P337" s="56" t="s">
        <v>5</v>
      </c>
      <c r="Q337" s="56"/>
      <c r="R337" s="50">
        <v>45913</v>
      </c>
      <c r="S337" s="50">
        <v>45918</v>
      </c>
      <c r="T337" s="51">
        <f t="shared" si="5"/>
        <v>5</v>
      </c>
      <c r="U337" s="56">
        <v>1</v>
      </c>
      <c r="V337" s="56">
        <v>1</v>
      </c>
      <c r="W337" s="56">
        <v>0</v>
      </c>
      <c r="X337" s="56">
        <v>0</v>
      </c>
      <c r="Y337" s="56">
        <v>0</v>
      </c>
      <c r="Z337" s="56">
        <v>0</v>
      </c>
      <c r="AA337" s="56">
        <v>0</v>
      </c>
      <c r="AB337" s="56"/>
      <c r="AC337" s="58">
        <v>45913</v>
      </c>
      <c r="AD337" s="70">
        <v>0.68402777777777779</v>
      </c>
      <c r="AE337" s="56" t="s">
        <v>1389</v>
      </c>
      <c r="AF337" s="58">
        <v>45918</v>
      </c>
      <c r="AG337" s="59">
        <v>0.53125</v>
      </c>
      <c r="AH337" s="56" t="s">
        <v>269</v>
      </c>
      <c r="AI337" s="56" t="s">
        <v>1293</v>
      </c>
      <c r="AJ337" s="56" t="s">
        <v>64</v>
      </c>
      <c r="AK337" s="56" t="s">
        <v>64</v>
      </c>
      <c r="AL337" s="56" t="s">
        <v>1</v>
      </c>
      <c r="AM337" s="56" t="s">
        <v>65</v>
      </c>
      <c r="AN337" s="60"/>
      <c r="AO337" s="61"/>
    </row>
    <row r="338" spans="3:41" ht="14.25" customHeight="1">
      <c r="C338" s="55">
        <f>IF($X338=1,COUNTIF($C$10:C337,"&gt;0")+1,"")</f>
        <v>162</v>
      </c>
      <c r="D338" s="76">
        <v>462710880</v>
      </c>
      <c r="E338" s="56" t="s">
        <v>1287</v>
      </c>
      <c r="F338" s="57" t="s">
        <v>1390</v>
      </c>
      <c r="G338" s="56" t="s">
        <v>1390</v>
      </c>
      <c r="H338" s="56" t="s">
        <v>1391</v>
      </c>
      <c r="I338" s="56" t="s">
        <v>1392</v>
      </c>
      <c r="J338" s="56" t="s">
        <v>68</v>
      </c>
      <c r="K338" s="56" t="s">
        <v>1393</v>
      </c>
      <c r="L338" s="58">
        <v>28401</v>
      </c>
      <c r="M338" s="56">
        <v>47</v>
      </c>
      <c r="N338" s="56" t="s">
        <v>1394</v>
      </c>
      <c r="O338" s="58">
        <v>48973</v>
      </c>
      <c r="P338" s="56" t="s">
        <v>5</v>
      </c>
      <c r="Q338" s="56"/>
      <c r="R338" s="50">
        <v>45913</v>
      </c>
      <c r="S338" s="50">
        <v>45918</v>
      </c>
      <c r="T338" s="51">
        <f t="shared" si="5"/>
        <v>5</v>
      </c>
      <c r="U338" s="56">
        <v>1</v>
      </c>
      <c r="V338" s="56">
        <v>1</v>
      </c>
      <c r="W338" s="56">
        <v>0</v>
      </c>
      <c r="X338" s="56">
        <v>1</v>
      </c>
      <c r="Y338" s="56">
        <v>0</v>
      </c>
      <c r="Z338" s="56">
        <v>0</v>
      </c>
      <c r="AA338" s="56">
        <v>1</v>
      </c>
      <c r="AB338" s="56"/>
      <c r="AC338" s="58">
        <v>45913</v>
      </c>
      <c r="AD338" s="59">
        <v>0.65972222221898846</v>
      </c>
      <c r="AE338" s="56" t="s">
        <v>101</v>
      </c>
      <c r="AF338" s="58">
        <v>45918</v>
      </c>
      <c r="AG338" s="59">
        <v>0.86111111110949423</v>
      </c>
      <c r="AH338" s="56" t="s">
        <v>1292</v>
      </c>
      <c r="AI338" s="56" t="s">
        <v>1293</v>
      </c>
      <c r="AJ338" s="56" t="s">
        <v>64</v>
      </c>
      <c r="AK338" s="56" t="s">
        <v>64</v>
      </c>
      <c r="AL338" s="56" t="s">
        <v>1</v>
      </c>
      <c r="AM338" s="56" t="s">
        <v>65</v>
      </c>
      <c r="AN338" s="60"/>
      <c r="AO338" s="61"/>
    </row>
    <row r="339" spans="3:41" ht="14.25" customHeight="1">
      <c r="C339" s="55" t="str">
        <f>IF($X339=1,COUNTIF($C$10:C338,"&gt;0")+1,"")</f>
        <v/>
      </c>
      <c r="D339" s="76"/>
      <c r="E339" s="56" t="s">
        <v>1287</v>
      </c>
      <c r="F339" s="57" t="s">
        <v>1395</v>
      </c>
      <c r="G339" s="56" t="s">
        <v>1390</v>
      </c>
      <c r="H339" s="56" t="s">
        <v>1396</v>
      </c>
      <c r="I339" s="56" t="s">
        <v>1397</v>
      </c>
      <c r="J339" s="56" t="s">
        <v>68</v>
      </c>
      <c r="K339" s="56" t="s">
        <v>59</v>
      </c>
      <c r="L339" s="58">
        <v>30912</v>
      </c>
      <c r="M339" s="56">
        <v>41</v>
      </c>
      <c r="N339" s="56" t="s">
        <v>1398</v>
      </c>
      <c r="O339" s="58">
        <v>45742</v>
      </c>
      <c r="P339" s="56" t="s">
        <v>5</v>
      </c>
      <c r="Q339" s="56"/>
      <c r="R339" s="50">
        <v>45913</v>
      </c>
      <c r="S339" s="50">
        <v>45918</v>
      </c>
      <c r="T339" s="51">
        <f t="shared" si="5"/>
        <v>5</v>
      </c>
      <c r="U339" s="56">
        <v>1</v>
      </c>
      <c r="V339" s="56">
        <v>1</v>
      </c>
      <c r="W339" s="56">
        <v>0</v>
      </c>
      <c r="X339" s="56">
        <v>0</v>
      </c>
      <c r="Y339" s="56">
        <v>0</v>
      </c>
      <c r="Z339" s="56">
        <v>0</v>
      </c>
      <c r="AA339" s="56">
        <v>0</v>
      </c>
      <c r="AB339" s="56"/>
      <c r="AC339" s="58">
        <v>45913</v>
      </c>
      <c r="AD339" s="59">
        <v>0.64583333333575865</v>
      </c>
      <c r="AE339" s="56" t="s">
        <v>312</v>
      </c>
      <c r="AF339" s="58">
        <v>45918</v>
      </c>
      <c r="AG339" s="59">
        <v>0.72569444444525288</v>
      </c>
      <c r="AH339" s="56" t="s">
        <v>313</v>
      </c>
      <c r="AI339" s="56" t="s">
        <v>1293</v>
      </c>
      <c r="AJ339" s="56" t="s">
        <v>64</v>
      </c>
      <c r="AK339" s="56" t="s">
        <v>64</v>
      </c>
      <c r="AL339" s="56" t="s">
        <v>1</v>
      </c>
      <c r="AM339" s="56" t="s">
        <v>65</v>
      </c>
      <c r="AN339" s="60"/>
      <c r="AO339" s="61"/>
    </row>
    <row r="340" spans="3:41" ht="14.25" customHeight="1">
      <c r="C340" s="55">
        <f>IF($X340=1,COUNTIF($C$10:C339,"&gt;0")+1,"")</f>
        <v>163</v>
      </c>
      <c r="D340" s="76">
        <v>462710881</v>
      </c>
      <c r="E340" s="56" t="s">
        <v>1287</v>
      </c>
      <c r="F340" s="57" t="s">
        <v>1399</v>
      </c>
      <c r="G340" s="56" t="s">
        <v>1399</v>
      </c>
      <c r="H340" s="56" t="s">
        <v>1035</v>
      </c>
      <c r="I340" s="56" t="s">
        <v>1400</v>
      </c>
      <c r="J340" s="56" t="s">
        <v>68</v>
      </c>
      <c r="K340" s="56" t="s">
        <v>59</v>
      </c>
      <c r="L340" s="58">
        <v>32882</v>
      </c>
      <c r="M340" s="56">
        <v>35</v>
      </c>
      <c r="N340" s="56" t="s">
        <v>1401</v>
      </c>
      <c r="O340" s="58">
        <v>46806</v>
      </c>
      <c r="P340" s="56" t="s">
        <v>4</v>
      </c>
      <c r="Q340" s="56"/>
      <c r="R340" s="50">
        <v>45913</v>
      </c>
      <c r="S340" s="50">
        <v>45918</v>
      </c>
      <c r="T340" s="51">
        <f t="shared" si="5"/>
        <v>5</v>
      </c>
      <c r="U340" s="56">
        <v>1</v>
      </c>
      <c r="V340" s="56">
        <v>1</v>
      </c>
      <c r="W340" s="56">
        <v>0</v>
      </c>
      <c r="X340" s="56">
        <v>1</v>
      </c>
      <c r="Y340" s="56">
        <v>0</v>
      </c>
      <c r="Z340" s="56">
        <v>1</v>
      </c>
      <c r="AA340" s="56">
        <v>0</v>
      </c>
      <c r="AB340" s="56"/>
      <c r="AC340" s="58">
        <v>45913</v>
      </c>
      <c r="AD340" s="59">
        <v>0.62847222221898846</v>
      </c>
      <c r="AE340" s="56" t="s">
        <v>188</v>
      </c>
      <c r="AF340" s="58">
        <v>45918</v>
      </c>
      <c r="AG340" s="59">
        <v>0.53125</v>
      </c>
      <c r="AH340" s="56" t="s">
        <v>269</v>
      </c>
      <c r="AI340" s="56" t="s">
        <v>1293</v>
      </c>
      <c r="AJ340" s="56" t="s">
        <v>64</v>
      </c>
      <c r="AK340" s="56" t="s">
        <v>64</v>
      </c>
      <c r="AL340" s="56" t="s">
        <v>1</v>
      </c>
      <c r="AM340" s="56" t="s">
        <v>65</v>
      </c>
      <c r="AN340" s="60"/>
      <c r="AO340" s="61"/>
    </row>
    <row r="341" spans="3:41" ht="14.25" customHeight="1">
      <c r="C341" s="55" t="str">
        <f>IF($X341=1,COUNTIF($C$10:C340,"&gt;0")+1,"")</f>
        <v/>
      </c>
      <c r="D341" s="76"/>
      <c r="E341" s="56" t="s">
        <v>1287</v>
      </c>
      <c r="F341" s="57" t="s">
        <v>1402</v>
      </c>
      <c r="G341" s="56" t="s">
        <v>1399</v>
      </c>
      <c r="H341" s="56" t="s">
        <v>1403</v>
      </c>
      <c r="I341" s="56" t="s">
        <v>1404</v>
      </c>
      <c r="J341" s="56" t="s">
        <v>58</v>
      </c>
      <c r="K341" s="56" t="s">
        <v>59</v>
      </c>
      <c r="L341" s="58">
        <v>31972</v>
      </c>
      <c r="M341" s="56">
        <v>38</v>
      </c>
      <c r="N341" s="56" t="s">
        <v>1405</v>
      </c>
      <c r="O341" s="58">
        <v>46809</v>
      </c>
      <c r="P341" s="56" t="s">
        <v>4</v>
      </c>
      <c r="Q341" s="56"/>
      <c r="R341" s="50">
        <v>45913</v>
      </c>
      <c r="S341" s="50">
        <v>45918</v>
      </c>
      <c r="T341" s="51">
        <f t="shared" si="5"/>
        <v>5</v>
      </c>
      <c r="U341" s="56">
        <v>1</v>
      </c>
      <c r="V341" s="56">
        <v>1</v>
      </c>
      <c r="W341" s="56">
        <v>0</v>
      </c>
      <c r="X341" s="56">
        <v>0</v>
      </c>
      <c r="Y341" s="56">
        <v>0</v>
      </c>
      <c r="Z341" s="56">
        <v>0</v>
      </c>
      <c r="AA341" s="56">
        <v>0</v>
      </c>
      <c r="AB341" s="56"/>
      <c r="AC341" s="58">
        <v>45913</v>
      </c>
      <c r="AD341" s="59">
        <v>0.62847222221898846</v>
      </c>
      <c r="AE341" s="56" t="s">
        <v>188</v>
      </c>
      <c r="AF341" s="58">
        <v>45918</v>
      </c>
      <c r="AG341" s="59">
        <v>0.53125</v>
      </c>
      <c r="AH341" s="56" t="s">
        <v>269</v>
      </c>
      <c r="AI341" s="56" t="s">
        <v>1293</v>
      </c>
      <c r="AJ341" s="56" t="s">
        <v>64</v>
      </c>
      <c r="AK341" s="56" t="s">
        <v>64</v>
      </c>
      <c r="AL341" s="56" t="s">
        <v>1</v>
      </c>
      <c r="AM341" s="56" t="s">
        <v>65</v>
      </c>
      <c r="AN341" s="60"/>
      <c r="AO341" s="61"/>
    </row>
    <row r="342" spans="3:41" ht="14.25" customHeight="1">
      <c r="C342" s="55" t="str">
        <f>IF($X342=1,COUNTIF($C$10:C341,"&gt;0")+1,"")</f>
        <v/>
      </c>
      <c r="D342" s="76"/>
      <c r="E342" s="56" t="s">
        <v>1287</v>
      </c>
      <c r="F342" s="57" t="s">
        <v>1406</v>
      </c>
      <c r="G342" s="56" t="s">
        <v>1399</v>
      </c>
      <c r="H342" s="56" t="s">
        <v>1407</v>
      </c>
      <c r="I342" s="56" t="s">
        <v>1408</v>
      </c>
      <c r="J342" s="56" t="s">
        <v>68</v>
      </c>
      <c r="K342" s="56" t="s">
        <v>59</v>
      </c>
      <c r="L342" s="58">
        <v>44068</v>
      </c>
      <c r="M342" s="56">
        <v>5</v>
      </c>
      <c r="N342" s="56" t="s">
        <v>1409</v>
      </c>
      <c r="O342" s="58">
        <v>46470</v>
      </c>
      <c r="P342" s="56" t="s">
        <v>4</v>
      </c>
      <c r="Q342" s="56"/>
      <c r="R342" s="50">
        <v>45913</v>
      </c>
      <c r="S342" s="50">
        <v>45918</v>
      </c>
      <c r="T342" s="51">
        <f t="shared" si="5"/>
        <v>5</v>
      </c>
      <c r="U342" s="56">
        <v>1</v>
      </c>
      <c r="V342" s="56">
        <v>0</v>
      </c>
      <c r="W342" s="56">
        <v>1</v>
      </c>
      <c r="X342" s="56">
        <v>0</v>
      </c>
      <c r="Y342" s="56">
        <v>0</v>
      </c>
      <c r="Z342" s="56">
        <v>0</v>
      </c>
      <c r="AA342" s="56">
        <v>0</v>
      </c>
      <c r="AB342" s="56"/>
      <c r="AC342" s="58">
        <v>45913</v>
      </c>
      <c r="AD342" s="59">
        <v>0.62847222221898846</v>
      </c>
      <c r="AE342" s="56" t="s">
        <v>188</v>
      </c>
      <c r="AF342" s="58">
        <v>45918</v>
      </c>
      <c r="AG342" s="59">
        <v>0.53125</v>
      </c>
      <c r="AH342" s="56" t="s">
        <v>269</v>
      </c>
      <c r="AI342" s="56" t="s">
        <v>1293</v>
      </c>
      <c r="AJ342" s="56" t="s">
        <v>64</v>
      </c>
      <c r="AK342" s="56" t="s">
        <v>64</v>
      </c>
      <c r="AL342" s="56" t="s">
        <v>1</v>
      </c>
      <c r="AM342" s="56" t="s">
        <v>65</v>
      </c>
      <c r="AN342" s="60"/>
      <c r="AO342" s="61"/>
    </row>
    <row r="343" spans="3:41" ht="14.25" customHeight="1">
      <c r="C343" s="55">
        <f>IF($X343=1,COUNTIF($C$10:C342,"&gt;0")+1,"")</f>
        <v>164</v>
      </c>
      <c r="D343" s="76">
        <v>462710882</v>
      </c>
      <c r="E343" s="56" t="s">
        <v>1287</v>
      </c>
      <c r="F343" s="57" t="s">
        <v>1410</v>
      </c>
      <c r="G343" s="56" t="s">
        <v>1399</v>
      </c>
      <c r="H343" s="56" t="s">
        <v>1411</v>
      </c>
      <c r="I343" s="56" t="s">
        <v>1412</v>
      </c>
      <c r="J343" s="56" t="s">
        <v>68</v>
      </c>
      <c r="K343" s="56" t="s">
        <v>59</v>
      </c>
      <c r="L343" s="58">
        <v>41397</v>
      </c>
      <c r="M343" s="56">
        <v>12</v>
      </c>
      <c r="N343" s="56" t="s">
        <v>1413</v>
      </c>
      <c r="O343" s="58">
        <v>46785</v>
      </c>
      <c r="P343" s="56" t="s">
        <v>4</v>
      </c>
      <c r="Q343" s="56"/>
      <c r="R343" s="50">
        <v>45913</v>
      </c>
      <c r="S343" s="50">
        <v>45918</v>
      </c>
      <c r="T343" s="51">
        <f t="shared" si="5"/>
        <v>5</v>
      </c>
      <c r="U343" s="56">
        <v>1</v>
      </c>
      <c r="V343" s="56">
        <v>1</v>
      </c>
      <c r="W343" s="56">
        <v>0</v>
      </c>
      <c r="X343" s="56">
        <v>1</v>
      </c>
      <c r="Y343" s="56">
        <v>0</v>
      </c>
      <c r="Z343" s="56">
        <v>1</v>
      </c>
      <c r="AA343" s="56">
        <v>0</v>
      </c>
      <c r="AB343" s="56"/>
      <c r="AC343" s="58">
        <v>45913</v>
      </c>
      <c r="AD343" s="59">
        <v>0.62847222221898846</v>
      </c>
      <c r="AE343" s="56" t="s">
        <v>188</v>
      </c>
      <c r="AF343" s="58">
        <v>45918</v>
      </c>
      <c r="AG343" s="59">
        <v>0.53125</v>
      </c>
      <c r="AH343" s="56" t="s">
        <v>269</v>
      </c>
      <c r="AI343" s="56" t="s">
        <v>1293</v>
      </c>
      <c r="AJ343" s="56" t="s">
        <v>64</v>
      </c>
      <c r="AK343" s="56" t="s">
        <v>64</v>
      </c>
      <c r="AL343" s="56" t="s">
        <v>1</v>
      </c>
      <c r="AM343" s="56" t="s">
        <v>65</v>
      </c>
      <c r="AN343" s="60"/>
      <c r="AO343" s="61"/>
    </row>
    <row r="344" spans="3:41" ht="14.25" customHeight="1">
      <c r="C344" s="55" t="str">
        <f>IF($X344=1,COUNTIF($C$10:C343,"&gt;0")+1,"")</f>
        <v/>
      </c>
      <c r="D344" s="76"/>
      <c r="E344" s="56" t="s">
        <v>1287</v>
      </c>
      <c r="F344" s="57" t="s">
        <v>1414</v>
      </c>
      <c r="G344" s="56" t="s">
        <v>1399</v>
      </c>
      <c r="H344" s="56" t="s">
        <v>1415</v>
      </c>
      <c r="I344" s="56" t="s">
        <v>1416</v>
      </c>
      <c r="J344" s="56" t="s">
        <v>68</v>
      </c>
      <c r="K344" s="56" t="s">
        <v>59</v>
      </c>
      <c r="L344" s="58">
        <v>26623</v>
      </c>
      <c r="M344" s="56">
        <v>52</v>
      </c>
      <c r="N344" s="56" t="s">
        <v>1417</v>
      </c>
      <c r="O344" s="58">
        <v>48093</v>
      </c>
      <c r="P344" s="56" t="s">
        <v>4</v>
      </c>
      <c r="Q344" s="56"/>
      <c r="R344" s="50">
        <v>45913</v>
      </c>
      <c r="S344" s="50">
        <v>45918</v>
      </c>
      <c r="T344" s="51">
        <f t="shared" si="5"/>
        <v>5</v>
      </c>
      <c r="U344" s="56">
        <v>1</v>
      </c>
      <c r="V344" s="56">
        <v>1</v>
      </c>
      <c r="W344" s="56">
        <v>0</v>
      </c>
      <c r="X344" s="56">
        <v>0</v>
      </c>
      <c r="Y344" s="56">
        <v>0</v>
      </c>
      <c r="Z344" s="56">
        <v>0</v>
      </c>
      <c r="AA344" s="56">
        <v>0</v>
      </c>
      <c r="AB344" s="56"/>
      <c r="AC344" s="58">
        <v>45913</v>
      </c>
      <c r="AD344" s="59">
        <v>0.62847222221898846</v>
      </c>
      <c r="AE344" s="56" t="s">
        <v>188</v>
      </c>
      <c r="AF344" s="58">
        <v>45918</v>
      </c>
      <c r="AG344" s="59">
        <v>0.53125</v>
      </c>
      <c r="AH344" s="56" t="s">
        <v>269</v>
      </c>
      <c r="AI344" s="56" t="s">
        <v>1293</v>
      </c>
      <c r="AJ344" s="56" t="s">
        <v>64</v>
      </c>
      <c r="AK344" s="56" t="s">
        <v>64</v>
      </c>
      <c r="AL344" s="56" t="s">
        <v>1</v>
      </c>
      <c r="AM344" s="56" t="s">
        <v>65</v>
      </c>
      <c r="AN344" s="60"/>
      <c r="AO344" s="61"/>
    </row>
    <row r="345" spans="3:41" ht="14.25" customHeight="1">
      <c r="C345" s="55">
        <f>IF($X345=1,COUNTIF($C$10:C344,"&gt;0")+1,"")</f>
        <v>165</v>
      </c>
      <c r="D345" s="76">
        <v>462710883</v>
      </c>
      <c r="E345" s="56" t="s">
        <v>1287</v>
      </c>
      <c r="F345" s="57" t="s">
        <v>1418</v>
      </c>
      <c r="G345" s="56" t="s">
        <v>1399</v>
      </c>
      <c r="H345" s="56" t="s">
        <v>1419</v>
      </c>
      <c r="I345" s="56" t="s">
        <v>1420</v>
      </c>
      <c r="J345" s="56" t="s">
        <v>68</v>
      </c>
      <c r="K345" s="56" t="s">
        <v>59</v>
      </c>
      <c r="L345" s="58">
        <v>26725</v>
      </c>
      <c r="M345" s="56">
        <v>52</v>
      </c>
      <c r="N345" s="56" t="s">
        <v>1421</v>
      </c>
      <c r="O345" s="58">
        <v>48346</v>
      </c>
      <c r="P345" s="56" t="s">
        <v>5</v>
      </c>
      <c r="Q345" s="56"/>
      <c r="R345" s="50">
        <v>45913</v>
      </c>
      <c r="S345" s="50">
        <v>45918</v>
      </c>
      <c r="T345" s="51">
        <f t="shared" si="5"/>
        <v>5</v>
      </c>
      <c r="U345" s="56">
        <v>1</v>
      </c>
      <c r="V345" s="56">
        <v>1</v>
      </c>
      <c r="W345" s="56">
        <v>0</v>
      </c>
      <c r="X345" s="56">
        <v>1</v>
      </c>
      <c r="Y345" s="56">
        <v>0</v>
      </c>
      <c r="Z345" s="56">
        <v>0</v>
      </c>
      <c r="AA345" s="56">
        <v>1</v>
      </c>
      <c r="AB345" s="56"/>
      <c r="AC345" s="58">
        <v>45913</v>
      </c>
      <c r="AD345" s="59">
        <v>0.62847222221898846</v>
      </c>
      <c r="AE345" s="56" t="s">
        <v>188</v>
      </c>
      <c r="AF345" s="58">
        <v>45918</v>
      </c>
      <c r="AG345" s="59">
        <v>0.53125</v>
      </c>
      <c r="AH345" s="56" t="s">
        <v>269</v>
      </c>
      <c r="AI345" s="56" t="s">
        <v>1293</v>
      </c>
      <c r="AJ345" s="56" t="s">
        <v>64</v>
      </c>
      <c r="AK345" s="56" t="s">
        <v>64</v>
      </c>
      <c r="AL345" s="56" t="s">
        <v>1</v>
      </c>
      <c r="AM345" s="56" t="s">
        <v>65</v>
      </c>
      <c r="AN345" s="60"/>
      <c r="AO345" s="61"/>
    </row>
    <row r="346" spans="3:41" ht="14.25" customHeight="1">
      <c r="C346" s="55" t="str">
        <f>IF($X346=1,COUNTIF($C$10:C345,"&gt;0")+1,"")</f>
        <v/>
      </c>
      <c r="D346" s="76"/>
      <c r="E346" s="56" t="s">
        <v>1287</v>
      </c>
      <c r="F346" s="57" t="s">
        <v>1422</v>
      </c>
      <c r="G346" s="56" t="s">
        <v>1399</v>
      </c>
      <c r="H346" s="56" t="s">
        <v>1423</v>
      </c>
      <c r="I346" s="56" t="s">
        <v>1424</v>
      </c>
      <c r="J346" s="56" t="s">
        <v>68</v>
      </c>
      <c r="K346" s="56" t="s">
        <v>59</v>
      </c>
      <c r="L346" s="58">
        <v>29526</v>
      </c>
      <c r="M346" s="56">
        <v>44</v>
      </c>
      <c r="N346" s="56" t="s">
        <v>1425</v>
      </c>
      <c r="O346" s="58">
        <v>48806</v>
      </c>
      <c r="P346" s="56" t="s">
        <v>5</v>
      </c>
      <c r="Q346" s="56"/>
      <c r="R346" s="50">
        <v>45913</v>
      </c>
      <c r="S346" s="50">
        <v>45918</v>
      </c>
      <c r="T346" s="51">
        <f t="shared" si="5"/>
        <v>5</v>
      </c>
      <c r="U346" s="56">
        <v>1</v>
      </c>
      <c r="V346" s="56">
        <v>1</v>
      </c>
      <c r="W346" s="56">
        <v>0</v>
      </c>
      <c r="X346" s="56">
        <v>0</v>
      </c>
      <c r="Y346" s="56">
        <v>0</v>
      </c>
      <c r="Z346" s="56">
        <v>0</v>
      </c>
      <c r="AA346" s="56">
        <v>0</v>
      </c>
      <c r="AB346" s="56"/>
      <c r="AC346" s="58">
        <v>45913</v>
      </c>
      <c r="AD346" s="59">
        <v>0.62847222221898846</v>
      </c>
      <c r="AE346" s="56" t="s">
        <v>188</v>
      </c>
      <c r="AF346" s="58">
        <v>45918</v>
      </c>
      <c r="AG346" s="59">
        <v>0.53125</v>
      </c>
      <c r="AH346" s="56" t="s">
        <v>269</v>
      </c>
      <c r="AI346" s="56" t="s">
        <v>1293</v>
      </c>
      <c r="AJ346" s="56" t="s">
        <v>64</v>
      </c>
      <c r="AK346" s="56" t="s">
        <v>64</v>
      </c>
      <c r="AL346" s="56" t="s">
        <v>1</v>
      </c>
      <c r="AM346" s="56" t="s">
        <v>65</v>
      </c>
      <c r="AN346" s="60"/>
      <c r="AO346" s="61"/>
    </row>
    <row r="347" spans="3:41" ht="14.25" customHeight="1">
      <c r="C347" s="55">
        <f>IF($X347=1,COUNTIF($C$10:C346,"&gt;0")+1,"")</f>
        <v>166</v>
      </c>
      <c r="D347" s="76">
        <v>462710884</v>
      </c>
      <c r="E347" s="56" t="s">
        <v>1287</v>
      </c>
      <c r="F347" s="57" t="s">
        <v>1426</v>
      </c>
      <c r="G347" s="56" t="s">
        <v>1426</v>
      </c>
      <c r="H347" s="56" t="s">
        <v>1427</v>
      </c>
      <c r="I347" s="56" t="s">
        <v>1428</v>
      </c>
      <c r="J347" s="56" t="s">
        <v>68</v>
      </c>
      <c r="K347" s="56" t="s">
        <v>59</v>
      </c>
      <c r="L347" s="58">
        <v>27158</v>
      </c>
      <c r="M347" s="56">
        <v>51</v>
      </c>
      <c r="N347" s="56" t="s">
        <v>1429</v>
      </c>
      <c r="O347" s="58">
        <v>46866</v>
      </c>
      <c r="P347" s="56" t="s">
        <v>4</v>
      </c>
      <c r="Q347" s="56"/>
      <c r="R347" s="50">
        <v>45913</v>
      </c>
      <c r="S347" s="50">
        <v>45918</v>
      </c>
      <c r="T347" s="51">
        <f t="shared" si="5"/>
        <v>5</v>
      </c>
      <c r="U347" s="56">
        <v>1</v>
      </c>
      <c r="V347" s="56">
        <v>1</v>
      </c>
      <c r="W347" s="56">
        <v>0</v>
      </c>
      <c r="X347" s="56">
        <v>1</v>
      </c>
      <c r="Y347" s="56">
        <v>0</v>
      </c>
      <c r="Z347" s="56">
        <v>1</v>
      </c>
      <c r="AA347" s="56">
        <v>0</v>
      </c>
      <c r="AB347" s="56"/>
      <c r="AC347" s="58">
        <v>45913</v>
      </c>
      <c r="AD347" s="59">
        <v>0.62847222221898846</v>
      </c>
      <c r="AE347" s="56" t="s">
        <v>188</v>
      </c>
      <c r="AF347" s="58">
        <v>45918</v>
      </c>
      <c r="AG347" s="59">
        <v>0.53125</v>
      </c>
      <c r="AH347" s="56" t="s">
        <v>269</v>
      </c>
      <c r="AI347" s="56" t="s">
        <v>1293</v>
      </c>
      <c r="AJ347" s="56" t="s">
        <v>64</v>
      </c>
      <c r="AK347" s="56" t="s">
        <v>64</v>
      </c>
      <c r="AL347" s="56" t="s">
        <v>1</v>
      </c>
      <c r="AM347" s="56" t="s">
        <v>65</v>
      </c>
      <c r="AN347" s="60"/>
      <c r="AO347" s="61"/>
    </row>
    <row r="348" spans="3:41" ht="14.25" customHeight="1">
      <c r="C348" s="55" t="str">
        <f>IF($X348=1,COUNTIF($C$10:C347,"&gt;0")+1,"")</f>
        <v/>
      </c>
      <c r="D348" s="76"/>
      <c r="E348" s="56" t="s">
        <v>1287</v>
      </c>
      <c r="F348" s="57" t="s">
        <v>1430</v>
      </c>
      <c r="G348" s="56" t="s">
        <v>1426</v>
      </c>
      <c r="H348" s="56" t="s">
        <v>1431</v>
      </c>
      <c r="I348" s="56" t="s">
        <v>1432</v>
      </c>
      <c r="J348" s="56" t="s">
        <v>68</v>
      </c>
      <c r="K348" s="56" t="s">
        <v>59</v>
      </c>
      <c r="L348" s="58">
        <v>41144</v>
      </c>
      <c r="M348" s="56">
        <v>13</v>
      </c>
      <c r="N348" s="56" t="s">
        <v>1433</v>
      </c>
      <c r="O348" s="58">
        <v>47820</v>
      </c>
      <c r="P348" s="56" t="s">
        <v>4</v>
      </c>
      <c r="Q348" s="56"/>
      <c r="R348" s="50">
        <v>45913</v>
      </c>
      <c r="S348" s="50">
        <v>45918</v>
      </c>
      <c r="T348" s="51">
        <f t="shared" si="5"/>
        <v>5</v>
      </c>
      <c r="U348" s="56">
        <v>1</v>
      </c>
      <c r="V348" s="56">
        <v>1</v>
      </c>
      <c r="W348" s="56">
        <v>0</v>
      </c>
      <c r="X348" s="56">
        <v>0</v>
      </c>
      <c r="Y348" s="56">
        <v>0</v>
      </c>
      <c r="Z348" s="56">
        <v>0</v>
      </c>
      <c r="AA348" s="56">
        <v>0</v>
      </c>
      <c r="AB348" s="56"/>
      <c r="AC348" s="58">
        <v>45913</v>
      </c>
      <c r="AD348" s="59">
        <v>0.62847222221898846</v>
      </c>
      <c r="AE348" s="56" t="s">
        <v>188</v>
      </c>
      <c r="AF348" s="58">
        <v>45918</v>
      </c>
      <c r="AG348" s="59">
        <v>0.53125</v>
      </c>
      <c r="AH348" s="56" t="s">
        <v>269</v>
      </c>
      <c r="AI348" s="56" t="s">
        <v>1293</v>
      </c>
      <c r="AJ348" s="56" t="s">
        <v>64</v>
      </c>
      <c r="AK348" s="56" t="s">
        <v>64</v>
      </c>
      <c r="AL348" s="56" t="s">
        <v>1</v>
      </c>
      <c r="AM348" s="56" t="s">
        <v>65</v>
      </c>
      <c r="AN348" s="60"/>
      <c r="AO348" s="61"/>
    </row>
    <row r="349" spans="3:41" ht="14.25" customHeight="1">
      <c r="C349" s="55">
        <f>IF($X349=1,COUNTIF($C$10:C348,"&gt;0")+1,"")</f>
        <v>167</v>
      </c>
      <c r="D349" s="76">
        <v>462710885</v>
      </c>
      <c r="E349" s="56" t="s">
        <v>1287</v>
      </c>
      <c r="F349" s="57" t="s">
        <v>1434</v>
      </c>
      <c r="G349" s="56" t="s">
        <v>1434</v>
      </c>
      <c r="H349" s="56" t="s">
        <v>1435</v>
      </c>
      <c r="I349" s="56" t="s">
        <v>1436</v>
      </c>
      <c r="J349" s="56" t="s">
        <v>68</v>
      </c>
      <c r="K349" s="56" t="s">
        <v>59</v>
      </c>
      <c r="L349" s="58">
        <v>23988</v>
      </c>
      <c r="M349" s="56">
        <v>60</v>
      </c>
      <c r="N349" s="56" t="s">
        <v>1437</v>
      </c>
      <c r="O349" s="58">
        <v>48259</v>
      </c>
      <c r="P349" s="56" t="s">
        <v>4</v>
      </c>
      <c r="Q349" s="56"/>
      <c r="R349" s="50">
        <v>45913</v>
      </c>
      <c r="S349" s="50">
        <v>45918</v>
      </c>
      <c r="T349" s="51">
        <f t="shared" si="5"/>
        <v>5</v>
      </c>
      <c r="U349" s="56">
        <v>1</v>
      </c>
      <c r="V349" s="56">
        <v>1</v>
      </c>
      <c r="W349" s="56">
        <v>0</v>
      </c>
      <c r="X349" s="56">
        <v>1</v>
      </c>
      <c r="Y349" s="56">
        <v>0</v>
      </c>
      <c r="Z349" s="56">
        <v>1</v>
      </c>
      <c r="AA349" s="56">
        <v>0</v>
      </c>
      <c r="AB349" s="56"/>
      <c r="AC349" s="58">
        <v>45913</v>
      </c>
      <c r="AD349" s="59">
        <v>0.59027777778101154</v>
      </c>
      <c r="AE349" s="56" t="s">
        <v>547</v>
      </c>
      <c r="AF349" s="58">
        <v>45918</v>
      </c>
      <c r="AG349" s="59">
        <v>0.8125</v>
      </c>
      <c r="AH349" s="56" t="s">
        <v>1438</v>
      </c>
      <c r="AI349" s="56" t="s">
        <v>1293</v>
      </c>
      <c r="AJ349" s="56" t="s">
        <v>64</v>
      </c>
      <c r="AK349" s="56" t="s">
        <v>64</v>
      </c>
      <c r="AL349" s="56" t="s">
        <v>1</v>
      </c>
      <c r="AM349" s="56" t="s">
        <v>65</v>
      </c>
      <c r="AN349" s="60"/>
      <c r="AO349" s="61"/>
    </row>
    <row r="350" spans="3:41" ht="14.25" customHeight="1">
      <c r="C350" s="55" t="str">
        <f>IF($X350=1,COUNTIF($C$10:C349,"&gt;0")+1,"")</f>
        <v/>
      </c>
      <c r="D350" s="76"/>
      <c r="E350" s="56" t="s">
        <v>1287</v>
      </c>
      <c r="F350" s="57" t="s">
        <v>1439</v>
      </c>
      <c r="G350" s="56" t="s">
        <v>1434</v>
      </c>
      <c r="H350" s="56" t="s">
        <v>1440</v>
      </c>
      <c r="I350" s="56" t="s">
        <v>1441</v>
      </c>
      <c r="J350" s="56" t="s">
        <v>68</v>
      </c>
      <c r="K350" s="56" t="s">
        <v>59</v>
      </c>
      <c r="L350" s="58">
        <v>21630</v>
      </c>
      <c r="M350" s="56">
        <v>66</v>
      </c>
      <c r="N350" s="56" t="s">
        <v>1442</v>
      </c>
      <c r="O350" s="58">
        <v>49049</v>
      </c>
      <c r="P350" s="56" t="s">
        <v>4</v>
      </c>
      <c r="Q350" s="56"/>
      <c r="R350" s="50">
        <v>45913</v>
      </c>
      <c r="S350" s="50">
        <v>45918</v>
      </c>
      <c r="T350" s="51">
        <f t="shared" si="5"/>
        <v>5</v>
      </c>
      <c r="U350" s="56">
        <v>1</v>
      </c>
      <c r="V350" s="56">
        <v>1</v>
      </c>
      <c r="W350" s="56">
        <v>0</v>
      </c>
      <c r="X350" s="56">
        <v>0</v>
      </c>
      <c r="Y350" s="56">
        <v>0</v>
      </c>
      <c r="Z350" s="56">
        <v>0</v>
      </c>
      <c r="AA350" s="56">
        <v>0</v>
      </c>
      <c r="AB350" s="56"/>
      <c r="AC350" s="58">
        <v>45913</v>
      </c>
      <c r="AD350" s="59">
        <v>0.59027777778101154</v>
      </c>
      <c r="AE350" s="56" t="s">
        <v>547</v>
      </c>
      <c r="AF350" s="58">
        <v>45918</v>
      </c>
      <c r="AG350" s="59">
        <v>0.8125</v>
      </c>
      <c r="AH350" s="56" t="s">
        <v>1438</v>
      </c>
      <c r="AI350" s="56" t="s">
        <v>1293</v>
      </c>
      <c r="AJ350" s="56" t="s">
        <v>64</v>
      </c>
      <c r="AK350" s="56" t="s">
        <v>64</v>
      </c>
      <c r="AL350" s="56" t="s">
        <v>1</v>
      </c>
      <c r="AM350" s="56" t="s">
        <v>65</v>
      </c>
      <c r="AN350" s="60"/>
      <c r="AO350" s="61"/>
    </row>
    <row r="351" spans="3:41" ht="14.25" customHeight="1">
      <c r="C351" s="55">
        <f>IF($X351=1,COUNTIF($C$10:C350,"&gt;0")+1,"")</f>
        <v>168</v>
      </c>
      <c r="D351" s="76">
        <v>462710887</v>
      </c>
      <c r="E351" s="56" t="s">
        <v>1287</v>
      </c>
      <c r="F351" s="57" t="s">
        <v>1443</v>
      </c>
      <c r="G351" s="56" t="s">
        <v>1443</v>
      </c>
      <c r="H351" s="56" t="s">
        <v>1444</v>
      </c>
      <c r="I351" s="56" t="s">
        <v>1376</v>
      </c>
      <c r="J351" s="56" t="s">
        <v>68</v>
      </c>
      <c r="K351" s="56" t="s">
        <v>748</v>
      </c>
      <c r="L351" s="58">
        <v>33734</v>
      </c>
      <c r="M351" s="56">
        <v>33</v>
      </c>
      <c r="N351" s="56" t="s">
        <v>1445</v>
      </c>
      <c r="O351" s="58">
        <v>49079</v>
      </c>
      <c r="P351" s="56" t="s">
        <v>4</v>
      </c>
      <c r="Q351" s="56"/>
      <c r="R351" s="50">
        <v>45913</v>
      </c>
      <c r="S351" s="50">
        <v>45918</v>
      </c>
      <c r="T351" s="51">
        <f t="shared" si="5"/>
        <v>5</v>
      </c>
      <c r="U351" s="56">
        <v>1</v>
      </c>
      <c r="V351" s="56">
        <v>1</v>
      </c>
      <c r="W351" s="56">
        <v>0</v>
      </c>
      <c r="X351" s="56">
        <v>1</v>
      </c>
      <c r="Y351" s="56">
        <v>0</v>
      </c>
      <c r="Z351" s="56">
        <v>1</v>
      </c>
      <c r="AA351" s="56">
        <v>0</v>
      </c>
      <c r="AB351" s="56"/>
      <c r="AC351" s="58">
        <v>45913</v>
      </c>
      <c r="AD351" s="59">
        <v>0.65972222221898846</v>
      </c>
      <c r="AE351" s="56" t="s">
        <v>101</v>
      </c>
      <c r="AF351" s="58">
        <v>45918</v>
      </c>
      <c r="AG351" s="59">
        <v>0.86111111110949423</v>
      </c>
      <c r="AH351" s="56" t="s">
        <v>1292</v>
      </c>
      <c r="AI351" s="56" t="s">
        <v>1293</v>
      </c>
      <c r="AJ351" s="56" t="s">
        <v>64</v>
      </c>
      <c r="AK351" s="56" t="s">
        <v>64</v>
      </c>
      <c r="AL351" s="56" t="s">
        <v>1</v>
      </c>
      <c r="AM351" s="56" t="s">
        <v>65</v>
      </c>
      <c r="AN351" s="60"/>
      <c r="AO351" s="61"/>
    </row>
    <row r="352" spans="3:41" ht="14.25" customHeight="1">
      <c r="C352" s="55" t="str">
        <f>IF($X352=1,COUNTIF($C$10:C351,"&gt;0")+1,"")</f>
        <v/>
      </c>
      <c r="D352" s="76"/>
      <c r="E352" s="56" t="s">
        <v>1287</v>
      </c>
      <c r="F352" s="57" t="s">
        <v>1446</v>
      </c>
      <c r="G352" s="56" t="s">
        <v>1443</v>
      </c>
      <c r="H352" s="56" t="s">
        <v>1447</v>
      </c>
      <c r="I352" s="56" t="s">
        <v>1448</v>
      </c>
      <c r="J352" s="56" t="s">
        <v>58</v>
      </c>
      <c r="K352" s="56" t="s">
        <v>59</v>
      </c>
      <c r="L352" s="58">
        <v>33912</v>
      </c>
      <c r="M352" s="56">
        <v>32</v>
      </c>
      <c r="N352" s="56" t="s">
        <v>1449</v>
      </c>
      <c r="O352" s="58">
        <v>46717</v>
      </c>
      <c r="P352" s="56" t="s">
        <v>4</v>
      </c>
      <c r="Q352" s="56"/>
      <c r="R352" s="50">
        <v>45913</v>
      </c>
      <c r="S352" s="50">
        <v>45918</v>
      </c>
      <c r="T352" s="51">
        <f t="shared" si="5"/>
        <v>5</v>
      </c>
      <c r="U352" s="56">
        <v>1</v>
      </c>
      <c r="V352" s="56">
        <v>1</v>
      </c>
      <c r="W352" s="56">
        <v>0</v>
      </c>
      <c r="X352" s="56">
        <v>0</v>
      </c>
      <c r="Y352" s="56">
        <v>0</v>
      </c>
      <c r="Z352" s="56">
        <v>0</v>
      </c>
      <c r="AA352" s="56">
        <v>0</v>
      </c>
      <c r="AB352" s="56"/>
      <c r="AC352" s="58">
        <v>45913</v>
      </c>
      <c r="AD352" s="59">
        <v>0.65972222221898846</v>
      </c>
      <c r="AE352" s="56" t="s">
        <v>101</v>
      </c>
      <c r="AF352" s="58">
        <v>45918</v>
      </c>
      <c r="AG352" s="59">
        <v>0.86111111110949423</v>
      </c>
      <c r="AH352" s="56" t="s">
        <v>1292</v>
      </c>
      <c r="AI352" s="56" t="s">
        <v>1293</v>
      </c>
      <c r="AJ352" s="56" t="s">
        <v>64</v>
      </c>
      <c r="AK352" s="56" t="s">
        <v>64</v>
      </c>
      <c r="AL352" s="56" t="s">
        <v>1</v>
      </c>
      <c r="AM352" s="56" t="s">
        <v>65</v>
      </c>
      <c r="AN352" s="60"/>
      <c r="AO352" s="61"/>
    </row>
    <row r="353" spans="3:41" ht="14.25" customHeight="1">
      <c r="C353" s="55">
        <f>IF($X353=1,COUNTIF($C$10:C352,"&gt;0")+1,"")</f>
        <v>169</v>
      </c>
      <c r="D353" s="76">
        <v>462710888</v>
      </c>
      <c r="E353" s="56" t="s">
        <v>1287</v>
      </c>
      <c r="F353" s="57" t="s">
        <v>1450</v>
      </c>
      <c r="G353" s="56" t="s">
        <v>1450</v>
      </c>
      <c r="H353" s="62" t="s">
        <v>1451</v>
      </c>
      <c r="I353" s="62" t="s">
        <v>759</v>
      </c>
      <c r="J353" s="62" t="s">
        <v>68</v>
      </c>
      <c r="K353" s="62" t="s">
        <v>59</v>
      </c>
      <c r="L353" s="63">
        <v>26949</v>
      </c>
      <c r="M353" s="62">
        <v>51</v>
      </c>
      <c r="N353" s="62" t="s">
        <v>1452</v>
      </c>
      <c r="O353" s="63">
        <v>49465</v>
      </c>
      <c r="P353" s="62" t="s">
        <v>4</v>
      </c>
      <c r="Q353" s="56"/>
      <c r="R353" s="50">
        <v>45913</v>
      </c>
      <c r="S353" s="50">
        <v>45918</v>
      </c>
      <c r="T353" s="51">
        <f t="shared" si="5"/>
        <v>5</v>
      </c>
      <c r="U353" s="56">
        <v>1</v>
      </c>
      <c r="V353" s="56">
        <v>1</v>
      </c>
      <c r="W353" s="56">
        <v>0</v>
      </c>
      <c r="X353" s="62">
        <v>1</v>
      </c>
      <c r="Y353" s="62">
        <v>0</v>
      </c>
      <c r="Z353" s="62">
        <v>1</v>
      </c>
      <c r="AA353" s="62">
        <v>0</v>
      </c>
      <c r="AB353" s="56"/>
      <c r="AC353" s="58">
        <v>45913</v>
      </c>
      <c r="AD353" s="59">
        <v>0.62847222221898846</v>
      </c>
      <c r="AE353" s="56" t="s">
        <v>188</v>
      </c>
      <c r="AF353" s="58">
        <v>45918</v>
      </c>
      <c r="AG353" s="59">
        <v>0.86111111110949423</v>
      </c>
      <c r="AH353" s="56" t="s">
        <v>1292</v>
      </c>
      <c r="AI353" s="56" t="s">
        <v>1293</v>
      </c>
      <c r="AJ353" s="56" t="s">
        <v>64</v>
      </c>
      <c r="AK353" s="56" t="s">
        <v>64</v>
      </c>
      <c r="AL353" s="56" t="s">
        <v>1</v>
      </c>
      <c r="AM353" s="56" t="s">
        <v>65</v>
      </c>
      <c r="AN353" s="60"/>
      <c r="AO353" s="64" t="s">
        <v>504</v>
      </c>
    </row>
    <row r="354" spans="3:41" ht="14.25" customHeight="1">
      <c r="C354" s="55" t="str">
        <f>IF($X354=1,COUNTIF($C$10:C353,"&gt;0")+1,"")</f>
        <v/>
      </c>
      <c r="D354" s="76"/>
      <c r="E354" s="56" t="s">
        <v>1287</v>
      </c>
      <c r="F354" s="57" t="s">
        <v>1453</v>
      </c>
      <c r="G354" s="56" t="s">
        <v>1450</v>
      </c>
      <c r="H354" s="62" t="s">
        <v>1454</v>
      </c>
      <c r="I354" s="62" t="s">
        <v>82</v>
      </c>
      <c r="J354" s="62" t="s">
        <v>68</v>
      </c>
      <c r="K354" s="62" t="s">
        <v>59</v>
      </c>
      <c r="L354" s="63">
        <v>25597</v>
      </c>
      <c r="M354" s="62">
        <v>55</v>
      </c>
      <c r="N354" s="62" t="s">
        <v>1455</v>
      </c>
      <c r="O354" s="63">
        <v>46193</v>
      </c>
      <c r="P354" s="62" t="s">
        <v>4</v>
      </c>
      <c r="Q354" s="56"/>
      <c r="R354" s="50">
        <v>45913</v>
      </c>
      <c r="S354" s="50">
        <v>45918</v>
      </c>
      <c r="T354" s="51">
        <f t="shared" si="5"/>
        <v>5</v>
      </c>
      <c r="U354" s="56">
        <v>1</v>
      </c>
      <c r="V354" s="56">
        <v>1</v>
      </c>
      <c r="W354" s="56">
        <v>0</v>
      </c>
      <c r="X354" s="62">
        <v>0</v>
      </c>
      <c r="Y354" s="62">
        <v>0</v>
      </c>
      <c r="Z354" s="62">
        <v>0</v>
      </c>
      <c r="AA354" s="62">
        <v>0</v>
      </c>
      <c r="AB354" s="56"/>
      <c r="AC354" s="58">
        <v>45913</v>
      </c>
      <c r="AD354" s="59">
        <v>0.62847222221898846</v>
      </c>
      <c r="AE354" s="56" t="s">
        <v>188</v>
      </c>
      <c r="AF354" s="58">
        <v>45918</v>
      </c>
      <c r="AG354" s="59">
        <v>0.86111111110949423</v>
      </c>
      <c r="AH354" s="56" t="s">
        <v>1292</v>
      </c>
      <c r="AI354" s="56" t="s">
        <v>1293</v>
      </c>
      <c r="AJ354" s="56" t="s">
        <v>64</v>
      </c>
      <c r="AK354" s="56" t="s">
        <v>64</v>
      </c>
      <c r="AL354" s="56" t="s">
        <v>1</v>
      </c>
      <c r="AM354" s="56" t="s">
        <v>65</v>
      </c>
      <c r="AN354" s="60"/>
      <c r="AO354" s="64" t="s">
        <v>504</v>
      </c>
    </row>
    <row r="355" spans="3:41" ht="14.25" customHeight="1">
      <c r="C355" s="55">
        <f>IF($X355=1,COUNTIF($C$10:C354,"&gt;0")+1,"")</f>
        <v>170</v>
      </c>
      <c r="D355" s="76">
        <v>462710889</v>
      </c>
      <c r="E355" s="56" t="s">
        <v>1287</v>
      </c>
      <c r="F355" s="57" t="s">
        <v>1456</v>
      </c>
      <c r="G355" s="56" t="s">
        <v>1456</v>
      </c>
      <c r="H355" s="56" t="s">
        <v>1457</v>
      </c>
      <c r="I355" s="56" t="s">
        <v>1458</v>
      </c>
      <c r="J355" s="56" t="s">
        <v>68</v>
      </c>
      <c r="K355" s="56" t="s">
        <v>59</v>
      </c>
      <c r="L355" s="58">
        <v>27672</v>
      </c>
      <c r="M355" s="56">
        <v>49</v>
      </c>
      <c r="N355" s="56" t="s">
        <v>1459</v>
      </c>
      <c r="O355" s="58">
        <v>48924</v>
      </c>
      <c r="P355" s="56" t="s">
        <v>4</v>
      </c>
      <c r="Q355" s="56"/>
      <c r="R355" s="50">
        <v>45913</v>
      </c>
      <c r="S355" s="50">
        <v>45918</v>
      </c>
      <c r="T355" s="51">
        <f t="shared" si="5"/>
        <v>5</v>
      </c>
      <c r="U355" s="56">
        <v>1</v>
      </c>
      <c r="V355" s="56">
        <v>1</v>
      </c>
      <c r="W355" s="56">
        <v>0</v>
      </c>
      <c r="X355" s="56">
        <v>1</v>
      </c>
      <c r="Y355" s="56">
        <v>0</v>
      </c>
      <c r="Z355" s="56">
        <v>1</v>
      </c>
      <c r="AA355" s="56">
        <v>0</v>
      </c>
      <c r="AB355" s="56"/>
      <c r="AC355" s="58">
        <v>45913</v>
      </c>
      <c r="AD355" s="59">
        <v>0.78125</v>
      </c>
      <c r="AE355" s="56" t="s">
        <v>462</v>
      </c>
      <c r="AF355" s="58">
        <v>45918</v>
      </c>
      <c r="AG355" s="59">
        <v>0.85416666666424135</v>
      </c>
      <c r="AH355" s="56" t="s">
        <v>1460</v>
      </c>
      <c r="AI355" s="56" t="s">
        <v>1293</v>
      </c>
      <c r="AJ355" s="56" t="s">
        <v>64</v>
      </c>
      <c r="AK355" s="56" t="s">
        <v>64</v>
      </c>
      <c r="AL355" s="56" t="s">
        <v>1</v>
      </c>
      <c r="AM355" s="56" t="s">
        <v>65</v>
      </c>
      <c r="AN355" s="60" t="s">
        <v>331</v>
      </c>
      <c r="AO355" s="61"/>
    </row>
    <row r="356" spans="3:41" ht="14.25" customHeight="1">
      <c r="C356" s="55" t="str">
        <f>IF($X356=1,COUNTIF($C$10:C355,"&gt;0")+1,"")</f>
        <v/>
      </c>
      <c r="D356" s="76"/>
      <c r="E356" s="56" t="s">
        <v>1287</v>
      </c>
      <c r="F356" s="57" t="s">
        <v>1461</v>
      </c>
      <c r="G356" s="56" t="s">
        <v>1456</v>
      </c>
      <c r="H356" s="56" t="s">
        <v>1462</v>
      </c>
      <c r="I356" s="56" t="s">
        <v>1463</v>
      </c>
      <c r="J356" s="56" t="s">
        <v>58</v>
      </c>
      <c r="K356" s="56" t="s">
        <v>59</v>
      </c>
      <c r="L356" s="58">
        <v>23788</v>
      </c>
      <c r="M356" s="56">
        <v>60</v>
      </c>
      <c r="N356" s="56" t="s">
        <v>1464</v>
      </c>
      <c r="O356" s="58">
        <v>48924</v>
      </c>
      <c r="P356" s="56" t="s">
        <v>4</v>
      </c>
      <c r="Q356" s="56"/>
      <c r="R356" s="50">
        <v>45913</v>
      </c>
      <c r="S356" s="50">
        <v>45918</v>
      </c>
      <c r="T356" s="51">
        <f t="shared" si="5"/>
        <v>5</v>
      </c>
      <c r="U356" s="56">
        <v>1</v>
      </c>
      <c r="V356" s="56">
        <v>1</v>
      </c>
      <c r="W356" s="56">
        <v>0</v>
      </c>
      <c r="X356" s="56">
        <v>0</v>
      </c>
      <c r="Y356" s="56">
        <v>0</v>
      </c>
      <c r="Z356" s="56">
        <v>0</v>
      </c>
      <c r="AA356" s="56">
        <v>0</v>
      </c>
      <c r="AB356" s="56"/>
      <c r="AC356" s="58">
        <v>45913</v>
      </c>
      <c r="AD356" s="59">
        <v>0.78125</v>
      </c>
      <c r="AE356" s="56" t="s">
        <v>462</v>
      </c>
      <c r="AF356" s="58">
        <v>45918</v>
      </c>
      <c r="AG356" s="59">
        <v>0.85416666666424135</v>
      </c>
      <c r="AH356" s="56" t="s">
        <v>1460</v>
      </c>
      <c r="AI356" s="56" t="s">
        <v>1293</v>
      </c>
      <c r="AJ356" s="56" t="s">
        <v>64</v>
      </c>
      <c r="AK356" s="56" t="s">
        <v>64</v>
      </c>
      <c r="AL356" s="56" t="s">
        <v>1</v>
      </c>
      <c r="AM356" s="56" t="s">
        <v>65</v>
      </c>
      <c r="AN356" s="60" t="s">
        <v>331</v>
      </c>
      <c r="AO356" s="61"/>
    </row>
    <row r="357" spans="3:41" ht="14.25" customHeight="1">
      <c r="C357" s="55" t="str">
        <f>IF($X357=1,COUNTIF($C$10:C356,"&gt;0")+1,"")</f>
        <v/>
      </c>
      <c r="D357" s="76"/>
      <c r="E357" s="56" t="s">
        <v>1287</v>
      </c>
      <c r="F357" s="57" t="s">
        <v>1465</v>
      </c>
      <c r="G357" s="56" t="s">
        <v>1456</v>
      </c>
      <c r="H357" s="56" t="s">
        <v>1466</v>
      </c>
      <c r="I357" s="56" t="s">
        <v>1458</v>
      </c>
      <c r="J357" s="56" t="s">
        <v>58</v>
      </c>
      <c r="K357" s="56" t="s">
        <v>59</v>
      </c>
      <c r="L357" s="58">
        <v>43148</v>
      </c>
      <c r="M357" s="56">
        <v>7</v>
      </c>
      <c r="N357" s="56" t="s">
        <v>1467</v>
      </c>
      <c r="O357" s="58">
        <v>46400</v>
      </c>
      <c r="P357" s="56" t="s">
        <v>4</v>
      </c>
      <c r="Q357" s="56"/>
      <c r="R357" s="50">
        <v>45913</v>
      </c>
      <c r="S357" s="50">
        <v>45918</v>
      </c>
      <c r="T357" s="51">
        <f t="shared" si="5"/>
        <v>5</v>
      </c>
      <c r="U357" s="56">
        <v>1</v>
      </c>
      <c r="V357" s="56">
        <v>0</v>
      </c>
      <c r="W357" s="56">
        <v>1</v>
      </c>
      <c r="X357" s="56">
        <v>0</v>
      </c>
      <c r="Y357" s="56">
        <v>0</v>
      </c>
      <c r="Z357" s="56">
        <v>0</v>
      </c>
      <c r="AA357" s="56">
        <v>0</v>
      </c>
      <c r="AB357" s="56"/>
      <c r="AC357" s="58">
        <v>45913</v>
      </c>
      <c r="AD357" s="59">
        <v>0.78125</v>
      </c>
      <c r="AE357" s="56" t="s">
        <v>462</v>
      </c>
      <c r="AF357" s="58">
        <v>45918</v>
      </c>
      <c r="AG357" s="59">
        <v>0.85416666666424135</v>
      </c>
      <c r="AH357" s="56" t="s">
        <v>1460</v>
      </c>
      <c r="AI357" s="56" t="s">
        <v>1293</v>
      </c>
      <c r="AJ357" s="56" t="s">
        <v>64</v>
      </c>
      <c r="AK357" s="56" t="s">
        <v>64</v>
      </c>
      <c r="AL357" s="56" t="s">
        <v>1</v>
      </c>
      <c r="AM357" s="56" t="s">
        <v>65</v>
      </c>
      <c r="AN357" s="60" t="s">
        <v>331</v>
      </c>
      <c r="AO357" s="61"/>
    </row>
    <row r="358" spans="3:41" ht="14.25" customHeight="1">
      <c r="C358" s="55">
        <f>IF($X358=1,COUNTIF($C$10:C357,"&gt;0")+1,"")</f>
        <v>171</v>
      </c>
      <c r="D358" s="76">
        <v>462710890</v>
      </c>
      <c r="E358" s="56" t="s">
        <v>1287</v>
      </c>
      <c r="F358" s="57" t="s">
        <v>1468</v>
      </c>
      <c r="G358" s="56" t="s">
        <v>1456</v>
      </c>
      <c r="H358" s="56" t="s">
        <v>1469</v>
      </c>
      <c r="I358" s="56" t="s">
        <v>586</v>
      </c>
      <c r="J358" s="56" t="s">
        <v>68</v>
      </c>
      <c r="K358" s="56" t="s">
        <v>59</v>
      </c>
      <c r="L358" s="58">
        <v>25417</v>
      </c>
      <c r="M358" s="56">
        <v>56</v>
      </c>
      <c r="N358" s="56" t="s">
        <v>1470</v>
      </c>
      <c r="O358" s="58">
        <v>48925</v>
      </c>
      <c r="P358" s="56" t="s">
        <v>5</v>
      </c>
      <c r="Q358" s="56"/>
      <c r="R358" s="50">
        <v>45913</v>
      </c>
      <c r="S358" s="50">
        <v>45918</v>
      </c>
      <c r="T358" s="51">
        <f t="shared" si="5"/>
        <v>5</v>
      </c>
      <c r="U358" s="56">
        <v>1</v>
      </c>
      <c r="V358" s="56">
        <v>1</v>
      </c>
      <c r="W358" s="56">
        <v>0</v>
      </c>
      <c r="X358" s="56">
        <v>1</v>
      </c>
      <c r="Y358" s="56">
        <v>0</v>
      </c>
      <c r="Z358" s="56">
        <v>0</v>
      </c>
      <c r="AA358" s="56">
        <v>1</v>
      </c>
      <c r="AB358" s="56"/>
      <c r="AC358" s="58">
        <v>45913</v>
      </c>
      <c r="AD358" s="59">
        <v>0.78125</v>
      </c>
      <c r="AE358" s="56" t="s">
        <v>462</v>
      </c>
      <c r="AF358" s="58">
        <v>45918</v>
      </c>
      <c r="AG358" s="59">
        <v>0.85416666666424135</v>
      </c>
      <c r="AH358" s="56" t="s">
        <v>1460</v>
      </c>
      <c r="AI358" s="56" t="s">
        <v>1293</v>
      </c>
      <c r="AJ358" s="56" t="s">
        <v>64</v>
      </c>
      <c r="AK358" s="56" t="s">
        <v>64</v>
      </c>
      <c r="AL358" s="56" t="s">
        <v>1</v>
      </c>
      <c r="AM358" s="56" t="s">
        <v>65</v>
      </c>
      <c r="AN358" s="60" t="s">
        <v>331</v>
      </c>
      <c r="AO358" s="61"/>
    </row>
    <row r="359" spans="3:41" ht="14.25" customHeight="1">
      <c r="C359" s="55" t="str">
        <f>IF($X359=1,COUNTIF($C$10:C358,"&gt;0")+1,"")</f>
        <v/>
      </c>
      <c r="D359" s="76"/>
      <c r="E359" s="56" t="s">
        <v>1287</v>
      </c>
      <c r="F359" s="57" t="s">
        <v>1471</v>
      </c>
      <c r="G359" s="56" t="s">
        <v>1456</v>
      </c>
      <c r="H359" s="56" t="s">
        <v>1472</v>
      </c>
      <c r="I359" s="56" t="s">
        <v>1319</v>
      </c>
      <c r="J359" s="56" t="s">
        <v>68</v>
      </c>
      <c r="K359" s="56" t="s">
        <v>59</v>
      </c>
      <c r="L359" s="58">
        <v>23458</v>
      </c>
      <c r="M359" s="56">
        <v>61</v>
      </c>
      <c r="N359" s="56" t="s">
        <v>1473</v>
      </c>
      <c r="O359" s="58">
        <v>47427</v>
      </c>
      <c r="P359" s="56" t="s">
        <v>5</v>
      </c>
      <c r="Q359" s="56"/>
      <c r="R359" s="50">
        <v>45913</v>
      </c>
      <c r="S359" s="50">
        <v>45918</v>
      </c>
      <c r="T359" s="51">
        <f t="shared" si="5"/>
        <v>5</v>
      </c>
      <c r="U359" s="56">
        <v>1</v>
      </c>
      <c r="V359" s="56">
        <v>1</v>
      </c>
      <c r="W359" s="56">
        <v>0</v>
      </c>
      <c r="X359" s="56">
        <v>0</v>
      </c>
      <c r="Y359" s="56">
        <v>0</v>
      </c>
      <c r="Z359" s="56">
        <v>0</v>
      </c>
      <c r="AA359" s="56">
        <v>0</v>
      </c>
      <c r="AB359" s="56"/>
      <c r="AC359" s="58">
        <v>45913</v>
      </c>
      <c r="AD359" s="59">
        <v>0.62847222221898846</v>
      </c>
      <c r="AE359" s="56" t="s">
        <v>188</v>
      </c>
      <c r="AF359" s="58" t="s">
        <v>64</v>
      </c>
      <c r="AG359" s="59" t="s">
        <v>64</v>
      </c>
      <c r="AH359" s="56" t="s">
        <v>64</v>
      </c>
      <c r="AI359" s="56" t="s">
        <v>1293</v>
      </c>
      <c r="AJ359" s="56" t="s">
        <v>64</v>
      </c>
      <c r="AK359" s="56" t="s">
        <v>64</v>
      </c>
      <c r="AL359" s="56" t="s">
        <v>1</v>
      </c>
      <c r="AM359" s="56" t="s">
        <v>65</v>
      </c>
      <c r="AN359" s="60"/>
      <c r="AO359" s="61"/>
    </row>
    <row r="360" spans="3:41" ht="14.25" customHeight="1">
      <c r="C360" s="55">
        <f>IF($X360=1,COUNTIF($C$10:C359,"&gt;0")+1,"")</f>
        <v>172</v>
      </c>
      <c r="D360" s="291">
        <v>462566589</v>
      </c>
      <c r="E360" s="56" t="s">
        <v>1474</v>
      </c>
      <c r="F360" s="57" t="s">
        <v>1475</v>
      </c>
      <c r="G360" s="56" t="s">
        <v>1475</v>
      </c>
      <c r="H360" s="56" t="s">
        <v>1476</v>
      </c>
      <c r="I360" s="56" t="s">
        <v>1477</v>
      </c>
      <c r="J360" s="56" t="s">
        <v>68</v>
      </c>
      <c r="K360" s="56" t="s">
        <v>460</v>
      </c>
      <c r="L360" s="58">
        <v>35921</v>
      </c>
      <c r="M360" s="56">
        <v>27</v>
      </c>
      <c r="N360" s="56" t="s">
        <v>1478</v>
      </c>
      <c r="O360" s="58">
        <v>49522</v>
      </c>
      <c r="P360" s="56" t="s">
        <v>4</v>
      </c>
      <c r="Q360" s="56" t="s">
        <v>1141</v>
      </c>
      <c r="R360" s="72">
        <v>45912</v>
      </c>
      <c r="S360" s="72">
        <v>45918</v>
      </c>
      <c r="T360" s="73">
        <f t="shared" si="5"/>
        <v>6</v>
      </c>
      <c r="U360" s="56">
        <v>1</v>
      </c>
      <c r="V360" s="56">
        <v>1</v>
      </c>
      <c r="W360" s="56">
        <v>0</v>
      </c>
      <c r="X360" s="56">
        <v>1</v>
      </c>
      <c r="Y360" s="56">
        <v>0</v>
      </c>
      <c r="Z360" s="56">
        <v>1</v>
      </c>
      <c r="AA360" s="56">
        <v>0</v>
      </c>
      <c r="AB360" s="56"/>
      <c r="AC360" s="58">
        <v>45912</v>
      </c>
      <c r="AD360" s="59">
        <v>0.72916666666424135</v>
      </c>
      <c r="AE360" s="56" t="s">
        <v>575</v>
      </c>
      <c r="AF360" s="58">
        <v>45918</v>
      </c>
      <c r="AG360" s="59">
        <v>0.83680555555474712</v>
      </c>
      <c r="AH360" s="56" t="s">
        <v>1479</v>
      </c>
      <c r="AI360" s="56" t="s">
        <v>1480</v>
      </c>
      <c r="AJ360" s="56" t="s">
        <v>64</v>
      </c>
      <c r="AK360" s="56"/>
      <c r="AL360" s="56" t="s">
        <v>1</v>
      </c>
      <c r="AM360" s="56" t="s">
        <v>65</v>
      </c>
      <c r="AN360" s="60"/>
      <c r="AO360" s="61"/>
    </row>
    <row r="361" spans="3:41" ht="14.25" customHeight="1">
      <c r="C361" s="55" t="str">
        <f>IF($X361=1,COUNTIF($C$10:C360,"&gt;0")+1,"")</f>
        <v/>
      </c>
      <c r="D361" s="292"/>
      <c r="E361" s="56" t="s">
        <v>1474</v>
      </c>
      <c r="F361" s="57" t="s">
        <v>1481</v>
      </c>
      <c r="G361" s="56" t="s">
        <v>1475</v>
      </c>
      <c r="H361" s="56" t="s">
        <v>1482</v>
      </c>
      <c r="I361" s="56" t="s">
        <v>1477</v>
      </c>
      <c r="J361" s="56" t="s">
        <v>68</v>
      </c>
      <c r="K361" s="56" t="s">
        <v>460</v>
      </c>
      <c r="L361" s="58">
        <v>36655</v>
      </c>
      <c r="M361" s="56">
        <v>25</v>
      </c>
      <c r="N361" s="56" t="s">
        <v>1483</v>
      </c>
      <c r="O361" s="58">
        <v>48302</v>
      </c>
      <c r="P361" s="56" t="s">
        <v>4</v>
      </c>
      <c r="Q361" s="56" t="s">
        <v>1141</v>
      </c>
      <c r="R361" s="72">
        <v>45912</v>
      </c>
      <c r="S361" s="72">
        <v>45918</v>
      </c>
      <c r="T361" s="73">
        <f t="shared" si="5"/>
        <v>6</v>
      </c>
      <c r="U361" s="56">
        <v>1</v>
      </c>
      <c r="V361" s="56">
        <v>1</v>
      </c>
      <c r="W361" s="56">
        <v>0</v>
      </c>
      <c r="X361" s="56">
        <v>0</v>
      </c>
      <c r="Y361" s="56">
        <v>0</v>
      </c>
      <c r="Z361" s="56">
        <v>0</v>
      </c>
      <c r="AA361" s="56">
        <v>0</v>
      </c>
      <c r="AB361" s="56"/>
      <c r="AC361" s="58">
        <v>45912</v>
      </c>
      <c r="AD361" s="59">
        <v>0.72916666666424135</v>
      </c>
      <c r="AE361" s="56" t="s">
        <v>575</v>
      </c>
      <c r="AF361" s="58">
        <v>45918</v>
      </c>
      <c r="AG361" s="59">
        <v>0.83680555555474712</v>
      </c>
      <c r="AH361" s="56" t="s">
        <v>1479</v>
      </c>
      <c r="AI361" s="56" t="s">
        <v>1480</v>
      </c>
      <c r="AJ361" s="56" t="s">
        <v>64</v>
      </c>
      <c r="AK361" s="56"/>
      <c r="AL361" s="56" t="s">
        <v>1</v>
      </c>
      <c r="AM361" s="56" t="s">
        <v>65</v>
      </c>
      <c r="AN361" s="60"/>
      <c r="AO361" s="61"/>
    </row>
    <row r="362" spans="3:41" ht="14.25" customHeight="1">
      <c r="C362" s="55">
        <f>IF($X362=1,COUNTIF($C$10:C361,"&gt;0")+1,"")</f>
        <v>173</v>
      </c>
      <c r="D362" s="76">
        <v>462710891</v>
      </c>
      <c r="E362" s="56" t="s">
        <v>1484</v>
      </c>
      <c r="F362" s="57" t="s">
        <v>1485</v>
      </c>
      <c r="G362" s="56" t="s">
        <v>1485</v>
      </c>
      <c r="H362" s="56" t="s">
        <v>1486</v>
      </c>
      <c r="I362" s="56" t="s">
        <v>1487</v>
      </c>
      <c r="J362" s="56" t="s">
        <v>58</v>
      </c>
      <c r="K362" s="56" t="s">
        <v>180</v>
      </c>
      <c r="L362" s="58">
        <v>29578</v>
      </c>
      <c r="M362" s="56">
        <v>44</v>
      </c>
      <c r="N362" s="56" t="s">
        <v>1488</v>
      </c>
      <c r="O362" s="58">
        <v>48559</v>
      </c>
      <c r="P362" s="56" t="s">
        <v>4</v>
      </c>
      <c r="Q362" s="56"/>
      <c r="R362" s="50">
        <v>45913</v>
      </c>
      <c r="S362" s="50">
        <v>45918</v>
      </c>
      <c r="T362" s="51">
        <f t="shared" si="5"/>
        <v>5</v>
      </c>
      <c r="U362" s="56">
        <v>1</v>
      </c>
      <c r="V362" s="56">
        <v>1</v>
      </c>
      <c r="W362" s="56">
        <v>0</v>
      </c>
      <c r="X362" s="56">
        <v>1</v>
      </c>
      <c r="Y362" s="56">
        <v>0</v>
      </c>
      <c r="Z362" s="56">
        <v>1</v>
      </c>
      <c r="AA362" s="56">
        <v>0</v>
      </c>
      <c r="AB362" s="56"/>
      <c r="AC362" s="58">
        <v>45913</v>
      </c>
      <c r="AD362" s="59">
        <v>0.18055555555474712</v>
      </c>
      <c r="AE362" s="56" t="s">
        <v>95</v>
      </c>
      <c r="AF362" s="58">
        <v>45918</v>
      </c>
      <c r="AG362" s="59">
        <v>0.87847222221898846</v>
      </c>
      <c r="AH362" s="56" t="s">
        <v>1489</v>
      </c>
      <c r="AI362" s="56" t="s">
        <v>1490</v>
      </c>
      <c r="AJ362" s="56" t="s">
        <v>64</v>
      </c>
      <c r="AK362" s="56" t="s">
        <v>64</v>
      </c>
      <c r="AL362" s="56" t="s">
        <v>1</v>
      </c>
      <c r="AM362" s="56" t="s">
        <v>65</v>
      </c>
      <c r="AN362" s="60"/>
      <c r="AO362" s="61"/>
    </row>
    <row r="363" spans="3:41" ht="14.25" customHeight="1">
      <c r="C363" s="55" t="str">
        <f>IF($X363=1,COUNTIF($C$10:C362,"&gt;0")+1,"")</f>
        <v/>
      </c>
      <c r="D363" s="76"/>
      <c r="E363" s="56" t="s">
        <v>1484</v>
      </c>
      <c r="F363" s="57" t="s">
        <v>1491</v>
      </c>
      <c r="G363" s="56" t="s">
        <v>1485</v>
      </c>
      <c r="H363" s="56" t="s">
        <v>1492</v>
      </c>
      <c r="I363" s="56" t="s">
        <v>1487</v>
      </c>
      <c r="J363" s="56" t="s">
        <v>68</v>
      </c>
      <c r="K363" s="56" t="s">
        <v>180</v>
      </c>
      <c r="L363" s="58">
        <v>30579</v>
      </c>
      <c r="M363" s="56">
        <v>41</v>
      </c>
      <c r="N363" s="56" t="s">
        <v>1493</v>
      </c>
      <c r="O363" s="58">
        <v>48598</v>
      </c>
      <c r="P363" s="56" t="s">
        <v>4</v>
      </c>
      <c r="Q363" s="56"/>
      <c r="R363" s="50">
        <v>45913</v>
      </c>
      <c r="S363" s="50">
        <v>45918</v>
      </c>
      <c r="T363" s="51">
        <f t="shared" si="5"/>
        <v>5</v>
      </c>
      <c r="U363" s="56">
        <v>1</v>
      </c>
      <c r="V363" s="56">
        <v>1</v>
      </c>
      <c r="W363" s="56">
        <v>0</v>
      </c>
      <c r="X363" s="56">
        <v>0</v>
      </c>
      <c r="Y363" s="56">
        <v>0</v>
      </c>
      <c r="Z363" s="56">
        <v>0</v>
      </c>
      <c r="AA363" s="56">
        <v>0</v>
      </c>
      <c r="AB363" s="56"/>
      <c r="AC363" s="58">
        <v>45913</v>
      </c>
      <c r="AD363" s="59">
        <v>0.18055555555474712</v>
      </c>
      <c r="AE363" s="56" t="s">
        <v>95</v>
      </c>
      <c r="AF363" s="58">
        <v>45918</v>
      </c>
      <c r="AG363" s="59">
        <v>0.87847222221898846</v>
      </c>
      <c r="AH363" s="56" t="s">
        <v>1489</v>
      </c>
      <c r="AI363" s="56" t="s">
        <v>1490</v>
      </c>
      <c r="AJ363" s="56" t="s">
        <v>64</v>
      </c>
      <c r="AK363" s="56" t="s">
        <v>64</v>
      </c>
      <c r="AL363" s="56" t="s">
        <v>1</v>
      </c>
      <c r="AM363" s="56" t="s">
        <v>65</v>
      </c>
      <c r="AN363" s="60"/>
      <c r="AO363" s="61"/>
    </row>
    <row r="364" spans="3:41" ht="14.25" customHeight="1">
      <c r="C364" s="55">
        <f>IF($X364=1,COUNTIF($C$10:C363,"&gt;0")+1,"")</f>
        <v>174</v>
      </c>
      <c r="D364" s="76">
        <v>462710892</v>
      </c>
      <c r="E364" s="56" t="s">
        <v>1484</v>
      </c>
      <c r="F364" s="57" t="s">
        <v>1494</v>
      </c>
      <c r="G364" s="56" t="s">
        <v>1485</v>
      </c>
      <c r="H364" s="56" t="s">
        <v>1495</v>
      </c>
      <c r="I364" s="56" t="s">
        <v>1487</v>
      </c>
      <c r="J364" s="56" t="s">
        <v>68</v>
      </c>
      <c r="K364" s="56" t="s">
        <v>180</v>
      </c>
      <c r="L364" s="58">
        <v>40749</v>
      </c>
      <c r="M364" s="56">
        <v>14</v>
      </c>
      <c r="N364" s="56" t="s">
        <v>1496</v>
      </c>
      <c r="O364" s="58">
        <v>46742</v>
      </c>
      <c r="P364" s="56" t="s">
        <v>4</v>
      </c>
      <c r="Q364" s="56"/>
      <c r="R364" s="50">
        <v>45913</v>
      </c>
      <c r="S364" s="50">
        <v>45918</v>
      </c>
      <c r="T364" s="51">
        <f t="shared" si="5"/>
        <v>5</v>
      </c>
      <c r="U364" s="56">
        <v>1</v>
      </c>
      <c r="V364" s="56">
        <v>1</v>
      </c>
      <c r="W364" s="56">
        <v>0</v>
      </c>
      <c r="X364" s="56">
        <v>1</v>
      </c>
      <c r="Y364" s="56">
        <v>0</v>
      </c>
      <c r="Z364" s="56">
        <v>1</v>
      </c>
      <c r="AA364" s="56">
        <v>0</v>
      </c>
      <c r="AB364" s="56"/>
      <c r="AC364" s="58">
        <v>45913</v>
      </c>
      <c r="AD364" s="59">
        <v>0.18055555555474712</v>
      </c>
      <c r="AE364" s="56" t="s">
        <v>95</v>
      </c>
      <c r="AF364" s="58">
        <v>45918</v>
      </c>
      <c r="AG364" s="59">
        <v>0.87847222221898846</v>
      </c>
      <c r="AH364" s="56" t="s">
        <v>1489</v>
      </c>
      <c r="AI364" s="56" t="s">
        <v>1490</v>
      </c>
      <c r="AJ364" s="56" t="s">
        <v>64</v>
      </c>
      <c r="AK364" s="56" t="s">
        <v>64</v>
      </c>
      <c r="AL364" s="56" t="s">
        <v>1</v>
      </c>
      <c r="AM364" s="56" t="s">
        <v>65</v>
      </c>
      <c r="AN364" s="60"/>
      <c r="AO364" s="61"/>
    </row>
    <row r="365" spans="3:41" ht="14.25" customHeight="1">
      <c r="C365" s="55" t="str">
        <f>IF($X365=1,COUNTIF($C$10:C364,"&gt;0")+1,"")</f>
        <v/>
      </c>
      <c r="D365" s="76"/>
      <c r="E365" s="56" t="s">
        <v>1484</v>
      </c>
      <c r="F365" s="57" t="s">
        <v>1497</v>
      </c>
      <c r="G365" s="56" t="s">
        <v>1485</v>
      </c>
      <c r="H365" s="56" t="s">
        <v>1498</v>
      </c>
      <c r="I365" s="56" t="s">
        <v>1487</v>
      </c>
      <c r="J365" s="56" t="s">
        <v>58</v>
      </c>
      <c r="K365" s="56" t="s">
        <v>180</v>
      </c>
      <c r="L365" s="58">
        <v>41144</v>
      </c>
      <c r="M365" s="56">
        <v>13</v>
      </c>
      <c r="N365" s="56" t="s">
        <v>1499</v>
      </c>
      <c r="O365" s="58">
        <v>46742</v>
      </c>
      <c r="P365" s="56" t="s">
        <v>4</v>
      </c>
      <c r="Q365" s="56"/>
      <c r="R365" s="50">
        <v>45913</v>
      </c>
      <c r="S365" s="50">
        <v>45918</v>
      </c>
      <c r="T365" s="51">
        <f t="shared" si="5"/>
        <v>5</v>
      </c>
      <c r="U365" s="56">
        <v>1</v>
      </c>
      <c r="V365" s="56">
        <v>1</v>
      </c>
      <c r="W365" s="56">
        <v>0</v>
      </c>
      <c r="X365" s="56">
        <v>0</v>
      </c>
      <c r="Y365" s="56">
        <v>0</v>
      </c>
      <c r="Z365" s="56">
        <v>0</v>
      </c>
      <c r="AA365" s="56">
        <v>0</v>
      </c>
      <c r="AB365" s="56"/>
      <c r="AC365" s="58">
        <v>45913</v>
      </c>
      <c r="AD365" s="59">
        <v>0.18055555555474712</v>
      </c>
      <c r="AE365" s="56" t="s">
        <v>95</v>
      </c>
      <c r="AF365" s="58">
        <v>45918</v>
      </c>
      <c r="AG365" s="59">
        <v>0.87847222221898846</v>
      </c>
      <c r="AH365" s="56" t="s">
        <v>1489</v>
      </c>
      <c r="AI365" s="56" t="s">
        <v>1490</v>
      </c>
      <c r="AJ365" s="56" t="s">
        <v>64</v>
      </c>
      <c r="AK365" s="56" t="s">
        <v>64</v>
      </c>
      <c r="AL365" s="56" t="s">
        <v>1</v>
      </c>
      <c r="AM365" s="56" t="s">
        <v>65</v>
      </c>
      <c r="AN365" s="60"/>
      <c r="AO365" s="61"/>
    </row>
    <row r="366" spans="3:41" ht="14.25" customHeight="1">
      <c r="C366" s="55">
        <f>IF($X366=1,COUNTIF($C$10:C365,"&gt;0")+1,"")</f>
        <v>175</v>
      </c>
      <c r="D366" s="76">
        <v>462710893</v>
      </c>
      <c r="E366" s="56" t="s">
        <v>1484</v>
      </c>
      <c r="F366" s="57" t="s">
        <v>1500</v>
      </c>
      <c r="G366" s="56" t="s">
        <v>1500</v>
      </c>
      <c r="H366" s="56" t="s">
        <v>1501</v>
      </c>
      <c r="I366" s="56" t="s">
        <v>1502</v>
      </c>
      <c r="J366" s="56" t="s">
        <v>58</v>
      </c>
      <c r="K366" s="56" t="s">
        <v>59</v>
      </c>
      <c r="L366" s="58">
        <v>32680</v>
      </c>
      <c r="M366" s="56">
        <v>36</v>
      </c>
      <c r="N366" s="56" t="s">
        <v>1503</v>
      </c>
      <c r="O366" s="58">
        <v>46482</v>
      </c>
      <c r="P366" s="56" t="s">
        <v>4</v>
      </c>
      <c r="Q366" s="56"/>
      <c r="R366" s="50">
        <v>45913</v>
      </c>
      <c r="S366" s="50">
        <v>45918</v>
      </c>
      <c r="T366" s="51">
        <f t="shared" si="5"/>
        <v>5</v>
      </c>
      <c r="U366" s="56">
        <v>1</v>
      </c>
      <c r="V366" s="56">
        <v>1</v>
      </c>
      <c r="W366" s="56">
        <v>0</v>
      </c>
      <c r="X366" s="56">
        <v>1</v>
      </c>
      <c r="Y366" s="56">
        <v>0</v>
      </c>
      <c r="Z366" s="56">
        <v>1</v>
      </c>
      <c r="AA366" s="56">
        <v>0</v>
      </c>
      <c r="AB366" s="56"/>
      <c r="AC366" s="58">
        <v>45913</v>
      </c>
      <c r="AD366" s="59">
        <v>0.18055555555474712</v>
      </c>
      <c r="AE366" s="56" t="s">
        <v>95</v>
      </c>
      <c r="AF366" s="58">
        <v>45918</v>
      </c>
      <c r="AG366" s="59">
        <v>0.70138888889050577</v>
      </c>
      <c r="AH366" s="56" t="s">
        <v>96</v>
      </c>
      <c r="AI366" s="56" t="s">
        <v>1490</v>
      </c>
      <c r="AJ366" s="56" t="s">
        <v>64</v>
      </c>
      <c r="AK366" s="62" t="s">
        <v>1504</v>
      </c>
      <c r="AL366" s="56" t="s">
        <v>1</v>
      </c>
      <c r="AM366" s="56" t="s">
        <v>65</v>
      </c>
      <c r="AN366" s="60"/>
      <c r="AO366" s="61"/>
    </row>
    <row r="367" spans="3:41" ht="14.25" customHeight="1">
      <c r="C367" s="55" t="str">
        <f>IF($X367=1,COUNTIF($C$10:C366,"&gt;0")+1,"")</f>
        <v/>
      </c>
      <c r="D367" s="76"/>
      <c r="E367" s="56" t="s">
        <v>1484</v>
      </c>
      <c r="F367" s="57" t="s">
        <v>1505</v>
      </c>
      <c r="G367" s="56" t="s">
        <v>1500</v>
      </c>
      <c r="H367" s="56" t="s">
        <v>1506</v>
      </c>
      <c r="I367" s="56" t="s">
        <v>1507</v>
      </c>
      <c r="J367" s="56" t="s">
        <v>68</v>
      </c>
      <c r="K367" s="56" t="s">
        <v>59</v>
      </c>
      <c r="L367" s="58">
        <v>32620</v>
      </c>
      <c r="M367" s="56">
        <v>36</v>
      </c>
      <c r="N367" s="56" t="s">
        <v>1508</v>
      </c>
      <c r="O367" s="58">
        <v>48142</v>
      </c>
      <c r="P367" s="56" t="s">
        <v>4</v>
      </c>
      <c r="Q367" s="56"/>
      <c r="R367" s="50">
        <v>45913</v>
      </c>
      <c r="S367" s="50">
        <v>45918</v>
      </c>
      <c r="T367" s="51">
        <f t="shared" si="5"/>
        <v>5</v>
      </c>
      <c r="U367" s="56">
        <v>1</v>
      </c>
      <c r="V367" s="56">
        <v>1</v>
      </c>
      <c r="W367" s="56">
        <v>0</v>
      </c>
      <c r="X367" s="56">
        <v>0</v>
      </c>
      <c r="Y367" s="56">
        <v>0</v>
      </c>
      <c r="Z367" s="56">
        <v>0</v>
      </c>
      <c r="AA367" s="56">
        <v>0</v>
      </c>
      <c r="AB367" s="56"/>
      <c r="AC367" s="58">
        <v>45913</v>
      </c>
      <c r="AD367" s="59">
        <v>0.18055555555474712</v>
      </c>
      <c r="AE367" s="56" t="s">
        <v>95</v>
      </c>
      <c r="AF367" s="58">
        <v>45918</v>
      </c>
      <c r="AG367" s="59">
        <v>0.70138888889050577</v>
      </c>
      <c r="AH367" s="56" t="s">
        <v>96</v>
      </c>
      <c r="AI367" s="56" t="s">
        <v>1490</v>
      </c>
      <c r="AJ367" s="56" t="s">
        <v>64</v>
      </c>
      <c r="AK367" s="56" t="s">
        <v>64</v>
      </c>
      <c r="AL367" s="56" t="s">
        <v>1</v>
      </c>
      <c r="AM367" s="56" t="s">
        <v>65</v>
      </c>
      <c r="AN367" s="60"/>
      <c r="AO367" s="61"/>
    </row>
    <row r="368" spans="3:41" ht="14.25" customHeight="1">
      <c r="C368" s="55" t="str">
        <f>IF($X368=1,COUNTIF($C$10:C367,"&gt;0")+1,"")</f>
        <v/>
      </c>
      <c r="D368" s="76"/>
      <c r="E368" s="56" t="s">
        <v>1484</v>
      </c>
      <c r="F368" s="57" t="s">
        <v>1509</v>
      </c>
      <c r="G368" s="56" t="s">
        <v>1500</v>
      </c>
      <c r="H368" s="56" t="s">
        <v>1510</v>
      </c>
      <c r="I368" s="56" t="s">
        <v>1511</v>
      </c>
      <c r="J368" s="56" t="s">
        <v>68</v>
      </c>
      <c r="K368" s="56" t="s">
        <v>59</v>
      </c>
      <c r="L368" s="58">
        <v>45387</v>
      </c>
      <c r="M368" s="56">
        <v>1</v>
      </c>
      <c r="N368" s="56" t="s">
        <v>1512</v>
      </c>
      <c r="O368" s="58">
        <v>47622</v>
      </c>
      <c r="P368" s="56" t="s">
        <v>4</v>
      </c>
      <c r="Q368" s="56"/>
      <c r="R368" s="50">
        <v>45913</v>
      </c>
      <c r="S368" s="50">
        <v>45918</v>
      </c>
      <c r="T368" s="51">
        <f t="shared" si="5"/>
        <v>5</v>
      </c>
      <c r="U368" s="56">
        <v>0</v>
      </c>
      <c r="V368" s="56">
        <v>0</v>
      </c>
      <c r="W368" s="56">
        <v>0</v>
      </c>
      <c r="X368" s="56">
        <v>0</v>
      </c>
      <c r="Y368" s="56">
        <v>0</v>
      </c>
      <c r="Z368" s="56">
        <v>0</v>
      </c>
      <c r="AA368" s="56">
        <v>0</v>
      </c>
      <c r="AB368" s="56"/>
      <c r="AC368" s="58">
        <v>45913</v>
      </c>
      <c r="AD368" s="59">
        <v>0.18055555555474712</v>
      </c>
      <c r="AE368" s="56" t="s">
        <v>95</v>
      </c>
      <c r="AF368" s="58">
        <v>45918</v>
      </c>
      <c r="AG368" s="59">
        <v>0.70138888889050577</v>
      </c>
      <c r="AH368" s="56" t="s">
        <v>96</v>
      </c>
      <c r="AI368" s="56" t="s">
        <v>1490</v>
      </c>
      <c r="AJ368" s="56" t="s">
        <v>64</v>
      </c>
      <c r="AK368" s="56" t="s">
        <v>64</v>
      </c>
      <c r="AL368" s="56" t="s">
        <v>1</v>
      </c>
      <c r="AM368" s="56" t="s">
        <v>65</v>
      </c>
      <c r="AN368" s="60"/>
      <c r="AO368" s="61"/>
    </row>
    <row r="369" spans="3:41" ht="14.25" customHeight="1">
      <c r="C369" s="55">
        <f>IF($X369=1,COUNTIF($C$10:C368,"&gt;0")+1,"")</f>
        <v>176</v>
      </c>
      <c r="D369" s="76">
        <v>462710894</v>
      </c>
      <c r="E369" s="56" t="s">
        <v>1484</v>
      </c>
      <c r="F369" s="57" t="s">
        <v>1513</v>
      </c>
      <c r="G369" s="56" t="s">
        <v>1513</v>
      </c>
      <c r="H369" s="56" t="s">
        <v>1514</v>
      </c>
      <c r="I369" s="56" t="s">
        <v>1511</v>
      </c>
      <c r="J369" s="56" t="s">
        <v>58</v>
      </c>
      <c r="K369" s="56" t="s">
        <v>59</v>
      </c>
      <c r="L369" s="58">
        <v>26323</v>
      </c>
      <c r="M369" s="56">
        <v>53</v>
      </c>
      <c r="N369" s="56" t="s">
        <v>1515</v>
      </c>
      <c r="O369" s="58">
        <v>46943</v>
      </c>
      <c r="P369" s="56" t="s">
        <v>4</v>
      </c>
      <c r="Q369" s="56"/>
      <c r="R369" s="50">
        <v>45913</v>
      </c>
      <c r="S369" s="50">
        <v>45918</v>
      </c>
      <c r="T369" s="51">
        <f t="shared" si="5"/>
        <v>5</v>
      </c>
      <c r="U369" s="56">
        <v>1</v>
      </c>
      <c r="V369" s="56">
        <v>1</v>
      </c>
      <c r="W369" s="56">
        <v>0</v>
      </c>
      <c r="X369" s="56">
        <v>1</v>
      </c>
      <c r="Y369" s="56">
        <v>0</v>
      </c>
      <c r="Z369" s="56">
        <v>1</v>
      </c>
      <c r="AA369" s="56">
        <v>0</v>
      </c>
      <c r="AB369" s="56"/>
      <c r="AC369" s="58">
        <v>45913</v>
      </c>
      <c r="AD369" s="59">
        <v>0.18055555555474712</v>
      </c>
      <c r="AE369" s="56" t="s">
        <v>95</v>
      </c>
      <c r="AF369" s="58">
        <v>45918</v>
      </c>
      <c r="AG369" s="59">
        <v>0.70138888889050577</v>
      </c>
      <c r="AH369" s="56" t="s">
        <v>96</v>
      </c>
      <c r="AI369" s="56" t="s">
        <v>1490</v>
      </c>
      <c r="AJ369" s="56" t="s">
        <v>64</v>
      </c>
      <c r="AK369" s="56"/>
      <c r="AL369" s="56" t="s">
        <v>1</v>
      </c>
      <c r="AM369" s="56" t="s">
        <v>65</v>
      </c>
      <c r="AN369" s="60"/>
      <c r="AO369" s="61"/>
    </row>
    <row r="370" spans="3:41" ht="14.25" customHeight="1">
      <c r="C370" s="55" t="str">
        <f>IF($X370=1,COUNTIF($C$10:C369,"&gt;0")+1,"")</f>
        <v/>
      </c>
      <c r="D370" s="76"/>
      <c r="E370" s="56" t="s">
        <v>1484</v>
      </c>
      <c r="F370" s="57" t="s">
        <v>1516</v>
      </c>
      <c r="G370" s="56" t="s">
        <v>1513</v>
      </c>
      <c r="H370" s="56" t="s">
        <v>1517</v>
      </c>
      <c r="I370" s="56" t="s">
        <v>1518</v>
      </c>
      <c r="J370" s="56" t="s">
        <v>68</v>
      </c>
      <c r="K370" s="56" t="s">
        <v>59</v>
      </c>
      <c r="L370" s="58">
        <v>27654</v>
      </c>
      <c r="M370" s="56">
        <v>50</v>
      </c>
      <c r="N370" s="56" t="s">
        <v>1519</v>
      </c>
      <c r="O370" s="58">
        <v>48840</v>
      </c>
      <c r="P370" s="56" t="s">
        <v>4</v>
      </c>
      <c r="Q370" s="56"/>
      <c r="R370" s="50">
        <v>45913</v>
      </c>
      <c r="S370" s="50">
        <v>45918</v>
      </c>
      <c r="T370" s="51">
        <f t="shared" si="5"/>
        <v>5</v>
      </c>
      <c r="U370" s="56">
        <v>1</v>
      </c>
      <c r="V370" s="56">
        <v>1</v>
      </c>
      <c r="W370" s="56">
        <v>0</v>
      </c>
      <c r="X370" s="56">
        <v>0</v>
      </c>
      <c r="Y370" s="56">
        <v>0</v>
      </c>
      <c r="Z370" s="56">
        <v>0</v>
      </c>
      <c r="AA370" s="56">
        <v>0</v>
      </c>
      <c r="AB370" s="56"/>
      <c r="AC370" s="58">
        <v>45913</v>
      </c>
      <c r="AD370" s="59">
        <v>0.18055555555474712</v>
      </c>
      <c r="AE370" s="56" t="s">
        <v>95</v>
      </c>
      <c r="AF370" s="58">
        <v>45918</v>
      </c>
      <c r="AG370" s="59">
        <v>0.70138888889050577</v>
      </c>
      <c r="AH370" s="56" t="s">
        <v>96</v>
      </c>
      <c r="AI370" s="56" t="s">
        <v>1490</v>
      </c>
      <c r="AJ370" s="56" t="s">
        <v>64</v>
      </c>
      <c r="AK370" s="56" t="s">
        <v>64</v>
      </c>
      <c r="AL370" s="56" t="s">
        <v>1</v>
      </c>
      <c r="AM370" s="56" t="s">
        <v>65</v>
      </c>
      <c r="AN370" s="60"/>
      <c r="AO370" s="61"/>
    </row>
    <row r="371" spans="3:41" ht="14.25" customHeight="1">
      <c r="C371" s="55">
        <f>IF($X371=1,COUNTIF($C$10:C370,"&gt;0")+1,"")</f>
        <v>177</v>
      </c>
      <c r="D371" s="76">
        <v>462710895</v>
      </c>
      <c r="E371" s="56" t="s">
        <v>1484</v>
      </c>
      <c r="F371" s="57" t="s">
        <v>1520</v>
      </c>
      <c r="G371" s="56" t="s">
        <v>1520</v>
      </c>
      <c r="H371" s="56" t="s">
        <v>1521</v>
      </c>
      <c r="I371" s="56" t="s">
        <v>1522</v>
      </c>
      <c r="J371" s="56" t="s">
        <v>68</v>
      </c>
      <c r="K371" s="56" t="s">
        <v>59</v>
      </c>
      <c r="L371" s="58">
        <v>19998</v>
      </c>
      <c r="M371" s="56">
        <v>70</v>
      </c>
      <c r="N371" s="56" t="s">
        <v>1523</v>
      </c>
      <c r="O371" s="58">
        <v>48181</v>
      </c>
      <c r="P371" s="56" t="s">
        <v>4</v>
      </c>
      <c r="Q371" s="56"/>
      <c r="R371" s="50">
        <v>45913</v>
      </c>
      <c r="S371" s="50">
        <v>45918</v>
      </c>
      <c r="T371" s="51">
        <f t="shared" si="5"/>
        <v>5</v>
      </c>
      <c r="U371" s="56">
        <v>1</v>
      </c>
      <c r="V371" s="56">
        <v>1</v>
      </c>
      <c r="W371" s="56">
        <v>0</v>
      </c>
      <c r="X371" s="56">
        <v>1</v>
      </c>
      <c r="Y371" s="56">
        <v>0</v>
      </c>
      <c r="Z371" s="56">
        <v>1</v>
      </c>
      <c r="AA371" s="56">
        <v>0</v>
      </c>
      <c r="AB371" s="56"/>
      <c r="AC371" s="58">
        <v>45913</v>
      </c>
      <c r="AD371" s="59">
        <v>0.6875</v>
      </c>
      <c r="AE371" s="56" t="s">
        <v>1524</v>
      </c>
      <c r="AF371" s="58">
        <v>45918</v>
      </c>
      <c r="AG371" s="59">
        <v>0.63194444444525288</v>
      </c>
      <c r="AH371" s="56" t="s">
        <v>62</v>
      </c>
      <c r="AI371" s="56" t="s">
        <v>1490</v>
      </c>
      <c r="AJ371" s="56" t="s">
        <v>64</v>
      </c>
      <c r="AK371" s="56" t="s">
        <v>64</v>
      </c>
      <c r="AL371" s="56" t="s">
        <v>1</v>
      </c>
      <c r="AM371" s="56" t="s">
        <v>65</v>
      </c>
      <c r="AN371" s="60"/>
      <c r="AO371" s="61"/>
    </row>
    <row r="372" spans="3:41" ht="14.25" customHeight="1">
      <c r="C372" s="55" t="str">
        <f>IF($X372=1,COUNTIF($C$10:C371,"&gt;0")+1,"")</f>
        <v/>
      </c>
      <c r="D372" s="76"/>
      <c r="E372" s="56" t="s">
        <v>1484</v>
      </c>
      <c r="F372" s="57" t="s">
        <v>1525</v>
      </c>
      <c r="G372" s="56" t="s">
        <v>1520</v>
      </c>
      <c r="H372" s="56" t="s">
        <v>1526</v>
      </c>
      <c r="I372" s="56" t="s">
        <v>1527</v>
      </c>
      <c r="J372" s="56" t="s">
        <v>58</v>
      </c>
      <c r="K372" s="56" t="s">
        <v>59</v>
      </c>
      <c r="L372" s="58">
        <v>20246</v>
      </c>
      <c r="M372" s="56">
        <v>70</v>
      </c>
      <c r="N372" s="56" t="s">
        <v>1528</v>
      </c>
      <c r="O372" s="58">
        <v>48181</v>
      </c>
      <c r="P372" s="56" t="s">
        <v>4</v>
      </c>
      <c r="Q372" s="56"/>
      <c r="R372" s="50">
        <v>45913</v>
      </c>
      <c r="S372" s="50">
        <v>45918</v>
      </c>
      <c r="T372" s="51">
        <f t="shared" si="5"/>
        <v>5</v>
      </c>
      <c r="U372" s="56">
        <v>1</v>
      </c>
      <c r="V372" s="56">
        <v>1</v>
      </c>
      <c r="W372" s="56">
        <v>0</v>
      </c>
      <c r="X372" s="56">
        <v>0</v>
      </c>
      <c r="Y372" s="56">
        <v>0</v>
      </c>
      <c r="Z372" s="56">
        <v>0</v>
      </c>
      <c r="AA372" s="56">
        <v>0</v>
      </c>
      <c r="AB372" s="56"/>
      <c r="AC372" s="58">
        <v>45913</v>
      </c>
      <c r="AD372" s="59">
        <v>0.6875</v>
      </c>
      <c r="AE372" s="56" t="s">
        <v>1524</v>
      </c>
      <c r="AF372" s="58">
        <v>45918</v>
      </c>
      <c r="AG372" s="59">
        <v>0.63194444444525288</v>
      </c>
      <c r="AH372" s="56" t="s">
        <v>62</v>
      </c>
      <c r="AI372" s="56" t="s">
        <v>1490</v>
      </c>
      <c r="AJ372" s="56" t="s">
        <v>64</v>
      </c>
      <c r="AK372" s="56" t="s">
        <v>64</v>
      </c>
      <c r="AL372" s="56" t="s">
        <v>1</v>
      </c>
      <c r="AM372" s="56" t="s">
        <v>65</v>
      </c>
      <c r="AN372" s="60"/>
      <c r="AO372" s="61"/>
    </row>
    <row r="373" spans="3:41" ht="14.25" customHeight="1">
      <c r="C373" s="55">
        <f>IF($X373=1,COUNTIF($C$10:C372,"&gt;0")+1,"")</f>
        <v>178</v>
      </c>
      <c r="D373" s="76">
        <v>462710896</v>
      </c>
      <c r="E373" s="56"/>
      <c r="F373" s="57"/>
      <c r="G373" s="56"/>
      <c r="H373" s="77" t="s">
        <v>1529</v>
      </c>
      <c r="I373" s="78" t="s">
        <v>1530</v>
      </c>
      <c r="J373" s="77" t="s">
        <v>68</v>
      </c>
      <c r="K373" s="77" t="s">
        <v>748</v>
      </c>
      <c r="L373" s="79"/>
      <c r="M373" s="77"/>
      <c r="N373" s="77"/>
      <c r="O373" s="79"/>
      <c r="P373" s="77" t="s">
        <v>4</v>
      </c>
      <c r="Q373" s="77"/>
      <c r="R373" s="50">
        <v>45913</v>
      </c>
      <c r="S373" s="50">
        <v>45918</v>
      </c>
      <c r="T373" s="51">
        <f t="shared" si="5"/>
        <v>5</v>
      </c>
      <c r="U373" s="77">
        <v>1</v>
      </c>
      <c r="V373" s="77">
        <v>1</v>
      </c>
      <c r="W373" s="77">
        <v>0</v>
      </c>
      <c r="X373" s="77">
        <v>1</v>
      </c>
      <c r="Y373" s="77">
        <v>0</v>
      </c>
      <c r="Z373" s="77">
        <v>1</v>
      </c>
      <c r="AA373" s="77">
        <v>0</v>
      </c>
      <c r="AB373" s="77"/>
      <c r="AC373" s="79"/>
      <c r="AD373" s="80"/>
      <c r="AE373" s="77"/>
      <c r="AF373" s="79"/>
      <c r="AG373" s="80"/>
      <c r="AH373" s="77"/>
      <c r="AI373" s="77"/>
      <c r="AJ373" s="77"/>
      <c r="AK373" s="77" t="s">
        <v>1531</v>
      </c>
      <c r="AL373" s="77" t="s">
        <v>1</v>
      </c>
      <c r="AM373" s="77" t="s">
        <v>65</v>
      </c>
      <c r="AN373" s="81"/>
      <c r="AO373" s="61"/>
    </row>
    <row r="374" spans="3:41" ht="14.25" customHeight="1">
      <c r="C374" s="55"/>
      <c r="D374" s="76"/>
      <c r="E374" s="56"/>
      <c r="F374" s="57"/>
      <c r="G374" s="56"/>
      <c r="H374" s="77" t="s">
        <v>1532</v>
      </c>
      <c r="I374" s="77" t="s">
        <v>1319</v>
      </c>
      <c r="J374" s="77" t="s">
        <v>68</v>
      </c>
      <c r="K374" s="77" t="s">
        <v>748</v>
      </c>
      <c r="L374" s="79"/>
      <c r="M374" s="77"/>
      <c r="N374" s="77"/>
      <c r="O374" s="79"/>
      <c r="P374" s="77" t="s">
        <v>4</v>
      </c>
      <c r="Q374" s="77"/>
      <c r="R374" s="50">
        <v>45913</v>
      </c>
      <c r="S374" s="50">
        <v>45918</v>
      </c>
      <c r="T374" s="51">
        <f t="shared" si="5"/>
        <v>5</v>
      </c>
      <c r="U374" s="77">
        <v>1</v>
      </c>
      <c r="V374" s="77">
        <v>1</v>
      </c>
      <c r="W374" s="77">
        <v>0</v>
      </c>
      <c r="X374" s="77">
        <v>0</v>
      </c>
      <c r="Y374" s="77">
        <v>0</v>
      </c>
      <c r="Z374" s="77">
        <v>0</v>
      </c>
      <c r="AA374" s="77">
        <v>0</v>
      </c>
      <c r="AB374" s="77"/>
      <c r="AC374" s="79"/>
      <c r="AD374" s="80"/>
      <c r="AE374" s="77"/>
      <c r="AF374" s="79"/>
      <c r="AG374" s="80"/>
      <c r="AH374" s="77"/>
      <c r="AI374" s="77"/>
      <c r="AJ374" s="77"/>
      <c r="AK374" s="77" t="s">
        <v>1531</v>
      </c>
      <c r="AL374" s="77" t="s">
        <v>1</v>
      </c>
      <c r="AM374" s="77" t="s">
        <v>65</v>
      </c>
      <c r="AN374" s="81"/>
      <c r="AO374" s="61"/>
    </row>
    <row r="375" spans="3:41" ht="14.25" customHeight="1">
      <c r="C375" s="55">
        <f>IF($X375=1,COUNTIF($C$10:C374,"&gt;0")+1,"")</f>
        <v>179</v>
      </c>
      <c r="D375" s="76">
        <v>462710897</v>
      </c>
      <c r="E375" s="56"/>
      <c r="F375" s="57"/>
      <c r="G375" s="56"/>
      <c r="H375" s="82" t="s">
        <v>1533</v>
      </c>
      <c r="I375" s="82" t="s">
        <v>1534</v>
      </c>
      <c r="J375" s="82" t="s">
        <v>58</v>
      </c>
      <c r="K375" s="82" t="s">
        <v>1535</v>
      </c>
      <c r="L375" s="83"/>
      <c r="M375" s="82"/>
      <c r="N375" s="82"/>
      <c r="O375" s="83"/>
      <c r="P375" s="82" t="s">
        <v>5</v>
      </c>
      <c r="Q375" s="77"/>
      <c r="R375" s="50">
        <v>45913</v>
      </c>
      <c r="S375" s="50">
        <v>45918</v>
      </c>
      <c r="T375" s="51">
        <f t="shared" si="5"/>
        <v>5</v>
      </c>
      <c r="U375" s="77">
        <v>1</v>
      </c>
      <c r="V375" s="77">
        <v>1</v>
      </c>
      <c r="W375" s="77">
        <v>0</v>
      </c>
      <c r="X375" s="82">
        <v>1</v>
      </c>
      <c r="Y375" s="82">
        <v>0</v>
      </c>
      <c r="Z375" s="82">
        <v>1</v>
      </c>
      <c r="AA375" s="82">
        <v>0</v>
      </c>
      <c r="AB375" s="77"/>
      <c r="AC375" s="79"/>
      <c r="AD375" s="80"/>
      <c r="AE375" s="77"/>
      <c r="AF375" s="79"/>
      <c r="AG375" s="80"/>
      <c r="AH375" s="77"/>
      <c r="AI375" s="77"/>
      <c r="AJ375" s="77"/>
      <c r="AK375" s="77" t="s">
        <v>1536</v>
      </c>
      <c r="AL375" s="77" t="s">
        <v>1</v>
      </c>
      <c r="AM375" s="77" t="s">
        <v>65</v>
      </c>
      <c r="AN375" s="81"/>
      <c r="AO375" s="64" t="s">
        <v>504</v>
      </c>
    </row>
    <row r="376" spans="3:41" ht="14.25" customHeight="1">
      <c r="C376" s="84"/>
      <c r="D376" s="85"/>
      <c r="E376" s="86"/>
      <c r="F376" s="87"/>
      <c r="G376" s="86"/>
      <c r="H376" s="88" t="s">
        <v>1537</v>
      </c>
      <c r="I376" s="88" t="s">
        <v>1530</v>
      </c>
      <c r="J376" s="88" t="s">
        <v>58</v>
      </c>
      <c r="K376" s="88" t="s">
        <v>748</v>
      </c>
      <c r="L376" s="89"/>
      <c r="M376" s="88"/>
      <c r="N376" s="88"/>
      <c r="O376" s="89"/>
      <c r="P376" s="88" t="s">
        <v>5</v>
      </c>
      <c r="Q376" s="78"/>
      <c r="R376" s="50">
        <v>45913</v>
      </c>
      <c r="S376" s="50">
        <v>45918</v>
      </c>
      <c r="T376" s="51">
        <f t="shared" si="5"/>
        <v>5</v>
      </c>
      <c r="U376" s="77">
        <v>1</v>
      </c>
      <c r="V376" s="77">
        <v>1</v>
      </c>
      <c r="W376" s="77">
        <v>0</v>
      </c>
      <c r="X376" s="82">
        <v>0</v>
      </c>
      <c r="Y376" s="82">
        <v>0</v>
      </c>
      <c r="Z376" s="82">
        <v>0</v>
      </c>
      <c r="AA376" s="82">
        <v>0</v>
      </c>
      <c r="AB376" s="78"/>
      <c r="AC376" s="90"/>
      <c r="AD376" s="91"/>
      <c r="AE376" s="78"/>
      <c r="AF376" s="90"/>
      <c r="AG376" s="91"/>
      <c r="AH376" s="78"/>
      <c r="AI376" s="78"/>
      <c r="AJ376" s="78"/>
      <c r="AK376" s="77" t="s">
        <v>1538</v>
      </c>
      <c r="AL376" s="77" t="s">
        <v>1</v>
      </c>
      <c r="AM376" s="77" t="s">
        <v>65</v>
      </c>
      <c r="AN376" s="92"/>
      <c r="AO376" s="93" t="s">
        <v>504</v>
      </c>
    </row>
  </sheetData>
  <autoFilter ref="C8:AO376" xr:uid="{00000000-0001-0000-0100-000000000000}">
    <filterColumn colId="11" showButton="0"/>
    <filterColumn colId="26" showButton="0"/>
    <filterColumn colId="27" showButton="0"/>
    <filterColumn colId="29" showButton="0"/>
    <filterColumn colId="30" showButton="0"/>
  </autoFilter>
  <mergeCells count="30">
    <mergeCell ref="AC6:AE6"/>
    <mergeCell ref="AF6:AH6"/>
    <mergeCell ref="C8:C9"/>
    <mergeCell ref="D8:D9"/>
    <mergeCell ref="E8:E9"/>
    <mergeCell ref="F8:F9"/>
    <mergeCell ref="G8:G9"/>
    <mergeCell ref="H8:H9"/>
    <mergeCell ref="I8:I9"/>
    <mergeCell ref="L8:L9"/>
    <mergeCell ref="M8:M9"/>
    <mergeCell ref="N8:O8"/>
    <mergeCell ref="P8:P9"/>
    <mergeCell ref="D2:S2"/>
    <mergeCell ref="AO8:AO9"/>
    <mergeCell ref="D360:D361"/>
    <mergeCell ref="AI8:AI9"/>
    <mergeCell ref="AJ8:AJ9"/>
    <mergeCell ref="AK8:AK9"/>
    <mergeCell ref="AL8:AL9"/>
    <mergeCell ref="AM8:AM9"/>
    <mergeCell ref="AN8:AN9"/>
    <mergeCell ref="Q8:Q9"/>
    <mergeCell ref="R8:R9"/>
    <mergeCell ref="S8:S9"/>
    <mergeCell ref="T8:T9"/>
    <mergeCell ref="AC8:AE8"/>
    <mergeCell ref="AF8:AH8"/>
    <mergeCell ref="J8:J9"/>
    <mergeCell ref="K8:K9"/>
  </mergeCells>
  <conditionalFormatting sqref="C10:AN360 C361 E361:AN361 C362:AN402">
    <cfRule type="expression" dxfId="9" priority="1">
      <formula>$C10&lt;&gt;""</formula>
    </cfRule>
  </conditionalFormatting>
  <pageMargins left="0.25" right="0.25" top="0.75" bottom="0.75" header="0.3" footer="0.3"/>
  <pageSetup scale="6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806A6-F98C-6D47-A066-90C67FCE4F65}">
  <sheetPr>
    <tabColor rgb="FFFFC000"/>
  </sheetPr>
  <dimension ref="A1:AW212"/>
  <sheetViews>
    <sheetView showGridLines="0" zoomScale="120" zoomScaleNormal="120" workbookViewId="0">
      <pane xSplit="9" ySplit="9" topLeftCell="J22" activePane="bottomRight" state="frozen"/>
      <selection pane="topRight" activeCell="J1" sqref="J1"/>
      <selection pane="bottomLeft" activeCell="A10" sqref="A10"/>
      <selection pane="bottomRight" activeCell="F30" sqref="F30"/>
    </sheetView>
  </sheetViews>
  <sheetFormatPr baseColWidth="10" defaultColWidth="9.1640625" defaultRowHeight="14.25" customHeight="1"/>
  <cols>
    <col min="1" max="1" width="1.5" style="1" customWidth="1"/>
    <col min="2" max="2" width="1.1640625" style="1" customWidth="1"/>
    <col min="3" max="3" width="6" style="2" customWidth="1"/>
    <col min="4" max="4" width="10.1640625" style="94" customWidth="1"/>
    <col min="5" max="5" width="8.83203125" style="94" customWidth="1"/>
    <col min="6" max="6" width="16.33203125" style="95" customWidth="1"/>
    <col min="7" max="7" width="16.1640625" style="1" customWidth="1"/>
    <col min="8" max="8" width="15.1640625" style="4" bestFit="1" customWidth="1"/>
    <col min="9" max="9" width="11.83203125" style="4" customWidth="1"/>
    <col min="10" max="10" width="8.6640625" style="4" customWidth="1"/>
    <col min="11" max="11" width="14.1640625" style="4" customWidth="1"/>
    <col min="12" max="12" width="11.5" style="4" customWidth="1"/>
    <col min="13" max="13" width="8.6640625" style="4" customWidth="1"/>
    <col min="14" max="14" width="13.5" style="4" customWidth="1"/>
    <col min="15" max="15" width="13.6640625" style="4" customWidth="1"/>
    <col min="16" max="16" width="11.83203125" style="5" customWidth="1"/>
    <col min="17" max="17" width="17.83203125" style="5" customWidth="1"/>
    <col min="18" max="18" width="8.5" style="5" customWidth="1"/>
    <col min="19" max="19" width="8.33203125" style="5" customWidth="1"/>
    <col min="20" max="20" width="8" style="5" customWidth="1"/>
    <col min="21" max="24" width="7.83203125" style="4" customWidth="1"/>
    <col min="25" max="25" width="4.33203125" style="4" customWidth="1"/>
    <col min="26" max="26" width="4.6640625" style="4" customWidth="1"/>
    <col min="27" max="27" width="6" style="5" customWidth="1"/>
    <col min="28" max="28" width="7.83203125" style="5" customWidth="1"/>
    <col min="29" max="29" width="9.6640625" style="5" bestFit="1" customWidth="1"/>
    <col min="30" max="30" width="9.1640625" style="4" customWidth="1"/>
    <col min="31" max="31" width="11.1640625" style="4" customWidth="1"/>
    <col min="32" max="32" width="9.5" style="5" customWidth="1"/>
    <col min="33" max="33" width="7.1640625" style="5" bestFit="1" customWidth="1"/>
    <col min="34" max="34" width="8.83203125" style="6" customWidth="1"/>
    <col min="35" max="36" width="16" style="4" customWidth="1"/>
    <col min="37" max="37" width="21.83203125" style="4" customWidth="1"/>
    <col min="38" max="38" width="10.5" style="5" customWidth="1"/>
    <col min="39" max="39" width="9.6640625" style="5" customWidth="1"/>
    <col min="40" max="40" width="23.6640625" style="5" customWidth="1"/>
    <col min="41" max="41" width="24.6640625" style="4" customWidth="1"/>
    <col min="42" max="42" width="9.1640625" style="4"/>
    <col min="44" max="44" width="9.6640625" bestFit="1" customWidth="1"/>
    <col min="46" max="46" width="11.1640625" customWidth="1"/>
    <col min="47" max="47" width="9.5" customWidth="1"/>
    <col min="48" max="48" width="9.6640625" customWidth="1"/>
    <col min="49" max="49" width="8.83203125" customWidth="1"/>
    <col min="50" max="16384" width="9.1640625" style="4"/>
  </cols>
  <sheetData>
    <row r="1" spans="1:49" ht="15">
      <c r="D1" s="3"/>
      <c r="E1" s="3"/>
      <c r="F1" s="1"/>
      <c r="AJ1" s="5"/>
      <c r="AK1" s="5"/>
    </row>
    <row r="2" spans="1:49" ht="21">
      <c r="D2" s="304" t="s">
        <v>1539</v>
      </c>
      <c r="E2" s="304"/>
      <c r="F2" s="304"/>
      <c r="G2" s="304"/>
      <c r="H2" s="304"/>
      <c r="I2" s="304"/>
      <c r="J2" s="304"/>
      <c r="K2" s="304"/>
      <c r="L2" s="304"/>
      <c r="M2" s="304"/>
      <c r="N2" s="304"/>
      <c r="O2" s="304"/>
      <c r="P2" s="304"/>
      <c r="Q2" s="304"/>
      <c r="R2" s="304"/>
      <c r="S2" s="304"/>
      <c r="T2" s="7"/>
      <c r="AC2" s="7"/>
      <c r="AD2" s="7"/>
      <c r="AE2" s="7"/>
      <c r="AF2" s="7"/>
      <c r="AG2" s="7"/>
      <c r="AI2" s="7"/>
      <c r="AJ2" s="5"/>
      <c r="AK2" s="5"/>
    </row>
    <row r="3" spans="1:49" ht="15">
      <c r="C3" s="8"/>
      <c r="D3" s="9"/>
      <c r="E3" s="9"/>
      <c r="F3" s="10"/>
      <c r="G3" s="11"/>
      <c r="AD3" s="7"/>
      <c r="AE3" s="7"/>
      <c r="AF3" s="7"/>
      <c r="AG3" s="7"/>
      <c r="AI3" s="7"/>
      <c r="AJ3" s="5"/>
      <c r="AK3" s="5"/>
    </row>
    <row r="4" spans="1:49" s="23" customFormat="1" ht="37" customHeight="1">
      <c r="A4" s="12"/>
      <c r="B4" s="12"/>
      <c r="C4" s="13"/>
      <c r="D4" s="9"/>
      <c r="E4" s="9"/>
      <c r="F4" s="10"/>
      <c r="G4" s="11"/>
      <c r="H4" s="14" t="s">
        <v>1540</v>
      </c>
      <c r="I4" s="14" t="s">
        <v>2</v>
      </c>
      <c r="J4" s="14" t="s">
        <v>3</v>
      </c>
      <c r="K4" s="14" t="s">
        <v>4</v>
      </c>
      <c r="L4" s="14" t="s">
        <v>5</v>
      </c>
      <c r="M4" s="14" t="s">
        <v>6</v>
      </c>
      <c r="N4" s="14" t="s">
        <v>7</v>
      </c>
      <c r="O4" s="15" t="s">
        <v>8</v>
      </c>
      <c r="P4" s="15" t="s">
        <v>9</v>
      </c>
      <c r="Q4" s="15" t="s">
        <v>1541</v>
      </c>
      <c r="R4" s="16"/>
      <c r="S4" s="16"/>
      <c r="T4" s="16"/>
      <c r="U4" s="16"/>
      <c r="V4" s="17"/>
      <c r="W4" s="17"/>
      <c r="X4" s="17"/>
      <c r="Y4" s="17"/>
      <c r="Z4" s="17"/>
      <c r="AA4" s="17"/>
      <c r="AB4" s="17"/>
      <c r="AC4" s="18"/>
      <c r="AD4" s="19"/>
      <c r="AE4" s="19"/>
      <c r="AF4" s="20"/>
      <c r="AG4" s="20"/>
      <c r="AH4" s="21"/>
      <c r="AI4" s="22"/>
      <c r="AJ4" s="17"/>
      <c r="AK4" s="18"/>
      <c r="AL4" s="18"/>
      <c r="AM4" s="18"/>
      <c r="AN4" s="18"/>
      <c r="AQ4"/>
      <c r="AR4"/>
      <c r="AS4"/>
      <c r="AT4"/>
      <c r="AU4"/>
      <c r="AV4"/>
      <c r="AW4"/>
    </row>
    <row r="5" spans="1:49" ht="15">
      <c r="C5" s="24"/>
      <c r="D5" s="9"/>
      <c r="E5" s="9"/>
      <c r="F5" s="10"/>
      <c r="G5" s="11"/>
      <c r="H5" s="25" t="s">
        <v>1542</v>
      </c>
      <c r="I5" s="26">
        <f>SUM(J5:L5)</f>
        <v>98</v>
      </c>
      <c r="J5" s="26">
        <f>SUM(Y10:Y221)</f>
        <v>7</v>
      </c>
      <c r="K5" s="26">
        <f>SUM(Z10:Z221)</f>
        <v>56</v>
      </c>
      <c r="L5" s="26">
        <f>SUM(AA10:AA221)</f>
        <v>35</v>
      </c>
      <c r="M5" s="26">
        <v>0</v>
      </c>
      <c r="N5" s="26">
        <v>3</v>
      </c>
      <c r="O5" s="25">
        <f>SUM(P5:Q5)</f>
        <v>200</v>
      </c>
      <c r="P5" s="26">
        <f>SUM(V10:V221)</f>
        <v>189</v>
      </c>
      <c r="Q5" s="26">
        <f>COUNTIFS(M10:M221,"&gt;3",M10:M221,"&lt;12")</f>
        <v>11</v>
      </c>
      <c r="R5" s="27"/>
      <c r="S5" s="27"/>
      <c r="T5" s="27"/>
      <c r="U5" s="28"/>
      <c r="V5" s="28"/>
      <c r="W5" s="28"/>
      <c r="X5" s="28"/>
      <c r="Y5" s="28"/>
      <c r="Z5" s="28"/>
      <c r="AA5" s="29"/>
      <c r="AB5" s="29"/>
      <c r="AC5" s="27"/>
      <c r="AD5" s="7"/>
      <c r="AE5" s="7"/>
      <c r="AF5" s="7"/>
      <c r="AG5" s="7"/>
      <c r="AI5" s="28"/>
      <c r="AJ5" s="29"/>
      <c r="AK5" s="30"/>
      <c r="AL5" s="30"/>
      <c r="AM5" s="30"/>
      <c r="AN5" s="30"/>
    </row>
    <row r="6" spans="1:49" ht="15" customHeight="1">
      <c r="C6" s="24"/>
      <c r="D6" s="9" t="s">
        <v>11</v>
      </c>
      <c r="E6" s="9"/>
      <c r="F6" s="10"/>
      <c r="G6" s="11"/>
      <c r="H6" s="26"/>
      <c r="I6" s="25"/>
      <c r="J6" s="31"/>
      <c r="K6" s="26"/>
      <c r="L6" s="26"/>
      <c r="M6" s="25"/>
      <c r="N6" s="25"/>
      <c r="O6" s="25"/>
      <c r="P6" s="25"/>
      <c r="Q6" s="25"/>
      <c r="R6" s="27"/>
      <c r="S6" s="27"/>
      <c r="T6" s="27"/>
      <c r="U6" s="32" t="s">
        <v>12</v>
      </c>
      <c r="V6" s="28"/>
      <c r="W6" s="28"/>
      <c r="X6" s="32" t="s">
        <v>13</v>
      </c>
      <c r="Y6" s="28"/>
      <c r="Z6" s="28"/>
      <c r="AA6" s="29"/>
      <c r="AB6" s="29"/>
      <c r="AC6" s="305" t="s">
        <v>14</v>
      </c>
      <c r="AD6" s="305"/>
      <c r="AE6" s="305"/>
      <c r="AF6" s="305" t="s">
        <v>14</v>
      </c>
      <c r="AG6" s="305"/>
      <c r="AH6" s="305"/>
      <c r="AI6" s="28"/>
      <c r="AJ6" s="29"/>
      <c r="AK6" s="27"/>
      <c r="AL6" s="27"/>
      <c r="AM6" s="27"/>
      <c r="AN6" s="27"/>
    </row>
    <row r="7" spans="1:49" ht="15">
      <c r="C7" s="24"/>
      <c r="D7" s="9"/>
      <c r="E7" s="9"/>
      <c r="F7" s="10"/>
      <c r="G7" s="11"/>
      <c r="W7" s="28"/>
      <c r="X7" s="28"/>
      <c r="Y7" s="28"/>
      <c r="Z7" s="28"/>
      <c r="AA7" s="29"/>
      <c r="AB7" s="29"/>
      <c r="AD7" s="7"/>
      <c r="AE7" s="7"/>
      <c r="AF7" s="7"/>
      <c r="AG7" s="7"/>
      <c r="AI7" s="28"/>
      <c r="AJ7" s="29"/>
      <c r="AK7" s="5"/>
    </row>
    <row r="8" spans="1:49" ht="28.5" customHeight="1">
      <c r="C8" s="306" t="s">
        <v>15</v>
      </c>
      <c r="D8" s="308" t="s">
        <v>16</v>
      </c>
      <c r="E8" s="293" t="s">
        <v>17</v>
      </c>
      <c r="F8" s="293" t="s">
        <v>18</v>
      </c>
      <c r="G8" s="312" t="s">
        <v>19</v>
      </c>
      <c r="H8" s="293" t="s">
        <v>20</v>
      </c>
      <c r="I8" s="293" t="s">
        <v>21</v>
      </c>
      <c r="J8" s="293" t="s">
        <v>22</v>
      </c>
      <c r="K8" s="295" t="s">
        <v>23</v>
      </c>
      <c r="L8" s="295" t="s">
        <v>24</v>
      </c>
      <c r="M8" s="295" t="s">
        <v>25</v>
      </c>
      <c r="N8" s="303" t="s">
        <v>26</v>
      </c>
      <c r="O8" s="303"/>
      <c r="P8" s="295" t="s">
        <v>27</v>
      </c>
      <c r="Q8" s="297" t="s">
        <v>28</v>
      </c>
      <c r="R8" s="301" t="s">
        <v>29</v>
      </c>
      <c r="S8" s="301" t="s">
        <v>30</v>
      </c>
      <c r="T8" s="301" t="s">
        <v>31</v>
      </c>
      <c r="U8" s="33" t="s">
        <v>32</v>
      </c>
      <c r="V8" s="34" t="s">
        <v>33</v>
      </c>
      <c r="W8" s="35" t="s">
        <v>34</v>
      </c>
      <c r="X8" s="36" t="s">
        <v>35</v>
      </c>
      <c r="Y8" s="37" t="s">
        <v>36</v>
      </c>
      <c r="Z8" s="38" t="s">
        <v>37</v>
      </c>
      <c r="AA8" s="36" t="s">
        <v>5</v>
      </c>
      <c r="AB8" s="39" t="s">
        <v>6</v>
      </c>
      <c r="AC8" s="295" t="s">
        <v>38</v>
      </c>
      <c r="AD8" s="295"/>
      <c r="AE8" s="295"/>
      <c r="AF8" s="295" t="s">
        <v>39</v>
      </c>
      <c r="AG8" s="295"/>
      <c r="AH8" s="295"/>
      <c r="AI8" s="293" t="s">
        <v>40</v>
      </c>
      <c r="AJ8" s="295" t="s">
        <v>41</v>
      </c>
      <c r="AK8" s="297" t="s">
        <v>42</v>
      </c>
      <c r="AL8" s="297" t="s">
        <v>43</v>
      </c>
      <c r="AM8" s="299" t="s">
        <v>44</v>
      </c>
      <c r="AN8" s="310" t="s">
        <v>45</v>
      </c>
      <c r="AO8" s="289" t="s">
        <v>46</v>
      </c>
    </row>
    <row r="9" spans="1:49" ht="29" customHeight="1">
      <c r="C9" s="307"/>
      <c r="D9" s="309"/>
      <c r="E9" s="294"/>
      <c r="F9" s="294"/>
      <c r="G9" s="313"/>
      <c r="H9" s="294"/>
      <c r="I9" s="294"/>
      <c r="J9" s="294"/>
      <c r="K9" s="296"/>
      <c r="L9" s="296"/>
      <c r="M9" s="296"/>
      <c r="N9" s="40" t="s">
        <v>47</v>
      </c>
      <c r="O9" s="41" t="s">
        <v>48</v>
      </c>
      <c r="P9" s="296"/>
      <c r="Q9" s="298"/>
      <c r="R9" s="302"/>
      <c r="S9" s="302"/>
      <c r="T9" s="302"/>
      <c r="U9" s="42"/>
      <c r="V9" s="43"/>
      <c r="W9" s="42"/>
      <c r="X9" s="44"/>
      <c r="Y9" s="42"/>
      <c r="Z9" s="44"/>
      <c r="AA9" s="44"/>
      <c r="AB9" s="42"/>
      <c r="AC9" s="45" t="s">
        <v>49</v>
      </c>
      <c r="AD9" s="45" t="s">
        <v>50</v>
      </c>
      <c r="AE9" s="45" t="s">
        <v>51</v>
      </c>
      <c r="AF9" s="45" t="s">
        <v>52</v>
      </c>
      <c r="AG9" s="45" t="s">
        <v>53</v>
      </c>
      <c r="AH9" s="45" t="s">
        <v>51</v>
      </c>
      <c r="AI9" s="294"/>
      <c r="AJ9" s="296"/>
      <c r="AK9" s="298"/>
      <c r="AL9" s="298"/>
      <c r="AM9" s="300"/>
      <c r="AN9" s="311"/>
      <c r="AO9" s="290"/>
    </row>
    <row r="10" spans="1:49" ht="14.25" customHeight="1">
      <c r="C10" s="46">
        <v>1</v>
      </c>
      <c r="D10" s="47">
        <v>61714488</v>
      </c>
      <c r="E10" s="96" t="s">
        <v>1543</v>
      </c>
      <c r="F10" s="97" t="s">
        <v>1544</v>
      </c>
      <c r="G10" s="96" t="s">
        <v>1544</v>
      </c>
      <c r="H10" s="96" t="s">
        <v>1545</v>
      </c>
      <c r="I10" s="96" t="s">
        <v>88</v>
      </c>
      <c r="J10" s="96" t="s">
        <v>68</v>
      </c>
      <c r="K10" s="96" t="s">
        <v>59</v>
      </c>
      <c r="L10" s="98">
        <v>24232</v>
      </c>
      <c r="M10" s="96">
        <v>59</v>
      </c>
      <c r="N10" s="96" t="s">
        <v>1546</v>
      </c>
      <c r="O10" s="98">
        <v>48686</v>
      </c>
      <c r="P10" s="96" t="s">
        <v>5</v>
      </c>
      <c r="Q10" s="96"/>
      <c r="R10" s="99">
        <v>45913</v>
      </c>
      <c r="S10" s="99">
        <v>45918</v>
      </c>
      <c r="T10" s="100">
        <f>S10-R10</f>
        <v>5</v>
      </c>
      <c r="U10" s="96">
        <v>1</v>
      </c>
      <c r="V10" s="96">
        <v>1</v>
      </c>
      <c r="W10" s="96">
        <v>0</v>
      </c>
      <c r="X10" s="96">
        <v>1</v>
      </c>
      <c r="Y10" s="96">
        <v>0</v>
      </c>
      <c r="Z10" s="96">
        <v>0</v>
      </c>
      <c r="AA10" s="96">
        <v>1</v>
      </c>
      <c r="AB10" s="96"/>
      <c r="AC10" s="98">
        <v>45913</v>
      </c>
      <c r="AD10" s="101">
        <v>0.63541666666424135</v>
      </c>
      <c r="AE10" s="96" t="s">
        <v>1547</v>
      </c>
      <c r="AF10" s="98">
        <v>45920</v>
      </c>
      <c r="AG10" s="101">
        <v>0.67361111110949423</v>
      </c>
      <c r="AH10" s="96" t="s">
        <v>1548</v>
      </c>
      <c r="AI10" s="96" t="s">
        <v>1549</v>
      </c>
      <c r="AJ10" s="96" t="s">
        <v>64</v>
      </c>
      <c r="AK10" s="96" t="s">
        <v>64</v>
      </c>
      <c r="AL10" s="96" t="s">
        <v>1550</v>
      </c>
      <c r="AM10" s="96" t="s">
        <v>65</v>
      </c>
      <c r="AN10" s="102" t="s">
        <v>64</v>
      </c>
      <c r="AO10" s="54"/>
    </row>
    <row r="11" spans="1:49" ht="14.25" customHeight="1">
      <c r="C11" s="55" t="str">
        <f>IF($X11=1,COUNTIF($C$10:C10,"&gt;0")+1,"")</f>
        <v/>
      </c>
      <c r="D11" s="56"/>
      <c r="E11" s="103" t="s">
        <v>1543</v>
      </c>
      <c r="F11" s="104" t="s">
        <v>1551</v>
      </c>
      <c r="G11" s="103" t="s">
        <v>1544</v>
      </c>
      <c r="H11" s="103" t="s">
        <v>1552</v>
      </c>
      <c r="I11" s="103" t="s">
        <v>993</v>
      </c>
      <c r="J11" s="103" t="s">
        <v>68</v>
      </c>
      <c r="K11" s="103" t="s">
        <v>59</v>
      </c>
      <c r="L11" s="105">
        <v>24898</v>
      </c>
      <c r="M11" s="103">
        <v>57</v>
      </c>
      <c r="N11" s="103" t="s">
        <v>1553</v>
      </c>
      <c r="O11" s="105">
        <v>48891</v>
      </c>
      <c r="P11" s="103" t="s">
        <v>5</v>
      </c>
      <c r="Q11" s="103"/>
      <c r="R11" s="99">
        <v>45913</v>
      </c>
      <c r="S11" s="99">
        <v>45918</v>
      </c>
      <c r="T11" s="100">
        <f t="shared" ref="T11:T76" si="0">S11-R11</f>
        <v>5</v>
      </c>
      <c r="U11" s="103">
        <v>1</v>
      </c>
      <c r="V11" s="103">
        <v>1</v>
      </c>
      <c r="W11" s="103">
        <v>0</v>
      </c>
      <c r="X11" s="103">
        <v>0</v>
      </c>
      <c r="Y11" s="103">
        <v>0</v>
      </c>
      <c r="Z11" s="103">
        <v>0</v>
      </c>
      <c r="AA11" s="103">
        <v>0</v>
      </c>
      <c r="AB11" s="103"/>
      <c r="AC11" s="105">
        <v>45913</v>
      </c>
      <c r="AD11" s="106">
        <v>0.6875</v>
      </c>
      <c r="AE11" s="103" t="s">
        <v>116</v>
      </c>
      <c r="AF11" s="105">
        <v>45918</v>
      </c>
      <c r="AG11" s="106">
        <v>0.80555555555474712</v>
      </c>
      <c r="AH11" s="103" t="s">
        <v>1554</v>
      </c>
      <c r="AI11" s="103" t="s">
        <v>1549</v>
      </c>
      <c r="AJ11" s="103" t="s">
        <v>64</v>
      </c>
      <c r="AK11" s="103" t="s">
        <v>64</v>
      </c>
      <c r="AL11" s="103" t="s">
        <v>1550</v>
      </c>
      <c r="AM11" s="103" t="s">
        <v>65</v>
      </c>
      <c r="AN11" s="102" t="s">
        <v>64</v>
      </c>
      <c r="AO11" s="61"/>
    </row>
    <row r="12" spans="1:49" ht="14.25" customHeight="1">
      <c r="C12" s="55" t="str">
        <f>IF($X12=1,COUNTIF($C$10:C11,"&gt;0")+1,"")</f>
        <v/>
      </c>
      <c r="D12" s="56"/>
      <c r="E12" s="103" t="s">
        <v>1543</v>
      </c>
      <c r="F12" s="104" t="s">
        <v>1555</v>
      </c>
      <c r="G12" s="103" t="s">
        <v>1544</v>
      </c>
      <c r="H12" s="103" t="s">
        <v>1556</v>
      </c>
      <c r="I12" s="103" t="s">
        <v>1557</v>
      </c>
      <c r="J12" s="103" t="s">
        <v>68</v>
      </c>
      <c r="K12" s="103" t="s">
        <v>59</v>
      </c>
      <c r="L12" s="105">
        <v>45309</v>
      </c>
      <c r="M12" s="103">
        <v>1</v>
      </c>
      <c r="N12" s="103" t="s">
        <v>1558</v>
      </c>
      <c r="O12" s="105">
        <v>47246</v>
      </c>
      <c r="P12" s="103" t="s">
        <v>5</v>
      </c>
      <c r="Q12" s="103"/>
      <c r="R12" s="99">
        <v>45913</v>
      </c>
      <c r="S12" s="99">
        <v>45918</v>
      </c>
      <c r="T12" s="100">
        <f t="shared" si="0"/>
        <v>5</v>
      </c>
      <c r="U12" s="103">
        <v>0</v>
      </c>
      <c r="V12" s="103">
        <v>0</v>
      </c>
      <c r="W12" s="103">
        <v>0</v>
      </c>
      <c r="X12" s="103">
        <v>0</v>
      </c>
      <c r="Y12" s="103">
        <v>0</v>
      </c>
      <c r="Z12" s="103">
        <v>0</v>
      </c>
      <c r="AA12" s="103">
        <v>0</v>
      </c>
      <c r="AB12" s="103"/>
      <c r="AC12" s="105">
        <v>45913</v>
      </c>
      <c r="AD12" s="106">
        <v>0.70833333333575865</v>
      </c>
      <c r="AE12" s="103" t="s">
        <v>1559</v>
      </c>
      <c r="AF12" s="105">
        <v>45918</v>
      </c>
      <c r="AG12" s="106">
        <v>0.69444444444525288</v>
      </c>
      <c r="AH12" s="103" t="s">
        <v>996</v>
      </c>
      <c r="AI12" s="103" t="s">
        <v>1549</v>
      </c>
      <c r="AJ12" s="103" t="s">
        <v>64</v>
      </c>
      <c r="AK12" s="103" t="s">
        <v>64</v>
      </c>
      <c r="AL12" s="103" t="s">
        <v>1550</v>
      </c>
      <c r="AM12" s="103" t="s">
        <v>65</v>
      </c>
      <c r="AN12" s="102" t="s">
        <v>64</v>
      </c>
      <c r="AO12" s="61"/>
    </row>
    <row r="13" spans="1:49" ht="14.25" customHeight="1">
      <c r="C13" s="55">
        <f>IF($X13=1,COUNTIF($C$10:C12,"&gt;0")+1,"")</f>
        <v>2</v>
      </c>
      <c r="D13" s="56">
        <v>41151159</v>
      </c>
      <c r="E13" s="103" t="s">
        <v>1543</v>
      </c>
      <c r="F13" s="104" t="s">
        <v>1560</v>
      </c>
      <c r="G13" s="103" t="s">
        <v>1560</v>
      </c>
      <c r="H13" s="103" t="s">
        <v>1561</v>
      </c>
      <c r="I13" s="103" t="s">
        <v>1557</v>
      </c>
      <c r="J13" s="103" t="s">
        <v>58</v>
      </c>
      <c r="K13" s="103" t="s">
        <v>59</v>
      </c>
      <c r="L13" s="105">
        <v>32244</v>
      </c>
      <c r="M13" s="103">
        <v>37</v>
      </c>
      <c r="N13" s="103" t="s">
        <v>1562</v>
      </c>
      <c r="O13" s="105">
        <v>47525</v>
      </c>
      <c r="P13" s="103" t="s">
        <v>4</v>
      </c>
      <c r="Q13" s="103"/>
      <c r="R13" s="99">
        <v>45913</v>
      </c>
      <c r="S13" s="99">
        <v>45918</v>
      </c>
      <c r="T13" s="100">
        <f t="shared" si="0"/>
        <v>5</v>
      </c>
      <c r="U13" s="103">
        <v>1</v>
      </c>
      <c r="V13" s="103">
        <v>1</v>
      </c>
      <c r="W13" s="103">
        <v>0</v>
      </c>
      <c r="X13" s="103">
        <v>1</v>
      </c>
      <c r="Y13" s="103">
        <v>0</v>
      </c>
      <c r="Z13" s="103">
        <v>1</v>
      </c>
      <c r="AA13" s="103">
        <v>0</v>
      </c>
      <c r="AB13" s="103"/>
      <c r="AC13" s="105">
        <v>45913</v>
      </c>
      <c r="AD13" s="106">
        <v>0.70833333333575865</v>
      </c>
      <c r="AE13" s="103" t="s">
        <v>1559</v>
      </c>
      <c r="AF13" s="105">
        <v>45918</v>
      </c>
      <c r="AG13" s="106">
        <v>0.69444444444525288</v>
      </c>
      <c r="AH13" s="103" t="s">
        <v>996</v>
      </c>
      <c r="AI13" s="103" t="s">
        <v>1549</v>
      </c>
      <c r="AJ13" s="103" t="s">
        <v>64</v>
      </c>
      <c r="AK13" s="103" t="s">
        <v>64</v>
      </c>
      <c r="AL13" s="103" t="s">
        <v>1550</v>
      </c>
      <c r="AM13" s="103" t="s">
        <v>65</v>
      </c>
      <c r="AN13" s="102" t="s">
        <v>64</v>
      </c>
      <c r="AO13" s="61"/>
    </row>
    <row r="14" spans="1:49" ht="14.25" customHeight="1">
      <c r="C14" s="55" t="str">
        <f>IF($X14=1,COUNTIF($C$10:C13,"&gt;0")+1,"")</f>
        <v/>
      </c>
      <c r="D14" s="56"/>
      <c r="E14" s="103" t="s">
        <v>1543</v>
      </c>
      <c r="F14" s="104" t="s">
        <v>1563</v>
      </c>
      <c r="G14" s="103" t="s">
        <v>1560</v>
      </c>
      <c r="H14" s="103" t="s">
        <v>1564</v>
      </c>
      <c r="I14" s="103" t="s">
        <v>1436</v>
      </c>
      <c r="J14" s="103" t="s">
        <v>68</v>
      </c>
      <c r="K14" s="103" t="s">
        <v>59</v>
      </c>
      <c r="L14" s="105">
        <v>32657</v>
      </c>
      <c r="M14" s="103">
        <v>36</v>
      </c>
      <c r="N14" s="103" t="s">
        <v>1565</v>
      </c>
      <c r="O14" s="105">
        <v>47128</v>
      </c>
      <c r="P14" s="103" t="s">
        <v>4</v>
      </c>
      <c r="Q14" s="103"/>
      <c r="R14" s="99">
        <v>45913</v>
      </c>
      <c r="S14" s="99">
        <v>45918</v>
      </c>
      <c r="T14" s="100">
        <f t="shared" si="0"/>
        <v>5</v>
      </c>
      <c r="U14" s="103">
        <v>1</v>
      </c>
      <c r="V14" s="103">
        <v>1</v>
      </c>
      <c r="W14" s="103">
        <v>0</v>
      </c>
      <c r="X14" s="103">
        <v>0</v>
      </c>
      <c r="Y14" s="103">
        <v>0</v>
      </c>
      <c r="Z14" s="103">
        <v>0</v>
      </c>
      <c r="AA14" s="103">
        <v>0</v>
      </c>
      <c r="AB14" s="103"/>
      <c r="AC14" s="105">
        <v>45913</v>
      </c>
      <c r="AD14" s="106">
        <v>0.70833333333575865</v>
      </c>
      <c r="AE14" s="103" t="s">
        <v>1559</v>
      </c>
      <c r="AF14" s="105">
        <v>45918</v>
      </c>
      <c r="AG14" s="106">
        <v>0.69444444444525288</v>
      </c>
      <c r="AH14" s="103" t="s">
        <v>996</v>
      </c>
      <c r="AI14" s="103" t="s">
        <v>1549</v>
      </c>
      <c r="AJ14" s="103" t="s">
        <v>64</v>
      </c>
      <c r="AK14" s="103" t="s">
        <v>64</v>
      </c>
      <c r="AL14" s="103" t="s">
        <v>1550</v>
      </c>
      <c r="AM14" s="103" t="s">
        <v>65</v>
      </c>
      <c r="AN14" s="102" t="s">
        <v>64</v>
      </c>
      <c r="AO14" s="61"/>
    </row>
    <row r="15" spans="1:49" ht="14.25" customHeight="1">
      <c r="C15" s="55" t="str">
        <f>IF($X15=1,COUNTIF($C$10:C14,"&gt;0")+1,"")</f>
        <v/>
      </c>
      <c r="D15" s="56"/>
      <c r="E15" s="103" t="s">
        <v>1543</v>
      </c>
      <c r="F15" s="104" t="s">
        <v>1566</v>
      </c>
      <c r="G15" s="103" t="s">
        <v>1560</v>
      </c>
      <c r="H15" s="103" t="s">
        <v>1567</v>
      </c>
      <c r="I15" s="103" t="s">
        <v>1557</v>
      </c>
      <c r="J15" s="103" t="s">
        <v>68</v>
      </c>
      <c r="K15" s="103" t="s">
        <v>59</v>
      </c>
      <c r="L15" s="105">
        <v>42674</v>
      </c>
      <c r="M15" s="103">
        <v>8</v>
      </c>
      <c r="N15" s="103" t="s">
        <v>1568</v>
      </c>
      <c r="O15" s="105">
        <v>46573</v>
      </c>
      <c r="P15" s="103" t="s">
        <v>4</v>
      </c>
      <c r="Q15" s="103"/>
      <c r="R15" s="99">
        <v>45913</v>
      </c>
      <c r="S15" s="99">
        <v>45918</v>
      </c>
      <c r="T15" s="100">
        <f t="shared" si="0"/>
        <v>5</v>
      </c>
      <c r="U15" s="103">
        <v>1</v>
      </c>
      <c r="V15" s="103">
        <v>0</v>
      </c>
      <c r="W15" s="103">
        <v>1</v>
      </c>
      <c r="X15" s="103">
        <v>0</v>
      </c>
      <c r="Y15" s="103">
        <v>0</v>
      </c>
      <c r="Z15" s="103">
        <v>0</v>
      </c>
      <c r="AA15" s="103">
        <v>0</v>
      </c>
      <c r="AB15" s="103"/>
      <c r="AC15" s="105">
        <v>45913</v>
      </c>
      <c r="AD15" s="106">
        <v>0.70833333333575865</v>
      </c>
      <c r="AE15" s="103" t="s">
        <v>1559</v>
      </c>
      <c r="AF15" s="105">
        <v>45918</v>
      </c>
      <c r="AG15" s="106">
        <v>0.69444444444525288</v>
      </c>
      <c r="AH15" s="103" t="s">
        <v>996</v>
      </c>
      <c r="AI15" s="103" t="s">
        <v>1549</v>
      </c>
      <c r="AJ15" s="103" t="s">
        <v>64</v>
      </c>
      <c r="AK15" s="103" t="s">
        <v>64</v>
      </c>
      <c r="AL15" s="103" t="s">
        <v>1550</v>
      </c>
      <c r="AM15" s="103" t="s">
        <v>65</v>
      </c>
      <c r="AN15" s="102" t="s">
        <v>64</v>
      </c>
      <c r="AO15" s="61"/>
    </row>
    <row r="16" spans="1:49" ht="14.25" customHeight="1">
      <c r="C16" s="55">
        <f>IF($X16=1,COUNTIF($C$10:C15,"&gt;0")+1,"")</f>
        <v>3</v>
      </c>
      <c r="D16" s="56">
        <v>46590803</v>
      </c>
      <c r="E16" s="103" t="s">
        <v>1543</v>
      </c>
      <c r="F16" s="104" t="s">
        <v>1569</v>
      </c>
      <c r="G16" s="103" t="s">
        <v>1560</v>
      </c>
      <c r="H16" s="103" t="s">
        <v>1570</v>
      </c>
      <c r="I16" s="103" t="s">
        <v>316</v>
      </c>
      <c r="J16" s="103" t="s">
        <v>68</v>
      </c>
      <c r="K16" s="103" t="s">
        <v>1571</v>
      </c>
      <c r="L16" s="105">
        <v>19957</v>
      </c>
      <c r="M16" s="103">
        <v>71</v>
      </c>
      <c r="N16" s="103" t="s">
        <v>1572</v>
      </c>
      <c r="O16" s="105">
        <v>46987</v>
      </c>
      <c r="P16" s="103" t="s">
        <v>5</v>
      </c>
      <c r="Q16" s="103"/>
      <c r="R16" s="99">
        <v>45913</v>
      </c>
      <c r="S16" s="99">
        <v>45918</v>
      </c>
      <c r="T16" s="100">
        <f t="shared" si="0"/>
        <v>5</v>
      </c>
      <c r="U16" s="103">
        <v>1</v>
      </c>
      <c r="V16" s="103">
        <v>1</v>
      </c>
      <c r="W16" s="103">
        <v>0</v>
      </c>
      <c r="X16" s="103">
        <v>1</v>
      </c>
      <c r="Y16" s="103">
        <v>0</v>
      </c>
      <c r="Z16" s="103">
        <v>0</v>
      </c>
      <c r="AA16" s="103">
        <v>1</v>
      </c>
      <c r="AB16" s="103"/>
      <c r="AC16" s="105">
        <v>45913</v>
      </c>
      <c r="AD16" s="106">
        <v>0.69444444444525288</v>
      </c>
      <c r="AE16" s="103" t="s">
        <v>995</v>
      </c>
      <c r="AF16" s="105">
        <v>45918</v>
      </c>
      <c r="AG16" s="106">
        <v>0.69444444444525288</v>
      </c>
      <c r="AH16" s="103" t="s">
        <v>996</v>
      </c>
      <c r="AI16" s="103" t="s">
        <v>1549</v>
      </c>
      <c r="AJ16" s="103" t="s">
        <v>64</v>
      </c>
      <c r="AK16" s="103" t="s">
        <v>64</v>
      </c>
      <c r="AL16" s="103" t="s">
        <v>1550</v>
      </c>
      <c r="AM16" s="103" t="s">
        <v>65</v>
      </c>
      <c r="AN16" s="102" t="s">
        <v>64</v>
      </c>
      <c r="AO16" s="61"/>
    </row>
    <row r="17" spans="3:41" ht="14.25" customHeight="1">
      <c r="C17" s="55" t="str">
        <f>IF($X17=1,COUNTIF($C$10:C16,"&gt;0")+1,"")</f>
        <v/>
      </c>
      <c r="D17" s="56"/>
      <c r="E17" s="103" t="s">
        <v>1543</v>
      </c>
      <c r="F17" s="104" t="s">
        <v>1573</v>
      </c>
      <c r="G17" s="103" t="s">
        <v>1560</v>
      </c>
      <c r="H17" s="103" t="s">
        <v>1574</v>
      </c>
      <c r="I17" s="103" t="s">
        <v>1575</v>
      </c>
      <c r="J17" s="103" t="s">
        <v>68</v>
      </c>
      <c r="K17" s="103" t="s">
        <v>59</v>
      </c>
      <c r="L17" s="105">
        <v>37484</v>
      </c>
      <c r="M17" s="103">
        <v>23</v>
      </c>
      <c r="N17" s="103" t="s">
        <v>1576</v>
      </c>
      <c r="O17" s="105">
        <v>47748</v>
      </c>
      <c r="P17" s="103" t="s">
        <v>5</v>
      </c>
      <c r="Q17" s="103"/>
      <c r="R17" s="99">
        <v>45913</v>
      </c>
      <c r="S17" s="99">
        <v>45918</v>
      </c>
      <c r="T17" s="100">
        <f t="shared" si="0"/>
        <v>5</v>
      </c>
      <c r="U17" s="103">
        <v>1</v>
      </c>
      <c r="V17" s="103">
        <v>1</v>
      </c>
      <c r="W17" s="103">
        <v>0</v>
      </c>
      <c r="X17" s="103">
        <v>0</v>
      </c>
      <c r="Y17" s="103">
        <v>0</v>
      </c>
      <c r="Z17" s="103">
        <v>0</v>
      </c>
      <c r="AA17" s="103">
        <v>0</v>
      </c>
      <c r="AB17" s="103"/>
      <c r="AC17" s="105">
        <v>45913</v>
      </c>
      <c r="AD17" s="106">
        <v>0.6875</v>
      </c>
      <c r="AE17" s="103" t="s">
        <v>116</v>
      </c>
      <c r="AF17" s="105">
        <v>45918</v>
      </c>
      <c r="AG17" s="106">
        <v>0.80555555555474712</v>
      </c>
      <c r="AH17" s="103" t="s">
        <v>117</v>
      </c>
      <c r="AI17" s="103" t="s">
        <v>1549</v>
      </c>
      <c r="AJ17" s="103" t="s">
        <v>64</v>
      </c>
      <c r="AK17" s="103" t="s">
        <v>64</v>
      </c>
      <c r="AL17" s="103" t="s">
        <v>1550</v>
      </c>
      <c r="AM17" s="103" t="s">
        <v>65</v>
      </c>
      <c r="AN17" s="102" t="s">
        <v>64</v>
      </c>
      <c r="AO17" s="61"/>
    </row>
    <row r="18" spans="3:41" ht="14.25" customHeight="1">
      <c r="C18" s="55" t="str">
        <f>IF($X18=1,COUNTIF($C$10:C17,"&gt;0")+1,"")</f>
        <v/>
      </c>
      <c r="D18" s="56"/>
      <c r="E18" s="103" t="s">
        <v>1543</v>
      </c>
      <c r="F18" s="104" t="s">
        <v>1577</v>
      </c>
      <c r="G18" s="103" t="s">
        <v>1560</v>
      </c>
      <c r="H18" s="103" t="s">
        <v>1578</v>
      </c>
      <c r="I18" s="103" t="s">
        <v>1557</v>
      </c>
      <c r="J18" s="103" t="s">
        <v>58</v>
      </c>
      <c r="K18" s="103" t="s">
        <v>59</v>
      </c>
      <c r="L18" s="105">
        <v>43388</v>
      </c>
      <c r="M18" s="103">
        <v>6</v>
      </c>
      <c r="N18" s="103" t="s">
        <v>1579</v>
      </c>
      <c r="O18" s="105">
        <v>47037</v>
      </c>
      <c r="P18" s="103" t="s">
        <v>5</v>
      </c>
      <c r="Q18" s="103"/>
      <c r="R18" s="99">
        <v>45913</v>
      </c>
      <c r="S18" s="99">
        <v>45918</v>
      </c>
      <c r="T18" s="100">
        <f t="shared" si="0"/>
        <v>5</v>
      </c>
      <c r="U18" s="103">
        <v>1</v>
      </c>
      <c r="V18" s="103">
        <v>0</v>
      </c>
      <c r="W18" s="103">
        <v>1</v>
      </c>
      <c r="X18" s="103">
        <v>0</v>
      </c>
      <c r="Y18" s="103">
        <v>0</v>
      </c>
      <c r="Z18" s="103">
        <v>0</v>
      </c>
      <c r="AA18" s="103">
        <v>0</v>
      </c>
      <c r="AB18" s="103"/>
      <c r="AC18" s="105">
        <v>45913</v>
      </c>
      <c r="AD18" s="106">
        <v>0.70833333333575865</v>
      </c>
      <c r="AE18" s="103" t="s">
        <v>1559</v>
      </c>
      <c r="AF18" s="105">
        <v>45918</v>
      </c>
      <c r="AG18" s="106">
        <v>0.69444444444525288</v>
      </c>
      <c r="AH18" s="103" t="s">
        <v>996</v>
      </c>
      <c r="AI18" s="103" t="s">
        <v>1549</v>
      </c>
      <c r="AJ18" s="103" t="s">
        <v>64</v>
      </c>
      <c r="AK18" s="103" t="s">
        <v>64</v>
      </c>
      <c r="AL18" s="103" t="s">
        <v>1550</v>
      </c>
      <c r="AM18" s="103" t="s">
        <v>65</v>
      </c>
      <c r="AN18" s="102" t="s">
        <v>64</v>
      </c>
      <c r="AO18" s="61"/>
    </row>
    <row r="19" spans="3:41" ht="14.25" customHeight="1">
      <c r="C19" s="55">
        <f>IF($X19=1,COUNTIF($C$10:C18,"&gt;0")+1,"")</f>
        <v>4</v>
      </c>
      <c r="D19" s="56">
        <v>69175101</v>
      </c>
      <c r="E19" s="103" t="s">
        <v>1580</v>
      </c>
      <c r="F19" s="104" t="s">
        <v>1581</v>
      </c>
      <c r="G19" s="103" t="s">
        <v>1581</v>
      </c>
      <c r="H19" s="103" t="s">
        <v>1582</v>
      </c>
      <c r="I19" s="103" t="s">
        <v>666</v>
      </c>
      <c r="J19" s="103" t="s">
        <v>68</v>
      </c>
      <c r="K19" s="103" t="s">
        <v>59</v>
      </c>
      <c r="L19" s="105">
        <v>16577</v>
      </c>
      <c r="M19" s="103">
        <v>80</v>
      </c>
      <c r="N19" s="103" t="s">
        <v>1583</v>
      </c>
      <c r="O19" s="105">
        <v>46732</v>
      </c>
      <c r="P19" s="103" t="s">
        <v>4</v>
      </c>
      <c r="Q19" s="103"/>
      <c r="R19" s="99">
        <v>45913</v>
      </c>
      <c r="S19" s="99">
        <v>45918</v>
      </c>
      <c r="T19" s="100">
        <f t="shared" si="0"/>
        <v>5</v>
      </c>
      <c r="U19" s="103">
        <v>1</v>
      </c>
      <c r="V19" s="103">
        <v>1</v>
      </c>
      <c r="W19" s="103">
        <v>0</v>
      </c>
      <c r="X19" s="103">
        <v>1</v>
      </c>
      <c r="Y19" s="103">
        <v>0</v>
      </c>
      <c r="Z19" s="103">
        <v>1</v>
      </c>
      <c r="AA19" s="103">
        <v>0</v>
      </c>
      <c r="AB19" s="103"/>
      <c r="AC19" s="105">
        <v>45913</v>
      </c>
      <c r="AD19" s="106">
        <v>0.18055555555474712</v>
      </c>
      <c r="AE19" s="103" t="s">
        <v>408</v>
      </c>
      <c r="AF19" s="105">
        <v>45918</v>
      </c>
      <c r="AG19" s="106">
        <v>0.78472222221898846</v>
      </c>
      <c r="AH19" s="103" t="s">
        <v>1584</v>
      </c>
      <c r="AI19" s="103" t="s">
        <v>1585</v>
      </c>
      <c r="AJ19" s="103" t="s">
        <v>598</v>
      </c>
      <c r="AK19" s="103" t="s">
        <v>64</v>
      </c>
      <c r="AL19" s="103" t="s">
        <v>1550</v>
      </c>
      <c r="AM19" s="103" t="s">
        <v>65</v>
      </c>
      <c r="AN19" s="102" t="s">
        <v>64</v>
      </c>
      <c r="AO19" s="61"/>
    </row>
    <row r="20" spans="3:41" ht="14.25" customHeight="1">
      <c r="C20" s="55" t="str">
        <f>IF($X20=1,COUNTIF($C$10:C19,"&gt;0")+1,"")</f>
        <v/>
      </c>
      <c r="D20" s="56"/>
      <c r="E20" s="103" t="s">
        <v>1580</v>
      </c>
      <c r="F20" s="104" t="s">
        <v>1586</v>
      </c>
      <c r="G20" s="103" t="s">
        <v>1581</v>
      </c>
      <c r="H20" s="103" t="s">
        <v>1587</v>
      </c>
      <c r="I20" s="103" t="s">
        <v>390</v>
      </c>
      <c r="J20" s="103" t="s">
        <v>68</v>
      </c>
      <c r="K20" s="103" t="s">
        <v>59</v>
      </c>
      <c r="L20" s="105">
        <v>21305</v>
      </c>
      <c r="M20" s="103">
        <v>67</v>
      </c>
      <c r="N20" s="103" t="s">
        <v>1588</v>
      </c>
      <c r="O20" s="105">
        <v>49395</v>
      </c>
      <c r="P20" s="103" t="s">
        <v>4</v>
      </c>
      <c r="Q20" s="103"/>
      <c r="R20" s="99">
        <v>45913</v>
      </c>
      <c r="S20" s="99">
        <v>45918</v>
      </c>
      <c r="T20" s="100">
        <f t="shared" si="0"/>
        <v>5</v>
      </c>
      <c r="U20" s="103">
        <v>1</v>
      </c>
      <c r="V20" s="103">
        <v>1</v>
      </c>
      <c r="W20" s="103">
        <v>0</v>
      </c>
      <c r="X20" s="103">
        <v>0</v>
      </c>
      <c r="Y20" s="103">
        <v>0</v>
      </c>
      <c r="Z20" s="103">
        <v>0</v>
      </c>
      <c r="AA20" s="103">
        <v>0</v>
      </c>
      <c r="AB20" s="103"/>
      <c r="AC20" s="105">
        <v>45913</v>
      </c>
      <c r="AD20" s="106">
        <v>0.18055555555474712</v>
      </c>
      <c r="AE20" s="103" t="s">
        <v>408</v>
      </c>
      <c r="AF20" s="105">
        <v>45918</v>
      </c>
      <c r="AG20" s="106">
        <v>0.78472222221898846</v>
      </c>
      <c r="AH20" s="103" t="s">
        <v>1584</v>
      </c>
      <c r="AI20" s="103" t="s">
        <v>1585</v>
      </c>
      <c r="AJ20" s="103" t="s">
        <v>64</v>
      </c>
      <c r="AK20" s="103" t="s">
        <v>64</v>
      </c>
      <c r="AL20" s="103" t="s">
        <v>1550</v>
      </c>
      <c r="AM20" s="103" t="s">
        <v>65</v>
      </c>
      <c r="AN20" s="102" t="s">
        <v>64</v>
      </c>
      <c r="AO20" s="61"/>
    </row>
    <row r="21" spans="3:41" ht="14.25" customHeight="1">
      <c r="C21" s="55">
        <f>IF($X21=1,COUNTIF($C$10:C20,"&gt;0")+1,"")</f>
        <v>5</v>
      </c>
      <c r="D21" s="56">
        <v>45158836</v>
      </c>
      <c r="E21" s="103" t="s">
        <v>1589</v>
      </c>
      <c r="F21" s="104" t="s">
        <v>1590</v>
      </c>
      <c r="G21" s="103" t="s">
        <v>1590</v>
      </c>
      <c r="H21" s="103" t="s">
        <v>1591</v>
      </c>
      <c r="I21" s="103" t="s">
        <v>1592</v>
      </c>
      <c r="J21" s="103" t="s">
        <v>68</v>
      </c>
      <c r="K21" s="103" t="s">
        <v>59</v>
      </c>
      <c r="L21" s="105">
        <v>25887</v>
      </c>
      <c r="M21" s="103">
        <v>54</v>
      </c>
      <c r="N21" s="103" t="s">
        <v>1593</v>
      </c>
      <c r="O21" s="105">
        <v>48297</v>
      </c>
      <c r="P21" s="103" t="s">
        <v>5</v>
      </c>
      <c r="Q21" s="103"/>
      <c r="R21" s="99">
        <v>45913</v>
      </c>
      <c r="S21" s="99">
        <v>45918</v>
      </c>
      <c r="T21" s="100">
        <f t="shared" si="0"/>
        <v>5</v>
      </c>
      <c r="U21" s="103">
        <v>1</v>
      </c>
      <c r="V21" s="103">
        <v>1</v>
      </c>
      <c r="W21" s="103">
        <v>0</v>
      </c>
      <c r="X21" s="103">
        <v>1</v>
      </c>
      <c r="Y21" s="103">
        <v>0</v>
      </c>
      <c r="Z21" s="103">
        <v>0</v>
      </c>
      <c r="AA21" s="103">
        <v>1</v>
      </c>
      <c r="AB21" s="103"/>
      <c r="AC21" s="105">
        <v>45913</v>
      </c>
      <c r="AD21" s="106">
        <v>0.1875</v>
      </c>
      <c r="AE21" s="103" t="s">
        <v>220</v>
      </c>
      <c r="AF21" s="105">
        <v>45918</v>
      </c>
      <c r="AG21" s="106">
        <v>0.86458333333575865</v>
      </c>
      <c r="AH21" s="103" t="s">
        <v>1594</v>
      </c>
      <c r="AI21" s="103" t="s">
        <v>1595</v>
      </c>
      <c r="AJ21" s="103" t="s">
        <v>64</v>
      </c>
      <c r="AK21" s="103" t="s">
        <v>64</v>
      </c>
      <c r="AL21" s="103" t="s">
        <v>1550</v>
      </c>
      <c r="AM21" s="103" t="s">
        <v>65</v>
      </c>
      <c r="AN21" s="102" t="s">
        <v>64</v>
      </c>
      <c r="AO21" s="61"/>
    </row>
    <row r="22" spans="3:41" ht="14.25" customHeight="1">
      <c r="C22" s="55" t="str">
        <f>IF($X22=1,COUNTIF($C$10:C21,"&gt;0")+1,"")</f>
        <v/>
      </c>
      <c r="D22" s="56"/>
      <c r="E22" s="103" t="s">
        <v>1589</v>
      </c>
      <c r="F22" s="104" t="s">
        <v>1596</v>
      </c>
      <c r="G22" s="103" t="s">
        <v>1590</v>
      </c>
      <c r="H22" s="103" t="s">
        <v>1597</v>
      </c>
      <c r="I22" s="103" t="s">
        <v>310</v>
      </c>
      <c r="J22" s="103" t="s">
        <v>68</v>
      </c>
      <c r="K22" s="103" t="s">
        <v>59</v>
      </c>
      <c r="L22" s="105">
        <v>26867</v>
      </c>
      <c r="M22" s="103">
        <v>52</v>
      </c>
      <c r="N22" s="103" t="s">
        <v>1598</v>
      </c>
      <c r="O22" s="105">
        <v>49170</v>
      </c>
      <c r="P22" s="103" t="s">
        <v>5</v>
      </c>
      <c r="Q22" s="103"/>
      <c r="R22" s="99">
        <v>45913</v>
      </c>
      <c r="S22" s="99">
        <v>45918</v>
      </c>
      <c r="T22" s="100">
        <f t="shared" si="0"/>
        <v>5</v>
      </c>
      <c r="U22" s="103">
        <v>1</v>
      </c>
      <c r="V22" s="103">
        <v>1</v>
      </c>
      <c r="W22" s="103">
        <v>0</v>
      </c>
      <c r="X22" s="103">
        <v>0</v>
      </c>
      <c r="Y22" s="103">
        <v>0</v>
      </c>
      <c r="Z22" s="103">
        <v>0</v>
      </c>
      <c r="AA22" s="103">
        <v>0</v>
      </c>
      <c r="AB22" s="103"/>
      <c r="AC22" s="105">
        <v>45913</v>
      </c>
      <c r="AD22" s="106">
        <v>0.85416666666424135</v>
      </c>
      <c r="AE22" s="103" t="s">
        <v>712</v>
      </c>
      <c r="AF22" s="105">
        <v>45918</v>
      </c>
      <c r="AG22" s="106">
        <v>0.53472222221898846</v>
      </c>
      <c r="AH22" s="103" t="s">
        <v>1599</v>
      </c>
      <c r="AI22" s="103" t="s">
        <v>1595</v>
      </c>
      <c r="AJ22" s="103" t="s">
        <v>64</v>
      </c>
      <c r="AK22" s="103" t="s">
        <v>64</v>
      </c>
      <c r="AL22" s="103" t="s">
        <v>1550</v>
      </c>
      <c r="AM22" s="103" t="s">
        <v>65</v>
      </c>
      <c r="AN22" s="102" t="s">
        <v>1600</v>
      </c>
      <c r="AO22" s="61"/>
    </row>
    <row r="23" spans="3:41" ht="14.25" customHeight="1">
      <c r="C23" s="55">
        <f>IF($X23=1,COUNTIF($C$10:C22,"&gt;0")+1,"")</f>
        <v>6</v>
      </c>
      <c r="D23" s="56">
        <v>45017737</v>
      </c>
      <c r="E23" s="103" t="s">
        <v>1589</v>
      </c>
      <c r="F23" s="104" t="s">
        <v>1601</v>
      </c>
      <c r="G23" s="103" t="s">
        <v>1601</v>
      </c>
      <c r="H23" s="103" t="s">
        <v>1602</v>
      </c>
      <c r="I23" s="103" t="s">
        <v>446</v>
      </c>
      <c r="J23" s="103" t="s">
        <v>58</v>
      </c>
      <c r="K23" s="103" t="s">
        <v>59</v>
      </c>
      <c r="L23" s="105">
        <v>26379</v>
      </c>
      <c r="M23" s="103">
        <v>53</v>
      </c>
      <c r="N23" s="103" t="s">
        <v>1603</v>
      </c>
      <c r="O23" s="105">
        <v>48613</v>
      </c>
      <c r="P23" s="103" t="s">
        <v>4</v>
      </c>
      <c r="Q23" s="103"/>
      <c r="R23" s="99">
        <v>45913</v>
      </c>
      <c r="S23" s="99">
        <v>45918</v>
      </c>
      <c r="T23" s="100">
        <f t="shared" si="0"/>
        <v>5</v>
      </c>
      <c r="U23" s="103">
        <v>1</v>
      </c>
      <c r="V23" s="103">
        <v>1</v>
      </c>
      <c r="W23" s="103">
        <v>0</v>
      </c>
      <c r="X23" s="103">
        <v>1</v>
      </c>
      <c r="Y23" s="103">
        <v>0</v>
      </c>
      <c r="Z23" s="103">
        <v>1</v>
      </c>
      <c r="AA23" s="103">
        <v>0</v>
      </c>
      <c r="AB23" s="103"/>
      <c r="AC23" s="105">
        <v>45913</v>
      </c>
      <c r="AD23" s="106">
        <v>0.18055555555474712</v>
      </c>
      <c r="AE23" s="103" t="s">
        <v>95</v>
      </c>
      <c r="AF23" s="105">
        <v>45918</v>
      </c>
      <c r="AG23" s="106">
        <v>0.70138888889050577</v>
      </c>
      <c r="AH23" s="103" t="s">
        <v>96</v>
      </c>
      <c r="AI23" s="103" t="s">
        <v>1595</v>
      </c>
      <c r="AJ23" s="103" t="s">
        <v>64</v>
      </c>
      <c r="AK23" s="103" t="s">
        <v>64</v>
      </c>
      <c r="AL23" s="103" t="s">
        <v>1550</v>
      </c>
      <c r="AM23" s="103" t="s">
        <v>65</v>
      </c>
      <c r="AN23" s="102" t="s">
        <v>64</v>
      </c>
      <c r="AO23" s="61"/>
    </row>
    <row r="24" spans="3:41" ht="14.25" customHeight="1">
      <c r="C24" s="55" t="str">
        <f>IF($X24=1,COUNTIF($C$10:C23,"&gt;0")+1,"")</f>
        <v/>
      </c>
      <c r="D24" s="56"/>
      <c r="E24" s="103" t="s">
        <v>1589</v>
      </c>
      <c r="F24" s="104" t="s">
        <v>1604</v>
      </c>
      <c r="G24" s="103" t="s">
        <v>1601</v>
      </c>
      <c r="H24" s="103" t="s">
        <v>1605</v>
      </c>
      <c r="I24" s="103" t="s">
        <v>446</v>
      </c>
      <c r="J24" s="103" t="s">
        <v>68</v>
      </c>
      <c r="K24" s="103" t="s">
        <v>59</v>
      </c>
      <c r="L24" s="105">
        <v>29403</v>
      </c>
      <c r="M24" s="103">
        <v>45</v>
      </c>
      <c r="N24" s="103" t="s">
        <v>1606</v>
      </c>
      <c r="O24" s="105">
        <v>48609</v>
      </c>
      <c r="P24" s="103" t="s">
        <v>4</v>
      </c>
      <c r="Q24" s="103"/>
      <c r="R24" s="99">
        <v>45913</v>
      </c>
      <c r="S24" s="99">
        <v>45918</v>
      </c>
      <c r="T24" s="100">
        <f t="shared" si="0"/>
        <v>5</v>
      </c>
      <c r="U24" s="103">
        <v>1</v>
      </c>
      <c r="V24" s="103">
        <v>1</v>
      </c>
      <c r="W24" s="103">
        <v>0</v>
      </c>
      <c r="X24" s="103">
        <v>0</v>
      </c>
      <c r="Y24" s="103">
        <v>0</v>
      </c>
      <c r="Z24" s="103">
        <v>0</v>
      </c>
      <c r="AA24" s="103">
        <v>0</v>
      </c>
      <c r="AB24" s="103"/>
      <c r="AC24" s="105">
        <v>45913</v>
      </c>
      <c r="AD24" s="106">
        <v>0.18055555555474712</v>
      </c>
      <c r="AE24" s="103" t="s">
        <v>95</v>
      </c>
      <c r="AF24" s="105">
        <v>45918</v>
      </c>
      <c r="AG24" s="106">
        <v>0.70138888889050577</v>
      </c>
      <c r="AH24" s="103" t="s">
        <v>96</v>
      </c>
      <c r="AI24" s="103" t="s">
        <v>1595</v>
      </c>
      <c r="AJ24" s="103" t="s">
        <v>64</v>
      </c>
      <c r="AK24" s="103" t="s">
        <v>64</v>
      </c>
      <c r="AL24" s="103" t="s">
        <v>1550</v>
      </c>
      <c r="AM24" s="103" t="s">
        <v>65</v>
      </c>
      <c r="AN24" s="102" t="s">
        <v>64</v>
      </c>
      <c r="AO24" s="61"/>
    </row>
    <row r="25" spans="3:41" ht="14.25" customHeight="1">
      <c r="C25" s="55">
        <f>IF($X25=1,COUNTIF($C$10:C24,"&gt;0")+1,"")</f>
        <v>7</v>
      </c>
      <c r="D25" s="56">
        <v>62673847</v>
      </c>
      <c r="E25" s="103" t="s">
        <v>1589</v>
      </c>
      <c r="F25" s="104" t="s">
        <v>1607</v>
      </c>
      <c r="G25" s="103" t="s">
        <v>1607</v>
      </c>
      <c r="H25" s="103" t="s">
        <v>1608</v>
      </c>
      <c r="I25" s="103" t="s">
        <v>1609</v>
      </c>
      <c r="J25" s="103" t="s">
        <v>68</v>
      </c>
      <c r="K25" s="103" t="s">
        <v>59</v>
      </c>
      <c r="L25" s="105">
        <v>29265</v>
      </c>
      <c r="M25" s="103">
        <v>45</v>
      </c>
      <c r="N25" s="103" t="s">
        <v>1610</v>
      </c>
      <c r="O25" s="105">
        <v>47056</v>
      </c>
      <c r="P25" s="103" t="s">
        <v>4</v>
      </c>
      <c r="Q25" s="103"/>
      <c r="R25" s="99">
        <v>45913</v>
      </c>
      <c r="S25" s="99">
        <v>45918</v>
      </c>
      <c r="T25" s="100">
        <f t="shared" si="0"/>
        <v>5</v>
      </c>
      <c r="U25" s="103">
        <v>1</v>
      </c>
      <c r="V25" s="103">
        <v>1</v>
      </c>
      <c r="W25" s="103">
        <v>0</v>
      </c>
      <c r="X25" s="103">
        <v>1</v>
      </c>
      <c r="Y25" s="103">
        <v>0</v>
      </c>
      <c r="Z25" s="103">
        <v>1</v>
      </c>
      <c r="AA25" s="103">
        <v>0</v>
      </c>
      <c r="AB25" s="103"/>
      <c r="AC25" s="105">
        <v>45913</v>
      </c>
      <c r="AD25" s="106">
        <v>0.1875</v>
      </c>
      <c r="AE25" s="103" t="s">
        <v>220</v>
      </c>
      <c r="AF25" s="105">
        <v>45918</v>
      </c>
      <c r="AG25" s="106">
        <v>0.86458333333575865</v>
      </c>
      <c r="AH25" s="103" t="s">
        <v>1594</v>
      </c>
      <c r="AI25" s="103" t="s">
        <v>1595</v>
      </c>
      <c r="AJ25" s="103" t="s">
        <v>598</v>
      </c>
      <c r="AK25" s="103" t="s">
        <v>1611</v>
      </c>
      <c r="AL25" s="103" t="s">
        <v>1550</v>
      </c>
      <c r="AM25" s="103" t="s">
        <v>65</v>
      </c>
      <c r="AN25" s="102" t="s">
        <v>64</v>
      </c>
      <c r="AO25" s="61"/>
    </row>
    <row r="26" spans="3:41" ht="14.25" customHeight="1">
      <c r="C26" s="55" t="str">
        <f>IF($X26=1,COUNTIF($C$10:C25,"&gt;0")+1,"")</f>
        <v/>
      </c>
      <c r="D26" s="56"/>
      <c r="E26" s="103" t="s">
        <v>1589</v>
      </c>
      <c r="F26" s="104" t="s">
        <v>1612</v>
      </c>
      <c r="G26" s="103" t="s">
        <v>1607</v>
      </c>
      <c r="H26" s="103" t="s">
        <v>1613</v>
      </c>
      <c r="I26" s="103" t="s">
        <v>1614</v>
      </c>
      <c r="J26" s="103" t="s">
        <v>58</v>
      </c>
      <c r="K26" s="103" t="s">
        <v>59</v>
      </c>
      <c r="L26" s="105">
        <v>29070</v>
      </c>
      <c r="M26" s="103">
        <v>46</v>
      </c>
      <c r="N26" s="103" t="s">
        <v>1615</v>
      </c>
      <c r="O26" s="105">
        <v>46759</v>
      </c>
      <c r="P26" s="103" t="s">
        <v>4</v>
      </c>
      <c r="Q26" s="103"/>
      <c r="R26" s="99">
        <v>45913</v>
      </c>
      <c r="S26" s="99">
        <v>45918</v>
      </c>
      <c r="T26" s="100">
        <f t="shared" si="0"/>
        <v>5</v>
      </c>
      <c r="U26" s="103">
        <v>1</v>
      </c>
      <c r="V26" s="103">
        <v>1</v>
      </c>
      <c r="W26" s="103">
        <v>0</v>
      </c>
      <c r="X26" s="103">
        <v>0</v>
      </c>
      <c r="Y26" s="103">
        <v>0</v>
      </c>
      <c r="Z26" s="103">
        <v>0</v>
      </c>
      <c r="AA26" s="103">
        <v>0</v>
      </c>
      <c r="AB26" s="103"/>
      <c r="AC26" s="105">
        <v>45913</v>
      </c>
      <c r="AD26" s="106">
        <v>0.1875</v>
      </c>
      <c r="AE26" s="103" t="s">
        <v>220</v>
      </c>
      <c r="AF26" s="105">
        <v>45918</v>
      </c>
      <c r="AG26" s="106">
        <v>0.86458333333575865</v>
      </c>
      <c r="AH26" s="103" t="s">
        <v>1594</v>
      </c>
      <c r="AI26" s="103" t="s">
        <v>1595</v>
      </c>
      <c r="AJ26" s="103" t="s">
        <v>64</v>
      </c>
      <c r="AK26" s="103" t="s">
        <v>64</v>
      </c>
      <c r="AL26" s="103" t="s">
        <v>1550</v>
      </c>
      <c r="AM26" s="103" t="s">
        <v>65</v>
      </c>
      <c r="AN26" s="102" t="s">
        <v>64</v>
      </c>
      <c r="AO26" s="61"/>
    </row>
    <row r="27" spans="3:41" ht="14.25" customHeight="1">
      <c r="C27" s="55">
        <f>IF($X27=1,COUNTIF($C$10:C26,"&gt;0")+1,"")</f>
        <v>8</v>
      </c>
      <c r="D27" s="56">
        <v>21425346</v>
      </c>
      <c r="E27" s="103" t="s">
        <v>1589</v>
      </c>
      <c r="F27" s="104" t="s">
        <v>1616</v>
      </c>
      <c r="G27" s="103" t="s">
        <v>1616</v>
      </c>
      <c r="H27" s="103" t="s">
        <v>1617</v>
      </c>
      <c r="I27" s="103" t="s">
        <v>1618</v>
      </c>
      <c r="J27" s="103" t="s">
        <v>68</v>
      </c>
      <c r="K27" s="103" t="s">
        <v>59</v>
      </c>
      <c r="L27" s="105">
        <v>30904</v>
      </c>
      <c r="M27" s="103">
        <v>41</v>
      </c>
      <c r="N27" s="103" t="s">
        <v>1619</v>
      </c>
      <c r="O27" s="105">
        <v>49121</v>
      </c>
      <c r="P27" s="103" t="s">
        <v>4</v>
      </c>
      <c r="Q27" s="103"/>
      <c r="R27" s="99">
        <v>45913</v>
      </c>
      <c r="S27" s="99">
        <v>45918</v>
      </c>
      <c r="T27" s="100">
        <f t="shared" si="0"/>
        <v>5</v>
      </c>
      <c r="U27" s="103">
        <v>1</v>
      </c>
      <c r="V27" s="103">
        <v>1</v>
      </c>
      <c r="W27" s="103">
        <v>0</v>
      </c>
      <c r="X27" s="103">
        <v>1</v>
      </c>
      <c r="Y27" s="103">
        <v>0</v>
      </c>
      <c r="Z27" s="103">
        <v>1</v>
      </c>
      <c r="AA27" s="103">
        <v>0</v>
      </c>
      <c r="AB27" s="103"/>
      <c r="AC27" s="105">
        <v>45913</v>
      </c>
      <c r="AD27" s="106">
        <v>0.1875</v>
      </c>
      <c r="AE27" s="103" t="s">
        <v>220</v>
      </c>
      <c r="AF27" s="105">
        <v>45918</v>
      </c>
      <c r="AG27" s="106">
        <v>0.8125</v>
      </c>
      <c r="AH27" s="103" t="s">
        <v>1620</v>
      </c>
      <c r="AI27" s="103" t="s">
        <v>1595</v>
      </c>
      <c r="AJ27" s="103" t="s">
        <v>64</v>
      </c>
      <c r="AK27" s="103" t="s">
        <v>64</v>
      </c>
      <c r="AL27" s="103" t="s">
        <v>1550</v>
      </c>
      <c r="AM27" s="103" t="s">
        <v>65</v>
      </c>
      <c r="AN27" s="102" t="s">
        <v>64</v>
      </c>
      <c r="AO27" s="61"/>
    </row>
    <row r="28" spans="3:41" ht="14.25" customHeight="1">
      <c r="C28" s="55" t="str">
        <f>IF($X28=1,COUNTIF($C$10:C27,"&gt;0")+1,"")</f>
        <v/>
      </c>
      <c r="D28" s="56"/>
      <c r="E28" s="103" t="s">
        <v>1589</v>
      </c>
      <c r="F28" s="104" t="s">
        <v>1621</v>
      </c>
      <c r="G28" s="103" t="s">
        <v>1616</v>
      </c>
      <c r="H28" s="103" t="s">
        <v>1622</v>
      </c>
      <c r="I28" s="103" t="s">
        <v>316</v>
      </c>
      <c r="J28" s="103" t="s">
        <v>58</v>
      </c>
      <c r="K28" s="103" t="s">
        <v>59</v>
      </c>
      <c r="L28" s="105">
        <v>24966</v>
      </c>
      <c r="M28" s="103">
        <v>57</v>
      </c>
      <c r="N28" s="103" t="s">
        <v>1623</v>
      </c>
      <c r="O28" s="105">
        <v>49125</v>
      </c>
      <c r="P28" s="103" t="s">
        <v>4</v>
      </c>
      <c r="Q28" s="103"/>
      <c r="R28" s="99">
        <v>45913</v>
      </c>
      <c r="S28" s="99">
        <v>45918</v>
      </c>
      <c r="T28" s="100">
        <f t="shared" si="0"/>
        <v>5</v>
      </c>
      <c r="U28" s="103">
        <v>1</v>
      </c>
      <c r="V28" s="103">
        <v>1</v>
      </c>
      <c r="W28" s="103">
        <v>0</v>
      </c>
      <c r="X28" s="103">
        <v>0</v>
      </c>
      <c r="Y28" s="103">
        <v>0</v>
      </c>
      <c r="Z28" s="103">
        <v>0</v>
      </c>
      <c r="AA28" s="103">
        <v>0</v>
      </c>
      <c r="AB28" s="103"/>
      <c r="AC28" s="105">
        <v>45913</v>
      </c>
      <c r="AD28" s="106">
        <v>0.1875</v>
      </c>
      <c r="AE28" s="103" t="s">
        <v>220</v>
      </c>
      <c r="AF28" s="105">
        <v>45918</v>
      </c>
      <c r="AG28" s="106">
        <v>0.8125</v>
      </c>
      <c r="AH28" s="103" t="s">
        <v>1620</v>
      </c>
      <c r="AI28" s="103" t="s">
        <v>1595</v>
      </c>
      <c r="AJ28" s="103" t="s">
        <v>64</v>
      </c>
      <c r="AK28" s="103" t="s">
        <v>64</v>
      </c>
      <c r="AL28" s="103" t="s">
        <v>1550</v>
      </c>
      <c r="AM28" s="103" t="s">
        <v>65</v>
      </c>
      <c r="AN28" s="102" t="s">
        <v>64</v>
      </c>
      <c r="AO28" s="61"/>
    </row>
    <row r="29" spans="3:41" ht="14.25" customHeight="1">
      <c r="C29" s="55">
        <f>IF($X29=1,COUNTIF($C$10:C28,"&gt;0")+1,"")</f>
        <v>9</v>
      </c>
      <c r="D29" s="56">
        <v>49034978</v>
      </c>
      <c r="E29" s="103" t="s">
        <v>1589</v>
      </c>
      <c r="F29" s="104" t="s">
        <v>1624</v>
      </c>
      <c r="G29" s="103" t="s">
        <v>1624</v>
      </c>
      <c r="H29" s="103" t="s">
        <v>1625</v>
      </c>
      <c r="I29" s="103" t="s">
        <v>1626</v>
      </c>
      <c r="J29" s="103" t="s">
        <v>68</v>
      </c>
      <c r="K29" s="103" t="s">
        <v>59</v>
      </c>
      <c r="L29" s="105">
        <v>25160</v>
      </c>
      <c r="M29" s="103">
        <v>56</v>
      </c>
      <c r="N29" s="103" t="s">
        <v>1627</v>
      </c>
      <c r="O29" s="105">
        <v>48889</v>
      </c>
      <c r="P29" s="103" t="s">
        <v>4</v>
      </c>
      <c r="Q29" s="103"/>
      <c r="R29" s="99">
        <v>45913</v>
      </c>
      <c r="S29" s="99">
        <v>45918</v>
      </c>
      <c r="T29" s="100">
        <f t="shared" si="0"/>
        <v>5</v>
      </c>
      <c r="U29" s="103">
        <v>1</v>
      </c>
      <c r="V29" s="103">
        <v>1</v>
      </c>
      <c r="W29" s="103">
        <v>0</v>
      </c>
      <c r="X29" s="103">
        <v>1</v>
      </c>
      <c r="Y29" s="103">
        <v>0</v>
      </c>
      <c r="Z29" s="103">
        <v>1</v>
      </c>
      <c r="AA29" s="103">
        <v>0</v>
      </c>
      <c r="AB29" s="103"/>
      <c r="AC29" s="105">
        <v>45913</v>
      </c>
      <c r="AD29" s="106">
        <v>0.18055555555474712</v>
      </c>
      <c r="AE29" s="103" t="s">
        <v>95</v>
      </c>
      <c r="AF29" s="105">
        <v>45918</v>
      </c>
      <c r="AG29" s="106">
        <v>0.70138888889050577</v>
      </c>
      <c r="AH29" s="103" t="s">
        <v>96</v>
      </c>
      <c r="AI29" s="103" t="s">
        <v>1595</v>
      </c>
      <c r="AJ29" s="103" t="s">
        <v>64</v>
      </c>
      <c r="AK29" s="103" t="s">
        <v>64</v>
      </c>
      <c r="AL29" s="103" t="s">
        <v>1550</v>
      </c>
      <c r="AM29" s="103" t="s">
        <v>65</v>
      </c>
      <c r="AN29" s="102" t="s">
        <v>64</v>
      </c>
      <c r="AO29" s="61"/>
    </row>
    <row r="30" spans="3:41" ht="14.25" customHeight="1">
      <c r="C30" s="55" t="str">
        <f>IF($X30=1,COUNTIF($C$10:C29,"&gt;0")+1,"")</f>
        <v/>
      </c>
      <c r="D30" s="56"/>
      <c r="E30" s="103" t="s">
        <v>1589</v>
      </c>
      <c r="F30" s="104" t="s">
        <v>1628</v>
      </c>
      <c r="G30" s="103" t="s">
        <v>1624</v>
      </c>
      <c r="H30" s="103" t="s">
        <v>1629</v>
      </c>
      <c r="I30" s="103" t="s">
        <v>1630</v>
      </c>
      <c r="J30" s="103" t="s">
        <v>68</v>
      </c>
      <c r="K30" s="103" t="s">
        <v>369</v>
      </c>
      <c r="L30" s="105">
        <v>26720</v>
      </c>
      <c r="M30" s="103">
        <v>52</v>
      </c>
      <c r="N30" s="103" t="s">
        <v>1631</v>
      </c>
      <c r="O30" s="105">
        <v>48168</v>
      </c>
      <c r="P30" s="103" t="s">
        <v>4</v>
      </c>
      <c r="Q30" s="103"/>
      <c r="R30" s="99">
        <v>45913</v>
      </c>
      <c r="S30" s="99">
        <v>45918</v>
      </c>
      <c r="T30" s="100">
        <f t="shared" si="0"/>
        <v>5</v>
      </c>
      <c r="U30" s="103">
        <v>1</v>
      </c>
      <c r="V30" s="103">
        <v>1</v>
      </c>
      <c r="W30" s="103">
        <v>0</v>
      </c>
      <c r="X30" s="103">
        <v>0</v>
      </c>
      <c r="Y30" s="103">
        <v>0</v>
      </c>
      <c r="Z30" s="103">
        <v>0</v>
      </c>
      <c r="AA30" s="103">
        <v>0</v>
      </c>
      <c r="AB30" s="103"/>
      <c r="AC30" s="105">
        <v>45913</v>
      </c>
      <c r="AD30" s="106">
        <v>0.18055555555474712</v>
      </c>
      <c r="AE30" s="103" t="s">
        <v>95</v>
      </c>
      <c r="AF30" s="105">
        <v>45918</v>
      </c>
      <c r="AG30" s="106">
        <v>0.70138888889050577</v>
      </c>
      <c r="AH30" s="103" t="s">
        <v>96</v>
      </c>
      <c r="AI30" s="103" t="s">
        <v>1595</v>
      </c>
      <c r="AJ30" s="103" t="s">
        <v>64</v>
      </c>
      <c r="AK30" s="103" t="s">
        <v>64</v>
      </c>
      <c r="AL30" s="103" t="s">
        <v>1550</v>
      </c>
      <c r="AM30" s="103" t="s">
        <v>65</v>
      </c>
      <c r="AN30" s="102" t="s">
        <v>64</v>
      </c>
      <c r="AO30" s="61"/>
    </row>
    <row r="31" spans="3:41" ht="14.25" customHeight="1">
      <c r="C31" s="55">
        <f>IF($X31=1,COUNTIF($C$10:C30,"&gt;0")+1,"")</f>
        <v>10</v>
      </c>
      <c r="D31" s="56">
        <v>21559915</v>
      </c>
      <c r="E31" s="103" t="s">
        <v>1589</v>
      </c>
      <c r="F31" s="104" t="s">
        <v>1632</v>
      </c>
      <c r="G31" s="103" t="s">
        <v>1632</v>
      </c>
      <c r="H31" s="103" t="s">
        <v>1633</v>
      </c>
      <c r="I31" s="103" t="s">
        <v>1634</v>
      </c>
      <c r="J31" s="103" t="s">
        <v>68</v>
      </c>
      <c r="K31" s="103" t="s">
        <v>59</v>
      </c>
      <c r="L31" s="105">
        <v>26906</v>
      </c>
      <c r="M31" s="103">
        <v>52</v>
      </c>
      <c r="N31" s="103" t="s">
        <v>1635</v>
      </c>
      <c r="O31" s="105">
        <v>47049</v>
      </c>
      <c r="P31" s="103" t="s">
        <v>5</v>
      </c>
      <c r="Q31" s="103"/>
      <c r="R31" s="99">
        <v>45913</v>
      </c>
      <c r="S31" s="99">
        <v>45918</v>
      </c>
      <c r="T31" s="100">
        <f t="shared" si="0"/>
        <v>5</v>
      </c>
      <c r="U31" s="103">
        <v>1</v>
      </c>
      <c r="V31" s="103">
        <v>1</v>
      </c>
      <c r="W31" s="103">
        <v>0</v>
      </c>
      <c r="X31" s="103">
        <v>1</v>
      </c>
      <c r="Y31" s="103">
        <v>0</v>
      </c>
      <c r="Z31" s="103">
        <v>0</v>
      </c>
      <c r="AA31" s="103">
        <v>1</v>
      </c>
      <c r="AB31" s="103"/>
      <c r="AC31" s="105">
        <v>45913</v>
      </c>
      <c r="AD31" s="106">
        <v>0.625</v>
      </c>
      <c r="AE31" s="103" t="s">
        <v>74</v>
      </c>
      <c r="AF31" s="105">
        <v>45918</v>
      </c>
      <c r="AG31" s="106">
        <v>0.70138888889050577</v>
      </c>
      <c r="AH31" s="103" t="s">
        <v>96</v>
      </c>
      <c r="AI31" s="103" t="s">
        <v>1595</v>
      </c>
      <c r="AJ31" s="103" t="s">
        <v>64</v>
      </c>
      <c r="AK31" s="103" t="s">
        <v>64</v>
      </c>
      <c r="AL31" s="103" t="s">
        <v>1550</v>
      </c>
      <c r="AM31" s="103" t="s">
        <v>65</v>
      </c>
      <c r="AN31" s="102" t="s">
        <v>64</v>
      </c>
      <c r="AO31" s="61"/>
    </row>
    <row r="32" spans="3:41" ht="14.25" customHeight="1">
      <c r="C32" s="55" t="str">
        <f>IF($X32=1,COUNTIF($C$10:C31,"&gt;0")+1,"")</f>
        <v/>
      </c>
      <c r="D32" s="56"/>
      <c r="E32" s="103" t="s">
        <v>1589</v>
      </c>
      <c r="F32" s="104" t="s">
        <v>1636</v>
      </c>
      <c r="G32" s="103" t="s">
        <v>1632</v>
      </c>
      <c r="H32" s="103" t="s">
        <v>1637</v>
      </c>
      <c r="I32" s="103" t="s">
        <v>1638</v>
      </c>
      <c r="J32" s="103" t="s">
        <v>68</v>
      </c>
      <c r="K32" s="103" t="s">
        <v>59</v>
      </c>
      <c r="L32" s="105">
        <v>26171</v>
      </c>
      <c r="M32" s="103">
        <v>54</v>
      </c>
      <c r="N32" s="103" t="s">
        <v>1639</v>
      </c>
      <c r="O32" s="105">
        <v>49140</v>
      </c>
      <c r="P32" s="103" t="s">
        <v>5</v>
      </c>
      <c r="Q32" s="103"/>
      <c r="R32" s="99">
        <v>45913</v>
      </c>
      <c r="S32" s="99">
        <v>45918</v>
      </c>
      <c r="T32" s="100">
        <f t="shared" si="0"/>
        <v>5</v>
      </c>
      <c r="U32" s="103">
        <v>1</v>
      </c>
      <c r="V32" s="103">
        <v>1</v>
      </c>
      <c r="W32" s="103">
        <v>0</v>
      </c>
      <c r="X32" s="103">
        <v>0</v>
      </c>
      <c r="Y32" s="103">
        <v>0</v>
      </c>
      <c r="Z32" s="103">
        <v>0</v>
      </c>
      <c r="AA32" s="103">
        <v>0</v>
      </c>
      <c r="AB32" s="103"/>
      <c r="AC32" s="105">
        <v>45913</v>
      </c>
      <c r="AD32" s="106">
        <v>0.625</v>
      </c>
      <c r="AE32" s="103" t="s">
        <v>74</v>
      </c>
      <c r="AF32" s="105">
        <v>45918</v>
      </c>
      <c r="AG32" s="106">
        <v>0.70138888889050577</v>
      </c>
      <c r="AH32" s="103" t="s">
        <v>96</v>
      </c>
      <c r="AI32" s="103" t="s">
        <v>1595</v>
      </c>
      <c r="AJ32" s="103" t="s">
        <v>64</v>
      </c>
      <c r="AK32" s="103" t="s">
        <v>64</v>
      </c>
      <c r="AL32" s="103" t="s">
        <v>1550</v>
      </c>
      <c r="AM32" s="103" t="s">
        <v>65</v>
      </c>
      <c r="AN32" s="102" t="s">
        <v>64</v>
      </c>
      <c r="AO32" s="61"/>
    </row>
    <row r="33" spans="3:41" ht="14.25" customHeight="1">
      <c r="C33" s="55">
        <f>IF($X33=1,COUNTIF($C$10:C32,"&gt;0")+1,"")</f>
        <v>11</v>
      </c>
      <c r="D33" s="56">
        <v>26262003</v>
      </c>
      <c r="E33" s="103" t="s">
        <v>1589</v>
      </c>
      <c r="F33" s="104" t="s">
        <v>1640</v>
      </c>
      <c r="G33" s="103" t="s">
        <v>1640</v>
      </c>
      <c r="H33" s="103" t="s">
        <v>1641</v>
      </c>
      <c r="I33" s="103" t="s">
        <v>1642</v>
      </c>
      <c r="J33" s="103" t="s">
        <v>68</v>
      </c>
      <c r="K33" s="103" t="s">
        <v>59</v>
      </c>
      <c r="L33" s="105">
        <v>32102</v>
      </c>
      <c r="M33" s="103">
        <v>37</v>
      </c>
      <c r="N33" s="103" t="s">
        <v>1643</v>
      </c>
      <c r="O33" s="105">
        <v>48440</v>
      </c>
      <c r="P33" s="103" t="s">
        <v>5</v>
      </c>
      <c r="Q33" s="103"/>
      <c r="R33" s="99">
        <v>45913</v>
      </c>
      <c r="S33" s="99">
        <v>45918</v>
      </c>
      <c r="T33" s="100">
        <f t="shared" si="0"/>
        <v>5</v>
      </c>
      <c r="U33" s="103">
        <v>1</v>
      </c>
      <c r="V33" s="103">
        <v>1</v>
      </c>
      <c r="W33" s="103">
        <v>0</v>
      </c>
      <c r="X33" s="103">
        <v>1</v>
      </c>
      <c r="Y33" s="103">
        <v>0</v>
      </c>
      <c r="Z33" s="103">
        <v>0</v>
      </c>
      <c r="AA33" s="103">
        <v>1</v>
      </c>
      <c r="AB33" s="103"/>
      <c r="AC33" s="105">
        <v>45913</v>
      </c>
      <c r="AD33" s="106">
        <v>0.85416666666424135</v>
      </c>
      <c r="AE33" s="103" t="s">
        <v>712</v>
      </c>
      <c r="AF33" s="105">
        <v>45918</v>
      </c>
      <c r="AG33" s="106">
        <v>0.53472222221898846</v>
      </c>
      <c r="AH33" s="103" t="s">
        <v>1599</v>
      </c>
      <c r="AI33" s="103" t="s">
        <v>1595</v>
      </c>
      <c r="AJ33" s="103" t="s">
        <v>64</v>
      </c>
      <c r="AK33" s="103" t="s">
        <v>64</v>
      </c>
      <c r="AL33" s="103" t="s">
        <v>1550</v>
      </c>
      <c r="AM33" s="103" t="s">
        <v>65</v>
      </c>
      <c r="AN33" s="102" t="s">
        <v>1600</v>
      </c>
      <c r="AO33" s="61"/>
    </row>
    <row r="34" spans="3:41" ht="14.25" customHeight="1">
      <c r="C34" s="55" t="str">
        <f>IF($X34=1,COUNTIF($C$10:C33,"&gt;0")+1,"")</f>
        <v/>
      </c>
      <c r="D34" s="56"/>
      <c r="E34" s="103" t="s">
        <v>1589</v>
      </c>
      <c r="F34" s="104" t="s">
        <v>1644</v>
      </c>
      <c r="G34" s="103" t="s">
        <v>1640</v>
      </c>
      <c r="H34" s="103" t="s">
        <v>1645</v>
      </c>
      <c r="I34" s="103" t="s">
        <v>1592</v>
      </c>
      <c r="J34" s="103" t="s">
        <v>68</v>
      </c>
      <c r="K34" s="103" t="s">
        <v>369</v>
      </c>
      <c r="L34" s="105">
        <v>23678</v>
      </c>
      <c r="M34" s="103">
        <v>60</v>
      </c>
      <c r="N34" s="103" t="s">
        <v>1646</v>
      </c>
      <c r="O34" s="105">
        <v>47308</v>
      </c>
      <c r="P34" s="103" t="s">
        <v>5</v>
      </c>
      <c r="Q34" s="103"/>
      <c r="R34" s="99">
        <v>45913</v>
      </c>
      <c r="S34" s="99">
        <v>45918</v>
      </c>
      <c r="T34" s="100">
        <f t="shared" si="0"/>
        <v>5</v>
      </c>
      <c r="U34" s="103">
        <v>1</v>
      </c>
      <c r="V34" s="103">
        <v>1</v>
      </c>
      <c r="W34" s="103">
        <v>0</v>
      </c>
      <c r="X34" s="103">
        <v>0</v>
      </c>
      <c r="Y34" s="103">
        <v>0</v>
      </c>
      <c r="Z34" s="103">
        <v>0</v>
      </c>
      <c r="AA34" s="103">
        <v>0</v>
      </c>
      <c r="AB34" s="103"/>
      <c r="AC34" s="105">
        <v>45913</v>
      </c>
      <c r="AD34" s="106">
        <v>0.85416666666424135</v>
      </c>
      <c r="AE34" s="103" t="s">
        <v>712</v>
      </c>
      <c r="AF34" s="105">
        <v>45918</v>
      </c>
      <c r="AG34" s="106">
        <v>0.53472222221898846</v>
      </c>
      <c r="AH34" s="103" t="s">
        <v>1599</v>
      </c>
      <c r="AI34" s="103" t="s">
        <v>1595</v>
      </c>
      <c r="AJ34" s="103" t="s">
        <v>64</v>
      </c>
      <c r="AK34" s="103" t="s">
        <v>64</v>
      </c>
      <c r="AL34" s="103" t="s">
        <v>1550</v>
      </c>
      <c r="AM34" s="103" t="s">
        <v>65</v>
      </c>
      <c r="AN34" s="102" t="s">
        <v>1600</v>
      </c>
      <c r="AO34" s="61"/>
    </row>
    <row r="35" spans="3:41" ht="14.25" customHeight="1">
      <c r="C35" s="55">
        <f>IF($X35=1,COUNTIF($C$10:C34,"&gt;0")+1,"")</f>
        <v>12</v>
      </c>
      <c r="D35" s="56">
        <v>41795506</v>
      </c>
      <c r="E35" s="103" t="s">
        <v>1647</v>
      </c>
      <c r="F35" s="104" t="s">
        <v>1648</v>
      </c>
      <c r="G35" s="103" t="s">
        <v>1648</v>
      </c>
      <c r="H35" s="103" t="s">
        <v>1649</v>
      </c>
      <c r="I35" s="103" t="s">
        <v>1650</v>
      </c>
      <c r="J35" s="103" t="s">
        <v>68</v>
      </c>
      <c r="K35" s="103" t="s">
        <v>59</v>
      </c>
      <c r="L35" s="105">
        <v>27769</v>
      </c>
      <c r="M35" s="103">
        <v>49</v>
      </c>
      <c r="N35" s="103" t="s">
        <v>1651</v>
      </c>
      <c r="O35" s="105">
        <v>46675</v>
      </c>
      <c r="P35" s="103" t="s">
        <v>4</v>
      </c>
      <c r="Q35" s="103"/>
      <c r="R35" s="99">
        <v>45913</v>
      </c>
      <c r="S35" s="99">
        <v>45918</v>
      </c>
      <c r="T35" s="100">
        <f t="shared" si="0"/>
        <v>5</v>
      </c>
      <c r="U35" s="103">
        <v>1</v>
      </c>
      <c r="V35" s="103">
        <v>1</v>
      </c>
      <c r="W35" s="103">
        <v>0</v>
      </c>
      <c r="X35" s="103">
        <v>1</v>
      </c>
      <c r="Y35" s="103">
        <v>0</v>
      </c>
      <c r="Z35" s="103">
        <v>1</v>
      </c>
      <c r="AA35" s="103">
        <v>0</v>
      </c>
      <c r="AB35" s="103"/>
      <c r="AC35" s="105">
        <v>45913</v>
      </c>
      <c r="AD35" s="106">
        <v>0.65625</v>
      </c>
      <c r="AE35" s="103" t="s">
        <v>1385</v>
      </c>
      <c r="AF35" s="105">
        <v>45918</v>
      </c>
      <c r="AG35" s="106">
        <v>0.42013888889050577</v>
      </c>
      <c r="AH35" s="103" t="s">
        <v>440</v>
      </c>
      <c r="AI35" s="103" t="s">
        <v>1652</v>
      </c>
      <c r="AJ35" s="103" t="s">
        <v>64</v>
      </c>
      <c r="AK35" s="103" t="s">
        <v>64</v>
      </c>
      <c r="AL35" s="103" t="s">
        <v>1550</v>
      </c>
      <c r="AM35" s="103" t="s">
        <v>65</v>
      </c>
      <c r="AN35" s="102" t="s">
        <v>64</v>
      </c>
      <c r="AO35" s="61"/>
    </row>
    <row r="36" spans="3:41" ht="14.25" customHeight="1">
      <c r="C36" s="55" t="str">
        <f>IF($X36=1,COUNTIF($C$10:C35,"&gt;0")+1,"")</f>
        <v/>
      </c>
      <c r="D36" s="56"/>
      <c r="E36" s="103" t="s">
        <v>1647</v>
      </c>
      <c r="F36" s="104" t="s">
        <v>1653</v>
      </c>
      <c r="G36" s="103" t="s">
        <v>1648</v>
      </c>
      <c r="H36" s="103" t="s">
        <v>1435</v>
      </c>
      <c r="I36" s="103" t="s">
        <v>1654</v>
      </c>
      <c r="J36" s="103" t="s">
        <v>68</v>
      </c>
      <c r="K36" s="103" t="s">
        <v>59</v>
      </c>
      <c r="L36" s="105">
        <v>30913</v>
      </c>
      <c r="M36" s="103">
        <v>41</v>
      </c>
      <c r="N36" s="103" t="s">
        <v>1655</v>
      </c>
      <c r="O36" s="105">
        <v>49395</v>
      </c>
      <c r="P36" s="103" t="s">
        <v>4</v>
      </c>
      <c r="Q36" s="103"/>
      <c r="R36" s="99">
        <v>45913</v>
      </c>
      <c r="S36" s="99">
        <v>45918</v>
      </c>
      <c r="T36" s="100">
        <f t="shared" si="0"/>
        <v>5</v>
      </c>
      <c r="U36" s="103">
        <v>1</v>
      </c>
      <c r="V36" s="103">
        <v>1</v>
      </c>
      <c r="W36" s="103">
        <v>0</v>
      </c>
      <c r="X36" s="103">
        <v>0</v>
      </c>
      <c r="Y36" s="103">
        <v>0</v>
      </c>
      <c r="Z36" s="103">
        <v>0</v>
      </c>
      <c r="AA36" s="103">
        <v>0</v>
      </c>
      <c r="AB36" s="103"/>
      <c r="AC36" s="105">
        <v>45913</v>
      </c>
      <c r="AD36" s="106">
        <v>0.65625</v>
      </c>
      <c r="AE36" s="103" t="s">
        <v>1385</v>
      </c>
      <c r="AF36" s="105">
        <v>45918</v>
      </c>
      <c r="AG36" s="106">
        <v>0.42013888889050577</v>
      </c>
      <c r="AH36" s="103" t="s">
        <v>440</v>
      </c>
      <c r="AI36" s="103" t="s">
        <v>1652</v>
      </c>
      <c r="AJ36" s="103" t="s">
        <v>64</v>
      </c>
      <c r="AK36" s="103" t="s">
        <v>64</v>
      </c>
      <c r="AL36" s="103" t="s">
        <v>1550</v>
      </c>
      <c r="AM36" s="103" t="s">
        <v>65</v>
      </c>
      <c r="AN36" s="102" t="s">
        <v>64</v>
      </c>
      <c r="AO36" s="61"/>
    </row>
    <row r="37" spans="3:41" ht="14.25" customHeight="1">
      <c r="C37" s="55">
        <f>IF($X37=1,COUNTIF($C$10:C36,"&gt;0")+1,"")</f>
        <v>13</v>
      </c>
      <c r="D37" s="56">
        <v>20421490</v>
      </c>
      <c r="E37" s="103" t="s">
        <v>1647</v>
      </c>
      <c r="F37" s="104" t="s">
        <v>1656</v>
      </c>
      <c r="G37" s="103" t="s">
        <v>1656</v>
      </c>
      <c r="H37" s="103" t="s">
        <v>1657</v>
      </c>
      <c r="I37" s="103" t="s">
        <v>1658</v>
      </c>
      <c r="J37" s="103" t="s">
        <v>58</v>
      </c>
      <c r="K37" s="103" t="s">
        <v>59</v>
      </c>
      <c r="L37" s="105">
        <v>37449</v>
      </c>
      <c r="M37" s="103">
        <v>23</v>
      </c>
      <c r="N37" s="103" t="s">
        <v>1659</v>
      </c>
      <c r="O37" s="105">
        <v>47855</v>
      </c>
      <c r="P37" s="103" t="s">
        <v>5</v>
      </c>
      <c r="Q37" s="103"/>
      <c r="R37" s="99">
        <v>45913</v>
      </c>
      <c r="S37" s="99">
        <v>45918</v>
      </c>
      <c r="T37" s="100">
        <f t="shared" si="0"/>
        <v>5</v>
      </c>
      <c r="U37" s="103">
        <v>1</v>
      </c>
      <c r="V37" s="103">
        <v>1</v>
      </c>
      <c r="W37" s="103">
        <v>0</v>
      </c>
      <c r="X37" s="103">
        <v>1</v>
      </c>
      <c r="Y37" s="103">
        <v>0</v>
      </c>
      <c r="Z37" s="103">
        <v>0</v>
      </c>
      <c r="AA37" s="103">
        <v>1</v>
      </c>
      <c r="AB37" s="103"/>
      <c r="AC37" s="105">
        <v>45913</v>
      </c>
      <c r="AD37" s="106">
        <v>0.65625</v>
      </c>
      <c r="AE37" s="103" t="s">
        <v>1385</v>
      </c>
      <c r="AF37" s="105">
        <v>45918</v>
      </c>
      <c r="AG37" s="106">
        <v>0.42013888889050577</v>
      </c>
      <c r="AH37" s="103" t="s">
        <v>440</v>
      </c>
      <c r="AI37" s="103" t="s">
        <v>1652</v>
      </c>
      <c r="AJ37" s="103" t="s">
        <v>64</v>
      </c>
      <c r="AK37" s="103" t="s">
        <v>64</v>
      </c>
      <c r="AL37" s="103" t="s">
        <v>1550</v>
      </c>
      <c r="AM37" s="103" t="s">
        <v>65</v>
      </c>
      <c r="AN37" s="102" t="s">
        <v>64</v>
      </c>
      <c r="AO37" s="61"/>
    </row>
    <row r="38" spans="3:41" ht="14.25" customHeight="1">
      <c r="C38" s="55" t="str">
        <f>IF($X38=1,COUNTIF($C$10:C37,"&gt;0")+1,"")</f>
        <v/>
      </c>
      <c r="D38" s="56"/>
      <c r="E38" s="103" t="s">
        <v>1647</v>
      </c>
      <c r="F38" s="104" t="s">
        <v>1660</v>
      </c>
      <c r="G38" s="103" t="s">
        <v>1656</v>
      </c>
      <c r="H38" s="103" t="s">
        <v>1661</v>
      </c>
      <c r="I38" s="103" t="s">
        <v>1662</v>
      </c>
      <c r="J38" s="103" t="s">
        <v>68</v>
      </c>
      <c r="K38" s="103" t="s">
        <v>59</v>
      </c>
      <c r="L38" s="105">
        <v>37440</v>
      </c>
      <c r="M38" s="103">
        <v>23</v>
      </c>
      <c r="N38" s="103" t="s">
        <v>1663</v>
      </c>
      <c r="O38" s="105">
        <v>48687</v>
      </c>
      <c r="P38" s="103" t="s">
        <v>5</v>
      </c>
      <c r="Q38" s="103"/>
      <c r="R38" s="99">
        <v>45913</v>
      </c>
      <c r="S38" s="99">
        <v>45918</v>
      </c>
      <c r="T38" s="100">
        <f t="shared" si="0"/>
        <v>5</v>
      </c>
      <c r="U38" s="103">
        <v>1</v>
      </c>
      <c r="V38" s="103">
        <v>1</v>
      </c>
      <c r="W38" s="103">
        <v>0</v>
      </c>
      <c r="X38" s="103">
        <v>0</v>
      </c>
      <c r="Y38" s="103">
        <v>0</v>
      </c>
      <c r="Z38" s="103">
        <v>0</v>
      </c>
      <c r="AA38" s="103">
        <v>0</v>
      </c>
      <c r="AB38" s="103"/>
      <c r="AC38" s="105">
        <v>45913</v>
      </c>
      <c r="AD38" s="106">
        <v>0.65625</v>
      </c>
      <c r="AE38" s="103" t="s">
        <v>1385</v>
      </c>
      <c r="AF38" s="105">
        <v>45918</v>
      </c>
      <c r="AG38" s="106">
        <v>0.42013888889050577</v>
      </c>
      <c r="AH38" s="103" t="s">
        <v>440</v>
      </c>
      <c r="AI38" s="103" t="s">
        <v>1652</v>
      </c>
      <c r="AJ38" s="103" t="s">
        <v>64</v>
      </c>
      <c r="AK38" s="103" t="s">
        <v>64</v>
      </c>
      <c r="AL38" s="103" t="s">
        <v>1550</v>
      </c>
      <c r="AM38" s="103" t="s">
        <v>65</v>
      </c>
      <c r="AN38" s="102" t="s">
        <v>64</v>
      </c>
      <c r="AO38" s="61"/>
    </row>
    <row r="39" spans="3:41" ht="14.25" customHeight="1">
      <c r="C39" s="55">
        <f>IF($X39=1,COUNTIF($C$10:C38,"&gt;0")+1,"")</f>
        <v>14</v>
      </c>
      <c r="D39" s="56">
        <v>67659986</v>
      </c>
      <c r="E39" s="103" t="s">
        <v>1647</v>
      </c>
      <c r="F39" s="104" t="s">
        <v>1664</v>
      </c>
      <c r="G39" s="103" t="s">
        <v>1664</v>
      </c>
      <c r="H39" s="103" t="s">
        <v>1665</v>
      </c>
      <c r="I39" s="103" t="s">
        <v>1666</v>
      </c>
      <c r="J39" s="103" t="s">
        <v>68</v>
      </c>
      <c r="K39" s="103" t="s">
        <v>59</v>
      </c>
      <c r="L39" s="105">
        <v>29134</v>
      </c>
      <c r="M39" s="103">
        <v>45</v>
      </c>
      <c r="N39" s="103" t="s">
        <v>1667</v>
      </c>
      <c r="O39" s="105">
        <v>47851</v>
      </c>
      <c r="P39" s="103" t="s">
        <v>4</v>
      </c>
      <c r="Q39" s="103"/>
      <c r="R39" s="99">
        <v>45913</v>
      </c>
      <c r="S39" s="99">
        <v>45918</v>
      </c>
      <c r="T39" s="100">
        <f t="shared" si="0"/>
        <v>5</v>
      </c>
      <c r="U39" s="103">
        <v>1</v>
      </c>
      <c r="V39" s="103">
        <v>1</v>
      </c>
      <c r="W39" s="103">
        <v>0</v>
      </c>
      <c r="X39" s="103">
        <v>1</v>
      </c>
      <c r="Y39" s="103">
        <v>0</v>
      </c>
      <c r="Z39" s="103">
        <v>1</v>
      </c>
      <c r="AA39" s="103">
        <v>0</v>
      </c>
      <c r="AB39" s="103"/>
      <c r="AC39" s="105">
        <v>45913</v>
      </c>
      <c r="AD39" s="106">
        <v>0.65625</v>
      </c>
      <c r="AE39" s="103" t="s">
        <v>1385</v>
      </c>
      <c r="AF39" s="105">
        <v>45918</v>
      </c>
      <c r="AG39" s="106">
        <v>0.42013888889050577</v>
      </c>
      <c r="AH39" s="103" t="s">
        <v>440</v>
      </c>
      <c r="AI39" s="103" t="s">
        <v>1652</v>
      </c>
      <c r="AJ39" s="103" t="s">
        <v>598</v>
      </c>
      <c r="AK39" s="103" t="s">
        <v>1611</v>
      </c>
      <c r="AL39" s="103" t="s">
        <v>1550</v>
      </c>
      <c r="AM39" s="103" t="s">
        <v>65</v>
      </c>
      <c r="AN39" s="102" t="s">
        <v>64</v>
      </c>
      <c r="AO39" s="61"/>
    </row>
    <row r="40" spans="3:41" ht="14.25" customHeight="1">
      <c r="C40" s="55" t="str">
        <f>IF($X40=1,COUNTIF($C$10:C39,"&gt;0")+1,"")</f>
        <v/>
      </c>
      <c r="D40" s="56"/>
      <c r="E40" s="103" t="s">
        <v>1647</v>
      </c>
      <c r="F40" s="104" t="s">
        <v>1668</v>
      </c>
      <c r="G40" s="103" t="s">
        <v>1664</v>
      </c>
      <c r="H40" s="103" t="s">
        <v>1669</v>
      </c>
      <c r="I40" s="103" t="s">
        <v>1658</v>
      </c>
      <c r="J40" s="103" t="s">
        <v>58</v>
      </c>
      <c r="K40" s="103" t="s">
        <v>59</v>
      </c>
      <c r="L40" s="105">
        <v>27344</v>
      </c>
      <c r="M40" s="103">
        <v>50</v>
      </c>
      <c r="N40" s="103" t="s">
        <v>1670</v>
      </c>
      <c r="O40" s="105">
        <v>47851</v>
      </c>
      <c r="P40" s="103" t="s">
        <v>4</v>
      </c>
      <c r="Q40" s="103"/>
      <c r="R40" s="99">
        <v>45913</v>
      </c>
      <c r="S40" s="99">
        <v>45918</v>
      </c>
      <c r="T40" s="100">
        <f t="shared" si="0"/>
        <v>5</v>
      </c>
      <c r="U40" s="103">
        <v>1</v>
      </c>
      <c r="V40" s="103">
        <v>1</v>
      </c>
      <c r="W40" s="103">
        <v>0</v>
      </c>
      <c r="X40" s="103">
        <v>0</v>
      </c>
      <c r="Y40" s="103">
        <v>0</v>
      </c>
      <c r="Z40" s="103">
        <v>0</v>
      </c>
      <c r="AA40" s="103">
        <v>0</v>
      </c>
      <c r="AB40" s="103"/>
      <c r="AC40" s="105">
        <v>45913</v>
      </c>
      <c r="AD40" s="106">
        <v>0.65625</v>
      </c>
      <c r="AE40" s="103" t="s">
        <v>1385</v>
      </c>
      <c r="AF40" s="105">
        <v>45918</v>
      </c>
      <c r="AG40" s="106">
        <v>0.42013888889050577</v>
      </c>
      <c r="AH40" s="103" t="s">
        <v>440</v>
      </c>
      <c r="AI40" s="103" t="s">
        <v>1652</v>
      </c>
      <c r="AJ40" s="103" t="s">
        <v>64</v>
      </c>
      <c r="AK40" s="103" t="s">
        <v>64</v>
      </c>
      <c r="AL40" s="103" t="s">
        <v>1550</v>
      </c>
      <c r="AM40" s="103" t="s">
        <v>65</v>
      </c>
      <c r="AN40" s="102" t="s">
        <v>64</v>
      </c>
      <c r="AO40" s="61"/>
    </row>
    <row r="41" spans="3:41" ht="14.25" customHeight="1">
      <c r="C41" s="55">
        <f>IF($X41=1,COUNTIF($C$10:C40,"&gt;0")+1,"")</f>
        <v>15</v>
      </c>
      <c r="D41" s="56">
        <v>84362325</v>
      </c>
      <c r="E41" s="103" t="s">
        <v>1647</v>
      </c>
      <c r="F41" s="65" t="s">
        <v>1671</v>
      </c>
      <c r="G41" s="62" t="s">
        <v>1671</v>
      </c>
      <c r="H41" s="62" t="s">
        <v>1672</v>
      </c>
      <c r="I41" s="62" t="s">
        <v>1673</v>
      </c>
      <c r="J41" s="62" t="s">
        <v>58</v>
      </c>
      <c r="K41" s="62" t="s">
        <v>59</v>
      </c>
      <c r="L41" s="63">
        <v>34368</v>
      </c>
      <c r="M41" s="62">
        <v>31</v>
      </c>
      <c r="N41" s="62" t="s">
        <v>1674</v>
      </c>
      <c r="O41" s="63">
        <v>46168</v>
      </c>
      <c r="P41" s="62" t="s">
        <v>4</v>
      </c>
      <c r="Q41" s="62"/>
      <c r="R41" s="107">
        <v>45913</v>
      </c>
      <c r="S41" s="108">
        <v>45918</v>
      </c>
      <c r="T41" s="109">
        <f t="shared" si="0"/>
        <v>5</v>
      </c>
      <c r="U41" s="62">
        <v>1</v>
      </c>
      <c r="V41" s="62">
        <v>1</v>
      </c>
      <c r="W41" s="62">
        <v>0</v>
      </c>
      <c r="X41" s="62">
        <v>1</v>
      </c>
      <c r="Y41" s="62">
        <v>0</v>
      </c>
      <c r="Z41" s="62">
        <v>1</v>
      </c>
      <c r="AA41" s="62">
        <v>0</v>
      </c>
      <c r="AB41" s="62"/>
      <c r="AC41" s="63">
        <v>45913</v>
      </c>
      <c r="AD41" s="68">
        <v>0.65625</v>
      </c>
      <c r="AE41" s="62" t="s">
        <v>1385</v>
      </c>
      <c r="AF41" s="63">
        <v>45918</v>
      </c>
      <c r="AG41" s="68">
        <v>0.42013888889050577</v>
      </c>
      <c r="AH41" s="62" t="s">
        <v>440</v>
      </c>
      <c r="AI41" s="110" t="s">
        <v>1652</v>
      </c>
      <c r="AJ41" s="110"/>
      <c r="AK41" s="110"/>
      <c r="AL41" s="110" t="s">
        <v>1550</v>
      </c>
      <c r="AM41" s="110" t="s">
        <v>65</v>
      </c>
      <c r="AN41" s="102" t="s">
        <v>64</v>
      </c>
      <c r="AO41" s="64" t="s">
        <v>1675</v>
      </c>
    </row>
    <row r="42" spans="3:41" ht="14.25" customHeight="1">
      <c r="C42" s="55" t="str">
        <f>IF($X42=1,COUNTIF($C$10:C41,"&gt;0")+1,"")</f>
        <v/>
      </c>
      <c r="D42" s="56"/>
      <c r="E42" s="103" t="s">
        <v>1647</v>
      </c>
      <c r="F42" s="65" t="s">
        <v>1676</v>
      </c>
      <c r="G42" s="62" t="s">
        <v>1671</v>
      </c>
      <c r="H42" s="62" t="s">
        <v>1677</v>
      </c>
      <c r="I42" s="62" t="s">
        <v>1673</v>
      </c>
      <c r="J42" s="62" t="s">
        <v>68</v>
      </c>
      <c r="K42" s="62" t="s">
        <v>59</v>
      </c>
      <c r="L42" s="63">
        <v>34522</v>
      </c>
      <c r="M42" s="62">
        <v>31</v>
      </c>
      <c r="N42" s="62" t="s">
        <v>1678</v>
      </c>
      <c r="O42" s="63">
        <v>46082</v>
      </c>
      <c r="P42" s="62" t="s">
        <v>4</v>
      </c>
      <c r="Q42" s="62"/>
      <c r="R42" s="107">
        <v>45913</v>
      </c>
      <c r="S42" s="108">
        <v>45918</v>
      </c>
      <c r="T42" s="109">
        <f t="shared" si="0"/>
        <v>5</v>
      </c>
      <c r="U42" s="62">
        <v>1</v>
      </c>
      <c r="V42" s="62">
        <v>1</v>
      </c>
      <c r="W42" s="62">
        <v>0</v>
      </c>
      <c r="X42" s="62">
        <v>0</v>
      </c>
      <c r="Y42" s="62">
        <v>0</v>
      </c>
      <c r="Z42" s="62">
        <v>0</v>
      </c>
      <c r="AA42" s="62">
        <v>0</v>
      </c>
      <c r="AB42" s="62"/>
      <c r="AC42" s="63">
        <v>45913</v>
      </c>
      <c r="AD42" s="68">
        <v>0.65625</v>
      </c>
      <c r="AE42" s="62" t="s">
        <v>1385</v>
      </c>
      <c r="AF42" s="63">
        <v>45918</v>
      </c>
      <c r="AG42" s="68">
        <v>0.42013888889050577</v>
      </c>
      <c r="AH42" s="62" t="s">
        <v>440</v>
      </c>
      <c r="AI42" s="110" t="s">
        <v>1652</v>
      </c>
      <c r="AJ42" s="110"/>
      <c r="AK42" s="110"/>
      <c r="AL42" s="110" t="s">
        <v>1550</v>
      </c>
      <c r="AM42" s="110" t="s">
        <v>65</v>
      </c>
      <c r="AN42" s="102" t="s">
        <v>64</v>
      </c>
      <c r="AO42" s="64" t="s">
        <v>1675</v>
      </c>
    </row>
    <row r="43" spans="3:41" ht="14.25" customHeight="1">
      <c r="C43" s="55">
        <f>IF($X43=1,COUNTIF($C$10:C42,"&gt;0")+1,"")</f>
        <v>16</v>
      </c>
      <c r="D43" s="56">
        <v>41352710</v>
      </c>
      <c r="E43" s="103" t="s">
        <v>1679</v>
      </c>
      <c r="F43" s="104" t="s">
        <v>1680</v>
      </c>
      <c r="G43" s="103" t="s">
        <v>1680</v>
      </c>
      <c r="H43" s="103" t="s">
        <v>1681</v>
      </c>
      <c r="I43" s="103" t="s">
        <v>1682</v>
      </c>
      <c r="J43" s="103" t="s">
        <v>68</v>
      </c>
      <c r="K43" s="103" t="s">
        <v>59</v>
      </c>
      <c r="L43" s="105">
        <v>25400</v>
      </c>
      <c r="M43" s="103">
        <v>56</v>
      </c>
      <c r="N43" s="103" t="s">
        <v>1683</v>
      </c>
      <c r="O43" s="105">
        <v>49428</v>
      </c>
      <c r="P43" s="103" t="s">
        <v>5</v>
      </c>
      <c r="Q43" s="103"/>
      <c r="R43" s="99">
        <v>45913</v>
      </c>
      <c r="S43" s="99">
        <v>45918</v>
      </c>
      <c r="T43" s="100">
        <f t="shared" si="0"/>
        <v>5</v>
      </c>
      <c r="U43" s="103">
        <v>1</v>
      </c>
      <c r="V43" s="103">
        <v>1</v>
      </c>
      <c r="W43" s="103">
        <v>0</v>
      </c>
      <c r="X43" s="103">
        <v>1</v>
      </c>
      <c r="Y43" s="103">
        <v>0</v>
      </c>
      <c r="Z43" s="103">
        <v>0</v>
      </c>
      <c r="AA43" s="103">
        <v>1</v>
      </c>
      <c r="AB43" s="103"/>
      <c r="AC43" s="105">
        <v>45913</v>
      </c>
      <c r="AD43" s="106">
        <v>0.72916666666424135</v>
      </c>
      <c r="AE43" s="103" t="s">
        <v>575</v>
      </c>
      <c r="AF43" s="105">
        <v>45918</v>
      </c>
      <c r="AG43" s="106">
        <v>0.79513888889050577</v>
      </c>
      <c r="AH43" s="103" t="s">
        <v>359</v>
      </c>
      <c r="AI43" s="103" t="s">
        <v>1684</v>
      </c>
      <c r="AJ43" s="103" t="s">
        <v>64</v>
      </c>
      <c r="AK43" s="103" t="s">
        <v>64</v>
      </c>
      <c r="AL43" s="103" t="s">
        <v>1550</v>
      </c>
      <c r="AM43" s="103" t="s">
        <v>65</v>
      </c>
      <c r="AN43" s="102" t="s">
        <v>64</v>
      </c>
      <c r="AO43" s="61"/>
    </row>
    <row r="44" spans="3:41" ht="14.25" customHeight="1">
      <c r="C44" s="55" t="str">
        <f>IF($X44=1,COUNTIF($C$10:C43,"&gt;0")+1,"")</f>
        <v/>
      </c>
      <c r="D44" s="56"/>
      <c r="E44" s="103" t="s">
        <v>1679</v>
      </c>
      <c r="F44" s="104" t="s">
        <v>1685</v>
      </c>
      <c r="G44" s="103" t="s">
        <v>1680</v>
      </c>
      <c r="H44" s="103" t="s">
        <v>1686</v>
      </c>
      <c r="I44" s="103" t="s">
        <v>1362</v>
      </c>
      <c r="J44" s="103" t="s">
        <v>58</v>
      </c>
      <c r="K44" s="103" t="s">
        <v>59</v>
      </c>
      <c r="L44" s="105">
        <v>37311</v>
      </c>
      <c r="M44" s="103">
        <v>23</v>
      </c>
      <c r="N44" s="103" t="s">
        <v>1687</v>
      </c>
      <c r="O44" s="105">
        <v>47177</v>
      </c>
      <c r="P44" s="103" t="s">
        <v>5</v>
      </c>
      <c r="Q44" s="103"/>
      <c r="R44" s="99">
        <v>45913</v>
      </c>
      <c r="S44" s="99">
        <v>45918</v>
      </c>
      <c r="T44" s="100">
        <f t="shared" si="0"/>
        <v>5</v>
      </c>
      <c r="U44" s="103">
        <v>1</v>
      </c>
      <c r="V44" s="103">
        <v>1</v>
      </c>
      <c r="W44" s="103">
        <v>0</v>
      </c>
      <c r="X44" s="103">
        <v>0</v>
      </c>
      <c r="Y44" s="103">
        <v>0</v>
      </c>
      <c r="Z44" s="103">
        <v>0</v>
      </c>
      <c r="AA44" s="103">
        <v>0</v>
      </c>
      <c r="AB44" s="103"/>
      <c r="AC44" s="105">
        <v>45913</v>
      </c>
      <c r="AD44" s="106">
        <v>0.72916666666424135</v>
      </c>
      <c r="AE44" s="103" t="s">
        <v>575</v>
      </c>
      <c r="AF44" s="105">
        <v>45918</v>
      </c>
      <c r="AG44" s="106">
        <v>0.79513888889050577</v>
      </c>
      <c r="AH44" s="103" t="s">
        <v>359</v>
      </c>
      <c r="AI44" s="103" t="s">
        <v>1684</v>
      </c>
      <c r="AJ44" s="103" t="s">
        <v>64</v>
      </c>
      <c r="AK44" s="103" t="s">
        <v>64</v>
      </c>
      <c r="AL44" s="103" t="s">
        <v>1550</v>
      </c>
      <c r="AM44" s="103" t="s">
        <v>65</v>
      </c>
      <c r="AN44" s="102" t="s">
        <v>64</v>
      </c>
      <c r="AO44" s="61"/>
    </row>
    <row r="45" spans="3:41" ht="14.25" customHeight="1">
      <c r="C45" s="55">
        <f>IF($X45=1,COUNTIF($C$10:C44,"&gt;0")+1,"")</f>
        <v>17</v>
      </c>
      <c r="D45" s="56">
        <v>24713491</v>
      </c>
      <c r="E45" s="103" t="s">
        <v>1679</v>
      </c>
      <c r="F45" s="104" t="s">
        <v>1688</v>
      </c>
      <c r="G45" s="103" t="s">
        <v>1688</v>
      </c>
      <c r="H45" s="103" t="s">
        <v>1689</v>
      </c>
      <c r="I45" s="103" t="s">
        <v>1690</v>
      </c>
      <c r="J45" s="103" t="s">
        <v>68</v>
      </c>
      <c r="K45" s="103" t="s">
        <v>59</v>
      </c>
      <c r="L45" s="105">
        <v>25515</v>
      </c>
      <c r="M45" s="103">
        <v>55</v>
      </c>
      <c r="N45" s="103" t="s">
        <v>1691</v>
      </c>
      <c r="O45" s="105">
        <v>48587</v>
      </c>
      <c r="P45" s="103" t="s">
        <v>3</v>
      </c>
      <c r="Q45" s="103"/>
      <c r="R45" s="99">
        <v>45913</v>
      </c>
      <c r="S45" s="99">
        <v>45918</v>
      </c>
      <c r="T45" s="100">
        <f t="shared" si="0"/>
        <v>5</v>
      </c>
      <c r="U45" s="103">
        <v>1</v>
      </c>
      <c r="V45" s="103">
        <v>1</v>
      </c>
      <c r="W45" s="103">
        <v>0</v>
      </c>
      <c r="X45" s="103">
        <v>1</v>
      </c>
      <c r="Y45" s="103">
        <v>1</v>
      </c>
      <c r="Z45" s="103">
        <v>0</v>
      </c>
      <c r="AA45" s="103">
        <v>0</v>
      </c>
      <c r="AB45" s="103"/>
      <c r="AC45" s="105">
        <v>45913</v>
      </c>
      <c r="AD45" s="106">
        <v>0.64583333333575865</v>
      </c>
      <c r="AE45" s="103" t="s">
        <v>312</v>
      </c>
      <c r="AF45" s="105">
        <v>45918</v>
      </c>
      <c r="AG45" s="106">
        <v>0.72569444444525288</v>
      </c>
      <c r="AH45" s="103" t="s">
        <v>313</v>
      </c>
      <c r="AI45" s="103" t="s">
        <v>1684</v>
      </c>
      <c r="AJ45" s="103" t="s">
        <v>64</v>
      </c>
      <c r="AK45" s="103" t="s">
        <v>64</v>
      </c>
      <c r="AL45" s="103" t="s">
        <v>1550</v>
      </c>
      <c r="AM45" s="103" t="s">
        <v>65</v>
      </c>
      <c r="AN45" s="102" t="s">
        <v>64</v>
      </c>
      <c r="AO45" s="61"/>
    </row>
    <row r="46" spans="3:41" ht="14.25" customHeight="1">
      <c r="C46" s="55">
        <f>IF($X46=1,COUNTIF($C$10:C45,"&gt;0")+1,"")</f>
        <v>18</v>
      </c>
      <c r="D46" s="56">
        <v>40635402</v>
      </c>
      <c r="E46" s="103" t="s">
        <v>1679</v>
      </c>
      <c r="F46" s="104" t="s">
        <v>1692</v>
      </c>
      <c r="G46" s="103" t="s">
        <v>1688</v>
      </c>
      <c r="H46" s="103" t="s">
        <v>1693</v>
      </c>
      <c r="I46" s="103" t="s">
        <v>1694</v>
      </c>
      <c r="J46" s="103" t="s">
        <v>68</v>
      </c>
      <c r="K46" s="103" t="s">
        <v>59</v>
      </c>
      <c r="L46" s="105">
        <v>29075</v>
      </c>
      <c r="M46" s="103">
        <v>46</v>
      </c>
      <c r="N46" s="103" t="s">
        <v>1695</v>
      </c>
      <c r="O46" s="105">
        <v>46139</v>
      </c>
      <c r="P46" s="103" t="s">
        <v>5</v>
      </c>
      <c r="Q46" s="103"/>
      <c r="R46" s="99">
        <v>45913</v>
      </c>
      <c r="S46" s="99">
        <v>45918</v>
      </c>
      <c r="T46" s="100">
        <f t="shared" si="0"/>
        <v>5</v>
      </c>
      <c r="U46" s="103">
        <v>1</v>
      </c>
      <c r="V46" s="103">
        <v>1</v>
      </c>
      <c r="W46" s="103">
        <v>0</v>
      </c>
      <c r="X46" s="103">
        <v>1</v>
      </c>
      <c r="Y46" s="103">
        <v>0</v>
      </c>
      <c r="Z46" s="103">
        <v>0</v>
      </c>
      <c r="AA46" s="103">
        <v>1</v>
      </c>
      <c r="AB46" s="103"/>
      <c r="AC46" s="105">
        <v>45913</v>
      </c>
      <c r="AD46" s="106">
        <v>0.67013888889050577</v>
      </c>
      <c r="AE46" s="103" t="s">
        <v>234</v>
      </c>
      <c r="AF46" s="105">
        <v>45918</v>
      </c>
      <c r="AG46" s="106">
        <v>0.73958333333575865</v>
      </c>
      <c r="AH46" s="103" t="s">
        <v>1117</v>
      </c>
      <c r="AI46" s="103" t="s">
        <v>1684</v>
      </c>
      <c r="AJ46" s="103" t="s">
        <v>64</v>
      </c>
      <c r="AK46" s="103" t="s">
        <v>64</v>
      </c>
      <c r="AL46" s="103" t="s">
        <v>1550</v>
      </c>
      <c r="AM46" s="103" t="s">
        <v>65</v>
      </c>
      <c r="AN46" s="102" t="s">
        <v>64</v>
      </c>
      <c r="AO46" s="61"/>
    </row>
    <row r="47" spans="3:41" ht="14.25" customHeight="1">
      <c r="C47" s="55" t="str">
        <f>IF($X47=1,COUNTIF($C$10:C46,"&gt;0")+1,"")</f>
        <v/>
      </c>
      <c r="D47" s="56" t="s">
        <v>1696</v>
      </c>
      <c r="E47" s="103" t="s">
        <v>1679</v>
      </c>
      <c r="F47" s="104" t="s">
        <v>1697</v>
      </c>
      <c r="G47" s="103" t="s">
        <v>1688</v>
      </c>
      <c r="H47" s="103" t="s">
        <v>1698</v>
      </c>
      <c r="I47" s="103" t="s">
        <v>1694</v>
      </c>
      <c r="J47" s="103" t="s">
        <v>68</v>
      </c>
      <c r="K47" s="103" t="s">
        <v>59</v>
      </c>
      <c r="L47" s="105">
        <v>37595</v>
      </c>
      <c r="M47" s="103">
        <v>22</v>
      </c>
      <c r="N47" s="103" t="s">
        <v>1699</v>
      </c>
      <c r="O47" s="105">
        <v>48995</v>
      </c>
      <c r="P47" s="103" t="s">
        <v>5</v>
      </c>
      <c r="Q47" s="103"/>
      <c r="R47" s="99">
        <v>45913</v>
      </c>
      <c r="S47" s="99">
        <v>45918</v>
      </c>
      <c r="T47" s="100">
        <f t="shared" si="0"/>
        <v>5</v>
      </c>
      <c r="U47" s="103">
        <v>1</v>
      </c>
      <c r="V47" s="103">
        <v>1</v>
      </c>
      <c r="W47" s="103">
        <v>0</v>
      </c>
      <c r="X47" s="103">
        <v>0</v>
      </c>
      <c r="Y47" s="103">
        <v>0</v>
      </c>
      <c r="Z47" s="103">
        <v>0</v>
      </c>
      <c r="AA47" s="103">
        <v>0</v>
      </c>
      <c r="AB47" s="103"/>
      <c r="AC47" s="105">
        <v>45913</v>
      </c>
      <c r="AD47" s="106">
        <v>0.67013888889050577</v>
      </c>
      <c r="AE47" s="103" t="s">
        <v>234</v>
      </c>
      <c r="AF47" s="105">
        <v>45918</v>
      </c>
      <c r="AG47" s="106">
        <v>0.73958333333575865</v>
      </c>
      <c r="AH47" s="103" t="s">
        <v>1117</v>
      </c>
      <c r="AI47" s="103" t="s">
        <v>1684</v>
      </c>
      <c r="AJ47" s="103" t="s">
        <v>64</v>
      </c>
      <c r="AK47" s="103" t="s">
        <v>64</v>
      </c>
      <c r="AL47" s="103" t="s">
        <v>1550</v>
      </c>
      <c r="AM47" s="103" t="s">
        <v>65</v>
      </c>
      <c r="AN47" s="102" t="s">
        <v>64</v>
      </c>
      <c r="AO47" s="61"/>
    </row>
    <row r="48" spans="3:41" ht="14.25" customHeight="1">
      <c r="C48" s="55">
        <f>IF($X48=1,COUNTIF($C$10:C47,"&gt;0")+1,"")</f>
        <v>19</v>
      </c>
      <c r="D48" s="56">
        <v>28009534</v>
      </c>
      <c r="E48" s="103" t="s">
        <v>1679</v>
      </c>
      <c r="F48" s="104" t="s">
        <v>1700</v>
      </c>
      <c r="G48" s="103" t="s">
        <v>1700</v>
      </c>
      <c r="H48" s="103" t="s">
        <v>1701</v>
      </c>
      <c r="I48" s="103" t="s">
        <v>1702</v>
      </c>
      <c r="J48" s="103" t="s">
        <v>58</v>
      </c>
      <c r="K48" s="103" t="s">
        <v>1703</v>
      </c>
      <c r="L48" s="105">
        <v>25453</v>
      </c>
      <c r="M48" s="103">
        <v>56</v>
      </c>
      <c r="N48" s="103" t="s">
        <v>1704</v>
      </c>
      <c r="O48" s="105">
        <v>49021</v>
      </c>
      <c r="P48" s="103" t="s">
        <v>5</v>
      </c>
      <c r="Q48" s="103"/>
      <c r="R48" s="99">
        <v>45913</v>
      </c>
      <c r="S48" s="99">
        <v>45918</v>
      </c>
      <c r="T48" s="100">
        <f t="shared" si="0"/>
        <v>5</v>
      </c>
      <c r="U48" s="103">
        <v>1</v>
      </c>
      <c r="V48" s="103">
        <v>1</v>
      </c>
      <c r="W48" s="103">
        <v>0</v>
      </c>
      <c r="X48" s="103">
        <v>1</v>
      </c>
      <c r="Y48" s="103">
        <v>0</v>
      </c>
      <c r="Z48" s="103">
        <v>0</v>
      </c>
      <c r="AA48" s="103">
        <v>1</v>
      </c>
      <c r="AB48" s="103"/>
      <c r="AC48" s="105">
        <v>45913</v>
      </c>
      <c r="AD48" s="106">
        <v>0.63888888889050577</v>
      </c>
      <c r="AE48" s="103" t="s">
        <v>84</v>
      </c>
      <c r="AF48" s="105">
        <v>45918</v>
      </c>
      <c r="AG48" s="106">
        <v>0.77777777778101154</v>
      </c>
      <c r="AH48" s="103" t="s">
        <v>330</v>
      </c>
      <c r="AI48" s="103" t="s">
        <v>1684</v>
      </c>
      <c r="AJ48" s="103" t="s">
        <v>64</v>
      </c>
      <c r="AK48" s="103" t="s">
        <v>64</v>
      </c>
      <c r="AL48" s="103" t="s">
        <v>1550</v>
      </c>
      <c r="AM48" s="103" t="s">
        <v>65</v>
      </c>
      <c r="AN48" s="102" t="s">
        <v>64</v>
      </c>
      <c r="AO48" s="61"/>
    </row>
    <row r="49" spans="3:41" ht="14.25" customHeight="1">
      <c r="C49" s="55" t="str">
        <f>IF($X49=1,COUNTIF($C$10:C48,"&gt;0")+1,"")</f>
        <v/>
      </c>
      <c r="D49" s="56"/>
      <c r="E49" s="103" t="s">
        <v>1679</v>
      </c>
      <c r="F49" s="104" t="s">
        <v>1705</v>
      </c>
      <c r="G49" s="103" t="s">
        <v>1700</v>
      </c>
      <c r="H49" s="103" t="s">
        <v>1706</v>
      </c>
      <c r="I49" s="103" t="s">
        <v>1707</v>
      </c>
      <c r="J49" s="103" t="s">
        <v>58</v>
      </c>
      <c r="K49" s="103" t="s">
        <v>59</v>
      </c>
      <c r="L49" s="105">
        <v>26221</v>
      </c>
      <c r="M49" s="103">
        <v>53</v>
      </c>
      <c r="N49" s="103" t="s">
        <v>1708</v>
      </c>
      <c r="O49" s="105">
        <v>47422</v>
      </c>
      <c r="P49" s="103" t="s">
        <v>5</v>
      </c>
      <c r="Q49" s="103"/>
      <c r="R49" s="99">
        <v>45913</v>
      </c>
      <c r="S49" s="99">
        <v>45918</v>
      </c>
      <c r="T49" s="100">
        <f t="shared" si="0"/>
        <v>5</v>
      </c>
      <c r="U49" s="103">
        <v>1</v>
      </c>
      <c r="V49" s="103">
        <v>1</v>
      </c>
      <c r="W49" s="103">
        <v>0</v>
      </c>
      <c r="X49" s="103">
        <v>0</v>
      </c>
      <c r="Y49" s="103">
        <v>0</v>
      </c>
      <c r="Z49" s="103">
        <v>0</v>
      </c>
      <c r="AA49" s="103">
        <v>0</v>
      </c>
      <c r="AB49" s="103"/>
      <c r="AC49" s="105">
        <v>45913</v>
      </c>
      <c r="AD49" s="106">
        <v>0.63888888889050577</v>
      </c>
      <c r="AE49" s="103" t="s">
        <v>84</v>
      </c>
      <c r="AF49" s="105">
        <v>45918</v>
      </c>
      <c r="AG49" s="106">
        <v>0.77777777778101154</v>
      </c>
      <c r="AH49" s="103" t="s">
        <v>330</v>
      </c>
      <c r="AI49" s="103" t="s">
        <v>1684</v>
      </c>
      <c r="AJ49" s="103" t="s">
        <v>64</v>
      </c>
      <c r="AK49" s="103" t="s">
        <v>64</v>
      </c>
      <c r="AL49" s="103" t="s">
        <v>1550</v>
      </c>
      <c r="AM49" s="103" t="s">
        <v>65</v>
      </c>
      <c r="AN49" s="102" t="s">
        <v>64</v>
      </c>
      <c r="AO49" s="61"/>
    </row>
    <row r="50" spans="3:41" ht="14.25" customHeight="1">
      <c r="C50" s="55">
        <f>IF($X50=1,COUNTIF($C$10:C49,"&gt;0")+1,"")</f>
        <v>20</v>
      </c>
      <c r="D50" s="56">
        <v>86777424</v>
      </c>
      <c r="E50" s="103" t="s">
        <v>1679</v>
      </c>
      <c r="F50" s="104" t="s">
        <v>1709</v>
      </c>
      <c r="G50" s="103" t="s">
        <v>1709</v>
      </c>
      <c r="H50" s="103" t="s">
        <v>1710</v>
      </c>
      <c r="I50" s="103" t="s">
        <v>1711</v>
      </c>
      <c r="J50" s="103" t="s">
        <v>68</v>
      </c>
      <c r="K50" s="103" t="s">
        <v>59</v>
      </c>
      <c r="L50" s="105">
        <v>27284</v>
      </c>
      <c r="M50" s="103">
        <v>51</v>
      </c>
      <c r="N50" s="103" t="s">
        <v>1712</v>
      </c>
      <c r="O50" s="105">
        <v>47331</v>
      </c>
      <c r="P50" s="103" t="s">
        <v>4</v>
      </c>
      <c r="Q50" s="103"/>
      <c r="R50" s="99">
        <v>45913</v>
      </c>
      <c r="S50" s="99">
        <v>45918</v>
      </c>
      <c r="T50" s="100">
        <f t="shared" si="0"/>
        <v>5</v>
      </c>
      <c r="U50" s="103">
        <v>1</v>
      </c>
      <c r="V50" s="103">
        <v>1</v>
      </c>
      <c r="W50" s="103">
        <v>0</v>
      </c>
      <c r="X50" s="103">
        <v>1</v>
      </c>
      <c r="Y50" s="103">
        <v>0</v>
      </c>
      <c r="Z50" s="103">
        <v>1</v>
      </c>
      <c r="AA50" s="103">
        <v>0</v>
      </c>
      <c r="AB50" s="103"/>
      <c r="AC50" s="105">
        <v>45913</v>
      </c>
      <c r="AD50" s="106">
        <v>0.59027777778101154</v>
      </c>
      <c r="AE50" s="103" t="s">
        <v>547</v>
      </c>
      <c r="AF50" s="105">
        <v>45921</v>
      </c>
      <c r="AG50" s="106">
        <v>0.38888888889050577</v>
      </c>
      <c r="AH50" s="103" t="s">
        <v>1713</v>
      </c>
      <c r="AI50" s="103" t="s">
        <v>1684</v>
      </c>
      <c r="AJ50" s="103" t="s">
        <v>64</v>
      </c>
      <c r="AK50" s="111" t="s">
        <v>1714</v>
      </c>
      <c r="AL50" s="103" t="s">
        <v>1550</v>
      </c>
      <c r="AM50" s="103" t="s">
        <v>65</v>
      </c>
      <c r="AN50" s="102" t="s">
        <v>64</v>
      </c>
      <c r="AO50" s="61"/>
    </row>
    <row r="51" spans="3:41" ht="14.25" customHeight="1">
      <c r="C51" s="55" t="str">
        <f>IF($X51=1,COUNTIF($C$10:C50,"&gt;0")+1,"")</f>
        <v/>
      </c>
      <c r="D51" s="56"/>
      <c r="E51" s="103" t="s">
        <v>1679</v>
      </c>
      <c r="F51" s="104" t="s">
        <v>1715</v>
      </c>
      <c r="G51" s="103" t="s">
        <v>1709</v>
      </c>
      <c r="H51" s="103" t="s">
        <v>1716</v>
      </c>
      <c r="I51" s="103" t="s">
        <v>1717</v>
      </c>
      <c r="J51" s="103" t="s">
        <v>68</v>
      </c>
      <c r="K51" s="103" t="s">
        <v>59</v>
      </c>
      <c r="L51" s="105">
        <v>27386</v>
      </c>
      <c r="M51" s="103">
        <v>50</v>
      </c>
      <c r="N51" s="103" t="s">
        <v>1718</v>
      </c>
      <c r="O51" s="105">
        <v>47323</v>
      </c>
      <c r="P51" s="103" t="s">
        <v>4</v>
      </c>
      <c r="Q51" s="103"/>
      <c r="R51" s="99">
        <v>45913</v>
      </c>
      <c r="S51" s="99">
        <v>45918</v>
      </c>
      <c r="T51" s="100">
        <f t="shared" si="0"/>
        <v>5</v>
      </c>
      <c r="U51" s="103">
        <v>1</v>
      </c>
      <c r="V51" s="103">
        <v>1</v>
      </c>
      <c r="W51" s="103">
        <v>0</v>
      </c>
      <c r="X51" s="103">
        <v>0</v>
      </c>
      <c r="Y51" s="103">
        <v>0</v>
      </c>
      <c r="Z51" s="103">
        <v>0</v>
      </c>
      <c r="AA51" s="103">
        <v>0</v>
      </c>
      <c r="AB51" s="103"/>
      <c r="AC51" s="105">
        <v>45913</v>
      </c>
      <c r="AD51" s="106">
        <v>0.6875</v>
      </c>
      <c r="AE51" s="103" t="s">
        <v>116</v>
      </c>
      <c r="AF51" s="105">
        <v>45921</v>
      </c>
      <c r="AG51" s="106">
        <v>0.32638888889050577</v>
      </c>
      <c r="AH51" s="103" t="s">
        <v>235</v>
      </c>
      <c r="AI51" s="103" t="s">
        <v>1684</v>
      </c>
      <c r="AJ51" s="103" t="s">
        <v>64</v>
      </c>
      <c r="AK51" s="111"/>
      <c r="AL51" s="103" t="s">
        <v>1550</v>
      </c>
      <c r="AM51" s="103" t="s">
        <v>65</v>
      </c>
      <c r="AN51" s="102" t="s">
        <v>64</v>
      </c>
      <c r="AO51" s="61"/>
    </row>
    <row r="52" spans="3:41" ht="14.25" customHeight="1">
      <c r="C52" s="55">
        <f>IF($X52=1,COUNTIF($C$10:C51,"&gt;0")+1,"")</f>
        <v>21</v>
      </c>
      <c r="D52" s="56">
        <v>64873191</v>
      </c>
      <c r="E52" s="103" t="s">
        <v>1679</v>
      </c>
      <c r="F52" s="104" t="s">
        <v>1719</v>
      </c>
      <c r="G52" s="103" t="s">
        <v>1719</v>
      </c>
      <c r="H52" s="103" t="s">
        <v>1720</v>
      </c>
      <c r="I52" s="103" t="s">
        <v>1721</v>
      </c>
      <c r="J52" s="103" t="s">
        <v>68</v>
      </c>
      <c r="K52" s="103" t="s">
        <v>59</v>
      </c>
      <c r="L52" s="105">
        <v>31817</v>
      </c>
      <c r="M52" s="103">
        <v>38</v>
      </c>
      <c r="N52" s="103" t="s">
        <v>1722</v>
      </c>
      <c r="O52" s="105">
        <v>49178</v>
      </c>
      <c r="P52" s="103" t="s">
        <v>4</v>
      </c>
      <c r="Q52" s="103"/>
      <c r="R52" s="99">
        <v>45913</v>
      </c>
      <c r="S52" s="99">
        <v>45918</v>
      </c>
      <c r="T52" s="100">
        <f t="shared" si="0"/>
        <v>5</v>
      </c>
      <c r="U52" s="103">
        <v>1</v>
      </c>
      <c r="V52" s="103">
        <v>1</v>
      </c>
      <c r="W52" s="103">
        <v>0</v>
      </c>
      <c r="X52" s="103">
        <v>1</v>
      </c>
      <c r="Y52" s="103">
        <v>0</v>
      </c>
      <c r="Z52" s="103">
        <v>1</v>
      </c>
      <c r="AA52" s="103">
        <v>0</v>
      </c>
      <c r="AB52" s="103"/>
      <c r="AC52" s="105">
        <v>45913</v>
      </c>
      <c r="AD52" s="106">
        <v>0.63888888889050577</v>
      </c>
      <c r="AE52" s="103" t="s">
        <v>84</v>
      </c>
      <c r="AF52" s="105">
        <v>45918</v>
      </c>
      <c r="AG52" s="106">
        <v>0.77777777778101154</v>
      </c>
      <c r="AH52" s="103" t="s">
        <v>330</v>
      </c>
      <c r="AI52" s="103" t="s">
        <v>1684</v>
      </c>
      <c r="AJ52" s="103" t="s">
        <v>64</v>
      </c>
      <c r="AK52" s="103" t="s">
        <v>64</v>
      </c>
      <c r="AL52" s="103" t="s">
        <v>1550</v>
      </c>
      <c r="AM52" s="103" t="s">
        <v>65</v>
      </c>
      <c r="AN52" s="102" t="s">
        <v>64</v>
      </c>
      <c r="AO52" s="61"/>
    </row>
    <row r="53" spans="3:41" ht="14.25" customHeight="1">
      <c r="C53" s="55" t="str">
        <f>IF($X53=1,COUNTIF($C$10:C52,"&gt;0")+1,"")</f>
        <v/>
      </c>
      <c r="D53" s="56"/>
      <c r="E53" s="103" t="s">
        <v>1679</v>
      </c>
      <c r="F53" s="104" t="s">
        <v>1723</v>
      </c>
      <c r="G53" s="103" t="s">
        <v>1719</v>
      </c>
      <c r="H53" s="103" t="s">
        <v>1724</v>
      </c>
      <c r="I53" s="103" t="s">
        <v>1721</v>
      </c>
      <c r="J53" s="103" t="s">
        <v>68</v>
      </c>
      <c r="K53" s="103" t="s">
        <v>59</v>
      </c>
      <c r="L53" s="105">
        <v>37383</v>
      </c>
      <c r="M53" s="103">
        <v>23</v>
      </c>
      <c r="N53" s="103" t="s">
        <v>1725</v>
      </c>
      <c r="O53" s="105">
        <v>49206</v>
      </c>
      <c r="P53" s="103" t="s">
        <v>4</v>
      </c>
      <c r="Q53" s="103"/>
      <c r="R53" s="99">
        <v>45913</v>
      </c>
      <c r="S53" s="99">
        <v>45918</v>
      </c>
      <c r="T53" s="100">
        <f t="shared" si="0"/>
        <v>5</v>
      </c>
      <c r="U53" s="103">
        <v>1</v>
      </c>
      <c r="V53" s="103">
        <v>1</v>
      </c>
      <c r="W53" s="103">
        <v>0</v>
      </c>
      <c r="X53" s="103">
        <v>0</v>
      </c>
      <c r="Y53" s="103">
        <v>0</v>
      </c>
      <c r="Z53" s="103">
        <v>0</v>
      </c>
      <c r="AA53" s="103">
        <v>0</v>
      </c>
      <c r="AB53" s="103"/>
      <c r="AC53" s="105">
        <v>45913</v>
      </c>
      <c r="AD53" s="106">
        <v>0.63888888889050577</v>
      </c>
      <c r="AE53" s="103" t="s">
        <v>84</v>
      </c>
      <c r="AF53" s="105">
        <v>45918</v>
      </c>
      <c r="AG53" s="106">
        <v>0.77777777778101154</v>
      </c>
      <c r="AH53" s="103" t="s">
        <v>330</v>
      </c>
      <c r="AI53" s="103" t="s">
        <v>1684</v>
      </c>
      <c r="AJ53" s="103" t="s">
        <v>64</v>
      </c>
      <c r="AK53" s="103" t="s">
        <v>64</v>
      </c>
      <c r="AL53" s="103" t="s">
        <v>1550</v>
      </c>
      <c r="AM53" s="103" t="s">
        <v>65</v>
      </c>
      <c r="AN53" s="102" t="s">
        <v>64</v>
      </c>
      <c r="AO53" s="61"/>
    </row>
    <row r="54" spans="3:41" ht="14.25" customHeight="1">
      <c r="C54" s="55">
        <f>IF($X54=1,COUNTIF($C$10:C53,"&gt;0")+1,"")</f>
        <v>22</v>
      </c>
      <c r="D54" s="56">
        <v>68914135</v>
      </c>
      <c r="E54" s="103" t="s">
        <v>1679</v>
      </c>
      <c r="F54" s="104" t="s">
        <v>1726</v>
      </c>
      <c r="G54" s="103" t="s">
        <v>1726</v>
      </c>
      <c r="H54" s="103" t="s">
        <v>1727</v>
      </c>
      <c r="I54" s="103" t="s">
        <v>1728</v>
      </c>
      <c r="J54" s="103" t="s">
        <v>68</v>
      </c>
      <c r="K54" s="103" t="s">
        <v>59</v>
      </c>
      <c r="L54" s="105">
        <v>25846</v>
      </c>
      <c r="M54" s="103">
        <v>54</v>
      </c>
      <c r="N54" s="103" t="s">
        <v>1729</v>
      </c>
      <c r="O54" s="105">
        <v>46833</v>
      </c>
      <c r="P54" s="103" t="s">
        <v>3</v>
      </c>
      <c r="Q54" s="103"/>
      <c r="R54" s="99">
        <v>45913</v>
      </c>
      <c r="S54" s="99">
        <v>45918</v>
      </c>
      <c r="T54" s="100">
        <f t="shared" si="0"/>
        <v>5</v>
      </c>
      <c r="U54" s="103">
        <v>1</v>
      </c>
      <c r="V54" s="103">
        <v>1</v>
      </c>
      <c r="W54" s="103">
        <v>0</v>
      </c>
      <c r="X54" s="103">
        <v>1</v>
      </c>
      <c r="Y54" s="103">
        <v>1</v>
      </c>
      <c r="Z54" s="103">
        <v>0</v>
      </c>
      <c r="AA54" s="103">
        <v>0</v>
      </c>
      <c r="AB54" s="103"/>
      <c r="AC54" s="105">
        <v>45913</v>
      </c>
      <c r="AD54" s="106">
        <v>0.68402777778101154</v>
      </c>
      <c r="AE54" s="103" t="s">
        <v>688</v>
      </c>
      <c r="AF54" s="105">
        <v>45918</v>
      </c>
      <c r="AG54" s="106">
        <v>0.68402777778101154</v>
      </c>
      <c r="AH54" s="103" t="s">
        <v>274</v>
      </c>
      <c r="AI54" s="103" t="s">
        <v>1684</v>
      </c>
      <c r="AJ54" s="103" t="s">
        <v>64</v>
      </c>
      <c r="AK54" s="103" t="s">
        <v>64</v>
      </c>
      <c r="AL54" s="103" t="s">
        <v>1550</v>
      </c>
      <c r="AM54" s="103" t="s">
        <v>65</v>
      </c>
      <c r="AN54" s="102" t="s">
        <v>64</v>
      </c>
      <c r="AO54" s="61"/>
    </row>
    <row r="55" spans="3:41" ht="14.25" customHeight="1">
      <c r="C55" s="55">
        <f>IF($X55=1,COUNTIF($C$10:C54,"&gt;0")+1,"")</f>
        <v>23</v>
      </c>
      <c r="D55" s="56">
        <v>48841719</v>
      </c>
      <c r="E55" s="103" t="s">
        <v>1679</v>
      </c>
      <c r="F55" s="104" t="s">
        <v>1730</v>
      </c>
      <c r="G55" s="103" t="s">
        <v>1730</v>
      </c>
      <c r="H55" s="103" t="s">
        <v>1731</v>
      </c>
      <c r="I55" s="103" t="s">
        <v>1732</v>
      </c>
      <c r="J55" s="103" t="s">
        <v>68</v>
      </c>
      <c r="K55" s="103" t="s">
        <v>59</v>
      </c>
      <c r="L55" s="105">
        <v>26096</v>
      </c>
      <c r="M55" s="103">
        <v>54</v>
      </c>
      <c r="N55" s="103" t="s">
        <v>1733</v>
      </c>
      <c r="O55" s="105">
        <v>47200</v>
      </c>
      <c r="P55" s="103" t="s">
        <v>5</v>
      </c>
      <c r="Q55" s="103"/>
      <c r="R55" s="99">
        <v>45913</v>
      </c>
      <c r="S55" s="99">
        <v>45918</v>
      </c>
      <c r="T55" s="100">
        <f t="shared" si="0"/>
        <v>5</v>
      </c>
      <c r="U55" s="103">
        <v>1</v>
      </c>
      <c r="V55" s="103">
        <v>1</v>
      </c>
      <c r="W55" s="103">
        <v>0</v>
      </c>
      <c r="X55" s="103">
        <v>1</v>
      </c>
      <c r="Y55" s="103">
        <v>0</v>
      </c>
      <c r="Z55" s="103">
        <v>0</v>
      </c>
      <c r="AA55" s="103">
        <v>1</v>
      </c>
      <c r="AB55" s="103"/>
      <c r="AC55" s="105">
        <v>45913</v>
      </c>
      <c r="AD55" s="106">
        <v>0.73611111110949423</v>
      </c>
      <c r="AE55" s="103" t="s">
        <v>1734</v>
      </c>
      <c r="AF55" s="105">
        <v>45921</v>
      </c>
      <c r="AG55" s="106">
        <v>0.68402777778101154</v>
      </c>
      <c r="AH55" s="103" t="s">
        <v>1735</v>
      </c>
      <c r="AI55" s="103" t="s">
        <v>1684</v>
      </c>
      <c r="AJ55" s="103" t="s">
        <v>64</v>
      </c>
      <c r="AK55" s="111" t="s">
        <v>1736</v>
      </c>
      <c r="AL55" s="103" t="s">
        <v>1550</v>
      </c>
      <c r="AM55" s="103" t="s">
        <v>65</v>
      </c>
      <c r="AN55" s="102" t="s">
        <v>64</v>
      </c>
      <c r="AO55" s="61"/>
    </row>
    <row r="56" spans="3:41" ht="14.25" customHeight="1">
      <c r="C56" s="55" t="str">
        <f>IF($X56=1,COUNTIF($C$10:C55,"&gt;0")+1,"")</f>
        <v/>
      </c>
      <c r="D56" s="56"/>
      <c r="E56" s="103" t="s">
        <v>1679</v>
      </c>
      <c r="F56" s="104" t="s">
        <v>1737</v>
      </c>
      <c r="G56" s="103" t="s">
        <v>1730</v>
      </c>
      <c r="H56" s="103" t="s">
        <v>1738</v>
      </c>
      <c r="I56" s="103" t="s">
        <v>1739</v>
      </c>
      <c r="J56" s="103" t="s">
        <v>68</v>
      </c>
      <c r="K56" s="103" t="s">
        <v>59</v>
      </c>
      <c r="L56" s="105">
        <v>26235</v>
      </c>
      <c r="M56" s="103">
        <v>53</v>
      </c>
      <c r="N56" s="103" t="s">
        <v>1740</v>
      </c>
      <c r="O56" s="105">
        <v>48281</v>
      </c>
      <c r="P56" s="103" t="s">
        <v>5</v>
      </c>
      <c r="Q56" s="103"/>
      <c r="R56" s="99">
        <v>45913</v>
      </c>
      <c r="S56" s="99">
        <v>45918</v>
      </c>
      <c r="T56" s="100">
        <f t="shared" si="0"/>
        <v>5</v>
      </c>
      <c r="U56" s="103">
        <v>1</v>
      </c>
      <c r="V56" s="103">
        <v>1</v>
      </c>
      <c r="W56" s="103">
        <v>0</v>
      </c>
      <c r="X56" s="103">
        <v>0</v>
      </c>
      <c r="Y56" s="103">
        <v>0</v>
      </c>
      <c r="Z56" s="103">
        <v>0</v>
      </c>
      <c r="AA56" s="103">
        <v>0</v>
      </c>
      <c r="AB56" s="103"/>
      <c r="AC56" s="105">
        <v>45913</v>
      </c>
      <c r="AD56" s="106">
        <v>0.63888888889050577</v>
      </c>
      <c r="AE56" s="103" t="s">
        <v>84</v>
      </c>
      <c r="AF56" s="105">
        <v>45921</v>
      </c>
      <c r="AG56" s="106">
        <v>0.68402777778101154</v>
      </c>
      <c r="AH56" s="103" t="s">
        <v>274</v>
      </c>
      <c r="AI56" s="103" t="s">
        <v>1684</v>
      </c>
      <c r="AJ56" s="103" t="s">
        <v>64</v>
      </c>
      <c r="AK56" s="111"/>
      <c r="AL56" s="103" t="s">
        <v>1550</v>
      </c>
      <c r="AM56" s="103" t="s">
        <v>65</v>
      </c>
      <c r="AN56" s="102" t="s">
        <v>64</v>
      </c>
      <c r="AO56" s="61"/>
    </row>
    <row r="57" spans="3:41" ht="14.25" customHeight="1">
      <c r="C57" s="55">
        <f>IF($X57=1,COUNTIF($C$10:C56,"&gt;0")+1,"")</f>
        <v>24</v>
      </c>
      <c r="D57" s="56">
        <v>41676866</v>
      </c>
      <c r="E57" s="103" t="s">
        <v>1679</v>
      </c>
      <c r="F57" s="104" t="s">
        <v>1741</v>
      </c>
      <c r="G57" s="103" t="s">
        <v>1741</v>
      </c>
      <c r="H57" s="103" t="s">
        <v>1742</v>
      </c>
      <c r="I57" s="103" t="s">
        <v>1743</v>
      </c>
      <c r="J57" s="103" t="s">
        <v>68</v>
      </c>
      <c r="K57" s="103" t="s">
        <v>180</v>
      </c>
      <c r="L57" s="105">
        <v>28788</v>
      </c>
      <c r="M57" s="103">
        <v>46</v>
      </c>
      <c r="N57" s="103" t="s">
        <v>1744</v>
      </c>
      <c r="O57" s="105">
        <v>46712</v>
      </c>
      <c r="P57" s="103" t="s">
        <v>4</v>
      </c>
      <c r="Q57" s="103"/>
      <c r="R57" s="99">
        <v>45913</v>
      </c>
      <c r="S57" s="99">
        <v>45918</v>
      </c>
      <c r="T57" s="100">
        <f t="shared" si="0"/>
        <v>5</v>
      </c>
      <c r="U57" s="103">
        <v>1</v>
      </c>
      <c r="V57" s="103">
        <v>1</v>
      </c>
      <c r="W57" s="103">
        <v>0</v>
      </c>
      <c r="X57" s="103">
        <v>1</v>
      </c>
      <c r="Y57" s="103">
        <v>0</v>
      </c>
      <c r="Z57" s="103">
        <v>1</v>
      </c>
      <c r="AA57" s="103">
        <v>0</v>
      </c>
      <c r="AB57" s="103"/>
      <c r="AC57" s="105">
        <v>45913</v>
      </c>
      <c r="AD57" s="106">
        <v>0.73611111110949423</v>
      </c>
      <c r="AE57" s="103" t="s">
        <v>1734</v>
      </c>
      <c r="AF57" s="105">
        <v>45919</v>
      </c>
      <c r="AG57" s="106">
        <v>0.43402777778101154</v>
      </c>
      <c r="AH57" s="103" t="s">
        <v>1745</v>
      </c>
      <c r="AI57" s="103" t="s">
        <v>1684</v>
      </c>
      <c r="AJ57" s="103" t="s">
        <v>64</v>
      </c>
      <c r="AK57" s="111" t="s">
        <v>1736</v>
      </c>
      <c r="AL57" s="103" t="s">
        <v>1550</v>
      </c>
      <c r="AM57" s="103" t="s">
        <v>65</v>
      </c>
      <c r="AN57" s="102" t="s">
        <v>64</v>
      </c>
      <c r="AO57" s="61"/>
    </row>
    <row r="58" spans="3:41" ht="14.25" customHeight="1">
      <c r="C58" s="55" t="str">
        <f>IF($X58=1,COUNTIF($C$10:C57,"&gt;0")+1,"")</f>
        <v/>
      </c>
      <c r="D58" s="56"/>
      <c r="E58" s="103" t="s">
        <v>1679</v>
      </c>
      <c r="F58" s="104" t="s">
        <v>1746</v>
      </c>
      <c r="G58" s="103" t="s">
        <v>1741</v>
      </c>
      <c r="H58" s="103" t="s">
        <v>1747</v>
      </c>
      <c r="I58" s="103" t="s">
        <v>1743</v>
      </c>
      <c r="J58" s="103" t="s">
        <v>58</v>
      </c>
      <c r="K58" s="103" t="s">
        <v>59</v>
      </c>
      <c r="L58" s="105">
        <v>27669</v>
      </c>
      <c r="M58" s="103">
        <v>49</v>
      </c>
      <c r="N58" s="103" t="s">
        <v>1748</v>
      </c>
      <c r="O58" s="105">
        <v>46712</v>
      </c>
      <c r="P58" s="103" t="s">
        <v>4</v>
      </c>
      <c r="Q58" s="103"/>
      <c r="R58" s="99">
        <v>45913</v>
      </c>
      <c r="S58" s="99">
        <v>45918</v>
      </c>
      <c r="T58" s="100">
        <f t="shared" si="0"/>
        <v>5</v>
      </c>
      <c r="U58" s="103">
        <v>1</v>
      </c>
      <c r="V58" s="103">
        <v>1</v>
      </c>
      <c r="W58" s="103">
        <v>0</v>
      </c>
      <c r="X58" s="103">
        <v>0</v>
      </c>
      <c r="Y58" s="103">
        <v>0</v>
      </c>
      <c r="Z58" s="103">
        <v>0</v>
      </c>
      <c r="AA58" s="103">
        <v>0</v>
      </c>
      <c r="AB58" s="103"/>
      <c r="AC58" s="105">
        <v>45913</v>
      </c>
      <c r="AD58" s="106">
        <v>0.73611111110949423</v>
      </c>
      <c r="AE58" s="103" t="s">
        <v>1734</v>
      </c>
      <c r="AF58" s="105">
        <v>45919</v>
      </c>
      <c r="AG58" s="106">
        <v>0.43402777778101154</v>
      </c>
      <c r="AH58" s="103" t="s">
        <v>1745</v>
      </c>
      <c r="AI58" s="103" t="s">
        <v>1684</v>
      </c>
      <c r="AJ58" s="103" t="s">
        <v>64</v>
      </c>
      <c r="AK58" s="111"/>
      <c r="AL58" s="103" t="s">
        <v>1550</v>
      </c>
      <c r="AM58" s="103" t="s">
        <v>65</v>
      </c>
      <c r="AN58" s="102" t="s">
        <v>64</v>
      </c>
      <c r="AO58" s="61"/>
    </row>
    <row r="59" spans="3:41" ht="14.25" customHeight="1">
      <c r="C59" s="55" t="str">
        <f>IF($X59=1,COUNTIF($C$10:C58,"&gt;0")+1,"")</f>
        <v/>
      </c>
      <c r="D59" s="56"/>
      <c r="E59" s="103" t="s">
        <v>1679</v>
      </c>
      <c r="F59" s="104" t="s">
        <v>1749</v>
      </c>
      <c r="G59" s="103" t="s">
        <v>1741</v>
      </c>
      <c r="H59" s="103" t="s">
        <v>1750</v>
      </c>
      <c r="I59" s="103" t="s">
        <v>1743</v>
      </c>
      <c r="J59" s="103" t="s">
        <v>68</v>
      </c>
      <c r="K59" s="103" t="s">
        <v>59</v>
      </c>
      <c r="L59" s="105">
        <v>44102</v>
      </c>
      <c r="M59" s="103">
        <v>4</v>
      </c>
      <c r="N59" s="103" t="s">
        <v>1751</v>
      </c>
      <c r="O59" s="105">
        <v>46533</v>
      </c>
      <c r="P59" s="103" t="s">
        <v>4</v>
      </c>
      <c r="Q59" s="103"/>
      <c r="R59" s="99">
        <v>45913</v>
      </c>
      <c r="S59" s="99">
        <v>45918</v>
      </c>
      <c r="T59" s="100">
        <f t="shared" si="0"/>
        <v>5</v>
      </c>
      <c r="U59" s="103">
        <v>1</v>
      </c>
      <c r="V59" s="103">
        <v>0</v>
      </c>
      <c r="W59" s="103">
        <v>1</v>
      </c>
      <c r="X59" s="103">
        <v>0</v>
      </c>
      <c r="Y59" s="103">
        <v>0</v>
      </c>
      <c r="Z59" s="103">
        <v>0</v>
      </c>
      <c r="AA59" s="103">
        <v>0</v>
      </c>
      <c r="AB59" s="103"/>
      <c r="AC59" s="105">
        <v>45913</v>
      </c>
      <c r="AD59" s="106">
        <v>0.73611111110949423</v>
      </c>
      <c r="AE59" s="103" t="s">
        <v>1734</v>
      </c>
      <c r="AF59" s="105">
        <v>45919</v>
      </c>
      <c r="AG59" s="106">
        <v>0.43402777778101154</v>
      </c>
      <c r="AH59" s="103" t="s">
        <v>1745</v>
      </c>
      <c r="AI59" s="103" t="s">
        <v>1684</v>
      </c>
      <c r="AJ59" s="103" t="s">
        <v>64</v>
      </c>
      <c r="AK59" s="111"/>
      <c r="AL59" s="103" t="s">
        <v>1550</v>
      </c>
      <c r="AM59" s="103" t="s">
        <v>65</v>
      </c>
      <c r="AN59" s="102" t="s">
        <v>64</v>
      </c>
      <c r="AO59" s="61"/>
    </row>
    <row r="60" spans="3:41" ht="14.25" customHeight="1">
      <c r="C60" s="55">
        <f>IF($X60=1,COUNTIF($C$10:C59,"&gt;0")+1,"")</f>
        <v>25</v>
      </c>
      <c r="D60" s="56">
        <v>42663975</v>
      </c>
      <c r="E60" s="103" t="s">
        <v>1679</v>
      </c>
      <c r="F60" s="104" t="s">
        <v>1752</v>
      </c>
      <c r="G60" s="103" t="s">
        <v>1752</v>
      </c>
      <c r="H60" s="103" t="s">
        <v>1753</v>
      </c>
      <c r="I60" s="103" t="s">
        <v>1754</v>
      </c>
      <c r="J60" s="103" t="s">
        <v>58</v>
      </c>
      <c r="K60" s="103" t="s">
        <v>59</v>
      </c>
      <c r="L60" s="105">
        <v>36708</v>
      </c>
      <c r="M60" s="103">
        <v>25</v>
      </c>
      <c r="N60" s="103" t="s">
        <v>1755</v>
      </c>
      <c r="O60" s="105">
        <v>47886</v>
      </c>
      <c r="P60" s="103" t="s">
        <v>3</v>
      </c>
      <c r="Q60" s="103"/>
      <c r="R60" s="99">
        <v>45913</v>
      </c>
      <c r="S60" s="99">
        <v>45918</v>
      </c>
      <c r="T60" s="100">
        <f t="shared" si="0"/>
        <v>5</v>
      </c>
      <c r="U60" s="103">
        <v>1</v>
      </c>
      <c r="V60" s="103">
        <v>1</v>
      </c>
      <c r="W60" s="103">
        <v>0</v>
      </c>
      <c r="X60" s="103">
        <v>1</v>
      </c>
      <c r="Y60" s="103">
        <v>1</v>
      </c>
      <c r="Z60" s="103">
        <v>0</v>
      </c>
      <c r="AA60" s="103">
        <v>0</v>
      </c>
      <c r="AB60" s="103"/>
      <c r="AC60" s="105">
        <v>45913</v>
      </c>
      <c r="AD60" s="106">
        <v>0.18055555555474712</v>
      </c>
      <c r="AE60" s="103" t="s">
        <v>95</v>
      </c>
      <c r="AF60" s="105">
        <v>45918</v>
      </c>
      <c r="AG60" s="106">
        <v>0.47916666666424135</v>
      </c>
      <c r="AH60" s="103" t="s">
        <v>189</v>
      </c>
      <c r="AI60" s="103" t="s">
        <v>1684</v>
      </c>
      <c r="AJ60" s="103" t="s">
        <v>64</v>
      </c>
      <c r="AK60" s="103" t="s">
        <v>64</v>
      </c>
      <c r="AL60" s="103" t="s">
        <v>1550</v>
      </c>
      <c r="AM60" s="103" t="s">
        <v>65</v>
      </c>
      <c r="AN60" s="102" t="s">
        <v>64</v>
      </c>
      <c r="AO60" s="61"/>
    </row>
    <row r="61" spans="3:41" ht="14.25" customHeight="1">
      <c r="C61" s="55">
        <f>IF($X61=1,COUNTIF($C$10:C60,"&gt;0")+1,"")</f>
        <v>26</v>
      </c>
      <c r="D61" s="56">
        <v>46641982</v>
      </c>
      <c r="E61" s="103" t="s">
        <v>1679</v>
      </c>
      <c r="F61" s="104" t="s">
        <v>1756</v>
      </c>
      <c r="G61" s="103" t="s">
        <v>1756</v>
      </c>
      <c r="H61" s="103" t="s">
        <v>1757</v>
      </c>
      <c r="I61" s="103" t="s">
        <v>1758</v>
      </c>
      <c r="J61" s="103" t="s">
        <v>68</v>
      </c>
      <c r="K61" s="103" t="s">
        <v>59</v>
      </c>
      <c r="L61" s="105">
        <v>25167</v>
      </c>
      <c r="M61" s="103">
        <v>56</v>
      </c>
      <c r="N61" s="103" t="s">
        <v>1759</v>
      </c>
      <c r="O61" s="105">
        <v>45970</v>
      </c>
      <c r="P61" s="103" t="s">
        <v>5</v>
      </c>
      <c r="Q61" s="103"/>
      <c r="R61" s="99">
        <v>45913</v>
      </c>
      <c r="S61" s="99">
        <v>45918</v>
      </c>
      <c r="T61" s="100">
        <f t="shared" si="0"/>
        <v>5</v>
      </c>
      <c r="U61" s="103">
        <v>1</v>
      </c>
      <c r="V61" s="103">
        <v>1</v>
      </c>
      <c r="W61" s="103">
        <v>0</v>
      </c>
      <c r="X61" s="103">
        <v>1</v>
      </c>
      <c r="Y61" s="103">
        <v>0</v>
      </c>
      <c r="Z61" s="103">
        <v>0</v>
      </c>
      <c r="AA61" s="103">
        <v>1</v>
      </c>
      <c r="AB61" s="103"/>
      <c r="AC61" s="105">
        <v>45913</v>
      </c>
      <c r="AD61" s="106">
        <v>0.69097222221898846</v>
      </c>
      <c r="AE61" s="103" t="s">
        <v>1760</v>
      </c>
      <c r="AF61" s="105">
        <v>45918</v>
      </c>
      <c r="AG61" s="106">
        <v>0.83680555555474712</v>
      </c>
      <c r="AH61" s="103" t="s">
        <v>962</v>
      </c>
      <c r="AI61" s="103" t="s">
        <v>1684</v>
      </c>
      <c r="AJ61" s="103" t="s">
        <v>64</v>
      </c>
      <c r="AK61" s="103" t="s">
        <v>64</v>
      </c>
      <c r="AL61" s="103" t="s">
        <v>1550</v>
      </c>
      <c r="AM61" s="103" t="s">
        <v>65</v>
      </c>
      <c r="AN61" s="102" t="s">
        <v>64</v>
      </c>
      <c r="AO61" s="61"/>
    </row>
    <row r="62" spans="3:41" ht="14.25" customHeight="1">
      <c r="C62" s="55" t="str">
        <f>IF($X62=1,COUNTIF($C$10:C61,"&gt;0")+1,"")</f>
        <v/>
      </c>
      <c r="D62" s="56"/>
      <c r="E62" s="103" t="s">
        <v>1679</v>
      </c>
      <c r="F62" s="104" t="s">
        <v>1761</v>
      </c>
      <c r="G62" s="103" t="s">
        <v>1756</v>
      </c>
      <c r="H62" s="103" t="s">
        <v>1762</v>
      </c>
      <c r="I62" s="103" t="s">
        <v>1763</v>
      </c>
      <c r="J62" s="103" t="s">
        <v>68</v>
      </c>
      <c r="K62" s="103" t="s">
        <v>1764</v>
      </c>
      <c r="L62" s="105">
        <v>27546</v>
      </c>
      <c r="M62" s="103">
        <v>50</v>
      </c>
      <c r="N62" s="103" t="s">
        <v>1765</v>
      </c>
      <c r="O62" s="105">
        <v>46118</v>
      </c>
      <c r="P62" s="103" t="s">
        <v>5</v>
      </c>
      <c r="Q62" s="103"/>
      <c r="R62" s="99">
        <v>45913</v>
      </c>
      <c r="S62" s="99">
        <v>45918</v>
      </c>
      <c r="T62" s="100">
        <f t="shared" si="0"/>
        <v>5</v>
      </c>
      <c r="U62" s="103">
        <v>1</v>
      </c>
      <c r="V62" s="103">
        <v>1</v>
      </c>
      <c r="W62" s="103">
        <v>0</v>
      </c>
      <c r="X62" s="103">
        <v>0</v>
      </c>
      <c r="Y62" s="103">
        <v>0</v>
      </c>
      <c r="Z62" s="103">
        <v>0</v>
      </c>
      <c r="AA62" s="103">
        <v>0</v>
      </c>
      <c r="AB62" s="103"/>
      <c r="AC62" s="105">
        <v>45913</v>
      </c>
      <c r="AD62" s="106">
        <v>0.69097222221898846</v>
      </c>
      <c r="AE62" s="103" t="s">
        <v>1760</v>
      </c>
      <c r="AF62" s="105">
        <v>45918</v>
      </c>
      <c r="AG62" s="106">
        <v>0.83680555555474712</v>
      </c>
      <c r="AH62" s="103" t="s">
        <v>962</v>
      </c>
      <c r="AI62" s="103" t="s">
        <v>1684</v>
      </c>
      <c r="AJ62" s="103" t="s">
        <v>64</v>
      </c>
      <c r="AK62" s="103" t="s">
        <v>64</v>
      </c>
      <c r="AL62" s="103" t="s">
        <v>1550</v>
      </c>
      <c r="AM62" s="103" t="s">
        <v>65</v>
      </c>
      <c r="AN62" s="102" t="s">
        <v>64</v>
      </c>
      <c r="AO62" s="61"/>
    </row>
    <row r="63" spans="3:41" ht="14.25" customHeight="1">
      <c r="C63" s="55">
        <f>IF($X63=1,COUNTIF($C$10:C62,"&gt;0")+1,"")</f>
        <v>27</v>
      </c>
      <c r="D63" s="56">
        <v>23974371</v>
      </c>
      <c r="E63" s="103" t="s">
        <v>1679</v>
      </c>
      <c r="F63" s="104" t="s">
        <v>1766</v>
      </c>
      <c r="G63" s="103" t="s">
        <v>1756</v>
      </c>
      <c r="H63" s="103" t="s">
        <v>1767</v>
      </c>
      <c r="I63" s="103" t="s">
        <v>1758</v>
      </c>
      <c r="J63" s="103" t="s">
        <v>68</v>
      </c>
      <c r="K63" s="103" t="s">
        <v>1764</v>
      </c>
      <c r="L63" s="105">
        <v>28191</v>
      </c>
      <c r="M63" s="103">
        <v>48</v>
      </c>
      <c r="N63" s="103" t="s">
        <v>1768</v>
      </c>
      <c r="O63" s="105">
        <v>47411</v>
      </c>
      <c r="P63" s="103" t="s">
        <v>3</v>
      </c>
      <c r="Q63" s="103"/>
      <c r="R63" s="99">
        <v>45913</v>
      </c>
      <c r="S63" s="99">
        <v>45918</v>
      </c>
      <c r="T63" s="100">
        <f t="shared" si="0"/>
        <v>5</v>
      </c>
      <c r="U63" s="103">
        <v>1</v>
      </c>
      <c r="V63" s="103">
        <v>1</v>
      </c>
      <c r="W63" s="103">
        <v>0</v>
      </c>
      <c r="X63" s="103">
        <v>1</v>
      </c>
      <c r="Y63" s="103">
        <v>1</v>
      </c>
      <c r="Z63" s="103">
        <v>0</v>
      </c>
      <c r="AA63" s="103">
        <v>0</v>
      </c>
      <c r="AB63" s="103"/>
      <c r="AC63" s="105">
        <v>45913</v>
      </c>
      <c r="AD63" s="106">
        <v>0.69097222221898846</v>
      </c>
      <c r="AE63" s="103" t="s">
        <v>1760</v>
      </c>
      <c r="AF63" s="105">
        <v>45918</v>
      </c>
      <c r="AG63" s="106">
        <v>0.83680555555474712</v>
      </c>
      <c r="AH63" s="103" t="s">
        <v>962</v>
      </c>
      <c r="AI63" s="103" t="s">
        <v>1684</v>
      </c>
      <c r="AJ63" s="103" t="s">
        <v>64</v>
      </c>
      <c r="AK63" s="103" t="s">
        <v>64</v>
      </c>
      <c r="AL63" s="103" t="s">
        <v>1550</v>
      </c>
      <c r="AM63" s="103" t="s">
        <v>65</v>
      </c>
      <c r="AN63" s="102" t="s">
        <v>64</v>
      </c>
      <c r="AO63" s="61"/>
    </row>
    <row r="64" spans="3:41" ht="14.25" customHeight="1">
      <c r="C64" s="55">
        <f>IF($X64=1,COUNTIF($C$10:C63,"&gt;0")+1,"")</f>
        <v>28</v>
      </c>
      <c r="D64" s="56">
        <v>81702052</v>
      </c>
      <c r="E64" s="103" t="s">
        <v>1679</v>
      </c>
      <c r="F64" s="104" t="s">
        <v>1769</v>
      </c>
      <c r="G64" s="103" t="s">
        <v>1769</v>
      </c>
      <c r="H64" s="103" t="s">
        <v>1770</v>
      </c>
      <c r="I64" s="103" t="s">
        <v>1754</v>
      </c>
      <c r="J64" s="103" t="s">
        <v>68</v>
      </c>
      <c r="K64" s="103" t="s">
        <v>59</v>
      </c>
      <c r="L64" s="105">
        <v>26020</v>
      </c>
      <c r="M64" s="103">
        <v>54</v>
      </c>
      <c r="N64" s="103" t="s">
        <v>1771</v>
      </c>
      <c r="O64" s="105">
        <v>47542</v>
      </c>
      <c r="P64" s="103" t="s">
        <v>4</v>
      </c>
      <c r="Q64" s="103"/>
      <c r="R64" s="99">
        <v>45913</v>
      </c>
      <c r="S64" s="99">
        <v>45918</v>
      </c>
      <c r="T64" s="100">
        <f t="shared" si="0"/>
        <v>5</v>
      </c>
      <c r="U64" s="103">
        <v>1</v>
      </c>
      <c r="V64" s="103">
        <v>1</v>
      </c>
      <c r="W64" s="103">
        <v>0</v>
      </c>
      <c r="X64" s="103">
        <v>1</v>
      </c>
      <c r="Y64" s="103">
        <v>0</v>
      </c>
      <c r="Z64" s="103">
        <v>1</v>
      </c>
      <c r="AA64" s="103">
        <v>0</v>
      </c>
      <c r="AB64" s="103"/>
      <c r="AC64" s="105">
        <v>45913</v>
      </c>
      <c r="AD64" s="106">
        <v>0.61111111110949423</v>
      </c>
      <c r="AE64" s="103" t="s">
        <v>1772</v>
      </c>
      <c r="AF64" s="105">
        <v>45918</v>
      </c>
      <c r="AG64" s="106">
        <v>0.47916666666424135</v>
      </c>
      <c r="AH64" s="103" t="s">
        <v>189</v>
      </c>
      <c r="AI64" s="103" t="s">
        <v>1684</v>
      </c>
      <c r="AJ64" s="103" t="s">
        <v>64</v>
      </c>
      <c r="AK64" s="103" t="s">
        <v>1611</v>
      </c>
      <c r="AL64" s="103" t="s">
        <v>1550</v>
      </c>
      <c r="AM64" s="103" t="s">
        <v>65</v>
      </c>
      <c r="AN64" s="102" t="s">
        <v>64</v>
      </c>
      <c r="AO64" s="61"/>
    </row>
    <row r="65" spans="3:41" ht="14.25" customHeight="1">
      <c r="C65" s="55" t="str">
        <f>IF($X65=1,COUNTIF($C$10:C64,"&gt;0")+1,"")</f>
        <v/>
      </c>
      <c r="D65" s="56"/>
      <c r="E65" s="103" t="s">
        <v>1679</v>
      </c>
      <c r="F65" s="104" t="s">
        <v>1773</v>
      </c>
      <c r="G65" s="103" t="s">
        <v>1769</v>
      </c>
      <c r="H65" s="103" t="s">
        <v>1774</v>
      </c>
      <c r="I65" s="103" t="s">
        <v>1754</v>
      </c>
      <c r="J65" s="103" t="s">
        <v>58</v>
      </c>
      <c r="K65" s="103" t="s">
        <v>59</v>
      </c>
      <c r="L65" s="105">
        <v>25336</v>
      </c>
      <c r="M65" s="103">
        <v>56</v>
      </c>
      <c r="N65" s="103" t="s">
        <v>1775</v>
      </c>
      <c r="O65" s="105">
        <v>47542</v>
      </c>
      <c r="P65" s="103" t="s">
        <v>4</v>
      </c>
      <c r="Q65" s="103"/>
      <c r="R65" s="99">
        <v>45913</v>
      </c>
      <c r="S65" s="99">
        <v>45918</v>
      </c>
      <c r="T65" s="100">
        <f t="shared" si="0"/>
        <v>5</v>
      </c>
      <c r="U65" s="103">
        <v>1</v>
      </c>
      <c r="V65" s="103">
        <v>1</v>
      </c>
      <c r="W65" s="103">
        <v>0</v>
      </c>
      <c r="X65" s="103">
        <v>0</v>
      </c>
      <c r="Y65" s="103">
        <v>0</v>
      </c>
      <c r="Z65" s="103">
        <v>0</v>
      </c>
      <c r="AA65" s="103">
        <v>0</v>
      </c>
      <c r="AB65" s="103"/>
      <c r="AC65" s="105">
        <v>45913</v>
      </c>
      <c r="AD65" s="106">
        <v>0.61111111110949423</v>
      </c>
      <c r="AE65" s="103" t="s">
        <v>1772</v>
      </c>
      <c r="AF65" s="105">
        <v>45918</v>
      </c>
      <c r="AG65" s="106">
        <v>0.47916666666424135</v>
      </c>
      <c r="AH65" s="103" t="s">
        <v>189</v>
      </c>
      <c r="AI65" s="103" t="s">
        <v>1684</v>
      </c>
      <c r="AJ65" s="103" t="s">
        <v>64</v>
      </c>
      <c r="AK65" s="103" t="s">
        <v>64</v>
      </c>
      <c r="AL65" s="103" t="s">
        <v>1550</v>
      </c>
      <c r="AM65" s="103" t="s">
        <v>65</v>
      </c>
      <c r="AN65" s="102" t="s">
        <v>64</v>
      </c>
      <c r="AO65" s="61"/>
    </row>
    <row r="66" spans="3:41" ht="14.25" customHeight="1">
      <c r="C66" s="55">
        <f>IF($X66=1,COUNTIF($C$10:C65,"&gt;0")+1,"")</f>
        <v>29</v>
      </c>
      <c r="D66" s="56">
        <v>88454785</v>
      </c>
      <c r="E66" s="103" t="s">
        <v>1776</v>
      </c>
      <c r="F66" s="104" t="s">
        <v>1777</v>
      </c>
      <c r="G66" s="103" t="s">
        <v>1777</v>
      </c>
      <c r="H66" s="103" t="s">
        <v>1778</v>
      </c>
      <c r="I66" s="103" t="s">
        <v>446</v>
      </c>
      <c r="J66" s="103" t="s">
        <v>58</v>
      </c>
      <c r="K66" s="103" t="s">
        <v>59</v>
      </c>
      <c r="L66" s="105">
        <v>31033</v>
      </c>
      <c r="M66" s="103">
        <v>40</v>
      </c>
      <c r="N66" s="103" t="s">
        <v>1779</v>
      </c>
      <c r="O66" s="105">
        <v>49441</v>
      </c>
      <c r="P66" s="103" t="s">
        <v>4</v>
      </c>
      <c r="Q66" s="103"/>
      <c r="R66" s="99">
        <v>45913</v>
      </c>
      <c r="S66" s="99">
        <v>45918</v>
      </c>
      <c r="T66" s="100">
        <f t="shared" si="0"/>
        <v>5</v>
      </c>
      <c r="U66" s="103">
        <v>1</v>
      </c>
      <c r="V66" s="103">
        <v>1</v>
      </c>
      <c r="W66" s="103">
        <v>0</v>
      </c>
      <c r="X66" s="103">
        <v>1</v>
      </c>
      <c r="Y66" s="103">
        <v>0</v>
      </c>
      <c r="Z66" s="103">
        <v>1</v>
      </c>
      <c r="AA66" s="103">
        <v>0</v>
      </c>
      <c r="AB66" s="103"/>
      <c r="AC66" s="105">
        <v>45913</v>
      </c>
      <c r="AD66" s="106">
        <v>0.58680555555474712</v>
      </c>
      <c r="AE66" s="103" t="s">
        <v>1780</v>
      </c>
      <c r="AF66" s="105">
        <v>45918</v>
      </c>
      <c r="AG66" s="106">
        <v>0.40625</v>
      </c>
      <c r="AH66" s="103" t="s">
        <v>1781</v>
      </c>
      <c r="AI66" s="103" t="s">
        <v>1782</v>
      </c>
      <c r="AJ66" s="103" t="s">
        <v>64</v>
      </c>
      <c r="AK66" s="103"/>
      <c r="AL66" s="103" t="s">
        <v>1550</v>
      </c>
      <c r="AM66" s="103" t="s">
        <v>65</v>
      </c>
      <c r="AN66" s="102" t="s">
        <v>64</v>
      </c>
      <c r="AO66" s="61"/>
    </row>
    <row r="67" spans="3:41" ht="14.25" customHeight="1">
      <c r="C67" s="55" t="str">
        <f>IF($X67=1,COUNTIF($C$10:C66,"&gt;0")+1,"")</f>
        <v/>
      </c>
      <c r="D67" s="56"/>
      <c r="E67" s="103" t="s">
        <v>1776</v>
      </c>
      <c r="F67" s="104" t="s">
        <v>1783</v>
      </c>
      <c r="G67" s="103" t="s">
        <v>1777</v>
      </c>
      <c r="H67" s="103" t="s">
        <v>1784</v>
      </c>
      <c r="I67" s="103" t="s">
        <v>1785</v>
      </c>
      <c r="J67" s="103" t="s">
        <v>68</v>
      </c>
      <c r="K67" s="103" t="s">
        <v>59</v>
      </c>
      <c r="L67" s="105">
        <v>30930</v>
      </c>
      <c r="M67" s="103">
        <v>41</v>
      </c>
      <c r="N67" s="103" t="s">
        <v>1786</v>
      </c>
      <c r="O67" s="105">
        <v>46831</v>
      </c>
      <c r="P67" s="103" t="s">
        <v>4</v>
      </c>
      <c r="Q67" s="103"/>
      <c r="R67" s="99">
        <v>45913</v>
      </c>
      <c r="S67" s="99">
        <v>45918</v>
      </c>
      <c r="T67" s="100">
        <f t="shared" si="0"/>
        <v>5</v>
      </c>
      <c r="U67" s="103">
        <v>1</v>
      </c>
      <c r="V67" s="103">
        <v>1</v>
      </c>
      <c r="W67" s="103">
        <v>0</v>
      </c>
      <c r="X67" s="103">
        <v>0</v>
      </c>
      <c r="Y67" s="103">
        <v>0</v>
      </c>
      <c r="Z67" s="103">
        <v>0</v>
      </c>
      <c r="AA67" s="103">
        <v>0</v>
      </c>
      <c r="AB67" s="103"/>
      <c r="AC67" s="105">
        <v>45913</v>
      </c>
      <c r="AD67" s="106">
        <v>0.58680555555474712</v>
      </c>
      <c r="AE67" s="103" t="s">
        <v>1780</v>
      </c>
      <c r="AF67" s="105">
        <v>45918</v>
      </c>
      <c r="AG67" s="106">
        <v>0.40625</v>
      </c>
      <c r="AH67" s="103" t="s">
        <v>1781</v>
      </c>
      <c r="AI67" s="103" t="s">
        <v>1782</v>
      </c>
      <c r="AJ67" s="103" t="s">
        <v>64</v>
      </c>
      <c r="AK67" s="103" t="s">
        <v>64</v>
      </c>
      <c r="AL67" s="103" t="s">
        <v>1550</v>
      </c>
      <c r="AM67" s="103" t="s">
        <v>65</v>
      </c>
      <c r="AN67" s="102" t="s">
        <v>64</v>
      </c>
      <c r="AO67" s="61"/>
    </row>
    <row r="68" spans="3:41" ht="14.25" customHeight="1">
      <c r="C68" s="55" t="str">
        <f>IF($X68=1,COUNTIF($C$10:C67,"&gt;0")+1,"")</f>
        <v/>
      </c>
      <c r="D68" s="56"/>
      <c r="E68" s="103" t="s">
        <v>1776</v>
      </c>
      <c r="F68" s="104" t="s">
        <v>1787</v>
      </c>
      <c r="G68" s="103" t="s">
        <v>1777</v>
      </c>
      <c r="H68" s="103" t="s">
        <v>1788</v>
      </c>
      <c r="I68" s="103" t="s">
        <v>446</v>
      </c>
      <c r="J68" s="103" t="s">
        <v>68</v>
      </c>
      <c r="K68" s="103" t="s">
        <v>59</v>
      </c>
      <c r="L68" s="105">
        <v>42041</v>
      </c>
      <c r="M68" s="103">
        <v>10</v>
      </c>
      <c r="N68" s="103" t="s">
        <v>1789</v>
      </c>
      <c r="O68" s="105">
        <v>46300</v>
      </c>
      <c r="P68" s="103" t="s">
        <v>4</v>
      </c>
      <c r="Q68" s="103"/>
      <c r="R68" s="99">
        <v>45913</v>
      </c>
      <c r="S68" s="99">
        <v>45918</v>
      </c>
      <c r="T68" s="100">
        <f t="shared" si="0"/>
        <v>5</v>
      </c>
      <c r="U68" s="103">
        <v>1</v>
      </c>
      <c r="V68" s="103">
        <v>0</v>
      </c>
      <c r="W68" s="103">
        <v>1</v>
      </c>
      <c r="X68" s="103">
        <v>0</v>
      </c>
      <c r="Y68" s="103">
        <v>0</v>
      </c>
      <c r="Z68" s="103">
        <v>0</v>
      </c>
      <c r="AA68" s="103">
        <v>0</v>
      </c>
      <c r="AB68" s="103"/>
      <c r="AC68" s="105">
        <v>45913</v>
      </c>
      <c r="AD68" s="106">
        <v>0.58680555555474712</v>
      </c>
      <c r="AE68" s="103" t="s">
        <v>1780</v>
      </c>
      <c r="AF68" s="105">
        <v>45918</v>
      </c>
      <c r="AG68" s="106">
        <v>0.40625</v>
      </c>
      <c r="AH68" s="103" t="s">
        <v>1781</v>
      </c>
      <c r="AI68" s="103" t="s">
        <v>1782</v>
      </c>
      <c r="AJ68" s="103" t="s">
        <v>64</v>
      </c>
      <c r="AK68" s="103" t="s">
        <v>64</v>
      </c>
      <c r="AL68" s="103" t="s">
        <v>1550</v>
      </c>
      <c r="AM68" s="103" t="s">
        <v>65</v>
      </c>
      <c r="AN68" s="102" t="s">
        <v>64</v>
      </c>
      <c r="AO68" s="61"/>
    </row>
    <row r="69" spans="3:41" ht="14.25" customHeight="1">
      <c r="C69" s="55">
        <f>IF($X69=1,COUNTIF($C$10:C68,"&gt;0")+1,"")</f>
        <v>30</v>
      </c>
      <c r="D69" s="56">
        <v>65569430</v>
      </c>
      <c r="E69" s="103" t="s">
        <v>1776</v>
      </c>
      <c r="F69" s="104" t="s">
        <v>1790</v>
      </c>
      <c r="G69" s="103" t="s">
        <v>1790</v>
      </c>
      <c r="H69" s="103" t="s">
        <v>1791</v>
      </c>
      <c r="I69" s="103" t="s">
        <v>446</v>
      </c>
      <c r="J69" s="103" t="s">
        <v>58</v>
      </c>
      <c r="K69" s="103" t="s">
        <v>59</v>
      </c>
      <c r="L69" s="105">
        <v>32156</v>
      </c>
      <c r="M69" s="103">
        <v>37</v>
      </c>
      <c r="N69" s="103" t="s">
        <v>1792</v>
      </c>
      <c r="O69" s="105">
        <v>45962</v>
      </c>
      <c r="P69" s="103" t="s">
        <v>4</v>
      </c>
      <c r="Q69" s="103"/>
      <c r="R69" s="99">
        <v>45913</v>
      </c>
      <c r="S69" s="99">
        <v>45918</v>
      </c>
      <c r="T69" s="100">
        <f t="shared" si="0"/>
        <v>5</v>
      </c>
      <c r="U69" s="103">
        <v>1</v>
      </c>
      <c r="V69" s="103">
        <v>1</v>
      </c>
      <c r="W69" s="103">
        <v>0</v>
      </c>
      <c r="X69" s="103">
        <v>1</v>
      </c>
      <c r="Y69" s="103">
        <v>0</v>
      </c>
      <c r="Z69" s="103">
        <v>1</v>
      </c>
      <c r="AA69" s="103">
        <v>0</v>
      </c>
      <c r="AB69" s="103"/>
      <c r="AC69" s="105">
        <v>45913</v>
      </c>
      <c r="AD69" s="106">
        <v>0.58680555555474712</v>
      </c>
      <c r="AE69" s="103" t="s">
        <v>1780</v>
      </c>
      <c r="AF69" s="105">
        <v>45918</v>
      </c>
      <c r="AG69" s="106">
        <v>0.40625</v>
      </c>
      <c r="AH69" s="103" t="s">
        <v>1781</v>
      </c>
      <c r="AI69" s="103" t="s">
        <v>1782</v>
      </c>
      <c r="AJ69" s="103" t="s">
        <v>64</v>
      </c>
      <c r="AK69" s="103" t="s">
        <v>64</v>
      </c>
      <c r="AL69" s="103" t="s">
        <v>1550</v>
      </c>
      <c r="AM69" s="103" t="s">
        <v>65</v>
      </c>
      <c r="AN69" s="102" t="s">
        <v>64</v>
      </c>
      <c r="AO69" s="61"/>
    </row>
    <row r="70" spans="3:41" ht="14.25" customHeight="1">
      <c r="C70" s="55" t="str">
        <f>IF($X70=1,COUNTIF($C$10:C69,"&gt;0")+1,"")</f>
        <v/>
      </c>
      <c r="D70" s="56"/>
      <c r="E70" s="103" t="s">
        <v>1776</v>
      </c>
      <c r="F70" s="104" t="s">
        <v>1793</v>
      </c>
      <c r="G70" s="103" t="s">
        <v>1790</v>
      </c>
      <c r="H70" s="103" t="s">
        <v>1794</v>
      </c>
      <c r="I70" s="103" t="s">
        <v>1795</v>
      </c>
      <c r="J70" s="103" t="s">
        <v>58</v>
      </c>
      <c r="K70" s="103" t="s">
        <v>59</v>
      </c>
      <c r="L70" s="105">
        <v>32489</v>
      </c>
      <c r="M70" s="103">
        <v>36</v>
      </c>
      <c r="N70" s="103" t="s">
        <v>1796</v>
      </c>
      <c r="O70" s="105">
        <v>46684</v>
      </c>
      <c r="P70" s="103" t="s">
        <v>4</v>
      </c>
      <c r="Q70" s="103"/>
      <c r="R70" s="99">
        <v>45913</v>
      </c>
      <c r="S70" s="99">
        <v>45918</v>
      </c>
      <c r="T70" s="100">
        <f t="shared" si="0"/>
        <v>5</v>
      </c>
      <c r="U70" s="103">
        <v>1</v>
      </c>
      <c r="V70" s="103">
        <v>1</v>
      </c>
      <c r="W70" s="103">
        <v>0</v>
      </c>
      <c r="X70" s="103">
        <v>0</v>
      </c>
      <c r="Y70" s="103">
        <v>0</v>
      </c>
      <c r="Z70" s="103">
        <v>0</v>
      </c>
      <c r="AA70" s="103">
        <v>0</v>
      </c>
      <c r="AB70" s="103"/>
      <c r="AC70" s="105">
        <v>45913</v>
      </c>
      <c r="AD70" s="106">
        <v>0.58680555555474712</v>
      </c>
      <c r="AE70" s="103" t="s">
        <v>1780</v>
      </c>
      <c r="AF70" s="105">
        <v>45918</v>
      </c>
      <c r="AG70" s="106">
        <v>0.40625</v>
      </c>
      <c r="AH70" s="103" t="s">
        <v>1781</v>
      </c>
      <c r="AI70" s="103" t="s">
        <v>1782</v>
      </c>
      <c r="AJ70" s="103" t="s">
        <v>64</v>
      </c>
      <c r="AK70" s="103" t="s">
        <v>64</v>
      </c>
      <c r="AL70" s="103" t="s">
        <v>1550</v>
      </c>
      <c r="AM70" s="103" t="s">
        <v>65</v>
      </c>
      <c r="AN70" s="102" t="s">
        <v>64</v>
      </c>
      <c r="AO70" s="61"/>
    </row>
    <row r="71" spans="3:41" ht="14.25" customHeight="1">
      <c r="C71" s="55" t="str">
        <f>IF($X71=1,COUNTIF($C$10:C70,"&gt;0")+1,"")</f>
        <v/>
      </c>
      <c r="D71" s="56"/>
      <c r="E71" s="103" t="s">
        <v>1776</v>
      </c>
      <c r="F71" s="104" t="s">
        <v>1797</v>
      </c>
      <c r="G71" s="103" t="s">
        <v>1790</v>
      </c>
      <c r="H71" s="103" t="s">
        <v>1798</v>
      </c>
      <c r="I71" s="103" t="s">
        <v>446</v>
      </c>
      <c r="J71" s="103" t="s">
        <v>58</v>
      </c>
      <c r="K71" s="103" t="s">
        <v>59</v>
      </c>
      <c r="L71" s="105">
        <v>43451</v>
      </c>
      <c r="M71" s="103">
        <v>6</v>
      </c>
      <c r="N71" s="103" t="s">
        <v>1799</v>
      </c>
      <c r="O71" s="105">
        <v>47267</v>
      </c>
      <c r="P71" s="103" t="s">
        <v>4</v>
      </c>
      <c r="Q71" s="103"/>
      <c r="R71" s="99">
        <v>45913</v>
      </c>
      <c r="S71" s="99">
        <v>45918</v>
      </c>
      <c r="T71" s="100">
        <f t="shared" si="0"/>
        <v>5</v>
      </c>
      <c r="U71" s="103">
        <v>1</v>
      </c>
      <c r="V71" s="103">
        <v>0</v>
      </c>
      <c r="W71" s="103">
        <v>1</v>
      </c>
      <c r="X71" s="103">
        <v>0</v>
      </c>
      <c r="Y71" s="103">
        <v>0</v>
      </c>
      <c r="Z71" s="103">
        <v>0</v>
      </c>
      <c r="AA71" s="103">
        <v>0</v>
      </c>
      <c r="AB71" s="103"/>
      <c r="AC71" s="105">
        <v>45913</v>
      </c>
      <c r="AD71" s="106">
        <v>0.58680555555474712</v>
      </c>
      <c r="AE71" s="103" t="s">
        <v>1780</v>
      </c>
      <c r="AF71" s="105">
        <v>45918</v>
      </c>
      <c r="AG71" s="106">
        <v>0.40625</v>
      </c>
      <c r="AH71" s="103" t="s">
        <v>1781</v>
      </c>
      <c r="AI71" s="103" t="s">
        <v>1782</v>
      </c>
      <c r="AJ71" s="103" t="s">
        <v>64</v>
      </c>
      <c r="AK71" s="103"/>
      <c r="AL71" s="103" t="s">
        <v>1550</v>
      </c>
      <c r="AM71" s="103" t="s">
        <v>65</v>
      </c>
      <c r="AN71" s="102" t="s">
        <v>64</v>
      </c>
      <c r="AO71" s="61"/>
    </row>
    <row r="72" spans="3:41" ht="14.25" customHeight="1">
      <c r="C72" s="55">
        <f>IF($X72=1,COUNTIF($C$10:C71,"&gt;0")+1,"")</f>
        <v>31</v>
      </c>
      <c r="D72" s="56">
        <v>84108214</v>
      </c>
      <c r="E72" s="103" t="s">
        <v>1776</v>
      </c>
      <c r="F72" s="104" t="s">
        <v>1800</v>
      </c>
      <c r="G72" s="103" t="s">
        <v>1800</v>
      </c>
      <c r="H72" s="103" t="s">
        <v>1801</v>
      </c>
      <c r="I72" s="103" t="s">
        <v>1802</v>
      </c>
      <c r="J72" s="103" t="s">
        <v>68</v>
      </c>
      <c r="K72" s="103" t="s">
        <v>59</v>
      </c>
      <c r="L72" s="105">
        <v>26276</v>
      </c>
      <c r="M72" s="103">
        <v>53</v>
      </c>
      <c r="N72" s="103" t="s">
        <v>1803</v>
      </c>
      <c r="O72" s="105">
        <v>49438</v>
      </c>
      <c r="P72" s="103" t="s">
        <v>4</v>
      </c>
      <c r="Q72" s="103"/>
      <c r="R72" s="99">
        <v>45913</v>
      </c>
      <c r="S72" s="99">
        <v>45918</v>
      </c>
      <c r="T72" s="100">
        <f t="shared" si="0"/>
        <v>5</v>
      </c>
      <c r="U72" s="103">
        <v>1</v>
      </c>
      <c r="V72" s="103">
        <v>1</v>
      </c>
      <c r="W72" s="103">
        <v>0</v>
      </c>
      <c r="X72" s="103">
        <v>1</v>
      </c>
      <c r="Y72" s="103">
        <v>0</v>
      </c>
      <c r="Z72" s="103">
        <v>1</v>
      </c>
      <c r="AA72" s="103">
        <v>0</v>
      </c>
      <c r="AB72" s="103"/>
      <c r="AC72" s="105">
        <v>45913</v>
      </c>
      <c r="AD72" s="106">
        <v>0.62152777778101154</v>
      </c>
      <c r="AE72" s="103" t="s">
        <v>268</v>
      </c>
      <c r="AF72" s="105">
        <v>45918</v>
      </c>
      <c r="AG72" s="106">
        <v>0.50347222221898846</v>
      </c>
      <c r="AH72" s="103" t="s">
        <v>900</v>
      </c>
      <c r="AI72" s="103" t="s">
        <v>1782</v>
      </c>
      <c r="AJ72" s="103" t="s">
        <v>64</v>
      </c>
      <c r="AK72" s="103" t="s">
        <v>64</v>
      </c>
      <c r="AL72" s="103" t="s">
        <v>1550</v>
      </c>
      <c r="AM72" s="103" t="s">
        <v>65</v>
      </c>
      <c r="AN72" s="102" t="s">
        <v>64</v>
      </c>
      <c r="AO72" s="61"/>
    </row>
    <row r="73" spans="3:41" ht="14.25" customHeight="1">
      <c r="C73" s="55" t="str">
        <f>IF($X73=1,COUNTIF($C$10:C72,"&gt;0")+1,"")</f>
        <v/>
      </c>
      <c r="D73" s="56"/>
      <c r="E73" s="103" t="s">
        <v>1776</v>
      </c>
      <c r="F73" s="104" t="s">
        <v>1804</v>
      </c>
      <c r="G73" s="103" t="s">
        <v>1800</v>
      </c>
      <c r="H73" s="103" t="s">
        <v>1805</v>
      </c>
      <c r="I73" s="103" t="s">
        <v>1806</v>
      </c>
      <c r="J73" s="103" t="s">
        <v>68</v>
      </c>
      <c r="K73" s="103" t="s">
        <v>59</v>
      </c>
      <c r="L73" s="105">
        <v>36516</v>
      </c>
      <c r="M73" s="103">
        <v>25</v>
      </c>
      <c r="N73" s="103" t="s">
        <v>1807</v>
      </c>
      <c r="O73" s="105">
        <v>47232</v>
      </c>
      <c r="P73" s="103" t="s">
        <v>4</v>
      </c>
      <c r="Q73" s="103"/>
      <c r="R73" s="99">
        <v>45913</v>
      </c>
      <c r="S73" s="99">
        <v>45918</v>
      </c>
      <c r="T73" s="100">
        <f t="shared" si="0"/>
        <v>5</v>
      </c>
      <c r="U73" s="103">
        <v>1</v>
      </c>
      <c r="V73" s="103">
        <v>1</v>
      </c>
      <c r="W73" s="103">
        <v>0</v>
      </c>
      <c r="X73" s="103">
        <v>0</v>
      </c>
      <c r="Y73" s="103">
        <v>0</v>
      </c>
      <c r="Z73" s="103">
        <v>0</v>
      </c>
      <c r="AA73" s="103">
        <v>0</v>
      </c>
      <c r="AB73" s="103"/>
      <c r="AC73" s="105">
        <v>45913</v>
      </c>
      <c r="AD73" s="106">
        <v>0.62152777778101154</v>
      </c>
      <c r="AE73" s="103" t="s">
        <v>268</v>
      </c>
      <c r="AF73" s="105">
        <v>45918</v>
      </c>
      <c r="AG73" s="106">
        <v>0.50347222221898846</v>
      </c>
      <c r="AH73" s="103" t="s">
        <v>900</v>
      </c>
      <c r="AI73" s="103" t="s">
        <v>1782</v>
      </c>
      <c r="AJ73" s="103" t="s">
        <v>64</v>
      </c>
      <c r="AK73" s="103" t="s">
        <v>64</v>
      </c>
      <c r="AL73" s="103" t="s">
        <v>1550</v>
      </c>
      <c r="AM73" s="103" t="s">
        <v>65</v>
      </c>
      <c r="AN73" s="102" t="s">
        <v>64</v>
      </c>
      <c r="AO73" s="61"/>
    </row>
    <row r="74" spans="3:41" ht="14.25" customHeight="1">
      <c r="C74" s="55">
        <f>IF($X74=1,COUNTIF($C$10:C73,"&gt;0")+1,"")</f>
        <v>32</v>
      </c>
      <c r="D74" s="56">
        <v>84087221</v>
      </c>
      <c r="E74" s="103" t="s">
        <v>1776</v>
      </c>
      <c r="F74" s="104" t="s">
        <v>1808</v>
      </c>
      <c r="G74" s="103" t="s">
        <v>1808</v>
      </c>
      <c r="H74" s="103" t="s">
        <v>1809</v>
      </c>
      <c r="I74" s="103" t="s">
        <v>1810</v>
      </c>
      <c r="J74" s="103" t="s">
        <v>68</v>
      </c>
      <c r="K74" s="103" t="s">
        <v>59</v>
      </c>
      <c r="L74" s="105">
        <v>26992</v>
      </c>
      <c r="M74" s="103">
        <v>51</v>
      </c>
      <c r="N74" s="103" t="s">
        <v>1811</v>
      </c>
      <c r="O74" s="105">
        <v>48519</v>
      </c>
      <c r="P74" s="103" t="s">
        <v>5</v>
      </c>
      <c r="Q74" s="103"/>
      <c r="R74" s="99">
        <v>45913</v>
      </c>
      <c r="S74" s="99">
        <v>45918</v>
      </c>
      <c r="T74" s="100">
        <f t="shared" si="0"/>
        <v>5</v>
      </c>
      <c r="U74" s="103">
        <v>1</v>
      </c>
      <c r="V74" s="103">
        <v>1</v>
      </c>
      <c r="W74" s="103">
        <v>0</v>
      </c>
      <c r="X74" s="103">
        <v>1</v>
      </c>
      <c r="Y74" s="103">
        <v>0</v>
      </c>
      <c r="Z74" s="103">
        <v>0</v>
      </c>
      <c r="AA74" s="103">
        <v>1</v>
      </c>
      <c r="AB74" s="103"/>
      <c r="AC74" s="105">
        <v>45913</v>
      </c>
      <c r="AD74" s="106">
        <v>0.58680555555474712</v>
      </c>
      <c r="AE74" s="103" t="s">
        <v>1812</v>
      </c>
      <c r="AF74" s="105">
        <v>45918</v>
      </c>
      <c r="AG74" s="106">
        <v>0.86111111110949423</v>
      </c>
      <c r="AH74" s="103" t="s">
        <v>1292</v>
      </c>
      <c r="AI74" s="103" t="s">
        <v>1782</v>
      </c>
      <c r="AJ74" s="103" t="s">
        <v>64</v>
      </c>
      <c r="AK74" s="103" t="s">
        <v>64</v>
      </c>
      <c r="AL74" s="103" t="s">
        <v>1550</v>
      </c>
      <c r="AM74" s="103" t="s">
        <v>65</v>
      </c>
      <c r="AN74" s="102" t="s">
        <v>64</v>
      </c>
      <c r="AO74" s="61"/>
    </row>
    <row r="75" spans="3:41" ht="14.25" customHeight="1">
      <c r="C75" s="55" t="str">
        <f>IF($X75=1,COUNTIF($C$10:C74,"&gt;0")+1,"")</f>
        <v/>
      </c>
      <c r="D75" s="56"/>
      <c r="E75" s="103" t="s">
        <v>1776</v>
      </c>
      <c r="F75" s="104" t="s">
        <v>1813</v>
      </c>
      <c r="G75" s="103" t="s">
        <v>1808</v>
      </c>
      <c r="H75" s="103" t="s">
        <v>1814</v>
      </c>
      <c r="I75" s="103" t="s">
        <v>1810</v>
      </c>
      <c r="J75" s="103" t="s">
        <v>58</v>
      </c>
      <c r="K75" s="103" t="s">
        <v>59</v>
      </c>
      <c r="L75" s="105">
        <v>22930</v>
      </c>
      <c r="M75" s="103">
        <v>62</v>
      </c>
      <c r="N75" s="103" t="s">
        <v>1815</v>
      </c>
      <c r="O75" s="105">
        <v>48500</v>
      </c>
      <c r="P75" s="103" t="s">
        <v>5</v>
      </c>
      <c r="Q75" s="103"/>
      <c r="R75" s="99">
        <v>45913</v>
      </c>
      <c r="S75" s="99">
        <v>45918</v>
      </c>
      <c r="T75" s="100">
        <f t="shared" si="0"/>
        <v>5</v>
      </c>
      <c r="U75" s="103">
        <v>1</v>
      </c>
      <c r="V75" s="103">
        <v>1</v>
      </c>
      <c r="W75" s="103">
        <v>0</v>
      </c>
      <c r="X75" s="103">
        <v>0</v>
      </c>
      <c r="Y75" s="103">
        <v>0</v>
      </c>
      <c r="Z75" s="103">
        <v>0</v>
      </c>
      <c r="AA75" s="103">
        <v>0</v>
      </c>
      <c r="AB75" s="103"/>
      <c r="AC75" s="105">
        <v>45913</v>
      </c>
      <c r="AD75" s="106">
        <v>0.58680555555474712</v>
      </c>
      <c r="AE75" s="103" t="s">
        <v>1812</v>
      </c>
      <c r="AF75" s="105">
        <v>45918</v>
      </c>
      <c r="AG75" s="106">
        <v>0.86111111110949423</v>
      </c>
      <c r="AH75" s="103" t="s">
        <v>1292</v>
      </c>
      <c r="AI75" s="103" t="s">
        <v>1782</v>
      </c>
      <c r="AJ75" s="103" t="s">
        <v>64</v>
      </c>
      <c r="AK75" s="103" t="s">
        <v>64</v>
      </c>
      <c r="AL75" s="103" t="s">
        <v>1550</v>
      </c>
      <c r="AM75" s="103" t="s">
        <v>65</v>
      </c>
      <c r="AN75" s="102" t="s">
        <v>64</v>
      </c>
      <c r="AO75" s="61"/>
    </row>
    <row r="76" spans="3:41" ht="14.25" customHeight="1">
      <c r="C76" s="55">
        <f>IF($X76=1,COUNTIF($C$10:C75,"&gt;0")+1,"")</f>
        <v>33</v>
      </c>
      <c r="D76" s="56">
        <v>24897128</v>
      </c>
      <c r="E76" s="103" t="s">
        <v>1776</v>
      </c>
      <c r="F76" s="104" t="s">
        <v>1816</v>
      </c>
      <c r="G76" s="103" t="s">
        <v>1816</v>
      </c>
      <c r="H76" s="103" t="s">
        <v>1817</v>
      </c>
      <c r="I76" s="103" t="s">
        <v>1818</v>
      </c>
      <c r="J76" s="103" t="s">
        <v>68</v>
      </c>
      <c r="K76" s="103" t="s">
        <v>748</v>
      </c>
      <c r="L76" s="105">
        <v>33228</v>
      </c>
      <c r="M76" s="103">
        <v>34</v>
      </c>
      <c r="N76" s="103" t="s">
        <v>1819</v>
      </c>
      <c r="O76" s="105">
        <v>48597</v>
      </c>
      <c r="P76" s="103" t="s">
        <v>4</v>
      </c>
      <c r="Q76" s="103"/>
      <c r="R76" s="99">
        <v>45913</v>
      </c>
      <c r="S76" s="99">
        <v>45918</v>
      </c>
      <c r="T76" s="100">
        <f t="shared" si="0"/>
        <v>5</v>
      </c>
      <c r="U76" s="103">
        <v>1</v>
      </c>
      <c r="V76" s="103">
        <v>1</v>
      </c>
      <c r="W76" s="103">
        <v>0</v>
      </c>
      <c r="X76" s="103">
        <v>1</v>
      </c>
      <c r="Y76" s="103">
        <v>0</v>
      </c>
      <c r="Z76" s="103">
        <v>1</v>
      </c>
      <c r="AA76" s="103">
        <v>0</v>
      </c>
      <c r="AB76" s="103"/>
      <c r="AC76" s="105">
        <v>45913</v>
      </c>
      <c r="AD76" s="106">
        <v>0.65625</v>
      </c>
      <c r="AE76" s="103" t="s">
        <v>1385</v>
      </c>
      <c r="AF76" s="105">
        <v>45918</v>
      </c>
      <c r="AG76" s="106">
        <v>0.48611111110949423</v>
      </c>
      <c r="AH76" s="103" t="s">
        <v>1820</v>
      </c>
      <c r="AI76" s="103" t="s">
        <v>1782</v>
      </c>
      <c r="AJ76" s="103" t="s">
        <v>64</v>
      </c>
      <c r="AK76" s="103" t="s">
        <v>64</v>
      </c>
      <c r="AL76" s="103" t="s">
        <v>1550</v>
      </c>
      <c r="AM76" s="103" t="s">
        <v>65</v>
      </c>
      <c r="AN76" s="102" t="s">
        <v>64</v>
      </c>
      <c r="AO76" s="61"/>
    </row>
    <row r="77" spans="3:41" ht="14.25" customHeight="1">
      <c r="C77" s="55" t="str">
        <f>IF($X77=1,COUNTIF($C$10:C76,"&gt;0")+1,"")</f>
        <v/>
      </c>
      <c r="D77" s="56"/>
      <c r="E77" s="103" t="s">
        <v>1776</v>
      </c>
      <c r="F77" s="104" t="s">
        <v>1821</v>
      </c>
      <c r="G77" s="103" t="s">
        <v>1816</v>
      </c>
      <c r="H77" s="103" t="s">
        <v>1822</v>
      </c>
      <c r="I77" s="103" t="s">
        <v>1823</v>
      </c>
      <c r="J77" s="103" t="s">
        <v>58</v>
      </c>
      <c r="K77" s="103" t="s">
        <v>748</v>
      </c>
      <c r="L77" s="105">
        <v>26287</v>
      </c>
      <c r="M77" s="103">
        <v>53</v>
      </c>
      <c r="N77" s="103" t="s">
        <v>1824</v>
      </c>
      <c r="O77" s="105">
        <v>49400</v>
      </c>
      <c r="P77" s="103" t="s">
        <v>4</v>
      </c>
      <c r="Q77" s="103"/>
      <c r="R77" s="99">
        <v>45913</v>
      </c>
      <c r="S77" s="99">
        <v>45918</v>
      </c>
      <c r="T77" s="100">
        <f t="shared" ref="T77:T140" si="1">S77-R77</f>
        <v>5</v>
      </c>
      <c r="U77" s="103">
        <v>1</v>
      </c>
      <c r="V77" s="103">
        <v>1</v>
      </c>
      <c r="W77" s="103">
        <v>0</v>
      </c>
      <c r="X77" s="103">
        <v>0</v>
      </c>
      <c r="Y77" s="103">
        <v>0</v>
      </c>
      <c r="Z77" s="103">
        <v>0</v>
      </c>
      <c r="AA77" s="103">
        <v>0</v>
      </c>
      <c r="AB77" s="103"/>
      <c r="AC77" s="105">
        <v>45913</v>
      </c>
      <c r="AD77" s="106">
        <v>0.65625</v>
      </c>
      <c r="AE77" s="103" t="s">
        <v>1385</v>
      </c>
      <c r="AF77" s="105">
        <v>45918</v>
      </c>
      <c r="AG77" s="106">
        <v>0.48611111110949423</v>
      </c>
      <c r="AH77" s="103" t="s">
        <v>1820</v>
      </c>
      <c r="AI77" s="103" t="s">
        <v>1782</v>
      </c>
      <c r="AJ77" s="103" t="s">
        <v>64</v>
      </c>
      <c r="AK77" s="103" t="s">
        <v>64</v>
      </c>
      <c r="AL77" s="103" t="s">
        <v>1550</v>
      </c>
      <c r="AM77" s="103" t="s">
        <v>65</v>
      </c>
      <c r="AN77" s="102" t="s">
        <v>64</v>
      </c>
      <c r="AO77" s="61"/>
    </row>
    <row r="78" spans="3:41" ht="14.25" customHeight="1">
      <c r="C78" s="55">
        <f>IF($X78=1,COUNTIF($C$10:C77,"&gt;0")+1,"")</f>
        <v>34</v>
      </c>
      <c r="D78" s="56">
        <v>26642913</v>
      </c>
      <c r="E78" s="103" t="s">
        <v>1776</v>
      </c>
      <c r="F78" s="104" t="s">
        <v>1825</v>
      </c>
      <c r="G78" s="103" t="s">
        <v>1825</v>
      </c>
      <c r="H78" s="103" t="s">
        <v>1826</v>
      </c>
      <c r="I78" s="103" t="s">
        <v>1827</v>
      </c>
      <c r="J78" s="103" t="s">
        <v>58</v>
      </c>
      <c r="K78" s="103" t="s">
        <v>59</v>
      </c>
      <c r="L78" s="105">
        <v>29659</v>
      </c>
      <c r="M78" s="103">
        <v>44</v>
      </c>
      <c r="N78" s="103" t="s">
        <v>1828</v>
      </c>
      <c r="O78" s="105">
        <v>46717</v>
      </c>
      <c r="P78" s="103" t="s">
        <v>4</v>
      </c>
      <c r="Q78" s="103"/>
      <c r="R78" s="99">
        <v>45913</v>
      </c>
      <c r="S78" s="99">
        <v>45918</v>
      </c>
      <c r="T78" s="100">
        <f t="shared" si="1"/>
        <v>5</v>
      </c>
      <c r="U78" s="103">
        <v>1</v>
      </c>
      <c r="V78" s="103">
        <v>1</v>
      </c>
      <c r="W78" s="103">
        <v>0</v>
      </c>
      <c r="X78" s="103">
        <v>1</v>
      </c>
      <c r="Y78" s="103">
        <v>0</v>
      </c>
      <c r="Z78" s="103">
        <v>1</v>
      </c>
      <c r="AA78" s="103">
        <v>0</v>
      </c>
      <c r="AB78" s="103"/>
      <c r="AC78" s="105">
        <v>45913</v>
      </c>
      <c r="AD78" s="106">
        <v>0.18055555555474712</v>
      </c>
      <c r="AE78" s="103" t="s">
        <v>408</v>
      </c>
      <c r="AF78" s="105">
        <v>45918</v>
      </c>
      <c r="AG78" s="106">
        <v>0.53472222221898846</v>
      </c>
      <c r="AH78" s="103" t="s">
        <v>1599</v>
      </c>
      <c r="AI78" s="103" t="s">
        <v>1782</v>
      </c>
      <c r="AJ78" s="103" t="s">
        <v>64</v>
      </c>
      <c r="AK78" s="103" t="s">
        <v>64</v>
      </c>
      <c r="AL78" s="103" t="s">
        <v>1550</v>
      </c>
      <c r="AM78" s="103" t="s">
        <v>65</v>
      </c>
      <c r="AN78" s="102" t="s">
        <v>64</v>
      </c>
      <c r="AO78" s="61"/>
    </row>
    <row r="79" spans="3:41" ht="14.25" customHeight="1">
      <c r="C79" s="55" t="str">
        <f>IF($X79=1,COUNTIF($C$10:C78,"&gt;0")+1,"")</f>
        <v/>
      </c>
      <c r="D79" s="56"/>
      <c r="E79" s="103" t="s">
        <v>1776</v>
      </c>
      <c r="F79" s="104" t="s">
        <v>1829</v>
      </c>
      <c r="G79" s="103" t="s">
        <v>1825</v>
      </c>
      <c r="H79" s="103" t="s">
        <v>1830</v>
      </c>
      <c r="I79" s="103" t="s">
        <v>1831</v>
      </c>
      <c r="J79" s="103" t="s">
        <v>68</v>
      </c>
      <c r="K79" s="103" t="s">
        <v>59</v>
      </c>
      <c r="L79" s="105">
        <v>28512</v>
      </c>
      <c r="M79" s="103">
        <v>47</v>
      </c>
      <c r="N79" s="103" t="s">
        <v>1832</v>
      </c>
      <c r="O79" s="105">
        <v>46718</v>
      </c>
      <c r="P79" s="103" t="s">
        <v>4</v>
      </c>
      <c r="Q79" s="103"/>
      <c r="R79" s="99">
        <v>45913</v>
      </c>
      <c r="S79" s="99">
        <v>45918</v>
      </c>
      <c r="T79" s="100">
        <f t="shared" si="1"/>
        <v>5</v>
      </c>
      <c r="U79" s="103">
        <v>1</v>
      </c>
      <c r="V79" s="103">
        <v>1</v>
      </c>
      <c r="W79" s="103">
        <v>0</v>
      </c>
      <c r="X79" s="103">
        <v>0</v>
      </c>
      <c r="Y79" s="103">
        <v>0</v>
      </c>
      <c r="Z79" s="103">
        <v>0</v>
      </c>
      <c r="AA79" s="103">
        <v>0</v>
      </c>
      <c r="AB79" s="103"/>
      <c r="AC79" s="105">
        <v>45913</v>
      </c>
      <c r="AD79" s="106">
        <v>0.18055555555474712</v>
      </c>
      <c r="AE79" s="103" t="s">
        <v>408</v>
      </c>
      <c r="AF79" s="105">
        <v>45918</v>
      </c>
      <c r="AG79" s="106">
        <v>0.53472222221898846</v>
      </c>
      <c r="AH79" s="103" t="s">
        <v>1599</v>
      </c>
      <c r="AI79" s="103" t="s">
        <v>1782</v>
      </c>
      <c r="AJ79" s="103" t="s">
        <v>64</v>
      </c>
      <c r="AK79" s="103" t="s">
        <v>64</v>
      </c>
      <c r="AL79" s="103" t="s">
        <v>1550</v>
      </c>
      <c r="AM79" s="103" t="s">
        <v>65</v>
      </c>
      <c r="AN79" s="102" t="s">
        <v>64</v>
      </c>
      <c r="AO79" s="61"/>
    </row>
    <row r="80" spans="3:41" ht="14.25" customHeight="1">
      <c r="C80" s="55">
        <f>IF($X80=1,COUNTIF($C$10:C79,"&gt;0")+1,"")</f>
        <v>35</v>
      </c>
      <c r="D80" s="56">
        <v>63418982</v>
      </c>
      <c r="E80" s="103" t="s">
        <v>1776</v>
      </c>
      <c r="F80" s="104" t="s">
        <v>1833</v>
      </c>
      <c r="G80" s="103" t="s">
        <v>1833</v>
      </c>
      <c r="H80" s="103" t="s">
        <v>1834</v>
      </c>
      <c r="I80" s="103" t="s">
        <v>1835</v>
      </c>
      <c r="J80" s="103" t="s">
        <v>68</v>
      </c>
      <c r="K80" s="103" t="s">
        <v>59</v>
      </c>
      <c r="L80" s="105">
        <v>25993</v>
      </c>
      <c r="M80" s="103">
        <v>54</v>
      </c>
      <c r="N80" s="103" t="s">
        <v>1836</v>
      </c>
      <c r="O80" s="105">
        <v>45943</v>
      </c>
      <c r="P80" s="103" t="s">
        <v>4</v>
      </c>
      <c r="Q80" s="103"/>
      <c r="R80" s="99">
        <v>45913</v>
      </c>
      <c r="S80" s="99">
        <v>45918</v>
      </c>
      <c r="T80" s="100">
        <f t="shared" si="1"/>
        <v>5</v>
      </c>
      <c r="U80" s="103">
        <v>1</v>
      </c>
      <c r="V80" s="103">
        <v>1</v>
      </c>
      <c r="W80" s="103">
        <v>0</v>
      </c>
      <c r="X80" s="103">
        <v>1</v>
      </c>
      <c r="Y80" s="103">
        <v>0</v>
      </c>
      <c r="Z80" s="103">
        <v>1</v>
      </c>
      <c r="AA80" s="103">
        <v>0</v>
      </c>
      <c r="AB80" s="103"/>
      <c r="AC80" s="105">
        <v>45913</v>
      </c>
      <c r="AD80" s="106">
        <v>0.18055555555474712</v>
      </c>
      <c r="AE80" s="103" t="s">
        <v>408</v>
      </c>
      <c r="AF80" s="105">
        <v>45918</v>
      </c>
      <c r="AG80" s="106">
        <v>0.53472222221898846</v>
      </c>
      <c r="AH80" s="103" t="s">
        <v>1599</v>
      </c>
      <c r="AI80" s="103" t="s">
        <v>1782</v>
      </c>
      <c r="AJ80" s="103" t="s">
        <v>64</v>
      </c>
      <c r="AK80" s="103" t="s">
        <v>64</v>
      </c>
      <c r="AL80" s="103" t="s">
        <v>1550</v>
      </c>
      <c r="AM80" s="103" t="s">
        <v>65</v>
      </c>
      <c r="AN80" s="102" t="s">
        <v>64</v>
      </c>
      <c r="AO80" s="61"/>
    </row>
    <row r="81" spans="3:41" ht="14.25" customHeight="1">
      <c r="C81" s="55" t="str">
        <f>IF($X81=1,COUNTIF($C$10:C80,"&gt;0")+1,"")</f>
        <v/>
      </c>
      <c r="D81" s="56"/>
      <c r="E81" s="103" t="s">
        <v>1776</v>
      </c>
      <c r="F81" s="104" t="s">
        <v>1837</v>
      </c>
      <c r="G81" s="103" t="s">
        <v>1833</v>
      </c>
      <c r="H81" s="103" t="s">
        <v>1838</v>
      </c>
      <c r="I81" s="103" t="s">
        <v>1839</v>
      </c>
      <c r="J81" s="103" t="s">
        <v>58</v>
      </c>
      <c r="K81" s="103" t="s">
        <v>1840</v>
      </c>
      <c r="L81" s="105">
        <v>24848</v>
      </c>
      <c r="M81" s="103">
        <v>57</v>
      </c>
      <c r="N81" s="103" t="s">
        <v>1841</v>
      </c>
      <c r="O81" s="105">
        <v>46595</v>
      </c>
      <c r="P81" s="103" t="s">
        <v>4</v>
      </c>
      <c r="Q81" s="103"/>
      <c r="R81" s="99">
        <v>45913</v>
      </c>
      <c r="S81" s="99">
        <v>45918</v>
      </c>
      <c r="T81" s="100">
        <f t="shared" si="1"/>
        <v>5</v>
      </c>
      <c r="U81" s="103">
        <v>1</v>
      </c>
      <c r="V81" s="103">
        <v>1</v>
      </c>
      <c r="W81" s="103">
        <v>0</v>
      </c>
      <c r="X81" s="103">
        <v>0</v>
      </c>
      <c r="Y81" s="103">
        <v>0</v>
      </c>
      <c r="Z81" s="103">
        <v>0</v>
      </c>
      <c r="AA81" s="103">
        <v>0</v>
      </c>
      <c r="AB81" s="103"/>
      <c r="AC81" s="105">
        <v>45913</v>
      </c>
      <c r="AD81" s="106">
        <v>0.18055555555474712</v>
      </c>
      <c r="AE81" s="103" t="s">
        <v>408</v>
      </c>
      <c r="AF81" s="105">
        <v>45918</v>
      </c>
      <c r="AG81" s="106">
        <v>0.53472222221898846</v>
      </c>
      <c r="AH81" s="103" t="s">
        <v>1599</v>
      </c>
      <c r="AI81" s="103" t="s">
        <v>1782</v>
      </c>
      <c r="AJ81" s="103" t="s">
        <v>64</v>
      </c>
      <c r="AK81" s="103" t="s">
        <v>64</v>
      </c>
      <c r="AL81" s="103" t="s">
        <v>1550</v>
      </c>
      <c r="AM81" s="103" t="s">
        <v>65</v>
      </c>
      <c r="AN81" s="102" t="s">
        <v>64</v>
      </c>
      <c r="AO81" s="61"/>
    </row>
    <row r="82" spans="3:41" ht="14.25" customHeight="1">
      <c r="C82" s="55">
        <f>IF($X82=1,COUNTIF($C$10:C81,"&gt;0")+1,"")</f>
        <v>36</v>
      </c>
      <c r="D82" s="56">
        <v>25155930</v>
      </c>
      <c r="E82" s="103" t="s">
        <v>1776</v>
      </c>
      <c r="F82" s="104" t="s">
        <v>1842</v>
      </c>
      <c r="G82" s="103" t="s">
        <v>1842</v>
      </c>
      <c r="H82" s="103" t="s">
        <v>1843</v>
      </c>
      <c r="I82" s="103" t="s">
        <v>1844</v>
      </c>
      <c r="J82" s="103" t="s">
        <v>58</v>
      </c>
      <c r="K82" s="103" t="s">
        <v>59</v>
      </c>
      <c r="L82" s="105">
        <v>22647</v>
      </c>
      <c r="M82" s="103">
        <v>63</v>
      </c>
      <c r="N82" s="103" t="s">
        <v>1845</v>
      </c>
      <c r="O82" s="105">
        <v>47070</v>
      </c>
      <c r="P82" s="103" t="s">
        <v>4</v>
      </c>
      <c r="Q82" s="103"/>
      <c r="R82" s="99">
        <v>45913</v>
      </c>
      <c r="S82" s="99">
        <v>45918</v>
      </c>
      <c r="T82" s="100">
        <f t="shared" si="1"/>
        <v>5</v>
      </c>
      <c r="U82" s="103">
        <v>1</v>
      </c>
      <c r="V82" s="103">
        <v>1</v>
      </c>
      <c r="W82" s="103">
        <v>0</v>
      </c>
      <c r="X82" s="103">
        <v>1</v>
      </c>
      <c r="Y82" s="103">
        <v>0</v>
      </c>
      <c r="Z82" s="103">
        <v>1</v>
      </c>
      <c r="AA82" s="103">
        <v>0</v>
      </c>
      <c r="AB82" s="103"/>
      <c r="AC82" s="105">
        <v>45913</v>
      </c>
      <c r="AD82" s="106">
        <v>0.58680555555474712</v>
      </c>
      <c r="AE82" s="103" t="s">
        <v>61</v>
      </c>
      <c r="AF82" s="105">
        <v>45918</v>
      </c>
      <c r="AG82" s="106">
        <v>0.44097222221898846</v>
      </c>
      <c r="AH82" s="103" t="s">
        <v>1846</v>
      </c>
      <c r="AI82" s="103" t="s">
        <v>1782</v>
      </c>
      <c r="AJ82" s="103" t="s">
        <v>64</v>
      </c>
      <c r="AK82" s="103" t="s">
        <v>64</v>
      </c>
      <c r="AL82" s="103" t="s">
        <v>1550</v>
      </c>
      <c r="AM82" s="103" t="s">
        <v>65</v>
      </c>
      <c r="AN82" s="102" t="s">
        <v>64</v>
      </c>
      <c r="AO82" s="61"/>
    </row>
    <row r="83" spans="3:41" ht="14.25" customHeight="1">
      <c r="C83" s="55" t="str">
        <f>IF($X83=1,COUNTIF($C$10:C82,"&gt;0")+1,"")</f>
        <v/>
      </c>
      <c r="D83" s="56"/>
      <c r="E83" s="103" t="s">
        <v>1776</v>
      </c>
      <c r="F83" s="104" t="s">
        <v>1847</v>
      </c>
      <c r="G83" s="103" t="s">
        <v>1842</v>
      </c>
      <c r="H83" s="103" t="s">
        <v>1848</v>
      </c>
      <c r="I83" s="103" t="s">
        <v>1844</v>
      </c>
      <c r="J83" s="103" t="s">
        <v>68</v>
      </c>
      <c r="K83" s="103" t="s">
        <v>59</v>
      </c>
      <c r="L83" s="105">
        <v>23536</v>
      </c>
      <c r="M83" s="103">
        <v>61</v>
      </c>
      <c r="N83" s="103" t="s">
        <v>1849</v>
      </c>
      <c r="O83" s="105">
        <v>47070</v>
      </c>
      <c r="P83" s="103" t="s">
        <v>4</v>
      </c>
      <c r="Q83" s="103"/>
      <c r="R83" s="99">
        <v>45913</v>
      </c>
      <c r="S83" s="99">
        <v>45918</v>
      </c>
      <c r="T83" s="100">
        <f t="shared" si="1"/>
        <v>5</v>
      </c>
      <c r="U83" s="103">
        <v>1</v>
      </c>
      <c r="V83" s="103">
        <v>1</v>
      </c>
      <c r="W83" s="103">
        <v>0</v>
      </c>
      <c r="X83" s="103">
        <v>0</v>
      </c>
      <c r="Y83" s="103">
        <v>0</v>
      </c>
      <c r="Z83" s="103">
        <v>0</v>
      </c>
      <c r="AA83" s="103">
        <v>0</v>
      </c>
      <c r="AB83" s="103"/>
      <c r="AC83" s="105">
        <v>45913</v>
      </c>
      <c r="AD83" s="106">
        <v>0.58680555555474712</v>
      </c>
      <c r="AE83" s="103" t="s">
        <v>61</v>
      </c>
      <c r="AF83" s="105">
        <v>45918</v>
      </c>
      <c r="AG83" s="106">
        <v>0.44097222221898846</v>
      </c>
      <c r="AH83" s="103" t="s">
        <v>1846</v>
      </c>
      <c r="AI83" s="103" t="s">
        <v>1782</v>
      </c>
      <c r="AJ83" s="103" t="s">
        <v>64</v>
      </c>
      <c r="AK83" s="103" t="s">
        <v>64</v>
      </c>
      <c r="AL83" s="103" t="s">
        <v>1550</v>
      </c>
      <c r="AM83" s="103" t="s">
        <v>65</v>
      </c>
      <c r="AN83" s="102" t="s">
        <v>64</v>
      </c>
      <c r="AO83" s="61"/>
    </row>
    <row r="84" spans="3:41" ht="14.25" customHeight="1">
      <c r="C84" s="55">
        <f>IF($X84=1,COUNTIF($C$10:C83,"&gt;0")+1,"")</f>
        <v>37</v>
      </c>
      <c r="D84" s="56">
        <v>47840603</v>
      </c>
      <c r="E84" s="103" t="s">
        <v>1776</v>
      </c>
      <c r="F84" s="104" t="s">
        <v>1850</v>
      </c>
      <c r="G84" s="103" t="s">
        <v>1850</v>
      </c>
      <c r="H84" s="103" t="s">
        <v>1851</v>
      </c>
      <c r="I84" s="103" t="s">
        <v>1852</v>
      </c>
      <c r="J84" s="103" t="s">
        <v>68</v>
      </c>
      <c r="K84" s="103" t="s">
        <v>59</v>
      </c>
      <c r="L84" s="105">
        <v>23942</v>
      </c>
      <c r="M84" s="103">
        <v>60</v>
      </c>
      <c r="N84" s="103" t="s">
        <v>1853</v>
      </c>
      <c r="O84" s="105">
        <v>45999</v>
      </c>
      <c r="P84" s="103" t="s">
        <v>5</v>
      </c>
      <c r="Q84" s="103"/>
      <c r="R84" s="99">
        <v>45913</v>
      </c>
      <c r="S84" s="99">
        <v>45918</v>
      </c>
      <c r="T84" s="100">
        <f t="shared" si="1"/>
        <v>5</v>
      </c>
      <c r="U84" s="103">
        <v>1</v>
      </c>
      <c r="V84" s="103">
        <v>1</v>
      </c>
      <c r="W84" s="103">
        <v>0</v>
      </c>
      <c r="X84" s="103">
        <v>1</v>
      </c>
      <c r="Y84" s="103">
        <v>0</v>
      </c>
      <c r="Z84" s="103">
        <v>0</v>
      </c>
      <c r="AA84" s="103">
        <v>1</v>
      </c>
      <c r="AB84" s="103"/>
      <c r="AC84" s="105">
        <v>45913</v>
      </c>
      <c r="AD84" s="106">
        <v>0.58680555555474712</v>
      </c>
      <c r="AE84" s="103" t="s">
        <v>61</v>
      </c>
      <c r="AF84" s="105">
        <v>45918</v>
      </c>
      <c r="AG84" s="106">
        <v>0.36805555555474712</v>
      </c>
      <c r="AH84" s="103" t="s">
        <v>1854</v>
      </c>
      <c r="AI84" s="103" t="s">
        <v>1782</v>
      </c>
      <c r="AJ84" s="103" t="s">
        <v>64</v>
      </c>
      <c r="AK84" s="103" t="s">
        <v>64</v>
      </c>
      <c r="AL84" s="103" t="s">
        <v>1550</v>
      </c>
      <c r="AM84" s="103" t="s">
        <v>65</v>
      </c>
      <c r="AN84" s="102" t="s">
        <v>64</v>
      </c>
      <c r="AO84" s="61"/>
    </row>
    <row r="85" spans="3:41" ht="14.25" customHeight="1">
      <c r="C85" s="55" t="str">
        <f>IF($X85=1,COUNTIF($C$10:C84,"&gt;0")+1,"")</f>
        <v/>
      </c>
      <c r="D85" s="56"/>
      <c r="E85" s="103" t="s">
        <v>1776</v>
      </c>
      <c r="F85" s="104" t="s">
        <v>1855</v>
      </c>
      <c r="G85" s="103" t="s">
        <v>1850</v>
      </c>
      <c r="H85" s="103" t="s">
        <v>1856</v>
      </c>
      <c r="I85" s="103" t="s">
        <v>1857</v>
      </c>
      <c r="J85" s="103" t="s">
        <v>68</v>
      </c>
      <c r="K85" s="103" t="s">
        <v>59</v>
      </c>
      <c r="L85" s="105">
        <v>22807</v>
      </c>
      <c r="M85" s="103">
        <v>63</v>
      </c>
      <c r="N85" s="103" t="s">
        <v>1858</v>
      </c>
      <c r="O85" s="105">
        <v>48303</v>
      </c>
      <c r="P85" s="103" t="s">
        <v>5</v>
      </c>
      <c r="Q85" s="103"/>
      <c r="R85" s="99">
        <v>45913</v>
      </c>
      <c r="S85" s="99">
        <v>45918</v>
      </c>
      <c r="T85" s="100">
        <f t="shared" si="1"/>
        <v>5</v>
      </c>
      <c r="U85" s="103">
        <v>1</v>
      </c>
      <c r="V85" s="103">
        <v>1</v>
      </c>
      <c r="W85" s="103">
        <v>0</v>
      </c>
      <c r="X85" s="103">
        <v>0</v>
      </c>
      <c r="Y85" s="103">
        <v>0</v>
      </c>
      <c r="Z85" s="103">
        <v>0</v>
      </c>
      <c r="AA85" s="103">
        <v>0</v>
      </c>
      <c r="AB85" s="103"/>
      <c r="AC85" s="105">
        <v>45913</v>
      </c>
      <c r="AD85" s="106">
        <v>0.58680555555474712</v>
      </c>
      <c r="AE85" s="103" t="s">
        <v>61</v>
      </c>
      <c r="AF85" s="105">
        <v>45918</v>
      </c>
      <c r="AG85" s="106">
        <v>0.36805555555474712</v>
      </c>
      <c r="AH85" s="103" t="s">
        <v>1854</v>
      </c>
      <c r="AI85" s="103" t="s">
        <v>1782</v>
      </c>
      <c r="AJ85" s="103" t="s">
        <v>64</v>
      </c>
      <c r="AK85" s="103" t="s">
        <v>64</v>
      </c>
      <c r="AL85" s="103" t="s">
        <v>1550</v>
      </c>
      <c r="AM85" s="103" t="s">
        <v>65</v>
      </c>
      <c r="AN85" s="102" t="s">
        <v>64</v>
      </c>
      <c r="AO85" s="61"/>
    </row>
    <row r="86" spans="3:41" ht="14.25" customHeight="1">
      <c r="C86" s="55">
        <f>IF($X86=1,COUNTIF($C$10:C85,"&gt;0")+1,"")</f>
        <v>38</v>
      </c>
      <c r="D86" s="56">
        <v>60715938</v>
      </c>
      <c r="E86" s="103" t="s">
        <v>1776</v>
      </c>
      <c r="F86" s="104" t="s">
        <v>1859</v>
      </c>
      <c r="G86" s="103" t="s">
        <v>1859</v>
      </c>
      <c r="H86" s="103" t="s">
        <v>1860</v>
      </c>
      <c r="I86" s="103" t="s">
        <v>1861</v>
      </c>
      <c r="J86" s="103" t="s">
        <v>68</v>
      </c>
      <c r="K86" s="103" t="s">
        <v>59</v>
      </c>
      <c r="L86" s="105">
        <v>24869</v>
      </c>
      <c r="M86" s="103">
        <v>57</v>
      </c>
      <c r="N86" s="103" t="s">
        <v>1862</v>
      </c>
      <c r="O86" s="105">
        <v>49465</v>
      </c>
      <c r="P86" s="103" t="s">
        <v>4</v>
      </c>
      <c r="Q86" s="103"/>
      <c r="R86" s="99">
        <v>45913</v>
      </c>
      <c r="S86" s="99">
        <v>45918</v>
      </c>
      <c r="T86" s="100">
        <f t="shared" si="1"/>
        <v>5</v>
      </c>
      <c r="U86" s="103">
        <v>1</v>
      </c>
      <c r="V86" s="103">
        <v>1</v>
      </c>
      <c r="W86" s="103">
        <v>0</v>
      </c>
      <c r="X86" s="103">
        <v>1</v>
      </c>
      <c r="Y86" s="103">
        <v>0</v>
      </c>
      <c r="Z86" s="103">
        <v>1</v>
      </c>
      <c r="AA86" s="103">
        <v>0</v>
      </c>
      <c r="AB86" s="103"/>
      <c r="AC86" s="105">
        <v>45913</v>
      </c>
      <c r="AD86" s="106">
        <v>0.18055555555474712</v>
      </c>
      <c r="AE86" s="103" t="s">
        <v>408</v>
      </c>
      <c r="AF86" s="105">
        <v>45918</v>
      </c>
      <c r="AG86" s="106">
        <v>0.53472222221898846</v>
      </c>
      <c r="AH86" s="103" t="s">
        <v>1599</v>
      </c>
      <c r="AI86" s="103" t="s">
        <v>1782</v>
      </c>
      <c r="AJ86" s="103" t="s">
        <v>64</v>
      </c>
      <c r="AK86" s="103" t="s">
        <v>64</v>
      </c>
      <c r="AL86" s="103" t="s">
        <v>1550</v>
      </c>
      <c r="AM86" s="103" t="s">
        <v>65</v>
      </c>
      <c r="AN86" s="102" t="s">
        <v>64</v>
      </c>
      <c r="AO86" s="61"/>
    </row>
    <row r="87" spans="3:41" ht="14.25" customHeight="1">
      <c r="C87" s="55" t="str">
        <f>IF($X87=1,COUNTIF($C$10:C86,"&gt;0")+1,"")</f>
        <v/>
      </c>
      <c r="D87" s="56"/>
      <c r="E87" s="103" t="s">
        <v>1776</v>
      </c>
      <c r="F87" s="104" t="s">
        <v>1863</v>
      </c>
      <c r="G87" s="103" t="s">
        <v>1859</v>
      </c>
      <c r="H87" s="103" t="s">
        <v>1864</v>
      </c>
      <c r="I87" s="103" t="s">
        <v>1865</v>
      </c>
      <c r="J87" s="103" t="s">
        <v>58</v>
      </c>
      <c r="K87" s="103" t="s">
        <v>59</v>
      </c>
      <c r="L87" s="105">
        <v>26629</v>
      </c>
      <c r="M87" s="103">
        <v>52</v>
      </c>
      <c r="N87" s="103" t="s">
        <v>1866</v>
      </c>
      <c r="O87" s="105">
        <v>48794</v>
      </c>
      <c r="P87" s="103" t="s">
        <v>4</v>
      </c>
      <c r="Q87" s="103"/>
      <c r="R87" s="99">
        <v>45913</v>
      </c>
      <c r="S87" s="99">
        <v>45918</v>
      </c>
      <c r="T87" s="100">
        <f t="shared" si="1"/>
        <v>5</v>
      </c>
      <c r="U87" s="103">
        <v>1</v>
      </c>
      <c r="V87" s="103">
        <v>1</v>
      </c>
      <c r="W87" s="103">
        <v>0</v>
      </c>
      <c r="X87" s="103">
        <v>0</v>
      </c>
      <c r="Y87" s="103">
        <v>0</v>
      </c>
      <c r="Z87" s="103">
        <v>0</v>
      </c>
      <c r="AA87" s="103">
        <v>0</v>
      </c>
      <c r="AB87" s="103"/>
      <c r="AC87" s="105">
        <v>45913</v>
      </c>
      <c r="AD87" s="106">
        <v>0.18055555555474712</v>
      </c>
      <c r="AE87" s="103" t="s">
        <v>408</v>
      </c>
      <c r="AF87" s="105">
        <v>45918</v>
      </c>
      <c r="AG87" s="106">
        <v>0.53472222221898846</v>
      </c>
      <c r="AH87" s="103" t="s">
        <v>1599</v>
      </c>
      <c r="AI87" s="103" t="s">
        <v>1782</v>
      </c>
      <c r="AJ87" s="103" t="s">
        <v>64</v>
      </c>
      <c r="AK87" s="103" t="s">
        <v>64</v>
      </c>
      <c r="AL87" s="103" t="s">
        <v>1550</v>
      </c>
      <c r="AM87" s="103" t="s">
        <v>65</v>
      </c>
      <c r="AN87" s="102" t="s">
        <v>64</v>
      </c>
      <c r="AO87" s="61"/>
    </row>
    <row r="88" spans="3:41" ht="14.25" customHeight="1">
      <c r="C88" s="55">
        <f>IF($X88=1,COUNTIF($C$10:C87,"&gt;0")+1,"")</f>
        <v>39</v>
      </c>
      <c r="D88" s="56">
        <v>21615795</v>
      </c>
      <c r="E88" s="103" t="s">
        <v>1776</v>
      </c>
      <c r="F88" s="104" t="s">
        <v>1867</v>
      </c>
      <c r="G88" s="103" t="s">
        <v>1867</v>
      </c>
      <c r="H88" s="103" t="s">
        <v>1868</v>
      </c>
      <c r="I88" s="103" t="s">
        <v>1869</v>
      </c>
      <c r="J88" s="103" t="s">
        <v>58</v>
      </c>
      <c r="K88" s="103" t="s">
        <v>59</v>
      </c>
      <c r="L88" s="105">
        <v>37948</v>
      </c>
      <c r="M88" s="103">
        <v>21</v>
      </c>
      <c r="N88" s="103" t="s">
        <v>1870</v>
      </c>
      <c r="O88" s="105">
        <v>49414</v>
      </c>
      <c r="P88" s="103" t="s">
        <v>4</v>
      </c>
      <c r="Q88" s="103"/>
      <c r="R88" s="99">
        <v>45913</v>
      </c>
      <c r="S88" s="99">
        <v>45918</v>
      </c>
      <c r="T88" s="100">
        <f t="shared" si="1"/>
        <v>5</v>
      </c>
      <c r="U88" s="103">
        <v>1</v>
      </c>
      <c r="V88" s="103">
        <v>1</v>
      </c>
      <c r="W88" s="103">
        <v>0</v>
      </c>
      <c r="X88" s="103">
        <v>1</v>
      </c>
      <c r="Y88" s="103">
        <v>0</v>
      </c>
      <c r="Z88" s="103">
        <v>1</v>
      </c>
      <c r="AA88" s="103">
        <v>0</v>
      </c>
      <c r="AB88" s="103"/>
      <c r="AC88" s="105">
        <v>45913</v>
      </c>
      <c r="AD88" s="106">
        <v>0.18055555555474712</v>
      </c>
      <c r="AE88" s="103" t="s">
        <v>408</v>
      </c>
      <c r="AF88" s="105">
        <v>45918</v>
      </c>
      <c r="AG88" s="106">
        <v>0.52777777778101154</v>
      </c>
      <c r="AH88" s="103" t="s">
        <v>842</v>
      </c>
      <c r="AI88" s="103" t="s">
        <v>1782</v>
      </c>
      <c r="AJ88" s="103" t="s">
        <v>64</v>
      </c>
      <c r="AK88" s="103" t="s">
        <v>64</v>
      </c>
      <c r="AL88" s="103" t="s">
        <v>1550</v>
      </c>
      <c r="AM88" s="103" t="s">
        <v>65</v>
      </c>
      <c r="AN88" s="102" t="s">
        <v>64</v>
      </c>
      <c r="AO88" s="61"/>
    </row>
    <row r="89" spans="3:41" ht="14.25" customHeight="1">
      <c r="C89" s="55" t="str">
        <f>IF($X89=1,COUNTIF($C$10:C88,"&gt;0")+1,"")</f>
        <v/>
      </c>
      <c r="D89" s="56"/>
      <c r="E89" s="103" t="s">
        <v>1776</v>
      </c>
      <c r="F89" s="104" t="s">
        <v>1871</v>
      </c>
      <c r="G89" s="103" t="s">
        <v>1867</v>
      </c>
      <c r="H89" s="103" t="s">
        <v>1872</v>
      </c>
      <c r="I89" s="103" t="s">
        <v>1873</v>
      </c>
      <c r="J89" s="103" t="s">
        <v>68</v>
      </c>
      <c r="K89" s="103" t="s">
        <v>59</v>
      </c>
      <c r="L89" s="105">
        <v>37948</v>
      </c>
      <c r="M89" s="103">
        <v>21</v>
      </c>
      <c r="N89" s="103" t="s">
        <v>1874</v>
      </c>
      <c r="O89" s="105">
        <v>49414</v>
      </c>
      <c r="P89" s="103" t="s">
        <v>4</v>
      </c>
      <c r="Q89" s="103"/>
      <c r="R89" s="99">
        <v>45913</v>
      </c>
      <c r="S89" s="99">
        <v>45918</v>
      </c>
      <c r="T89" s="100">
        <f t="shared" si="1"/>
        <v>5</v>
      </c>
      <c r="U89" s="103">
        <v>1</v>
      </c>
      <c r="V89" s="103">
        <v>1</v>
      </c>
      <c r="W89" s="103">
        <v>0</v>
      </c>
      <c r="X89" s="103">
        <v>0</v>
      </c>
      <c r="Y89" s="103">
        <v>0</v>
      </c>
      <c r="Z89" s="103">
        <v>0</v>
      </c>
      <c r="AA89" s="103">
        <v>0</v>
      </c>
      <c r="AB89" s="103"/>
      <c r="AC89" s="105">
        <v>45913</v>
      </c>
      <c r="AD89" s="106">
        <v>0.18055555555474712</v>
      </c>
      <c r="AE89" s="103" t="s">
        <v>408</v>
      </c>
      <c r="AF89" s="105">
        <v>45918</v>
      </c>
      <c r="AG89" s="106">
        <v>0.52777777778101154</v>
      </c>
      <c r="AH89" s="103" t="s">
        <v>842</v>
      </c>
      <c r="AI89" s="103" t="s">
        <v>1782</v>
      </c>
      <c r="AJ89" s="103" t="s">
        <v>64</v>
      </c>
      <c r="AK89" s="103" t="s">
        <v>64</v>
      </c>
      <c r="AL89" s="103" t="s">
        <v>1550</v>
      </c>
      <c r="AM89" s="103" t="s">
        <v>65</v>
      </c>
      <c r="AN89" s="102" t="s">
        <v>64</v>
      </c>
      <c r="AO89" s="61"/>
    </row>
    <row r="90" spans="3:41" ht="14.25" customHeight="1">
      <c r="C90" s="55">
        <f>IF($X90=1,COUNTIF($C$10:C89,"&gt;0")+1,"")</f>
        <v>40</v>
      </c>
      <c r="D90" s="56">
        <v>45321520</v>
      </c>
      <c r="E90" s="103" t="s">
        <v>1776</v>
      </c>
      <c r="F90" s="104" t="s">
        <v>1875</v>
      </c>
      <c r="G90" s="103" t="s">
        <v>1875</v>
      </c>
      <c r="H90" s="103" t="s">
        <v>1006</v>
      </c>
      <c r="I90" s="103" t="s">
        <v>1873</v>
      </c>
      <c r="J90" s="103" t="s">
        <v>68</v>
      </c>
      <c r="K90" s="103" t="s">
        <v>59</v>
      </c>
      <c r="L90" s="105">
        <v>34067</v>
      </c>
      <c r="M90" s="103">
        <v>32</v>
      </c>
      <c r="N90" s="103" t="s">
        <v>1876</v>
      </c>
      <c r="O90" s="105">
        <v>46909</v>
      </c>
      <c r="P90" s="103" t="s">
        <v>4</v>
      </c>
      <c r="Q90" s="103"/>
      <c r="R90" s="99">
        <v>45913</v>
      </c>
      <c r="S90" s="99">
        <v>45918</v>
      </c>
      <c r="T90" s="100">
        <f t="shared" si="1"/>
        <v>5</v>
      </c>
      <c r="U90" s="103">
        <v>1</v>
      </c>
      <c r="V90" s="103">
        <v>1</v>
      </c>
      <c r="W90" s="103">
        <v>0</v>
      </c>
      <c r="X90" s="103">
        <v>1</v>
      </c>
      <c r="Y90" s="103">
        <v>0</v>
      </c>
      <c r="Z90" s="103">
        <v>1</v>
      </c>
      <c r="AA90" s="103">
        <v>0</v>
      </c>
      <c r="AB90" s="103"/>
      <c r="AC90" s="105">
        <v>45913</v>
      </c>
      <c r="AD90" s="106">
        <v>0.18055555555474712</v>
      </c>
      <c r="AE90" s="103" t="s">
        <v>408</v>
      </c>
      <c r="AF90" s="105">
        <v>45918</v>
      </c>
      <c r="AG90" s="106">
        <v>0.53472222221898846</v>
      </c>
      <c r="AH90" s="103" t="s">
        <v>1599</v>
      </c>
      <c r="AI90" s="103" t="s">
        <v>1782</v>
      </c>
      <c r="AJ90" s="103" t="s">
        <v>64</v>
      </c>
      <c r="AK90" s="103" t="s">
        <v>64</v>
      </c>
      <c r="AL90" s="103" t="s">
        <v>1550</v>
      </c>
      <c r="AM90" s="103" t="s">
        <v>65</v>
      </c>
      <c r="AN90" s="102" t="s">
        <v>64</v>
      </c>
      <c r="AO90" s="61"/>
    </row>
    <row r="91" spans="3:41" ht="14.25" customHeight="1">
      <c r="C91" s="55" t="str">
        <f>IF($X91=1,COUNTIF($C$10:C90,"&gt;0")+1,"")</f>
        <v/>
      </c>
      <c r="D91" s="56"/>
      <c r="E91" s="103" t="s">
        <v>1776</v>
      </c>
      <c r="F91" s="104" t="s">
        <v>1877</v>
      </c>
      <c r="G91" s="103" t="s">
        <v>1875</v>
      </c>
      <c r="H91" s="103" t="s">
        <v>1878</v>
      </c>
      <c r="I91" s="103" t="s">
        <v>82</v>
      </c>
      <c r="J91" s="103" t="s">
        <v>68</v>
      </c>
      <c r="K91" s="103" t="s">
        <v>59</v>
      </c>
      <c r="L91" s="105">
        <v>35633</v>
      </c>
      <c r="M91" s="103">
        <v>28</v>
      </c>
      <c r="N91" s="103" t="s">
        <v>1879</v>
      </c>
      <c r="O91" s="105">
        <v>49163</v>
      </c>
      <c r="P91" s="103" t="s">
        <v>4</v>
      </c>
      <c r="Q91" s="103"/>
      <c r="R91" s="99">
        <v>45913</v>
      </c>
      <c r="S91" s="99">
        <v>45918</v>
      </c>
      <c r="T91" s="100">
        <f t="shared" si="1"/>
        <v>5</v>
      </c>
      <c r="U91" s="103">
        <v>1</v>
      </c>
      <c r="V91" s="103">
        <v>1</v>
      </c>
      <c r="W91" s="103">
        <v>0</v>
      </c>
      <c r="X91" s="103">
        <v>0</v>
      </c>
      <c r="Y91" s="103">
        <v>0</v>
      </c>
      <c r="Z91" s="103">
        <v>0</v>
      </c>
      <c r="AA91" s="103">
        <v>0</v>
      </c>
      <c r="AB91" s="103"/>
      <c r="AC91" s="105">
        <v>45913</v>
      </c>
      <c r="AD91" s="106">
        <v>0.18055555555474712</v>
      </c>
      <c r="AE91" s="103" t="s">
        <v>408</v>
      </c>
      <c r="AF91" s="105">
        <v>45918</v>
      </c>
      <c r="AG91" s="106">
        <v>0.52777777778101154</v>
      </c>
      <c r="AH91" s="103" t="s">
        <v>842</v>
      </c>
      <c r="AI91" s="103" t="s">
        <v>1782</v>
      </c>
      <c r="AJ91" s="103" t="s">
        <v>64</v>
      </c>
      <c r="AK91" s="103" t="s">
        <v>64</v>
      </c>
      <c r="AL91" s="103" t="s">
        <v>1550</v>
      </c>
      <c r="AM91" s="103" t="s">
        <v>65</v>
      </c>
      <c r="AN91" s="102" t="s">
        <v>64</v>
      </c>
      <c r="AO91" s="61"/>
    </row>
    <row r="92" spans="3:41" ht="14.25" customHeight="1">
      <c r="C92" s="55">
        <f>IF($X92=1,COUNTIF($C$10:C91,"&gt;0")+1,"")</f>
        <v>41</v>
      </c>
      <c r="D92" s="56">
        <v>44360432</v>
      </c>
      <c r="E92" s="103" t="s">
        <v>1776</v>
      </c>
      <c r="F92" s="104" t="s">
        <v>1880</v>
      </c>
      <c r="G92" s="103" t="s">
        <v>1880</v>
      </c>
      <c r="H92" s="103" t="s">
        <v>1881</v>
      </c>
      <c r="I92" s="103" t="s">
        <v>1882</v>
      </c>
      <c r="J92" s="103" t="s">
        <v>58</v>
      </c>
      <c r="K92" s="103" t="s">
        <v>59</v>
      </c>
      <c r="L92" s="105">
        <v>37266</v>
      </c>
      <c r="M92" s="103">
        <v>23</v>
      </c>
      <c r="N92" s="103" t="s">
        <v>1883</v>
      </c>
      <c r="O92" s="105">
        <v>47880</v>
      </c>
      <c r="P92" s="103" t="s">
        <v>5</v>
      </c>
      <c r="Q92" s="103"/>
      <c r="R92" s="99">
        <v>45913</v>
      </c>
      <c r="S92" s="99">
        <v>45918</v>
      </c>
      <c r="T92" s="100">
        <f t="shared" si="1"/>
        <v>5</v>
      </c>
      <c r="U92" s="103">
        <v>1</v>
      </c>
      <c r="V92" s="103">
        <v>1</v>
      </c>
      <c r="W92" s="103">
        <v>0</v>
      </c>
      <c r="X92" s="103">
        <v>1</v>
      </c>
      <c r="Y92" s="103">
        <v>0</v>
      </c>
      <c r="Z92" s="103">
        <v>0</v>
      </c>
      <c r="AA92" s="103">
        <v>1</v>
      </c>
      <c r="AB92" s="103"/>
      <c r="AC92" s="105">
        <v>45913</v>
      </c>
      <c r="AD92" s="106">
        <v>0.18055555555474712</v>
      </c>
      <c r="AE92" s="103" t="s">
        <v>408</v>
      </c>
      <c r="AF92" s="105">
        <v>45918</v>
      </c>
      <c r="AG92" s="106">
        <v>0.53472222221898846</v>
      </c>
      <c r="AH92" s="103" t="s">
        <v>1599</v>
      </c>
      <c r="AI92" s="103" t="s">
        <v>1782</v>
      </c>
      <c r="AJ92" s="103" t="s">
        <v>64</v>
      </c>
      <c r="AK92" s="103" t="s">
        <v>64</v>
      </c>
      <c r="AL92" s="103" t="s">
        <v>1550</v>
      </c>
      <c r="AM92" s="103" t="s">
        <v>65</v>
      </c>
      <c r="AN92" s="102" t="s">
        <v>64</v>
      </c>
      <c r="AO92" s="61"/>
    </row>
    <row r="93" spans="3:41" ht="14.25" customHeight="1">
      <c r="C93" s="55" t="str">
        <f>IF($X93=1,COUNTIF($C$10:C92,"&gt;0")+1,"")</f>
        <v/>
      </c>
      <c r="D93" s="56"/>
      <c r="E93" s="103" t="s">
        <v>1776</v>
      </c>
      <c r="F93" s="104" t="s">
        <v>1884</v>
      </c>
      <c r="G93" s="103" t="s">
        <v>1880</v>
      </c>
      <c r="H93" s="110" t="s">
        <v>1885</v>
      </c>
      <c r="I93" s="110" t="s">
        <v>1886</v>
      </c>
      <c r="J93" s="110" t="s">
        <v>58</v>
      </c>
      <c r="K93" s="110" t="s">
        <v>59</v>
      </c>
      <c r="L93" s="112">
        <v>37319</v>
      </c>
      <c r="M93" s="110">
        <v>23</v>
      </c>
      <c r="N93" s="110" t="s">
        <v>1887</v>
      </c>
      <c r="O93" s="112">
        <v>49449</v>
      </c>
      <c r="P93" s="103" t="s">
        <v>5</v>
      </c>
      <c r="Q93" s="103"/>
      <c r="R93" s="99">
        <v>45913</v>
      </c>
      <c r="S93" s="99">
        <v>45918</v>
      </c>
      <c r="T93" s="100">
        <f t="shared" si="1"/>
        <v>5</v>
      </c>
      <c r="U93" s="103">
        <v>1</v>
      </c>
      <c r="V93" s="103">
        <v>1</v>
      </c>
      <c r="W93" s="103">
        <v>0</v>
      </c>
      <c r="X93" s="103">
        <v>0</v>
      </c>
      <c r="Y93" s="103">
        <v>0</v>
      </c>
      <c r="Z93" s="103">
        <v>0</v>
      </c>
      <c r="AA93" s="103">
        <v>0</v>
      </c>
      <c r="AB93" s="103"/>
      <c r="AC93" s="105">
        <v>45913</v>
      </c>
      <c r="AD93" s="106">
        <v>0.18055555555474712</v>
      </c>
      <c r="AE93" s="103" t="s">
        <v>408</v>
      </c>
      <c r="AF93" s="105">
        <v>45918</v>
      </c>
      <c r="AG93" s="106">
        <v>0.53472222221898846</v>
      </c>
      <c r="AH93" s="103" t="s">
        <v>1599</v>
      </c>
      <c r="AI93" s="103" t="s">
        <v>1782</v>
      </c>
      <c r="AJ93" s="103" t="s">
        <v>64</v>
      </c>
      <c r="AK93" s="103" t="s">
        <v>64</v>
      </c>
      <c r="AL93" s="103" t="s">
        <v>1550</v>
      </c>
      <c r="AM93" s="103" t="s">
        <v>65</v>
      </c>
      <c r="AN93" s="102" t="s">
        <v>64</v>
      </c>
      <c r="AO93" s="64" t="s">
        <v>1888</v>
      </c>
    </row>
    <row r="94" spans="3:41" ht="14.25" customHeight="1">
      <c r="C94" s="55">
        <f>IF($X94=1,COUNTIF($C$10:C93,"&gt;0")+1,"")</f>
        <v>42</v>
      </c>
      <c r="D94" s="56">
        <v>48593576</v>
      </c>
      <c r="E94" s="103" t="s">
        <v>1776</v>
      </c>
      <c r="F94" s="104" t="s">
        <v>1889</v>
      </c>
      <c r="G94" s="103" t="s">
        <v>1889</v>
      </c>
      <c r="H94" s="103" t="s">
        <v>1890</v>
      </c>
      <c r="I94" s="103" t="s">
        <v>1891</v>
      </c>
      <c r="J94" s="103" t="s">
        <v>58</v>
      </c>
      <c r="K94" s="103" t="s">
        <v>59</v>
      </c>
      <c r="L94" s="105">
        <v>23247</v>
      </c>
      <c r="M94" s="103">
        <v>62</v>
      </c>
      <c r="N94" s="103" t="s">
        <v>1892</v>
      </c>
      <c r="O94" s="105">
        <v>48082</v>
      </c>
      <c r="P94" s="103" t="s">
        <v>4</v>
      </c>
      <c r="Q94" s="103"/>
      <c r="R94" s="99">
        <v>45913</v>
      </c>
      <c r="S94" s="99">
        <v>45918</v>
      </c>
      <c r="T94" s="100">
        <f t="shared" si="1"/>
        <v>5</v>
      </c>
      <c r="U94" s="103">
        <v>1</v>
      </c>
      <c r="V94" s="103">
        <v>1</v>
      </c>
      <c r="W94" s="103">
        <v>0</v>
      </c>
      <c r="X94" s="103">
        <v>1</v>
      </c>
      <c r="Y94" s="103">
        <v>0</v>
      </c>
      <c r="Z94" s="103">
        <v>1</v>
      </c>
      <c r="AA94" s="103">
        <v>0</v>
      </c>
      <c r="AB94" s="103"/>
      <c r="AC94" s="105">
        <v>45913</v>
      </c>
      <c r="AD94" s="106">
        <v>0.65625</v>
      </c>
      <c r="AE94" s="103" t="s">
        <v>1385</v>
      </c>
      <c r="AF94" s="105">
        <v>45918</v>
      </c>
      <c r="AG94" s="106">
        <v>0.53125</v>
      </c>
      <c r="AH94" s="103" t="s">
        <v>269</v>
      </c>
      <c r="AI94" s="103" t="s">
        <v>1782</v>
      </c>
      <c r="AJ94" s="103" t="s">
        <v>64</v>
      </c>
      <c r="AK94" s="103" t="s">
        <v>64</v>
      </c>
      <c r="AL94" s="103" t="s">
        <v>1550</v>
      </c>
      <c r="AM94" s="103" t="s">
        <v>65</v>
      </c>
      <c r="AN94" s="102" t="s">
        <v>64</v>
      </c>
      <c r="AO94" s="61"/>
    </row>
    <row r="95" spans="3:41" ht="14.25" customHeight="1">
      <c r="C95" s="55" t="str">
        <f>IF($X95=1,COUNTIF($C$10:C94,"&gt;0")+1,"")</f>
        <v/>
      </c>
      <c r="D95" s="56"/>
      <c r="E95" s="103" t="s">
        <v>1776</v>
      </c>
      <c r="F95" s="104" t="s">
        <v>1893</v>
      </c>
      <c r="G95" s="103" t="s">
        <v>1889</v>
      </c>
      <c r="H95" s="103" t="s">
        <v>1894</v>
      </c>
      <c r="I95" s="103" t="s">
        <v>1891</v>
      </c>
      <c r="J95" s="103" t="s">
        <v>68</v>
      </c>
      <c r="K95" s="103" t="s">
        <v>59</v>
      </c>
      <c r="L95" s="105">
        <v>21079</v>
      </c>
      <c r="M95" s="103">
        <v>68</v>
      </c>
      <c r="N95" s="103" t="s">
        <v>1895</v>
      </c>
      <c r="O95" s="105">
        <v>48756</v>
      </c>
      <c r="P95" s="103" t="s">
        <v>4</v>
      </c>
      <c r="Q95" s="103"/>
      <c r="R95" s="99">
        <v>45913</v>
      </c>
      <c r="S95" s="99">
        <v>45918</v>
      </c>
      <c r="T95" s="100">
        <f t="shared" si="1"/>
        <v>5</v>
      </c>
      <c r="U95" s="103">
        <v>1</v>
      </c>
      <c r="V95" s="103">
        <v>1</v>
      </c>
      <c r="W95" s="103">
        <v>0</v>
      </c>
      <c r="X95" s="103">
        <v>0</v>
      </c>
      <c r="Y95" s="103">
        <v>0</v>
      </c>
      <c r="Z95" s="103">
        <v>0</v>
      </c>
      <c r="AA95" s="103">
        <v>0</v>
      </c>
      <c r="AB95" s="103"/>
      <c r="AC95" s="105">
        <v>45913</v>
      </c>
      <c r="AD95" s="106">
        <v>0.65625</v>
      </c>
      <c r="AE95" s="103" t="s">
        <v>1385</v>
      </c>
      <c r="AF95" s="105">
        <v>45918</v>
      </c>
      <c r="AG95" s="106">
        <v>0.53125</v>
      </c>
      <c r="AH95" s="103" t="s">
        <v>269</v>
      </c>
      <c r="AI95" s="103" t="s">
        <v>1782</v>
      </c>
      <c r="AJ95" s="103" t="s">
        <v>64</v>
      </c>
      <c r="AK95" s="103" t="s">
        <v>64</v>
      </c>
      <c r="AL95" s="103" t="s">
        <v>1550</v>
      </c>
      <c r="AM95" s="103" t="s">
        <v>65</v>
      </c>
      <c r="AN95" s="102" t="s">
        <v>64</v>
      </c>
      <c r="AO95" s="61"/>
    </row>
    <row r="96" spans="3:41" ht="14.25" customHeight="1">
      <c r="C96" s="55">
        <f>IF($X96=1,COUNTIF($C$10:C95,"&gt;0")+1,"")</f>
        <v>43</v>
      </c>
      <c r="D96" s="56">
        <v>23924416</v>
      </c>
      <c r="E96" s="103" t="s">
        <v>1776</v>
      </c>
      <c r="F96" s="104" t="s">
        <v>1896</v>
      </c>
      <c r="G96" s="103" t="s">
        <v>1896</v>
      </c>
      <c r="H96" s="103" t="s">
        <v>1897</v>
      </c>
      <c r="I96" s="103" t="s">
        <v>1898</v>
      </c>
      <c r="J96" s="103" t="s">
        <v>68</v>
      </c>
      <c r="K96" s="103" t="s">
        <v>59</v>
      </c>
      <c r="L96" s="105">
        <v>17248</v>
      </c>
      <c r="M96" s="103">
        <v>78</v>
      </c>
      <c r="N96" s="103" t="s">
        <v>1899</v>
      </c>
      <c r="O96" s="105">
        <v>46418</v>
      </c>
      <c r="P96" s="103" t="s">
        <v>4</v>
      </c>
      <c r="Q96" s="103"/>
      <c r="R96" s="99">
        <v>45913</v>
      </c>
      <c r="S96" s="99">
        <v>45918</v>
      </c>
      <c r="T96" s="100">
        <f t="shared" si="1"/>
        <v>5</v>
      </c>
      <c r="U96" s="103">
        <v>1</v>
      </c>
      <c r="V96" s="103">
        <v>1</v>
      </c>
      <c r="W96" s="103">
        <v>0</v>
      </c>
      <c r="X96" s="103">
        <v>1</v>
      </c>
      <c r="Y96" s="103">
        <v>0</v>
      </c>
      <c r="Z96" s="103">
        <v>1</v>
      </c>
      <c r="AA96" s="103">
        <v>0</v>
      </c>
      <c r="AB96" s="103"/>
      <c r="AC96" s="105">
        <v>45913</v>
      </c>
      <c r="AD96" s="106">
        <v>0.58680555555474712</v>
      </c>
      <c r="AE96" s="103" t="s">
        <v>1780</v>
      </c>
      <c r="AF96" s="105">
        <v>45918</v>
      </c>
      <c r="AG96" s="106">
        <v>0.40625</v>
      </c>
      <c r="AH96" s="103" t="s">
        <v>1781</v>
      </c>
      <c r="AI96" s="103" t="s">
        <v>1782</v>
      </c>
      <c r="AJ96" s="103" t="s">
        <v>64</v>
      </c>
      <c r="AK96" s="103" t="s">
        <v>64</v>
      </c>
      <c r="AL96" s="103" t="s">
        <v>1550</v>
      </c>
      <c r="AM96" s="103" t="s">
        <v>65</v>
      </c>
      <c r="AN96" s="102" t="s">
        <v>64</v>
      </c>
      <c r="AO96" s="61"/>
    </row>
    <row r="97" spans="3:41" ht="14.25" customHeight="1">
      <c r="C97" s="55" t="str">
        <f>IF($X97=1,COUNTIF($C$10:C96,"&gt;0")+1,"")</f>
        <v/>
      </c>
      <c r="D97" s="56"/>
      <c r="E97" s="103" t="s">
        <v>1776</v>
      </c>
      <c r="F97" s="104" t="s">
        <v>1900</v>
      </c>
      <c r="G97" s="103" t="s">
        <v>1896</v>
      </c>
      <c r="H97" s="103" t="s">
        <v>1901</v>
      </c>
      <c r="I97" s="103" t="s">
        <v>446</v>
      </c>
      <c r="J97" s="103" t="s">
        <v>58</v>
      </c>
      <c r="K97" s="103" t="s">
        <v>59</v>
      </c>
      <c r="L97" s="105">
        <v>16641</v>
      </c>
      <c r="M97" s="103">
        <v>80</v>
      </c>
      <c r="N97" s="103" t="s">
        <v>1902</v>
      </c>
      <c r="O97" s="105">
        <v>46418</v>
      </c>
      <c r="P97" s="103" t="s">
        <v>4</v>
      </c>
      <c r="Q97" s="103"/>
      <c r="R97" s="99">
        <v>45913</v>
      </c>
      <c r="S97" s="99">
        <v>45918</v>
      </c>
      <c r="T97" s="100">
        <f t="shared" si="1"/>
        <v>5</v>
      </c>
      <c r="U97" s="103">
        <v>1</v>
      </c>
      <c r="V97" s="103">
        <v>1</v>
      </c>
      <c r="W97" s="103">
        <v>0</v>
      </c>
      <c r="X97" s="103">
        <v>0</v>
      </c>
      <c r="Y97" s="103">
        <v>0</v>
      </c>
      <c r="Z97" s="103">
        <v>0</v>
      </c>
      <c r="AA97" s="103">
        <v>0</v>
      </c>
      <c r="AB97" s="103"/>
      <c r="AC97" s="105">
        <v>45913</v>
      </c>
      <c r="AD97" s="106">
        <v>0.58680555555474712</v>
      </c>
      <c r="AE97" s="103" t="s">
        <v>1780</v>
      </c>
      <c r="AF97" s="105">
        <v>45918</v>
      </c>
      <c r="AG97" s="106">
        <v>0.40625</v>
      </c>
      <c r="AH97" s="103" t="s">
        <v>1781</v>
      </c>
      <c r="AI97" s="103" t="s">
        <v>1782</v>
      </c>
      <c r="AJ97" s="103" t="s">
        <v>64</v>
      </c>
      <c r="AK97" s="103" t="s">
        <v>64</v>
      </c>
      <c r="AL97" s="103" t="s">
        <v>1550</v>
      </c>
      <c r="AM97" s="103" t="s">
        <v>65</v>
      </c>
      <c r="AN97" s="102" t="s">
        <v>64</v>
      </c>
      <c r="AO97" s="61"/>
    </row>
    <row r="98" spans="3:41" ht="14.25" customHeight="1">
      <c r="C98" s="55">
        <f>IF($X98=1,COUNTIF($C$10:C97,"&gt;0")+1,"")</f>
        <v>44</v>
      </c>
      <c r="D98" s="56">
        <v>40617771</v>
      </c>
      <c r="E98" s="103" t="s">
        <v>1776</v>
      </c>
      <c r="F98" s="104" t="s">
        <v>1903</v>
      </c>
      <c r="G98" s="103" t="s">
        <v>1903</v>
      </c>
      <c r="H98" s="103" t="s">
        <v>1904</v>
      </c>
      <c r="I98" s="103" t="s">
        <v>1905</v>
      </c>
      <c r="J98" s="103" t="s">
        <v>68</v>
      </c>
      <c r="K98" s="103" t="s">
        <v>59</v>
      </c>
      <c r="L98" s="105">
        <v>29798</v>
      </c>
      <c r="M98" s="103">
        <v>44</v>
      </c>
      <c r="N98" s="103" t="s">
        <v>1906</v>
      </c>
      <c r="O98" s="105">
        <v>46192</v>
      </c>
      <c r="P98" s="103" t="s">
        <v>4</v>
      </c>
      <c r="Q98" s="103"/>
      <c r="R98" s="99">
        <v>45913</v>
      </c>
      <c r="S98" s="99">
        <v>45918</v>
      </c>
      <c r="T98" s="100">
        <f t="shared" si="1"/>
        <v>5</v>
      </c>
      <c r="U98" s="103">
        <v>1</v>
      </c>
      <c r="V98" s="103">
        <v>1</v>
      </c>
      <c r="W98" s="103">
        <v>0</v>
      </c>
      <c r="X98" s="103">
        <v>1</v>
      </c>
      <c r="Y98" s="103">
        <v>0</v>
      </c>
      <c r="Z98" s="103">
        <v>1</v>
      </c>
      <c r="AA98" s="103">
        <v>0</v>
      </c>
      <c r="AB98" s="103"/>
      <c r="AC98" s="105">
        <v>45913</v>
      </c>
      <c r="AD98" s="106">
        <v>0.67013888889050577</v>
      </c>
      <c r="AE98" s="103" t="s">
        <v>234</v>
      </c>
      <c r="AF98" s="105">
        <v>45918</v>
      </c>
      <c r="AG98" s="106">
        <v>0.79513888889050577</v>
      </c>
      <c r="AH98" s="103" t="s">
        <v>359</v>
      </c>
      <c r="AI98" s="103" t="s">
        <v>1782</v>
      </c>
      <c r="AJ98" s="103" t="s">
        <v>64</v>
      </c>
      <c r="AK98" s="103" t="s">
        <v>64</v>
      </c>
      <c r="AL98" s="103" t="s">
        <v>1550</v>
      </c>
      <c r="AM98" s="103" t="s">
        <v>65</v>
      </c>
      <c r="AN98" s="102" t="s">
        <v>64</v>
      </c>
      <c r="AO98" s="61"/>
    </row>
    <row r="99" spans="3:41" ht="14.25" customHeight="1">
      <c r="C99" s="55" t="str">
        <f>IF($X99=1,COUNTIF($C$10:C98,"&gt;0")+1,"")</f>
        <v/>
      </c>
      <c r="D99" s="56"/>
      <c r="E99" s="103" t="s">
        <v>1776</v>
      </c>
      <c r="F99" s="104" t="s">
        <v>1907</v>
      </c>
      <c r="G99" s="103" t="s">
        <v>1903</v>
      </c>
      <c r="H99" s="103" t="s">
        <v>1908</v>
      </c>
      <c r="I99" s="103" t="s">
        <v>1511</v>
      </c>
      <c r="J99" s="103" t="s">
        <v>68</v>
      </c>
      <c r="K99" s="103" t="s">
        <v>59</v>
      </c>
      <c r="L99" s="105">
        <v>20846</v>
      </c>
      <c r="M99" s="103">
        <v>68</v>
      </c>
      <c r="N99" s="103" t="s">
        <v>1909</v>
      </c>
      <c r="O99" s="105">
        <v>47934</v>
      </c>
      <c r="P99" s="103" t="s">
        <v>4</v>
      </c>
      <c r="Q99" s="103"/>
      <c r="R99" s="99">
        <v>45913</v>
      </c>
      <c r="S99" s="99">
        <v>45918</v>
      </c>
      <c r="T99" s="100">
        <f t="shared" si="1"/>
        <v>5</v>
      </c>
      <c r="U99" s="103">
        <v>1</v>
      </c>
      <c r="V99" s="103">
        <v>1</v>
      </c>
      <c r="W99" s="103">
        <v>0</v>
      </c>
      <c r="X99" s="103">
        <v>0</v>
      </c>
      <c r="Y99" s="103">
        <v>0</v>
      </c>
      <c r="Z99" s="103">
        <v>0</v>
      </c>
      <c r="AA99" s="103">
        <v>0</v>
      </c>
      <c r="AB99" s="103"/>
      <c r="AC99" s="105">
        <v>45913</v>
      </c>
      <c r="AD99" s="106">
        <v>0.67013888889050577</v>
      </c>
      <c r="AE99" s="103" t="s">
        <v>234</v>
      </c>
      <c r="AF99" s="105">
        <v>45918</v>
      </c>
      <c r="AG99" s="106">
        <v>0.79513888889050577</v>
      </c>
      <c r="AH99" s="103" t="s">
        <v>359</v>
      </c>
      <c r="AI99" s="103" t="s">
        <v>1782</v>
      </c>
      <c r="AJ99" s="103" t="s">
        <v>64</v>
      </c>
      <c r="AK99" s="103" t="s">
        <v>64</v>
      </c>
      <c r="AL99" s="103" t="s">
        <v>1550</v>
      </c>
      <c r="AM99" s="103" t="s">
        <v>65</v>
      </c>
      <c r="AN99" s="102" t="s">
        <v>64</v>
      </c>
      <c r="AO99" s="61"/>
    </row>
    <row r="100" spans="3:41" ht="14.25" customHeight="1">
      <c r="C100" s="55">
        <f>IF($X100=1,COUNTIF($C$10:C99,"&gt;0")+1,"")</f>
        <v>45</v>
      </c>
      <c r="D100" s="56">
        <v>81385673</v>
      </c>
      <c r="E100" s="103" t="s">
        <v>1776</v>
      </c>
      <c r="F100" s="104" t="s">
        <v>1910</v>
      </c>
      <c r="G100" s="103" t="s">
        <v>1910</v>
      </c>
      <c r="H100" s="103" t="s">
        <v>1911</v>
      </c>
      <c r="I100" s="103" t="s">
        <v>1912</v>
      </c>
      <c r="J100" s="103" t="s">
        <v>68</v>
      </c>
      <c r="K100" s="103" t="s">
        <v>59</v>
      </c>
      <c r="L100" s="105">
        <v>35471</v>
      </c>
      <c r="M100" s="103">
        <v>28</v>
      </c>
      <c r="N100" s="103" t="s">
        <v>1913</v>
      </c>
      <c r="O100" s="105">
        <v>49388</v>
      </c>
      <c r="P100" s="103" t="s">
        <v>5</v>
      </c>
      <c r="Q100" s="103"/>
      <c r="R100" s="99">
        <v>45913</v>
      </c>
      <c r="S100" s="99">
        <v>45918</v>
      </c>
      <c r="T100" s="100">
        <f t="shared" si="1"/>
        <v>5</v>
      </c>
      <c r="U100" s="103">
        <v>1</v>
      </c>
      <c r="V100" s="103">
        <v>1</v>
      </c>
      <c r="W100" s="103">
        <v>0</v>
      </c>
      <c r="X100" s="103">
        <v>1</v>
      </c>
      <c r="Y100" s="103">
        <v>0</v>
      </c>
      <c r="Z100" s="103">
        <v>0</v>
      </c>
      <c r="AA100" s="103">
        <v>1</v>
      </c>
      <c r="AB100" s="103"/>
      <c r="AC100" s="105">
        <v>45913</v>
      </c>
      <c r="AD100" s="106">
        <v>0.18055555555474712</v>
      </c>
      <c r="AE100" s="103" t="s">
        <v>408</v>
      </c>
      <c r="AF100" s="105">
        <v>45918</v>
      </c>
      <c r="AG100" s="106">
        <v>0.86111111110949423</v>
      </c>
      <c r="AH100" s="103" t="s">
        <v>1292</v>
      </c>
      <c r="AI100" s="103" t="s">
        <v>1782</v>
      </c>
      <c r="AJ100" s="103" t="s">
        <v>64</v>
      </c>
      <c r="AK100" s="103" t="s">
        <v>64</v>
      </c>
      <c r="AL100" s="103" t="s">
        <v>1550</v>
      </c>
      <c r="AM100" s="103" t="s">
        <v>65</v>
      </c>
      <c r="AN100" s="102" t="s">
        <v>64</v>
      </c>
      <c r="AO100" s="61"/>
    </row>
    <row r="101" spans="3:41" ht="14.25" customHeight="1">
      <c r="C101" s="55" t="str">
        <f>IF($X101=1,COUNTIF($C$10:C100,"&gt;0")+1,"")</f>
        <v/>
      </c>
      <c r="D101" s="56"/>
      <c r="E101" s="103" t="s">
        <v>1776</v>
      </c>
      <c r="F101" s="104" t="s">
        <v>1914</v>
      </c>
      <c r="G101" s="103" t="s">
        <v>1910</v>
      </c>
      <c r="H101" s="103" t="s">
        <v>1915</v>
      </c>
      <c r="I101" s="103" t="s">
        <v>1912</v>
      </c>
      <c r="J101" s="103" t="s">
        <v>58</v>
      </c>
      <c r="K101" s="103" t="s">
        <v>59</v>
      </c>
      <c r="L101" s="105">
        <v>33972</v>
      </c>
      <c r="M101" s="103">
        <v>32</v>
      </c>
      <c r="N101" s="103" t="s">
        <v>1916</v>
      </c>
      <c r="O101" s="105">
        <v>49210</v>
      </c>
      <c r="P101" s="103" t="s">
        <v>5</v>
      </c>
      <c r="Q101" s="103"/>
      <c r="R101" s="99">
        <v>45913</v>
      </c>
      <c r="S101" s="99">
        <v>45918</v>
      </c>
      <c r="T101" s="100">
        <f t="shared" si="1"/>
        <v>5</v>
      </c>
      <c r="U101" s="103">
        <v>1</v>
      </c>
      <c r="V101" s="103">
        <v>1</v>
      </c>
      <c r="W101" s="103">
        <v>0</v>
      </c>
      <c r="X101" s="103">
        <v>0</v>
      </c>
      <c r="Y101" s="103">
        <v>0</v>
      </c>
      <c r="Z101" s="103">
        <v>0</v>
      </c>
      <c r="AA101" s="103">
        <v>0</v>
      </c>
      <c r="AB101" s="103"/>
      <c r="AC101" s="105">
        <v>45913</v>
      </c>
      <c r="AD101" s="106">
        <v>0.18055555555474712</v>
      </c>
      <c r="AE101" s="103" t="s">
        <v>408</v>
      </c>
      <c r="AF101" s="105">
        <v>45918</v>
      </c>
      <c r="AG101" s="106">
        <v>0.86111111110949423</v>
      </c>
      <c r="AH101" s="103" t="s">
        <v>1292</v>
      </c>
      <c r="AI101" s="103" t="s">
        <v>1782</v>
      </c>
      <c r="AJ101" s="103" t="s">
        <v>64</v>
      </c>
      <c r="AK101" s="103" t="s">
        <v>64</v>
      </c>
      <c r="AL101" s="103" t="s">
        <v>1550</v>
      </c>
      <c r="AM101" s="103" t="s">
        <v>65</v>
      </c>
      <c r="AN101" s="102" t="s">
        <v>64</v>
      </c>
      <c r="AO101" s="61"/>
    </row>
    <row r="102" spans="3:41" ht="14.25" customHeight="1">
      <c r="C102" s="55" t="str">
        <f>IF($X102=1,COUNTIF($C$10:C101,"&gt;0")+1,"")</f>
        <v/>
      </c>
      <c r="D102" s="56"/>
      <c r="E102" s="103" t="s">
        <v>1776</v>
      </c>
      <c r="F102" s="104" t="s">
        <v>1917</v>
      </c>
      <c r="G102" s="103" t="s">
        <v>1910</v>
      </c>
      <c r="H102" s="103" t="s">
        <v>1918</v>
      </c>
      <c r="I102" s="103" t="s">
        <v>1912</v>
      </c>
      <c r="J102" s="103" t="s">
        <v>58</v>
      </c>
      <c r="K102" s="103" t="s">
        <v>59</v>
      </c>
      <c r="L102" s="105">
        <v>44131</v>
      </c>
      <c r="M102" s="103">
        <v>4</v>
      </c>
      <c r="N102" s="103" t="s">
        <v>1919</v>
      </c>
      <c r="O102" s="105">
        <v>47373</v>
      </c>
      <c r="P102" s="103" t="s">
        <v>5</v>
      </c>
      <c r="Q102" s="103"/>
      <c r="R102" s="99">
        <v>45913</v>
      </c>
      <c r="S102" s="99">
        <v>45918</v>
      </c>
      <c r="T102" s="100">
        <f t="shared" si="1"/>
        <v>5</v>
      </c>
      <c r="U102" s="103">
        <v>1</v>
      </c>
      <c r="V102" s="103">
        <v>0</v>
      </c>
      <c r="W102" s="103">
        <v>1</v>
      </c>
      <c r="X102" s="103">
        <v>0</v>
      </c>
      <c r="Y102" s="103">
        <v>0</v>
      </c>
      <c r="Z102" s="103">
        <v>0</v>
      </c>
      <c r="AA102" s="103">
        <v>0</v>
      </c>
      <c r="AB102" s="103"/>
      <c r="AC102" s="105">
        <v>45913</v>
      </c>
      <c r="AD102" s="106">
        <v>0.18055555555474712</v>
      </c>
      <c r="AE102" s="103" t="s">
        <v>408</v>
      </c>
      <c r="AF102" s="105">
        <v>45918</v>
      </c>
      <c r="AG102" s="106">
        <v>0.86111111110949423</v>
      </c>
      <c r="AH102" s="103" t="s">
        <v>1292</v>
      </c>
      <c r="AI102" s="103" t="s">
        <v>1782</v>
      </c>
      <c r="AJ102" s="103" t="s">
        <v>64</v>
      </c>
      <c r="AK102" s="103" t="s">
        <v>64</v>
      </c>
      <c r="AL102" s="103" t="s">
        <v>1550</v>
      </c>
      <c r="AM102" s="103" t="s">
        <v>65</v>
      </c>
      <c r="AN102" s="102" t="s">
        <v>64</v>
      </c>
      <c r="AO102" s="61"/>
    </row>
    <row r="103" spans="3:41" ht="14.25" customHeight="1">
      <c r="C103" s="55">
        <f>IF($X103=1,COUNTIF($C$10:C102,"&gt;0")+1,"")</f>
        <v>46</v>
      </c>
      <c r="D103" s="56">
        <v>27730436</v>
      </c>
      <c r="E103" s="103" t="s">
        <v>1776</v>
      </c>
      <c r="F103" s="104" t="s">
        <v>1920</v>
      </c>
      <c r="G103" s="103" t="s">
        <v>1920</v>
      </c>
      <c r="H103" s="103" t="s">
        <v>1921</v>
      </c>
      <c r="I103" s="103" t="s">
        <v>1922</v>
      </c>
      <c r="J103" s="103" t="s">
        <v>68</v>
      </c>
      <c r="K103" s="103" t="s">
        <v>59</v>
      </c>
      <c r="L103" s="105">
        <v>35657</v>
      </c>
      <c r="M103" s="103">
        <v>28</v>
      </c>
      <c r="N103" s="103" t="s">
        <v>1923</v>
      </c>
      <c r="O103" s="105">
        <v>46054</v>
      </c>
      <c r="P103" s="103" t="s">
        <v>5</v>
      </c>
      <c r="Q103" s="103"/>
      <c r="R103" s="99">
        <v>45913</v>
      </c>
      <c r="S103" s="99">
        <v>45918</v>
      </c>
      <c r="T103" s="100">
        <f t="shared" si="1"/>
        <v>5</v>
      </c>
      <c r="U103" s="103">
        <v>1</v>
      </c>
      <c r="V103" s="103">
        <v>1</v>
      </c>
      <c r="W103" s="103">
        <v>0</v>
      </c>
      <c r="X103" s="103">
        <v>1</v>
      </c>
      <c r="Y103" s="103">
        <v>0</v>
      </c>
      <c r="Z103" s="103">
        <v>0</v>
      </c>
      <c r="AA103" s="103">
        <v>1</v>
      </c>
      <c r="AB103" s="103"/>
      <c r="AC103" s="105">
        <v>45913</v>
      </c>
      <c r="AD103" s="106">
        <v>0.18055555555474712</v>
      </c>
      <c r="AE103" s="103" t="s">
        <v>408</v>
      </c>
      <c r="AF103" s="105">
        <v>45918</v>
      </c>
      <c r="AG103" s="106">
        <v>0.78472222221898846</v>
      </c>
      <c r="AH103" s="103" t="s">
        <v>1924</v>
      </c>
      <c r="AI103" s="103" t="s">
        <v>1782</v>
      </c>
      <c r="AJ103" s="103" t="s">
        <v>64</v>
      </c>
      <c r="AK103" s="103" t="s">
        <v>64</v>
      </c>
      <c r="AL103" s="103" t="s">
        <v>1550</v>
      </c>
      <c r="AM103" s="103" t="s">
        <v>65</v>
      </c>
      <c r="AN103" s="102" t="s">
        <v>64</v>
      </c>
      <c r="AO103" s="61"/>
    </row>
    <row r="104" spans="3:41" ht="14.25" customHeight="1">
      <c r="C104" s="55" t="str">
        <f>IF($X104=1,COUNTIF($C$10:C103,"&gt;0")+1,"")</f>
        <v/>
      </c>
      <c r="D104" s="56"/>
      <c r="E104" s="103" t="s">
        <v>1776</v>
      </c>
      <c r="F104" s="104" t="s">
        <v>1925</v>
      </c>
      <c r="G104" s="103" t="s">
        <v>1920</v>
      </c>
      <c r="H104" s="103" t="s">
        <v>1926</v>
      </c>
      <c r="I104" s="103" t="s">
        <v>1922</v>
      </c>
      <c r="J104" s="103" t="s">
        <v>68</v>
      </c>
      <c r="K104" s="103" t="s">
        <v>59</v>
      </c>
      <c r="L104" s="105">
        <v>23949</v>
      </c>
      <c r="M104" s="103">
        <v>60</v>
      </c>
      <c r="N104" s="103" t="s">
        <v>1927</v>
      </c>
      <c r="O104" s="105">
        <v>46270</v>
      </c>
      <c r="P104" s="103" t="s">
        <v>5</v>
      </c>
      <c r="Q104" s="103"/>
      <c r="R104" s="99">
        <v>45913</v>
      </c>
      <c r="S104" s="99">
        <v>45918</v>
      </c>
      <c r="T104" s="100">
        <f t="shared" si="1"/>
        <v>5</v>
      </c>
      <c r="U104" s="103">
        <v>1</v>
      </c>
      <c r="V104" s="103">
        <v>1</v>
      </c>
      <c r="W104" s="103">
        <v>0</v>
      </c>
      <c r="X104" s="103">
        <v>0</v>
      </c>
      <c r="Y104" s="103">
        <v>0</v>
      </c>
      <c r="Z104" s="103">
        <v>0</v>
      </c>
      <c r="AA104" s="103">
        <v>0</v>
      </c>
      <c r="AB104" s="103"/>
      <c r="AC104" s="105">
        <v>45913</v>
      </c>
      <c r="AD104" s="106">
        <v>0.18055555555474712</v>
      </c>
      <c r="AE104" s="103" t="s">
        <v>408</v>
      </c>
      <c r="AF104" s="105">
        <v>45918</v>
      </c>
      <c r="AG104" s="106">
        <v>0.78472222221898846</v>
      </c>
      <c r="AH104" s="103" t="s">
        <v>1924</v>
      </c>
      <c r="AI104" s="103" t="s">
        <v>1782</v>
      </c>
      <c r="AJ104" s="103" t="s">
        <v>64</v>
      </c>
      <c r="AK104" s="103" t="s">
        <v>64</v>
      </c>
      <c r="AL104" s="103" t="s">
        <v>1550</v>
      </c>
      <c r="AM104" s="103" t="s">
        <v>65</v>
      </c>
      <c r="AN104" s="102" t="s">
        <v>64</v>
      </c>
      <c r="AO104" s="61"/>
    </row>
    <row r="105" spans="3:41" ht="14.25" customHeight="1">
      <c r="C105" s="55">
        <f>IF($X105=1,COUNTIF($C$10:C104,"&gt;0")+1,"")</f>
        <v>47</v>
      </c>
      <c r="D105" s="56">
        <v>23670016</v>
      </c>
      <c r="E105" s="103" t="s">
        <v>1776</v>
      </c>
      <c r="F105" s="104" t="s">
        <v>1928</v>
      </c>
      <c r="G105" s="103" t="s">
        <v>1928</v>
      </c>
      <c r="H105" s="103" t="s">
        <v>1929</v>
      </c>
      <c r="I105" s="103" t="s">
        <v>759</v>
      </c>
      <c r="J105" s="103" t="s">
        <v>58</v>
      </c>
      <c r="K105" s="103" t="s">
        <v>59</v>
      </c>
      <c r="L105" s="105">
        <v>31374</v>
      </c>
      <c r="M105" s="103">
        <v>39</v>
      </c>
      <c r="N105" s="103" t="s">
        <v>1930</v>
      </c>
      <c r="O105" s="105">
        <v>46050</v>
      </c>
      <c r="P105" s="103" t="s">
        <v>4</v>
      </c>
      <c r="Q105" s="103"/>
      <c r="R105" s="99">
        <v>45913</v>
      </c>
      <c r="S105" s="99">
        <v>45918</v>
      </c>
      <c r="T105" s="100">
        <f t="shared" si="1"/>
        <v>5</v>
      </c>
      <c r="U105" s="103">
        <v>1</v>
      </c>
      <c r="V105" s="103">
        <v>1</v>
      </c>
      <c r="W105" s="103">
        <v>0</v>
      </c>
      <c r="X105" s="103">
        <v>1</v>
      </c>
      <c r="Y105" s="103">
        <v>0</v>
      </c>
      <c r="Z105" s="103">
        <v>1</v>
      </c>
      <c r="AA105" s="103">
        <v>0</v>
      </c>
      <c r="AB105" s="103"/>
      <c r="AC105" s="105">
        <v>45913</v>
      </c>
      <c r="AD105" s="106">
        <v>0.18055555555474712</v>
      </c>
      <c r="AE105" s="103" t="s">
        <v>408</v>
      </c>
      <c r="AF105" s="105">
        <v>45918</v>
      </c>
      <c r="AG105" s="106">
        <v>0.39930555555474712</v>
      </c>
      <c r="AH105" s="103" t="s">
        <v>1931</v>
      </c>
      <c r="AI105" s="103" t="s">
        <v>1782</v>
      </c>
      <c r="AJ105" s="103" t="s">
        <v>64</v>
      </c>
      <c r="AK105" s="111" t="s">
        <v>1932</v>
      </c>
      <c r="AL105" s="103" t="s">
        <v>1550</v>
      </c>
      <c r="AM105" s="103" t="s">
        <v>65</v>
      </c>
      <c r="AN105" s="102" t="s">
        <v>64</v>
      </c>
      <c r="AO105" s="61"/>
    </row>
    <row r="106" spans="3:41" ht="14.25" customHeight="1">
      <c r="C106" s="55" t="str">
        <f>IF($X106=1,COUNTIF($C$10:C105,"&gt;0")+1,"")</f>
        <v/>
      </c>
      <c r="D106" s="56"/>
      <c r="E106" s="103" t="s">
        <v>1776</v>
      </c>
      <c r="F106" s="104" t="s">
        <v>1933</v>
      </c>
      <c r="G106" s="103" t="s">
        <v>1928</v>
      </c>
      <c r="H106" s="103" t="s">
        <v>1934</v>
      </c>
      <c r="I106" s="103" t="s">
        <v>759</v>
      </c>
      <c r="J106" s="103" t="s">
        <v>68</v>
      </c>
      <c r="K106" s="103" t="s">
        <v>59</v>
      </c>
      <c r="L106" s="105">
        <v>32740</v>
      </c>
      <c r="M106" s="103">
        <v>36</v>
      </c>
      <c r="N106" s="103" t="s">
        <v>1935</v>
      </c>
      <c r="O106" s="105">
        <v>47105</v>
      </c>
      <c r="P106" s="103" t="s">
        <v>4</v>
      </c>
      <c r="Q106" s="103"/>
      <c r="R106" s="99">
        <v>45913</v>
      </c>
      <c r="S106" s="99">
        <v>45918</v>
      </c>
      <c r="T106" s="100">
        <f t="shared" si="1"/>
        <v>5</v>
      </c>
      <c r="U106" s="103">
        <v>1</v>
      </c>
      <c r="V106" s="103">
        <v>1</v>
      </c>
      <c r="W106" s="103">
        <v>0</v>
      </c>
      <c r="X106" s="103">
        <v>0</v>
      </c>
      <c r="Y106" s="103">
        <v>0</v>
      </c>
      <c r="Z106" s="103">
        <v>0</v>
      </c>
      <c r="AA106" s="103">
        <v>0</v>
      </c>
      <c r="AB106" s="103"/>
      <c r="AC106" s="105">
        <v>45913</v>
      </c>
      <c r="AD106" s="106">
        <v>0.18055555555474712</v>
      </c>
      <c r="AE106" s="103" t="s">
        <v>408</v>
      </c>
      <c r="AF106" s="105">
        <v>45918</v>
      </c>
      <c r="AG106" s="106">
        <v>0.39930555555474712</v>
      </c>
      <c r="AH106" s="103" t="s">
        <v>1931</v>
      </c>
      <c r="AI106" s="103" t="s">
        <v>1782</v>
      </c>
      <c r="AJ106" s="103" t="s">
        <v>64</v>
      </c>
      <c r="AK106" s="111" t="s">
        <v>64</v>
      </c>
      <c r="AL106" s="103" t="s">
        <v>1550</v>
      </c>
      <c r="AM106" s="103" t="s">
        <v>65</v>
      </c>
      <c r="AN106" s="102" t="s">
        <v>64</v>
      </c>
      <c r="AO106" s="61"/>
    </row>
    <row r="107" spans="3:41" ht="14.25" customHeight="1">
      <c r="C107" s="55" t="str">
        <f>IF($X107=1,COUNTIF($C$10:C106,"&gt;0")+1,"")</f>
        <v/>
      </c>
      <c r="D107" s="56"/>
      <c r="E107" s="103" t="s">
        <v>1776</v>
      </c>
      <c r="F107" s="104" t="s">
        <v>1936</v>
      </c>
      <c r="G107" s="103" t="s">
        <v>1928</v>
      </c>
      <c r="H107" s="103" t="s">
        <v>1937</v>
      </c>
      <c r="I107" s="103" t="s">
        <v>759</v>
      </c>
      <c r="J107" s="103" t="s">
        <v>68</v>
      </c>
      <c r="K107" s="103" t="s">
        <v>59</v>
      </c>
      <c r="L107" s="105">
        <v>43708</v>
      </c>
      <c r="M107" s="103">
        <v>6</v>
      </c>
      <c r="N107" s="103" t="s">
        <v>1938</v>
      </c>
      <c r="O107" s="105">
        <v>47344</v>
      </c>
      <c r="P107" s="103" t="s">
        <v>4</v>
      </c>
      <c r="Q107" s="103"/>
      <c r="R107" s="99">
        <v>45913</v>
      </c>
      <c r="S107" s="99">
        <v>45918</v>
      </c>
      <c r="T107" s="100">
        <f t="shared" si="1"/>
        <v>5</v>
      </c>
      <c r="U107" s="103">
        <v>1</v>
      </c>
      <c r="V107" s="103">
        <v>0</v>
      </c>
      <c r="W107" s="103">
        <v>1</v>
      </c>
      <c r="X107" s="103">
        <v>0</v>
      </c>
      <c r="Y107" s="103">
        <v>0</v>
      </c>
      <c r="Z107" s="103">
        <v>0</v>
      </c>
      <c r="AA107" s="103">
        <v>0</v>
      </c>
      <c r="AB107" s="103"/>
      <c r="AC107" s="105">
        <v>45913</v>
      </c>
      <c r="AD107" s="106">
        <v>0.18055555555474712</v>
      </c>
      <c r="AE107" s="103" t="s">
        <v>408</v>
      </c>
      <c r="AF107" s="105">
        <v>45918</v>
      </c>
      <c r="AG107" s="106">
        <v>0.39930555555474712</v>
      </c>
      <c r="AH107" s="103" t="s">
        <v>1931</v>
      </c>
      <c r="AI107" s="103" t="s">
        <v>1782</v>
      </c>
      <c r="AJ107" s="103" t="s">
        <v>64</v>
      </c>
      <c r="AK107" s="111" t="s">
        <v>64</v>
      </c>
      <c r="AL107" s="103" t="s">
        <v>1550</v>
      </c>
      <c r="AM107" s="103" t="s">
        <v>65</v>
      </c>
      <c r="AN107" s="102" t="s">
        <v>64</v>
      </c>
      <c r="AO107" s="61"/>
    </row>
    <row r="108" spans="3:41" ht="14.25" customHeight="1">
      <c r="C108" s="55">
        <f>IF($X108=1,COUNTIF($C$10:C107,"&gt;0")+1,"")</f>
        <v>48</v>
      </c>
      <c r="D108" s="56">
        <v>61079445</v>
      </c>
      <c r="E108" s="103" t="s">
        <v>1776</v>
      </c>
      <c r="F108" s="104" t="s">
        <v>1939</v>
      </c>
      <c r="G108" s="103" t="s">
        <v>1928</v>
      </c>
      <c r="H108" s="103" t="s">
        <v>1940</v>
      </c>
      <c r="I108" s="103" t="s">
        <v>1397</v>
      </c>
      <c r="J108" s="103" t="s">
        <v>58</v>
      </c>
      <c r="K108" s="103" t="s">
        <v>59</v>
      </c>
      <c r="L108" s="105">
        <v>24978</v>
      </c>
      <c r="M108" s="103">
        <v>57</v>
      </c>
      <c r="N108" s="103" t="s">
        <v>1941</v>
      </c>
      <c r="O108" s="105">
        <v>48633</v>
      </c>
      <c r="P108" s="103" t="s">
        <v>4</v>
      </c>
      <c r="Q108" s="103"/>
      <c r="R108" s="99">
        <v>45913</v>
      </c>
      <c r="S108" s="99">
        <v>45918</v>
      </c>
      <c r="T108" s="100">
        <f t="shared" si="1"/>
        <v>5</v>
      </c>
      <c r="U108" s="103">
        <v>1</v>
      </c>
      <c r="V108" s="103">
        <v>1</v>
      </c>
      <c r="W108" s="103">
        <v>0</v>
      </c>
      <c r="X108" s="103">
        <v>1</v>
      </c>
      <c r="Y108" s="103">
        <v>0</v>
      </c>
      <c r="Z108" s="103">
        <v>1</v>
      </c>
      <c r="AA108" s="103">
        <v>0</v>
      </c>
      <c r="AB108" s="103"/>
      <c r="AC108" s="105">
        <v>45913</v>
      </c>
      <c r="AD108" s="106">
        <v>0.18055555555474712</v>
      </c>
      <c r="AE108" s="103" t="s">
        <v>408</v>
      </c>
      <c r="AF108" s="105">
        <v>45918</v>
      </c>
      <c r="AG108" s="106">
        <v>0.39930555555474712</v>
      </c>
      <c r="AH108" s="103" t="s">
        <v>1931</v>
      </c>
      <c r="AI108" s="103" t="s">
        <v>1782</v>
      </c>
      <c r="AJ108" s="103" t="s">
        <v>64</v>
      </c>
      <c r="AK108" s="111" t="s">
        <v>1942</v>
      </c>
      <c r="AL108" s="103" t="s">
        <v>1550</v>
      </c>
      <c r="AM108" s="103" t="s">
        <v>65</v>
      </c>
      <c r="AN108" s="102" t="s">
        <v>64</v>
      </c>
      <c r="AO108" s="61"/>
    </row>
    <row r="109" spans="3:41" ht="14.25" customHeight="1">
      <c r="C109" s="55" t="str">
        <f>IF($X109=1,COUNTIF($C$10:C108,"&gt;0")+1,"")</f>
        <v/>
      </c>
      <c r="D109" s="56"/>
      <c r="E109" s="103" t="s">
        <v>1776</v>
      </c>
      <c r="F109" s="104" t="s">
        <v>1943</v>
      </c>
      <c r="G109" s="103" t="s">
        <v>1928</v>
      </c>
      <c r="H109" s="103" t="s">
        <v>1944</v>
      </c>
      <c r="I109" s="103" t="s">
        <v>1397</v>
      </c>
      <c r="J109" s="103" t="s">
        <v>68</v>
      </c>
      <c r="K109" s="103" t="s">
        <v>59</v>
      </c>
      <c r="L109" s="105">
        <v>26821</v>
      </c>
      <c r="M109" s="103">
        <v>52</v>
      </c>
      <c r="N109" s="103" t="s">
        <v>1945</v>
      </c>
      <c r="O109" s="105">
        <v>47419</v>
      </c>
      <c r="P109" s="103" t="s">
        <v>4</v>
      </c>
      <c r="Q109" s="103"/>
      <c r="R109" s="99">
        <v>45913</v>
      </c>
      <c r="S109" s="99">
        <v>45918</v>
      </c>
      <c r="T109" s="100">
        <f t="shared" si="1"/>
        <v>5</v>
      </c>
      <c r="U109" s="103">
        <v>1</v>
      </c>
      <c r="V109" s="103">
        <v>1</v>
      </c>
      <c r="W109" s="103">
        <v>0</v>
      </c>
      <c r="X109" s="103">
        <v>0</v>
      </c>
      <c r="Y109" s="103">
        <v>0</v>
      </c>
      <c r="Z109" s="103">
        <v>0</v>
      </c>
      <c r="AA109" s="103">
        <v>0</v>
      </c>
      <c r="AB109" s="103"/>
      <c r="AC109" s="105">
        <v>45913</v>
      </c>
      <c r="AD109" s="106">
        <v>0.18055555555474712</v>
      </c>
      <c r="AE109" s="103" t="s">
        <v>408</v>
      </c>
      <c r="AF109" s="105">
        <v>45918</v>
      </c>
      <c r="AG109" s="106">
        <v>0.39930555555474712</v>
      </c>
      <c r="AH109" s="103" t="s">
        <v>1931</v>
      </c>
      <c r="AI109" s="103" t="s">
        <v>1782</v>
      </c>
      <c r="AJ109" s="103" t="s">
        <v>64</v>
      </c>
      <c r="AK109" s="111" t="s">
        <v>64</v>
      </c>
      <c r="AL109" s="103" t="s">
        <v>1550</v>
      </c>
      <c r="AM109" s="103" t="s">
        <v>65</v>
      </c>
      <c r="AN109" s="102" t="s">
        <v>64</v>
      </c>
      <c r="AO109" s="61"/>
    </row>
    <row r="110" spans="3:41" ht="14.25" customHeight="1">
      <c r="C110" s="55" t="str">
        <f>IF($X110=1,COUNTIF($C$10:C109,"&gt;0")+1,"")</f>
        <v/>
      </c>
      <c r="D110" s="56"/>
      <c r="E110" s="103" t="s">
        <v>1776</v>
      </c>
      <c r="F110" s="104" t="s">
        <v>1946</v>
      </c>
      <c r="G110" s="103" t="s">
        <v>1928</v>
      </c>
      <c r="H110" s="103" t="s">
        <v>1947</v>
      </c>
      <c r="I110" s="103" t="s">
        <v>759</v>
      </c>
      <c r="J110" s="103" t="s">
        <v>58</v>
      </c>
      <c r="K110" s="103" t="s">
        <v>59</v>
      </c>
      <c r="L110" s="105">
        <v>43000</v>
      </c>
      <c r="M110" s="103">
        <v>7</v>
      </c>
      <c r="N110" s="103" t="s">
        <v>1948</v>
      </c>
      <c r="O110" s="105">
        <v>47344</v>
      </c>
      <c r="P110" s="103" t="s">
        <v>4</v>
      </c>
      <c r="Q110" s="103"/>
      <c r="R110" s="99">
        <v>45913</v>
      </c>
      <c r="S110" s="99">
        <v>45918</v>
      </c>
      <c r="T110" s="100">
        <f t="shared" si="1"/>
        <v>5</v>
      </c>
      <c r="U110" s="103">
        <v>1</v>
      </c>
      <c r="V110" s="103">
        <v>0</v>
      </c>
      <c r="W110" s="103">
        <v>1</v>
      </c>
      <c r="X110" s="103">
        <v>0</v>
      </c>
      <c r="Y110" s="103">
        <v>0</v>
      </c>
      <c r="Z110" s="103">
        <v>0</v>
      </c>
      <c r="AA110" s="103">
        <v>0</v>
      </c>
      <c r="AB110" s="103"/>
      <c r="AC110" s="105">
        <v>45913</v>
      </c>
      <c r="AD110" s="106">
        <v>0.18055555555474712</v>
      </c>
      <c r="AE110" s="103" t="s">
        <v>408</v>
      </c>
      <c r="AF110" s="105">
        <v>45918</v>
      </c>
      <c r="AG110" s="106">
        <v>0.39930555555474712</v>
      </c>
      <c r="AH110" s="103" t="s">
        <v>1931</v>
      </c>
      <c r="AI110" s="103" t="s">
        <v>1782</v>
      </c>
      <c r="AJ110" s="103" t="s">
        <v>64</v>
      </c>
      <c r="AK110" s="111" t="s">
        <v>64</v>
      </c>
      <c r="AL110" s="103" t="s">
        <v>1550</v>
      </c>
      <c r="AM110" s="103" t="s">
        <v>65</v>
      </c>
      <c r="AN110" s="102" t="s">
        <v>64</v>
      </c>
      <c r="AO110" s="61"/>
    </row>
    <row r="111" spans="3:41" ht="14.25" customHeight="1">
      <c r="C111" s="55">
        <f>IF($X111=1,COUNTIF($C$10:C110,"&gt;0")+1,"")</f>
        <v>49</v>
      </c>
      <c r="D111" s="56">
        <v>86238517</v>
      </c>
      <c r="E111" s="103" t="s">
        <v>1776</v>
      </c>
      <c r="F111" s="104" t="s">
        <v>1949</v>
      </c>
      <c r="G111" s="103" t="s">
        <v>1928</v>
      </c>
      <c r="H111" s="103" t="s">
        <v>1950</v>
      </c>
      <c r="I111" s="103" t="s">
        <v>759</v>
      </c>
      <c r="J111" s="103" t="s">
        <v>68</v>
      </c>
      <c r="K111" s="103" t="s">
        <v>59</v>
      </c>
      <c r="L111" s="105">
        <v>16691</v>
      </c>
      <c r="M111" s="103">
        <v>80</v>
      </c>
      <c r="N111" s="103" t="s">
        <v>1951</v>
      </c>
      <c r="O111" s="105">
        <v>46134</v>
      </c>
      <c r="P111" s="103" t="s">
        <v>5</v>
      </c>
      <c r="Q111" s="103"/>
      <c r="R111" s="99">
        <v>45913</v>
      </c>
      <c r="S111" s="99">
        <v>45918</v>
      </c>
      <c r="T111" s="100">
        <f t="shared" si="1"/>
        <v>5</v>
      </c>
      <c r="U111" s="103">
        <v>1</v>
      </c>
      <c r="V111" s="103">
        <v>1</v>
      </c>
      <c r="W111" s="103">
        <v>0</v>
      </c>
      <c r="X111" s="103">
        <v>1</v>
      </c>
      <c r="Y111" s="103">
        <v>0</v>
      </c>
      <c r="Z111" s="103">
        <v>0</v>
      </c>
      <c r="AA111" s="103">
        <v>1</v>
      </c>
      <c r="AB111" s="103"/>
      <c r="AC111" s="105">
        <v>45913</v>
      </c>
      <c r="AD111" s="106">
        <v>0.18055555555474712</v>
      </c>
      <c r="AE111" s="103" t="s">
        <v>408</v>
      </c>
      <c r="AF111" s="105">
        <v>45918</v>
      </c>
      <c r="AG111" s="106">
        <v>0.39930555555474712</v>
      </c>
      <c r="AH111" s="103" t="s">
        <v>1931</v>
      </c>
      <c r="AI111" s="103" t="s">
        <v>1782</v>
      </c>
      <c r="AJ111" s="103" t="s">
        <v>64</v>
      </c>
      <c r="AK111" s="111" t="s">
        <v>1942</v>
      </c>
      <c r="AL111" s="103" t="s">
        <v>1550</v>
      </c>
      <c r="AM111" s="103" t="s">
        <v>65</v>
      </c>
      <c r="AN111" s="102" t="s">
        <v>64</v>
      </c>
      <c r="AO111" s="61"/>
    </row>
    <row r="112" spans="3:41" ht="14.25" customHeight="1">
      <c r="C112" s="55" t="str">
        <f>IF($X112=1,COUNTIF($C$10:C111,"&gt;0")+1,"")</f>
        <v/>
      </c>
      <c r="D112" s="56"/>
      <c r="E112" s="103" t="s">
        <v>1776</v>
      </c>
      <c r="F112" s="104" t="s">
        <v>1952</v>
      </c>
      <c r="G112" s="103" t="s">
        <v>1928</v>
      </c>
      <c r="H112" s="103" t="s">
        <v>1953</v>
      </c>
      <c r="I112" s="103" t="s">
        <v>438</v>
      </c>
      <c r="J112" s="103" t="s">
        <v>68</v>
      </c>
      <c r="K112" s="103" t="s">
        <v>748</v>
      </c>
      <c r="L112" s="105">
        <v>25788</v>
      </c>
      <c r="M112" s="103">
        <v>55</v>
      </c>
      <c r="N112" s="103" t="s">
        <v>1954</v>
      </c>
      <c r="O112" s="105">
        <v>47471</v>
      </c>
      <c r="P112" s="103" t="s">
        <v>5</v>
      </c>
      <c r="Q112" s="103"/>
      <c r="R112" s="99">
        <v>45913</v>
      </c>
      <c r="S112" s="99">
        <v>45918</v>
      </c>
      <c r="T112" s="100">
        <f t="shared" si="1"/>
        <v>5</v>
      </c>
      <c r="U112" s="103">
        <v>1</v>
      </c>
      <c r="V112" s="103">
        <v>1</v>
      </c>
      <c r="W112" s="103">
        <v>0</v>
      </c>
      <c r="X112" s="103">
        <v>0</v>
      </c>
      <c r="Y112" s="103">
        <v>0</v>
      </c>
      <c r="Z112" s="103">
        <v>0</v>
      </c>
      <c r="AA112" s="103">
        <v>0</v>
      </c>
      <c r="AB112" s="103"/>
      <c r="AC112" s="105">
        <v>45913</v>
      </c>
      <c r="AD112" s="106">
        <v>0.18055555555474712</v>
      </c>
      <c r="AE112" s="103" t="s">
        <v>408</v>
      </c>
      <c r="AF112" s="105">
        <v>45918</v>
      </c>
      <c r="AG112" s="106">
        <v>0.39930555555474712</v>
      </c>
      <c r="AH112" s="103" t="s">
        <v>1931</v>
      </c>
      <c r="AI112" s="103" t="s">
        <v>1782</v>
      </c>
      <c r="AJ112" s="103" t="s">
        <v>64</v>
      </c>
      <c r="AK112" s="111" t="s">
        <v>64</v>
      </c>
      <c r="AL112" s="103" t="s">
        <v>1550</v>
      </c>
      <c r="AM112" s="103" t="s">
        <v>65</v>
      </c>
      <c r="AN112" s="102" t="s">
        <v>64</v>
      </c>
      <c r="AO112" s="61"/>
    </row>
    <row r="113" spans="3:41" ht="14.25" customHeight="1">
      <c r="C113" s="55">
        <f>IF($X113=1,COUNTIF($C$10:C112,"&gt;0")+1,"")</f>
        <v>50</v>
      </c>
      <c r="D113" s="56">
        <v>42699470</v>
      </c>
      <c r="E113" s="103" t="s">
        <v>1776</v>
      </c>
      <c r="F113" s="104" t="s">
        <v>1955</v>
      </c>
      <c r="G113" s="103" t="s">
        <v>1955</v>
      </c>
      <c r="H113" s="103" t="s">
        <v>1956</v>
      </c>
      <c r="I113" s="103" t="s">
        <v>82</v>
      </c>
      <c r="J113" s="103" t="s">
        <v>58</v>
      </c>
      <c r="K113" s="103" t="s">
        <v>59</v>
      </c>
      <c r="L113" s="105">
        <v>34689</v>
      </c>
      <c r="M113" s="103">
        <v>30</v>
      </c>
      <c r="N113" s="103" t="s">
        <v>1957</v>
      </c>
      <c r="O113" s="105">
        <v>48157</v>
      </c>
      <c r="P113" s="103" t="s">
        <v>5</v>
      </c>
      <c r="Q113" s="103"/>
      <c r="R113" s="99">
        <v>45913</v>
      </c>
      <c r="S113" s="99">
        <v>45918</v>
      </c>
      <c r="T113" s="100">
        <f t="shared" si="1"/>
        <v>5</v>
      </c>
      <c r="U113" s="103">
        <v>1</v>
      </c>
      <c r="V113" s="103">
        <v>1</v>
      </c>
      <c r="W113" s="103">
        <v>0</v>
      </c>
      <c r="X113" s="103">
        <v>1</v>
      </c>
      <c r="Y113" s="103">
        <v>0</v>
      </c>
      <c r="Z113" s="103">
        <v>0</v>
      </c>
      <c r="AA113" s="103">
        <v>1</v>
      </c>
      <c r="AB113" s="103"/>
      <c r="AC113" s="105">
        <v>45913</v>
      </c>
      <c r="AD113" s="106">
        <v>0.65625</v>
      </c>
      <c r="AE113" s="103" t="s">
        <v>1385</v>
      </c>
      <c r="AF113" s="105">
        <v>45918</v>
      </c>
      <c r="AG113" s="106">
        <v>0.53125</v>
      </c>
      <c r="AH113" s="103" t="s">
        <v>269</v>
      </c>
      <c r="AI113" s="103" t="s">
        <v>1782</v>
      </c>
      <c r="AJ113" s="103" t="s">
        <v>64</v>
      </c>
      <c r="AK113" s="103" t="s">
        <v>64</v>
      </c>
      <c r="AL113" s="103" t="s">
        <v>1550</v>
      </c>
      <c r="AM113" s="103" t="s">
        <v>65</v>
      </c>
      <c r="AN113" s="102" t="s">
        <v>64</v>
      </c>
      <c r="AO113" s="61"/>
    </row>
    <row r="114" spans="3:41" ht="14.25" customHeight="1">
      <c r="C114" s="55" t="str">
        <f>IF($X114=1,COUNTIF($C$10:C113,"&gt;0")+1,"")</f>
        <v/>
      </c>
      <c r="D114" s="56"/>
      <c r="E114" s="103" t="s">
        <v>1776</v>
      </c>
      <c r="F114" s="104" t="s">
        <v>1958</v>
      </c>
      <c r="G114" s="103" t="s">
        <v>1955</v>
      </c>
      <c r="H114" s="103" t="s">
        <v>1959</v>
      </c>
      <c r="I114" s="103" t="s">
        <v>1960</v>
      </c>
      <c r="J114" s="103" t="s">
        <v>68</v>
      </c>
      <c r="K114" s="103" t="s">
        <v>748</v>
      </c>
      <c r="L114" s="105">
        <v>34894</v>
      </c>
      <c r="M114" s="103">
        <v>30</v>
      </c>
      <c r="N114" s="103" t="s">
        <v>1961</v>
      </c>
      <c r="O114" s="105">
        <v>47272</v>
      </c>
      <c r="P114" s="103" t="s">
        <v>5</v>
      </c>
      <c r="Q114" s="103"/>
      <c r="R114" s="99">
        <v>45913</v>
      </c>
      <c r="S114" s="99">
        <v>45918</v>
      </c>
      <c r="T114" s="100">
        <f t="shared" si="1"/>
        <v>5</v>
      </c>
      <c r="U114" s="103">
        <v>1</v>
      </c>
      <c r="V114" s="103">
        <v>1</v>
      </c>
      <c r="W114" s="103">
        <v>0</v>
      </c>
      <c r="X114" s="103">
        <v>0</v>
      </c>
      <c r="Y114" s="103">
        <v>0</v>
      </c>
      <c r="Z114" s="103">
        <v>0</v>
      </c>
      <c r="AA114" s="103">
        <v>0</v>
      </c>
      <c r="AB114" s="103"/>
      <c r="AC114" s="113">
        <v>45913</v>
      </c>
      <c r="AD114" s="114">
        <v>0.65625</v>
      </c>
      <c r="AE114" s="115" t="s">
        <v>1385</v>
      </c>
      <c r="AF114" s="113">
        <v>45918</v>
      </c>
      <c r="AG114" s="114">
        <v>0.53125</v>
      </c>
      <c r="AH114" s="115" t="s">
        <v>269</v>
      </c>
      <c r="AI114" s="103" t="s">
        <v>1782</v>
      </c>
      <c r="AJ114" s="103" t="s">
        <v>64</v>
      </c>
      <c r="AK114" s="103" t="s">
        <v>64</v>
      </c>
      <c r="AL114" s="103" t="s">
        <v>1550</v>
      </c>
      <c r="AM114" s="103" t="s">
        <v>65</v>
      </c>
      <c r="AN114" s="102" t="s">
        <v>64</v>
      </c>
      <c r="AO114" s="61"/>
    </row>
    <row r="115" spans="3:41" ht="14.25" customHeight="1">
      <c r="C115" s="55">
        <f>IF($X115=1,COUNTIF($C$10:C114,"&gt;0")+1,"")</f>
        <v>51</v>
      </c>
      <c r="D115" s="56">
        <v>49091334</v>
      </c>
      <c r="E115" s="103" t="s">
        <v>1776</v>
      </c>
      <c r="F115" s="104" t="s">
        <v>1962</v>
      </c>
      <c r="G115" s="103" t="s">
        <v>1962</v>
      </c>
      <c r="H115" s="103" t="s">
        <v>1963</v>
      </c>
      <c r="I115" s="103" t="s">
        <v>1912</v>
      </c>
      <c r="J115" s="103" t="s">
        <v>68</v>
      </c>
      <c r="K115" s="103" t="s">
        <v>59</v>
      </c>
      <c r="L115" s="105">
        <v>33246</v>
      </c>
      <c r="M115" s="103">
        <v>34</v>
      </c>
      <c r="N115" s="103" t="s">
        <v>1964</v>
      </c>
      <c r="O115" s="105">
        <v>49427</v>
      </c>
      <c r="P115" s="103" t="s">
        <v>4</v>
      </c>
      <c r="Q115" s="103"/>
      <c r="R115" s="99">
        <v>45913</v>
      </c>
      <c r="S115" s="99">
        <v>45918</v>
      </c>
      <c r="T115" s="100">
        <f t="shared" si="1"/>
        <v>5</v>
      </c>
      <c r="U115" s="103">
        <v>1</v>
      </c>
      <c r="V115" s="103">
        <v>1</v>
      </c>
      <c r="W115" s="103">
        <v>0</v>
      </c>
      <c r="X115" s="103">
        <v>1</v>
      </c>
      <c r="Y115" s="103">
        <v>0</v>
      </c>
      <c r="Z115" s="103">
        <v>1</v>
      </c>
      <c r="AA115" s="103">
        <v>0</v>
      </c>
      <c r="AB115" s="103"/>
      <c r="AC115" s="105">
        <v>45913</v>
      </c>
      <c r="AD115" s="106">
        <v>0.59027777778101154</v>
      </c>
      <c r="AE115" s="103" t="s">
        <v>547</v>
      </c>
      <c r="AF115" s="105">
        <v>45919</v>
      </c>
      <c r="AG115" s="106">
        <v>0.78472222221898846</v>
      </c>
      <c r="AH115" s="103" t="s">
        <v>393</v>
      </c>
      <c r="AI115" s="103" t="s">
        <v>1782</v>
      </c>
      <c r="AJ115" s="103" t="s">
        <v>64</v>
      </c>
      <c r="AK115" s="103" t="s">
        <v>64</v>
      </c>
      <c r="AL115" s="103" t="s">
        <v>1550</v>
      </c>
      <c r="AM115" s="103" t="s">
        <v>65</v>
      </c>
      <c r="AN115" s="102" t="s">
        <v>64</v>
      </c>
      <c r="AO115" s="61"/>
    </row>
    <row r="116" spans="3:41" ht="14.25" customHeight="1">
      <c r="C116" s="55" t="str">
        <f>IF($X116=1,COUNTIF($C$10:C115,"&gt;0")+1,"")</f>
        <v/>
      </c>
      <c r="D116" s="56"/>
      <c r="E116" s="103" t="s">
        <v>1776</v>
      </c>
      <c r="F116" s="104" t="s">
        <v>1965</v>
      </c>
      <c r="G116" s="103" t="s">
        <v>1962</v>
      </c>
      <c r="H116" s="103" t="s">
        <v>1966</v>
      </c>
      <c r="I116" s="103" t="s">
        <v>1967</v>
      </c>
      <c r="J116" s="103" t="s">
        <v>58</v>
      </c>
      <c r="K116" s="103" t="s">
        <v>59</v>
      </c>
      <c r="L116" s="105">
        <v>33086</v>
      </c>
      <c r="M116" s="103">
        <v>35</v>
      </c>
      <c r="N116" s="103" t="s">
        <v>1968</v>
      </c>
      <c r="O116" s="105">
        <v>49427</v>
      </c>
      <c r="P116" s="103" t="s">
        <v>4</v>
      </c>
      <c r="Q116" s="103"/>
      <c r="R116" s="99">
        <v>45913</v>
      </c>
      <c r="S116" s="99">
        <v>45918</v>
      </c>
      <c r="T116" s="100">
        <f t="shared" si="1"/>
        <v>5</v>
      </c>
      <c r="U116" s="103">
        <v>1</v>
      </c>
      <c r="V116" s="103">
        <v>1</v>
      </c>
      <c r="W116" s="103">
        <v>0</v>
      </c>
      <c r="X116" s="103">
        <v>0</v>
      </c>
      <c r="Y116" s="103">
        <v>0</v>
      </c>
      <c r="Z116" s="103">
        <v>0</v>
      </c>
      <c r="AA116" s="103">
        <v>0</v>
      </c>
      <c r="AB116" s="103"/>
      <c r="AC116" s="105">
        <v>45913</v>
      </c>
      <c r="AD116" s="106">
        <v>0.59027777778101154</v>
      </c>
      <c r="AE116" s="103" t="s">
        <v>547</v>
      </c>
      <c r="AF116" s="105">
        <v>45919</v>
      </c>
      <c r="AG116" s="106">
        <v>0.78472222221898846</v>
      </c>
      <c r="AH116" s="103" t="s">
        <v>393</v>
      </c>
      <c r="AI116" s="103" t="s">
        <v>1782</v>
      </c>
      <c r="AJ116" s="103" t="s">
        <v>64</v>
      </c>
      <c r="AK116" s="103" t="s">
        <v>64</v>
      </c>
      <c r="AL116" s="103" t="s">
        <v>1550</v>
      </c>
      <c r="AM116" s="103" t="s">
        <v>65</v>
      </c>
      <c r="AN116" s="102" t="s">
        <v>64</v>
      </c>
      <c r="AO116" s="61"/>
    </row>
    <row r="117" spans="3:41" ht="14.25" customHeight="1">
      <c r="C117" s="55">
        <f>IF($X117=1,COUNTIF($C$10:C116,"&gt;0")+1,"")</f>
        <v>52</v>
      </c>
      <c r="D117" s="56">
        <v>46590459</v>
      </c>
      <c r="E117" s="103" t="s">
        <v>1776</v>
      </c>
      <c r="F117" s="104" t="s">
        <v>1969</v>
      </c>
      <c r="G117" s="103" t="s">
        <v>1969</v>
      </c>
      <c r="H117" s="103" t="s">
        <v>1970</v>
      </c>
      <c r="I117" s="103" t="s">
        <v>1912</v>
      </c>
      <c r="J117" s="103" t="s">
        <v>68</v>
      </c>
      <c r="K117" s="103" t="s">
        <v>59</v>
      </c>
      <c r="L117" s="105">
        <v>34976</v>
      </c>
      <c r="M117" s="103">
        <v>29</v>
      </c>
      <c r="N117" s="103" t="s">
        <v>1971</v>
      </c>
      <c r="O117" s="105">
        <v>48563</v>
      </c>
      <c r="P117" s="103" t="s">
        <v>4</v>
      </c>
      <c r="Q117" s="103"/>
      <c r="R117" s="99">
        <v>45913</v>
      </c>
      <c r="S117" s="99">
        <v>45918</v>
      </c>
      <c r="T117" s="100">
        <f t="shared" si="1"/>
        <v>5</v>
      </c>
      <c r="U117" s="103">
        <v>1</v>
      </c>
      <c r="V117" s="103">
        <v>1</v>
      </c>
      <c r="W117" s="103">
        <v>0</v>
      </c>
      <c r="X117" s="103">
        <v>1</v>
      </c>
      <c r="Y117" s="103">
        <v>0</v>
      </c>
      <c r="Z117" s="103">
        <v>1</v>
      </c>
      <c r="AA117" s="103">
        <v>0</v>
      </c>
      <c r="AB117" s="103"/>
      <c r="AC117" s="105">
        <v>45913</v>
      </c>
      <c r="AD117" s="106">
        <v>0.59027777778101154</v>
      </c>
      <c r="AE117" s="103" t="s">
        <v>547</v>
      </c>
      <c r="AF117" s="105">
        <v>45919</v>
      </c>
      <c r="AG117" s="106">
        <v>0.78472222221898846</v>
      </c>
      <c r="AH117" s="103" t="s">
        <v>393</v>
      </c>
      <c r="AI117" s="103" t="s">
        <v>1782</v>
      </c>
      <c r="AJ117" s="103" t="s">
        <v>64</v>
      </c>
      <c r="AK117" s="103" t="s">
        <v>64</v>
      </c>
      <c r="AL117" s="103" t="s">
        <v>1550</v>
      </c>
      <c r="AM117" s="103" t="s">
        <v>65</v>
      </c>
      <c r="AN117" s="102" t="s">
        <v>64</v>
      </c>
      <c r="AO117" s="61"/>
    </row>
    <row r="118" spans="3:41" ht="14.25" customHeight="1">
      <c r="C118" s="55" t="str">
        <f>IF($X118=1,COUNTIF($C$10:C117,"&gt;0")+1,"")</f>
        <v/>
      </c>
      <c r="D118" s="56"/>
      <c r="E118" s="103" t="s">
        <v>1776</v>
      </c>
      <c r="F118" s="104" t="s">
        <v>1972</v>
      </c>
      <c r="G118" s="103" t="s">
        <v>1969</v>
      </c>
      <c r="H118" s="103" t="s">
        <v>1973</v>
      </c>
      <c r="I118" s="103" t="s">
        <v>327</v>
      </c>
      <c r="J118" s="103" t="s">
        <v>58</v>
      </c>
      <c r="K118" s="103" t="s">
        <v>64</v>
      </c>
      <c r="L118" s="105" t="s">
        <v>64</v>
      </c>
      <c r="M118" s="103" t="s">
        <v>64</v>
      </c>
      <c r="N118" s="103" t="s">
        <v>64</v>
      </c>
      <c r="O118" s="105" t="s">
        <v>64</v>
      </c>
      <c r="P118" s="103" t="s">
        <v>4</v>
      </c>
      <c r="Q118" s="103"/>
      <c r="R118" s="99">
        <v>45913</v>
      </c>
      <c r="S118" s="99">
        <v>45918</v>
      </c>
      <c r="T118" s="100">
        <f t="shared" si="1"/>
        <v>5</v>
      </c>
      <c r="U118" s="103">
        <v>1</v>
      </c>
      <c r="V118" s="103">
        <v>1</v>
      </c>
      <c r="W118" s="103">
        <v>0</v>
      </c>
      <c r="X118" s="103">
        <v>0</v>
      </c>
      <c r="Y118" s="103">
        <v>0</v>
      </c>
      <c r="Z118" s="103">
        <v>0</v>
      </c>
      <c r="AA118" s="103">
        <v>0</v>
      </c>
      <c r="AB118" s="103"/>
      <c r="AC118" s="105">
        <v>45913</v>
      </c>
      <c r="AD118" s="106">
        <v>0.59027777778101154</v>
      </c>
      <c r="AE118" s="103" t="s">
        <v>547</v>
      </c>
      <c r="AF118" s="105">
        <v>45919</v>
      </c>
      <c r="AG118" s="106">
        <v>0.78472222221898846</v>
      </c>
      <c r="AH118" s="103" t="s">
        <v>393</v>
      </c>
      <c r="AI118" s="103" t="s">
        <v>1782</v>
      </c>
      <c r="AJ118" s="103" t="s">
        <v>64</v>
      </c>
      <c r="AK118" s="103" t="s">
        <v>64</v>
      </c>
      <c r="AL118" s="103" t="s">
        <v>1550</v>
      </c>
      <c r="AM118" s="103" t="s">
        <v>65</v>
      </c>
      <c r="AN118" s="102" t="s">
        <v>64</v>
      </c>
      <c r="AO118" s="61"/>
    </row>
    <row r="119" spans="3:41" ht="14.25" customHeight="1">
      <c r="C119" s="55">
        <f>IF($X119=1,COUNTIF($C$10:C118,"&gt;0")+1,"")</f>
        <v>53</v>
      </c>
      <c r="D119" s="56">
        <v>49685279</v>
      </c>
      <c r="E119" s="103" t="s">
        <v>1776</v>
      </c>
      <c r="F119" s="104" t="s">
        <v>1974</v>
      </c>
      <c r="G119" s="103" t="s">
        <v>1974</v>
      </c>
      <c r="H119" s="103" t="s">
        <v>1975</v>
      </c>
      <c r="I119" s="103" t="s">
        <v>1976</v>
      </c>
      <c r="J119" s="103" t="s">
        <v>58</v>
      </c>
      <c r="K119" s="103" t="s">
        <v>59</v>
      </c>
      <c r="L119" s="105">
        <v>20601</v>
      </c>
      <c r="M119" s="103">
        <v>69</v>
      </c>
      <c r="N119" s="103" t="s">
        <v>1977</v>
      </c>
      <c r="O119" s="105">
        <v>49099</v>
      </c>
      <c r="P119" s="103" t="s">
        <v>4</v>
      </c>
      <c r="Q119" s="103"/>
      <c r="R119" s="99">
        <v>45913</v>
      </c>
      <c r="S119" s="99">
        <v>45918</v>
      </c>
      <c r="T119" s="100">
        <f t="shared" si="1"/>
        <v>5</v>
      </c>
      <c r="U119" s="103">
        <v>1</v>
      </c>
      <c r="V119" s="103">
        <v>1</v>
      </c>
      <c r="W119" s="103">
        <v>0</v>
      </c>
      <c r="X119" s="103">
        <v>1</v>
      </c>
      <c r="Y119" s="103">
        <v>0</v>
      </c>
      <c r="Z119" s="103">
        <v>1</v>
      </c>
      <c r="AA119" s="103">
        <v>0</v>
      </c>
      <c r="AB119" s="103"/>
      <c r="AC119" s="105">
        <v>45913</v>
      </c>
      <c r="AD119" s="106">
        <v>0.18055555555474712</v>
      </c>
      <c r="AE119" s="103" t="s">
        <v>408</v>
      </c>
      <c r="AF119" s="105">
        <v>45918</v>
      </c>
      <c r="AG119" s="106">
        <v>0.53472222221898846</v>
      </c>
      <c r="AH119" s="103" t="s">
        <v>1599</v>
      </c>
      <c r="AI119" s="103" t="s">
        <v>1782</v>
      </c>
      <c r="AJ119" s="103" t="s">
        <v>64</v>
      </c>
      <c r="AK119" s="103" t="s">
        <v>64</v>
      </c>
      <c r="AL119" s="103" t="s">
        <v>1550</v>
      </c>
      <c r="AM119" s="103" t="s">
        <v>65</v>
      </c>
      <c r="AN119" s="102" t="s">
        <v>64</v>
      </c>
      <c r="AO119" s="61"/>
    </row>
    <row r="120" spans="3:41" ht="14.25" customHeight="1">
      <c r="C120" s="55" t="str">
        <f>IF($X120=1,COUNTIF($C$10:C119,"&gt;0")+1,"")</f>
        <v/>
      </c>
      <c r="D120" s="56"/>
      <c r="E120" s="103" t="s">
        <v>1776</v>
      </c>
      <c r="F120" s="104" t="s">
        <v>1978</v>
      </c>
      <c r="G120" s="103" t="s">
        <v>1974</v>
      </c>
      <c r="H120" s="103" t="s">
        <v>1979</v>
      </c>
      <c r="I120" s="103" t="s">
        <v>82</v>
      </c>
      <c r="J120" s="103" t="s">
        <v>68</v>
      </c>
      <c r="K120" s="103" t="s">
        <v>59</v>
      </c>
      <c r="L120" s="105">
        <v>24766</v>
      </c>
      <c r="M120" s="103">
        <v>57</v>
      </c>
      <c r="N120" s="103" t="s">
        <v>1980</v>
      </c>
      <c r="O120" s="105">
        <v>48260</v>
      </c>
      <c r="P120" s="103" t="s">
        <v>4</v>
      </c>
      <c r="Q120" s="103"/>
      <c r="R120" s="99">
        <v>45913</v>
      </c>
      <c r="S120" s="99">
        <v>45918</v>
      </c>
      <c r="T120" s="100">
        <f t="shared" si="1"/>
        <v>5</v>
      </c>
      <c r="U120" s="103">
        <v>1</v>
      </c>
      <c r="V120" s="103">
        <v>1</v>
      </c>
      <c r="W120" s="103">
        <v>0</v>
      </c>
      <c r="X120" s="103">
        <v>0</v>
      </c>
      <c r="Y120" s="103">
        <v>0</v>
      </c>
      <c r="Z120" s="103">
        <v>0</v>
      </c>
      <c r="AA120" s="103">
        <v>0</v>
      </c>
      <c r="AB120" s="103"/>
      <c r="AC120" s="105">
        <v>45913</v>
      </c>
      <c r="AD120" s="106">
        <v>0.18055555555474712</v>
      </c>
      <c r="AE120" s="103" t="s">
        <v>408</v>
      </c>
      <c r="AF120" s="105">
        <v>45918</v>
      </c>
      <c r="AG120" s="106">
        <v>0.53472222221898846</v>
      </c>
      <c r="AH120" s="103" t="s">
        <v>1599</v>
      </c>
      <c r="AI120" s="103" t="s">
        <v>1782</v>
      </c>
      <c r="AJ120" s="103" t="s">
        <v>64</v>
      </c>
      <c r="AK120" s="103" t="s">
        <v>64</v>
      </c>
      <c r="AL120" s="103" t="s">
        <v>1550</v>
      </c>
      <c r="AM120" s="103" t="s">
        <v>65</v>
      </c>
      <c r="AN120" s="102" t="s">
        <v>64</v>
      </c>
      <c r="AO120" s="61"/>
    </row>
    <row r="121" spans="3:41" ht="14.25" customHeight="1">
      <c r="C121" s="55">
        <f>IF($X121=1,COUNTIF($C$10:C120,"&gt;0")+1,"")</f>
        <v>54</v>
      </c>
      <c r="D121" s="56">
        <v>41242957</v>
      </c>
      <c r="E121" s="103" t="s">
        <v>1776</v>
      </c>
      <c r="F121" s="104" t="s">
        <v>1981</v>
      </c>
      <c r="G121" s="103" t="s">
        <v>1981</v>
      </c>
      <c r="H121" s="103" t="s">
        <v>1982</v>
      </c>
      <c r="I121" s="103" t="s">
        <v>1376</v>
      </c>
      <c r="J121" s="103" t="s">
        <v>58</v>
      </c>
      <c r="K121" s="103" t="s">
        <v>59</v>
      </c>
      <c r="L121" s="105">
        <v>20298</v>
      </c>
      <c r="M121" s="103">
        <v>70</v>
      </c>
      <c r="N121" s="103" t="s">
        <v>1983</v>
      </c>
      <c r="O121" s="105">
        <v>48832</v>
      </c>
      <c r="P121" s="103" t="s">
        <v>5</v>
      </c>
      <c r="Q121" s="103"/>
      <c r="R121" s="99">
        <v>45913</v>
      </c>
      <c r="S121" s="99">
        <v>45918</v>
      </c>
      <c r="T121" s="100">
        <f t="shared" si="1"/>
        <v>5</v>
      </c>
      <c r="U121" s="103">
        <v>1</v>
      </c>
      <c r="V121" s="103">
        <v>1</v>
      </c>
      <c r="W121" s="103">
        <v>0</v>
      </c>
      <c r="X121" s="103">
        <v>1</v>
      </c>
      <c r="Y121" s="103">
        <v>0</v>
      </c>
      <c r="Z121" s="103">
        <v>0</v>
      </c>
      <c r="AA121" s="103">
        <v>1</v>
      </c>
      <c r="AB121" s="103"/>
      <c r="AC121" s="105">
        <v>45913</v>
      </c>
      <c r="AD121" s="106">
        <v>0.18055555555474712</v>
      </c>
      <c r="AE121" s="103" t="s">
        <v>408</v>
      </c>
      <c r="AF121" s="105">
        <v>45918</v>
      </c>
      <c r="AG121" s="106">
        <v>0.53472222221898846</v>
      </c>
      <c r="AH121" s="103" t="s">
        <v>1599</v>
      </c>
      <c r="AI121" s="103" t="s">
        <v>1782</v>
      </c>
      <c r="AJ121" s="103" t="s">
        <v>64</v>
      </c>
      <c r="AK121" s="103" t="s">
        <v>64</v>
      </c>
      <c r="AL121" s="103" t="s">
        <v>1550</v>
      </c>
      <c r="AM121" s="103" t="s">
        <v>65</v>
      </c>
      <c r="AN121" s="102" t="s">
        <v>64</v>
      </c>
      <c r="AO121" s="61"/>
    </row>
    <row r="122" spans="3:41" ht="14.25" customHeight="1">
      <c r="C122" s="55" t="str">
        <f>IF($X122=1,COUNTIF($C$10:C121,"&gt;0")+1,"")</f>
        <v/>
      </c>
      <c r="D122" s="56"/>
      <c r="E122" s="103" t="s">
        <v>1776</v>
      </c>
      <c r="F122" s="104" t="s">
        <v>1984</v>
      </c>
      <c r="G122" s="103" t="s">
        <v>1981</v>
      </c>
      <c r="H122" s="103" t="s">
        <v>1985</v>
      </c>
      <c r="I122" s="103" t="s">
        <v>327</v>
      </c>
      <c r="J122" s="103" t="s">
        <v>68</v>
      </c>
      <c r="K122" s="103" t="s">
        <v>59</v>
      </c>
      <c r="L122" s="105">
        <v>21436</v>
      </c>
      <c r="M122" s="103">
        <v>67</v>
      </c>
      <c r="N122" s="103" t="s">
        <v>1986</v>
      </c>
      <c r="O122" s="105">
        <v>48832</v>
      </c>
      <c r="P122" s="103" t="s">
        <v>5</v>
      </c>
      <c r="Q122" s="103"/>
      <c r="R122" s="99">
        <v>45913</v>
      </c>
      <c r="S122" s="99">
        <v>45918</v>
      </c>
      <c r="T122" s="100">
        <f t="shared" si="1"/>
        <v>5</v>
      </c>
      <c r="U122" s="103">
        <v>1</v>
      </c>
      <c r="V122" s="103">
        <v>1</v>
      </c>
      <c r="W122" s="103">
        <v>0</v>
      </c>
      <c r="X122" s="103">
        <v>0</v>
      </c>
      <c r="Y122" s="103">
        <v>0</v>
      </c>
      <c r="Z122" s="103">
        <v>0</v>
      </c>
      <c r="AA122" s="103">
        <v>0</v>
      </c>
      <c r="AB122" s="103"/>
      <c r="AC122" s="105">
        <v>45913</v>
      </c>
      <c r="AD122" s="106">
        <v>0.18055555555474712</v>
      </c>
      <c r="AE122" s="103" t="s">
        <v>408</v>
      </c>
      <c r="AF122" s="105">
        <v>45918</v>
      </c>
      <c r="AG122" s="106">
        <v>0.53472222221898846</v>
      </c>
      <c r="AH122" s="103" t="s">
        <v>1599</v>
      </c>
      <c r="AI122" s="103" t="s">
        <v>1782</v>
      </c>
      <c r="AJ122" s="103" t="s">
        <v>64</v>
      </c>
      <c r="AK122" s="103" t="s">
        <v>64</v>
      </c>
      <c r="AL122" s="103" t="s">
        <v>1550</v>
      </c>
      <c r="AM122" s="103" t="s">
        <v>65</v>
      </c>
      <c r="AN122" s="102" t="s">
        <v>64</v>
      </c>
      <c r="AO122" s="61"/>
    </row>
    <row r="123" spans="3:41" ht="14.25" customHeight="1">
      <c r="C123" s="55">
        <f>IF($X123=1,COUNTIF($C$10:C122,"&gt;0")+1,"")</f>
        <v>55</v>
      </c>
      <c r="D123" s="56">
        <v>86743938</v>
      </c>
      <c r="E123" s="103" t="s">
        <v>1776</v>
      </c>
      <c r="F123" s="104" t="s">
        <v>1987</v>
      </c>
      <c r="G123" s="103" t="s">
        <v>1987</v>
      </c>
      <c r="H123" s="103" t="s">
        <v>1988</v>
      </c>
      <c r="I123" s="103" t="s">
        <v>451</v>
      </c>
      <c r="J123" s="103" t="s">
        <v>58</v>
      </c>
      <c r="K123" s="103" t="s">
        <v>59</v>
      </c>
      <c r="L123" s="105">
        <v>31694</v>
      </c>
      <c r="M123" s="103">
        <v>38</v>
      </c>
      <c r="N123" s="103" t="s">
        <v>1989</v>
      </c>
      <c r="O123" s="105">
        <v>49013</v>
      </c>
      <c r="P123" s="103" t="s">
        <v>4</v>
      </c>
      <c r="Q123" s="103"/>
      <c r="R123" s="99">
        <v>45913</v>
      </c>
      <c r="S123" s="99">
        <v>45918</v>
      </c>
      <c r="T123" s="100">
        <f t="shared" si="1"/>
        <v>5</v>
      </c>
      <c r="U123" s="103">
        <v>1</v>
      </c>
      <c r="V123" s="103">
        <v>1</v>
      </c>
      <c r="W123" s="103">
        <v>0</v>
      </c>
      <c r="X123" s="103">
        <v>1</v>
      </c>
      <c r="Y123" s="103">
        <v>0</v>
      </c>
      <c r="Z123" s="103">
        <v>1</v>
      </c>
      <c r="AA123" s="103">
        <v>0</v>
      </c>
      <c r="AB123" s="103"/>
      <c r="AC123" s="105">
        <v>45913</v>
      </c>
      <c r="AD123" s="106">
        <v>0.18055555555474712</v>
      </c>
      <c r="AE123" s="103" t="s">
        <v>408</v>
      </c>
      <c r="AF123" s="105">
        <v>45918</v>
      </c>
      <c r="AG123" s="106">
        <v>0.53472222221898846</v>
      </c>
      <c r="AH123" s="103" t="s">
        <v>1599</v>
      </c>
      <c r="AI123" s="103" t="s">
        <v>1782</v>
      </c>
      <c r="AJ123" s="103" t="s">
        <v>64</v>
      </c>
      <c r="AK123" s="103" t="s">
        <v>64</v>
      </c>
      <c r="AL123" s="103" t="s">
        <v>1550</v>
      </c>
      <c r="AM123" s="103" t="s">
        <v>65</v>
      </c>
      <c r="AN123" s="102" t="s">
        <v>64</v>
      </c>
      <c r="AO123" s="61"/>
    </row>
    <row r="124" spans="3:41" ht="14.25" customHeight="1">
      <c r="C124" s="55" t="str">
        <f>IF($X124=1,COUNTIF($C$10:C123,"&gt;0")+1,"")</f>
        <v/>
      </c>
      <c r="D124" s="56"/>
      <c r="E124" s="103" t="s">
        <v>1776</v>
      </c>
      <c r="F124" s="104" t="s">
        <v>1990</v>
      </c>
      <c r="G124" s="103" t="s">
        <v>1987</v>
      </c>
      <c r="H124" s="103" t="s">
        <v>1991</v>
      </c>
      <c r="I124" s="103" t="s">
        <v>1992</v>
      </c>
      <c r="J124" s="103" t="s">
        <v>68</v>
      </c>
      <c r="K124" s="103" t="s">
        <v>59</v>
      </c>
      <c r="L124" s="105">
        <v>33254</v>
      </c>
      <c r="M124" s="103">
        <v>34</v>
      </c>
      <c r="N124" s="103" t="s">
        <v>1993</v>
      </c>
      <c r="O124" s="105">
        <v>47051</v>
      </c>
      <c r="P124" s="103" t="s">
        <v>4</v>
      </c>
      <c r="Q124" s="103"/>
      <c r="R124" s="99">
        <v>45913</v>
      </c>
      <c r="S124" s="99">
        <v>45918</v>
      </c>
      <c r="T124" s="100">
        <f t="shared" si="1"/>
        <v>5</v>
      </c>
      <c r="U124" s="103">
        <v>1</v>
      </c>
      <c r="V124" s="103">
        <v>1</v>
      </c>
      <c r="W124" s="103">
        <v>0</v>
      </c>
      <c r="X124" s="103">
        <v>0</v>
      </c>
      <c r="Y124" s="103">
        <v>0</v>
      </c>
      <c r="Z124" s="103">
        <v>0</v>
      </c>
      <c r="AA124" s="103">
        <v>0</v>
      </c>
      <c r="AB124" s="103"/>
      <c r="AC124" s="105">
        <v>45913</v>
      </c>
      <c r="AD124" s="106">
        <v>0.18055555555474712</v>
      </c>
      <c r="AE124" s="103" t="s">
        <v>408</v>
      </c>
      <c r="AF124" s="105">
        <v>45918</v>
      </c>
      <c r="AG124" s="106">
        <v>0.53472222221898846</v>
      </c>
      <c r="AH124" s="103" t="s">
        <v>1599</v>
      </c>
      <c r="AI124" s="103" t="s">
        <v>1782</v>
      </c>
      <c r="AJ124" s="103" t="s">
        <v>64</v>
      </c>
      <c r="AK124" s="103" t="s">
        <v>64</v>
      </c>
      <c r="AL124" s="103" t="s">
        <v>1550</v>
      </c>
      <c r="AM124" s="103" t="s">
        <v>65</v>
      </c>
      <c r="AN124" s="102" t="s">
        <v>64</v>
      </c>
      <c r="AO124" s="61"/>
    </row>
    <row r="125" spans="3:41" ht="14.25" customHeight="1">
      <c r="C125" s="55">
        <f>IF($X125=1,COUNTIF($C$10:C124,"&gt;0")+1,"")</f>
        <v>56</v>
      </c>
      <c r="D125" s="56">
        <v>29453685</v>
      </c>
      <c r="E125" s="103" t="s">
        <v>1776</v>
      </c>
      <c r="F125" s="104" t="s">
        <v>1994</v>
      </c>
      <c r="G125" s="103" t="s">
        <v>1994</v>
      </c>
      <c r="H125" s="103" t="s">
        <v>1995</v>
      </c>
      <c r="I125" s="103" t="s">
        <v>759</v>
      </c>
      <c r="J125" s="103" t="s">
        <v>58</v>
      </c>
      <c r="K125" s="103" t="s">
        <v>59</v>
      </c>
      <c r="L125" s="105">
        <v>21999</v>
      </c>
      <c r="M125" s="103">
        <v>65</v>
      </c>
      <c r="N125" s="103" t="s">
        <v>1996</v>
      </c>
      <c r="O125" s="105">
        <v>48455</v>
      </c>
      <c r="P125" s="103" t="s">
        <v>5</v>
      </c>
      <c r="Q125" s="103"/>
      <c r="R125" s="99">
        <v>45913</v>
      </c>
      <c r="S125" s="99">
        <v>45918</v>
      </c>
      <c r="T125" s="100">
        <f t="shared" si="1"/>
        <v>5</v>
      </c>
      <c r="U125" s="103">
        <v>1</v>
      </c>
      <c r="V125" s="103">
        <v>1</v>
      </c>
      <c r="W125" s="103">
        <v>0</v>
      </c>
      <c r="X125" s="103">
        <v>1</v>
      </c>
      <c r="Y125" s="103">
        <v>0</v>
      </c>
      <c r="Z125" s="103">
        <v>0</v>
      </c>
      <c r="AA125" s="103">
        <v>1</v>
      </c>
      <c r="AB125" s="103"/>
      <c r="AC125" s="105">
        <v>45913</v>
      </c>
      <c r="AD125" s="106">
        <v>0.18055555555474712</v>
      </c>
      <c r="AE125" s="103" t="s">
        <v>408</v>
      </c>
      <c r="AF125" s="105">
        <v>45918</v>
      </c>
      <c r="AG125" s="106">
        <v>0.80902777778101154</v>
      </c>
      <c r="AH125" s="103" t="s">
        <v>1997</v>
      </c>
      <c r="AI125" s="103" t="s">
        <v>1782</v>
      </c>
      <c r="AJ125" s="103" t="s">
        <v>64</v>
      </c>
      <c r="AK125" s="103" t="s">
        <v>64</v>
      </c>
      <c r="AL125" s="103" t="s">
        <v>1550</v>
      </c>
      <c r="AM125" s="103" t="s">
        <v>65</v>
      </c>
      <c r="AN125" s="102" t="s">
        <v>64</v>
      </c>
      <c r="AO125" s="61"/>
    </row>
    <row r="126" spans="3:41" ht="14.25" customHeight="1">
      <c r="C126" s="55" t="str">
        <f>IF($X126=1,COUNTIF($C$10:C125,"&gt;0")+1,"")</f>
        <v/>
      </c>
      <c r="D126" s="56"/>
      <c r="E126" s="103" t="s">
        <v>1776</v>
      </c>
      <c r="F126" s="104" t="s">
        <v>1998</v>
      </c>
      <c r="G126" s="103" t="s">
        <v>1994</v>
      </c>
      <c r="H126" s="103" t="s">
        <v>1999</v>
      </c>
      <c r="I126" s="103" t="s">
        <v>327</v>
      </c>
      <c r="J126" s="103" t="s">
        <v>68</v>
      </c>
      <c r="K126" s="103" t="s">
        <v>59</v>
      </c>
      <c r="L126" s="105">
        <v>22282</v>
      </c>
      <c r="M126" s="103">
        <v>64</v>
      </c>
      <c r="N126" s="103" t="s">
        <v>2000</v>
      </c>
      <c r="O126" s="105">
        <v>49373</v>
      </c>
      <c r="P126" s="103" t="s">
        <v>5</v>
      </c>
      <c r="Q126" s="103"/>
      <c r="R126" s="99">
        <v>45913</v>
      </c>
      <c r="S126" s="99">
        <v>45918</v>
      </c>
      <c r="T126" s="100">
        <f t="shared" si="1"/>
        <v>5</v>
      </c>
      <c r="U126" s="103">
        <v>1</v>
      </c>
      <c r="V126" s="103">
        <v>1</v>
      </c>
      <c r="W126" s="103">
        <v>0</v>
      </c>
      <c r="X126" s="103">
        <v>0</v>
      </c>
      <c r="Y126" s="103">
        <v>0</v>
      </c>
      <c r="Z126" s="103">
        <v>0</v>
      </c>
      <c r="AA126" s="103">
        <v>0</v>
      </c>
      <c r="AB126" s="103"/>
      <c r="AC126" s="105">
        <v>45913</v>
      </c>
      <c r="AD126" s="106">
        <v>0.18055555555474712</v>
      </c>
      <c r="AE126" s="103" t="s">
        <v>408</v>
      </c>
      <c r="AF126" s="105">
        <v>45918</v>
      </c>
      <c r="AG126" s="106">
        <v>0.80902777778101154</v>
      </c>
      <c r="AH126" s="103" t="s">
        <v>1997</v>
      </c>
      <c r="AI126" s="103" t="s">
        <v>1782</v>
      </c>
      <c r="AJ126" s="103" t="s">
        <v>64</v>
      </c>
      <c r="AK126" s="103" t="s">
        <v>64</v>
      </c>
      <c r="AL126" s="103" t="s">
        <v>1550</v>
      </c>
      <c r="AM126" s="103" t="s">
        <v>65</v>
      </c>
      <c r="AN126" s="102" t="s">
        <v>64</v>
      </c>
      <c r="AO126" s="61"/>
    </row>
    <row r="127" spans="3:41" ht="14.25" customHeight="1">
      <c r="C127" s="55">
        <f>IF($X127=1,COUNTIF($C$10:C126,"&gt;0")+1,"")</f>
        <v>57</v>
      </c>
      <c r="D127" s="56">
        <v>46534285</v>
      </c>
      <c r="E127" s="103" t="s">
        <v>1776</v>
      </c>
      <c r="F127" s="104" t="s">
        <v>2001</v>
      </c>
      <c r="G127" s="103" t="s">
        <v>2001</v>
      </c>
      <c r="H127" s="103" t="s">
        <v>2002</v>
      </c>
      <c r="I127" s="103" t="s">
        <v>82</v>
      </c>
      <c r="J127" s="103" t="s">
        <v>68</v>
      </c>
      <c r="K127" s="103" t="s">
        <v>2003</v>
      </c>
      <c r="L127" s="105">
        <v>25764</v>
      </c>
      <c r="M127" s="103">
        <v>55</v>
      </c>
      <c r="N127" s="103" t="s">
        <v>2004</v>
      </c>
      <c r="O127" s="105">
        <v>47300</v>
      </c>
      <c r="P127" s="103" t="s">
        <v>4</v>
      </c>
      <c r="Q127" s="103"/>
      <c r="R127" s="99">
        <v>45913</v>
      </c>
      <c r="S127" s="99">
        <v>45918</v>
      </c>
      <c r="T127" s="100">
        <f t="shared" si="1"/>
        <v>5</v>
      </c>
      <c r="U127" s="103">
        <v>1</v>
      </c>
      <c r="V127" s="103">
        <v>1</v>
      </c>
      <c r="W127" s="103">
        <v>0</v>
      </c>
      <c r="X127" s="103">
        <v>1</v>
      </c>
      <c r="Y127" s="103">
        <v>0</v>
      </c>
      <c r="Z127" s="103">
        <v>1</v>
      </c>
      <c r="AA127" s="103">
        <v>0</v>
      </c>
      <c r="AB127" s="103"/>
      <c r="AC127" s="105">
        <v>45913</v>
      </c>
      <c r="AD127" s="106">
        <v>0.18055555555474712</v>
      </c>
      <c r="AE127" s="103" t="s">
        <v>408</v>
      </c>
      <c r="AF127" s="105">
        <v>45918</v>
      </c>
      <c r="AG127" s="106">
        <v>0.39236111110949423</v>
      </c>
      <c r="AH127" s="103" t="s">
        <v>2005</v>
      </c>
      <c r="AI127" s="103" t="s">
        <v>1782</v>
      </c>
      <c r="AJ127" s="103" t="s">
        <v>64</v>
      </c>
      <c r="AK127" s="103" t="s">
        <v>64</v>
      </c>
      <c r="AL127" s="103" t="s">
        <v>1550</v>
      </c>
      <c r="AM127" s="103" t="s">
        <v>65</v>
      </c>
      <c r="AN127" s="102" t="s">
        <v>64</v>
      </c>
      <c r="AO127" s="61"/>
    </row>
    <row r="128" spans="3:41" ht="14.25" customHeight="1">
      <c r="C128" s="55" t="str">
        <f>IF($X128=1,COUNTIF($C$10:C127,"&gt;0")+1,"")</f>
        <v/>
      </c>
      <c r="D128" s="56"/>
      <c r="E128" s="103" t="s">
        <v>1776</v>
      </c>
      <c r="F128" s="104" t="s">
        <v>2006</v>
      </c>
      <c r="G128" s="103" t="s">
        <v>2001</v>
      </c>
      <c r="H128" s="103" t="s">
        <v>2007</v>
      </c>
      <c r="I128" s="103" t="s">
        <v>82</v>
      </c>
      <c r="J128" s="103" t="s">
        <v>58</v>
      </c>
      <c r="K128" s="103" t="s">
        <v>2003</v>
      </c>
      <c r="L128" s="105">
        <v>24647</v>
      </c>
      <c r="M128" s="103">
        <v>58</v>
      </c>
      <c r="N128" s="103" t="s">
        <v>2008</v>
      </c>
      <c r="O128" s="105">
        <v>47300</v>
      </c>
      <c r="P128" s="103" t="s">
        <v>4</v>
      </c>
      <c r="Q128" s="103"/>
      <c r="R128" s="99">
        <v>45913</v>
      </c>
      <c r="S128" s="99">
        <v>45918</v>
      </c>
      <c r="T128" s="100">
        <f t="shared" si="1"/>
        <v>5</v>
      </c>
      <c r="U128" s="103">
        <v>1</v>
      </c>
      <c r="V128" s="103">
        <v>1</v>
      </c>
      <c r="W128" s="103">
        <v>0</v>
      </c>
      <c r="X128" s="103">
        <v>0</v>
      </c>
      <c r="Y128" s="103">
        <v>0</v>
      </c>
      <c r="Z128" s="103">
        <v>0</v>
      </c>
      <c r="AA128" s="103">
        <v>0</v>
      </c>
      <c r="AB128" s="103"/>
      <c r="AC128" s="105">
        <v>45913</v>
      </c>
      <c r="AD128" s="106">
        <v>0.18055555555474712</v>
      </c>
      <c r="AE128" s="103" t="s">
        <v>408</v>
      </c>
      <c r="AF128" s="105">
        <v>45918</v>
      </c>
      <c r="AG128" s="106">
        <v>0.39236111110949423</v>
      </c>
      <c r="AH128" s="103" t="s">
        <v>2005</v>
      </c>
      <c r="AI128" s="103" t="s">
        <v>1782</v>
      </c>
      <c r="AJ128" s="103" t="s">
        <v>64</v>
      </c>
      <c r="AK128" s="103" t="s">
        <v>64</v>
      </c>
      <c r="AL128" s="103" t="s">
        <v>1550</v>
      </c>
      <c r="AM128" s="103" t="s">
        <v>65</v>
      </c>
      <c r="AN128" s="102" t="s">
        <v>64</v>
      </c>
      <c r="AO128" s="61"/>
    </row>
    <row r="129" spans="3:41" ht="14.25" customHeight="1">
      <c r="C129" s="55">
        <f>IF($X129=1,COUNTIF($C$10:C128,"&gt;0")+1,"")</f>
        <v>58</v>
      </c>
      <c r="D129" s="56">
        <v>43224574</v>
      </c>
      <c r="E129" s="103" t="s">
        <v>1776</v>
      </c>
      <c r="F129" s="104" t="s">
        <v>2009</v>
      </c>
      <c r="G129" s="103" t="s">
        <v>2009</v>
      </c>
      <c r="H129" s="103" t="s">
        <v>2010</v>
      </c>
      <c r="I129" s="103" t="s">
        <v>2011</v>
      </c>
      <c r="J129" s="103" t="s">
        <v>68</v>
      </c>
      <c r="K129" s="103" t="s">
        <v>59</v>
      </c>
      <c r="L129" s="105">
        <v>19044</v>
      </c>
      <c r="M129" s="103">
        <v>73</v>
      </c>
      <c r="N129" s="103" t="s">
        <v>2012</v>
      </c>
      <c r="O129" s="105">
        <v>46699</v>
      </c>
      <c r="P129" s="103" t="s">
        <v>4</v>
      </c>
      <c r="Q129" s="103"/>
      <c r="R129" s="99">
        <v>45913</v>
      </c>
      <c r="S129" s="99">
        <v>45918</v>
      </c>
      <c r="T129" s="100">
        <f t="shared" si="1"/>
        <v>5</v>
      </c>
      <c r="U129" s="103">
        <v>1</v>
      </c>
      <c r="V129" s="103">
        <v>1</v>
      </c>
      <c r="W129" s="103">
        <v>0</v>
      </c>
      <c r="X129" s="103">
        <v>1</v>
      </c>
      <c r="Y129" s="103">
        <v>0</v>
      </c>
      <c r="Z129" s="103">
        <v>1</v>
      </c>
      <c r="AA129" s="103">
        <v>0</v>
      </c>
      <c r="AB129" s="103"/>
      <c r="AC129" s="105">
        <v>45913</v>
      </c>
      <c r="AD129" s="106">
        <v>0.18055555555474712</v>
      </c>
      <c r="AE129" s="103" t="s">
        <v>408</v>
      </c>
      <c r="AF129" s="105">
        <v>45918</v>
      </c>
      <c r="AG129" s="106">
        <v>0.53472222221898846</v>
      </c>
      <c r="AH129" s="103" t="s">
        <v>1599</v>
      </c>
      <c r="AI129" s="103" t="s">
        <v>1782</v>
      </c>
      <c r="AJ129" s="103" t="s">
        <v>64</v>
      </c>
      <c r="AK129" s="103" t="s">
        <v>64</v>
      </c>
      <c r="AL129" s="103" t="s">
        <v>1550</v>
      </c>
      <c r="AM129" s="103" t="s">
        <v>65</v>
      </c>
      <c r="AN129" s="102" t="s">
        <v>64</v>
      </c>
      <c r="AO129" s="61"/>
    </row>
    <row r="130" spans="3:41" ht="14.25" customHeight="1">
      <c r="C130" s="55" t="str">
        <f>IF($X130=1,COUNTIF($C$10:C129,"&gt;0")+1,"")</f>
        <v/>
      </c>
      <c r="D130" s="56"/>
      <c r="E130" s="103" t="s">
        <v>1776</v>
      </c>
      <c r="F130" s="104" t="s">
        <v>2013</v>
      </c>
      <c r="G130" s="103" t="s">
        <v>2009</v>
      </c>
      <c r="H130" s="103" t="s">
        <v>2014</v>
      </c>
      <c r="I130" s="103" t="s">
        <v>327</v>
      </c>
      <c r="J130" s="103" t="s">
        <v>68</v>
      </c>
      <c r="K130" s="103" t="s">
        <v>59</v>
      </c>
      <c r="L130" s="105">
        <v>26507</v>
      </c>
      <c r="M130" s="103">
        <v>53</v>
      </c>
      <c r="N130" s="103" t="s">
        <v>2015</v>
      </c>
      <c r="O130" s="105">
        <v>47187</v>
      </c>
      <c r="P130" s="103" t="s">
        <v>4</v>
      </c>
      <c r="Q130" s="103"/>
      <c r="R130" s="99">
        <v>45913</v>
      </c>
      <c r="S130" s="99">
        <v>45918</v>
      </c>
      <c r="T130" s="100">
        <f t="shared" si="1"/>
        <v>5</v>
      </c>
      <c r="U130" s="103">
        <v>1</v>
      </c>
      <c r="V130" s="103">
        <v>1</v>
      </c>
      <c r="W130" s="103">
        <v>0</v>
      </c>
      <c r="X130" s="103">
        <v>0</v>
      </c>
      <c r="Y130" s="103">
        <v>0</v>
      </c>
      <c r="Z130" s="103">
        <v>0</v>
      </c>
      <c r="AA130" s="103">
        <v>0</v>
      </c>
      <c r="AB130" s="103"/>
      <c r="AC130" s="105">
        <v>45913</v>
      </c>
      <c r="AD130" s="106">
        <v>0.18055555555474712</v>
      </c>
      <c r="AE130" s="103" t="s">
        <v>408</v>
      </c>
      <c r="AF130" s="105">
        <v>45918</v>
      </c>
      <c r="AG130" s="106">
        <v>0.53472222221898846</v>
      </c>
      <c r="AH130" s="103" t="s">
        <v>1599</v>
      </c>
      <c r="AI130" s="103" t="s">
        <v>1782</v>
      </c>
      <c r="AJ130" s="103" t="s">
        <v>64</v>
      </c>
      <c r="AK130" s="103" t="s">
        <v>64</v>
      </c>
      <c r="AL130" s="103" t="s">
        <v>1550</v>
      </c>
      <c r="AM130" s="103" t="s">
        <v>65</v>
      </c>
      <c r="AN130" s="102" t="s">
        <v>64</v>
      </c>
      <c r="AO130" s="61"/>
    </row>
    <row r="131" spans="3:41" ht="14.25" customHeight="1">
      <c r="C131" s="55">
        <f>IF($X131=1,COUNTIF($C$10:C130,"&gt;0")+1,"")</f>
        <v>59</v>
      </c>
      <c r="D131" s="56">
        <v>67800189</v>
      </c>
      <c r="E131" s="103" t="s">
        <v>1776</v>
      </c>
      <c r="F131" s="104" t="s">
        <v>2016</v>
      </c>
      <c r="G131" s="103" t="s">
        <v>2016</v>
      </c>
      <c r="H131" s="103" t="s">
        <v>2017</v>
      </c>
      <c r="I131" s="103" t="s">
        <v>2018</v>
      </c>
      <c r="J131" s="103" t="s">
        <v>68</v>
      </c>
      <c r="K131" s="103" t="s">
        <v>59</v>
      </c>
      <c r="L131" s="105">
        <v>21574</v>
      </c>
      <c r="M131" s="103">
        <v>66</v>
      </c>
      <c r="N131" s="103" t="s">
        <v>2019</v>
      </c>
      <c r="O131" s="105">
        <v>48437</v>
      </c>
      <c r="P131" s="103" t="s">
        <v>4</v>
      </c>
      <c r="Q131" s="103"/>
      <c r="R131" s="99">
        <v>45913</v>
      </c>
      <c r="S131" s="99">
        <v>45918</v>
      </c>
      <c r="T131" s="100">
        <f t="shared" si="1"/>
        <v>5</v>
      </c>
      <c r="U131" s="103">
        <v>1</v>
      </c>
      <c r="V131" s="103">
        <v>1</v>
      </c>
      <c r="W131" s="103">
        <v>0</v>
      </c>
      <c r="X131" s="103">
        <v>1</v>
      </c>
      <c r="Y131" s="103">
        <v>0</v>
      </c>
      <c r="Z131" s="103">
        <v>1</v>
      </c>
      <c r="AA131" s="103">
        <v>0</v>
      </c>
      <c r="AB131" s="103"/>
      <c r="AC131" s="105">
        <v>45913</v>
      </c>
      <c r="AD131" s="106">
        <v>0.20833333333575865</v>
      </c>
      <c r="AE131" s="103" t="s">
        <v>2020</v>
      </c>
      <c r="AF131" s="105">
        <v>45918</v>
      </c>
      <c r="AG131" s="106">
        <v>0.46180555555474712</v>
      </c>
      <c r="AH131" s="103" t="s">
        <v>2021</v>
      </c>
      <c r="AI131" s="103" t="s">
        <v>1782</v>
      </c>
      <c r="AJ131" s="103" t="s">
        <v>64</v>
      </c>
      <c r="AK131" s="103" t="s">
        <v>64</v>
      </c>
      <c r="AL131" s="103" t="s">
        <v>1550</v>
      </c>
      <c r="AM131" s="103" t="s">
        <v>65</v>
      </c>
      <c r="AN131" s="102" t="s">
        <v>64</v>
      </c>
      <c r="AO131" s="61"/>
    </row>
    <row r="132" spans="3:41" ht="14.25" customHeight="1">
      <c r="C132" s="55" t="str">
        <f>IF($X132=1,COUNTIF($C$10:C131,"&gt;0")+1,"")</f>
        <v/>
      </c>
      <c r="D132" s="56"/>
      <c r="E132" s="103" t="s">
        <v>1776</v>
      </c>
      <c r="F132" s="104" t="s">
        <v>2022</v>
      </c>
      <c r="G132" s="103" t="s">
        <v>2016</v>
      </c>
      <c r="H132" s="103" t="s">
        <v>2023</v>
      </c>
      <c r="I132" s="103" t="s">
        <v>2018</v>
      </c>
      <c r="J132" s="103" t="s">
        <v>58</v>
      </c>
      <c r="K132" s="103" t="s">
        <v>59</v>
      </c>
      <c r="L132" s="105">
        <v>24477</v>
      </c>
      <c r="M132" s="103">
        <v>58</v>
      </c>
      <c r="N132" s="103" t="s">
        <v>2024</v>
      </c>
      <c r="O132" s="105">
        <v>48437</v>
      </c>
      <c r="P132" s="103" t="s">
        <v>4</v>
      </c>
      <c r="Q132" s="103"/>
      <c r="R132" s="99">
        <v>45913</v>
      </c>
      <c r="S132" s="99">
        <v>45918</v>
      </c>
      <c r="T132" s="100">
        <f t="shared" si="1"/>
        <v>5</v>
      </c>
      <c r="U132" s="103">
        <v>1</v>
      </c>
      <c r="V132" s="103">
        <v>1</v>
      </c>
      <c r="W132" s="103">
        <v>0</v>
      </c>
      <c r="X132" s="103">
        <v>0</v>
      </c>
      <c r="Y132" s="103">
        <v>0</v>
      </c>
      <c r="Z132" s="103">
        <v>0</v>
      </c>
      <c r="AA132" s="103">
        <v>0</v>
      </c>
      <c r="AB132" s="103"/>
      <c r="AC132" s="105">
        <v>45913</v>
      </c>
      <c r="AD132" s="106">
        <v>0.20833333333575865</v>
      </c>
      <c r="AE132" s="103" t="s">
        <v>2020</v>
      </c>
      <c r="AF132" s="105">
        <v>45918</v>
      </c>
      <c r="AG132" s="106">
        <v>0.46180555555474712</v>
      </c>
      <c r="AH132" s="103" t="s">
        <v>2021</v>
      </c>
      <c r="AI132" s="103" t="s">
        <v>1782</v>
      </c>
      <c r="AJ132" s="103" t="s">
        <v>64</v>
      </c>
      <c r="AK132" s="103" t="s">
        <v>64</v>
      </c>
      <c r="AL132" s="103" t="s">
        <v>1550</v>
      </c>
      <c r="AM132" s="103" t="s">
        <v>65</v>
      </c>
      <c r="AN132" s="102" t="s">
        <v>64</v>
      </c>
      <c r="AO132" s="61"/>
    </row>
    <row r="133" spans="3:41" ht="14.25" customHeight="1">
      <c r="C133" s="55">
        <f>IF($X133=1,COUNTIF($C$10:C132,"&gt;0")+1,"")</f>
        <v>60</v>
      </c>
      <c r="D133" s="56">
        <v>27245836</v>
      </c>
      <c r="E133" s="103" t="s">
        <v>1776</v>
      </c>
      <c r="F133" s="104" t="s">
        <v>2025</v>
      </c>
      <c r="G133" s="103" t="s">
        <v>2025</v>
      </c>
      <c r="H133" s="103" t="s">
        <v>1472</v>
      </c>
      <c r="I133" s="103" t="s">
        <v>82</v>
      </c>
      <c r="J133" s="103" t="s">
        <v>68</v>
      </c>
      <c r="K133" s="103" t="s">
        <v>59</v>
      </c>
      <c r="L133" s="105">
        <v>26835</v>
      </c>
      <c r="M133" s="103">
        <v>52</v>
      </c>
      <c r="N133" s="103" t="s">
        <v>2026</v>
      </c>
      <c r="O133" s="105">
        <v>47377</v>
      </c>
      <c r="P133" s="103" t="s">
        <v>5</v>
      </c>
      <c r="Q133" s="103"/>
      <c r="R133" s="99">
        <v>45913</v>
      </c>
      <c r="S133" s="99">
        <v>45918</v>
      </c>
      <c r="T133" s="100">
        <f t="shared" si="1"/>
        <v>5</v>
      </c>
      <c r="U133" s="103">
        <v>1</v>
      </c>
      <c r="V133" s="103">
        <v>1</v>
      </c>
      <c r="W133" s="103">
        <v>0</v>
      </c>
      <c r="X133" s="103">
        <v>1</v>
      </c>
      <c r="Y133" s="103">
        <v>0</v>
      </c>
      <c r="Z133" s="103">
        <v>0</v>
      </c>
      <c r="AA133" s="103">
        <v>1</v>
      </c>
      <c r="AB133" s="103"/>
      <c r="AC133" s="105">
        <v>45913</v>
      </c>
      <c r="AD133" s="106">
        <v>0.58333333333575865</v>
      </c>
      <c r="AE133" s="103" t="s">
        <v>2027</v>
      </c>
      <c r="AF133" s="105">
        <v>45918</v>
      </c>
      <c r="AG133" s="106">
        <v>0.85416666666424135</v>
      </c>
      <c r="AH133" s="103" t="s">
        <v>1460</v>
      </c>
      <c r="AI133" s="103" t="s">
        <v>1782</v>
      </c>
      <c r="AJ133" s="103" t="s">
        <v>64</v>
      </c>
      <c r="AK133" s="103" t="s">
        <v>64</v>
      </c>
      <c r="AL133" s="103" t="s">
        <v>1550</v>
      </c>
      <c r="AM133" s="103" t="s">
        <v>65</v>
      </c>
      <c r="AN133" s="102" t="s">
        <v>64</v>
      </c>
      <c r="AO133" s="61"/>
    </row>
    <row r="134" spans="3:41" ht="14.25" customHeight="1">
      <c r="C134" s="55" t="str">
        <f>IF($X134=1,COUNTIF($C$10:C133,"&gt;0")+1,"")</f>
        <v/>
      </c>
      <c r="D134" s="56"/>
      <c r="E134" s="103" t="s">
        <v>1776</v>
      </c>
      <c r="F134" s="104" t="s">
        <v>2028</v>
      </c>
      <c r="G134" s="103" t="s">
        <v>2025</v>
      </c>
      <c r="H134" s="103" t="s">
        <v>1305</v>
      </c>
      <c r="I134" s="103" t="s">
        <v>82</v>
      </c>
      <c r="J134" s="103" t="s">
        <v>68</v>
      </c>
      <c r="K134" s="103" t="s">
        <v>59</v>
      </c>
      <c r="L134" s="105">
        <v>18264</v>
      </c>
      <c r="M134" s="103">
        <v>75</v>
      </c>
      <c r="N134" s="103" t="s">
        <v>2029</v>
      </c>
      <c r="O134" s="105">
        <v>49067</v>
      </c>
      <c r="P134" s="103" t="s">
        <v>5</v>
      </c>
      <c r="Q134" s="103"/>
      <c r="R134" s="99">
        <v>45913</v>
      </c>
      <c r="S134" s="99">
        <v>45918</v>
      </c>
      <c r="T134" s="100">
        <f t="shared" si="1"/>
        <v>5</v>
      </c>
      <c r="U134" s="103">
        <v>1</v>
      </c>
      <c r="V134" s="103">
        <v>1</v>
      </c>
      <c r="W134" s="103">
        <v>0</v>
      </c>
      <c r="X134" s="103">
        <v>0</v>
      </c>
      <c r="Y134" s="103">
        <v>0</v>
      </c>
      <c r="Z134" s="103">
        <v>0</v>
      </c>
      <c r="AA134" s="103">
        <v>0</v>
      </c>
      <c r="AB134" s="103"/>
      <c r="AC134" s="105">
        <v>45913</v>
      </c>
      <c r="AD134" s="106">
        <v>0.58333333333575865</v>
      </c>
      <c r="AE134" s="103" t="s">
        <v>2027</v>
      </c>
      <c r="AF134" s="105">
        <v>45918</v>
      </c>
      <c r="AG134" s="106">
        <v>0.85416666666424135</v>
      </c>
      <c r="AH134" s="103" t="s">
        <v>1460</v>
      </c>
      <c r="AI134" s="103" t="s">
        <v>1782</v>
      </c>
      <c r="AJ134" s="103" t="s">
        <v>64</v>
      </c>
      <c r="AK134" s="103" t="s">
        <v>64</v>
      </c>
      <c r="AL134" s="103" t="s">
        <v>1550</v>
      </c>
      <c r="AM134" s="103" t="s">
        <v>65</v>
      </c>
      <c r="AN134" s="102" t="s">
        <v>64</v>
      </c>
      <c r="AO134" s="61"/>
    </row>
    <row r="135" spans="3:41" ht="14.25" customHeight="1">
      <c r="C135" s="55">
        <f>IF($X135=1,COUNTIF($C$10:C134,"&gt;0")+1,"")</f>
        <v>61</v>
      </c>
      <c r="D135" s="56">
        <v>42978288</v>
      </c>
      <c r="E135" s="103" t="s">
        <v>1776</v>
      </c>
      <c r="F135" s="104" t="s">
        <v>2030</v>
      </c>
      <c r="G135" s="103" t="s">
        <v>2025</v>
      </c>
      <c r="H135" s="103" t="s">
        <v>2031</v>
      </c>
      <c r="I135" s="103" t="s">
        <v>82</v>
      </c>
      <c r="J135" s="103" t="s">
        <v>58</v>
      </c>
      <c r="K135" s="103" t="s">
        <v>59</v>
      </c>
      <c r="L135" s="105">
        <v>35896</v>
      </c>
      <c r="M135" s="103">
        <v>27</v>
      </c>
      <c r="N135" s="103" t="s">
        <v>2032</v>
      </c>
      <c r="O135" s="105">
        <v>47218</v>
      </c>
      <c r="P135" s="103" t="s">
        <v>5</v>
      </c>
      <c r="Q135" s="103"/>
      <c r="R135" s="99">
        <v>45913</v>
      </c>
      <c r="S135" s="99">
        <v>45918</v>
      </c>
      <c r="T135" s="100">
        <f t="shared" si="1"/>
        <v>5</v>
      </c>
      <c r="U135" s="103">
        <v>1</v>
      </c>
      <c r="V135" s="103">
        <v>1</v>
      </c>
      <c r="W135" s="103">
        <v>0</v>
      </c>
      <c r="X135" s="103">
        <v>1</v>
      </c>
      <c r="Y135" s="103">
        <v>0</v>
      </c>
      <c r="Z135" s="103">
        <v>0</v>
      </c>
      <c r="AA135" s="103">
        <v>1</v>
      </c>
      <c r="AB135" s="103"/>
      <c r="AC135" s="105">
        <v>45913</v>
      </c>
      <c r="AD135" s="106">
        <v>0.58333333333575865</v>
      </c>
      <c r="AE135" s="103" t="s">
        <v>2027</v>
      </c>
      <c r="AF135" s="105">
        <v>45918</v>
      </c>
      <c r="AG135" s="106">
        <v>0.85416666666424135</v>
      </c>
      <c r="AH135" s="103" t="s">
        <v>1460</v>
      </c>
      <c r="AI135" s="103" t="s">
        <v>1782</v>
      </c>
      <c r="AJ135" s="103" t="s">
        <v>64</v>
      </c>
      <c r="AK135" s="103" t="s">
        <v>64</v>
      </c>
      <c r="AL135" s="103" t="s">
        <v>1550</v>
      </c>
      <c r="AM135" s="103" t="s">
        <v>65</v>
      </c>
      <c r="AN135" s="102" t="s">
        <v>64</v>
      </c>
      <c r="AO135" s="61"/>
    </row>
    <row r="136" spans="3:41" ht="14.25" customHeight="1">
      <c r="C136" s="55" t="str">
        <f>IF($X136=1,COUNTIF($C$10:C135,"&gt;0")+1,"")</f>
        <v/>
      </c>
      <c r="D136" s="56"/>
      <c r="E136" s="103" t="s">
        <v>1776</v>
      </c>
      <c r="F136" s="104" t="s">
        <v>2033</v>
      </c>
      <c r="G136" s="103" t="s">
        <v>2025</v>
      </c>
      <c r="H136" s="103" t="s">
        <v>2034</v>
      </c>
      <c r="I136" s="103" t="s">
        <v>82</v>
      </c>
      <c r="J136" s="103" t="s">
        <v>58</v>
      </c>
      <c r="K136" s="103" t="s">
        <v>59</v>
      </c>
      <c r="L136" s="105">
        <v>36445</v>
      </c>
      <c r="M136" s="103">
        <v>25</v>
      </c>
      <c r="N136" s="103" t="s">
        <v>2035</v>
      </c>
      <c r="O136" s="105">
        <v>48125</v>
      </c>
      <c r="P136" s="103" t="s">
        <v>5</v>
      </c>
      <c r="Q136" s="103"/>
      <c r="R136" s="99">
        <v>45913</v>
      </c>
      <c r="S136" s="99">
        <v>45918</v>
      </c>
      <c r="T136" s="100">
        <f t="shared" si="1"/>
        <v>5</v>
      </c>
      <c r="U136" s="103">
        <v>1</v>
      </c>
      <c r="V136" s="103">
        <v>1</v>
      </c>
      <c r="W136" s="103">
        <v>0</v>
      </c>
      <c r="X136" s="103">
        <v>0</v>
      </c>
      <c r="Y136" s="103">
        <v>0</v>
      </c>
      <c r="Z136" s="103">
        <v>0</v>
      </c>
      <c r="AA136" s="103">
        <v>0</v>
      </c>
      <c r="AB136" s="103"/>
      <c r="AC136" s="105">
        <v>45913</v>
      </c>
      <c r="AD136" s="106">
        <v>0.58333333333575865</v>
      </c>
      <c r="AE136" s="103" t="s">
        <v>2027</v>
      </c>
      <c r="AF136" s="105">
        <v>45918</v>
      </c>
      <c r="AG136" s="106">
        <v>0.85416666666424135</v>
      </c>
      <c r="AH136" s="103" t="s">
        <v>1460</v>
      </c>
      <c r="AI136" s="103" t="s">
        <v>1782</v>
      </c>
      <c r="AJ136" s="103" t="s">
        <v>64</v>
      </c>
      <c r="AK136" s="103" t="s">
        <v>64</v>
      </c>
      <c r="AL136" s="103" t="s">
        <v>1550</v>
      </c>
      <c r="AM136" s="103" t="s">
        <v>65</v>
      </c>
      <c r="AN136" s="102" t="s">
        <v>64</v>
      </c>
      <c r="AO136" s="61"/>
    </row>
    <row r="137" spans="3:41" ht="14.25" customHeight="1">
      <c r="C137" s="55">
        <f>IF($X137=1,COUNTIF($C$10:C136,"&gt;0")+1,"")</f>
        <v>62</v>
      </c>
      <c r="D137" s="56">
        <v>62608553</v>
      </c>
      <c r="E137" s="103" t="s">
        <v>1776</v>
      </c>
      <c r="F137" s="104" t="s">
        <v>2036</v>
      </c>
      <c r="G137" s="103" t="s">
        <v>2036</v>
      </c>
      <c r="H137" s="103" t="s">
        <v>2037</v>
      </c>
      <c r="I137" s="103" t="s">
        <v>1376</v>
      </c>
      <c r="J137" s="103" t="s">
        <v>68</v>
      </c>
      <c r="K137" s="103" t="s">
        <v>59</v>
      </c>
      <c r="L137" s="105">
        <v>28358</v>
      </c>
      <c r="M137" s="103">
        <v>48</v>
      </c>
      <c r="N137" s="103" t="s">
        <v>2038</v>
      </c>
      <c r="O137" s="105">
        <v>47659</v>
      </c>
      <c r="P137" s="103" t="s">
        <v>4</v>
      </c>
      <c r="Q137" s="103"/>
      <c r="R137" s="99">
        <v>45913</v>
      </c>
      <c r="S137" s="99">
        <v>45918</v>
      </c>
      <c r="T137" s="100">
        <f t="shared" si="1"/>
        <v>5</v>
      </c>
      <c r="U137" s="103">
        <v>1</v>
      </c>
      <c r="V137" s="103">
        <v>1</v>
      </c>
      <c r="W137" s="103">
        <v>0</v>
      </c>
      <c r="X137" s="103">
        <v>1</v>
      </c>
      <c r="Y137" s="103">
        <v>0</v>
      </c>
      <c r="Z137" s="103">
        <v>1</v>
      </c>
      <c r="AA137" s="103">
        <v>0</v>
      </c>
      <c r="AB137" s="103"/>
      <c r="AC137" s="105">
        <v>45913</v>
      </c>
      <c r="AD137" s="106">
        <v>0.18055555555474712</v>
      </c>
      <c r="AE137" s="103" t="s">
        <v>408</v>
      </c>
      <c r="AF137" s="105">
        <v>45918</v>
      </c>
      <c r="AG137" s="106">
        <v>0.53472222221898846</v>
      </c>
      <c r="AH137" s="103" t="s">
        <v>1599</v>
      </c>
      <c r="AI137" s="103" t="s">
        <v>1782</v>
      </c>
      <c r="AJ137" s="103" t="s">
        <v>64</v>
      </c>
      <c r="AK137" s="103" t="s">
        <v>64</v>
      </c>
      <c r="AL137" s="103" t="s">
        <v>1550</v>
      </c>
      <c r="AM137" s="103" t="s">
        <v>65</v>
      </c>
      <c r="AN137" s="102" t="s">
        <v>64</v>
      </c>
      <c r="AO137" s="61"/>
    </row>
    <row r="138" spans="3:41" ht="14.25" customHeight="1">
      <c r="C138" s="55" t="str">
        <f>IF($X138=1,COUNTIF($C$10:C137,"&gt;0")+1,"")</f>
        <v/>
      </c>
      <c r="D138" s="56"/>
      <c r="E138" s="103" t="s">
        <v>1776</v>
      </c>
      <c r="F138" s="104" t="s">
        <v>2039</v>
      </c>
      <c r="G138" s="103" t="s">
        <v>2036</v>
      </c>
      <c r="H138" s="103" t="s">
        <v>2040</v>
      </c>
      <c r="I138" s="103" t="s">
        <v>1376</v>
      </c>
      <c r="J138" s="103" t="s">
        <v>58</v>
      </c>
      <c r="K138" s="103" t="s">
        <v>59</v>
      </c>
      <c r="L138" s="105">
        <v>26612</v>
      </c>
      <c r="M138" s="103">
        <v>52</v>
      </c>
      <c r="N138" s="103" t="s">
        <v>2041</v>
      </c>
      <c r="O138" s="105">
        <v>48337</v>
      </c>
      <c r="P138" s="103" t="s">
        <v>4</v>
      </c>
      <c r="Q138" s="103"/>
      <c r="R138" s="99">
        <v>45913</v>
      </c>
      <c r="S138" s="99">
        <v>45918</v>
      </c>
      <c r="T138" s="100">
        <f t="shared" si="1"/>
        <v>5</v>
      </c>
      <c r="U138" s="103">
        <v>1</v>
      </c>
      <c r="V138" s="103">
        <v>1</v>
      </c>
      <c r="W138" s="103">
        <v>0</v>
      </c>
      <c r="X138" s="103">
        <v>0</v>
      </c>
      <c r="Y138" s="103">
        <v>0</v>
      </c>
      <c r="Z138" s="103">
        <v>0</v>
      </c>
      <c r="AA138" s="103">
        <v>0</v>
      </c>
      <c r="AB138" s="103"/>
      <c r="AC138" s="105">
        <v>45913</v>
      </c>
      <c r="AD138" s="106">
        <v>0.18055555555474712</v>
      </c>
      <c r="AE138" s="103" t="s">
        <v>408</v>
      </c>
      <c r="AF138" s="105">
        <v>45918</v>
      </c>
      <c r="AG138" s="106">
        <v>0.53472222221898846</v>
      </c>
      <c r="AH138" s="103" t="s">
        <v>1599</v>
      </c>
      <c r="AI138" s="103" t="s">
        <v>1782</v>
      </c>
      <c r="AJ138" s="103" t="s">
        <v>64</v>
      </c>
      <c r="AK138" s="103" t="s">
        <v>64</v>
      </c>
      <c r="AL138" s="103" t="s">
        <v>1550</v>
      </c>
      <c r="AM138" s="103" t="s">
        <v>65</v>
      </c>
      <c r="AN138" s="102" t="s">
        <v>64</v>
      </c>
      <c r="AO138" s="61"/>
    </row>
    <row r="139" spans="3:41" ht="14.25" customHeight="1">
      <c r="C139" s="55">
        <f>IF($X139=1,COUNTIF($C$10:C138,"&gt;0")+1,"")</f>
        <v>63</v>
      </c>
      <c r="D139" s="56">
        <v>62800274</v>
      </c>
      <c r="E139" s="103" t="s">
        <v>1776</v>
      </c>
      <c r="F139" s="104" t="s">
        <v>2042</v>
      </c>
      <c r="G139" s="103" t="s">
        <v>2042</v>
      </c>
      <c r="H139" s="103" t="s">
        <v>2043</v>
      </c>
      <c r="I139" s="103" t="s">
        <v>1882</v>
      </c>
      <c r="J139" s="103" t="s">
        <v>58</v>
      </c>
      <c r="K139" s="103" t="s">
        <v>59</v>
      </c>
      <c r="L139" s="105">
        <v>26867</v>
      </c>
      <c r="M139" s="103">
        <v>52</v>
      </c>
      <c r="N139" s="103" t="s">
        <v>2044</v>
      </c>
      <c r="O139" s="105">
        <v>46460</v>
      </c>
      <c r="P139" s="103" t="s">
        <v>4</v>
      </c>
      <c r="Q139" s="103"/>
      <c r="R139" s="99">
        <v>45913</v>
      </c>
      <c r="S139" s="99">
        <v>45918</v>
      </c>
      <c r="T139" s="100">
        <f t="shared" si="1"/>
        <v>5</v>
      </c>
      <c r="U139" s="103">
        <v>1</v>
      </c>
      <c r="V139" s="103">
        <v>1</v>
      </c>
      <c r="W139" s="103">
        <v>0</v>
      </c>
      <c r="X139" s="103">
        <v>1</v>
      </c>
      <c r="Y139" s="103">
        <v>0</v>
      </c>
      <c r="Z139" s="103">
        <v>1</v>
      </c>
      <c r="AA139" s="103">
        <v>0</v>
      </c>
      <c r="AB139" s="103"/>
      <c r="AC139" s="105">
        <v>45913</v>
      </c>
      <c r="AD139" s="106">
        <v>0.18055555555474712</v>
      </c>
      <c r="AE139" s="103" t="s">
        <v>408</v>
      </c>
      <c r="AF139" s="105">
        <v>45918</v>
      </c>
      <c r="AG139" s="106">
        <v>0.53472222221898846</v>
      </c>
      <c r="AH139" s="103" t="s">
        <v>1599</v>
      </c>
      <c r="AI139" s="103" t="s">
        <v>1782</v>
      </c>
      <c r="AJ139" s="103" t="s">
        <v>64</v>
      </c>
      <c r="AK139" s="103" t="s">
        <v>1611</v>
      </c>
      <c r="AL139" s="103" t="s">
        <v>1550</v>
      </c>
      <c r="AM139" s="103" t="s">
        <v>65</v>
      </c>
      <c r="AN139" s="102" t="s">
        <v>64</v>
      </c>
      <c r="AO139" s="61"/>
    </row>
    <row r="140" spans="3:41" ht="14.25" customHeight="1">
      <c r="C140" s="55" t="str">
        <f>IF($X140=1,COUNTIF($C$10:C139,"&gt;0")+1,"")</f>
        <v/>
      </c>
      <c r="D140" s="56"/>
      <c r="E140" s="103" t="s">
        <v>1776</v>
      </c>
      <c r="F140" s="104" t="s">
        <v>2045</v>
      </c>
      <c r="G140" s="103" t="s">
        <v>2042</v>
      </c>
      <c r="H140" s="103" t="s">
        <v>2046</v>
      </c>
      <c r="I140" s="103" t="s">
        <v>2047</v>
      </c>
      <c r="J140" s="103" t="s">
        <v>68</v>
      </c>
      <c r="K140" s="103" t="s">
        <v>59</v>
      </c>
      <c r="L140" s="105">
        <v>26892</v>
      </c>
      <c r="M140" s="103">
        <v>52</v>
      </c>
      <c r="N140" s="103" t="s">
        <v>2048</v>
      </c>
      <c r="O140" s="105">
        <v>47504</v>
      </c>
      <c r="P140" s="103" t="s">
        <v>4</v>
      </c>
      <c r="Q140" s="103"/>
      <c r="R140" s="99">
        <v>45913</v>
      </c>
      <c r="S140" s="99">
        <v>45918</v>
      </c>
      <c r="T140" s="100">
        <f t="shared" si="1"/>
        <v>5</v>
      </c>
      <c r="U140" s="103">
        <v>1</v>
      </c>
      <c r="V140" s="103">
        <v>1</v>
      </c>
      <c r="W140" s="103">
        <v>0</v>
      </c>
      <c r="X140" s="103">
        <v>0</v>
      </c>
      <c r="Y140" s="103">
        <v>0</v>
      </c>
      <c r="Z140" s="103">
        <v>0</v>
      </c>
      <c r="AA140" s="103">
        <v>0</v>
      </c>
      <c r="AB140" s="103"/>
      <c r="AC140" s="105">
        <v>45913</v>
      </c>
      <c r="AD140" s="106">
        <v>0.18055555555474712</v>
      </c>
      <c r="AE140" s="103" t="s">
        <v>408</v>
      </c>
      <c r="AF140" s="105">
        <v>45918</v>
      </c>
      <c r="AG140" s="106">
        <v>0.53472222221898846</v>
      </c>
      <c r="AH140" s="103" t="s">
        <v>1599</v>
      </c>
      <c r="AI140" s="103" t="s">
        <v>1782</v>
      </c>
      <c r="AJ140" s="103" t="s">
        <v>64</v>
      </c>
      <c r="AK140" s="103" t="s">
        <v>64</v>
      </c>
      <c r="AL140" s="103" t="s">
        <v>1550</v>
      </c>
      <c r="AM140" s="103" t="s">
        <v>65</v>
      </c>
      <c r="AN140" s="102" t="s">
        <v>64</v>
      </c>
      <c r="AO140" s="61"/>
    </row>
    <row r="141" spans="3:41" ht="14.25" customHeight="1">
      <c r="C141" s="55">
        <f>IF($X141=1,COUNTIF($C$10:C140,"&gt;0")+1,"")</f>
        <v>64</v>
      </c>
      <c r="D141" s="56">
        <v>49572147</v>
      </c>
      <c r="E141" s="103" t="s">
        <v>1776</v>
      </c>
      <c r="F141" s="104" t="s">
        <v>2049</v>
      </c>
      <c r="G141" s="103" t="s">
        <v>2049</v>
      </c>
      <c r="H141" s="103" t="s">
        <v>2050</v>
      </c>
      <c r="I141" s="103" t="s">
        <v>82</v>
      </c>
      <c r="J141" s="103" t="s">
        <v>58</v>
      </c>
      <c r="K141" s="103" t="s">
        <v>59</v>
      </c>
      <c r="L141" s="105">
        <v>27569</v>
      </c>
      <c r="M141" s="103">
        <v>50</v>
      </c>
      <c r="N141" s="103" t="s">
        <v>2051</v>
      </c>
      <c r="O141" s="105">
        <v>48261</v>
      </c>
      <c r="P141" s="103" t="s">
        <v>4</v>
      </c>
      <c r="Q141" s="103"/>
      <c r="R141" s="99">
        <v>45913</v>
      </c>
      <c r="S141" s="99">
        <v>45918</v>
      </c>
      <c r="T141" s="100">
        <f t="shared" ref="T141:T204" si="2">S141-R141</f>
        <v>5</v>
      </c>
      <c r="U141" s="103">
        <v>1</v>
      </c>
      <c r="V141" s="103">
        <v>1</v>
      </c>
      <c r="W141" s="103">
        <v>0</v>
      </c>
      <c r="X141" s="103">
        <v>1</v>
      </c>
      <c r="Y141" s="103">
        <v>0</v>
      </c>
      <c r="Z141" s="103">
        <v>1</v>
      </c>
      <c r="AA141" s="103">
        <v>0</v>
      </c>
      <c r="AB141" s="103"/>
      <c r="AC141" s="105">
        <v>45913</v>
      </c>
      <c r="AD141" s="106">
        <v>0.18055555555474712</v>
      </c>
      <c r="AE141" s="103" t="s">
        <v>408</v>
      </c>
      <c r="AF141" s="105">
        <v>45918</v>
      </c>
      <c r="AG141" s="106">
        <v>0.53472222221898846</v>
      </c>
      <c r="AH141" s="103" t="s">
        <v>1599</v>
      </c>
      <c r="AI141" s="103" t="s">
        <v>1782</v>
      </c>
      <c r="AJ141" s="103" t="s">
        <v>64</v>
      </c>
      <c r="AK141" s="103" t="s">
        <v>64</v>
      </c>
      <c r="AL141" s="103" t="s">
        <v>1550</v>
      </c>
      <c r="AM141" s="103" t="s">
        <v>65</v>
      </c>
      <c r="AN141" s="102" t="s">
        <v>64</v>
      </c>
      <c r="AO141" s="61"/>
    </row>
    <row r="142" spans="3:41" ht="14.25" customHeight="1">
      <c r="C142" s="55" t="str">
        <f>IF($X142=1,COUNTIF($C$10:C141,"&gt;0")+1,"")</f>
        <v/>
      </c>
      <c r="D142" s="56"/>
      <c r="E142" s="103" t="s">
        <v>1776</v>
      </c>
      <c r="F142" s="104" t="s">
        <v>2052</v>
      </c>
      <c r="G142" s="103" t="s">
        <v>2049</v>
      </c>
      <c r="H142" s="103" t="s">
        <v>2053</v>
      </c>
      <c r="I142" s="103" t="s">
        <v>82</v>
      </c>
      <c r="J142" s="103" t="s">
        <v>68</v>
      </c>
      <c r="K142" s="103" t="s">
        <v>59</v>
      </c>
      <c r="L142" s="105">
        <v>29408</v>
      </c>
      <c r="M142" s="103">
        <v>45</v>
      </c>
      <c r="N142" s="103" t="s">
        <v>2054</v>
      </c>
      <c r="O142" s="105">
        <v>11736</v>
      </c>
      <c r="P142" s="103" t="s">
        <v>4</v>
      </c>
      <c r="Q142" s="103"/>
      <c r="R142" s="99">
        <v>45913</v>
      </c>
      <c r="S142" s="99">
        <v>45918</v>
      </c>
      <c r="T142" s="100">
        <f t="shared" si="2"/>
        <v>5</v>
      </c>
      <c r="U142" s="103">
        <v>1</v>
      </c>
      <c r="V142" s="103">
        <v>1</v>
      </c>
      <c r="W142" s="103">
        <v>0</v>
      </c>
      <c r="X142" s="103">
        <v>0</v>
      </c>
      <c r="Y142" s="103">
        <v>0</v>
      </c>
      <c r="Z142" s="103">
        <v>0</v>
      </c>
      <c r="AA142" s="103">
        <v>0</v>
      </c>
      <c r="AB142" s="103"/>
      <c r="AC142" s="105">
        <v>45913</v>
      </c>
      <c r="AD142" s="106">
        <v>0.18055555555474712</v>
      </c>
      <c r="AE142" s="103" t="s">
        <v>408</v>
      </c>
      <c r="AF142" s="105">
        <v>45918</v>
      </c>
      <c r="AG142" s="106">
        <v>0.53472222221898846</v>
      </c>
      <c r="AH142" s="103" t="s">
        <v>1599</v>
      </c>
      <c r="AI142" s="103" t="s">
        <v>1782</v>
      </c>
      <c r="AJ142" s="103" t="s">
        <v>64</v>
      </c>
      <c r="AK142" s="103" t="s">
        <v>64</v>
      </c>
      <c r="AL142" s="103" t="s">
        <v>1550</v>
      </c>
      <c r="AM142" s="103" t="s">
        <v>65</v>
      </c>
      <c r="AN142" s="102" t="s">
        <v>64</v>
      </c>
      <c r="AO142" s="61"/>
    </row>
    <row r="143" spans="3:41" ht="14.25" customHeight="1">
      <c r="C143" s="55">
        <f>IF($X143=1,COUNTIF($C$10:C142,"&gt;0")+1,"")</f>
        <v>65</v>
      </c>
      <c r="D143" s="56">
        <v>60568647</v>
      </c>
      <c r="E143" s="103" t="s">
        <v>1776</v>
      </c>
      <c r="F143" s="104" t="s">
        <v>2055</v>
      </c>
      <c r="G143" s="103" t="s">
        <v>2055</v>
      </c>
      <c r="H143" s="103" t="s">
        <v>2056</v>
      </c>
      <c r="I143" s="103" t="s">
        <v>390</v>
      </c>
      <c r="J143" s="103" t="s">
        <v>58</v>
      </c>
      <c r="K143" s="103" t="s">
        <v>59</v>
      </c>
      <c r="L143" s="105">
        <v>17821</v>
      </c>
      <c r="M143" s="103">
        <v>76</v>
      </c>
      <c r="N143" s="103" t="s">
        <v>2057</v>
      </c>
      <c r="O143" s="105">
        <v>49353</v>
      </c>
      <c r="P143" s="103" t="s">
        <v>5</v>
      </c>
      <c r="Q143" s="103"/>
      <c r="R143" s="99">
        <v>45913</v>
      </c>
      <c r="S143" s="99">
        <v>45918</v>
      </c>
      <c r="T143" s="100">
        <f t="shared" si="2"/>
        <v>5</v>
      </c>
      <c r="U143" s="103">
        <v>1</v>
      </c>
      <c r="V143" s="103">
        <v>1</v>
      </c>
      <c r="W143" s="103">
        <v>0</v>
      </c>
      <c r="X143" s="103">
        <v>1</v>
      </c>
      <c r="Y143" s="103">
        <v>0</v>
      </c>
      <c r="Z143" s="103">
        <v>0</v>
      </c>
      <c r="AA143" s="103">
        <v>1</v>
      </c>
      <c r="AB143" s="103"/>
      <c r="AC143" s="105">
        <v>45913</v>
      </c>
      <c r="AD143" s="106">
        <v>0.18055555555474712</v>
      </c>
      <c r="AE143" s="103" t="s">
        <v>408</v>
      </c>
      <c r="AF143" s="105">
        <v>45918</v>
      </c>
      <c r="AG143" s="106">
        <v>0.53472222221898846</v>
      </c>
      <c r="AH143" s="103" t="s">
        <v>1599</v>
      </c>
      <c r="AI143" s="103" t="s">
        <v>1782</v>
      </c>
      <c r="AJ143" s="103" t="s">
        <v>64</v>
      </c>
      <c r="AK143" s="103" t="s">
        <v>64</v>
      </c>
      <c r="AL143" s="103" t="s">
        <v>1550</v>
      </c>
      <c r="AM143" s="103" t="s">
        <v>65</v>
      </c>
      <c r="AN143" s="102" t="s">
        <v>64</v>
      </c>
      <c r="AO143" s="61"/>
    </row>
    <row r="144" spans="3:41" ht="14.25" customHeight="1">
      <c r="C144" s="55" t="str">
        <f>IF($X144=1,COUNTIF($C$10:C143,"&gt;0")+1,"")</f>
        <v/>
      </c>
      <c r="D144" s="56"/>
      <c r="E144" s="103" t="s">
        <v>1776</v>
      </c>
      <c r="F144" s="104" t="s">
        <v>2058</v>
      </c>
      <c r="G144" s="103" t="s">
        <v>2055</v>
      </c>
      <c r="H144" s="103" t="s">
        <v>2059</v>
      </c>
      <c r="I144" s="103" t="s">
        <v>390</v>
      </c>
      <c r="J144" s="103" t="s">
        <v>68</v>
      </c>
      <c r="K144" s="103" t="s">
        <v>59</v>
      </c>
      <c r="L144" s="105">
        <v>17239</v>
      </c>
      <c r="M144" s="103">
        <v>78</v>
      </c>
      <c r="N144" s="103" t="s">
        <v>2060</v>
      </c>
      <c r="O144" s="105">
        <v>46483</v>
      </c>
      <c r="P144" s="103" t="s">
        <v>5</v>
      </c>
      <c r="Q144" s="103"/>
      <c r="R144" s="99">
        <v>45913</v>
      </c>
      <c r="S144" s="99">
        <v>45918</v>
      </c>
      <c r="T144" s="100">
        <f t="shared" si="2"/>
        <v>5</v>
      </c>
      <c r="U144" s="103">
        <v>1</v>
      </c>
      <c r="V144" s="103">
        <v>1</v>
      </c>
      <c r="W144" s="103">
        <v>0</v>
      </c>
      <c r="X144" s="103">
        <v>0</v>
      </c>
      <c r="Y144" s="103">
        <v>0</v>
      </c>
      <c r="Z144" s="103">
        <v>0</v>
      </c>
      <c r="AA144" s="103">
        <v>0</v>
      </c>
      <c r="AB144" s="103"/>
      <c r="AC144" s="105">
        <v>45913</v>
      </c>
      <c r="AD144" s="106">
        <v>0.18055555555474712</v>
      </c>
      <c r="AE144" s="103" t="s">
        <v>408</v>
      </c>
      <c r="AF144" s="105">
        <v>45918</v>
      </c>
      <c r="AG144" s="106">
        <v>0.53472222221898846</v>
      </c>
      <c r="AH144" s="103" t="s">
        <v>1599</v>
      </c>
      <c r="AI144" s="103" t="s">
        <v>1782</v>
      </c>
      <c r="AJ144" s="103" t="s">
        <v>64</v>
      </c>
      <c r="AK144" s="103" t="s">
        <v>64</v>
      </c>
      <c r="AL144" s="103" t="s">
        <v>1550</v>
      </c>
      <c r="AM144" s="103" t="s">
        <v>65</v>
      </c>
      <c r="AN144" s="102" t="s">
        <v>64</v>
      </c>
      <c r="AO144" s="61"/>
    </row>
    <row r="145" spans="3:41" ht="14.25" customHeight="1">
      <c r="C145" s="55">
        <f>IF($X145=1,COUNTIF($C$10:C144,"&gt;0")+1,"")</f>
        <v>66</v>
      </c>
      <c r="D145" s="56">
        <v>80489989</v>
      </c>
      <c r="E145" s="103" t="s">
        <v>1776</v>
      </c>
      <c r="F145" s="104" t="s">
        <v>2061</v>
      </c>
      <c r="G145" s="103" t="s">
        <v>2061</v>
      </c>
      <c r="H145" s="110" t="s">
        <v>2062</v>
      </c>
      <c r="I145" s="110" t="s">
        <v>2063</v>
      </c>
      <c r="J145" s="110" t="s">
        <v>68</v>
      </c>
      <c r="K145" s="110" t="s">
        <v>59</v>
      </c>
      <c r="L145" s="112">
        <v>22918</v>
      </c>
      <c r="M145" s="110">
        <v>62</v>
      </c>
      <c r="N145" s="110">
        <v>590630959</v>
      </c>
      <c r="O145" s="112">
        <v>47099</v>
      </c>
      <c r="P145" s="110" t="s">
        <v>3</v>
      </c>
      <c r="Q145" s="110"/>
      <c r="R145" s="116">
        <v>45913</v>
      </c>
      <c r="S145" s="116">
        <v>45918</v>
      </c>
      <c r="T145" s="117">
        <f t="shared" si="2"/>
        <v>5</v>
      </c>
      <c r="U145" s="110">
        <v>1</v>
      </c>
      <c r="V145" s="110">
        <v>1</v>
      </c>
      <c r="W145" s="110">
        <v>0</v>
      </c>
      <c r="X145" s="110">
        <v>1</v>
      </c>
      <c r="Y145" s="110">
        <v>1</v>
      </c>
      <c r="Z145" s="110">
        <v>0</v>
      </c>
      <c r="AA145" s="110">
        <v>0</v>
      </c>
      <c r="AB145" s="110"/>
      <c r="AC145" s="112">
        <v>45913</v>
      </c>
      <c r="AD145" s="118">
        <v>0.65625</v>
      </c>
      <c r="AE145" s="110" t="s">
        <v>1385</v>
      </c>
      <c r="AF145" s="112">
        <v>45919</v>
      </c>
      <c r="AG145" s="118">
        <v>0.92013888888888884</v>
      </c>
      <c r="AH145" s="110" t="s">
        <v>2064</v>
      </c>
      <c r="AI145" s="103" t="s">
        <v>1782</v>
      </c>
      <c r="AJ145" s="103" t="s">
        <v>64</v>
      </c>
      <c r="AK145" s="103" t="s">
        <v>64</v>
      </c>
      <c r="AL145" s="103" t="s">
        <v>1550</v>
      </c>
      <c r="AM145" s="103" t="s">
        <v>65</v>
      </c>
      <c r="AN145" s="102" t="s">
        <v>64</v>
      </c>
      <c r="AO145" s="64" t="s">
        <v>2065</v>
      </c>
    </row>
    <row r="146" spans="3:41" ht="14.25" customHeight="1">
      <c r="C146" s="55">
        <f>IF($X146=1,COUNTIF($C$10:C145,"&gt;0")+1,"")</f>
        <v>67</v>
      </c>
      <c r="D146" s="56">
        <v>44183700</v>
      </c>
      <c r="E146" s="103" t="s">
        <v>1776</v>
      </c>
      <c r="F146" s="104" t="s">
        <v>2066</v>
      </c>
      <c r="G146" s="103" t="s">
        <v>2066</v>
      </c>
      <c r="H146" s="103" t="s">
        <v>2067</v>
      </c>
      <c r="I146" s="103" t="s">
        <v>2068</v>
      </c>
      <c r="J146" s="103" t="s">
        <v>68</v>
      </c>
      <c r="K146" s="103" t="s">
        <v>2069</v>
      </c>
      <c r="L146" s="105">
        <v>24604</v>
      </c>
      <c r="M146" s="103">
        <v>58</v>
      </c>
      <c r="N146" s="103" t="s">
        <v>2070</v>
      </c>
      <c r="O146" s="105">
        <v>47650</v>
      </c>
      <c r="P146" s="103" t="s">
        <v>5</v>
      </c>
      <c r="Q146" s="103"/>
      <c r="R146" s="99">
        <v>45913</v>
      </c>
      <c r="S146" s="99">
        <v>45918</v>
      </c>
      <c r="T146" s="100">
        <f t="shared" si="2"/>
        <v>5</v>
      </c>
      <c r="U146" s="103">
        <v>1</v>
      </c>
      <c r="V146" s="103">
        <v>1</v>
      </c>
      <c r="W146" s="103">
        <v>0</v>
      </c>
      <c r="X146" s="103">
        <v>1</v>
      </c>
      <c r="Y146" s="103">
        <v>0</v>
      </c>
      <c r="Z146" s="103">
        <v>0</v>
      </c>
      <c r="AA146" s="103">
        <v>1</v>
      </c>
      <c r="AB146" s="103"/>
      <c r="AC146" s="105">
        <v>45913</v>
      </c>
      <c r="AD146" s="106">
        <v>0.20833333333575865</v>
      </c>
      <c r="AE146" s="103" t="s">
        <v>2020</v>
      </c>
      <c r="AF146" s="105">
        <v>45918</v>
      </c>
      <c r="AG146" s="106">
        <v>0.71180555555474712</v>
      </c>
      <c r="AH146" s="103" t="s">
        <v>2071</v>
      </c>
      <c r="AI146" s="103" t="s">
        <v>1782</v>
      </c>
      <c r="AJ146" s="103" t="s">
        <v>64</v>
      </c>
      <c r="AK146" s="103" t="s">
        <v>64</v>
      </c>
      <c r="AL146" s="103" t="s">
        <v>1550</v>
      </c>
      <c r="AM146" s="103" t="s">
        <v>65</v>
      </c>
      <c r="AN146" s="102" t="s">
        <v>64</v>
      </c>
      <c r="AO146" s="61"/>
    </row>
    <row r="147" spans="3:41" ht="14.25" customHeight="1">
      <c r="C147" s="55" t="str">
        <f>IF($X147=1,COUNTIF($C$10:C146,"&gt;0")+1,"")</f>
        <v/>
      </c>
      <c r="D147" s="56"/>
      <c r="E147" s="103" t="s">
        <v>1776</v>
      </c>
      <c r="F147" s="104" t="s">
        <v>2072</v>
      </c>
      <c r="G147" s="103" t="s">
        <v>2066</v>
      </c>
      <c r="H147" s="103" t="s">
        <v>2073</v>
      </c>
      <c r="I147" s="103" t="s">
        <v>2068</v>
      </c>
      <c r="J147" s="103" t="s">
        <v>58</v>
      </c>
      <c r="K147" s="103" t="s">
        <v>2069</v>
      </c>
      <c r="L147" s="105">
        <v>38238</v>
      </c>
      <c r="M147" s="103">
        <v>21</v>
      </c>
      <c r="N147" s="103" t="s">
        <v>2074</v>
      </c>
      <c r="O147" s="105">
        <v>49414</v>
      </c>
      <c r="P147" s="103" t="s">
        <v>5</v>
      </c>
      <c r="Q147" s="103"/>
      <c r="R147" s="99">
        <v>45913</v>
      </c>
      <c r="S147" s="99">
        <v>45918</v>
      </c>
      <c r="T147" s="100">
        <f t="shared" si="2"/>
        <v>5</v>
      </c>
      <c r="U147" s="103">
        <v>1</v>
      </c>
      <c r="V147" s="103">
        <v>1</v>
      </c>
      <c r="W147" s="103">
        <v>0</v>
      </c>
      <c r="X147" s="103">
        <v>0</v>
      </c>
      <c r="Y147" s="103">
        <v>0</v>
      </c>
      <c r="Z147" s="103">
        <v>0</v>
      </c>
      <c r="AA147" s="103">
        <v>0</v>
      </c>
      <c r="AB147" s="103"/>
      <c r="AC147" s="105">
        <v>45913</v>
      </c>
      <c r="AD147" s="106">
        <v>0.48958333333575865</v>
      </c>
      <c r="AE147" s="103" t="s">
        <v>2075</v>
      </c>
      <c r="AF147" s="105">
        <v>45918</v>
      </c>
      <c r="AG147" s="106">
        <v>0.71180555555474712</v>
      </c>
      <c r="AH147" s="103" t="s">
        <v>2071</v>
      </c>
      <c r="AI147" s="103" t="s">
        <v>1782</v>
      </c>
      <c r="AJ147" s="103" t="s">
        <v>64</v>
      </c>
      <c r="AK147" s="103" t="s">
        <v>64</v>
      </c>
      <c r="AL147" s="103" t="s">
        <v>1550</v>
      </c>
      <c r="AM147" s="103" t="s">
        <v>65</v>
      </c>
      <c r="AN147" s="102" t="s">
        <v>64</v>
      </c>
      <c r="AO147" s="61"/>
    </row>
    <row r="148" spans="3:41" ht="14.25" customHeight="1">
      <c r="C148" s="55">
        <f>IF($X148=1,COUNTIF($C$10:C147,"&gt;0")+1,"")</f>
        <v>68</v>
      </c>
      <c r="D148" s="56">
        <v>26246636</v>
      </c>
      <c r="E148" s="103" t="s">
        <v>1776</v>
      </c>
      <c r="F148" s="104" t="s">
        <v>2076</v>
      </c>
      <c r="G148" s="103" t="s">
        <v>2076</v>
      </c>
      <c r="H148" s="103" t="s">
        <v>2077</v>
      </c>
      <c r="I148" s="103" t="s">
        <v>2078</v>
      </c>
      <c r="J148" s="103" t="s">
        <v>68</v>
      </c>
      <c r="K148" s="103" t="s">
        <v>2069</v>
      </c>
      <c r="L148" s="105">
        <v>20697</v>
      </c>
      <c r="M148" s="103">
        <v>69</v>
      </c>
      <c r="N148" s="103" t="s">
        <v>2079</v>
      </c>
      <c r="O148" s="105">
        <v>47197</v>
      </c>
      <c r="P148" s="103" t="s">
        <v>5</v>
      </c>
      <c r="Q148" s="103"/>
      <c r="R148" s="99">
        <v>45913</v>
      </c>
      <c r="S148" s="99">
        <v>45918</v>
      </c>
      <c r="T148" s="100">
        <f t="shared" si="2"/>
        <v>5</v>
      </c>
      <c r="U148" s="103">
        <v>1</v>
      </c>
      <c r="V148" s="103">
        <v>1</v>
      </c>
      <c r="W148" s="103">
        <v>0</v>
      </c>
      <c r="X148" s="103">
        <v>1</v>
      </c>
      <c r="Y148" s="103">
        <v>0</v>
      </c>
      <c r="Z148" s="103">
        <v>0</v>
      </c>
      <c r="AA148" s="103">
        <v>1</v>
      </c>
      <c r="AB148" s="103"/>
      <c r="AC148" s="105">
        <v>45913</v>
      </c>
      <c r="AD148" s="106">
        <v>0.20833333333575865</v>
      </c>
      <c r="AE148" s="103" t="s">
        <v>2020</v>
      </c>
      <c r="AF148" s="105">
        <v>45918</v>
      </c>
      <c r="AG148" s="106">
        <v>0.67361111110949423</v>
      </c>
      <c r="AH148" s="103" t="s">
        <v>2080</v>
      </c>
      <c r="AI148" s="103" t="s">
        <v>1782</v>
      </c>
      <c r="AJ148" s="103" t="s">
        <v>64</v>
      </c>
      <c r="AK148" s="103" t="s">
        <v>64</v>
      </c>
      <c r="AL148" s="103" t="s">
        <v>1550</v>
      </c>
      <c r="AM148" s="103" t="s">
        <v>65</v>
      </c>
      <c r="AN148" s="102" t="s">
        <v>64</v>
      </c>
      <c r="AO148" s="61"/>
    </row>
    <row r="149" spans="3:41" ht="14.25" customHeight="1">
      <c r="C149" s="55" t="str">
        <f>IF($X149=1,COUNTIF($C$10:C148,"&gt;0")+1,"")</f>
        <v/>
      </c>
      <c r="D149" s="56"/>
      <c r="E149" s="103" t="s">
        <v>1776</v>
      </c>
      <c r="F149" s="104" t="s">
        <v>2081</v>
      </c>
      <c r="G149" s="103" t="s">
        <v>2076</v>
      </c>
      <c r="H149" s="103" t="s">
        <v>2082</v>
      </c>
      <c r="I149" s="103" t="s">
        <v>2078</v>
      </c>
      <c r="J149" s="103" t="s">
        <v>58</v>
      </c>
      <c r="K149" s="103" t="s">
        <v>2069</v>
      </c>
      <c r="L149" s="105">
        <v>20093</v>
      </c>
      <c r="M149" s="103">
        <v>70</v>
      </c>
      <c r="N149" s="103" t="s">
        <v>2083</v>
      </c>
      <c r="O149" s="105">
        <v>46840</v>
      </c>
      <c r="P149" s="103" t="s">
        <v>5</v>
      </c>
      <c r="Q149" s="103"/>
      <c r="R149" s="99">
        <v>45913</v>
      </c>
      <c r="S149" s="99">
        <v>45918</v>
      </c>
      <c r="T149" s="100">
        <f t="shared" si="2"/>
        <v>5</v>
      </c>
      <c r="U149" s="103">
        <v>1</v>
      </c>
      <c r="V149" s="103">
        <v>1</v>
      </c>
      <c r="W149" s="103">
        <v>0</v>
      </c>
      <c r="X149" s="103">
        <v>0</v>
      </c>
      <c r="Y149" s="103">
        <v>0</v>
      </c>
      <c r="Z149" s="103">
        <v>0</v>
      </c>
      <c r="AA149" s="103">
        <v>0</v>
      </c>
      <c r="AB149" s="103"/>
      <c r="AC149" s="105">
        <v>45913</v>
      </c>
      <c r="AD149" s="106">
        <v>0.20833333333575865</v>
      </c>
      <c r="AE149" s="103" t="s">
        <v>2020</v>
      </c>
      <c r="AF149" s="105">
        <v>45918</v>
      </c>
      <c r="AG149" s="106">
        <v>0.67361111110949423</v>
      </c>
      <c r="AH149" s="103" t="s">
        <v>2080</v>
      </c>
      <c r="AI149" s="103" t="s">
        <v>1782</v>
      </c>
      <c r="AJ149" s="103" t="s">
        <v>64</v>
      </c>
      <c r="AK149" s="103" t="s">
        <v>64</v>
      </c>
      <c r="AL149" s="103" t="s">
        <v>1550</v>
      </c>
      <c r="AM149" s="103" t="s">
        <v>65</v>
      </c>
      <c r="AN149" s="102" t="s">
        <v>64</v>
      </c>
      <c r="AO149" s="61"/>
    </row>
    <row r="150" spans="3:41" ht="14.25" customHeight="1">
      <c r="C150" s="55">
        <f>IF($X150=1,COUNTIF($C$10:C149,"&gt;0")+1,"")</f>
        <v>69</v>
      </c>
      <c r="D150" s="56">
        <v>26919489</v>
      </c>
      <c r="E150" s="103" t="s">
        <v>1776</v>
      </c>
      <c r="F150" s="104" t="s">
        <v>2084</v>
      </c>
      <c r="G150" s="103" t="s">
        <v>2084</v>
      </c>
      <c r="H150" s="103" t="s">
        <v>2085</v>
      </c>
      <c r="I150" s="103" t="s">
        <v>2086</v>
      </c>
      <c r="J150" s="103" t="s">
        <v>68</v>
      </c>
      <c r="K150" s="103" t="s">
        <v>2087</v>
      </c>
      <c r="L150" s="105">
        <v>26721</v>
      </c>
      <c r="M150" s="103">
        <v>52</v>
      </c>
      <c r="N150" s="103" t="s">
        <v>2088</v>
      </c>
      <c r="O150" s="105">
        <v>48161</v>
      </c>
      <c r="P150" s="103" t="s">
        <v>3</v>
      </c>
      <c r="Q150" s="103"/>
      <c r="R150" s="99">
        <v>45913</v>
      </c>
      <c r="S150" s="99">
        <v>45918</v>
      </c>
      <c r="T150" s="100">
        <f t="shared" si="2"/>
        <v>5</v>
      </c>
      <c r="U150" s="103">
        <v>1</v>
      </c>
      <c r="V150" s="103">
        <v>1</v>
      </c>
      <c r="W150" s="103">
        <v>0</v>
      </c>
      <c r="X150" s="103">
        <v>1</v>
      </c>
      <c r="Y150" s="103">
        <v>1</v>
      </c>
      <c r="Z150" s="103">
        <v>0</v>
      </c>
      <c r="AA150" s="103">
        <v>0</v>
      </c>
      <c r="AB150" s="103"/>
      <c r="AC150" s="105">
        <v>45913</v>
      </c>
      <c r="AD150" s="106">
        <v>0.58680555555474712</v>
      </c>
      <c r="AE150" s="103" t="s">
        <v>61</v>
      </c>
      <c r="AF150" s="105">
        <v>45918</v>
      </c>
      <c r="AG150" s="106">
        <v>0.36805555555474712</v>
      </c>
      <c r="AH150" s="103" t="s">
        <v>1854</v>
      </c>
      <c r="AI150" s="103" t="s">
        <v>1782</v>
      </c>
      <c r="AJ150" s="103" t="s">
        <v>64</v>
      </c>
      <c r="AK150" s="103" t="s">
        <v>64</v>
      </c>
      <c r="AL150" s="103" t="s">
        <v>1550</v>
      </c>
      <c r="AM150" s="103" t="s">
        <v>65</v>
      </c>
      <c r="AN150" s="102" t="s">
        <v>64</v>
      </c>
      <c r="AO150" s="61"/>
    </row>
    <row r="151" spans="3:41" ht="14.25" customHeight="1">
      <c r="C151" s="55">
        <f>IF($X151=1,COUNTIF($C$10:C150,"&gt;0")+1,"")</f>
        <v>70</v>
      </c>
      <c r="D151" s="56">
        <v>65352541</v>
      </c>
      <c r="E151" s="103" t="s">
        <v>1776</v>
      </c>
      <c r="F151" s="104" t="s">
        <v>2089</v>
      </c>
      <c r="G151" s="103" t="s">
        <v>2089</v>
      </c>
      <c r="H151" s="103" t="s">
        <v>2090</v>
      </c>
      <c r="I151" s="103" t="s">
        <v>2091</v>
      </c>
      <c r="J151" s="103" t="s">
        <v>58</v>
      </c>
      <c r="K151" s="103" t="s">
        <v>59</v>
      </c>
      <c r="L151" s="105">
        <v>23966</v>
      </c>
      <c r="M151" s="103">
        <v>60</v>
      </c>
      <c r="N151" s="103" t="s">
        <v>2092</v>
      </c>
      <c r="O151" s="105">
        <v>47637</v>
      </c>
      <c r="P151" s="103" t="s">
        <v>5</v>
      </c>
      <c r="Q151" s="103"/>
      <c r="R151" s="99">
        <v>45913</v>
      </c>
      <c r="S151" s="99">
        <v>45918</v>
      </c>
      <c r="T151" s="100">
        <f t="shared" si="2"/>
        <v>5</v>
      </c>
      <c r="U151" s="103">
        <v>1</v>
      </c>
      <c r="V151" s="103">
        <v>1</v>
      </c>
      <c r="W151" s="103">
        <v>0</v>
      </c>
      <c r="X151" s="103">
        <v>1</v>
      </c>
      <c r="Y151" s="103">
        <v>0</v>
      </c>
      <c r="Z151" s="103">
        <v>0</v>
      </c>
      <c r="AA151" s="103">
        <v>1</v>
      </c>
      <c r="AB151" s="103"/>
      <c r="AC151" s="105">
        <v>45913</v>
      </c>
      <c r="AD151" s="106">
        <v>0.58680555555474712</v>
      </c>
      <c r="AE151" s="103" t="s">
        <v>61</v>
      </c>
      <c r="AF151" s="105">
        <v>45918</v>
      </c>
      <c r="AG151" s="106">
        <v>0.42361111110949423</v>
      </c>
      <c r="AH151" s="103" t="s">
        <v>2093</v>
      </c>
      <c r="AI151" s="103" t="s">
        <v>1782</v>
      </c>
      <c r="AJ151" s="103" t="s">
        <v>64</v>
      </c>
      <c r="AK151" s="103" t="s">
        <v>64</v>
      </c>
      <c r="AL151" s="103" t="s">
        <v>1550</v>
      </c>
      <c r="AM151" s="103" t="s">
        <v>65</v>
      </c>
      <c r="AN151" s="102" t="s">
        <v>64</v>
      </c>
      <c r="AO151" s="61"/>
    </row>
    <row r="152" spans="3:41" ht="14.25" customHeight="1">
      <c r="C152" s="55" t="str">
        <f>IF($X152=1,COUNTIF($C$10:C151,"&gt;0")+1,"")</f>
        <v/>
      </c>
      <c r="D152" s="56"/>
      <c r="E152" s="103" t="s">
        <v>1776</v>
      </c>
      <c r="F152" s="104" t="s">
        <v>2094</v>
      </c>
      <c r="G152" s="103" t="s">
        <v>2089</v>
      </c>
      <c r="H152" s="103" t="s">
        <v>1826</v>
      </c>
      <c r="I152" s="103" t="s">
        <v>2095</v>
      </c>
      <c r="J152" s="103" t="s">
        <v>58</v>
      </c>
      <c r="K152" s="103" t="s">
        <v>59</v>
      </c>
      <c r="L152" s="105">
        <v>39011</v>
      </c>
      <c r="M152" s="103">
        <v>18</v>
      </c>
      <c r="N152" s="103" t="s">
        <v>2096</v>
      </c>
      <c r="O152" s="105">
        <v>44947</v>
      </c>
      <c r="P152" s="103" t="s">
        <v>5</v>
      </c>
      <c r="Q152" s="103"/>
      <c r="R152" s="99">
        <v>45913</v>
      </c>
      <c r="S152" s="99">
        <v>45918</v>
      </c>
      <c r="T152" s="100">
        <f t="shared" si="2"/>
        <v>5</v>
      </c>
      <c r="U152" s="103">
        <v>1</v>
      </c>
      <c r="V152" s="103">
        <v>1</v>
      </c>
      <c r="W152" s="103">
        <v>0</v>
      </c>
      <c r="X152" s="103">
        <v>0</v>
      </c>
      <c r="Y152" s="103">
        <v>0</v>
      </c>
      <c r="Z152" s="103">
        <v>0</v>
      </c>
      <c r="AA152" s="103">
        <v>0</v>
      </c>
      <c r="AB152" s="103"/>
      <c r="AC152" s="105">
        <v>45913</v>
      </c>
      <c r="AD152" s="106">
        <v>0.18055555555474712</v>
      </c>
      <c r="AE152" s="103" t="s">
        <v>408</v>
      </c>
      <c r="AF152" s="105">
        <v>45918</v>
      </c>
      <c r="AG152" s="106">
        <v>0.53472222221898846</v>
      </c>
      <c r="AH152" s="103" t="s">
        <v>1599</v>
      </c>
      <c r="AI152" s="103" t="s">
        <v>1782</v>
      </c>
      <c r="AJ152" s="103" t="s">
        <v>64</v>
      </c>
      <c r="AK152" s="103" t="s">
        <v>64</v>
      </c>
      <c r="AL152" s="103" t="s">
        <v>1550</v>
      </c>
      <c r="AM152" s="103" t="s">
        <v>65</v>
      </c>
      <c r="AN152" s="102" t="s">
        <v>64</v>
      </c>
      <c r="AO152" s="61"/>
    </row>
    <row r="153" spans="3:41" ht="14.25" customHeight="1">
      <c r="C153" s="55">
        <f>IF($X153=1,COUNTIF($C$10:C152,"&gt;0")+1,"")</f>
        <v>71</v>
      </c>
      <c r="D153" s="56">
        <v>24094693</v>
      </c>
      <c r="E153" s="103" t="s">
        <v>1776</v>
      </c>
      <c r="F153" s="104" t="s">
        <v>2097</v>
      </c>
      <c r="G153" s="103" t="s">
        <v>2097</v>
      </c>
      <c r="H153" s="103" t="s">
        <v>2098</v>
      </c>
      <c r="I153" s="103" t="s">
        <v>759</v>
      </c>
      <c r="J153" s="103" t="s">
        <v>68</v>
      </c>
      <c r="K153" s="103" t="s">
        <v>59</v>
      </c>
      <c r="L153" s="105">
        <v>26143</v>
      </c>
      <c r="M153" s="103">
        <v>54</v>
      </c>
      <c r="N153" s="103" t="s">
        <v>2099</v>
      </c>
      <c r="O153" s="105">
        <v>46636</v>
      </c>
      <c r="P153" s="103" t="s">
        <v>5</v>
      </c>
      <c r="Q153" s="103"/>
      <c r="R153" s="99">
        <v>45913</v>
      </c>
      <c r="S153" s="99">
        <v>45918</v>
      </c>
      <c r="T153" s="100">
        <f t="shared" si="2"/>
        <v>5</v>
      </c>
      <c r="U153" s="103">
        <v>1</v>
      </c>
      <c r="V153" s="103">
        <v>1</v>
      </c>
      <c r="W153" s="103">
        <v>0</v>
      </c>
      <c r="X153" s="103">
        <v>1</v>
      </c>
      <c r="Y153" s="103">
        <v>0</v>
      </c>
      <c r="Z153" s="103">
        <v>0</v>
      </c>
      <c r="AA153" s="103">
        <v>1</v>
      </c>
      <c r="AB153" s="103"/>
      <c r="AC153" s="105">
        <v>45912</v>
      </c>
      <c r="AD153" s="106">
        <v>0.65625</v>
      </c>
      <c r="AE153" s="103" t="s">
        <v>1385</v>
      </c>
      <c r="AF153" s="105">
        <v>45918</v>
      </c>
      <c r="AG153" s="106">
        <v>0.53125</v>
      </c>
      <c r="AH153" s="103" t="s">
        <v>269</v>
      </c>
      <c r="AI153" s="103" t="s">
        <v>1782</v>
      </c>
      <c r="AJ153" s="103" t="s">
        <v>64</v>
      </c>
      <c r="AK153" s="103" t="s">
        <v>64</v>
      </c>
      <c r="AL153" s="103" t="s">
        <v>1550</v>
      </c>
      <c r="AM153" s="103" t="s">
        <v>65</v>
      </c>
      <c r="AN153" s="102" t="s">
        <v>64</v>
      </c>
      <c r="AO153" s="61"/>
    </row>
    <row r="154" spans="3:41" ht="14.25" customHeight="1">
      <c r="C154" s="55" t="str">
        <f>IF($X154=1,COUNTIF($C$10:C153,"&gt;0")+1,"")</f>
        <v/>
      </c>
      <c r="D154" s="56"/>
      <c r="E154" s="103" t="s">
        <v>1776</v>
      </c>
      <c r="F154" s="104" t="s">
        <v>2100</v>
      </c>
      <c r="G154" s="103" t="s">
        <v>2097</v>
      </c>
      <c r="H154" s="103" t="s">
        <v>2101</v>
      </c>
      <c r="I154" s="103" t="s">
        <v>2102</v>
      </c>
      <c r="J154" s="103" t="s">
        <v>58</v>
      </c>
      <c r="K154" s="103" t="s">
        <v>59</v>
      </c>
      <c r="L154" s="105">
        <v>30769</v>
      </c>
      <c r="M154" s="103">
        <v>41</v>
      </c>
      <c r="N154" s="103" t="s">
        <v>2103</v>
      </c>
      <c r="O154" s="105">
        <v>46405</v>
      </c>
      <c r="P154" s="103" t="s">
        <v>5</v>
      </c>
      <c r="Q154" s="103"/>
      <c r="R154" s="99">
        <v>45913</v>
      </c>
      <c r="S154" s="99">
        <v>45918</v>
      </c>
      <c r="T154" s="100">
        <f t="shared" si="2"/>
        <v>5</v>
      </c>
      <c r="U154" s="103">
        <v>1</v>
      </c>
      <c r="V154" s="103">
        <v>1</v>
      </c>
      <c r="W154" s="103">
        <v>0</v>
      </c>
      <c r="X154" s="103">
        <v>0</v>
      </c>
      <c r="Y154" s="103">
        <v>0</v>
      </c>
      <c r="Z154" s="103">
        <v>0</v>
      </c>
      <c r="AA154" s="103">
        <v>0</v>
      </c>
      <c r="AB154" s="103"/>
      <c r="AC154" s="105">
        <v>45912</v>
      </c>
      <c r="AD154" s="106">
        <v>0.65625</v>
      </c>
      <c r="AE154" s="103" t="s">
        <v>1385</v>
      </c>
      <c r="AF154" s="105">
        <v>45918</v>
      </c>
      <c r="AG154" s="106">
        <v>0.53125</v>
      </c>
      <c r="AH154" s="103" t="s">
        <v>269</v>
      </c>
      <c r="AI154" s="103" t="s">
        <v>1782</v>
      </c>
      <c r="AJ154" s="103" t="s">
        <v>64</v>
      </c>
      <c r="AK154" s="103" t="s">
        <v>64</v>
      </c>
      <c r="AL154" s="103" t="s">
        <v>1550</v>
      </c>
      <c r="AM154" s="103" t="s">
        <v>65</v>
      </c>
      <c r="AN154" s="102" t="s">
        <v>64</v>
      </c>
      <c r="AO154" s="61"/>
    </row>
    <row r="155" spans="3:41" ht="14.25" customHeight="1">
      <c r="C155" s="55">
        <f>IF($X155=1,COUNTIF($C$10:C154,"&gt;0")+1,"")</f>
        <v>72</v>
      </c>
      <c r="D155" s="56">
        <v>49622917</v>
      </c>
      <c r="E155" s="103" t="s">
        <v>1776</v>
      </c>
      <c r="F155" s="104" t="s">
        <v>2104</v>
      </c>
      <c r="G155" s="103" t="s">
        <v>2104</v>
      </c>
      <c r="H155" s="103" t="s">
        <v>2105</v>
      </c>
      <c r="I155" s="103" t="s">
        <v>82</v>
      </c>
      <c r="J155" s="103" t="s">
        <v>68</v>
      </c>
      <c r="K155" s="103" t="s">
        <v>59</v>
      </c>
      <c r="L155" s="105">
        <v>25017</v>
      </c>
      <c r="M155" s="103">
        <v>57</v>
      </c>
      <c r="N155" s="103" t="s">
        <v>2106</v>
      </c>
      <c r="O155" s="105">
        <v>49406</v>
      </c>
      <c r="P155" s="103" t="s">
        <v>4</v>
      </c>
      <c r="Q155" s="103"/>
      <c r="R155" s="99">
        <v>45913</v>
      </c>
      <c r="S155" s="99">
        <v>45918</v>
      </c>
      <c r="T155" s="100">
        <f t="shared" si="2"/>
        <v>5</v>
      </c>
      <c r="U155" s="103">
        <v>1</v>
      </c>
      <c r="V155" s="103">
        <v>1</v>
      </c>
      <c r="W155" s="103">
        <v>0</v>
      </c>
      <c r="X155" s="103">
        <v>1</v>
      </c>
      <c r="Y155" s="103">
        <v>0</v>
      </c>
      <c r="Z155" s="103">
        <v>1</v>
      </c>
      <c r="AA155" s="103">
        <v>0</v>
      </c>
      <c r="AB155" s="103"/>
      <c r="AC155" s="105">
        <v>45913</v>
      </c>
      <c r="AD155" s="106">
        <v>0.18055555555474712</v>
      </c>
      <c r="AE155" s="103" t="s">
        <v>95</v>
      </c>
      <c r="AF155" s="105">
        <v>45918</v>
      </c>
      <c r="AG155" s="106">
        <v>0.375</v>
      </c>
      <c r="AH155" s="103" t="s">
        <v>852</v>
      </c>
      <c r="AI155" s="103" t="s">
        <v>1782</v>
      </c>
      <c r="AJ155" s="103" t="s">
        <v>64</v>
      </c>
      <c r="AK155" s="103" t="s">
        <v>64</v>
      </c>
      <c r="AL155" s="103" t="s">
        <v>1550</v>
      </c>
      <c r="AM155" s="103" t="s">
        <v>65</v>
      </c>
      <c r="AN155" s="102" t="s">
        <v>64</v>
      </c>
      <c r="AO155" s="61"/>
    </row>
    <row r="156" spans="3:41" ht="14.25" customHeight="1">
      <c r="C156" s="55" t="str">
        <f>IF($X156=1,COUNTIF($C$10:C155,"&gt;0")+1,"")</f>
        <v/>
      </c>
      <c r="D156" s="56"/>
      <c r="E156" s="103" t="s">
        <v>1776</v>
      </c>
      <c r="F156" s="104" t="s">
        <v>2107</v>
      </c>
      <c r="G156" s="103" t="s">
        <v>2104</v>
      </c>
      <c r="H156" s="103" t="s">
        <v>2108</v>
      </c>
      <c r="I156" s="103" t="s">
        <v>82</v>
      </c>
      <c r="J156" s="103" t="s">
        <v>58</v>
      </c>
      <c r="K156" s="103" t="s">
        <v>59</v>
      </c>
      <c r="L156" s="105">
        <v>24783</v>
      </c>
      <c r="M156" s="103">
        <v>57</v>
      </c>
      <c r="N156" s="103" t="s">
        <v>2109</v>
      </c>
      <c r="O156" s="105">
        <v>49399</v>
      </c>
      <c r="P156" s="103" t="s">
        <v>4</v>
      </c>
      <c r="Q156" s="103"/>
      <c r="R156" s="99">
        <v>45913</v>
      </c>
      <c r="S156" s="99">
        <v>45918</v>
      </c>
      <c r="T156" s="100">
        <f t="shared" si="2"/>
        <v>5</v>
      </c>
      <c r="U156" s="103">
        <v>1</v>
      </c>
      <c r="V156" s="103">
        <v>1</v>
      </c>
      <c r="W156" s="103">
        <v>0</v>
      </c>
      <c r="X156" s="103">
        <v>0</v>
      </c>
      <c r="Y156" s="103">
        <v>0</v>
      </c>
      <c r="Z156" s="103">
        <v>0</v>
      </c>
      <c r="AA156" s="103">
        <v>0</v>
      </c>
      <c r="AB156" s="103"/>
      <c r="AC156" s="105">
        <v>45913</v>
      </c>
      <c r="AD156" s="106">
        <v>0.18055555555474712</v>
      </c>
      <c r="AE156" s="103" t="s">
        <v>95</v>
      </c>
      <c r="AF156" s="105">
        <v>45918</v>
      </c>
      <c r="AG156" s="106">
        <v>0.375</v>
      </c>
      <c r="AH156" s="103" t="s">
        <v>852</v>
      </c>
      <c r="AI156" s="103" t="s">
        <v>1782</v>
      </c>
      <c r="AJ156" s="103" t="s">
        <v>64</v>
      </c>
      <c r="AK156" s="103" t="s">
        <v>64</v>
      </c>
      <c r="AL156" s="103" t="s">
        <v>1550</v>
      </c>
      <c r="AM156" s="103" t="s">
        <v>65</v>
      </c>
      <c r="AN156" s="102" t="s">
        <v>64</v>
      </c>
      <c r="AO156" s="61"/>
    </row>
    <row r="157" spans="3:41" ht="14.25" customHeight="1">
      <c r="C157" s="55">
        <f>IF($X157=1,COUNTIF($C$10:C156,"&gt;0")+1,"")</f>
        <v>73</v>
      </c>
      <c r="D157" s="56">
        <v>69284981</v>
      </c>
      <c r="E157" s="103" t="s">
        <v>1776</v>
      </c>
      <c r="F157" s="104" t="s">
        <v>2110</v>
      </c>
      <c r="G157" s="103" t="s">
        <v>2110</v>
      </c>
      <c r="H157" s="103" t="s">
        <v>2111</v>
      </c>
      <c r="I157" s="103" t="s">
        <v>755</v>
      </c>
      <c r="J157" s="103" t="s">
        <v>58</v>
      </c>
      <c r="K157" s="103" t="s">
        <v>59</v>
      </c>
      <c r="L157" s="105">
        <v>30691</v>
      </c>
      <c r="M157" s="103">
        <v>41</v>
      </c>
      <c r="N157" s="103" t="s">
        <v>2112</v>
      </c>
      <c r="O157" s="105">
        <v>47329</v>
      </c>
      <c r="P157" s="103" t="s">
        <v>4</v>
      </c>
      <c r="Q157" s="103" t="s">
        <v>1141</v>
      </c>
      <c r="R157" s="119">
        <v>45912</v>
      </c>
      <c r="S157" s="119">
        <v>45918</v>
      </c>
      <c r="T157" s="120">
        <f t="shared" si="2"/>
        <v>6</v>
      </c>
      <c r="U157" s="103">
        <v>1</v>
      </c>
      <c r="V157" s="103">
        <v>1</v>
      </c>
      <c r="W157" s="103">
        <v>0</v>
      </c>
      <c r="X157" s="103">
        <v>1</v>
      </c>
      <c r="Y157" s="103">
        <v>0</v>
      </c>
      <c r="Z157" s="103">
        <v>1</v>
      </c>
      <c r="AA157" s="103">
        <v>0</v>
      </c>
      <c r="AB157" s="103"/>
      <c r="AC157" s="105">
        <v>45912</v>
      </c>
      <c r="AD157" s="106">
        <v>0.18055555555474712</v>
      </c>
      <c r="AE157" s="103" t="s">
        <v>408</v>
      </c>
      <c r="AF157" s="105">
        <v>45918</v>
      </c>
      <c r="AG157" s="106">
        <v>0.42361111110949423</v>
      </c>
      <c r="AH157" s="103" t="s">
        <v>2113</v>
      </c>
      <c r="AI157" s="103" t="s">
        <v>1782</v>
      </c>
      <c r="AJ157" s="103" t="s">
        <v>64</v>
      </c>
      <c r="AK157" s="111" t="s">
        <v>2114</v>
      </c>
      <c r="AL157" s="103" t="s">
        <v>1550</v>
      </c>
      <c r="AM157" s="103" t="s">
        <v>65</v>
      </c>
      <c r="AN157" s="102" t="s">
        <v>64</v>
      </c>
      <c r="AO157" s="61"/>
    </row>
    <row r="158" spans="3:41" ht="14.25" customHeight="1">
      <c r="C158" s="55" t="str">
        <f>IF($X158=1,COUNTIF($C$10:C157,"&gt;0")+1,"")</f>
        <v/>
      </c>
      <c r="D158" s="56"/>
      <c r="E158" s="103" t="s">
        <v>1776</v>
      </c>
      <c r="F158" s="104" t="s">
        <v>2115</v>
      </c>
      <c r="G158" s="103" t="s">
        <v>2110</v>
      </c>
      <c r="H158" s="103" t="s">
        <v>2116</v>
      </c>
      <c r="I158" s="103" t="s">
        <v>755</v>
      </c>
      <c r="J158" s="103" t="s">
        <v>68</v>
      </c>
      <c r="K158" s="103" t="s">
        <v>59</v>
      </c>
      <c r="L158" s="105">
        <v>31494</v>
      </c>
      <c r="M158" s="103">
        <v>39</v>
      </c>
      <c r="N158" s="103" t="s">
        <v>2117</v>
      </c>
      <c r="O158" s="105">
        <v>49358</v>
      </c>
      <c r="P158" s="103" t="s">
        <v>4</v>
      </c>
      <c r="Q158" s="103" t="s">
        <v>1141</v>
      </c>
      <c r="R158" s="119">
        <v>45912</v>
      </c>
      <c r="S158" s="119">
        <v>45918</v>
      </c>
      <c r="T158" s="120">
        <f t="shared" si="2"/>
        <v>6</v>
      </c>
      <c r="U158" s="103">
        <v>1</v>
      </c>
      <c r="V158" s="103">
        <v>1</v>
      </c>
      <c r="W158" s="103">
        <v>0</v>
      </c>
      <c r="X158" s="103">
        <v>0</v>
      </c>
      <c r="Y158" s="103">
        <v>0</v>
      </c>
      <c r="Z158" s="103">
        <v>0</v>
      </c>
      <c r="AA158" s="103">
        <v>0</v>
      </c>
      <c r="AB158" s="103"/>
      <c r="AC158" s="105">
        <v>45912</v>
      </c>
      <c r="AD158" s="106">
        <v>0.18055555555474712</v>
      </c>
      <c r="AE158" s="103" t="s">
        <v>408</v>
      </c>
      <c r="AF158" s="105">
        <v>45918</v>
      </c>
      <c r="AG158" s="106">
        <v>0.42361111110949423</v>
      </c>
      <c r="AH158" s="103" t="s">
        <v>2113</v>
      </c>
      <c r="AI158" s="103" t="s">
        <v>1782</v>
      </c>
      <c r="AJ158" s="103" t="s">
        <v>64</v>
      </c>
      <c r="AK158" s="111"/>
      <c r="AL158" s="103" t="s">
        <v>1550</v>
      </c>
      <c r="AM158" s="103" t="s">
        <v>65</v>
      </c>
      <c r="AN158" s="102" t="s">
        <v>64</v>
      </c>
      <c r="AO158" s="61"/>
    </row>
    <row r="159" spans="3:41" ht="14.25" customHeight="1">
      <c r="C159" s="55" t="str">
        <f>IF($X159=1,COUNTIF($C$10:C158,"&gt;0")+1,"")</f>
        <v/>
      </c>
      <c r="D159" s="56"/>
      <c r="E159" s="103" t="s">
        <v>1776</v>
      </c>
      <c r="F159" s="104" t="s">
        <v>2118</v>
      </c>
      <c r="G159" s="103" t="s">
        <v>2110</v>
      </c>
      <c r="H159" s="103" t="s">
        <v>2119</v>
      </c>
      <c r="I159" s="103" t="s">
        <v>755</v>
      </c>
      <c r="J159" s="103" t="s">
        <v>68</v>
      </c>
      <c r="K159" s="103" t="s">
        <v>59</v>
      </c>
      <c r="L159" s="105">
        <v>44215</v>
      </c>
      <c r="M159" s="103">
        <v>4</v>
      </c>
      <c r="N159" s="103" t="s">
        <v>2120</v>
      </c>
      <c r="O159" s="105">
        <v>46279</v>
      </c>
      <c r="P159" s="103" t="s">
        <v>4</v>
      </c>
      <c r="Q159" s="103" t="s">
        <v>1141</v>
      </c>
      <c r="R159" s="119">
        <v>45912</v>
      </c>
      <c r="S159" s="119">
        <v>45918</v>
      </c>
      <c r="T159" s="120">
        <f t="shared" si="2"/>
        <v>6</v>
      </c>
      <c r="U159" s="103">
        <v>1</v>
      </c>
      <c r="V159" s="103">
        <v>0</v>
      </c>
      <c r="W159" s="103">
        <v>1</v>
      </c>
      <c r="X159" s="103">
        <v>0</v>
      </c>
      <c r="Y159" s="103">
        <v>0</v>
      </c>
      <c r="Z159" s="103">
        <v>0</v>
      </c>
      <c r="AA159" s="103">
        <v>0</v>
      </c>
      <c r="AB159" s="103"/>
      <c r="AC159" s="105">
        <v>45912</v>
      </c>
      <c r="AD159" s="106">
        <v>0.18055555555474712</v>
      </c>
      <c r="AE159" s="103" t="s">
        <v>408</v>
      </c>
      <c r="AF159" s="105">
        <v>45918</v>
      </c>
      <c r="AG159" s="106">
        <v>0.42361111110949423</v>
      </c>
      <c r="AH159" s="103" t="s">
        <v>2113</v>
      </c>
      <c r="AI159" s="103" t="s">
        <v>1782</v>
      </c>
      <c r="AJ159" s="103" t="s">
        <v>64</v>
      </c>
      <c r="AK159" s="111"/>
      <c r="AL159" s="103" t="s">
        <v>1550</v>
      </c>
      <c r="AM159" s="103" t="s">
        <v>65</v>
      </c>
      <c r="AN159" s="102" t="s">
        <v>64</v>
      </c>
      <c r="AO159" s="61"/>
    </row>
    <row r="160" spans="3:41" ht="14.25" customHeight="1">
      <c r="C160" s="55">
        <f>IF($X160=1,COUNTIF($C$10:C159,"&gt;0")+1,"")</f>
        <v>74</v>
      </c>
      <c r="D160" s="56">
        <v>41374270</v>
      </c>
      <c r="E160" s="103" t="s">
        <v>1776</v>
      </c>
      <c r="F160" s="104" t="s">
        <v>2121</v>
      </c>
      <c r="G160" s="103" t="s">
        <v>2110</v>
      </c>
      <c r="H160" s="103" t="s">
        <v>2122</v>
      </c>
      <c r="I160" s="103" t="s">
        <v>755</v>
      </c>
      <c r="J160" s="103" t="s">
        <v>58</v>
      </c>
      <c r="K160" s="103" t="s">
        <v>59</v>
      </c>
      <c r="L160" s="105">
        <v>17542</v>
      </c>
      <c r="M160" s="103">
        <v>77</v>
      </c>
      <c r="N160" s="103" t="s">
        <v>2123</v>
      </c>
      <c r="O160" s="105">
        <v>46375</v>
      </c>
      <c r="P160" s="103" t="s">
        <v>4</v>
      </c>
      <c r="Q160" s="103" t="s">
        <v>1141</v>
      </c>
      <c r="R160" s="119">
        <v>45912</v>
      </c>
      <c r="S160" s="119">
        <v>45918</v>
      </c>
      <c r="T160" s="120">
        <f t="shared" si="2"/>
        <v>6</v>
      </c>
      <c r="U160" s="103">
        <v>1</v>
      </c>
      <c r="V160" s="103">
        <v>1</v>
      </c>
      <c r="W160" s="103">
        <v>0</v>
      </c>
      <c r="X160" s="103">
        <v>1</v>
      </c>
      <c r="Y160" s="103">
        <v>0</v>
      </c>
      <c r="Z160" s="103">
        <v>1</v>
      </c>
      <c r="AA160" s="103">
        <v>0</v>
      </c>
      <c r="AB160" s="103"/>
      <c r="AC160" s="105">
        <v>45912</v>
      </c>
      <c r="AD160" s="106">
        <v>0.18055555555474712</v>
      </c>
      <c r="AE160" s="103" t="s">
        <v>408</v>
      </c>
      <c r="AF160" s="105">
        <v>45918</v>
      </c>
      <c r="AG160" s="106">
        <v>0.42361111110949423</v>
      </c>
      <c r="AH160" s="103" t="s">
        <v>2113</v>
      </c>
      <c r="AI160" s="103" t="s">
        <v>1782</v>
      </c>
      <c r="AJ160" s="103" t="s">
        <v>64</v>
      </c>
      <c r="AK160" s="111" t="s">
        <v>2124</v>
      </c>
      <c r="AL160" s="103" t="s">
        <v>1550</v>
      </c>
      <c r="AM160" s="103" t="s">
        <v>65</v>
      </c>
      <c r="AN160" s="102" t="s">
        <v>64</v>
      </c>
      <c r="AO160" s="61"/>
    </row>
    <row r="161" spans="3:41" ht="14.25" customHeight="1">
      <c r="C161" s="55" t="str">
        <f>IF($X161=1,COUNTIF($C$10:C160,"&gt;0")+1,"")</f>
        <v/>
      </c>
      <c r="D161" s="56"/>
      <c r="E161" s="103" t="s">
        <v>1776</v>
      </c>
      <c r="F161" s="104" t="s">
        <v>2125</v>
      </c>
      <c r="G161" s="103" t="s">
        <v>2110</v>
      </c>
      <c r="H161" s="103" t="s">
        <v>2126</v>
      </c>
      <c r="I161" s="103" t="s">
        <v>1898</v>
      </c>
      <c r="J161" s="103" t="s">
        <v>68</v>
      </c>
      <c r="K161" s="103" t="s">
        <v>59</v>
      </c>
      <c r="L161" s="105">
        <v>17794</v>
      </c>
      <c r="M161" s="103">
        <v>77</v>
      </c>
      <c r="N161" s="103" t="s">
        <v>2127</v>
      </c>
      <c r="O161" s="105">
        <v>46375</v>
      </c>
      <c r="P161" s="103" t="s">
        <v>4</v>
      </c>
      <c r="Q161" s="103" t="s">
        <v>1141</v>
      </c>
      <c r="R161" s="119">
        <v>45912</v>
      </c>
      <c r="S161" s="119">
        <v>45918</v>
      </c>
      <c r="T161" s="120">
        <f t="shared" si="2"/>
        <v>6</v>
      </c>
      <c r="U161" s="103">
        <v>1</v>
      </c>
      <c r="V161" s="103">
        <v>1</v>
      </c>
      <c r="W161" s="103">
        <v>0</v>
      </c>
      <c r="X161" s="103">
        <v>0</v>
      </c>
      <c r="Y161" s="103">
        <v>0</v>
      </c>
      <c r="Z161" s="103">
        <v>0</v>
      </c>
      <c r="AA161" s="103">
        <v>0</v>
      </c>
      <c r="AB161" s="103"/>
      <c r="AC161" s="105">
        <v>45912</v>
      </c>
      <c r="AD161" s="106">
        <v>0.18055555555474712</v>
      </c>
      <c r="AE161" s="103" t="s">
        <v>408</v>
      </c>
      <c r="AF161" s="105">
        <v>45918</v>
      </c>
      <c r="AG161" s="106">
        <v>0.42361111110949423</v>
      </c>
      <c r="AH161" s="103" t="s">
        <v>2113</v>
      </c>
      <c r="AI161" s="103" t="s">
        <v>1782</v>
      </c>
      <c r="AJ161" s="103" t="s">
        <v>64</v>
      </c>
      <c r="AK161" s="111"/>
      <c r="AL161" s="103" t="s">
        <v>1550</v>
      </c>
      <c r="AM161" s="103" t="s">
        <v>65</v>
      </c>
      <c r="AN161" s="102" t="s">
        <v>64</v>
      </c>
      <c r="AO161" s="61"/>
    </row>
    <row r="162" spans="3:41" ht="14.25" customHeight="1">
      <c r="C162" s="55" t="str">
        <f>IF($X162=1,COUNTIF($C$10:C161,"&gt;0")+1,"")</f>
        <v/>
      </c>
      <c r="D162" s="56"/>
      <c r="E162" s="103" t="s">
        <v>1776</v>
      </c>
      <c r="F162" s="104" t="s">
        <v>2128</v>
      </c>
      <c r="G162" s="103" t="s">
        <v>2110</v>
      </c>
      <c r="H162" s="103" t="s">
        <v>2129</v>
      </c>
      <c r="I162" s="103" t="s">
        <v>755</v>
      </c>
      <c r="J162" s="103" t="s">
        <v>58</v>
      </c>
      <c r="K162" s="103" t="s">
        <v>59</v>
      </c>
      <c r="L162" s="105">
        <v>43404</v>
      </c>
      <c r="M162" s="103">
        <v>6</v>
      </c>
      <c r="N162" s="103" t="s">
        <v>2130</v>
      </c>
      <c r="O162" s="105">
        <v>47187</v>
      </c>
      <c r="P162" s="103" t="s">
        <v>4</v>
      </c>
      <c r="Q162" s="103" t="s">
        <v>1141</v>
      </c>
      <c r="R162" s="119">
        <v>45912</v>
      </c>
      <c r="S162" s="119">
        <v>45918</v>
      </c>
      <c r="T162" s="120">
        <f t="shared" si="2"/>
        <v>6</v>
      </c>
      <c r="U162" s="103">
        <v>1</v>
      </c>
      <c r="V162" s="103">
        <v>0</v>
      </c>
      <c r="W162" s="103">
        <v>1</v>
      </c>
      <c r="X162" s="103">
        <v>0</v>
      </c>
      <c r="Y162" s="103">
        <v>0</v>
      </c>
      <c r="Z162" s="103">
        <v>0</v>
      </c>
      <c r="AA162" s="103">
        <v>0</v>
      </c>
      <c r="AB162" s="103"/>
      <c r="AC162" s="105">
        <v>45912</v>
      </c>
      <c r="AD162" s="106">
        <v>0.18055555555474712</v>
      </c>
      <c r="AE162" s="103" t="s">
        <v>408</v>
      </c>
      <c r="AF162" s="105">
        <v>45918</v>
      </c>
      <c r="AG162" s="106">
        <v>0.42361111110949423</v>
      </c>
      <c r="AH162" s="103" t="s">
        <v>2113</v>
      </c>
      <c r="AI162" s="103" t="s">
        <v>1782</v>
      </c>
      <c r="AJ162" s="103" t="s">
        <v>64</v>
      </c>
      <c r="AK162" s="111"/>
      <c r="AL162" s="103" t="s">
        <v>1550</v>
      </c>
      <c r="AM162" s="103" t="s">
        <v>65</v>
      </c>
      <c r="AN162" s="102" t="s">
        <v>64</v>
      </c>
      <c r="AO162" s="61"/>
    </row>
    <row r="163" spans="3:41" ht="14.25" customHeight="1">
      <c r="C163" s="55">
        <f>IF($X163=1,COUNTIF($C$10:C162,"&gt;0")+1,"")</f>
        <v>75</v>
      </c>
      <c r="D163" s="56">
        <v>82399215</v>
      </c>
      <c r="E163" s="103" t="s">
        <v>1776</v>
      </c>
      <c r="F163" s="104" t="s">
        <v>2131</v>
      </c>
      <c r="G163" s="103" t="s">
        <v>2110</v>
      </c>
      <c r="H163" s="103" t="s">
        <v>2132</v>
      </c>
      <c r="I163" s="103" t="s">
        <v>796</v>
      </c>
      <c r="J163" s="103" t="s">
        <v>58</v>
      </c>
      <c r="K163" s="103" t="s">
        <v>59</v>
      </c>
      <c r="L163" s="105">
        <v>30437</v>
      </c>
      <c r="M163" s="103">
        <v>42</v>
      </c>
      <c r="N163" s="103" t="s">
        <v>2133</v>
      </c>
      <c r="O163" s="105">
        <v>47008</v>
      </c>
      <c r="P163" s="103" t="s">
        <v>5</v>
      </c>
      <c r="Q163" s="103"/>
      <c r="R163" s="99">
        <v>45913</v>
      </c>
      <c r="S163" s="99">
        <v>45918</v>
      </c>
      <c r="T163" s="100">
        <f t="shared" si="2"/>
        <v>5</v>
      </c>
      <c r="U163" s="103">
        <v>1</v>
      </c>
      <c r="V163" s="103">
        <v>1</v>
      </c>
      <c r="W163" s="103">
        <v>0</v>
      </c>
      <c r="X163" s="103">
        <v>1</v>
      </c>
      <c r="Y163" s="103">
        <v>0</v>
      </c>
      <c r="Z163" s="103">
        <v>0</v>
      </c>
      <c r="AA163" s="103">
        <v>1</v>
      </c>
      <c r="AB163" s="103"/>
      <c r="AC163" s="105">
        <v>45913</v>
      </c>
      <c r="AD163" s="106">
        <v>0.58680555555474712</v>
      </c>
      <c r="AE163" s="103" t="s">
        <v>1780</v>
      </c>
      <c r="AF163" s="105">
        <v>45918</v>
      </c>
      <c r="AG163" s="106">
        <v>0.40625</v>
      </c>
      <c r="AH163" s="103" t="s">
        <v>1781</v>
      </c>
      <c r="AI163" s="103" t="s">
        <v>1782</v>
      </c>
      <c r="AJ163" s="103" t="s">
        <v>64</v>
      </c>
      <c r="AK163" s="103" t="s">
        <v>64</v>
      </c>
      <c r="AL163" s="103" t="s">
        <v>1550</v>
      </c>
      <c r="AM163" s="103" t="s">
        <v>65</v>
      </c>
      <c r="AN163" s="102" t="s">
        <v>64</v>
      </c>
      <c r="AO163" s="61"/>
    </row>
    <row r="164" spans="3:41" ht="14.25" customHeight="1">
      <c r="C164" s="55" t="str">
        <f>IF($X164=1,COUNTIF($C$10:C163,"&gt;0")+1,"")</f>
        <v/>
      </c>
      <c r="D164" s="56"/>
      <c r="E164" s="103" t="s">
        <v>1776</v>
      </c>
      <c r="F164" s="104" t="s">
        <v>2134</v>
      </c>
      <c r="G164" s="103" t="s">
        <v>2110</v>
      </c>
      <c r="H164" s="103" t="s">
        <v>2135</v>
      </c>
      <c r="I164" s="103" t="s">
        <v>2136</v>
      </c>
      <c r="J164" s="103" t="s">
        <v>68</v>
      </c>
      <c r="K164" s="103" t="s">
        <v>2069</v>
      </c>
      <c r="L164" s="105">
        <v>25831</v>
      </c>
      <c r="M164" s="103">
        <v>54</v>
      </c>
      <c r="N164" s="103" t="s">
        <v>2137</v>
      </c>
      <c r="O164" s="105">
        <v>47022</v>
      </c>
      <c r="P164" s="103" t="s">
        <v>5</v>
      </c>
      <c r="Q164" s="103"/>
      <c r="R164" s="99">
        <v>45913</v>
      </c>
      <c r="S164" s="99">
        <v>45918</v>
      </c>
      <c r="T164" s="100">
        <f t="shared" si="2"/>
        <v>5</v>
      </c>
      <c r="U164" s="103">
        <v>1</v>
      </c>
      <c r="V164" s="103">
        <v>1</v>
      </c>
      <c r="W164" s="103">
        <v>0</v>
      </c>
      <c r="X164" s="103">
        <v>0</v>
      </c>
      <c r="Y164" s="103">
        <v>0</v>
      </c>
      <c r="Z164" s="103">
        <v>0</v>
      </c>
      <c r="AA164" s="103">
        <v>0</v>
      </c>
      <c r="AB164" s="103"/>
      <c r="AC164" s="105">
        <v>45913</v>
      </c>
      <c r="AD164" s="106">
        <v>0.81944444444525288</v>
      </c>
      <c r="AE164" s="103" t="s">
        <v>2138</v>
      </c>
      <c r="AF164" s="105">
        <v>45918</v>
      </c>
      <c r="AG164" s="106">
        <v>0.44097222221898846</v>
      </c>
      <c r="AH164" s="103" t="s">
        <v>2139</v>
      </c>
      <c r="AI164" s="103" t="s">
        <v>1782</v>
      </c>
      <c r="AJ164" s="103" t="s">
        <v>64</v>
      </c>
      <c r="AK164" s="103" t="s">
        <v>64</v>
      </c>
      <c r="AL164" s="103" t="s">
        <v>1550</v>
      </c>
      <c r="AM164" s="103" t="s">
        <v>65</v>
      </c>
      <c r="AN164" s="102" t="s">
        <v>1600</v>
      </c>
      <c r="AO164" s="61"/>
    </row>
    <row r="165" spans="3:41" ht="14.25" customHeight="1">
      <c r="C165" s="55">
        <f>IF($X165=1,COUNTIF($C$10:C164,"&gt;0")+1,"")</f>
        <v>76</v>
      </c>
      <c r="D165" s="56">
        <v>66113757</v>
      </c>
      <c r="E165" s="103" t="s">
        <v>1776</v>
      </c>
      <c r="F165" s="104" t="s">
        <v>2140</v>
      </c>
      <c r="G165" s="103" t="s">
        <v>2140</v>
      </c>
      <c r="H165" s="103" t="s">
        <v>2141</v>
      </c>
      <c r="I165" s="103" t="s">
        <v>2142</v>
      </c>
      <c r="J165" s="103" t="s">
        <v>58</v>
      </c>
      <c r="K165" s="103" t="s">
        <v>59</v>
      </c>
      <c r="L165" s="105">
        <v>36938</v>
      </c>
      <c r="M165" s="103">
        <v>24</v>
      </c>
      <c r="N165" s="103" t="s">
        <v>2143</v>
      </c>
      <c r="O165" s="105">
        <v>47243</v>
      </c>
      <c r="P165" s="103" t="s">
        <v>4</v>
      </c>
      <c r="Q165" s="103"/>
      <c r="R165" s="99">
        <v>45913</v>
      </c>
      <c r="S165" s="99">
        <v>45918</v>
      </c>
      <c r="T165" s="100">
        <f t="shared" si="2"/>
        <v>5</v>
      </c>
      <c r="U165" s="103">
        <v>1</v>
      </c>
      <c r="V165" s="103">
        <v>1</v>
      </c>
      <c r="W165" s="103">
        <v>0</v>
      </c>
      <c r="X165" s="103">
        <v>1</v>
      </c>
      <c r="Y165" s="103">
        <v>0</v>
      </c>
      <c r="Z165" s="103">
        <v>1</v>
      </c>
      <c r="AA165" s="103">
        <v>0</v>
      </c>
      <c r="AB165" s="103"/>
      <c r="AC165" s="105">
        <v>45913</v>
      </c>
      <c r="AD165" s="106">
        <v>0.18055555555474712</v>
      </c>
      <c r="AE165" s="103" t="s">
        <v>408</v>
      </c>
      <c r="AF165" s="105">
        <v>45918</v>
      </c>
      <c r="AG165" s="106">
        <v>0.8125</v>
      </c>
      <c r="AH165" s="103" t="s">
        <v>1438</v>
      </c>
      <c r="AI165" s="103" t="s">
        <v>1782</v>
      </c>
      <c r="AJ165" s="103" t="s">
        <v>64</v>
      </c>
      <c r="AK165" s="103" t="s">
        <v>64</v>
      </c>
      <c r="AL165" s="103" t="s">
        <v>1550</v>
      </c>
      <c r="AM165" s="103" t="s">
        <v>65</v>
      </c>
      <c r="AN165" s="102" t="s">
        <v>64</v>
      </c>
      <c r="AO165" s="61"/>
    </row>
    <row r="166" spans="3:41" ht="14.25" customHeight="1">
      <c r="C166" s="55" t="str">
        <f>IF($X166=1,COUNTIF($C$10:C165,"&gt;0")+1,"")</f>
        <v/>
      </c>
      <c r="D166" s="56"/>
      <c r="E166" s="103" t="s">
        <v>1776</v>
      </c>
      <c r="F166" s="104" t="s">
        <v>2144</v>
      </c>
      <c r="G166" s="103" t="s">
        <v>2140</v>
      </c>
      <c r="H166" s="103" t="s">
        <v>2145</v>
      </c>
      <c r="I166" s="103" t="s">
        <v>1810</v>
      </c>
      <c r="J166" s="103" t="s">
        <v>58</v>
      </c>
      <c r="K166" s="103" t="s">
        <v>64</v>
      </c>
      <c r="L166" s="105">
        <v>38845</v>
      </c>
      <c r="M166" s="103">
        <v>19</v>
      </c>
      <c r="N166" s="103" t="s">
        <v>64</v>
      </c>
      <c r="O166" s="105" t="s">
        <v>64</v>
      </c>
      <c r="P166" s="103" t="s">
        <v>4</v>
      </c>
      <c r="Q166" s="103"/>
      <c r="R166" s="99">
        <v>45913</v>
      </c>
      <c r="S166" s="99">
        <v>45918</v>
      </c>
      <c r="T166" s="100">
        <f t="shared" si="2"/>
        <v>5</v>
      </c>
      <c r="U166" s="103">
        <v>1</v>
      </c>
      <c r="V166" s="103">
        <v>1</v>
      </c>
      <c r="W166" s="103">
        <v>0</v>
      </c>
      <c r="X166" s="103">
        <v>0</v>
      </c>
      <c r="Y166" s="103">
        <v>0</v>
      </c>
      <c r="Z166" s="103">
        <v>0</v>
      </c>
      <c r="AA166" s="103">
        <v>0</v>
      </c>
      <c r="AB166" s="103"/>
      <c r="AC166" s="105">
        <v>45913</v>
      </c>
      <c r="AD166" s="106">
        <v>0.58680555555474712</v>
      </c>
      <c r="AE166" s="103" t="s">
        <v>1812</v>
      </c>
      <c r="AF166" s="105">
        <v>45918</v>
      </c>
      <c r="AG166" s="106">
        <v>0.86111111110949423</v>
      </c>
      <c r="AH166" s="103" t="s">
        <v>1292</v>
      </c>
      <c r="AI166" s="103" t="s">
        <v>1782</v>
      </c>
      <c r="AJ166" s="103" t="s">
        <v>64</v>
      </c>
      <c r="AK166" s="103" t="s">
        <v>64</v>
      </c>
      <c r="AL166" s="103" t="s">
        <v>1550</v>
      </c>
      <c r="AM166" s="103" t="s">
        <v>65</v>
      </c>
      <c r="AN166" s="102" t="s">
        <v>64</v>
      </c>
      <c r="AO166" s="61"/>
    </row>
    <row r="167" spans="3:41" ht="14.25" customHeight="1">
      <c r="C167" s="55">
        <f>IF($X167=1,COUNTIF($C$10:C166,"&gt;0")+1,"")</f>
        <v>77</v>
      </c>
      <c r="D167" s="56">
        <v>67543135</v>
      </c>
      <c r="E167" s="103" t="s">
        <v>1776</v>
      </c>
      <c r="F167" s="104" t="s">
        <v>2146</v>
      </c>
      <c r="G167" s="103" t="s">
        <v>2146</v>
      </c>
      <c r="H167" s="103" t="s">
        <v>2147</v>
      </c>
      <c r="I167" s="103" t="s">
        <v>2142</v>
      </c>
      <c r="J167" s="103" t="s">
        <v>58</v>
      </c>
      <c r="K167" s="103" t="s">
        <v>59</v>
      </c>
      <c r="L167" s="105">
        <v>22379</v>
      </c>
      <c r="M167" s="103">
        <v>64</v>
      </c>
      <c r="N167" s="103" t="s">
        <v>2148</v>
      </c>
      <c r="O167" s="105">
        <v>46774</v>
      </c>
      <c r="P167" s="103" t="s">
        <v>4</v>
      </c>
      <c r="Q167" s="103"/>
      <c r="R167" s="99">
        <v>45913</v>
      </c>
      <c r="S167" s="99">
        <v>45918</v>
      </c>
      <c r="T167" s="100">
        <f t="shared" si="2"/>
        <v>5</v>
      </c>
      <c r="U167" s="103">
        <v>1</v>
      </c>
      <c r="V167" s="103">
        <v>1</v>
      </c>
      <c r="W167" s="103">
        <v>0</v>
      </c>
      <c r="X167" s="103">
        <v>1</v>
      </c>
      <c r="Y167" s="103">
        <v>0</v>
      </c>
      <c r="Z167" s="103">
        <v>1</v>
      </c>
      <c r="AA167" s="103">
        <v>0</v>
      </c>
      <c r="AB167" s="103"/>
      <c r="AC167" s="105">
        <v>45913</v>
      </c>
      <c r="AD167" s="106">
        <v>0.18055555555474712</v>
      </c>
      <c r="AE167" s="103" t="s">
        <v>408</v>
      </c>
      <c r="AF167" s="105">
        <v>45918</v>
      </c>
      <c r="AG167" s="106">
        <v>0.8125</v>
      </c>
      <c r="AH167" s="103" t="s">
        <v>1438</v>
      </c>
      <c r="AI167" s="103" t="s">
        <v>1782</v>
      </c>
      <c r="AJ167" s="103" t="s">
        <v>64</v>
      </c>
      <c r="AK167" s="103" t="s">
        <v>64</v>
      </c>
      <c r="AL167" s="103" t="s">
        <v>1550</v>
      </c>
      <c r="AM167" s="103" t="s">
        <v>65</v>
      </c>
      <c r="AN167" s="102" t="s">
        <v>64</v>
      </c>
      <c r="AO167" s="61"/>
    </row>
    <row r="168" spans="3:41" ht="14.25" customHeight="1">
      <c r="C168" s="55" t="str">
        <f>IF($X168=1,COUNTIF($C$10:C167,"&gt;0")+1,"")</f>
        <v/>
      </c>
      <c r="D168" s="56"/>
      <c r="E168" s="103" t="s">
        <v>1776</v>
      </c>
      <c r="F168" s="104" t="s">
        <v>2149</v>
      </c>
      <c r="G168" s="103" t="s">
        <v>2146</v>
      </c>
      <c r="H168" s="103" t="s">
        <v>2150</v>
      </c>
      <c r="I168" s="103" t="s">
        <v>2151</v>
      </c>
      <c r="J168" s="103" t="s">
        <v>68</v>
      </c>
      <c r="K168" s="103" t="s">
        <v>59</v>
      </c>
      <c r="L168" s="105">
        <v>23765</v>
      </c>
      <c r="M168" s="103">
        <v>60</v>
      </c>
      <c r="N168" s="103" t="s">
        <v>2152</v>
      </c>
      <c r="O168" s="105">
        <v>47239</v>
      </c>
      <c r="P168" s="103" t="s">
        <v>4</v>
      </c>
      <c r="Q168" s="103"/>
      <c r="R168" s="99">
        <v>45913</v>
      </c>
      <c r="S168" s="99">
        <v>45918</v>
      </c>
      <c r="T168" s="100">
        <f t="shared" si="2"/>
        <v>5</v>
      </c>
      <c r="U168" s="103">
        <v>1</v>
      </c>
      <c r="V168" s="103">
        <v>1</v>
      </c>
      <c r="W168" s="103">
        <v>0</v>
      </c>
      <c r="X168" s="103">
        <v>0</v>
      </c>
      <c r="Y168" s="103">
        <v>0</v>
      </c>
      <c r="Z168" s="103">
        <v>0</v>
      </c>
      <c r="AA168" s="103">
        <v>0</v>
      </c>
      <c r="AB168" s="103"/>
      <c r="AC168" s="105">
        <v>45913</v>
      </c>
      <c r="AD168" s="106">
        <v>0.18055555555474712</v>
      </c>
      <c r="AE168" s="103" t="s">
        <v>408</v>
      </c>
      <c r="AF168" s="105">
        <v>45918</v>
      </c>
      <c r="AG168" s="106">
        <v>0.8125</v>
      </c>
      <c r="AH168" s="103" t="s">
        <v>1438</v>
      </c>
      <c r="AI168" s="103" t="s">
        <v>1782</v>
      </c>
      <c r="AJ168" s="103" t="s">
        <v>64</v>
      </c>
      <c r="AK168" s="103" t="s">
        <v>64</v>
      </c>
      <c r="AL168" s="103" t="s">
        <v>1550</v>
      </c>
      <c r="AM168" s="103" t="s">
        <v>65</v>
      </c>
      <c r="AN168" s="102" t="s">
        <v>64</v>
      </c>
      <c r="AO168" s="61"/>
    </row>
    <row r="169" spans="3:41" ht="14.25" customHeight="1">
      <c r="C169" s="55">
        <f>IF($X169=1,COUNTIF($C$10:C168,"&gt;0")+1,"")</f>
        <v>78</v>
      </c>
      <c r="D169" s="56">
        <v>23330354</v>
      </c>
      <c r="E169" s="103" t="s">
        <v>2153</v>
      </c>
      <c r="F169" s="104" t="s">
        <v>2154</v>
      </c>
      <c r="G169" s="103" t="s">
        <v>2154</v>
      </c>
      <c r="H169" s="103" t="s">
        <v>2155</v>
      </c>
      <c r="I169" s="103" t="s">
        <v>2156</v>
      </c>
      <c r="J169" s="103" t="s">
        <v>58</v>
      </c>
      <c r="K169" s="103" t="s">
        <v>59</v>
      </c>
      <c r="L169" s="105">
        <v>25539</v>
      </c>
      <c r="M169" s="103">
        <v>55</v>
      </c>
      <c r="N169" s="103" t="s">
        <v>2157</v>
      </c>
      <c r="O169" s="105">
        <v>47270</v>
      </c>
      <c r="P169" s="103" t="s">
        <v>5</v>
      </c>
      <c r="Q169" s="103"/>
      <c r="R169" s="99">
        <v>45913</v>
      </c>
      <c r="S169" s="99">
        <v>45918</v>
      </c>
      <c r="T169" s="100">
        <f t="shared" si="2"/>
        <v>5</v>
      </c>
      <c r="U169" s="103">
        <v>1</v>
      </c>
      <c r="V169" s="103">
        <v>1</v>
      </c>
      <c r="W169" s="103">
        <v>0</v>
      </c>
      <c r="X169" s="103">
        <v>1</v>
      </c>
      <c r="Y169" s="103">
        <v>0</v>
      </c>
      <c r="Z169" s="103">
        <v>0</v>
      </c>
      <c r="AA169" s="103">
        <v>1</v>
      </c>
      <c r="AB169" s="103"/>
      <c r="AC169" s="105">
        <v>45913</v>
      </c>
      <c r="AD169" s="106">
        <v>0.1875</v>
      </c>
      <c r="AE169" s="103" t="s">
        <v>220</v>
      </c>
      <c r="AF169" s="105">
        <v>45918</v>
      </c>
      <c r="AG169" s="106">
        <v>0.86458333333575865</v>
      </c>
      <c r="AH169" s="103" t="s">
        <v>1594</v>
      </c>
      <c r="AI169" s="103" t="s">
        <v>2158</v>
      </c>
      <c r="AJ169" s="103" t="s">
        <v>64</v>
      </c>
      <c r="AK169" s="103" t="s">
        <v>64</v>
      </c>
      <c r="AL169" s="103" t="s">
        <v>1550</v>
      </c>
      <c r="AM169" s="103" t="s">
        <v>65</v>
      </c>
      <c r="AN169" s="102" t="s">
        <v>64</v>
      </c>
      <c r="AO169" s="61"/>
    </row>
    <row r="170" spans="3:41" ht="14.25" customHeight="1">
      <c r="C170" s="55" t="str">
        <f>IF($X170=1,COUNTIF($C$10:C169,"&gt;0")+1,"")</f>
        <v/>
      </c>
      <c r="D170" s="56"/>
      <c r="E170" s="103" t="s">
        <v>2153</v>
      </c>
      <c r="F170" s="104" t="s">
        <v>2159</v>
      </c>
      <c r="G170" s="103" t="s">
        <v>2154</v>
      </c>
      <c r="H170" s="103" t="s">
        <v>2160</v>
      </c>
      <c r="I170" s="103" t="s">
        <v>2161</v>
      </c>
      <c r="J170" s="103" t="s">
        <v>68</v>
      </c>
      <c r="K170" s="103" t="s">
        <v>59</v>
      </c>
      <c r="L170" s="105">
        <v>25457</v>
      </c>
      <c r="M170" s="103">
        <v>56</v>
      </c>
      <c r="N170" s="103" t="s">
        <v>2162</v>
      </c>
      <c r="O170" s="105">
        <v>49410</v>
      </c>
      <c r="P170" s="103" t="s">
        <v>5</v>
      </c>
      <c r="Q170" s="103"/>
      <c r="R170" s="99">
        <v>45913</v>
      </c>
      <c r="S170" s="99">
        <v>45918</v>
      </c>
      <c r="T170" s="100">
        <f t="shared" si="2"/>
        <v>5</v>
      </c>
      <c r="U170" s="103">
        <v>1</v>
      </c>
      <c r="V170" s="103">
        <v>1</v>
      </c>
      <c r="W170" s="103">
        <v>0</v>
      </c>
      <c r="X170" s="103">
        <v>0</v>
      </c>
      <c r="Y170" s="103">
        <v>0</v>
      </c>
      <c r="Z170" s="103">
        <v>0</v>
      </c>
      <c r="AA170" s="103">
        <v>0</v>
      </c>
      <c r="AB170" s="103"/>
      <c r="AC170" s="105">
        <v>45913</v>
      </c>
      <c r="AD170" s="106">
        <v>0.1875</v>
      </c>
      <c r="AE170" s="103" t="s">
        <v>220</v>
      </c>
      <c r="AF170" s="105">
        <v>45918</v>
      </c>
      <c r="AG170" s="106">
        <v>0.86458333333575865</v>
      </c>
      <c r="AH170" s="103" t="s">
        <v>1594</v>
      </c>
      <c r="AI170" s="103" t="s">
        <v>2158</v>
      </c>
      <c r="AJ170" s="103" t="s">
        <v>64</v>
      </c>
      <c r="AK170" s="103" t="s">
        <v>64</v>
      </c>
      <c r="AL170" s="103" t="s">
        <v>1550</v>
      </c>
      <c r="AM170" s="103" t="s">
        <v>65</v>
      </c>
      <c r="AN170" s="102" t="s">
        <v>64</v>
      </c>
      <c r="AO170" s="61"/>
    </row>
    <row r="171" spans="3:41" ht="14.25" customHeight="1">
      <c r="C171" s="55">
        <f>IF($X171=1,COUNTIF($C$10:C170,"&gt;0")+1,"")</f>
        <v>79</v>
      </c>
      <c r="D171" s="56">
        <v>89459561</v>
      </c>
      <c r="E171" s="103" t="s">
        <v>2153</v>
      </c>
      <c r="F171" s="104" t="s">
        <v>2163</v>
      </c>
      <c r="G171" s="103" t="s">
        <v>2163</v>
      </c>
      <c r="H171" s="103" t="s">
        <v>2164</v>
      </c>
      <c r="I171" s="103" t="s">
        <v>2165</v>
      </c>
      <c r="J171" s="103" t="s">
        <v>68</v>
      </c>
      <c r="K171" s="103" t="s">
        <v>59</v>
      </c>
      <c r="L171" s="105">
        <v>29051</v>
      </c>
      <c r="M171" s="103">
        <v>46</v>
      </c>
      <c r="N171" s="103" t="s">
        <v>2166</v>
      </c>
      <c r="O171" s="105">
        <v>48163</v>
      </c>
      <c r="P171" s="103" t="s">
        <v>4</v>
      </c>
      <c r="Q171" s="103"/>
      <c r="R171" s="99">
        <v>45913</v>
      </c>
      <c r="S171" s="99">
        <v>45918</v>
      </c>
      <c r="T171" s="100">
        <f t="shared" si="2"/>
        <v>5</v>
      </c>
      <c r="U171" s="103">
        <v>1</v>
      </c>
      <c r="V171" s="103">
        <v>1</v>
      </c>
      <c r="W171" s="103">
        <v>0</v>
      </c>
      <c r="X171" s="103">
        <v>1</v>
      </c>
      <c r="Y171" s="103">
        <v>0</v>
      </c>
      <c r="Z171" s="103">
        <v>1</v>
      </c>
      <c r="AA171" s="103">
        <v>0</v>
      </c>
      <c r="AB171" s="103"/>
      <c r="AC171" s="105">
        <v>45913</v>
      </c>
      <c r="AD171" s="106">
        <v>0.1875</v>
      </c>
      <c r="AE171" s="103" t="s">
        <v>220</v>
      </c>
      <c r="AF171" s="105">
        <v>45918</v>
      </c>
      <c r="AG171" s="106">
        <v>0.8125</v>
      </c>
      <c r="AH171" s="103" t="s">
        <v>1620</v>
      </c>
      <c r="AI171" s="103" t="s">
        <v>2158</v>
      </c>
      <c r="AJ171" s="103" t="s">
        <v>598</v>
      </c>
      <c r="AK171" s="103" t="s">
        <v>64</v>
      </c>
      <c r="AL171" s="103" t="s">
        <v>1550</v>
      </c>
      <c r="AM171" s="103" t="s">
        <v>65</v>
      </c>
      <c r="AN171" s="102" t="s">
        <v>64</v>
      </c>
      <c r="AO171" s="61"/>
    </row>
    <row r="172" spans="3:41" ht="14.25" customHeight="1">
      <c r="C172" s="55" t="str">
        <f>IF($X172=1,COUNTIF($C$10:C171,"&gt;0")+1,"")</f>
        <v/>
      </c>
      <c r="D172" s="56"/>
      <c r="E172" s="103" t="s">
        <v>2153</v>
      </c>
      <c r="F172" s="104" t="s">
        <v>2167</v>
      </c>
      <c r="G172" s="103" t="s">
        <v>2163</v>
      </c>
      <c r="H172" s="103" t="s">
        <v>2168</v>
      </c>
      <c r="I172" s="103" t="s">
        <v>349</v>
      </c>
      <c r="J172" s="103" t="s">
        <v>58</v>
      </c>
      <c r="K172" s="103" t="s">
        <v>59</v>
      </c>
      <c r="L172" s="105">
        <v>28933</v>
      </c>
      <c r="M172" s="103">
        <v>46</v>
      </c>
      <c r="N172" s="103" t="s">
        <v>2169</v>
      </c>
      <c r="O172" s="105">
        <v>46929</v>
      </c>
      <c r="P172" s="103" t="s">
        <v>4</v>
      </c>
      <c r="Q172" s="103"/>
      <c r="R172" s="99">
        <v>45913</v>
      </c>
      <c r="S172" s="99">
        <v>45918</v>
      </c>
      <c r="T172" s="100">
        <f t="shared" si="2"/>
        <v>5</v>
      </c>
      <c r="U172" s="103">
        <v>1</v>
      </c>
      <c r="V172" s="103">
        <v>1</v>
      </c>
      <c r="W172" s="103">
        <v>0</v>
      </c>
      <c r="X172" s="103">
        <v>0</v>
      </c>
      <c r="Y172" s="103">
        <v>0</v>
      </c>
      <c r="Z172" s="103">
        <v>0</v>
      </c>
      <c r="AA172" s="103">
        <v>0</v>
      </c>
      <c r="AB172" s="103"/>
      <c r="AC172" s="105">
        <v>45913</v>
      </c>
      <c r="AD172" s="106">
        <v>0.1875</v>
      </c>
      <c r="AE172" s="103" t="s">
        <v>220</v>
      </c>
      <c r="AF172" s="105">
        <v>45918</v>
      </c>
      <c r="AG172" s="106">
        <v>0.8125</v>
      </c>
      <c r="AH172" s="103" t="s">
        <v>1620</v>
      </c>
      <c r="AI172" s="103" t="s">
        <v>2158</v>
      </c>
      <c r="AJ172" s="103" t="s">
        <v>64</v>
      </c>
      <c r="AK172" s="103" t="s">
        <v>64</v>
      </c>
      <c r="AL172" s="103" t="s">
        <v>1550</v>
      </c>
      <c r="AM172" s="103" t="s">
        <v>65</v>
      </c>
      <c r="AN172" s="102" t="s">
        <v>64</v>
      </c>
      <c r="AO172" s="61"/>
    </row>
    <row r="173" spans="3:41" ht="14.25" customHeight="1">
      <c r="C173" s="55">
        <f>IF($X173=1,COUNTIF($C$10:C172,"&gt;0")+1,"")</f>
        <v>80</v>
      </c>
      <c r="D173" s="56">
        <v>40982103</v>
      </c>
      <c r="E173" s="103" t="s">
        <v>2153</v>
      </c>
      <c r="F173" s="104" t="s">
        <v>2170</v>
      </c>
      <c r="G173" s="103" t="s">
        <v>2170</v>
      </c>
      <c r="H173" s="103" t="s">
        <v>2171</v>
      </c>
      <c r="I173" s="103" t="s">
        <v>88</v>
      </c>
      <c r="J173" s="103" t="s">
        <v>68</v>
      </c>
      <c r="K173" s="103" t="s">
        <v>2172</v>
      </c>
      <c r="L173" s="105">
        <v>29100</v>
      </c>
      <c r="M173" s="103">
        <v>46</v>
      </c>
      <c r="N173" s="103" t="s">
        <v>2173</v>
      </c>
      <c r="O173" s="105">
        <v>47924</v>
      </c>
      <c r="P173" s="103" t="s">
        <v>5</v>
      </c>
      <c r="Q173" s="103"/>
      <c r="R173" s="99">
        <v>45913</v>
      </c>
      <c r="S173" s="99">
        <v>45918</v>
      </c>
      <c r="T173" s="100">
        <f t="shared" si="2"/>
        <v>5</v>
      </c>
      <c r="U173" s="103">
        <v>1</v>
      </c>
      <c r="V173" s="103">
        <v>1</v>
      </c>
      <c r="W173" s="103">
        <v>0</v>
      </c>
      <c r="X173" s="103">
        <v>1</v>
      </c>
      <c r="Y173" s="103">
        <v>0</v>
      </c>
      <c r="Z173" s="103">
        <v>0</v>
      </c>
      <c r="AA173" s="103">
        <v>1</v>
      </c>
      <c r="AB173" s="103"/>
      <c r="AC173" s="105">
        <v>45913</v>
      </c>
      <c r="AD173" s="106">
        <v>0.625</v>
      </c>
      <c r="AE173" s="103" t="s">
        <v>74</v>
      </c>
      <c r="AF173" s="105">
        <v>45918</v>
      </c>
      <c r="AG173" s="106">
        <v>0.70138888889050577</v>
      </c>
      <c r="AH173" s="103" t="s">
        <v>96</v>
      </c>
      <c r="AI173" s="103" t="s">
        <v>2158</v>
      </c>
      <c r="AJ173" s="103" t="s">
        <v>64</v>
      </c>
      <c r="AK173" s="103" t="s">
        <v>64</v>
      </c>
      <c r="AL173" s="103" t="s">
        <v>1550</v>
      </c>
      <c r="AM173" s="103" t="s">
        <v>65</v>
      </c>
      <c r="AN173" s="102" t="s">
        <v>64</v>
      </c>
      <c r="AO173" s="61"/>
    </row>
    <row r="174" spans="3:41" ht="14.25" customHeight="1">
      <c r="C174" s="55" t="str">
        <f>IF($X174=1,COUNTIF($C$10:C173,"&gt;0")+1,"")</f>
        <v/>
      </c>
      <c r="D174" s="56"/>
      <c r="E174" s="103" t="s">
        <v>2153</v>
      </c>
      <c r="F174" s="104" t="s">
        <v>2174</v>
      </c>
      <c r="G174" s="103" t="s">
        <v>2170</v>
      </c>
      <c r="H174" s="103" t="s">
        <v>2175</v>
      </c>
      <c r="I174" s="103" t="s">
        <v>2176</v>
      </c>
      <c r="J174" s="103" t="s">
        <v>68</v>
      </c>
      <c r="K174" s="103" t="s">
        <v>59</v>
      </c>
      <c r="L174" s="105">
        <v>25299</v>
      </c>
      <c r="M174" s="103">
        <v>56</v>
      </c>
      <c r="N174" s="103" t="s">
        <v>2177</v>
      </c>
      <c r="O174" s="105">
        <v>49140</v>
      </c>
      <c r="P174" s="103" t="s">
        <v>5</v>
      </c>
      <c r="Q174" s="103"/>
      <c r="R174" s="99">
        <v>45913</v>
      </c>
      <c r="S174" s="99">
        <v>45918</v>
      </c>
      <c r="T174" s="100">
        <f t="shared" si="2"/>
        <v>5</v>
      </c>
      <c r="U174" s="103">
        <v>1</v>
      </c>
      <c r="V174" s="103">
        <v>1</v>
      </c>
      <c r="W174" s="103">
        <v>0</v>
      </c>
      <c r="X174" s="103">
        <v>0</v>
      </c>
      <c r="Y174" s="103">
        <v>0</v>
      </c>
      <c r="Z174" s="103">
        <v>0</v>
      </c>
      <c r="AA174" s="103">
        <v>0</v>
      </c>
      <c r="AB174" s="103"/>
      <c r="AC174" s="105">
        <v>45913</v>
      </c>
      <c r="AD174" s="106">
        <v>0.625</v>
      </c>
      <c r="AE174" s="103" t="s">
        <v>74</v>
      </c>
      <c r="AF174" s="105">
        <v>45918</v>
      </c>
      <c r="AG174" s="106">
        <v>0.70138888889050577</v>
      </c>
      <c r="AH174" s="103" t="s">
        <v>96</v>
      </c>
      <c r="AI174" s="103" t="s">
        <v>2158</v>
      </c>
      <c r="AJ174" s="103" t="s">
        <v>64</v>
      </c>
      <c r="AK174" s="103" t="s">
        <v>64</v>
      </c>
      <c r="AL174" s="103" t="s">
        <v>1550</v>
      </c>
      <c r="AM174" s="103" t="s">
        <v>65</v>
      </c>
      <c r="AN174" s="102" t="s">
        <v>64</v>
      </c>
      <c r="AO174" s="61"/>
    </row>
    <row r="175" spans="3:41" ht="14.25" customHeight="1">
      <c r="C175" s="55">
        <f>IF($X175=1,COUNTIF($C$10:C174,"&gt;0")+1,"")</f>
        <v>81</v>
      </c>
      <c r="D175" s="56">
        <v>81556776</v>
      </c>
      <c r="E175" s="103" t="s">
        <v>2178</v>
      </c>
      <c r="F175" s="104" t="s">
        <v>2179</v>
      </c>
      <c r="G175" s="103" t="s">
        <v>2179</v>
      </c>
      <c r="H175" s="103" t="s">
        <v>2180</v>
      </c>
      <c r="I175" s="103" t="s">
        <v>82</v>
      </c>
      <c r="J175" s="103" t="s">
        <v>68</v>
      </c>
      <c r="K175" s="103" t="s">
        <v>59</v>
      </c>
      <c r="L175" s="105">
        <v>24148</v>
      </c>
      <c r="M175" s="103">
        <v>59</v>
      </c>
      <c r="N175" s="103" t="s">
        <v>2181</v>
      </c>
      <c r="O175" s="105">
        <v>48974</v>
      </c>
      <c r="P175" s="103" t="s">
        <v>4</v>
      </c>
      <c r="Q175" s="103"/>
      <c r="R175" s="99">
        <v>45913</v>
      </c>
      <c r="S175" s="99">
        <v>45918</v>
      </c>
      <c r="T175" s="100">
        <f t="shared" si="2"/>
        <v>5</v>
      </c>
      <c r="U175" s="103">
        <v>1</v>
      </c>
      <c r="V175" s="103">
        <v>1</v>
      </c>
      <c r="W175" s="103">
        <v>0</v>
      </c>
      <c r="X175" s="103">
        <v>1</v>
      </c>
      <c r="Y175" s="103">
        <v>0</v>
      </c>
      <c r="Z175" s="103">
        <v>1</v>
      </c>
      <c r="AA175" s="103">
        <v>0</v>
      </c>
      <c r="AB175" s="103"/>
      <c r="AC175" s="105">
        <v>45913</v>
      </c>
      <c r="AD175" s="106">
        <v>0.73611111110949423</v>
      </c>
      <c r="AE175" s="103" t="s">
        <v>1734</v>
      </c>
      <c r="AF175" s="105">
        <v>45918</v>
      </c>
      <c r="AG175" s="106">
        <v>0.78125</v>
      </c>
      <c r="AH175" s="103" t="s">
        <v>2182</v>
      </c>
      <c r="AI175" s="103" t="s">
        <v>2183</v>
      </c>
      <c r="AJ175" s="103" t="s">
        <v>64</v>
      </c>
      <c r="AK175" s="103" t="s">
        <v>64</v>
      </c>
      <c r="AL175" s="103" t="s">
        <v>1550</v>
      </c>
      <c r="AM175" s="103" t="s">
        <v>65</v>
      </c>
      <c r="AN175" s="102" t="s">
        <v>64</v>
      </c>
      <c r="AO175" s="61"/>
    </row>
    <row r="176" spans="3:41" ht="14.25" customHeight="1">
      <c r="C176" s="55" t="str">
        <f>IF($X176=1,COUNTIF($C$10:C175,"&gt;0")+1,"")</f>
        <v/>
      </c>
      <c r="D176" s="56"/>
      <c r="E176" s="103" t="s">
        <v>2178</v>
      </c>
      <c r="F176" s="104" t="s">
        <v>2184</v>
      </c>
      <c r="G176" s="103" t="s">
        <v>2179</v>
      </c>
      <c r="H176" s="103" t="s">
        <v>2185</v>
      </c>
      <c r="I176" s="103" t="s">
        <v>82</v>
      </c>
      <c r="J176" s="103" t="s">
        <v>58</v>
      </c>
      <c r="K176" s="103" t="s">
        <v>59</v>
      </c>
      <c r="L176" s="105">
        <v>20173</v>
      </c>
      <c r="M176" s="103">
        <v>70</v>
      </c>
      <c r="N176" s="103" t="s">
        <v>2186</v>
      </c>
      <c r="O176" s="105">
        <v>48535</v>
      </c>
      <c r="P176" s="103" t="s">
        <v>4</v>
      </c>
      <c r="Q176" s="103"/>
      <c r="R176" s="99">
        <v>45913</v>
      </c>
      <c r="S176" s="99">
        <v>45918</v>
      </c>
      <c r="T176" s="100">
        <f t="shared" si="2"/>
        <v>5</v>
      </c>
      <c r="U176" s="103">
        <v>1</v>
      </c>
      <c r="V176" s="103">
        <v>1</v>
      </c>
      <c r="W176" s="103">
        <v>0</v>
      </c>
      <c r="X176" s="103">
        <v>0</v>
      </c>
      <c r="Y176" s="103">
        <v>0</v>
      </c>
      <c r="Z176" s="103">
        <v>0</v>
      </c>
      <c r="AA176" s="103">
        <v>0</v>
      </c>
      <c r="AB176" s="103"/>
      <c r="AC176" s="105">
        <v>45913</v>
      </c>
      <c r="AD176" s="106">
        <v>0.73611111110949423</v>
      </c>
      <c r="AE176" s="103" t="s">
        <v>1734</v>
      </c>
      <c r="AF176" s="105">
        <v>45918</v>
      </c>
      <c r="AG176" s="106">
        <v>0.78125</v>
      </c>
      <c r="AH176" s="103" t="s">
        <v>2182</v>
      </c>
      <c r="AI176" s="103" t="s">
        <v>2183</v>
      </c>
      <c r="AJ176" s="103" t="s">
        <v>64</v>
      </c>
      <c r="AK176" s="103" t="s">
        <v>64</v>
      </c>
      <c r="AL176" s="103" t="s">
        <v>1550</v>
      </c>
      <c r="AM176" s="103" t="s">
        <v>65</v>
      </c>
      <c r="AN176" s="102" t="s">
        <v>64</v>
      </c>
      <c r="AO176" s="61"/>
    </row>
    <row r="177" spans="3:41" ht="14.25" customHeight="1">
      <c r="C177" s="55">
        <f>IF($X177=1,COUNTIF($C$10:C176,"&gt;0")+1,"")</f>
        <v>82</v>
      </c>
      <c r="D177" s="56">
        <v>87236643</v>
      </c>
      <c r="E177" s="103" t="s">
        <v>2178</v>
      </c>
      <c r="F177" s="104" t="s">
        <v>2187</v>
      </c>
      <c r="G177" s="103" t="s">
        <v>2179</v>
      </c>
      <c r="H177" s="103" t="s">
        <v>2188</v>
      </c>
      <c r="I177" s="103" t="s">
        <v>390</v>
      </c>
      <c r="J177" s="103" t="s">
        <v>68</v>
      </c>
      <c r="K177" s="103" t="s">
        <v>59</v>
      </c>
      <c r="L177" s="105">
        <v>22190</v>
      </c>
      <c r="M177" s="103">
        <v>64</v>
      </c>
      <c r="N177" s="103" t="s">
        <v>2189</v>
      </c>
      <c r="O177" s="105">
        <v>48058</v>
      </c>
      <c r="P177" s="103" t="s">
        <v>4</v>
      </c>
      <c r="Q177" s="103"/>
      <c r="R177" s="99">
        <v>45913</v>
      </c>
      <c r="S177" s="99">
        <v>45918</v>
      </c>
      <c r="T177" s="100">
        <f t="shared" si="2"/>
        <v>5</v>
      </c>
      <c r="U177" s="103">
        <v>1</v>
      </c>
      <c r="V177" s="103">
        <v>1</v>
      </c>
      <c r="W177" s="103">
        <v>0</v>
      </c>
      <c r="X177" s="103">
        <v>1</v>
      </c>
      <c r="Y177" s="103">
        <v>0</v>
      </c>
      <c r="Z177" s="103">
        <v>1</v>
      </c>
      <c r="AA177" s="103">
        <v>0</v>
      </c>
      <c r="AB177" s="103"/>
      <c r="AC177" s="105">
        <v>45912</v>
      </c>
      <c r="AD177" s="106">
        <v>0.29166666666424135</v>
      </c>
      <c r="AE177" s="103" t="s">
        <v>2190</v>
      </c>
      <c r="AF177" s="105">
        <v>45918</v>
      </c>
      <c r="AG177" s="106">
        <v>0.43402777778101154</v>
      </c>
      <c r="AH177" s="103" t="s">
        <v>1745</v>
      </c>
      <c r="AI177" s="103" t="s">
        <v>2183</v>
      </c>
      <c r="AJ177" s="103" t="s">
        <v>64</v>
      </c>
      <c r="AK177" s="103" t="s">
        <v>64</v>
      </c>
      <c r="AL177" s="103" t="s">
        <v>1550</v>
      </c>
      <c r="AM177" s="103" t="s">
        <v>65</v>
      </c>
      <c r="AN177" s="102" t="s">
        <v>64</v>
      </c>
      <c r="AO177" s="61"/>
    </row>
    <row r="178" spans="3:41" ht="14.25" customHeight="1">
      <c r="C178" s="55" t="str">
        <f>IF($X178=1,COUNTIF($C$10:C177,"&gt;0")+1,"")</f>
        <v/>
      </c>
      <c r="D178" s="56"/>
      <c r="E178" s="103" t="s">
        <v>2178</v>
      </c>
      <c r="F178" s="104" t="s">
        <v>2191</v>
      </c>
      <c r="G178" s="103" t="s">
        <v>2179</v>
      </c>
      <c r="H178" s="103" t="s">
        <v>2192</v>
      </c>
      <c r="I178" s="103" t="s">
        <v>1380</v>
      </c>
      <c r="J178" s="103" t="s">
        <v>58</v>
      </c>
      <c r="K178" s="103" t="s">
        <v>59</v>
      </c>
      <c r="L178" s="105">
        <v>22665</v>
      </c>
      <c r="M178" s="103">
        <v>63</v>
      </c>
      <c r="N178" s="103" t="s">
        <v>2193</v>
      </c>
      <c r="O178" s="105">
        <v>49400</v>
      </c>
      <c r="P178" s="103" t="s">
        <v>4</v>
      </c>
      <c r="Q178" s="103"/>
      <c r="R178" s="99">
        <v>45913</v>
      </c>
      <c r="S178" s="99">
        <v>45918</v>
      </c>
      <c r="T178" s="100">
        <f t="shared" si="2"/>
        <v>5</v>
      </c>
      <c r="U178" s="103">
        <v>1</v>
      </c>
      <c r="V178" s="103">
        <v>1</v>
      </c>
      <c r="W178" s="103">
        <v>0</v>
      </c>
      <c r="X178" s="103">
        <v>0</v>
      </c>
      <c r="Y178" s="103">
        <v>0</v>
      </c>
      <c r="Z178" s="103">
        <v>0</v>
      </c>
      <c r="AA178" s="103">
        <v>0</v>
      </c>
      <c r="AB178" s="103"/>
      <c r="AC178" s="105">
        <v>45912</v>
      </c>
      <c r="AD178" s="106">
        <v>0.29166666666424135</v>
      </c>
      <c r="AE178" s="103" t="s">
        <v>2190</v>
      </c>
      <c r="AF178" s="105">
        <v>45918</v>
      </c>
      <c r="AG178" s="106">
        <v>0.43402777778101154</v>
      </c>
      <c r="AH178" s="103" t="s">
        <v>1745</v>
      </c>
      <c r="AI178" s="103" t="s">
        <v>2183</v>
      </c>
      <c r="AJ178" s="103" t="s">
        <v>64</v>
      </c>
      <c r="AK178" s="103" t="s">
        <v>64</v>
      </c>
      <c r="AL178" s="103" t="s">
        <v>1550</v>
      </c>
      <c r="AM178" s="103" t="s">
        <v>65</v>
      </c>
      <c r="AN178" s="102" t="s">
        <v>64</v>
      </c>
      <c r="AO178" s="61"/>
    </row>
    <row r="179" spans="3:41" ht="14.25" customHeight="1">
      <c r="C179" s="55">
        <f>IF($X179=1,COUNTIF($C$10:C178,"&gt;0")+1,"")</f>
        <v>83</v>
      </c>
      <c r="D179" s="56">
        <v>84500144</v>
      </c>
      <c r="E179" s="103" t="s">
        <v>2178</v>
      </c>
      <c r="F179" s="104" t="s">
        <v>2194</v>
      </c>
      <c r="G179" s="103" t="s">
        <v>2194</v>
      </c>
      <c r="H179" s="103" t="s">
        <v>2195</v>
      </c>
      <c r="I179" s="103" t="s">
        <v>82</v>
      </c>
      <c r="J179" s="103" t="s">
        <v>68</v>
      </c>
      <c r="K179" s="103" t="s">
        <v>59</v>
      </c>
      <c r="L179" s="105">
        <v>21885</v>
      </c>
      <c r="M179" s="103">
        <v>65</v>
      </c>
      <c r="N179" s="103" t="s">
        <v>2196</v>
      </c>
      <c r="O179" s="105">
        <v>48778</v>
      </c>
      <c r="P179" s="103" t="s">
        <v>4</v>
      </c>
      <c r="Q179" s="103"/>
      <c r="R179" s="99">
        <v>45913</v>
      </c>
      <c r="S179" s="99">
        <v>45918</v>
      </c>
      <c r="T179" s="100">
        <f t="shared" si="2"/>
        <v>5</v>
      </c>
      <c r="U179" s="103">
        <v>1</v>
      </c>
      <c r="V179" s="103">
        <v>1</v>
      </c>
      <c r="W179" s="103">
        <v>0</v>
      </c>
      <c r="X179" s="103">
        <v>1</v>
      </c>
      <c r="Y179" s="103">
        <v>0</v>
      </c>
      <c r="Z179" s="103">
        <v>1</v>
      </c>
      <c r="AA179" s="103">
        <v>0</v>
      </c>
      <c r="AB179" s="103"/>
      <c r="AC179" s="105">
        <v>45913</v>
      </c>
      <c r="AD179" s="106">
        <v>0.58680555555474712</v>
      </c>
      <c r="AE179" s="103" t="s">
        <v>61</v>
      </c>
      <c r="AF179" s="105">
        <v>45918</v>
      </c>
      <c r="AG179" s="106">
        <v>0.78125</v>
      </c>
      <c r="AH179" s="103" t="s">
        <v>2182</v>
      </c>
      <c r="AI179" s="103" t="s">
        <v>2183</v>
      </c>
      <c r="AJ179" s="103" t="s">
        <v>64</v>
      </c>
      <c r="AK179" s="103" t="s">
        <v>64</v>
      </c>
      <c r="AL179" s="103" t="s">
        <v>1550</v>
      </c>
      <c r="AM179" s="103" t="s">
        <v>65</v>
      </c>
      <c r="AN179" s="102" t="s">
        <v>64</v>
      </c>
      <c r="AO179" s="61"/>
    </row>
    <row r="180" spans="3:41" ht="14.25" customHeight="1">
      <c r="C180" s="55" t="str">
        <f>IF($X180=1,COUNTIF($C$10:C179,"&gt;0")+1,"")</f>
        <v/>
      </c>
      <c r="D180" s="56"/>
      <c r="E180" s="103" t="s">
        <v>2178</v>
      </c>
      <c r="F180" s="104" t="s">
        <v>2197</v>
      </c>
      <c r="G180" s="103" t="s">
        <v>2194</v>
      </c>
      <c r="H180" s="103" t="s">
        <v>2198</v>
      </c>
      <c r="I180" s="103" t="s">
        <v>82</v>
      </c>
      <c r="J180" s="103" t="s">
        <v>58</v>
      </c>
      <c r="K180" s="103" t="s">
        <v>59</v>
      </c>
      <c r="L180" s="105">
        <v>20360</v>
      </c>
      <c r="M180" s="103">
        <v>69</v>
      </c>
      <c r="N180" s="103" t="s">
        <v>2199</v>
      </c>
      <c r="O180" s="105">
        <v>48069</v>
      </c>
      <c r="P180" s="103" t="s">
        <v>4</v>
      </c>
      <c r="Q180" s="103"/>
      <c r="R180" s="99">
        <v>45913</v>
      </c>
      <c r="S180" s="99">
        <v>45918</v>
      </c>
      <c r="T180" s="100">
        <f t="shared" si="2"/>
        <v>5</v>
      </c>
      <c r="U180" s="103">
        <v>1</v>
      </c>
      <c r="V180" s="103">
        <v>1</v>
      </c>
      <c r="W180" s="103">
        <v>0</v>
      </c>
      <c r="X180" s="103">
        <v>0</v>
      </c>
      <c r="Y180" s="103">
        <v>0</v>
      </c>
      <c r="Z180" s="103">
        <v>0</v>
      </c>
      <c r="AA180" s="103">
        <v>0</v>
      </c>
      <c r="AB180" s="103"/>
      <c r="AC180" s="105">
        <v>45913</v>
      </c>
      <c r="AD180" s="106">
        <v>0.58680555555474712</v>
      </c>
      <c r="AE180" s="103" t="s">
        <v>61</v>
      </c>
      <c r="AF180" s="105">
        <v>45918</v>
      </c>
      <c r="AG180" s="106">
        <v>0.78125</v>
      </c>
      <c r="AH180" s="103" t="s">
        <v>2182</v>
      </c>
      <c r="AI180" s="103" t="s">
        <v>2183</v>
      </c>
      <c r="AJ180" s="103" t="s">
        <v>64</v>
      </c>
      <c r="AK180" s="103" t="s">
        <v>64</v>
      </c>
      <c r="AL180" s="103" t="s">
        <v>1550</v>
      </c>
      <c r="AM180" s="103" t="s">
        <v>65</v>
      </c>
      <c r="AN180" s="102" t="s">
        <v>64</v>
      </c>
      <c r="AO180" s="61"/>
    </row>
    <row r="181" spans="3:41" ht="14.25" customHeight="1">
      <c r="C181" s="55">
        <f>IF($X181=1,COUNTIF($C$10:C180,"&gt;0")+1,"")</f>
        <v>84</v>
      </c>
      <c r="D181" s="56">
        <v>87395486</v>
      </c>
      <c r="E181" s="103" t="s">
        <v>2178</v>
      </c>
      <c r="F181" s="104" t="s">
        <v>2200</v>
      </c>
      <c r="G181" s="103" t="s">
        <v>2200</v>
      </c>
      <c r="H181" s="103" t="s">
        <v>2201</v>
      </c>
      <c r="I181" s="103" t="s">
        <v>2202</v>
      </c>
      <c r="J181" s="103" t="s">
        <v>68</v>
      </c>
      <c r="K181" s="103" t="s">
        <v>59</v>
      </c>
      <c r="L181" s="105" t="s">
        <v>64</v>
      </c>
      <c r="M181" s="103" t="s">
        <v>64</v>
      </c>
      <c r="N181" s="103" t="s">
        <v>64</v>
      </c>
      <c r="O181" s="105" t="s">
        <v>64</v>
      </c>
      <c r="P181" s="103" t="s">
        <v>4</v>
      </c>
      <c r="Q181" s="103"/>
      <c r="R181" s="99">
        <v>45913</v>
      </c>
      <c r="S181" s="99">
        <v>45918</v>
      </c>
      <c r="T181" s="100">
        <f t="shared" si="2"/>
        <v>5</v>
      </c>
      <c r="U181" s="103">
        <v>1</v>
      </c>
      <c r="V181" s="103">
        <v>1</v>
      </c>
      <c r="W181" s="103">
        <v>0</v>
      </c>
      <c r="X181" s="103">
        <v>1</v>
      </c>
      <c r="Y181" s="103">
        <v>0</v>
      </c>
      <c r="Z181" s="103">
        <v>1</v>
      </c>
      <c r="AA181" s="103">
        <v>0</v>
      </c>
      <c r="AB181" s="103"/>
      <c r="AC181" s="105">
        <v>45913</v>
      </c>
      <c r="AD181" s="106">
        <v>0.69444444444525288</v>
      </c>
      <c r="AE181" s="103" t="s">
        <v>995</v>
      </c>
      <c r="AF181" s="105">
        <v>45918</v>
      </c>
      <c r="AG181" s="106">
        <v>0.38194444444525288</v>
      </c>
      <c r="AH181" s="103" t="s">
        <v>2203</v>
      </c>
      <c r="AI181" s="103" t="s">
        <v>2183</v>
      </c>
      <c r="AJ181" s="103" t="s">
        <v>64</v>
      </c>
      <c r="AK181" s="103" t="s">
        <v>64</v>
      </c>
      <c r="AL181" s="103" t="s">
        <v>1550</v>
      </c>
      <c r="AM181" s="103" t="s">
        <v>65</v>
      </c>
      <c r="AN181" s="102" t="s">
        <v>64</v>
      </c>
      <c r="AO181" s="61"/>
    </row>
    <row r="182" spans="3:41" ht="14.25" customHeight="1">
      <c r="C182" s="55" t="str">
        <f>IF($X182=1,COUNTIF($C$10:C181,"&gt;0")+1,"")</f>
        <v/>
      </c>
      <c r="D182" s="56"/>
      <c r="E182" s="103" t="s">
        <v>2178</v>
      </c>
      <c r="F182" s="104" t="s">
        <v>2204</v>
      </c>
      <c r="G182" s="103" t="s">
        <v>2200</v>
      </c>
      <c r="H182" s="103" t="s">
        <v>2205</v>
      </c>
      <c r="I182" s="103" t="s">
        <v>2202</v>
      </c>
      <c r="J182" s="103" t="s">
        <v>58</v>
      </c>
      <c r="K182" s="103" t="s">
        <v>59</v>
      </c>
      <c r="L182" s="105" t="s">
        <v>64</v>
      </c>
      <c r="M182" s="103" t="s">
        <v>64</v>
      </c>
      <c r="N182" s="103" t="s">
        <v>64</v>
      </c>
      <c r="O182" s="105" t="s">
        <v>64</v>
      </c>
      <c r="P182" s="103" t="s">
        <v>4</v>
      </c>
      <c r="Q182" s="103"/>
      <c r="R182" s="99">
        <v>45913</v>
      </c>
      <c r="S182" s="99">
        <v>45918</v>
      </c>
      <c r="T182" s="100">
        <f t="shared" si="2"/>
        <v>5</v>
      </c>
      <c r="U182" s="103">
        <v>1</v>
      </c>
      <c r="V182" s="103">
        <v>1</v>
      </c>
      <c r="W182" s="103">
        <v>0</v>
      </c>
      <c r="X182" s="103">
        <v>0</v>
      </c>
      <c r="Y182" s="103">
        <v>0</v>
      </c>
      <c r="Z182" s="103">
        <v>0</v>
      </c>
      <c r="AA182" s="103">
        <v>0</v>
      </c>
      <c r="AB182" s="103"/>
      <c r="AC182" s="105">
        <v>45913</v>
      </c>
      <c r="AD182" s="106">
        <v>0.69444444444525288</v>
      </c>
      <c r="AE182" s="103" t="s">
        <v>995</v>
      </c>
      <c r="AF182" s="105">
        <v>45918</v>
      </c>
      <c r="AG182" s="106">
        <v>0.69444444444525288</v>
      </c>
      <c r="AH182" s="103" t="s">
        <v>996</v>
      </c>
      <c r="AI182" s="103" t="s">
        <v>2183</v>
      </c>
      <c r="AJ182" s="103" t="s">
        <v>64</v>
      </c>
      <c r="AK182" s="103" t="s">
        <v>64</v>
      </c>
      <c r="AL182" s="103" t="s">
        <v>1550</v>
      </c>
      <c r="AM182" s="103" t="s">
        <v>65</v>
      </c>
      <c r="AN182" s="102" t="s">
        <v>64</v>
      </c>
      <c r="AO182" s="61"/>
    </row>
    <row r="183" spans="3:41" ht="14.25" customHeight="1">
      <c r="C183" s="55">
        <f>IF($X183=1,COUNTIF($C$10:C182,"&gt;0")+1,"")</f>
        <v>85</v>
      </c>
      <c r="D183" s="56">
        <v>81715865</v>
      </c>
      <c r="E183" s="103" t="s">
        <v>2178</v>
      </c>
      <c r="F183" s="104" t="s">
        <v>2206</v>
      </c>
      <c r="G183" s="103" t="s">
        <v>2206</v>
      </c>
      <c r="H183" s="103" t="s">
        <v>2207</v>
      </c>
      <c r="I183" s="103" t="s">
        <v>2208</v>
      </c>
      <c r="J183" s="103" t="s">
        <v>58</v>
      </c>
      <c r="K183" s="103" t="s">
        <v>59</v>
      </c>
      <c r="L183" s="105">
        <v>33799</v>
      </c>
      <c r="M183" s="103">
        <v>33</v>
      </c>
      <c r="N183" s="103" t="s">
        <v>2209</v>
      </c>
      <c r="O183" s="105">
        <v>47194</v>
      </c>
      <c r="P183" s="103" t="s">
        <v>5</v>
      </c>
      <c r="Q183" s="103"/>
      <c r="R183" s="99">
        <v>45913</v>
      </c>
      <c r="S183" s="99">
        <v>45918</v>
      </c>
      <c r="T183" s="100">
        <f t="shared" si="2"/>
        <v>5</v>
      </c>
      <c r="U183" s="103">
        <v>1</v>
      </c>
      <c r="V183" s="103">
        <v>1</v>
      </c>
      <c r="W183" s="103">
        <v>0</v>
      </c>
      <c r="X183" s="103">
        <v>1</v>
      </c>
      <c r="Y183" s="103">
        <v>0</v>
      </c>
      <c r="Z183" s="103">
        <v>0</v>
      </c>
      <c r="AA183" s="103">
        <v>1</v>
      </c>
      <c r="AB183" s="103"/>
      <c r="AC183" s="105">
        <v>45913</v>
      </c>
      <c r="AD183" s="106">
        <v>0.55555555555474712</v>
      </c>
      <c r="AE183" s="103" t="s">
        <v>2210</v>
      </c>
      <c r="AF183" s="105">
        <v>45918</v>
      </c>
      <c r="AG183" s="106">
        <v>0.69444444444525288</v>
      </c>
      <c r="AH183" s="103" t="s">
        <v>996</v>
      </c>
      <c r="AI183" s="103" t="s">
        <v>2183</v>
      </c>
      <c r="AJ183" s="103" t="s">
        <v>64</v>
      </c>
      <c r="AK183" s="103" t="s">
        <v>64</v>
      </c>
      <c r="AL183" s="103" t="s">
        <v>1550</v>
      </c>
      <c r="AM183" s="103" t="s">
        <v>65</v>
      </c>
      <c r="AN183" s="102" t="s">
        <v>64</v>
      </c>
      <c r="AO183" s="61"/>
    </row>
    <row r="184" spans="3:41" ht="14.25" customHeight="1">
      <c r="C184" s="55" t="str">
        <f>IF($X184=1,COUNTIF($C$10:C183,"&gt;0")+1,"")</f>
        <v/>
      </c>
      <c r="D184" s="56"/>
      <c r="E184" s="103" t="s">
        <v>2178</v>
      </c>
      <c r="F184" s="104" t="s">
        <v>2211</v>
      </c>
      <c r="G184" s="103" t="s">
        <v>2206</v>
      </c>
      <c r="H184" s="103" t="s">
        <v>2212</v>
      </c>
      <c r="I184" s="103" t="s">
        <v>349</v>
      </c>
      <c r="J184" s="103" t="s">
        <v>68</v>
      </c>
      <c r="K184" s="103" t="s">
        <v>59</v>
      </c>
      <c r="L184" s="105">
        <v>25477</v>
      </c>
      <c r="M184" s="103">
        <v>55</v>
      </c>
      <c r="N184" s="103" t="s">
        <v>2213</v>
      </c>
      <c r="O184" s="105">
        <v>46132</v>
      </c>
      <c r="P184" s="103" t="s">
        <v>5</v>
      </c>
      <c r="Q184" s="103"/>
      <c r="R184" s="99">
        <v>45913</v>
      </c>
      <c r="S184" s="99">
        <v>45918</v>
      </c>
      <c r="T184" s="100">
        <f t="shared" si="2"/>
        <v>5</v>
      </c>
      <c r="U184" s="103">
        <v>1</v>
      </c>
      <c r="V184" s="103">
        <v>1</v>
      </c>
      <c r="W184" s="103">
        <v>0</v>
      </c>
      <c r="X184" s="103">
        <v>0</v>
      </c>
      <c r="Y184" s="103">
        <v>0</v>
      </c>
      <c r="Z184" s="103">
        <v>0</v>
      </c>
      <c r="AA184" s="103">
        <v>0</v>
      </c>
      <c r="AB184" s="103"/>
      <c r="AC184" s="105">
        <v>45909</v>
      </c>
      <c r="AD184" s="106">
        <v>0.74652777778101154</v>
      </c>
      <c r="AE184" s="103" t="s">
        <v>2214</v>
      </c>
      <c r="AF184" s="105">
        <v>45918</v>
      </c>
      <c r="AG184" s="106">
        <v>0.65625</v>
      </c>
      <c r="AH184" s="103" t="s">
        <v>2215</v>
      </c>
      <c r="AI184" s="103" t="s">
        <v>2183</v>
      </c>
      <c r="AJ184" s="103" t="s">
        <v>64</v>
      </c>
      <c r="AK184" s="103" t="s">
        <v>64</v>
      </c>
      <c r="AL184" s="103" t="s">
        <v>1550</v>
      </c>
      <c r="AM184" s="103" t="s">
        <v>65</v>
      </c>
      <c r="AN184" s="102"/>
      <c r="AO184" s="61"/>
    </row>
    <row r="185" spans="3:41" ht="14.25" customHeight="1">
      <c r="C185" s="55">
        <f>IF($X185=1,COUNTIF($C$10:C184,"&gt;0")+1,"")</f>
        <v>86</v>
      </c>
      <c r="D185" s="56">
        <v>40399122</v>
      </c>
      <c r="E185" s="103" t="s">
        <v>2178</v>
      </c>
      <c r="F185" s="104" t="s">
        <v>2216</v>
      </c>
      <c r="G185" s="103" t="s">
        <v>2216</v>
      </c>
      <c r="H185" s="110" t="s">
        <v>2217</v>
      </c>
      <c r="I185" s="110" t="s">
        <v>2218</v>
      </c>
      <c r="J185" s="110" t="s">
        <v>58</v>
      </c>
      <c r="K185" s="110" t="s">
        <v>59</v>
      </c>
      <c r="L185" s="112">
        <v>29409</v>
      </c>
      <c r="M185" s="110">
        <v>45</v>
      </c>
      <c r="N185" s="110" t="s">
        <v>2219</v>
      </c>
      <c r="O185" s="112">
        <v>49372</v>
      </c>
      <c r="P185" s="103" t="s">
        <v>4</v>
      </c>
      <c r="Q185" s="103"/>
      <c r="R185" s="99">
        <v>45913</v>
      </c>
      <c r="S185" s="99">
        <v>45918</v>
      </c>
      <c r="T185" s="100">
        <f t="shared" si="2"/>
        <v>5</v>
      </c>
      <c r="U185" s="103">
        <v>1</v>
      </c>
      <c r="V185" s="103">
        <v>1</v>
      </c>
      <c r="W185" s="103">
        <v>0</v>
      </c>
      <c r="X185" s="103">
        <v>1</v>
      </c>
      <c r="Y185" s="103">
        <v>0</v>
      </c>
      <c r="Z185" s="103">
        <v>1</v>
      </c>
      <c r="AA185" s="103">
        <v>0</v>
      </c>
      <c r="AB185" s="103"/>
      <c r="AC185" s="105" t="s">
        <v>64</v>
      </c>
      <c r="AD185" s="106" t="s">
        <v>64</v>
      </c>
      <c r="AE185" s="103" t="s">
        <v>1058</v>
      </c>
      <c r="AF185" s="105">
        <v>45918</v>
      </c>
      <c r="AG185" s="106">
        <v>0.53819444444525288</v>
      </c>
      <c r="AH185" s="103" t="s">
        <v>738</v>
      </c>
      <c r="AI185" s="103" t="s">
        <v>2183</v>
      </c>
      <c r="AJ185" s="103" t="s">
        <v>64</v>
      </c>
      <c r="AK185" s="103" t="s">
        <v>64</v>
      </c>
      <c r="AL185" s="103" t="s">
        <v>1550</v>
      </c>
      <c r="AM185" s="103" t="s">
        <v>65</v>
      </c>
      <c r="AN185" s="102" t="s">
        <v>64</v>
      </c>
      <c r="AO185" s="64" t="s">
        <v>2220</v>
      </c>
    </row>
    <row r="186" spans="3:41" ht="14.25" customHeight="1">
      <c r="C186" s="55" t="str">
        <f>IF($X186=1,COUNTIF($C$10:C185,"&gt;0")+1,"")</f>
        <v/>
      </c>
      <c r="D186" s="56"/>
      <c r="E186" s="103" t="s">
        <v>2178</v>
      </c>
      <c r="F186" s="104" t="s">
        <v>2221</v>
      </c>
      <c r="G186" s="103" t="s">
        <v>2216</v>
      </c>
      <c r="H186" s="103" t="s">
        <v>2222</v>
      </c>
      <c r="I186" s="103" t="s">
        <v>2223</v>
      </c>
      <c r="J186" s="103" t="s">
        <v>58</v>
      </c>
      <c r="K186" s="103" t="s">
        <v>59</v>
      </c>
      <c r="L186" s="105" t="s">
        <v>64</v>
      </c>
      <c r="M186" s="103" t="s">
        <v>64</v>
      </c>
      <c r="N186" s="103" t="s">
        <v>64</v>
      </c>
      <c r="O186" s="105" t="s">
        <v>64</v>
      </c>
      <c r="P186" s="103" t="s">
        <v>4</v>
      </c>
      <c r="Q186" s="103"/>
      <c r="R186" s="99">
        <v>45913</v>
      </c>
      <c r="S186" s="99">
        <v>45918</v>
      </c>
      <c r="T186" s="100">
        <f t="shared" si="2"/>
        <v>5</v>
      </c>
      <c r="U186" s="103">
        <v>1</v>
      </c>
      <c r="V186" s="103">
        <v>1</v>
      </c>
      <c r="W186" s="103">
        <v>0</v>
      </c>
      <c r="X186" s="103">
        <v>0</v>
      </c>
      <c r="Y186" s="103">
        <v>0</v>
      </c>
      <c r="Z186" s="103">
        <v>0</v>
      </c>
      <c r="AA186" s="103">
        <v>0</v>
      </c>
      <c r="AB186" s="103"/>
      <c r="AC186" s="113">
        <v>45913</v>
      </c>
      <c r="AD186" s="114">
        <v>0.77430555555474712</v>
      </c>
      <c r="AE186" s="115" t="s">
        <v>2224</v>
      </c>
      <c r="AF186" s="113">
        <v>45923</v>
      </c>
      <c r="AG186" s="114">
        <v>0.48611111110949423</v>
      </c>
      <c r="AH186" s="115" t="s">
        <v>1117</v>
      </c>
      <c r="AI186" s="103" t="s">
        <v>2183</v>
      </c>
      <c r="AJ186" s="103" t="s">
        <v>64</v>
      </c>
      <c r="AK186" s="103" t="s">
        <v>64</v>
      </c>
      <c r="AL186" s="103" t="s">
        <v>1550</v>
      </c>
      <c r="AM186" s="103" t="s">
        <v>65</v>
      </c>
      <c r="AN186" s="102" t="s">
        <v>1600</v>
      </c>
      <c r="AO186" s="61"/>
    </row>
    <row r="187" spans="3:41" ht="14.25" customHeight="1">
      <c r="C187" s="55">
        <f>IF($X187=1,COUNTIF($C$10:C186,"&gt;0")+1,"")</f>
        <v>87</v>
      </c>
      <c r="D187" s="56">
        <v>82597401</v>
      </c>
      <c r="E187" s="103" t="s">
        <v>2178</v>
      </c>
      <c r="F187" s="104" t="s">
        <v>2225</v>
      </c>
      <c r="G187" s="103" t="s">
        <v>2225</v>
      </c>
      <c r="H187" s="103" t="s">
        <v>2226</v>
      </c>
      <c r="I187" s="103" t="s">
        <v>82</v>
      </c>
      <c r="J187" s="103" t="s">
        <v>68</v>
      </c>
      <c r="K187" s="103" t="s">
        <v>59</v>
      </c>
      <c r="L187" s="105">
        <v>28034</v>
      </c>
      <c r="M187" s="103">
        <v>48</v>
      </c>
      <c r="N187" s="103" t="s">
        <v>2227</v>
      </c>
      <c r="O187" s="105">
        <v>48663</v>
      </c>
      <c r="P187" s="103" t="s">
        <v>3</v>
      </c>
      <c r="Q187" s="103"/>
      <c r="R187" s="99">
        <v>45913</v>
      </c>
      <c r="S187" s="99">
        <v>45918</v>
      </c>
      <c r="T187" s="100">
        <f t="shared" si="2"/>
        <v>5</v>
      </c>
      <c r="U187" s="103">
        <v>1</v>
      </c>
      <c r="V187" s="103">
        <v>1</v>
      </c>
      <c r="W187" s="103">
        <v>0</v>
      </c>
      <c r="X187" s="103">
        <v>1</v>
      </c>
      <c r="Y187" s="103">
        <v>1</v>
      </c>
      <c r="Z187" s="103">
        <v>0</v>
      </c>
      <c r="AA187" s="103">
        <v>0</v>
      </c>
      <c r="AB187" s="103"/>
      <c r="AC187" s="105">
        <v>45913</v>
      </c>
      <c r="AD187" s="118">
        <v>0.6875</v>
      </c>
      <c r="AE187" s="110" t="s">
        <v>116</v>
      </c>
      <c r="AF187" s="105">
        <v>45918</v>
      </c>
      <c r="AG187" s="118">
        <v>0.69791666666666663</v>
      </c>
      <c r="AH187" s="110" t="s">
        <v>2228</v>
      </c>
      <c r="AI187" s="103" t="s">
        <v>2183</v>
      </c>
      <c r="AJ187" s="103" t="s">
        <v>64</v>
      </c>
      <c r="AK187" s="111" t="s">
        <v>2229</v>
      </c>
      <c r="AL187" s="103" t="s">
        <v>1550</v>
      </c>
      <c r="AM187" s="103" t="s">
        <v>65</v>
      </c>
      <c r="AN187" s="102" t="s">
        <v>64</v>
      </c>
      <c r="AO187" s="61"/>
    </row>
    <row r="188" spans="3:41" ht="14.25" customHeight="1">
      <c r="C188" s="55" t="str">
        <f>IF($X188=1,COUNTIF($C$10:C187,"&gt;0")+1,"")</f>
        <v/>
      </c>
      <c r="D188" s="56"/>
      <c r="E188" s="103" t="s">
        <v>2178</v>
      </c>
      <c r="F188" s="104" t="s">
        <v>2230</v>
      </c>
      <c r="G188" s="103" t="s">
        <v>2225</v>
      </c>
      <c r="H188" s="103" t="s">
        <v>2231</v>
      </c>
      <c r="I188" s="103" t="s">
        <v>2232</v>
      </c>
      <c r="J188" s="103" t="s">
        <v>58</v>
      </c>
      <c r="K188" s="103" t="s">
        <v>59</v>
      </c>
      <c r="L188" s="105">
        <v>42528</v>
      </c>
      <c r="M188" s="103">
        <v>9</v>
      </c>
      <c r="N188" s="103" t="s">
        <v>2233</v>
      </c>
      <c r="O188" s="105">
        <v>46827</v>
      </c>
      <c r="P188" s="103" t="s">
        <v>3</v>
      </c>
      <c r="Q188" s="103"/>
      <c r="R188" s="99">
        <v>45913</v>
      </c>
      <c r="S188" s="99">
        <v>45918</v>
      </c>
      <c r="T188" s="100">
        <f t="shared" si="2"/>
        <v>5</v>
      </c>
      <c r="U188" s="103">
        <v>1</v>
      </c>
      <c r="V188" s="103">
        <v>0</v>
      </c>
      <c r="W188" s="103">
        <v>1</v>
      </c>
      <c r="X188" s="103">
        <v>0</v>
      </c>
      <c r="Y188" s="103">
        <v>0</v>
      </c>
      <c r="Z188" s="103">
        <v>0</v>
      </c>
      <c r="AA188" s="103">
        <v>0</v>
      </c>
      <c r="AB188" s="103"/>
      <c r="AC188" s="105">
        <v>45913</v>
      </c>
      <c r="AD188" s="118">
        <v>0.6875</v>
      </c>
      <c r="AE188" s="110" t="s">
        <v>116</v>
      </c>
      <c r="AF188" s="105">
        <v>45918</v>
      </c>
      <c r="AG188" s="118">
        <v>0.69791666666666663</v>
      </c>
      <c r="AH188" s="110" t="s">
        <v>2228</v>
      </c>
      <c r="AI188" s="103" t="s">
        <v>2183</v>
      </c>
      <c r="AJ188" s="103" t="s">
        <v>64</v>
      </c>
      <c r="AK188" s="111" t="s">
        <v>64</v>
      </c>
      <c r="AL188" s="103" t="s">
        <v>1550</v>
      </c>
      <c r="AM188" s="103" t="s">
        <v>65</v>
      </c>
      <c r="AN188" s="102" t="s">
        <v>64</v>
      </c>
      <c r="AO188" s="61"/>
    </row>
    <row r="189" spans="3:41" ht="14.25" customHeight="1">
      <c r="C189" s="55">
        <f>IF($X189=1,COUNTIF($C$10:C188,"&gt;0")+1,"")</f>
        <v>88</v>
      </c>
      <c r="D189" s="56">
        <v>65520788</v>
      </c>
      <c r="E189" s="103" t="s">
        <v>2178</v>
      </c>
      <c r="F189" s="104" t="s">
        <v>2234</v>
      </c>
      <c r="G189" s="103" t="s">
        <v>2225</v>
      </c>
      <c r="H189" s="103" t="s">
        <v>2235</v>
      </c>
      <c r="I189" s="103" t="s">
        <v>2232</v>
      </c>
      <c r="J189" s="103" t="s">
        <v>58</v>
      </c>
      <c r="K189" s="103" t="s">
        <v>59</v>
      </c>
      <c r="L189" s="105">
        <v>25055</v>
      </c>
      <c r="M189" s="103">
        <v>57</v>
      </c>
      <c r="N189" s="103" t="s">
        <v>2236</v>
      </c>
      <c r="O189" s="105">
        <v>47567</v>
      </c>
      <c r="P189" s="103" t="s">
        <v>5</v>
      </c>
      <c r="Q189" s="103"/>
      <c r="R189" s="99">
        <v>45913</v>
      </c>
      <c r="S189" s="99">
        <v>45918</v>
      </c>
      <c r="T189" s="100">
        <f t="shared" si="2"/>
        <v>5</v>
      </c>
      <c r="U189" s="103">
        <v>1</v>
      </c>
      <c r="V189" s="103">
        <v>1</v>
      </c>
      <c r="W189" s="103">
        <v>0</v>
      </c>
      <c r="X189" s="103">
        <v>1</v>
      </c>
      <c r="Y189" s="103">
        <v>0</v>
      </c>
      <c r="Z189" s="103">
        <v>0</v>
      </c>
      <c r="AA189" s="103">
        <v>1</v>
      </c>
      <c r="AB189" s="103"/>
      <c r="AC189" s="105">
        <v>45913</v>
      </c>
      <c r="AD189" s="118">
        <v>0.6875</v>
      </c>
      <c r="AE189" s="110" t="s">
        <v>116</v>
      </c>
      <c r="AF189" s="105">
        <v>45918</v>
      </c>
      <c r="AG189" s="118">
        <v>0.69791666666666663</v>
      </c>
      <c r="AH189" s="110" t="s">
        <v>2228</v>
      </c>
      <c r="AI189" s="103" t="s">
        <v>2183</v>
      </c>
      <c r="AJ189" s="103" t="s">
        <v>64</v>
      </c>
      <c r="AK189" s="111" t="s">
        <v>2237</v>
      </c>
      <c r="AL189" s="103" t="s">
        <v>1550</v>
      </c>
      <c r="AM189" s="103" t="s">
        <v>65</v>
      </c>
      <c r="AN189" s="102" t="s">
        <v>64</v>
      </c>
      <c r="AO189" s="61"/>
    </row>
    <row r="190" spans="3:41" ht="14.25" customHeight="1">
      <c r="C190" s="55" t="str">
        <f>IF($X190=1,COUNTIF($C$10:C189,"&gt;0")+1,"")</f>
        <v/>
      </c>
      <c r="D190" s="56"/>
      <c r="E190" s="103" t="s">
        <v>2178</v>
      </c>
      <c r="F190" s="104" t="s">
        <v>2238</v>
      </c>
      <c r="G190" s="103" t="s">
        <v>2225</v>
      </c>
      <c r="H190" s="103" t="s">
        <v>2239</v>
      </c>
      <c r="I190" s="103" t="s">
        <v>2232</v>
      </c>
      <c r="J190" s="103" t="s">
        <v>58</v>
      </c>
      <c r="K190" s="103" t="s">
        <v>59</v>
      </c>
      <c r="L190" s="105">
        <v>39788</v>
      </c>
      <c r="M190" s="103">
        <v>16</v>
      </c>
      <c r="N190" s="103" t="s">
        <v>2240</v>
      </c>
      <c r="O190" s="105">
        <v>46827</v>
      </c>
      <c r="P190" s="103" t="s">
        <v>5</v>
      </c>
      <c r="Q190" s="103"/>
      <c r="R190" s="99">
        <v>45913</v>
      </c>
      <c r="S190" s="99">
        <v>45918</v>
      </c>
      <c r="T190" s="100">
        <f t="shared" si="2"/>
        <v>5</v>
      </c>
      <c r="U190" s="103">
        <v>1</v>
      </c>
      <c r="V190" s="103">
        <v>1</v>
      </c>
      <c r="W190" s="103">
        <v>0</v>
      </c>
      <c r="X190" s="103">
        <v>0</v>
      </c>
      <c r="Y190" s="103">
        <v>0</v>
      </c>
      <c r="Z190" s="103">
        <v>0</v>
      </c>
      <c r="AA190" s="103">
        <v>0</v>
      </c>
      <c r="AB190" s="103"/>
      <c r="AC190" s="105">
        <v>45913</v>
      </c>
      <c r="AD190" s="118">
        <v>0.6875</v>
      </c>
      <c r="AE190" s="110" t="s">
        <v>116</v>
      </c>
      <c r="AF190" s="105">
        <v>45918</v>
      </c>
      <c r="AG190" s="118">
        <v>0.69791666666666663</v>
      </c>
      <c r="AH190" s="110" t="s">
        <v>2228</v>
      </c>
      <c r="AI190" s="103" t="s">
        <v>2183</v>
      </c>
      <c r="AJ190" s="103"/>
      <c r="AK190" s="111" t="s">
        <v>64</v>
      </c>
      <c r="AL190" s="103" t="s">
        <v>1550</v>
      </c>
      <c r="AM190" s="103" t="s">
        <v>65</v>
      </c>
      <c r="AN190" s="102" t="s">
        <v>64</v>
      </c>
      <c r="AO190" s="61"/>
    </row>
    <row r="191" spans="3:41" ht="14.25" customHeight="1">
      <c r="C191" s="55">
        <f>IF($X191=1,COUNTIF($C$10:C190,"&gt;0")+1,"")</f>
        <v>89</v>
      </c>
      <c r="D191" s="56">
        <v>82964323</v>
      </c>
      <c r="E191" s="103" t="s">
        <v>2178</v>
      </c>
      <c r="F191" s="104" t="s">
        <v>2241</v>
      </c>
      <c r="G191" s="103" t="s">
        <v>2241</v>
      </c>
      <c r="H191" s="103" t="s">
        <v>2242</v>
      </c>
      <c r="I191" s="103" t="s">
        <v>2223</v>
      </c>
      <c r="J191" s="103" t="s">
        <v>68</v>
      </c>
      <c r="K191" s="103" t="s">
        <v>59</v>
      </c>
      <c r="L191" s="105">
        <v>28879</v>
      </c>
      <c r="M191" s="103">
        <v>46</v>
      </c>
      <c r="N191" s="103" t="s">
        <v>2243</v>
      </c>
      <c r="O191" s="105">
        <v>46833</v>
      </c>
      <c r="P191" s="103" t="s">
        <v>4</v>
      </c>
      <c r="Q191" s="103"/>
      <c r="R191" s="99">
        <v>45913</v>
      </c>
      <c r="S191" s="99">
        <v>45918</v>
      </c>
      <c r="T191" s="100">
        <f t="shared" si="2"/>
        <v>5</v>
      </c>
      <c r="U191" s="103">
        <v>1</v>
      </c>
      <c r="V191" s="103">
        <v>1</v>
      </c>
      <c r="W191" s="103">
        <v>0</v>
      </c>
      <c r="X191" s="103">
        <v>1</v>
      </c>
      <c r="Y191" s="103">
        <v>0</v>
      </c>
      <c r="Z191" s="103">
        <v>1</v>
      </c>
      <c r="AA191" s="103">
        <v>0</v>
      </c>
      <c r="AB191" s="103"/>
      <c r="AC191" s="105">
        <v>45909</v>
      </c>
      <c r="AD191" s="106">
        <v>0.74652777778101154</v>
      </c>
      <c r="AE191" s="103" t="s">
        <v>2214</v>
      </c>
      <c r="AF191" s="105">
        <v>45918</v>
      </c>
      <c r="AG191" s="106">
        <v>0.65625</v>
      </c>
      <c r="AH191" s="103" t="s">
        <v>2215</v>
      </c>
      <c r="AI191" s="103" t="s">
        <v>2183</v>
      </c>
      <c r="AJ191" s="103" t="s">
        <v>64</v>
      </c>
      <c r="AK191" s="103" t="s">
        <v>64</v>
      </c>
      <c r="AL191" s="103" t="s">
        <v>1550</v>
      </c>
      <c r="AM191" s="103" t="s">
        <v>65</v>
      </c>
      <c r="AN191" s="102"/>
      <c r="AO191" s="61"/>
    </row>
    <row r="192" spans="3:41" ht="14.25" customHeight="1">
      <c r="C192" s="55" t="str">
        <f>IF($X192=1,COUNTIF($C$10:C191,"&gt;0")+1,"")</f>
        <v/>
      </c>
      <c r="D192" s="56"/>
      <c r="E192" s="103" t="s">
        <v>2178</v>
      </c>
      <c r="F192" s="104" t="s">
        <v>2244</v>
      </c>
      <c r="G192" s="103" t="s">
        <v>2241</v>
      </c>
      <c r="H192" s="103" t="s">
        <v>2245</v>
      </c>
      <c r="I192" s="103" t="s">
        <v>2246</v>
      </c>
      <c r="J192" s="103" t="s">
        <v>58</v>
      </c>
      <c r="K192" s="103" t="s">
        <v>59</v>
      </c>
      <c r="L192" s="105">
        <v>29243</v>
      </c>
      <c r="M192" s="103">
        <v>45</v>
      </c>
      <c r="N192" s="103" t="s">
        <v>2247</v>
      </c>
      <c r="O192" s="105">
        <v>46258</v>
      </c>
      <c r="P192" s="103" t="s">
        <v>4</v>
      </c>
      <c r="Q192" s="103"/>
      <c r="R192" s="99">
        <v>45913</v>
      </c>
      <c r="S192" s="99">
        <v>45918</v>
      </c>
      <c r="T192" s="100">
        <f t="shared" si="2"/>
        <v>5</v>
      </c>
      <c r="U192" s="103">
        <v>1</v>
      </c>
      <c r="V192" s="103">
        <v>1</v>
      </c>
      <c r="W192" s="103">
        <v>0</v>
      </c>
      <c r="X192" s="103">
        <v>0</v>
      </c>
      <c r="Y192" s="103">
        <v>0</v>
      </c>
      <c r="Z192" s="103">
        <v>0</v>
      </c>
      <c r="AA192" s="103">
        <v>0</v>
      </c>
      <c r="AB192" s="103"/>
      <c r="AC192" s="105">
        <v>45913</v>
      </c>
      <c r="AD192" s="106">
        <v>0.74652777778101154</v>
      </c>
      <c r="AE192" s="103" t="s">
        <v>2214</v>
      </c>
      <c r="AF192" s="105">
        <v>45918</v>
      </c>
      <c r="AG192" s="106">
        <v>0.65625</v>
      </c>
      <c r="AH192" s="103" t="s">
        <v>2215</v>
      </c>
      <c r="AI192" s="103" t="s">
        <v>2183</v>
      </c>
      <c r="AJ192" s="103" t="s">
        <v>64</v>
      </c>
      <c r="AK192" s="103" t="s">
        <v>64</v>
      </c>
      <c r="AL192" s="103" t="s">
        <v>1550</v>
      </c>
      <c r="AM192" s="103" t="s">
        <v>65</v>
      </c>
      <c r="AN192" s="102" t="s">
        <v>1600</v>
      </c>
      <c r="AO192" s="61"/>
    </row>
    <row r="193" spans="3:41" ht="14.25" customHeight="1">
      <c r="C193" s="55">
        <f>IF($X193=1,COUNTIF($C$10:C192,"&gt;0")+1,"")</f>
        <v>90</v>
      </c>
      <c r="D193" s="56">
        <v>85983800</v>
      </c>
      <c r="E193" s="103" t="s">
        <v>2178</v>
      </c>
      <c r="F193" s="104" t="s">
        <v>2248</v>
      </c>
      <c r="G193" s="103" t="s">
        <v>2241</v>
      </c>
      <c r="H193" s="103" t="s">
        <v>2249</v>
      </c>
      <c r="I193" s="103" t="s">
        <v>2246</v>
      </c>
      <c r="J193" s="103" t="s">
        <v>58</v>
      </c>
      <c r="K193" s="103" t="s">
        <v>59</v>
      </c>
      <c r="L193" s="105">
        <v>19970</v>
      </c>
      <c r="M193" s="103">
        <v>71</v>
      </c>
      <c r="N193" s="103" t="s">
        <v>2250</v>
      </c>
      <c r="O193" s="105">
        <v>46655</v>
      </c>
      <c r="P193" s="103" t="s">
        <v>4</v>
      </c>
      <c r="Q193" s="103"/>
      <c r="R193" s="99">
        <v>45913</v>
      </c>
      <c r="S193" s="99">
        <v>45918</v>
      </c>
      <c r="T193" s="100">
        <f t="shared" si="2"/>
        <v>5</v>
      </c>
      <c r="U193" s="103">
        <v>1</v>
      </c>
      <c r="V193" s="103">
        <v>1</v>
      </c>
      <c r="W193" s="103">
        <v>0</v>
      </c>
      <c r="X193" s="103">
        <v>1</v>
      </c>
      <c r="Y193" s="103">
        <v>0</v>
      </c>
      <c r="Z193" s="103">
        <v>1</v>
      </c>
      <c r="AA193" s="103">
        <v>0</v>
      </c>
      <c r="AB193" s="103"/>
      <c r="AC193" s="105">
        <v>45913</v>
      </c>
      <c r="AD193" s="106">
        <v>0.74652777778101154</v>
      </c>
      <c r="AE193" s="103" t="s">
        <v>2214</v>
      </c>
      <c r="AF193" s="105">
        <v>45918</v>
      </c>
      <c r="AG193" s="106">
        <v>0.65625</v>
      </c>
      <c r="AH193" s="103" t="s">
        <v>2215</v>
      </c>
      <c r="AI193" s="103" t="s">
        <v>2183</v>
      </c>
      <c r="AJ193" s="103" t="s">
        <v>64</v>
      </c>
      <c r="AK193" s="103" t="s">
        <v>64</v>
      </c>
      <c r="AL193" s="103" t="s">
        <v>1550</v>
      </c>
      <c r="AM193" s="103" t="s">
        <v>65</v>
      </c>
      <c r="AN193" s="102" t="s">
        <v>1600</v>
      </c>
      <c r="AO193" s="61"/>
    </row>
    <row r="194" spans="3:41" ht="14.25" customHeight="1">
      <c r="C194" s="55" t="str">
        <f>IF($X194=1,COUNTIF($C$10:C193,"&gt;0")+1,"")</f>
        <v/>
      </c>
      <c r="D194" s="56"/>
      <c r="E194" s="103" t="s">
        <v>2178</v>
      </c>
      <c r="F194" s="104" t="s">
        <v>2251</v>
      </c>
      <c r="G194" s="103" t="s">
        <v>2241</v>
      </c>
      <c r="H194" s="103" t="s">
        <v>2252</v>
      </c>
      <c r="I194" s="103" t="s">
        <v>2246</v>
      </c>
      <c r="J194" s="103" t="s">
        <v>68</v>
      </c>
      <c r="K194" s="103" t="s">
        <v>59</v>
      </c>
      <c r="L194" s="105">
        <v>21373</v>
      </c>
      <c r="M194" s="103">
        <v>67</v>
      </c>
      <c r="N194" s="103" t="s">
        <v>2253</v>
      </c>
      <c r="O194" s="105">
        <v>46655</v>
      </c>
      <c r="P194" s="103" t="s">
        <v>4</v>
      </c>
      <c r="Q194" s="103"/>
      <c r="R194" s="99">
        <v>45913</v>
      </c>
      <c r="S194" s="99">
        <v>45918</v>
      </c>
      <c r="T194" s="100">
        <f t="shared" si="2"/>
        <v>5</v>
      </c>
      <c r="U194" s="103">
        <v>1</v>
      </c>
      <c r="V194" s="103">
        <v>1</v>
      </c>
      <c r="W194" s="103">
        <v>0</v>
      </c>
      <c r="X194" s="103">
        <v>0</v>
      </c>
      <c r="Y194" s="103">
        <v>0</v>
      </c>
      <c r="Z194" s="103">
        <v>0</v>
      </c>
      <c r="AA194" s="103">
        <v>0</v>
      </c>
      <c r="AB194" s="103"/>
      <c r="AC194" s="105">
        <v>45913</v>
      </c>
      <c r="AD194" s="106">
        <v>0.74652777778101154</v>
      </c>
      <c r="AE194" s="103" t="s">
        <v>2214</v>
      </c>
      <c r="AF194" s="105">
        <v>45918</v>
      </c>
      <c r="AG194" s="106">
        <v>0.65625</v>
      </c>
      <c r="AH194" s="103" t="s">
        <v>2215</v>
      </c>
      <c r="AI194" s="103" t="s">
        <v>2183</v>
      </c>
      <c r="AJ194" s="103" t="s">
        <v>64</v>
      </c>
      <c r="AK194" s="103" t="s">
        <v>64</v>
      </c>
      <c r="AL194" s="103" t="s">
        <v>1550</v>
      </c>
      <c r="AM194" s="103" t="s">
        <v>65</v>
      </c>
      <c r="AN194" s="102" t="s">
        <v>1600</v>
      </c>
      <c r="AO194" s="61"/>
    </row>
    <row r="195" spans="3:41" ht="14.25" customHeight="1">
      <c r="C195" s="55">
        <f>IF($X195=1,COUNTIF($C$10:C194,"&gt;0")+1,"")</f>
        <v>91</v>
      </c>
      <c r="D195" s="56">
        <v>40296928</v>
      </c>
      <c r="E195" s="103" t="s">
        <v>2178</v>
      </c>
      <c r="F195" s="104" t="s">
        <v>2254</v>
      </c>
      <c r="G195" s="103" t="s">
        <v>2241</v>
      </c>
      <c r="H195" s="103" t="s">
        <v>2255</v>
      </c>
      <c r="I195" s="103" t="s">
        <v>2223</v>
      </c>
      <c r="J195" s="103" t="s">
        <v>68</v>
      </c>
      <c r="K195" s="103" t="s">
        <v>59</v>
      </c>
      <c r="L195" s="105">
        <v>25636</v>
      </c>
      <c r="M195" s="103">
        <v>55</v>
      </c>
      <c r="N195" s="103" t="s">
        <v>2256</v>
      </c>
      <c r="O195" s="105">
        <v>46389</v>
      </c>
      <c r="P195" s="103" t="s">
        <v>4</v>
      </c>
      <c r="Q195" s="103"/>
      <c r="R195" s="99">
        <v>45913</v>
      </c>
      <c r="S195" s="99">
        <v>45918</v>
      </c>
      <c r="T195" s="100">
        <f t="shared" si="2"/>
        <v>5</v>
      </c>
      <c r="U195" s="103">
        <v>1</v>
      </c>
      <c r="V195" s="103">
        <v>1</v>
      </c>
      <c r="W195" s="103">
        <v>0</v>
      </c>
      <c r="X195" s="103">
        <v>1</v>
      </c>
      <c r="Y195" s="103">
        <v>0</v>
      </c>
      <c r="Z195" s="103">
        <v>1</v>
      </c>
      <c r="AA195" s="103">
        <v>0</v>
      </c>
      <c r="AB195" s="103"/>
      <c r="AC195" s="105">
        <v>45909</v>
      </c>
      <c r="AD195" s="106">
        <v>0.74652777778101154</v>
      </c>
      <c r="AE195" s="103" t="s">
        <v>2214</v>
      </c>
      <c r="AF195" s="105">
        <v>45918</v>
      </c>
      <c r="AG195" s="106">
        <v>0.65625</v>
      </c>
      <c r="AH195" s="103" t="s">
        <v>2215</v>
      </c>
      <c r="AI195" s="103" t="s">
        <v>2183</v>
      </c>
      <c r="AJ195" s="103" t="s">
        <v>64</v>
      </c>
      <c r="AK195" s="103" t="s">
        <v>64</v>
      </c>
      <c r="AL195" s="103" t="s">
        <v>1550</v>
      </c>
      <c r="AM195" s="103" t="s">
        <v>65</v>
      </c>
      <c r="AN195" s="102"/>
      <c r="AO195" s="61"/>
    </row>
    <row r="196" spans="3:41" ht="14.25" customHeight="1">
      <c r="C196" s="55" t="str">
        <f>IF($X196=1,COUNTIF($C$10:C195,"&gt;0")+1,"")</f>
        <v/>
      </c>
      <c r="D196" s="56"/>
      <c r="E196" s="103" t="s">
        <v>2178</v>
      </c>
      <c r="F196" s="104" t="s">
        <v>2257</v>
      </c>
      <c r="G196" s="103" t="s">
        <v>2241</v>
      </c>
      <c r="H196" s="103" t="s">
        <v>2258</v>
      </c>
      <c r="I196" s="103" t="s">
        <v>82</v>
      </c>
      <c r="J196" s="103" t="s">
        <v>58</v>
      </c>
      <c r="K196" s="103" t="s">
        <v>59</v>
      </c>
      <c r="L196" s="105">
        <v>23991</v>
      </c>
      <c r="M196" s="103">
        <v>60</v>
      </c>
      <c r="N196" s="103" t="s">
        <v>2259</v>
      </c>
      <c r="O196" s="105">
        <v>48399</v>
      </c>
      <c r="P196" s="103" t="s">
        <v>4</v>
      </c>
      <c r="Q196" s="103"/>
      <c r="R196" s="99">
        <v>45913</v>
      </c>
      <c r="S196" s="99">
        <v>45918</v>
      </c>
      <c r="T196" s="100">
        <f t="shared" si="2"/>
        <v>5</v>
      </c>
      <c r="U196" s="103">
        <v>1</v>
      </c>
      <c r="V196" s="103">
        <v>1</v>
      </c>
      <c r="W196" s="103">
        <v>0</v>
      </c>
      <c r="X196" s="103">
        <v>0</v>
      </c>
      <c r="Y196" s="103">
        <v>0</v>
      </c>
      <c r="Z196" s="103">
        <v>0</v>
      </c>
      <c r="AA196" s="103">
        <v>0</v>
      </c>
      <c r="AB196" s="103"/>
      <c r="AC196" s="105">
        <v>45909</v>
      </c>
      <c r="AD196" s="106">
        <v>0.74652777778101154</v>
      </c>
      <c r="AE196" s="103" t="s">
        <v>2214</v>
      </c>
      <c r="AF196" s="105">
        <v>45918</v>
      </c>
      <c r="AG196" s="106">
        <v>0.65625</v>
      </c>
      <c r="AH196" s="103" t="s">
        <v>2215</v>
      </c>
      <c r="AI196" s="103" t="s">
        <v>2183</v>
      </c>
      <c r="AJ196" s="103" t="s">
        <v>64</v>
      </c>
      <c r="AK196" s="103" t="s">
        <v>64</v>
      </c>
      <c r="AL196" s="103" t="s">
        <v>1550</v>
      </c>
      <c r="AM196" s="103" t="s">
        <v>65</v>
      </c>
      <c r="AN196" s="102"/>
      <c r="AO196" s="61"/>
    </row>
    <row r="197" spans="3:41" ht="14.25" customHeight="1">
      <c r="C197" s="55">
        <f>IF($X197=1,COUNTIF($C$10:C196,"&gt;0")+1,"")</f>
        <v>92</v>
      </c>
      <c r="D197" s="56">
        <v>80912580</v>
      </c>
      <c r="E197" s="103" t="s">
        <v>2178</v>
      </c>
      <c r="F197" s="104" t="s">
        <v>2260</v>
      </c>
      <c r="G197" s="103" t="s">
        <v>2241</v>
      </c>
      <c r="H197" s="103" t="s">
        <v>2261</v>
      </c>
      <c r="I197" s="103" t="s">
        <v>759</v>
      </c>
      <c r="J197" s="103" t="s">
        <v>68</v>
      </c>
      <c r="K197" s="103" t="s">
        <v>59</v>
      </c>
      <c r="L197" s="105">
        <v>39007</v>
      </c>
      <c r="M197" s="103">
        <v>18</v>
      </c>
      <c r="N197" s="103" t="s">
        <v>2262</v>
      </c>
      <c r="O197" s="105">
        <v>48863</v>
      </c>
      <c r="P197" s="103" t="s">
        <v>5</v>
      </c>
      <c r="Q197" s="103"/>
      <c r="R197" s="99">
        <v>45913</v>
      </c>
      <c r="S197" s="99">
        <v>45918</v>
      </c>
      <c r="T197" s="100">
        <f t="shared" si="2"/>
        <v>5</v>
      </c>
      <c r="U197" s="103">
        <v>1</v>
      </c>
      <c r="V197" s="103">
        <v>1</v>
      </c>
      <c r="W197" s="103">
        <v>0</v>
      </c>
      <c r="X197" s="103">
        <v>1</v>
      </c>
      <c r="Y197" s="103">
        <v>0</v>
      </c>
      <c r="Z197" s="103">
        <v>0</v>
      </c>
      <c r="AA197" s="103">
        <v>1</v>
      </c>
      <c r="AB197" s="103"/>
      <c r="AC197" s="105">
        <v>45909</v>
      </c>
      <c r="AD197" s="106">
        <v>0.74652777778101154</v>
      </c>
      <c r="AE197" s="103" t="s">
        <v>2214</v>
      </c>
      <c r="AF197" s="105">
        <v>45918</v>
      </c>
      <c r="AG197" s="106">
        <v>0.65625</v>
      </c>
      <c r="AH197" s="103" t="s">
        <v>2215</v>
      </c>
      <c r="AI197" s="103" t="s">
        <v>2183</v>
      </c>
      <c r="AJ197" s="103" t="s">
        <v>64</v>
      </c>
      <c r="AK197" s="103" t="s">
        <v>64</v>
      </c>
      <c r="AL197" s="103" t="s">
        <v>1550</v>
      </c>
      <c r="AM197" s="103" t="s">
        <v>65</v>
      </c>
      <c r="AN197" s="102"/>
      <c r="AO197" s="61"/>
    </row>
    <row r="198" spans="3:41" ht="14.25" customHeight="1">
      <c r="C198" s="55" t="str">
        <f>IF($X198=1,COUNTIF($C$10:C197,"&gt;0")+1,"")</f>
        <v/>
      </c>
      <c r="D198" s="56"/>
      <c r="E198" s="103" t="s">
        <v>2178</v>
      </c>
      <c r="F198" s="104" t="s">
        <v>2263</v>
      </c>
      <c r="G198" s="103" t="s">
        <v>2241</v>
      </c>
      <c r="H198" s="103" t="s">
        <v>2264</v>
      </c>
      <c r="I198" s="103" t="s">
        <v>759</v>
      </c>
      <c r="J198" s="103" t="s">
        <v>58</v>
      </c>
      <c r="K198" s="103" t="s">
        <v>59</v>
      </c>
      <c r="L198" s="105">
        <v>39570</v>
      </c>
      <c r="M198" s="103">
        <v>17</v>
      </c>
      <c r="N198" s="103" t="s">
        <v>2265</v>
      </c>
      <c r="O198" s="105">
        <v>49126</v>
      </c>
      <c r="P198" s="103" t="s">
        <v>5</v>
      </c>
      <c r="Q198" s="103"/>
      <c r="R198" s="99">
        <v>45913</v>
      </c>
      <c r="S198" s="99">
        <v>45918</v>
      </c>
      <c r="T198" s="100">
        <f t="shared" si="2"/>
        <v>5</v>
      </c>
      <c r="U198" s="103">
        <v>1</v>
      </c>
      <c r="V198" s="103">
        <v>1</v>
      </c>
      <c r="W198" s="103">
        <v>0</v>
      </c>
      <c r="X198" s="103">
        <v>0</v>
      </c>
      <c r="Y198" s="103">
        <v>0</v>
      </c>
      <c r="Z198" s="103">
        <v>0</v>
      </c>
      <c r="AA198" s="103">
        <v>0</v>
      </c>
      <c r="AB198" s="103"/>
      <c r="AC198" s="105">
        <v>45913</v>
      </c>
      <c r="AD198" s="106">
        <v>0.74652777778101154</v>
      </c>
      <c r="AE198" s="103" t="s">
        <v>2214</v>
      </c>
      <c r="AF198" s="105">
        <v>45918</v>
      </c>
      <c r="AG198" s="106">
        <v>0.65625</v>
      </c>
      <c r="AH198" s="103" t="s">
        <v>2215</v>
      </c>
      <c r="AI198" s="103" t="s">
        <v>2183</v>
      </c>
      <c r="AJ198" s="103" t="s">
        <v>64</v>
      </c>
      <c r="AK198" s="103" t="s">
        <v>64</v>
      </c>
      <c r="AL198" s="103" t="s">
        <v>1550</v>
      </c>
      <c r="AM198" s="103" t="s">
        <v>65</v>
      </c>
      <c r="AN198" s="102" t="s">
        <v>1600</v>
      </c>
      <c r="AO198" s="61"/>
    </row>
    <row r="199" spans="3:41" ht="14.25" customHeight="1">
      <c r="C199" s="55">
        <f>IF($X199=1,COUNTIF($C$10:C198,"&gt;0")+1,"")</f>
        <v>93</v>
      </c>
      <c r="D199" s="56">
        <v>65340909</v>
      </c>
      <c r="E199" s="103" t="s">
        <v>2178</v>
      </c>
      <c r="F199" s="104" t="s">
        <v>2266</v>
      </c>
      <c r="G199" s="103" t="s">
        <v>2241</v>
      </c>
      <c r="H199" s="103" t="s">
        <v>1970</v>
      </c>
      <c r="I199" s="103" t="s">
        <v>2267</v>
      </c>
      <c r="J199" s="103" t="s">
        <v>68</v>
      </c>
      <c r="K199" s="103" t="s">
        <v>59</v>
      </c>
      <c r="L199" s="105">
        <v>21057</v>
      </c>
      <c r="M199" s="103">
        <v>68</v>
      </c>
      <c r="N199" s="103" t="s">
        <v>2268</v>
      </c>
      <c r="O199" s="105">
        <v>48673</v>
      </c>
      <c r="P199" s="103" t="s">
        <v>5</v>
      </c>
      <c r="Q199" s="103"/>
      <c r="R199" s="99">
        <v>45913</v>
      </c>
      <c r="S199" s="99">
        <v>45918</v>
      </c>
      <c r="T199" s="100">
        <f t="shared" si="2"/>
        <v>5</v>
      </c>
      <c r="U199" s="103">
        <v>1</v>
      </c>
      <c r="V199" s="103">
        <v>1</v>
      </c>
      <c r="W199" s="103">
        <v>0</v>
      </c>
      <c r="X199" s="103">
        <v>1</v>
      </c>
      <c r="Y199" s="103">
        <v>0</v>
      </c>
      <c r="Z199" s="103">
        <v>0</v>
      </c>
      <c r="AA199" s="103">
        <v>1</v>
      </c>
      <c r="AB199" s="103"/>
      <c r="AC199" s="105">
        <v>45909</v>
      </c>
      <c r="AD199" s="106">
        <v>0.74652777778101154</v>
      </c>
      <c r="AE199" s="103" t="s">
        <v>2214</v>
      </c>
      <c r="AF199" s="105">
        <v>45918</v>
      </c>
      <c r="AG199" s="106">
        <v>0.65625</v>
      </c>
      <c r="AH199" s="103" t="s">
        <v>2215</v>
      </c>
      <c r="AI199" s="103" t="s">
        <v>2183</v>
      </c>
      <c r="AJ199" s="103" t="s">
        <v>64</v>
      </c>
      <c r="AK199" s="103" t="s">
        <v>64</v>
      </c>
      <c r="AL199" s="103" t="s">
        <v>1550</v>
      </c>
      <c r="AM199" s="103" t="s">
        <v>65</v>
      </c>
      <c r="AN199" s="102"/>
      <c r="AO199" s="61"/>
    </row>
    <row r="200" spans="3:41" ht="14.25" customHeight="1">
      <c r="C200" s="55" t="str">
        <f>IF($X200=1,COUNTIF($C$10:C199,"&gt;0")+1,"")</f>
        <v/>
      </c>
      <c r="D200" s="56"/>
      <c r="E200" s="103" t="s">
        <v>2178</v>
      </c>
      <c r="F200" s="104" t="s">
        <v>2269</v>
      </c>
      <c r="G200" s="103" t="s">
        <v>2241</v>
      </c>
      <c r="H200" s="103" t="s">
        <v>2270</v>
      </c>
      <c r="I200" s="103" t="s">
        <v>399</v>
      </c>
      <c r="J200" s="103" t="s">
        <v>68</v>
      </c>
      <c r="K200" s="103" t="s">
        <v>59</v>
      </c>
      <c r="L200" s="105">
        <v>31179</v>
      </c>
      <c r="M200" s="103">
        <v>40</v>
      </c>
      <c r="N200" s="103" t="s">
        <v>2271</v>
      </c>
      <c r="O200" s="105">
        <v>46771</v>
      </c>
      <c r="P200" s="103" t="s">
        <v>5</v>
      </c>
      <c r="Q200" s="103"/>
      <c r="R200" s="99">
        <v>45913</v>
      </c>
      <c r="S200" s="99">
        <v>45918</v>
      </c>
      <c r="T200" s="100">
        <f t="shared" si="2"/>
        <v>5</v>
      </c>
      <c r="U200" s="103">
        <v>1</v>
      </c>
      <c r="V200" s="103">
        <v>1</v>
      </c>
      <c r="W200" s="103">
        <v>0</v>
      </c>
      <c r="X200" s="103">
        <v>0</v>
      </c>
      <c r="Y200" s="103">
        <v>0</v>
      </c>
      <c r="Z200" s="103">
        <v>0</v>
      </c>
      <c r="AA200" s="103">
        <v>0</v>
      </c>
      <c r="AB200" s="103"/>
      <c r="AC200" s="105" t="s">
        <v>64</v>
      </c>
      <c r="AD200" s="106" t="s">
        <v>64</v>
      </c>
      <c r="AE200" s="103" t="s">
        <v>1058</v>
      </c>
      <c r="AF200" s="105">
        <v>45918</v>
      </c>
      <c r="AG200" s="106">
        <v>0.53819444444525288</v>
      </c>
      <c r="AH200" s="103" t="s">
        <v>738</v>
      </c>
      <c r="AI200" s="103" t="s">
        <v>2183</v>
      </c>
      <c r="AJ200" s="103" t="s">
        <v>64</v>
      </c>
      <c r="AK200" s="103" t="s">
        <v>64</v>
      </c>
      <c r="AL200" s="103" t="s">
        <v>1550</v>
      </c>
      <c r="AM200" s="103" t="s">
        <v>65</v>
      </c>
      <c r="AN200" s="102" t="s">
        <v>64</v>
      </c>
      <c r="AO200" s="61"/>
    </row>
    <row r="201" spans="3:41" ht="14.25" customHeight="1">
      <c r="C201" s="55">
        <f>IF($X201=1,COUNTIF($C$10:C200,"&gt;0")+1,"")</f>
        <v>94</v>
      </c>
      <c r="D201" s="56">
        <v>24554461</v>
      </c>
      <c r="E201" s="103" t="s">
        <v>2178</v>
      </c>
      <c r="F201" s="104" t="s">
        <v>2272</v>
      </c>
      <c r="G201" s="103" t="s">
        <v>2272</v>
      </c>
      <c r="H201" s="103" t="s">
        <v>2273</v>
      </c>
      <c r="I201" s="103" t="s">
        <v>2223</v>
      </c>
      <c r="J201" s="103" t="s">
        <v>58</v>
      </c>
      <c r="K201" s="103" t="s">
        <v>59</v>
      </c>
      <c r="L201" s="105">
        <v>27947</v>
      </c>
      <c r="M201" s="103">
        <v>49</v>
      </c>
      <c r="N201" s="103" t="s">
        <v>2274</v>
      </c>
      <c r="O201" s="105">
        <v>48454</v>
      </c>
      <c r="P201" s="103" t="s">
        <v>4</v>
      </c>
      <c r="Q201" s="103"/>
      <c r="R201" s="99">
        <v>45913</v>
      </c>
      <c r="S201" s="99">
        <v>45918</v>
      </c>
      <c r="T201" s="100">
        <f t="shared" si="2"/>
        <v>5</v>
      </c>
      <c r="U201" s="103">
        <v>1</v>
      </c>
      <c r="V201" s="103">
        <v>1</v>
      </c>
      <c r="W201" s="103">
        <v>0</v>
      </c>
      <c r="X201" s="103">
        <v>1</v>
      </c>
      <c r="Y201" s="103">
        <v>0</v>
      </c>
      <c r="Z201" s="103">
        <v>1</v>
      </c>
      <c r="AA201" s="103">
        <v>0</v>
      </c>
      <c r="AB201" s="103"/>
      <c r="AC201" s="113">
        <v>45913</v>
      </c>
      <c r="AD201" s="114">
        <v>0.77430555555474712</v>
      </c>
      <c r="AE201" s="115" t="s">
        <v>2224</v>
      </c>
      <c r="AF201" s="113">
        <v>45923</v>
      </c>
      <c r="AG201" s="114">
        <v>0.48611111110949423</v>
      </c>
      <c r="AH201" s="115" t="s">
        <v>1117</v>
      </c>
      <c r="AI201" s="103" t="s">
        <v>2183</v>
      </c>
      <c r="AJ201" s="103" t="s">
        <v>64</v>
      </c>
      <c r="AK201" s="103" t="s">
        <v>64</v>
      </c>
      <c r="AL201" s="103" t="s">
        <v>1550</v>
      </c>
      <c r="AM201" s="103" t="s">
        <v>65</v>
      </c>
      <c r="AN201" s="102" t="s">
        <v>1600</v>
      </c>
      <c r="AO201" s="61"/>
    </row>
    <row r="202" spans="3:41" ht="14.25" customHeight="1">
      <c r="C202" s="55" t="str">
        <f>IF($X202=1,COUNTIF($C$10:C201,"&gt;0")+1,"")</f>
        <v/>
      </c>
      <c r="D202" s="56"/>
      <c r="E202" s="103" t="s">
        <v>2178</v>
      </c>
      <c r="F202" s="104" t="s">
        <v>2275</v>
      </c>
      <c r="G202" s="103" t="s">
        <v>2272</v>
      </c>
      <c r="H202" s="103" t="s">
        <v>2276</v>
      </c>
      <c r="I202" s="103" t="s">
        <v>1376</v>
      </c>
      <c r="J202" s="103" t="s">
        <v>68</v>
      </c>
      <c r="K202" s="103" t="s">
        <v>59</v>
      </c>
      <c r="L202" s="105">
        <v>29036</v>
      </c>
      <c r="M202" s="103">
        <v>46</v>
      </c>
      <c r="N202" s="103" t="s">
        <v>2277</v>
      </c>
      <c r="O202" s="105">
        <v>49157</v>
      </c>
      <c r="P202" s="103" t="s">
        <v>4</v>
      </c>
      <c r="Q202" s="103"/>
      <c r="R202" s="99">
        <v>45913</v>
      </c>
      <c r="S202" s="99">
        <v>45918</v>
      </c>
      <c r="T202" s="100">
        <f t="shared" si="2"/>
        <v>5</v>
      </c>
      <c r="U202" s="103">
        <v>1</v>
      </c>
      <c r="V202" s="103">
        <v>1</v>
      </c>
      <c r="W202" s="103">
        <v>0</v>
      </c>
      <c r="X202" s="103">
        <v>0</v>
      </c>
      <c r="Y202" s="103">
        <v>0</v>
      </c>
      <c r="Z202" s="103">
        <v>0</v>
      </c>
      <c r="AA202" s="103">
        <v>0</v>
      </c>
      <c r="AB202" s="103"/>
      <c r="AC202" s="113">
        <v>45909</v>
      </c>
      <c r="AD202" s="114">
        <v>0.74652777778101154</v>
      </c>
      <c r="AE202" s="115" t="s">
        <v>2214</v>
      </c>
      <c r="AF202" s="113">
        <v>45918</v>
      </c>
      <c r="AG202" s="114">
        <v>0.65625</v>
      </c>
      <c r="AH202" s="115" t="s">
        <v>2215</v>
      </c>
      <c r="AI202" s="103" t="s">
        <v>2183</v>
      </c>
      <c r="AJ202" s="103" t="s">
        <v>64</v>
      </c>
      <c r="AK202" s="103" t="s">
        <v>64</v>
      </c>
      <c r="AL202" s="103" t="s">
        <v>1550</v>
      </c>
      <c r="AM202" s="103" t="s">
        <v>65</v>
      </c>
      <c r="AN202" s="102" t="s">
        <v>64</v>
      </c>
      <c r="AO202" s="61"/>
    </row>
    <row r="203" spans="3:41" ht="14.25" customHeight="1">
      <c r="C203" s="55">
        <f>IF($X203=1,COUNTIF($C$10:C202,"&gt;0")+1,"")</f>
        <v>95</v>
      </c>
      <c r="D203" s="56">
        <v>64662676</v>
      </c>
      <c r="E203" s="103" t="s">
        <v>2178</v>
      </c>
      <c r="F203" s="104" t="s">
        <v>2278</v>
      </c>
      <c r="G203" s="103" t="s">
        <v>2272</v>
      </c>
      <c r="H203" s="103" t="s">
        <v>2279</v>
      </c>
      <c r="I203" s="103" t="s">
        <v>2223</v>
      </c>
      <c r="J203" s="103" t="s">
        <v>68</v>
      </c>
      <c r="K203" s="103" t="s">
        <v>59</v>
      </c>
      <c r="L203" s="105">
        <v>37702</v>
      </c>
      <c r="M203" s="103">
        <v>22</v>
      </c>
      <c r="N203" s="103" t="s">
        <v>2280</v>
      </c>
      <c r="O203" s="105">
        <v>48454</v>
      </c>
      <c r="P203" s="103" t="s">
        <v>5</v>
      </c>
      <c r="Q203" s="103"/>
      <c r="R203" s="99">
        <v>45913</v>
      </c>
      <c r="S203" s="99">
        <v>45918</v>
      </c>
      <c r="T203" s="100">
        <f t="shared" si="2"/>
        <v>5</v>
      </c>
      <c r="U203" s="103">
        <v>1</v>
      </c>
      <c r="V203" s="103">
        <v>1</v>
      </c>
      <c r="W203" s="103">
        <v>0</v>
      </c>
      <c r="X203" s="103">
        <v>1</v>
      </c>
      <c r="Y203" s="103">
        <v>0</v>
      </c>
      <c r="Z203" s="103">
        <v>0</v>
      </c>
      <c r="AA203" s="103">
        <v>1</v>
      </c>
      <c r="AB203" s="103"/>
      <c r="AC203" s="105" t="s">
        <v>64</v>
      </c>
      <c r="AD203" s="106" t="s">
        <v>64</v>
      </c>
      <c r="AE203" s="103" t="s">
        <v>1058</v>
      </c>
      <c r="AF203" s="105">
        <v>45918</v>
      </c>
      <c r="AG203" s="106">
        <v>0.53819444444525288</v>
      </c>
      <c r="AH203" s="103" t="s">
        <v>738</v>
      </c>
      <c r="AI203" s="103" t="s">
        <v>2183</v>
      </c>
      <c r="AJ203" s="103" t="s">
        <v>64</v>
      </c>
      <c r="AK203" s="103" t="s">
        <v>64</v>
      </c>
      <c r="AL203" s="103" t="s">
        <v>1550</v>
      </c>
      <c r="AM203" s="103" t="s">
        <v>65</v>
      </c>
      <c r="AN203" s="102" t="s">
        <v>64</v>
      </c>
      <c r="AO203" s="61"/>
    </row>
    <row r="204" spans="3:41" ht="14.25" customHeight="1">
      <c r="C204" s="55" t="str">
        <f>IF($X204=1,COUNTIF($C$10:C203,"&gt;0")+1,"")</f>
        <v/>
      </c>
      <c r="D204" s="56"/>
      <c r="E204" s="103" t="s">
        <v>2178</v>
      </c>
      <c r="F204" s="104" t="s">
        <v>2281</v>
      </c>
      <c r="G204" s="103" t="s">
        <v>2272</v>
      </c>
      <c r="H204" s="103" t="s">
        <v>2282</v>
      </c>
      <c r="I204" s="103" t="s">
        <v>2283</v>
      </c>
      <c r="J204" s="103" t="s">
        <v>68</v>
      </c>
      <c r="K204" s="103" t="s">
        <v>59</v>
      </c>
      <c r="L204" s="105">
        <v>37676</v>
      </c>
      <c r="M204" s="103">
        <v>22</v>
      </c>
      <c r="N204" s="103" t="s">
        <v>2284</v>
      </c>
      <c r="O204" s="105">
        <v>47198</v>
      </c>
      <c r="P204" s="103" t="s">
        <v>5</v>
      </c>
      <c r="Q204" s="103"/>
      <c r="R204" s="99">
        <v>45913</v>
      </c>
      <c r="S204" s="99">
        <v>45918</v>
      </c>
      <c r="T204" s="100">
        <f t="shared" si="2"/>
        <v>5</v>
      </c>
      <c r="U204" s="103">
        <v>1</v>
      </c>
      <c r="V204" s="103">
        <v>1</v>
      </c>
      <c r="W204" s="103">
        <v>0</v>
      </c>
      <c r="X204" s="103">
        <v>0</v>
      </c>
      <c r="Y204" s="103">
        <v>0</v>
      </c>
      <c r="Z204" s="103">
        <v>0</v>
      </c>
      <c r="AA204" s="103">
        <v>0</v>
      </c>
      <c r="AB204" s="103"/>
      <c r="AC204" s="105" t="s">
        <v>64</v>
      </c>
      <c r="AD204" s="106" t="s">
        <v>64</v>
      </c>
      <c r="AE204" s="103" t="s">
        <v>1058</v>
      </c>
      <c r="AF204" s="105">
        <v>45918</v>
      </c>
      <c r="AG204" s="106">
        <v>0.53819444444525288</v>
      </c>
      <c r="AH204" s="103" t="s">
        <v>738</v>
      </c>
      <c r="AI204" s="103" t="s">
        <v>2183</v>
      </c>
      <c r="AJ204" s="103" t="s">
        <v>64</v>
      </c>
      <c r="AK204" s="103" t="s">
        <v>64</v>
      </c>
      <c r="AL204" s="103" t="s">
        <v>1550</v>
      </c>
      <c r="AM204" s="103" t="s">
        <v>65</v>
      </c>
      <c r="AN204" s="102" t="s">
        <v>64</v>
      </c>
      <c r="AO204" s="61"/>
    </row>
    <row r="205" spans="3:41" ht="14.25" customHeight="1">
      <c r="C205" s="55">
        <f>IF($X205=1,COUNTIF($C$10:C204,"&gt;0")+1,"")</f>
        <v>96</v>
      </c>
      <c r="D205" s="56">
        <v>89088020</v>
      </c>
      <c r="E205" s="103" t="s">
        <v>2178</v>
      </c>
      <c r="F205" s="104" t="s">
        <v>2285</v>
      </c>
      <c r="G205" s="103" t="s">
        <v>2285</v>
      </c>
      <c r="H205" s="103" t="s">
        <v>2286</v>
      </c>
      <c r="I205" s="103" t="s">
        <v>2287</v>
      </c>
      <c r="J205" s="103" t="s">
        <v>58</v>
      </c>
      <c r="K205" s="103" t="s">
        <v>59</v>
      </c>
      <c r="L205" s="105">
        <v>20080</v>
      </c>
      <c r="M205" s="103">
        <v>70</v>
      </c>
      <c r="N205" s="103" t="s">
        <v>2288</v>
      </c>
      <c r="O205" s="105">
        <v>46717</v>
      </c>
      <c r="P205" s="103" t="s">
        <v>4</v>
      </c>
      <c r="Q205" s="103"/>
      <c r="R205" s="99">
        <v>45913</v>
      </c>
      <c r="S205" s="99">
        <v>45918</v>
      </c>
      <c r="T205" s="100">
        <f t="shared" ref="T205:T210" si="3">S205-R205</f>
        <v>5</v>
      </c>
      <c r="U205" s="103">
        <v>1</v>
      </c>
      <c r="V205" s="103">
        <v>1</v>
      </c>
      <c r="W205" s="103">
        <v>0</v>
      </c>
      <c r="X205" s="103">
        <v>1</v>
      </c>
      <c r="Y205" s="103">
        <v>0</v>
      </c>
      <c r="Z205" s="103">
        <v>1</v>
      </c>
      <c r="AA205" s="103">
        <v>0</v>
      </c>
      <c r="AB205" s="103"/>
      <c r="AC205" s="105">
        <v>45913</v>
      </c>
      <c r="AD205" s="106">
        <v>0.875</v>
      </c>
      <c r="AE205" s="103" t="s">
        <v>2289</v>
      </c>
      <c r="AF205" s="105">
        <v>45918</v>
      </c>
      <c r="AG205" s="106">
        <v>0.47222222221898846</v>
      </c>
      <c r="AH205" s="103" t="s">
        <v>2290</v>
      </c>
      <c r="AI205" s="103" t="s">
        <v>2183</v>
      </c>
      <c r="AJ205" s="103" t="s">
        <v>64</v>
      </c>
      <c r="AK205" s="103" t="s">
        <v>64</v>
      </c>
      <c r="AL205" s="103" t="s">
        <v>1550</v>
      </c>
      <c r="AM205" s="103" t="s">
        <v>65</v>
      </c>
      <c r="AN205" s="102" t="s">
        <v>1600</v>
      </c>
      <c r="AO205" s="61"/>
    </row>
    <row r="206" spans="3:41" ht="14.25" customHeight="1">
      <c r="C206" s="55" t="str">
        <f>IF($X206=1,COUNTIF($C$10:C205,"&gt;0")+1,"")</f>
        <v/>
      </c>
      <c r="D206" s="56"/>
      <c r="E206" s="103" t="s">
        <v>2178</v>
      </c>
      <c r="F206" s="104" t="s">
        <v>2291</v>
      </c>
      <c r="G206" s="103" t="s">
        <v>2285</v>
      </c>
      <c r="H206" s="103" t="s">
        <v>2292</v>
      </c>
      <c r="I206" s="103" t="s">
        <v>2287</v>
      </c>
      <c r="J206" s="103" t="s">
        <v>68</v>
      </c>
      <c r="K206" s="103" t="s">
        <v>59</v>
      </c>
      <c r="L206" s="105">
        <v>18904</v>
      </c>
      <c r="M206" s="103">
        <v>73</v>
      </c>
      <c r="N206" s="103" t="s">
        <v>2293</v>
      </c>
      <c r="O206" s="105">
        <v>46714</v>
      </c>
      <c r="P206" s="103" t="s">
        <v>4</v>
      </c>
      <c r="Q206" s="103"/>
      <c r="R206" s="99">
        <v>45913</v>
      </c>
      <c r="S206" s="99">
        <v>45918</v>
      </c>
      <c r="T206" s="100">
        <f t="shared" si="3"/>
        <v>5</v>
      </c>
      <c r="U206" s="103">
        <v>1</v>
      </c>
      <c r="V206" s="103">
        <v>1</v>
      </c>
      <c r="W206" s="103">
        <v>0</v>
      </c>
      <c r="X206" s="103">
        <v>0</v>
      </c>
      <c r="Y206" s="103">
        <v>0</v>
      </c>
      <c r="Z206" s="103">
        <v>0</v>
      </c>
      <c r="AA206" s="103">
        <v>0</v>
      </c>
      <c r="AB206" s="103"/>
      <c r="AC206" s="105">
        <v>45913</v>
      </c>
      <c r="AD206" s="106">
        <v>0.875</v>
      </c>
      <c r="AE206" s="103" t="s">
        <v>2289</v>
      </c>
      <c r="AF206" s="105">
        <v>45918</v>
      </c>
      <c r="AG206" s="106">
        <v>0.47222222221898846</v>
      </c>
      <c r="AH206" s="103" t="s">
        <v>2290</v>
      </c>
      <c r="AI206" s="103" t="s">
        <v>2183</v>
      </c>
      <c r="AJ206" s="103" t="s">
        <v>64</v>
      </c>
      <c r="AK206" s="103" t="s">
        <v>64</v>
      </c>
      <c r="AL206" s="103" t="s">
        <v>1550</v>
      </c>
      <c r="AM206" s="103" t="s">
        <v>65</v>
      </c>
      <c r="AN206" s="102" t="s">
        <v>1600</v>
      </c>
      <c r="AO206" s="61"/>
    </row>
    <row r="207" spans="3:41" ht="14.25" customHeight="1">
      <c r="C207" s="55">
        <f>IF($X207=1,COUNTIF($C$10:C206,"&gt;0")+1,"")</f>
        <v>97</v>
      </c>
      <c r="D207" s="56">
        <v>89271794</v>
      </c>
      <c r="E207" s="103" t="s">
        <v>2178</v>
      </c>
      <c r="F207" s="104" t="s">
        <v>2294</v>
      </c>
      <c r="G207" s="103" t="s">
        <v>2294</v>
      </c>
      <c r="H207" s="103" t="s">
        <v>2295</v>
      </c>
      <c r="I207" s="103" t="s">
        <v>2296</v>
      </c>
      <c r="J207" s="103" t="s">
        <v>58</v>
      </c>
      <c r="K207" s="103" t="s">
        <v>59</v>
      </c>
      <c r="L207" s="105">
        <v>24909</v>
      </c>
      <c r="M207" s="103">
        <v>57</v>
      </c>
      <c r="N207" s="103" t="s">
        <v>2297</v>
      </c>
      <c r="O207" s="105">
        <v>48693</v>
      </c>
      <c r="P207" s="103" t="s">
        <v>4</v>
      </c>
      <c r="Q207" s="103"/>
      <c r="R207" s="99">
        <v>45913</v>
      </c>
      <c r="S207" s="99">
        <v>45918</v>
      </c>
      <c r="T207" s="100">
        <f t="shared" si="3"/>
        <v>5</v>
      </c>
      <c r="U207" s="103">
        <v>1</v>
      </c>
      <c r="V207" s="103">
        <v>1</v>
      </c>
      <c r="W207" s="103">
        <v>0</v>
      </c>
      <c r="X207" s="103">
        <v>1</v>
      </c>
      <c r="Y207" s="103">
        <v>0</v>
      </c>
      <c r="Z207" s="103">
        <v>1</v>
      </c>
      <c r="AA207" s="103">
        <v>0</v>
      </c>
      <c r="AB207" s="103"/>
      <c r="AC207" s="105">
        <v>45913</v>
      </c>
      <c r="AD207" s="114">
        <v>0.40277777778101154</v>
      </c>
      <c r="AE207" s="115" t="s">
        <v>2298</v>
      </c>
      <c r="AF207" s="105">
        <v>45918</v>
      </c>
      <c r="AG207" s="106">
        <v>0.72569444444525288</v>
      </c>
      <c r="AH207" s="103" t="s">
        <v>313</v>
      </c>
      <c r="AI207" s="103" t="s">
        <v>2183</v>
      </c>
      <c r="AJ207" s="103" t="s">
        <v>64</v>
      </c>
      <c r="AK207" s="103" t="s">
        <v>64</v>
      </c>
      <c r="AL207" s="103" t="s">
        <v>1550</v>
      </c>
      <c r="AM207" s="103" t="s">
        <v>65</v>
      </c>
      <c r="AN207" s="102" t="s">
        <v>64</v>
      </c>
      <c r="AO207" s="61"/>
    </row>
    <row r="208" spans="3:41" ht="14.25" customHeight="1">
      <c r="C208" s="55" t="str">
        <f>IF($X208=1,COUNTIF($C$10:C207,"&gt;0")+1,"")</f>
        <v/>
      </c>
      <c r="D208" s="56"/>
      <c r="E208" s="103" t="s">
        <v>2178</v>
      </c>
      <c r="F208" s="104" t="s">
        <v>2299</v>
      </c>
      <c r="G208" s="103" t="s">
        <v>2294</v>
      </c>
      <c r="H208" s="103" t="s">
        <v>2300</v>
      </c>
      <c r="I208" s="103" t="s">
        <v>2296</v>
      </c>
      <c r="J208" s="103" t="s">
        <v>68</v>
      </c>
      <c r="K208" s="103" t="s">
        <v>59</v>
      </c>
      <c r="L208" s="105">
        <v>24866</v>
      </c>
      <c r="M208" s="103">
        <v>57</v>
      </c>
      <c r="N208" s="103" t="s">
        <v>2301</v>
      </c>
      <c r="O208" s="105">
        <v>48421</v>
      </c>
      <c r="P208" s="103" t="s">
        <v>4</v>
      </c>
      <c r="Q208" s="103"/>
      <c r="R208" s="99">
        <v>45913</v>
      </c>
      <c r="S208" s="99">
        <v>45918</v>
      </c>
      <c r="T208" s="100">
        <f t="shared" si="3"/>
        <v>5</v>
      </c>
      <c r="U208" s="103">
        <v>1</v>
      </c>
      <c r="V208" s="103">
        <v>1</v>
      </c>
      <c r="W208" s="103">
        <v>0</v>
      </c>
      <c r="X208" s="103">
        <v>0</v>
      </c>
      <c r="Y208" s="103">
        <v>0</v>
      </c>
      <c r="Z208" s="103">
        <v>0</v>
      </c>
      <c r="AA208" s="103">
        <v>0</v>
      </c>
      <c r="AB208" s="103"/>
      <c r="AC208" s="105">
        <v>45913</v>
      </c>
      <c r="AD208" s="114">
        <v>0.40277777778101154</v>
      </c>
      <c r="AE208" s="115" t="s">
        <v>2298</v>
      </c>
      <c r="AF208" s="105">
        <v>45918</v>
      </c>
      <c r="AG208" s="106">
        <v>0.72569444444525288</v>
      </c>
      <c r="AH208" s="103" t="s">
        <v>313</v>
      </c>
      <c r="AI208" s="103" t="s">
        <v>2183</v>
      </c>
      <c r="AJ208" s="103" t="s">
        <v>64</v>
      </c>
      <c r="AK208" s="103" t="s">
        <v>64</v>
      </c>
      <c r="AL208" s="103" t="s">
        <v>1550</v>
      </c>
      <c r="AM208" s="103" t="s">
        <v>65</v>
      </c>
      <c r="AN208" s="102" t="s">
        <v>64</v>
      </c>
      <c r="AO208" s="61"/>
    </row>
    <row r="209" spans="3:41" ht="14.25" customHeight="1">
      <c r="C209" s="55">
        <f>IF($X209=1,COUNTIF($C$10:C208,"&gt;0")+1,"")</f>
        <v>98</v>
      </c>
      <c r="D209" s="56">
        <v>27772009</v>
      </c>
      <c r="E209" s="121" t="s">
        <v>2302</v>
      </c>
      <c r="F209" s="122"/>
      <c r="G209" s="121"/>
      <c r="H209" s="121" t="s">
        <v>2303</v>
      </c>
      <c r="I209" s="121" t="s">
        <v>1535</v>
      </c>
      <c r="J209" s="121" t="s">
        <v>68</v>
      </c>
      <c r="K209" s="121" t="s">
        <v>748</v>
      </c>
      <c r="L209" s="123"/>
      <c r="M209" s="121"/>
      <c r="N209" s="121"/>
      <c r="O209" s="123"/>
      <c r="P209" s="121" t="s">
        <v>4</v>
      </c>
      <c r="Q209" s="122" t="s">
        <v>1141</v>
      </c>
      <c r="R209" s="124">
        <v>45912</v>
      </c>
      <c r="S209" s="124">
        <v>45918</v>
      </c>
      <c r="T209" s="125">
        <f t="shared" si="3"/>
        <v>6</v>
      </c>
      <c r="U209" s="121">
        <v>1</v>
      </c>
      <c r="V209" s="121">
        <v>1</v>
      </c>
      <c r="W209" s="121">
        <v>0</v>
      </c>
      <c r="X209" s="121">
        <v>1</v>
      </c>
      <c r="Y209" s="121">
        <v>0</v>
      </c>
      <c r="Z209" s="121">
        <v>1</v>
      </c>
      <c r="AA209" s="121">
        <v>0</v>
      </c>
      <c r="AB209" s="103"/>
      <c r="AC209" s="105"/>
      <c r="AD209" s="106"/>
      <c r="AE209" s="103"/>
      <c r="AF209" s="105"/>
      <c r="AG209" s="106"/>
      <c r="AH209" s="103"/>
      <c r="AI209" s="103"/>
      <c r="AJ209" s="103"/>
      <c r="AK209" s="121" t="s">
        <v>1531</v>
      </c>
      <c r="AL209" s="121" t="s">
        <v>1550</v>
      </c>
      <c r="AM209" s="121" t="s">
        <v>65</v>
      </c>
      <c r="AN209" s="102" t="s">
        <v>64</v>
      </c>
      <c r="AO209" s="61"/>
    </row>
    <row r="210" spans="3:41" ht="14.25" customHeight="1">
      <c r="C210" s="55" t="str">
        <f>IF($X210=1,COUNTIF($C$10:C209,"&gt;0")+1,"")</f>
        <v/>
      </c>
      <c r="D210" s="56"/>
      <c r="E210" s="121" t="s">
        <v>2302</v>
      </c>
      <c r="F210" s="122"/>
      <c r="G210" s="121"/>
      <c r="H210" s="121" t="s">
        <v>2304</v>
      </c>
      <c r="I210" s="121" t="s">
        <v>399</v>
      </c>
      <c r="J210" s="121" t="s">
        <v>68</v>
      </c>
      <c r="K210" s="121" t="s">
        <v>748</v>
      </c>
      <c r="L210" s="123"/>
      <c r="M210" s="121"/>
      <c r="N210" s="121"/>
      <c r="O210" s="123"/>
      <c r="P210" s="121" t="s">
        <v>4</v>
      </c>
      <c r="Q210" s="122" t="s">
        <v>1141</v>
      </c>
      <c r="R210" s="124">
        <v>45912</v>
      </c>
      <c r="S210" s="124">
        <v>45918</v>
      </c>
      <c r="T210" s="125">
        <f t="shared" si="3"/>
        <v>6</v>
      </c>
      <c r="U210" s="121">
        <v>1</v>
      </c>
      <c r="V210" s="121">
        <v>1</v>
      </c>
      <c r="W210" s="121">
        <v>0</v>
      </c>
      <c r="X210" s="121">
        <v>0</v>
      </c>
      <c r="Y210" s="121">
        <v>0</v>
      </c>
      <c r="Z210" s="121">
        <v>0</v>
      </c>
      <c r="AA210" s="121">
        <v>0</v>
      </c>
      <c r="AB210" s="103"/>
      <c r="AC210" s="105"/>
      <c r="AD210" s="106"/>
      <c r="AE210" s="103"/>
      <c r="AF210" s="105"/>
      <c r="AG210" s="106"/>
      <c r="AH210" s="103"/>
      <c r="AI210" s="103"/>
      <c r="AJ210" s="103"/>
      <c r="AK210" s="121" t="s">
        <v>1531</v>
      </c>
      <c r="AL210" s="121" t="s">
        <v>1550</v>
      </c>
      <c r="AM210" s="121" t="s">
        <v>65</v>
      </c>
      <c r="AN210" s="102" t="s">
        <v>64</v>
      </c>
      <c r="AO210" s="61"/>
    </row>
    <row r="211" spans="3:41" ht="14.25" customHeight="1">
      <c r="C211" s="126"/>
      <c r="D211" s="76"/>
      <c r="E211" s="76"/>
      <c r="F211" s="127"/>
      <c r="G211" s="128"/>
      <c r="H211" s="129"/>
      <c r="I211" s="129"/>
      <c r="J211" s="129"/>
      <c r="K211" s="129"/>
      <c r="L211" s="129"/>
      <c r="M211" s="129"/>
      <c r="N211" s="129"/>
      <c r="O211" s="129"/>
      <c r="P211" s="130"/>
      <c r="Q211" s="130"/>
      <c r="R211" s="130"/>
      <c r="S211" s="130"/>
      <c r="T211" s="130"/>
      <c r="U211" s="129"/>
      <c r="V211" s="129"/>
      <c r="W211" s="129"/>
      <c r="X211" s="129"/>
      <c r="Y211" s="129"/>
      <c r="Z211" s="129"/>
      <c r="AA211" s="130"/>
      <c r="AB211" s="130"/>
      <c r="AC211" s="130"/>
      <c r="AD211" s="129"/>
      <c r="AE211" s="129"/>
      <c r="AF211" s="130"/>
      <c r="AG211" s="130"/>
      <c r="AH211" s="131"/>
      <c r="AI211" s="129"/>
      <c r="AJ211" s="129"/>
      <c r="AK211" s="129"/>
      <c r="AL211" s="130"/>
      <c r="AM211" s="130"/>
      <c r="AN211" s="102" t="s">
        <v>64</v>
      </c>
      <c r="AO211" s="61"/>
    </row>
    <row r="212" spans="3:41" ht="14.25" customHeight="1">
      <c r="C212" s="132"/>
      <c r="D212" s="85"/>
      <c r="E212" s="85"/>
      <c r="F212" s="133"/>
      <c r="G212" s="134"/>
      <c r="H212" s="135"/>
      <c r="I212" s="135"/>
      <c r="J212" s="135"/>
      <c r="K212" s="135"/>
      <c r="L212" s="135"/>
      <c r="M212" s="135"/>
      <c r="N212" s="135"/>
      <c r="O212" s="135"/>
      <c r="P212" s="136"/>
      <c r="Q212" s="136"/>
      <c r="R212" s="136"/>
      <c r="S212" s="136"/>
      <c r="T212" s="136"/>
      <c r="U212" s="135"/>
      <c r="V212" s="135"/>
      <c r="W212" s="135"/>
      <c r="X212" s="135"/>
      <c r="Y212" s="135"/>
      <c r="Z212" s="135"/>
      <c r="AA212" s="136"/>
      <c r="AB212" s="136"/>
      <c r="AC212" s="136"/>
      <c r="AD212" s="135"/>
      <c r="AE212" s="135"/>
      <c r="AF212" s="136"/>
      <c r="AG212" s="136"/>
      <c r="AH212" s="137"/>
      <c r="AI212" s="135"/>
      <c r="AJ212" s="135"/>
      <c r="AK212" s="135"/>
      <c r="AL212" s="136"/>
      <c r="AM212" s="136"/>
      <c r="AN212" s="102" t="s">
        <v>64</v>
      </c>
      <c r="AO212" s="138"/>
    </row>
  </sheetData>
  <autoFilter ref="C8:AO212" xr:uid="{00000000-0001-0000-0100-000000000000}">
    <filterColumn colId="11" showButton="0"/>
    <filterColumn colId="26" showButton="0"/>
    <filterColumn colId="27" showButton="0"/>
    <filterColumn colId="29" showButton="0"/>
    <filterColumn colId="30" showButton="0"/>
  </autoFilter>
  <mergeCells count="29">
    <mergeCell ref="D2:S2"/>
    <mergeCell ref="AC6:AE6"/>
    <mergeCell ref="AF6:AH6"/>
    <mergeCell ref="C8:C9"/>
    <mergeCell ref="D8:D9"/>
    <mergeCell ref="E8:E9"/>
    <mergeCell ref="F8:F9"/>
    <mergeCell ref="G8:G9"/>
    <mergeCell ref="H8:H9"/>
    <mergeCell ref="I8:I9"/>
    <mergeCell ref="AF8:AH8"/>
    <mergeCell ref="J8:J9"/>
    <mergeCell ref="K8:K9"/>
    <mergeCell ref="L8:L9"/>
    <mergeCell ref="M8:M9"/>
    <mergeCell ref="N8:O8"/>
    <mergeCell ref="P8:P9"/>
    <mergeCell ref="Q8:Q9"/>
    <mergeCell ref="R8:R9"/>
    <mergeCell ref="S8:S9"/>
    <mergeCell ref="T8:T9"/>
    <mergeCell ref="AC8:AE8"/>
    <mergeCell ref="AO8:AO9"/>
    <mergeCell ref="AI8:AI9"/>
    <mergeCell ref="AJ8:AJ9"/>
    <mergeCell ref="AK8:AK9"/>
    <mergeCell ref="AL8:AL9"/>
    <mergeCell ref="AM8:AM9"/>
    <mergeCell ref="AN8:AN9"/>
  </mergeCells>
  <conditionalFormatting sqref="C10:AN10 C11:AM40 AN11:AN212 C41:E41 D42:E42 C42:C210 D43:AM210 C211:AM212 C213:AN252">
    <cfRule type="expression" dxfId="8" priority="2">
      <formula>$C10&lt;&gt;""</formula>
    </cfRule>
  </conditionalFormatting>
  <conditionalFormatting sqref="F41:Q42 U41:AM42">
    <cfRule type="expression" dxfId="7" priority="1">
      <formula>$C41&lt;&gt;""</formula>
    </cfRule>
  </conditionalFormatting>
  <pageMargins left="0.25" right="0.25" top="0.75" bottom="0.75" header="0.3" footer="0.3"/>
  <pageSetup scale="60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80854-41CB-6A40-AC9C-C7E8B329EAF0}">
  <sheetPr>
    <tabColor rgb="FFFFC000"/>
  </sheetPr>
  <dimension ref="A1:AU431"/>
  <sheetViews>
    <sheetView showGridLines="0" topLeftCell="A2" zoomScale="140" zoomScaleNormal="140" workbookViewId="0">
      <pane ySplit="8" topLeftCell="A209" activePane="bottomLeft" state="frozen"/>
      <selection activeCell="A10" sqref="A10"/>
      <selection pane="bottomLeft" activeCell="G218" sqref="G218"/>
    </sheetView>
  </sheetViews>
  <sheetFormatPr baseColWidth="10" defaultColWidth="9.1640625" defaultRowHeight="14.25" customHeight="1"/>
  <cols>
    <col min="1" max="1" width="1.5" style="1" customWidth="1"/>
    <col min="2" max="2" width="1.1640625" style="1" customWidth="1"/>
    <col min="3" max="3" width="6" style="2" customWidth="1"/>
    <col min="4" max="4" width="11" style="94" customWidth="1"/>
    <col min="5" max="5" width="8.83203125" style="94" customWidth="1"/>
    <col min="6" max="6" width="16.33203125" style="95" customWidth="1"/>
    <col min="7" max="7" width="16.1640625" style="1" customWidth="1"/>
    <col min="8" max="8" width="15.1640625" style="4" bestFit="1" customWidth="1"/>
    <col min="9" max="9" width="11.83203125" style="4" customWidth="1"/>
    <col min="10" max="10" width="8.6640625" style="4" customWidth="1"/>
    <col min="11" max="11" width="14.1640625" style="4" customWidth="1"/>
    <col min="12" max="12" width="11.5" style="4" customWidth="1"/>
    <col min="13" max="13" width="8.6640625" style="4" customWidth="1"/>
    <col min="14" max="14" width="13.5" style="4" customWidth="1"/>
    <col min="15" max="15" width="13.6640625" style="4" customWidth="1"/>
    <col min="16" max="16" width="11.83203125" style="5" customWidth="1"/>
    <col min="17" max="17" width="18.5" style="5" customWidth="1"/>
    <col min="18" max="18" width="8.5" style="5" customWidth="1"/>
    <col min="19" max="19" width="8.33203125" style="5" customWidth="1"/>
    <col min="20" max="20" width="8" style="5" customWidth="1"/>
    <col min="21" max="24" width="7.83203125" style="4" customWidth="1"/>
    <col min="25" max="25" width="4.33203125" style="4" customWidth="1"/>
    <col min="26" max="26" width="4.6640625" style="4" customWidth="1"/>
    <col min="27" max="27" width="6" style="5" customWidth="1"/>
    <col min="28" max="28" width="7.83203125" style="5" customWidth="1"/>
    <col min="29" max="29" width="10.33203125" style="5" bestFit="1" customWidth="1"/>
    <col min="30" max="30" width="9.1640625" style="4" customWidth="1"/>
    <col min="31" max="31" width="11.1640625" style="4" customWidth="1"/>
    <col min="32" max="32" width="9.5" style="5" customWidth="1"/>
    <col min="33" max="33" width="9.6640625" style="5" customWidth="1"/>
    <col min="34" max="34" width="8.83203125" style="6" customWidth="1"/>
    <col min="35" max="36" width="16" style="4" customWidth="1"/>
    <col min="37" max="37" width="25.33203125" style="4" customWidth="1"/>
    <col min="38" max="38" width="17.83203125" style="5" customWidth="1"/>
    <col min="39" max="39" width="9.1640625" style="5" customWidth="1"/>
    <col min="40" max="40" width="18.5" style="5" customWidth="1"/>
    <col min="41" max="41" width="30" style="4" customWidth="1"/>
    <col min="42" max="42" width="9.1640625" style="4" customWidth="1"/>
    <col min="45" max="45" width="9.5" customWidth="1"/>
    <col min="46" max="46" width="9.6640625" customWidth="1"/>
    <col min="48" max="16384" width="9.1640625" style="4"/>
  </cols>
  <sheetData>
    <row r="1" spans="1:47" ht="15">
      <c r="D1" s="3"/>
      <c r="E1" s="3"/>
      <c r="F1" s="1"/>
      <c r="AJ1" s="5"/>
      <c r="AK1" s="5"/>
    </row>
    <row r="2" spans="1:47" ht="21">
      <c r="D2" s="304" t="s">
        <v>2305</v>
      </c>
      <c r="E2" s="304"/>
      <c r="F2" s="304"/>
      <c r="G2" s="304"/>
      <c r="H2" s="304"/>
      <c r="I2" s="304"/>
      <c r="J2" s="304"/>
      <c r="K2" s="304"/>
      <c r="L2" s="304"/>
      <c r="M2" s="304"/>
      <c r="N2" s="304"/>
      <c r="O2" s="304"/>
      <c r="P2" s="304"/>
      <c r="Q2" s="304"/>
      <c r="R2" s="304"/>
      <c r="S2" s="304"/>
      <c r="T2" s="7"/>
      <c r="AC2" s="7"/>
      <c r="AD2" s="7"/>
      <c r="AE2" s="7"/>
      <c r="AF2" s="7"/>
      <c r="AG2" s="7"/>
      <c r="AI2" s="7"/>
      <c r="AJ2" s="5"/>
      <c r="AK2" s="5"/>
    </row>
    <row r="3" spans="1:47" ht="15">
      <c r="C3" s="8"/>
      <c r="D3" s="9"/>
      <c r="E3" s="9"/>
      <c r="F3" s="10"/>
      <c r="G3" s="11"/>
      <c r="AD3" s="7"/>
      <c r="AE3" s="7"/>
      <c r="AF3" s="7"/>
      <c r="AG3" s="7"/>
      <c r="AI3" s="7"/>
      <c r="AJ3" s="5"/>
      <c r="AK3" s="5"/>
    </row>
    <row r="4" spans="1:47" s="23" customFormat="1" ht="37" customHeight="1">
      <c r="A4" s="12"/>
      <c r="B4" s="12"/>
      <c r="C4" s="13"/>
      <c r="D4" s="9"/>
      <c r="E4" s="9"/>
      <c r="F4" s="10"/>
      <c r="G4" s="11"/>
      <c r="H4" s="14" t="s">
        <v>2306</v>
      </c>
      <c r="I4" s="14" t="s">
        <v>2</v>
      </c>
      <c r="J4" s="14" t="s">
        <v>3</v>
      </c>
      <c r="K4" s="14" t="s">
        <v>4</v>
      </c>
      <c r="L4" s="14" t="s">
        <v>5</v>
      </c>
      <c r="M4" s="14" t="s">
        <v>6</v>
      </c>
      <c r="N4" s="14" t="s">
        <v>7</v>
      </c>
      <c r="O4" s="15" t="s">
        <v>8</v>
      </c>
      <c r="P4" s="15" t="s">
        <v>9</v>
      </c>
      <c r="Q4" s="15" t="s">
        <v>2307</v>
      </c>
      <c r="R4" s="16"/>
      <c r="S4" s="16"/>
      <c r="T4" s="16"/>
      <c r="U4" s="16"/>
      <c r="V4" s="17"/>
      <c r="W4" s="17"/>
      <c r="X4" s="17"/>
      <c r="Y4" s="17"/>
      <c r="Z4" s="17"/>
      <c r="AA4" s="17"/>
      <c r="AB4" s="17"/>
      <c r="AC4" s="18"/>
      <c r="AD4" s="19"/>
      <c r="AE4" s="19"/>
      <c r="AF4" s="20"/>
      <c r="AG4" s="20"/>
      <c r="AH4" s="21"/>
      <c r="AI4" s="22"/>
      <c r="AJ4" s="17"/>
      <c r="AK4" s="18"/>
      <c r="AL4" s="18"/>
      <c r="AM4" s="18"/>
      <c r="AN4" s="18"/>
      <c r="AQ4"/>
      <c r="AR4"/>
      <c r="AS4"/>
      <c r="AT4"/>
      <c r="AU4"/>
    </row>
    <row r="5" spans="1:47" ht="15">
      <c r="C5" s="24"/>
      <c r="D5" s="9"/>
      <c r="E5" s="9"/>
      <c r="F5" s="10"/>
      <c r="G5" s="11"/>
      <c r="H5" s="25" t="s">
        <v>2306</v>
      </c>
      <c r="I5" s="26">
        <f>SUM(J5:L5)</f>
        <v>208</v>
      </c>
      <c r="J5" s="26">
        <f>SUM(Y10:Y439)</f>
        <v>28</v>
      </c>
      <c r="K5" s="26">
        <f>SUM(Z10:Z439)</f>
        <v>118</v>
      </c>
      <c r="L5" s="26">
        <f>SUM(AA10:AA439)</f>
        <v>62</v>
      </c>
      <c r="M5" s="26">
        <v>0</v>
      </c>
      <c r="N5" s="26">
        <v>9</v>
      </c>
      <c r="O5" s="25">
        <f>SUM(P5:Q5)</f>
        <v>415</v>
      </c>
      <c r="P5" s="26">
        <f>SUM(V10:V439)</f>
        <v>388</v>
      </c>
      <c r="Q5" s="26">
        <f>COUNTIFS(M10:M439,"&gt;3",M10:M439,"&lt;13")</f>
        <v>27</v>
      </c>
      <c r="R5" s="27"/>
      <c r="S5" s="27"/>
      <c r="T5" s="27"/>
      <c r="U5" s="28"/>
      <c r="V5" s="28"/>
      <c r="W5" s="28"/>
      <c r="X5" s="28"/>
      <c r="Y5" s="28"/>
      <c r="Z5" s="28"/>
      <c r="AA5" s="29"/>
      <c r="AB5" s="29"/>
      <c r="AC5" s="27"/>
      <c r="AD5" s="7"/>
      <c r="AE5" s="7"/>
      <c r="AF5" s="7"/>
      <c r="AG5" s="7"/>
      <c r="AI5" s="28"/>
      <c r="AJ5" s="29"/>
      <c r="AK5" s="30"/>
      <c r="AL5" s="30"/>
      <c r="AM5" s="30"/>
      <c r="AN5" s="30"/>
    </row>
    <row r="6" spans="1:47" ht="15" customHeight="1">
      <c r="C6" s="24"/>
      <c r="D6" s="9" t="s">
        <v>11</v>
      </c>
      <c r="E6" s="9"/>
      <c r="F6" s="10"/>
      <c r="G6" s="11"/>
      <c r="H6" s="26"/>
      <c r="I6" s="25"/>
      <c r="J6" s="31"/>
      <c r="K6" s="26"/>
      <c r="L6" s="26"/>
      <c r="M6" s="25"/>
      <c r="N6" s="25"/>
      <c r="O6" s="25"/>
      <c r="P6" s="25"/>
      <c r="Q6" s="25"/>
      <c r="R6" s="27"/>
      <c r="S6" s="27"/>
      <c r="T6" s="27"/>
      <c r="U6" s="32" t="s">
        <v>12</v>
      </c>
      <c r="V6" s="28"/>
      <c r="W6" s="28"/>
      <c r="X6" s="32" t="s">
        <v>13</v>
      </c>
      <c r="Y6" s="28"/>
      <c r="Z6" s="28"/>
      <c r="AA6" s="29"/>
      <c r="AB6" s="29"/>
      <c r="AC6" s="305" t="s">
        <v>14</v>
      </c>
      <c r="AD6" s="305"/>
      <c r="AE6" s="305"/>
      <c r="AF6" s="305" t="s">
        <v>14</v>
      </c>
      <c r="AG6" s="305"/>
      <c r="AH6" s="305"/>
      <c r="AI6" s="28"/>
      <c r="AJ6" s="29"/>
      <c r="AK6" s="27"/>
      <c r="AL6" s="27"/>
      <c r="AM6" s="27"/>
      <c r="AN6" s="27"/>
    </row>
    <row r="7" spans="1:47" ht="15">
      <c r="C7" s="24"/>
      <c r="D7" s="9"/>
      <c r="E7" s="9"/>
      <c r="F7" s="10"/>
      <c r="G7" s="11"/>
      <c r="W7" s="28"/>
      <c r="X7" s="28"/>
      <c r="Y7" s="28"/>
      <c r="Z7" s="28"/>
      <c r="AA7" s="29"/>
      <c r="AB7" s="29"/>
      <c r="AD7" s="7"/>
      <c r="AE7" s="7"/>
      <c r="AF7" s="7"/>
      <c r="AG7" s="7"/>
      <c r="AI7" s="28"/>
      <c r="AJ7" s="29"/>
      <c r="AK7" s="5"/>
    </row>
    <row r="8" spans="1:47" ht="28.5" customHeight="1">
      <c r="C8" s="306" t="s">
        <v>15</v>
      </c>
      <c r="D8" s="308" t="s">
        <v>16</v>
      </c>
      <c r="E8" s="293" t="s">
        <v>17</v>
      </c>
      <c r="F8" s="293" t="s">
        <v>18</v>
      </c>
      <c r="G8" s="293" t="s">
        <v>19</v>
      </c>
      <c r="H8" s="293" t="s">
        <v>20</v>
      </c>
      <c r="I8" s="293" t="s">
        <v>21</v>
      </c>
      <c r="J8" s="293" t="s">
        <v>22</v>
      </c>
      <c r="K8" s="295" t="s">
        <v>23</v>
      </c>
      <c r="L8" s="295" t="s">
        <v>24</v>
      </c>
      <c r="M8" s="295" t="s">
        <v>25</v>
      </c>
      <c r="N8" s="303" t="s">
        <v>26</v>
      </c>
      <c r="O8" s="303"/>
      <c r="P8" s="295" t="s">
        <v>27</v>
      </c>
      <c r="Q8" s="297" t="s">
        <v>28</v>
      </c>
      <c r="R8" s="301" t="s">
        <v>29</v>
      </c>
      <c r="S8" s="301" t="s">
        <v>30</v>
      </c>
      <c r="T8" s="301" t="s">
        <v>31</v>
      </c>
      <c r="U8" s="33" t="s">
        <v>32</v>
      </c>
      <c r="V8" s="34" t="s">
        <v>33</v>
      </c>
      <c r="W8" s="35" t="s">
        <v>34</v>
      </c>
      <c r="X8" s="36" t="s">
        <v>35</v>
      </c>
      <c r="Y8" s="37" t="s">
        <v>36</v>
      </c>
      <c r="Z8" s="38" t="s">
        <v>37</v>
      </c>
      <c r="AA8" s="36" t="s">
        <v>5</v>
      </c>
      <c r="AB8" s="39" t="s">
        <v>6</v>
      </c>
      <c r="AC8" s="295" t="s">
        <v>38</v>
      </c>
      <c r="AD8" s="295"/>
      <c r="AE8" s="295"/>
      <c r="AF8" s="295" t="s">
        <v>39</v>
      </c>
      <c r="AG8" s="295"/>
      <c r="AH8" s="295"/>
      <c r="AI8" s="293" t="s">
        <v>40</v>
      </c>
      <c r="AJ8" s="295" t="s">
        <v>41</v>
      </c>
      <c r="AK8" s="297" t="s">
        <v>42</v>
      </c>
      <c r="AL8" s="297" t="s">
        <v>43</v>
      </c>
      <c r="AM8" s="299" t="s">
        <v>44</v>
      </c>
      <c r="AN8" s="289" t="s">
        <v>2308</v>
      </c>
      <c r="AO8" s="289" t="s">
        <v>46</v>
      </c>
    </row>
    <row r="9" spans="1:47" ht="29" customHeight="1">
      <c r="C9" s="307"/>
      <c r="D9" s="309"/>
      <c r="E9" s="294"/>
      <c r="F9" s="294"/>
      <c r="G9" s="294"/>
      <c r="H9" s="294"/>
      <c r="I9" s="294"/>
      <c r="J9" s="294"/>
      <c r="K9" s="296"/>
      <c r="L9" s="296"/>
      <c r="M9" s="296"/>
      <c r="N9" s="40" t="s">
        <v>47</v>
      </c>
      <c r="O9" s="41" t="s">
        <v>48</v>
      </c>
      <c r="P9" s="296"/>
      <c r="Q9" s="298"/>
      <c r="R9" s="302"/>
      <c r="S9" s="302"/>
      <c r="T9" s="302"/>
      <c r="U9" s="42"/>
      <c r="V9" s="43"/>
      <c r="W9" s="42"/>
      <c r="X9" s="44"/>
      <c r="Y9" s="42"/>
      <c r="Z9" s="44"/>
      <c r="AA9" s="44"/>
      <c r="AB9" s="42"/>
      <c r="AC9" s="45" t="s">
        <v>49</v>
      </c>
      <c r="AD9" s="45" t="s">
        <v>50</v>
      </c>
      <c r="AE9" s="45" t="s">
        <v>51</v>
      </c>
      <c r="AF9" s="45" t="s">
        <v>52</v>
      </c>
      <c r="AG9" s="45" t="s">
        <v>53</v>
      </c>
      <c r="AH9" s="45" t="s">
        <v>51</v>
      </c>
      <c r="AI9" s="294"/>
      <c r="AJ9" s="296"/>
      <c r="AK9" s="298"/>
      <c r="AL9" s="298"/>
      <c r="AM9" s="326"/>
      <c r="AN9" s="290"/>
      <c r="AO9" s="290"/>
    </row>
    <row r="10" spans="1:47" s="151" customFormat="1" ht="14.25" customHeight="1">
      <c r="A10" s="139"/>
      <c r="B10" s="139"/>
      <c r="C10" s="140">
        <v>1</v>
      </c>
      <c r="D10" s="325">
        <v>87909760</v>
      </c>
      <c r="E10" s="141" t="s">
        <v>2309</v>
      </c>
      <c r="F10" s="142" t="s">
        <v>2310</v>
      </c>
      <c r="G10" s="141" t="s">
        <v>2310</v>
      </c>
      <c r="H10" s="141" t="s">
        <v>2311</v>
      </c>
      <c r="I10" s="141" t="s">
        <v>2312</v>
      </c>
      <c r="J10" s="141" t="s">
        <v>68</v>
      </c>
      <c r="K10" s="141" t="s">
        <v>59</v>
      </c>
      <c r="L10" s="143">
        <v>31436</v>
      </c>
      <c r="M10" s="141">
        <v>39</v>
      </c>
      <c r="N10" s="141" t="s">
        <v>2313</v>
      </c>
      <c r="O10" s="143">
        <v>46129</v>
      </c>
      <c r="P10" s="141" t="s">
        <v>3</v>
      </c>
      <c r="Q10" s="141" t="s">
        <v>2314</v>
      </c>
      <c r="R10" s="144">
        <v>45913</v>
      </c>
      <c r="S10" s="145">
        <v>45921</v>
      </c>
      <c r="T10" s="146">
        <f t="shared" ref="T10:T73" si="0">S10-R10</f>
        <v>8</v>
      </c>
      <c r="U10" s="141">
        <v>1</v>
      </c>
      <c r="V10" s="141">
        <v>1</v>
      </c>
      <c r="W10" s="141">
        <v>0</v>
      </c>
      <c r="X10" s="141">
        <v>1</v>
      </c>
      <c r="Y10" s="141">
        <v>1</v>
      </c>
      <c r="Z10" s="141">
        <v>0</v>
      </c>
      <c r="AA10" s="141">
        <v>0</v>
      </c>
      <c r="AB10" s="141"/>
      <c r="AC10" s="143">
        <v>45913</v>
      </c>
      <c r="AD10" s="147">
        <v>0.625</v>
      </c>
      <c r="AE10" s="141" t="s">
        <v>74</v>
      </c>
      <c r="AF10" s="143">
        <v>45921</v>
      </c>
      <c r="AG10" s="147">
        <v>0.70138888889050577</v>
      </c>
      <c r="AH10" s="141" t="s">
        <v>96</v>
      </c>
      <c r="AI10" s="141" t="s">
        <v>2315</v>
      </c>
      <c r="AJ10" s="141" t="s">
        <v>64</v>
      </c>
      <c r="AK10" s="148" t="s">
        <v>2316</v>
      </c>
      <c r="AL10" s="141" t="s">
        <v>2306</v>
      </c>
      <c r="AM10" s="149" t="s">
        <v>65</v>
      </c>
      <c r="AN10" s="149"/>
      <c r="AO10" s="150"/>
      <c r="AQ10"/>
      <c r="AR10"/>
      <c r="AS10"/>
      <c r="AT10"/>
      <c r="AU10"/>
    </row>
    <row r="11" spans="1:47" s="151" customFormat="1" ht="14.25" customHeight="1">
      <c r="A11" s="139"/>
      <c r="B11" s="139"/>
      <c r="C11" s="152" t="str">
        <f>IF($X11=1,COUNTIF($C$10:C10,"&gt;0")+1,"")</f>
        <v/>
      </c>
      <c r="D11" s="324"/>
      <c r="E11" s="153" t="s">
        <v>2309</v>
      </c>
      <c r="F11" s="154" t="s">
        <v>2317</v>
      </c>
      <c r="G11" s="153" t="s">
        <v>2310</v>
      </c>
      <c r="H11" s="153" t="s">
        <v>2318</v>
      </c>
      <c r="I11" s="153" t="s">
        <v>82</v>
      </c>
      <c r="J11" s="153" t="s">
        <v>58</v>
      </c>
      <c r="K11" s="153" t="s">
        <v>59</v>
      </c>
      <c r="L11" s="155">
        <v>43164</v>
      </c>
      <c r="M11" s="153">
        <v>7</v>
      </c>
      <c r="N11" s="153" t="s">
        <v>2319</v>
      </c>
      <c r="O11" s="155">
        <v>46946</v>
      </c>
      <c r="P11" s="153" t="s">
        <v>3</v>
      </c>
      <c r="Q11" s="141" t="s">
        <v>2314</v>
      </c>
      <c r="R11" s="144">
        <v>45913</v>
      </c>
      <c r="S11" s="145">
        <v>45921</v>
      </c>
      <c r="T11" s="146">
        <f t="shared" si="0"/>
        <v>8</v>
      </c>
      <c r="U11" s="153">
        <v>1</v>
      </c>
      <c r="V11" s="153">
        <v>0</v>
      </c>
      <c r="W11" s="153">
        <v>1</v>
      </c>
      <c r="X11" s="153">
        <v>0</v>
      </c>
      <c r="Y11" s="153">
        <v>0</v>
      </c>
      <c r="Z11" s="153">
        <v>0</v>
      </c>
      <c r="AA11" s="153">
        <v>0</v>
      </c>
      <c r="AB11" s="153"/>
      <c r="AC11" s="155">
        <v>45913</v>
      </c>
      <c r="AD11" s="156">
        <v>0.625</v>
      </c>
      <c r="AE11" s="153" t="s">
        <v>74</v>
      </c>
      <c r="AF11" s="155">
        <v>45921</v>
      </c>
      <c r="AG11" s="156">
        <v>0.70138888889050577</v>
      </c>
      <c r="AH11" s="153" t="s">
        <v>96</v>
      </c>
      <c r="AI11" s="153" t="s">
        <v>2315</v>
      </c>
      <c r="AJ11" s="153" t="s">
        <v>64</v>
      </c>
      <c r="AK11" s="157" t="s">
        <v>2320</v>
      </c>
      <c r="AL11" s="153" t="s">
        <v>2306</v>
      </c>
      <c r="AM11" s="149" t="s">
        <v>65</v>
      </c>
      <c r="AN11" s="158"/>
      <c r="AO11" s="159"/>
      <c r="AQ11"/>
      <c r="AR11"/>
      <c r="AS11"/>
      <c r="AT11"/>
      <c r="AU11"/>
    </row>
    <row r="12" spans="1:47" s="151" customFormat="1" ht="14.25" customHeight="1">
      <c r="A12" s="139"/>
      <c r="B12" s="139"/>
      <c r="C12" s="152" t="str">
        <f>IF($X12=1,COUNTIF($C$10:C11,"&gt;0")+1,"")</f>
        <v/>
      </c>
      <c r="D12" s="323"/>
      <c r="E12" s="153" t="s">
        <v>2309</v>
      </c>
      <c r="F12" s="154" t="s">
        <v>2321</v>
      </c>
      <c r="G12" s="153" t="s">
        <v>2310</v>
      </c>
      <c r="H12" s="153" t="s">
        <v>2322</v>
      </c>
      <c r="I12" s="153" t="s">
        <v>82</v>
      </c>
      <c r="J12" s="153" t="s">
        <v>68</v>
      </c>
      <c r="K12" s="153" t="s">
        <v>59</v>
      </c>
      <c r="L12" s="155">
        <v>44041</v>
      </c>
      <c r="M12" s="153">
        <v>5</v>
      </c>
      <c r="N12" s="153" t="s">
        <v>2323</v>
      </c>
      <c r="O12" s="155">
        <v>46309</v>
      </c>
      <c r="P12" s="153" t="s">
        <v>3</v>
      </c>
      <c r="Q12" s="141" t="s">
        <v>2314</v>
      </c>
      <c r="R12" s="144">
        <v>45913</v>
      </c>
      <c r="S12" s="145">
        <v>45921</v>
      </c>
      <c r="T12" s="146">
        <f t="shared" si="0"/>
        <v>8</v>
      </c>
      <c r="U12" s="153">
        <v>1</v>
      </c>
      <c r="V12" s="153">
        <v>0</v>
      </c>
      <c r="W12" s="153">
        <v>1</v>
      </c>
      <c r="X12" s="153">
        <v>0</v>
      </c>
      <c r="Y12" s="153">
        <v>0</v>
      </c>
      <c r="Z12" s="153">
        <v>0</v>
      </c>
      <c r="AA12" s="153">
        <v>0</v>
      </c>
      <c r="AB12" s="153"/>
      <c r="AC12" s="155">
        <v>45913</v>
      </c>
      <c r="AD12" s="156">
        <v>0.625</v>
      </c>
      <c r="AE12" s="153" t="s">
        <v>74</v>
      </c>
      <c r="AF12" s="155">
        <v>45921</v>
      </c>
      <c r="AG12" s="156">
        <v>0.70138888889050577</v>
      </c>
      <c r="AH12" s="153" t="s">
        <v>96</v>
      </c>
      <c r="AI12" s="153" t="s">
        <v>2315</v>
      </c>
      <c r="AJ12" s="153" t="s">
        <v>64</v>
      </c>
      <c r="AK12" s="157" t="s">
        <v>2320</v>
      </c>
      <c r="AL12" s="153" t="s">
        <v>2306</v>
      </c>
      <c r="AM12" s="149" t="s">
        <v>65</v>
      </c>
      <c r="AN12" s="158"/>
      <c r="AO12" s="159"/>
      <c r="AQ12"/>
      <c r="AR12"/>
      <c r="AS12"/>
      <c r="AT12"/>
      <c r="AU12"/>
    </row>
    <row r="13" spans="1:47" s="151" customFormat="1" ht="14.25" customHeight="1">
      <c r="A13" s="139"/>
      <c r="B13" s="139"/>
      <c r="C13" s="152">
        <f>IF($X13=1,COUNTIF($C$10:C12,"&gt;0")+1,"")</f>
        <v>2</v>
      </c>
      <c r="D13" s="322">
        <v>87927265</v>
      </c>
      <c r="E13" s="153" t="s">
        <v>2309</v>
      </c>
      <c r="F13" s="154" t="s">
        <v>2324</v>
      </c>
      <c r="G13" s="153" t="s">
        <v>2310</v>
      </c>
      <c r="H13" s="153" t="s">
        <v>2325</v>
      </c>
      <c r="I13" s="153" t="s">
        <v>2326</v>
      </c>
      <c r="J13" s="153" t="s">
        <v>68</v>
      </c>
      <c r="K13" s="153" t="s">
        <v>59</v>
      </c>
      <c r="L13" s="155">
        <v>19758</v>
      </c>
      <c r="M13" s="153">
        <v>71</v>
      </c>
      <c r="N13" s="153" t="s">
        <v>2327</v>
      </c>
      <c r="O13" s="155">
        <v>48689</v>
      </c>
      <c r="P13" s="153" t="s">
        <v>4</v>
      </c>
      <c r="Q13" s="141" t="s">
        <v>2314</v>
      </c>
      <c r="R13" s="144">
        <v>45913</v>
      </c>
      <c r="S13" s="145">
        <v>45921</v>
      </c>
      <c r="T13" s="146">
        <f t="shared" si="0"/>
        <v>8</v>
      </c>
      <c r="U13" s="153">
        <v>1</v>
      </c>
      <c r="V13" s="153">
        <v>1</v>
      </c>
      <c r="W13" s="153">
        <v>0</v>
      </c>
      <c r="X13" s="153">
        <v>1</v>
      </c>
      <c r="Y13" s="153">
        <v>0</v>
      </c>
      <c r="Z13" s="153">
        <v>1</v>
      </c>
      <c r="AA13" s="153">
        <v>0</v>
      </c>
      <c r="AB13" s="153"/>
      <c r="AC13" s="155">
        <v>45913</v>
      </c>
      <c r="AD13" s="156">
        <v>0.625</v>
      </c>
      <c r="AE13" s="153" t="s">
        <v>74</v>
      </c>
      <c r="AF13" s="155">
        <v>45921</v>
      </c>
      <c r="AG13" s="156">
        <v>0.70138888889050577</v>
      </c>
      <c r="AH13" s="153" t="s">
        <v>96</v>
      </c>
      <c r="AI13" s="153" t="s">
        <v>2315</v>
      </c>
      <c r="AJ13" s="153" t="s">
        <v>64</v>
      </c>
      <c r="AK13" s="148" t="s">
        <v>2316</v>
      </c>
      <c r="AL13" s="153" t="s">
        <v>2306</v>
      </c>
      <c r="AM13" s="149" t="s">
        <v>65</v>
      </c>
      <c r="AN13" s="158"/>
      <c r="AO13" s="159"/>
      <c r="AQ13"/>
      <c r="AR13"/>
      <c r="AS13"/>
      <c r="AT13"/>
      <c r="AU13"/>
    </row>
    <row r="14" spans="1:47" s="151" customFormat="1" ht="14.25" customHeight="1">
      <c r="A14" s="139"/>
      <c r="B14" s="139"/>
      <c r="C14" s="152" t="str">
        <f>IF($X14=1,COUNTIF($C$10:C13,"&gt;0")+1,"")</f>
        <v/>
      </c>
      <c r="D14" s="324"/>
      <c r="E14" s="153" t="s">
        <v>2309</v>
      </c>
      <c r="F14" s="154" t="s">
        <v>2328</v>
      </c>
      <c r="G14" s="153" t="s">
        <v>2310</v>
      </c>
      <c r="H14" s="153" t="s">
        <v>2329</v>
      </c>
      <c r="I14" s="153" t="s">
        <v>2312</v>
      </c>
      <c r="J14" s="153" t="s">
        <v>58</v>
      </c>
      <c r="K14" s="153" t="s">
        <v>59</v>
      </c>
      <c r="L14" s="155">
        <v>19570</v>
      </c>
      <c r="M14" s="153">
        <v>72</v>
      </c>
      <c r="N14" s="153" t="s">
        <v>2330</v>
      </c>
      <c r="O14" s="155">
        <v>48738</v>
      </c>
      <c r="P14" s="153" t="s">
        <v>4</v>
      </c>
      <c r="Q14" s="141" t="s">
        <v>2314</v>
      </c>
      <c r="R14" s="144">
        <v>45913</v>
      </c>
      <c r="S14" s="145">
        <v>45921</v>
      </c>
      <c r="T14" s="146">
        <f t="shared" si="0"/>
        <v>8</v>
      </c>
      <c r="U14" s="153">
        <v>1</v>
      </c>
      <c r="V14" s="153">
        <v>1</v>
      </c>
      <c r="W14" s="153">
        <v>0</v>
      </c>
      <c r="X14" s="153">
        <v>0</v>
      </c>
      <c r="Y14" s="153">
        <v>0</v>
      </c>
      <c r="Z14" s="153">
        <v>0</v>
      </c>
      <c r="AA14" s="153">
        <v>0</v>
      </c>
      <c r="AB14" s="153"/>
      <c r="AC14" s="155">
        <v>45913</v>
      </c>
      <c r="AD14" s="156">
        <v>0.625</v>
      </c>
      <c r="AE14" s="153" t="s">
        <v>74</v>
      </c>
      <c r="AF14" s="155">
        <v>45921</v>
      </c>
      <c r="AG14" s="156">
        <v>0.70138888889050577</v>
      </c>
      <c r="AH14" s="153" t="s">
        <v>96</v>
      </c>
      <c r="AI14" s="153" t="s">
        <v>2315</v>
      </c>
      <c r="AJ14" s="153" t="s">
        <v>64</v>
      </c>
      <c r="AK14" s="161"/>
      <c r="AL14" s="153" t="s">
        <v>2306</v>
      </c>
      <c r="AM14" s="149" t="s">
        <v>65</v>
      </c>
      <c r="AN14" s="158"/>
      <c r="AO14" s="159"/>
      <c r="AQ14"/>
      <c r="AR14"/>
      <c r="AS14"/>
      <c r="AT14"/>
      <c r="AU14"/>
    </row>
    <row r="15" spans="1:47" s="151" customFormat="1" ht="14.25" customHeight="1">
      <c r="A15" s="139"/>
      <c r="B15" s="139"/>
      <c r="C15" s="152" t="str">
        <f>IF($X15=1,COUNTIF($C$10:C14,"&gt;0")+1,"")</f>
        <v/>
      </c>
      <c r="D15" s="323"/>
      <c r="E15" s="153" t="s">
        <v>2309</v>
      </c>
      <c r="F15" s="154" t="s">
        <v>2331</v>
      </c>
      <c r="G15" s="153" t="s">
        <v>2310</v>
      </c>
      <c r="H15" s="153" t="s">
        <v>2332</v>
      </c>
      <c r="I15" s="153" t="s">
        <v>82</v>
      </c>
      <c r="J15" s="153" t="s">
        <v>58</v>
      </c>
      <c r="K15" s="153" t="s">
        <v>59</v>
      </c>
      <c r="L15" s="155">
        <v>44935</v>
      </c>
      <c r="M15" s="153">
        <v>2</v>
      </c>
      <c r="N15" s="153" t="s">
        <v>2333</v>
      </c>
      <c r="O15" s="155">
        <v>46944</v>
      </c>
      <c r="P15" s="153" t="s">
        <v>4</v>
      </c>
      <c r="Q15" s="141" t="s">
        <v>2314</v>
      </c>
      <c r="R15" s="144">
        <v>45913</v>
      </c>
      <c r="S15" s="145">
        <v>45921</v>
      </c>
      <c r="T15" s="146">
        <f t="shared" si="0"/>
        <v>8</v>
      </c>
      <c r="U15" s="153">
        <v>1</v>
      </c>
      <c r="V15" s="153">
        <v>0</v>
      </c>
      <c r="W15" s="153">
        <v>1</v>
      </c>
      <c r="X15" s="153">
        <v>0</v>
      </c>
      <c r="Y15" s="153">
        <v>0</v>
      </c>
      <c r="Z15" s="153">
        <v>0</v>
      </c>
      <c r="AA15" s="153">
        <v>0</v>
      </c>
      <c r="AB15" s="153"/>
      <c r="AC15" s="155">
        <v>45913</v>
      </c>
      <c r="AD15" s="156">
        <v>0.625</v>
      </c>
      <c r="AE15" s="153" t="s">
        <v>74</v>
      </c>
      <c r="AF15" s="155">
        <v>45921</v>
      </c>
      <c r="AG15" s="156">
        <v>0.70138888889050577</v>
      </c>
      <c r="AH15" s="153" t="s">
        <v>96</v>
      </c>
      <c r="AI15" s="153" t="s">
        <v>2315</v>
      </c>
      <c r="AJ15" s="153" t="s">
        <v>64</v>
      </c>
      <c r="AK15" s="157" t="s">
        <v>2320</v>
      </c>
      <c r="AL15" s="153" t="s">
        <v>2306</v>
      </c>
      <c r="AM15" s="149" t="s">
        <v>65</v>
      </c>
      <c r="AN15" s="158"/>
      <c r="AO15" s="159"/>
      <c r="AQ15"/>
      <c r="AR15"/>
      <c r="AS15"/>
      <c r="AT15"/>
      <c r="AU15"/>
    </row>
    <row r="16" spans="1:47" s="151" customFormat="1" ht="14.25" customHeight="1">
      <c r="A16" s="139"/>
      <c r="B16" s="139"/>
      <c r="C16" s="152">
        <f>IF($X16=1,COUNTIF($C$10:C15,"&gt;0")+1,"")</f>
        <v>3</v>
      </c>
      <c r="D16" s="322">
        <v>75985046</v>
      </c>
      <c r="E16" s="153" t="s">
        <v>2309</v>
      </c>
      <c r="F16" s="154" t="s">
        <v>2334</v>
      </c>
      <c r="G16" s="153" t="s">
        <v>2334</v>
      </c>
      <c r="H16" s="153" t="s">
        <v>2335</v>
      </c>
      <c r="I16" s="153" t="s">
        <v>2336</v>
      </c>
      <c r="J16" s="153" t="s">
        <v>68</v>
      </c>
      <c r="K16" s="153" t="s">
        <v>59</v>
      </c>
      <c r="L16" s="155">
        <v>20953</v>
      </c>
      <c r="M16" s="153">
        <v>68</v>
      </c>
      <c r="N16" s="153" t="s">
        <v>2337</v>
      </c>
      <c r="O16" s="155">
        <v>48180</v>
      </c>
      <c r="P16" s="153" t="s">
        <v>5</v>
      </c>
      <c r="Q16" s="153"/>
      <c r="R16" s="162">
        <v>45913</v>
      </c>
      <c r="S16" s="163">
        <v>45918</v>
      </c>
      <c r="T16" s="164">
        <f t="shared" si="0"/>
        <v>5</v>
      </c>
      <c r="U16" s="153">
        <v>1</v>
      </c>
      <c r="V16" s="153">
        <v>1</v>
      </c>
      <c r="W16" s="153">
        <v>0</v>
      </c>
      <c r="X16" s="153">
        <v>1</v>
      </c>
      <c r="Y16" s="153">
        <v>0</v>
      </c>
      <c r="Z16" s="153">
        <v>0</v>
      </c>
      <c r="AA16" s="153">
        <v>1</v>
      </c>
      <c r="AB16" s="153"/>
      <c r="AC16" s="155">
        <v>45913</v>
      </c>
      <c r="AD16" s="156">
        <v>0.65625</v>
      </c>
      <c r="AE16" s="153" t="s">
        <v>2338</v>
      </c>
      <c r="AF16" s="155">
        <v>45918</v>
      </c>
      <c r="AG16" s="156">
        <v>0.73958333333575865</v>
      </c>
      <c r="AH16" s="153" t="s">
        <v>1117</v>
      </c>
      <c r="AI16" s="153" t="s">
        <v>2315</v>
      </c>
      <c r="AJ16" s="153" t="s">
        <v>64</v>
      </c>
      <c r="AK16" s="153"/>
      <c r="AL16" s="153" t="s">
        <v>2306</v>
      </c>
      <c r="AM16" s="149" t="s">
        <v>65</v>
      </c>
      <c r="AN16" s="158"/>
      <c r="AO16" s="159"/>
      <c r="AQ16"/>
      <c r="AR16"/>
      <c r="AS16"/>
      <c r="AT16"/>
      <c r="AU16"/>
    </row>
    <row r="17" spans="1:47" s="151" customFormat="1" ht="14.25" customHeight="1">
      <c r="A17" s="139"/>
      <c r="B17" s="139"/>
      <c r="C17" s="152" t="str">
        <f>IF($X17=1,COUNTIF($C$10:C16,"&gt;0")+1,"")</f>
        <v/>
      </c>
      <c r="D17" s="323"/>
      <c r="E17" s="153" t="s">
        <v>2309</v>
      </c>
      <c r="F17" s="154" t="s">
        <v>2339</v>
      </c>
      <c r="G17" s="153" t="s">
        <v>2334</v>
      </c>
      <c r="H17" s="153" t="s">
        <v>2340</v>
      </c>
      <c r="I17" s="153" t="s">
        <v>2341</v>
      </c>
      <c r="J17" s="153" t="s">
        <v>58</v>
      </c>
      <c r="K17" s="153" t="s">
        <v>59</v>
      </c>
      <c r="L17" s="155">
        <v>33998</v>
      </c>
      <c r="M17" s="153">
        <v>32</v>
      </c>
      <c r="N17" s="153" t="s">
        <v>2342</v>
      </c>
      <c r="O17" s="155">
        <v>47159</v>
      </c>
      <c r="P17" s="153" t="s">
        <v>5</v>
      </c>
      <c r="Q17" s="153"/>
      <c r="R17" s="162">
        <v>45913</v>
      </c>
      <c r="S17" s="163">
        <v>45918</v>
      </c>
      <c r="T17" s="164">
        <f t="shared" si="0"/>
        <v>5</v>
      </c>
      <c r="U17" s="153">
        <v>1</v>
      </c>
      <c r="V17" s="153">
        <v>1</v>
      </c>
      <c r="W17" s="153">
        <v>0</v>
      </c>
      <c r="X17" s="153">
        <v>0</v>
      </c>
      <c r="Y17" s="153">
        <v>0</v>
      </c>
      <c r="Z17" s="153">
        <v>0</v>
      </c>
      <c r="AA17" s="153">
        <v>0</v>
      </c>
      <c r="AB17" s="153"/>
      <c r="AC17" s="155">
        <v>45913</v>
      </c>
      <c r="AD17" s="156">
        <v>0.65625</v>
      </c>
      <c r="AE17" s="153" t="s">
        <v>2338</v>
      </c>
      <c r="AF17" s="155">
        <v>45918</v>
      </c>
      <c r="AG17" s="156">
        <v>0.73958333333575865</v>
      </c>
      <c r="AH17" s="153" t="s">
        <v>1117</v>
      </c>
      <c r="AI17" s="153" t="s">
        <v>2315</v>
      </c>
      <c r="AJ17" s="153" t="s">
        <v>64</v>
      </c>
      <c r="AK17" s="153" t="s">
        <v>64</v>
      </c>
      <c r="AL17" s="153" t="s">
        <v>2306</v>
      </c>
      <c r="AM17" s="149" t="s">
        <v>65</v>
      </c>
      <c r="AN17" s="158"/>
      <c r="AO17" s="159"/>
      <c r="AQ17"/>
      <c r="AR17"/>
      <c r="AS17"/>
      <c r="AT17"/>
      <c r="AU17"/>
    </row>
    <row r="18" spans="1:47" s="151" customFormat="1" ht="14.25" customHeight="1">
      <c r="A18" s="139"/>
      <c r="B18" s="139"/>
      <c r="C18" s="152">
        <f>IF($X18=1,COUNTIF($C$10:C17,"&gt;0")+1,"")</f>
        <v>4</v>
      </c>
      <c r="D18" s="322">
        <v>75985070</v>
      </c>
      <c r="E18" s="153" t="s">
        <v>2309</v>
      </c>
      <c r="F18" s="154" t="s">
        <v>2343</v>
      </c>
      <c r="G18" s="153" t="s">
        <v>2343</v>
      </c>
      <c r="H18" s="153" t="s">
        <v>2344</v>
      </c>
      <c r="I18" s="153" t="s">
        <v>82</v>
      </c>
      <c r="J18" s="153" t="s">
        <v>68</v>
      </c>
      <c r="K18" s="153" t="s">
        <v>59</v>
      </c>
      <c r="L18" s="155">
        <v>29050</v>
      </c>
      <c r="M18" s="153">
        <v>46</v>
      </c>
      <c r="N18" s="153" t="s">
        <v>2345</v>
      </c>
      <c r="O18" s="155">
        <v>46110</v>
      </c>
      <c r="P18" s="153" t="s">
        <v>5</v>
      </c>
      <c r="Q18" s="153"/>
      <c r="R18" s="162">
        <v>45913</v>
      </c>
      <c r="S18" s="163">
        <v>45918</v>
      </c>
      <c r="T18" s="164">
        <f t="shared" si="0"/>
        <v>5</v>
      </c>
      <c r="U18" s="153">
        <v>1</v>
      </c>
      <c r="V18" s="153">
        <v>1</v>
      </c>
      <c r="W18" s="153">
        <v>0</v>
      </c>
      <c r="X18" s="153">
        <v>1</v>
      </c>
      <c r="Y18" s="153">
        <v>0</v>
      </c>
      <c r="Z18" s="153">
        <v>0</v>
      </c>
      <c r="AA18" s="153">
        <v>1</v>
      </c>
      <c r="AB18" s="153"/>
      <c r="AC18" s="155">
        <v>45909</v>
      </c>
      <c r="AD18" s="156">
        <v>0.74652777778101154</v>
      </c>
      <c r="AE18" s="153" t="s">
        <v>2214</v>
      </c>
      <c r="AF18" s="155">
        <v>45918</v>
      </c>
      <c r="AG18" s="156">
        <v>0.74652777778101154</v>
      </c>
      <c r="AH18" s="153" t="s">
        <v>2346</v>
      </c>
      <c r="AI18" s="153" t="s">
        <v>2315</v>
      </c>
      <c r="AJ18" s="153" t="s">
        <v>64</v>
      </c>
      <c r="AK18" s="153" t="s">
        <v>64</v>
      </c>
      <c r="AL18" s="153" t="s">
        <v>2306</v>
      </c>
      <c r="AM18" s="149" t="s">
        <v>65</v>
      </c>
      <c r="AN18" s="158"/>
      <c r="AO18" s="159"/>
      <c r="AQ18"/>
      <c r="AR18"/>
      <c r="AS18"/>
      <c r="AT18"/>
      <c r="AU18"/>
    </row>
    <row r="19" spans="1:47" s="151" customFormat="1" ht="14.25" customHeight="1">
      <c r="A19" s="139"/>
      <c r="B19" s="139"/>
      <c r="C19" s="152" t="str">
        <f>IF($X19=1,COUNTIF($C$10:C18,"&gt;0")+1,"")</f>
        <v/>
      </c>
      <c r="D19" s="323"/>
      <c r="E19" s="153" t="s">
        <v>2309</v>
      </c>
      <c r="F19" s="154" t="s">
        <v>2347</v>
      </c>
      <c r="G19" s="153" t="s">
        <v>2343</v>
      </c>
      <c r="H19" s="153" t="s">
        <v>2348</v>
      </c>
      <c r="I19" s="153" t="s">
        <v>1376</v>
      </c>
      <c r="J19" s="153" t="s">
        <v>68</v>
      </c>
      <c r="K19" s="153" t="s">
        <v>59</v>
      </c>
      <c r="L19" s="155">
        <v>30749</v>
      </c>
      <c r="M19" s="153">
        <v>41</v>
      </c>
      <c r="N19" s="153" t="s">
        <v>2349</v>
      </c>
      <c r="O19" s="155">
        <v>48840</v>
      </c>
      <c r="P19" s="153" t="s">
        <v>5</v>
      </c>
      <c r="Q19" s="153"/>
      <c r="R19" s="162">
        <v>45913</v>
      </c>
      <c r="S19" s="163">
        <v>45918</v>
      </c>
      <c r="T19" s="164">
        <f t="shared" si="0"/>
        <v>5</v>
      </c>
      <c r="U19" s="153">
        <v>1</v>
      </c>
      <c r="V19" s="153">
        <v>1</v>
      </c>
      <c r="W19" s="153">
        <v>0</v>
      </c>
      <c r="X19" s="153">
        <v>0</v>
      </c>
      <c r="Y19" s="153">
        <v>0</v>
      </c>
      <c r="Z19" s="153">
        <v>0</v>
      </c>
      <c r="AA19" s="153">
        <v>0</v>
      </c>
      <c r="AB19" s="153"/>
      <c r="AC19" s="155">
        <v>45913</v>
      </c>
      <c r="AD19" s="156">
        <v>0.69097222221898846</v>
      </c>
      <c r="AE19" s="153" t="s">
        <v>2350</v>
      </c>
      <c r="AF19" s="155">
        <v>45918</v>
      </c>
      <c r="AG19" s="156">
        <v>0.85763888889050577</v>
      </c>
      <c r="AH19" s="153" t="s">
        <v>2351</v>
      </c>
      <c r="AI19" s="153" t="s">
        <v>2315</v>
      </c>
      <c r="AJ19" s="153" t="s">
        <v>64</v>
      </c>
      <c r="AK19" s="153" t="s">
        <v>64</v>
      </c>
      <c r="AL19" s="153" t="s">
        <v>2306</v>
      </c>
      <c r="AM19" s="149" t="s">
        <v>65</v>
      </c>
      <c r="AN19" s="158"/>
      <c r="AO19" s="159"/>
      <c r="AQ19"/>
      <c r="AR19"/>
      <c r="AS19"/>
      <c r="AT19"/>
      <c r="AU19"/>
    </row>
    <row r="20" spans="1:47" s="151" customFormat="1" ht="14.25" customHeight="1">
      <c r="A20" s="139"/>
      <c r="B20" s="139"/>
      <c r="C20" s="152">
        <f>IF($X20=1,COUNTIF($C$10:C19,"&gt;0")+1,"")</f>
        <v>5</v>
      </c>
      <c r="D20" s="322">
        <v>75985089</v>
      </c>
      <c r="E20" s="153" t="s">
        <v>2309</v>
      </c>
      <c r="F20" s="154" t="s">
        <v>2352</v>
      </c>
      <c r="G20" s="153" t="s">
        <v>2352</v>
      </c>
      <c r="H20" s="153" t="s">
        <v>2353</v>
      </c>
      <c r="I20" s="153" t="s">
        <v>2354</v>
      </c>
      <c r="J20" s="153" t="s">
        <v>68</v>
      </c>
      <c r="K20" s="153" t="s">
        <v>59</v>
      </c>
      <c r="L20" s="155">
        <v>31598</v>
      </c>
      <c r="M20" s="153">
        <v>39</v>
      </c>
      <c r="N20" s="153" t="s">
        <v>2355</v>
      </c>
      <c r="O20" s="155">
        <v>48224</v>
      </c>
      <c r="P20" s="153" t="s">
        <v>4</v>
      </c>
      <c r="Q20" s="153"/>
      <c r="R20" s="162">
        <v>45913</v>
      </c>
      <c r="S20" s="163">
        <v>45918</v>
      </c>
      <c r="T20" s="164">
        <f t="shared" si="0"/>
        <v>5</v>
      </c>
      <c r="U20" s="153">
        <v>1</v>
      </c>
      <c r="V20" s="153">
        <v>1</v>
      </c>
      <c r="W20" s="153">
        <v>0</v>
      </c>
      <c r="X20" s="153">
        <v>1</v>
      </c>
      <c r="Y20" s="153">
        <v>0</v>
      </c>
      <c r="Z20" s="153">
        <v>1</v>
      </c>
      <c r="AA20" s="153">
        <v>0</v>
      </c>
      <c r="AB20" s="153"/>
      <c r="AC20" s="155">
        <v>45913</v>
      </c>
      <c r="AD20" s="156">
        <v>0.40277777778101154</v>
      </c>
      <c r="AE20" s="153" t="s">
        <v>358</v>
      </c>
      <c r="AF20" s="155">
        <v>45918</v>
      </c>
      <c r="AG20" s="156">
        <v>0.88888888889050577</v>
      </c>
      <c r="AH20" s="153" t="s">
        <v>2356</v>
      </c>
      <c r="AI20" s="153" t="s">
        <v>2315</v>
      </c>
      <c r="AJ20" s="153" t="s">
        <v>64</v>
      </c>
      <c r="AK20" s="153" t="s">
        <v>64</v>
      </c>
      <c r="AL20" s="153" t="s">
        <v>2306</v>
      </c>
      <c r="AM20" s="149" t="s">
        <v>65</v>
      </c>
      <c r="AN20" s="158"/>
      <c r="AO20" s="159"/>
      <c r="AQ20"/>
      <c r="AR20"/>
      <c r="AS20"/>
      <c r="AT20"/>
      <c r="AU20"/>
    </row>
    <row r="21" spans="1:47" s="151" customFormat="1" ht="14.25" customHeight="1">
      <c r="A21" s="139"/>
      <c r="B21" s="139"/>
      <c r="C21" s="152" t="str">
        <f>IF($X21=1,COUNTIF($C$10:C20,"&gt;0")+1,"")</f>
        <v/>
      </c>
      <c r="D21" s="323"/>
      <c r="E21" s="153" t="s">
        <v>2309</v>
      </c>
      <c r="F21" s="154" t="s">
        <v>2357</v>
      </c>
      <c r="G21" s="153" t="s">
        <v>2352</v>
      </c>
      <c r="H21" s="153" t="s">
        <v>2358</v>
      </c>
      <c r="I21" s="153" t="s">
        <v>2359</v>
      </c>
      <c r="J21" s="153" t="s">
        <v>68</v>
      </c>
      <c r="K21" s="153" t="s">
        <v>59</v>
      </c>
      <c r="L21" s="155">
        <v>32699</v>
      </c>
      <c r="M21" s="153">
        <v>36</v>
      </c>
      <c r="N21" s="153" t="s">
        <v>2360</v>
      </c>
      <c r="O21" s="155">
        <v>49122</v>
      </c>
      <c r="P21" s="153" t="s">
        <v>4</v>
      </c>
      <c r="Q21" s="153"/>
      <c r="R21" s="162">
        <v>45913</v>
      </c>
      <c r="S21" s="163">
        <v>45918</v>
      </c>
      <c r="T21" s="164">
        <f t="shared" si="0"/>
        <v>5</v>
      </c>
      <c r="U21" s="153">
        <v>1</v>
      </c>
      <c r="V21" s="153">
        <v>1</v>
      </c>
      <c r="W21" s="153">
        <v>0</v>
      </c>
      <c r="X21" s="153">
        <v>0</v>
      </c>
      <c r="Y21" s="153">
        <v>0</v>
      </c>
      <c r="Z21" s="153">
        <v>0</v>
      </c>
      <c r="AA21" s="153">
        <v>0</v>
      </c>
      <c r="AB21" s="153"/>
      <c r="AC21" s="155">
        <v>45913</v>
      </c>
      <c r="AD21" s="156">
        <v>0.40277777778101154</v>
      </c>
      <c r="AE21" s="153" t="s">
        <v>358</v>
      </c>
      <c r="AF21" s="155">
        <v>45918</v>
      </c>
      <c r="AG21" s="156">
        <v>0.88888888889050577</v>
      </c>
      <c r="AH21" s="153" t="s">
        <v>2356</v>
      </c>
      <c r="AI21" s="153" t="s">
        <v>2315</v>
      </c>
      <c r="AJ21" s="153" t="s">
        <v>64</v>
      </c>
      <c r="AK21" s="153" t="s">
        <v>64</v>
      </c>
      <c r="AL21" s="153" t="s">
        <v>2306</v>
      </c>
      <c r="AM21" s="149" t="s">
        <v>65</v>
      </c>
      <c r="AN21" s="158"/>
      <c r="AO21" s="159"/>
      <c r="AQ21"/>
      <c r="AR21"/>
      <c r="AS21"/>
      <c r="AT21"/>
      <c r="AU21"/>
    </row>
    <row r="22" spans="1:47" s="151" customFormat="1" ht="14.25" customHeight="1">
      <c r="A22" s="139"/>
      <c r="B22" s="139"/>
      <c r="C22" s="152">
        <f>IF($X22=1,COUNTIF($C$10:C21,"&gt;0")+1,"")</f>
        <v>6</v>
      </c>
      <c r="D22" s="322">
        <v>75985105</v>
      </c>
      <c r="E22" s="153" t="s">
        <v>2309</v>
      </c>
      <c r="F22" s="154" t="s">
        <v>2361</v>
      </c>
      <c r="G22" s="153" t="s">
        <v>2361</v>
      </c>
      <c r="H22" s="153" t="s">
        <v>1642</v>
      </c>
      <c r="I22" s="153" t="s">
        <v>1319</v>
      </c>
      <c r="J22" s="153" t="s">
        <v>58</v>
      </c>
      <c r="K22" s="153" t="s">
        <v>59</v>
      </c>
      <c r="L22" s="155">
        <v>31152</v>
      </c>
      <c r="M22" s="153">
        <v>40</v>
      </c>
      <c r="N22" s="153" t="s">
        <v>2362</v>
      </c>
      <c r="O22" s="155">
        <v>49407</v>
      </c>
      <c r="P22" s="153" t="s">
        <v>4</v>
      </c>
      <c r="Q22" s="153"/>
      <c r="R22" s="162">
        <v>45913</v>
      </c>
      <c r="S22" s="163">
        <v>45918</v>
      </c>
      <c r="T22" s="164">
        <f t="shared" si="0"/>
        <v>5</v>
      </c>
      <c r="U22" s="153">
        <v>1</v>
      </c>
      <c r="V22" s="153">
        <v>1</v>
      </c>
      <c r="W22" s="153">
        <v>0</v>
      </c>
      <c r="X22" s="153">
        <v>1</v>
      </c>
      <c r="Y22" s="153">
        <v>0</v>
      </c>
      <c r="Z22" s="153">
        <v>1</v>
      </c>
      <c r="AA22" s="153">
        <v>0</v>
      </c>
      <c r="AB22" s="153"/>
      <c r="AC22" s="155">
        <v>45913</v>
      </c>
      <c r="AD22" s="156">
        <v>0.6875</v>
      </c>
      <c r="AE22" s="153" t="s">
        <v>1052</v>
      </c>
      <c r="AF22" s="155">
        <v>45918</v>
      </c>
      <c r="AG22" s="156">
        <v>0.70138888889050577</v>
      </c>
      <c r="AH22" s="153" t="s">
        <v>96</v>
      </c>
      <c r="AI22" s="153" t="s">
        <v>2315</v>
      </c>
      <c r="AJ22" s="153" t="s">
        <v>64</v>
      </c>
      <c r="AK22" s="153" t="s">
        <v>64</v>
      </c>
      <c r="AL22" s="153" t="s">
        <v>2306</v>
      </c>
      <c r="AM22" s="149" t="s">
        <v>65</v>
      </c>
      <c r="AN22" s="158"/>
      <c r="AO22" s="159"/>
      <c r="AQ22"/>
      <c r="AR22"/>
      <c r="AS22"/>
      <c r="AT22"/>
      <c r="AU22"/>
    </row>
    <row r="23" spans="1:47" s="151" customFormat="1" ht="14.25" customHeight="1">
      <c r="A23" s="139"/>
      <c r="B23" s="139"/>
      <c r="C23" s="152" t="str">
        <f>IF($X23=1,COUNTIF($C$10:C22,"&gt;0")+1,"")</f>
        <v/>
      </c>
      <c r="D23" s="324"/>
      <c r="E23" s="153" t="s">
        <v>2309</v>
      </c>
      <c r="F23" s="154" t="s">
        <v>2363</v>
      </c>
      <c r="G23" s="153" t="s">
        <v>2361</v>
      </c>
      <c r="H23" s="153" t="s">
        <v>2364</v>
      </c>
      <c r="I23" s="153" t="s">
        <v>327</v>
      </c>
      <c r="J23" s="153" t="s">
        <v>68</v>
      </c>
      <c r="K23" s="153" t="s">
        <v>59</v>
      </c>
      <c r="L23" s="155">
        <v>31562</v>
      </c>
      <c r="M23" s="153">
        <v>39</v>
      </c>
      <c r="N23" s="153" t="s">
        <v>2365</v>
      </c>
      <c r="O23" s="155">
        <v>46600</v>
      </c>
      <c r="P23" s="153" t="s">
        <v>4</v>
      </c>
      <c r="Q23" s="153"/>
      <c r="R23" s="162">
        <v>45913</v>
      </c>
      <c r="S23" s="163">
        <v>45918</v>
      </c>
      <c r="T23" s="164">
        <f t="shared" si="0"/>
        <v>5</v>
      </c>
      <c r="U23" s="153">
        <v>1</v>
      </c>
      <c r="V23" s="153">
        <v>1</v>
      </c>
      <c r="W23" s="153">
        <v>0</v>
      </c>
      <c r="X23" s="153">
        <v>0</v>
      </c>
      <c r="Y23" s="153">
        <v>0</v>
      </c>
      <c r="Z23" s="153">
        <v>0</v>
      </c>
      <c r="AA23" s="153">
        <v>0</v>
      </c>
      <c r="AB23" s="153"/>
      <c r="AC23" s="155">
        <v>45913</v>
      </c>
      <c r="AD23" s="156">
        <v>0.6875</v>
      </c>
      <c r="AE23" s="153" t="s">
        <v>1052</v>
      </c>
      <c r="AF23" s="155">
        <v>45918</v>
      </c>
      <c r="AG23" s="156">
        <v>0.70138888889050577</v>
      </c>
      <c r="AH23" s="153" t="s">
        <v>96</v>
      </c>
      <c r="AI23" s="153" t="s">
        <v>2315</v>
      </c>
      <c r="AJ23" s="153" t="s">
        <v>64</v>
      </c>
      <c r="AK23" s="153" t="s">
        <v>64</v>
      </c>
      <c r="AL23" s="153" t="s">
        <v>2306</v>
      </c>
      <c r="AM23" s="149" t="s">
        <v>65</v>
      </c>
      <c r="AN23" s="158"/>
      <c r="AO23" s="159"/>
      <c r="AQ23"/>
      <c r="AR23"/>
      <c r="AS23"/>
      <c r="AT23"/>
      <c r="AU23"/>
    </row>
    <row r="24" spans="1:47" s="151" customFormat="1" ht="14.25" customHeight="1">
      <c r="A24" s="139"/>
      <c r="B24" s="139"/>
      <c r="C24" s="152" t="str">
        <f>IF($X24=1,COUNTIF($C$10:C23,"&gt;0")+1,"")</f>
        <v/>
      </c>
      <c r="D24" s="323"/>
      <c r="E24" s="153" t="s">
        <v>2309</v>
      </c>
      <c r="F24" s="154" t="s">
        <v>2366</v>
      </c>
      <c r="G24" s="153" t="s">
        <v>2361</v>
      </c>
      <c r="H24" s="153" t="s">
        <v>2367</v>
      </c>
      <c r="I24" s="153" t="s">
        <v>1319</v>
      </c>
      <c r="J24" s="153" t="s">
        <v>68</v>
      </c>
      <c r="K24" s="153" t="s">
        <v>59</v>
      </c>
      <c r="L24" s="155">
        <v>44584</v>
      </c>
      <c r="M24" s="153">
        <v>3</v>
      </c>
      <c r="N24" s="153" t="s">
        <v>2368</v>
      </c>
      <c r="O24" s="155">
        <v>47598</v>
      </c>
      <c r="P24" s="153" t="s">
        <v>4</v>
      </c>
      <c r="Q24" s="153"/>
      <c r="R24" s="162">
        <v>45913</v>
      </c>
      <c r="S24" s="163">
        <v>45918</v>
      </c>
      <c r="T24" s="164">
        <f t="shared" si="0"/>
        <v>5</v>
      </c>
      <c r="U24" s="153">
        <v>1</v>
      </c>
      <c r="V24" s="153">
        <v>0</v>
      </c>
      <c r="W24" s="153">
        <v>1</v>
      </c>
      <c r="X24" s="153">
        <v>0</v>
      </c>
      <c r="Y24" s="153">
        <v>0</v>
      </c>
      <c r="Z24" s="153">
        <v>0</v>
      </c>
      <c r="AA24" s="153">
        <v>0</v>
      </c>
      <c r="AB24" s="153"/>
      <c r="AC24" s="155">
        <v>45913</v>
      </c>
      <c r="AD24" s="156">
        <v>0.6875</v>
      </c>
      <c r="AE24" s="153" t="s">
        <v>1052</v>
      </c>
      <c r="AF24" s="155">
        <v>45918</v>
      </c>
      <c r="AG24" s="156">
        <v>0.70138888889050577</v>
      </c>
      <c r="AH24" s="153" t="s">
        <v>96</v>
      </c>
      <c r="AI24" s="153" t="s">
        <v>2315</v>
      </c>
      <c r="AJ24" s="153" t="s">
        <v>64</v>
      </c>
      <c r="AK24" s="153" t="s">
        <v>64</v>
      </c>
      <c r="AL24" s="153" t="s">
        <v>2306</v>
      </c>
      <c r="AM24" s="149" t="s">
        <v>65</v>
      </c>
      <c r="AN24" s="158"/>
      <c r="AO24" s="159"/>
      <c r="AQ24"/>
      <c r="AR24"/>
      <c r="AS24"/>
      <c r="AT24"/>
      <c r="AU24"/>
    </row>
    <row r="25" spans="1:47" s="151" customFormat="1" ht="14.25" customHeight="1">
      <c r="A25" s="139"/>
      <c r="B25" s="139"/>
      <c r="C25" s="152">
        <f>IF($X25=1,COUNTIF($C$10:C24,"&gt;0")+1,"")</f>
        <v>7</v>
      </c>
      <c r="D25" s="153">
        <v>75985130</v>
      </c>
      <c r="E25" s="153" t="s">
        <v>2309</v>
      </c>
      <c r="F25" s="154" t="s">
        <v>2369</v>
      </c>
      <c r="G25" s="153" t="s">
        <v>2361</v>
      </c>
      <c r="H25" s="153" t="s">
        <v>2370</v>
      </c>
      <c r="I25" s="153" t="s">
        <v>327</v>
      </c>
      <c r="J25" s="153" t="s">
        <v>58</v>
      </c>
      <c r="K25" s="153" t="s">
        <v>59</v>
      </c>
      <c r="L25" s="155">
        <v>35227</v>
      </c>
      <c r="M25" s="153">
        <v>29</v>
      </c>
      <c r="N25" s="153" t="s">
        <v>2371</v>
      </c>
      <c r="O25" s="155">
        <v>49043</v>
      </c>
      <c r="P25" s="153" t="s">
        <v>3</v>
      </c>
      <c r="Q25" s="153"/>
      <c r="R25" s="162">
        <v>45913</v>
      </c>
      <c r="S25" s="163">
        <v>45918</v>
      </c>
      <c r="T25" s="164">
        <f t="shared" si="0"/>
        <v>5</v>
      </c>
      <c r="U25" s="153">
        <v>1</v>
      </c>
      <c r="V25" s="153">
        <v>1</v>
      </c>
      <c r="W25" s="153">
        <v>0</v>
      </c>
      <c r="X25" s="153">
        <v>1</v>
      </c>
      <c r="Y25" s="153">
        <v>1</v>
      </c>
      <c r="Z25" s="153">
        <v>0</v>
      </c>
      <c r="AA25" s="153">
        <v>0</v>
      </c>
      <c r="AB25" s="153"/>
      <c r="AC25" s="155">
        <v>45913</v>
      </c>
      <c r="AD25" s="156">
        <v>0.6875</v>
      </c>
      <c r="AE25" s="153" t="s">
        <v>1052</v>
      </c>
      <c r="AF25" s="155">
        <v>45918</v>
      </c>
      <c r="AG25" s="156">
        <v>0.70138888889050577</v>
      </c>
      <c r="AH25" s="153" t="s">
        <v>96</v>
      </c>
      <c r="AI25" s="153" t="s">
        <v>2315</v>
      </c>
      <c r="AJ25" s="153" t="s">
        <v>64</v>
      </c>
      <c r="AK25" s="153" t="s">
        <v>64</v>
      </c>
      <c r="AL25" s="153" t="s">
        <v>2306</v>
      </c>
      <c r="AM25" s="149" t="s">
        <v>65</v>
      </c>
      <c r="AN25" s="158"/>
      <c r="AO25" s="159"/>
      <c r="AQ25"/>
      <c r="AR25"/>
      <c r="AS25"/>
      <c r="AT25"/>
      <c r="AU25"/>
    </row>
    <row r="26" spans="1:47" s="151" customFormat="1" ht="14.25" customHeight="1">
      <c r="A26" s="139"/>
      <c r="B26" s="139"/>
      <c r="C26" s="152">
        <f>IF($X26=1,COUNTIF($C$10:C25,"&gt;0")+1,"")</f>
        <v>8</v>
      </c>
      <c r="D26" s="322">
        <v>75985156</v>
      </c>
      <c r="E26" s="153" t="s">
        <v>2309</v>
      </c>
      <c r="F26" s="154" t="s">
        <v>2372</v>
      </c>
      <c r="G26" s="153" t="s">
        <v>2372</v>
      </c>
      <c r="H26" s="153" t="s">
        <v>2373</v>
      </c>
      <c r="I26" s="153" t="s">
        <v>82</v>
      </c>
      <c r="J26" s="153" t="s">
        <v>58</v>
      </c>
      <c r="K26" s="153" t="s">
        <v>59</v>
      </c>
      <c r="L26" s="155">
        <v>32090</v>
      </c>
      <c r="M26" s="153">
        <v>37</v>
      </c>
      <c r="N26" s="153" t="s">
        <v>2374</v>
      </c>
      <c r="O26" s="155">
        <v>49505</v>
      </c>
      <c r="P26" s="153" t="s">
        <v>5</v>
      </c>
      <c r="Q26" s="153"/>
      <c r="R26" s="162">
        <v>45913</v>
      </c>
      <c r="S26" s="163">
        <v>45918</v>
      </c>
      <c r="T26" s="164">
        <f t="shared" si="0"/>
        <v>5</v>
      </c>
      <c r="U26" s="153">
        <v>1</v>
      </c>
      <c r="V26" s="153">
        <v>1</v>
      </c>
      <c r="W26" s="153">
        <v>0</v>
      </c>
      <c r="X26" s="153">
        <v>1</v>
      </c>
      <c r="Y26" s="153">
        <v>0</v>
      </c>
      <c r="Z26" s="153">
        <v>0</v>
      </c>
      <c r="AA26" s="153">
        <v>1</v>
      </c>
      <c r="AB26" s="153"/>
      <c r="AC26" s="165">
        <v>45913</v>
      </c>
      <c r="AD26" s="166">
        <v>0.1875</v>
      </c>
      <c r="AE26" s="167" t="s">
        <v>220</v>
      </c>
      <c r="AF26" s="165">
        <v>45918</v>
      </c>
      <c r="AG26" s="166">
        <v>0.3125</v>
      </c>
      <c r="AH26" s="167" t="s">
        <v>2375</v>
      </c>
      <c r="AI26" s="167" t="s">
        <v>2315</v>
      </c>
      <c r="AJ26" s="153" t="s">
        <v>64</v>
      </c>
      <c r="AK26" s="153" t="s">
        <v>64</v>
      </c>
      <c r="AL26" s="153" t="s">
        <v>2306</v>
      </c>
      <c r="AM26" s="149" t="s">
        <v>65</v>
      </c>
      <c r="AN26" s="158"/>
      <c r="AO26" s="159"/>
      <c r="AQ26"/>
      <c r="AR26"/>
      <c r="AS26"/>
      <c r="AT26"/>
      <c r="AU26"/>
    </row>
    <row r="27" spans="1:47" s="151" customFormat="1" ht="14.25" customHeight="1">
      <c r="A27" s="139"/>
      <c r="B27" s="139"/>
      <c r="C27" s="152" t="str">
        <f>IF($X27=1,COUNTIF($C$10:C26,"&gt;0")+1,"")</f>
        <v/>
      </c>
      <c r="D27" s="323"/>
      <c r="E27" s="153" t="s">
        <v>2309</v>
      </c>
      <c r="F27" s="154" t="s">
        <v>2376</v>
      </c>
      <c r="G27" s="153" t="s">
        <v>2372</v>
      </c>
      <c r="H27" s="153" t="s">
        <v>2377</v>
      </c>
      <c r="I27" s="153" t="s">
        <v>2378</v>
      </c>
      <c r="J27" s="153" t="s">
        <v>58</v>
      </c>
      <c r="K27" s="153" t="s">
        <v>59</v>
      </c>
      <c r="L27" s="155">
        <v>34483</v>
      </c>
      <c r="M27" s="153">
        <v>31</v>
      </c>
      <c r="N27" s="153" t="s">
        <v>2379</v>
      </c>
      <c r="O27" s="155">
        <v>48589</v>
      </c>
      <c r="P27" s="153" t="s">
        <v>5</v>
      </c>
      <c r="Q27" s="153"/>
      <c r="R27" s="162">
        <v>45913</v>
      </c>
      <c r="S27" s="163">
        <v>45918</v>
      </c>
      <c r="T27" s="164">
        <f t="shared" si="0"/>
        <v>5</v>
      </c>
      <c r="U27" s="153">
        <v>1</v>
      </c>
      <c r="V27" s="153">
        <v>1</v>
      </c>
      <c r="W27" s="153">
        <v>0</v>
      </c>
      <c r="X27" s="153">
        <v>0</v>
      </c>
      <c r="Y27" s="153">
        <v>0</v>
      </c>
      <c r="Z27" s="153">
        <v>0</v>
      </c>
      <c r="AA27" s="153">
        <v>0</v>
      </c>
      <c r="AB27" s="153"/>
      <c r="AC27" s="155" t="s">
        <v>64</v>
      </c>
      <c r="AD27" s="156" t="s">
        <v>64</v>
      </c>
      <c r="AE27" s="153" t="s">
        <v>64</v>
      </c>
      <c r="AF27" s="155" t="s">
        <v>64</v>
      </c>
      <c r="AG27" s="156" t="s">
        <v>64</v>
      </c>
      <c r="AH27" s="153" t="s">
        <v>64</v>
      </c>
      <c r="AI27" s="153" t="s">
        <v>2315</v>
      </c>
      <c r="AJ27" s="153" t="s">
        <v>64</v>
      </c>
      <c r="AK27" s="153" t="s">
        <v>64</v>
      </c>
      <c r="AL27" s="153" t="s">
        <v>2306</v>
      </c>
      <c r="AM27" s="149" t="s">
        <v>65</v>
      </c>
      <c r="AN27" s="158"/>
      <c r="AO27" s="159"/>
      <c r="AQ27"/>
      <c r="AR27"/>
      <c r="AS27"/>
      <c r="AT27"/>
      <c r="AU27"/>
    </row>
    <row r="28" spans="1:47" s="151" customFormat="1" ht="14.25" customHeight="1">
      <c r="A28" s="139"/>
      <c r="B28" s="139"/>
      <c r="C28" s="152">
        <f>IF($X28=1,COUNTIF($C$10:C27,"&gt;0")+1,"")</f>
        <v>9</v>
      </c>
      <c r="D28" s="322">
        <v>75985180</v>
      </c>
      <c r="E28" s="153" t="s">
        <v>2309</v>
      </c>
      <c r="F28" s="154" t="s">
        <v>2380</v>
      </c>
      <c r="G28" s="153" t="s">
        <v>2380</v>
      </c>
      <c r="H28" s="153" t="s">
        <v>2381</v>
      </c>
      <c r="I28" s="153" t="s">
        <v>2382</v>
      </c>
      <c r="J28" s="153" t="s">
        <v>58</v>
      </c>
      <c r="K28" s="153" t="s">
        <v>59</v>
      </c>
      <c r="L28" s="155">
        <v>27909</v>
      </c>
      <c r="M28" s="153">
        <v>49</v>
      </c>
      <c r="N28" s="153" t="s">
        <v>2383</v>
      </c>
      <c r="O28" s="155">
        <v>48244</v>
      </c>
      <c r="P28" s="153" t="s">
        <v>4</v>
      </c>
      <c r="Q28" s="153"/>
      <c r="R28" s="162">
        <v>45913</v>
      </c>
      <c r="S28" s="163">
        <v>45918</v>
      </c>
      <c r="T28" s="164">
        <f t="shared" si="0"/>
        <v>5</v>
      </c>
      <c r="U28" s="153">
        <v>1</v>
      </c>
      <c r="V28" s="153">
        <v>1</v>
      </c>
      <c r="W28" s="153">
        <v>0</v>
      </c>
      <c r="X28" s="153">
        <v>1</v>
      </c>
      <c r="Y28" s="153">
        <v>0</v>
      </c>
      <c r="Z28" s="153">
        <v>1</v>
      </c>
      <c r="AA28" s="153">
        <v>0</v>
      </c>
      <c r="AB28" s="153"/>
      <c r="AC28" s="155">
        <v>45913</v>
      </c>
      <c r="AD28" s="156">
        <v>0.72222222221898846</v>
      </c>
      <c r="AE28" s="153" t="s">
        <v>164</v>
      </c>
      <c r="AF28" s="155">
        <v>45918</v>
      </c>
      <c r="AG28" s="156">
        <v>0.62152777778101154</v>
      </c>
      <c r="AH28" s="153" t="s">
        <v>2384</v>
      </c>
      <c r="AI28" s="153" t="s">
        <v>2315</v>
      </c>
      <c r="AJ28" s="153" t="s">
        <v>64</v>
      </c>
      <c r="AK28" s="153" t="s">
        <v>64</v>
      </c>
      <c r="AL28" s="153" t="s">
        <v>2306</v>
      </c>
      <c r="AM28" s="149" t="s">
        <v>65</v>
      </c>
      <c r="AN28" s="158"/>
      <c r="AO28" s="159"/>
      <c r="AQ28"/>
      <c r="AR28"/>
      <c r="AS28"/>
      <c r="AT28"/>
      <c r="AU28"/>
    </row>
    <row r="29" spans="1:47" s="151" customFormat="1" ht="14.25" customHeight="1">
      <c r="A29" s="139"/>
      <c r="B29" s="139"/>
      <c r="C29" s="152" t="str">
        <f>IF($X29=1,COUNTIF($C$10:C28,"&gt;0")+1,"")</f>
        <v/>
      </c>
      <c r="D29" s="323"/>
      <c r="E29" s="153" t="s">
        <v>2309</v>
      </c>
      <c r="F29" s="154" t="s">
        <v>2385</v>
      </c>
      <c r="G29" s="153" t="s">
        <v>2380</v>
      </c>
      <c r="H29" s="153" t="s">
        <v>2386</v>
      </c>
      <c r="I29" s="153" t="s">
        <v>744</v>
      </c>
      <c r="J29" s="153" t="s">
        <v>68</v>
      </c>
      <c r="K29" s="153" t="s">
        <v>59</v>
      </c>
      <c r="L29" s="155">
        <v>27884</v>
      </c>
      <c r="M29" s="153">
        <v>49</v>
      </c>
      <c r="N29" s="153" t="s">
        <v>2387</v>
      </c>
      <c r="O29" s="155">
        <v>47041</v>
      </c>
      <c r="P29" s="153" t="s">
        <v>4</v>
      </c>
      <c r="Q29" s="153"/>
      <c r="R29" s="162">
        <v>45913</v>
      </c>
      <c r="S29" s="163">
        <v>45918</v>
      </c>
      <c r="T29" s="164">
        <f t="shared" si="0"/>
        <v>5</v>
      </c>
      <c r="U29" s="153">
        <v>1</v>
      </c>
      <c r="V29" s="153">
        <v>1</v>
      </c>
      <c r="W29" s="153">
        <v>0</v>
      </c>
      <c r="X29" s="153">
        <v>0</v>
      </c>
      <c r="Y29" s="153">
        <v>0</v>
      </c>
      <c r="Z29" s="153">
        <v>0</v>
      </c>
      <c r="AA29" s="153">
        <v>0</v>
      </c>
      <c r="AB29" s="153"/>
      <c r="AC29" s="155">
        <v>45913</v>
      </c>
      <c r="AD29" s="156">
        <v>0.72222222221898846</v>
      </c>
      <c r="AE29" s="153" t="s">
        <v>164</v>
      </c>
      <c r="AF29" s="155">
        <v>45918</v>
      </c>
      <c r="AG29" s="156">
        <v>0.62152777778101154</v>
      </c>
      <c r="AH29" s="153" t="s">
        <v>2384</v>
      </c>
      <c r="AI29" s="153" t="s">
        <v>2315</v>
      </c>
      <c r="AJ29" s="153" t="s">
        <v>64</v>
      </c>
      <c r="AK29" s="153" t="s">
        <v>64</v>
      </c>
      <c r="AL29" s="153" t="s">
        <v>2306</v>
      </c>
      <c r="AM29" s="149" t="s">
        <v>65</v>
      </c>
      <c r="AN29" s="158"/>
      <c r="AO29" s="159"/>
      <c r="AQ29"/>
      <c r="AR29"/>
      <c r="AS29"/>
      <c r="AT29"/>
      <c r="AU29"/>
    </row>
    <row r="30" spans="1:47" s="151" customFormat="1" ht="14.25" customHeight="1">
      <c r="A30" s="139"/>
      <c r="B30" s="139"/>
      <c r="C30" s="152">
        <f>IF($X30=1,COUNTIF($C$10:C29,"&gt;0")+1,"")</f>
        <v>10</v>
      </c>
      <c r="D30" s="322">
        <v>75985191</v>
      </c>
      <c r="E30" s="153" t="s">
        <v>2309</v>
      </c>
      <c r="F30" s="154" t="s">
        <v>2388</v>
      </c>
      <c r="G30" s="153" t="s">
        <v>2388</v>
      </c>
      <c r="H30" s="153" t="s">
        <v>2389</v>
      </c>
      <c r="I30" s="153" t="s">
        <v>2382</v>
      </c>
      <c r="J30" s="153" t="s">
        <v>68</v>
      </c>
      <c r="K30" s="153" t="s">
        <v>59</v>
      </c>
      <c r="L30" s="155">
        <v>17874</v>
      </c>
      <c r="M30" s="153">
        <v>76</v>
      </c>
      <c r="N30" s="153" t="s">
        <v>2390</v>
      </c>
      <c r="O30" s="155">
        <v>48605</v>
      </c>
      <c r="P30" s="153" t="s">
        <v>4</v>
      </c>
      <c r="Q30" s="153"/>
      <c r="R30" s="162">
        <v>45913</v>
      </c>
      <c r="S30" s="163">
        <v>45918</v>
      </c>
      <c r="T30" s="164">
        <f t="shared" si="0"/>
        <v>5</v>
      </c>
      <c r="U30" s="153">
        <v>1</v>
      </c>
      <c r="V30" s="153">
        <v>1</v>
      </c>
      <c r="W30" s="153">
        <v>0</v>
      </c>
      <c r="X30" s="153">
        <v>1</v>
      </c>
      <c r="Y30" s="153">
        <v>0</v>
      </c>
      <c r="Z30" s="153">
        <v>1</v>
      </c>
      <c r="AA30" s="153">
        <v>0</v>
      </c>
      <c r="AB30" s="153"/>
      <c r="AC30" s="155">
        <v>45913</v>
      </c>
      <c r="AD30" s="156">
        <v>0.73958333333575865</v>
      </c>
      <c r="AE30" s="153" t="s">
        <v>2391</v>
      </c>
      <c r="AF30" s="155">
        <v>45918</v>
      </c>
      <c r="AG30" s="156">
        <v>0.62152777778101154</v>
      </c>
      <c r="AH30" s="153" t="s">
        <v>2384</v>
      </c>
      <c r="AI30" s="153" t="s">
        <v>2315</v>
      </c>
      <c r="AJ30" s="153" t="s">
        <v>64</v>
      </c>
      <c r="AK30" s="153" t="s">
        <v>64</v>
      </c>
      <c r="AL30" s="153" t="s">
        <v>2306</v>
      </c>
      <c r="AM30" s="149" t="s">
        <v>65</v>
      </c>
      <c r="AN30" s="158"/>
      <c r="AO30" s="159"/>
      <c r="AQ30"/>
      <c r="AR30"/>
      <c r="AS30"/>
      <c r="AT30"/>
      <c r="AU30"/>
    </row>
    <row r="31" spans="1:47" s="151" customFormat="1" ht="14.25" customHeight="1">
      <c r="A31" s="139"/>
      <c r="B31" s="139"/>
      <c r="C31" s="152" t="str">
        <f>IF($X31=1,COUNTIF($C$10:C30,"&gt;0")+1,"")</f>
        <v/>
      </c>
      <c r="D31" s="323"/>
      <c r="E31" s="153" t="s">
        <v>2309</v>
      </c>
      <c r="F31" s="154" t="s">
        <v>2392</v>
      </c>
      <c r="G31" s="153" t="s">
        <v>2388</v>
      </c>
      <c r="H31" s="153" t="s">
        <v>2393</v>
      </c>
      <c r="I31" s="153" t="s">
        <v>2382</v>
      </c>
      <c r="J31" s="153" t="s">
        <v>58</v>
      </c>
      <c r="K31" s="153" t="s">
        <v>2069</v>
      </c>
      <c r="L31" s="155">
        <v>17728</v>
      </c>
      <c r="M31" s="153">
        <v>77</v>
      </c>
      <c r="N31" s="153" t="s">
        <v>2394</v>
      </c>
      <c r="O31" s="155">
        <v>48605</v>
      </c>
      <c r="P31" s="153" t="s">
        <v>4</v>
      </c>
      <c r="Q31" s="153"/>
      <c r="R31" s="162">
        <v>45913</v>
      </c>
      <c r="S31" s="163">
        <v>45918</v>
      </c>
      <c r="T31" s="164">
        <f t="shared" si="0"/>
        <v>5</v>
      </c>
      <c r="U31" s="153">
        <v>1</v>
      </c>
      <c r="V31" s="153">
        <v>1</v>
      </c>
      <c r="W31" s="153">
        <v>0</v>
      </c>
      <c r="X31" s="153">
        <v>0</v>
      </c>
      <c r="Y31" s="153">
        <v>0</v>
      </c>
      <c r="Z31" s="153">
        <v>0</v>
      </c>
      <c r="AA31" s="153">
        <v>0</v>
      </c>
      <c r="AB31" s="153"/>
      <c r="AC31" s="155">
        <v>45913</v>
      </c>
      <c r="AD31" s="156">
        <v>0.73958333333575865</v>
      </c>
      <c r="AE31" s="153" t="s">
        <v>2391</v>
      </c>
      <c r="AF31" s="155">
        <v>45918</v>
      </c>
      <c r="AG31" s="156">
        <v>0.62152777778101154</v>
      </c>
      <c r="AH31" s="153" t="s">
        <v>2384</v>
      </c>
      <c r="AI31" s="153" t="s">
        <v>2315</v>
      </c>
      <c r="AJ31" s="153" t="s">
        <v>64</v>
      </c>
      <c r="AK31" s="153" t="s">
        <v>64</v>
      </c>
      <c r="AL31" s="153" t="s">
        <v>2306</v>
      </c>
      <c r="AM31" s="149" t="s">
        <v>65</v>
      </c>
      <c r="AN31" s="158"/>
      <c r="AO31" s="159"/>
      <c r="AQ31"/>
      <c r="AR31"/>
      <c r="AS31"/>
      <c r="AT31"/>
      <c r="AU31"/>
    </row>
    <row r="32" spans="1:47" s="151" customFormat="1" ht="14.25" customHeight="1">
      <c r="A32" s="139"/>
      <c r="B32" s="139"/>
      <c r="C32" s="152">
        <f>IF($X32=1,COUNTIF($C$10:C31,"&gt;0")+1,"")</f>
        <v>11</v>
      </c>
      <c r="D32" s="322">
        <v>75985214</v>
      </c>
      <c r="E32" s="153" t="s">
        <v>2309</v>
      </c>
      <c r="F32" s="154" t="s">
        <v>2395</v>
      </c>
      <c r="G32" s="153" t="s">
        <v>2395</v>
      </c>
      <c r="H32" s="153" t="s">
        <v>2396</v>
      </c>
      <c r="I32" s="153" t="s">
        <v>2397</v>
      </c>
      <c r="J32" s="153" t="s">
        <v>68</v>
      </c>
      <c r="K32" s="153" t="s">
        <v>59</v>
      </c>
      <c r="L32" s="155">
        <v>21854</v>
      </c>
      <c r="M32" s="153">
        <v>65</v>
      </c>
      <c r="N32" s="153" t="s">
        <v>2398</v>
      </c>
      <c r="O32" s="155">
        <v>47418</v>
      </c>
      <c r="P32" s="153" t="s">
        <v>4</v>
      </c>
      <c r="Q32" s="153"/>
      <c r="R32" s="162">
        <v>45913</v>
      </c>
      <c r="S32" s="163">
        <v>45918</v>
      </c>
      <c r="T32" s="164">
        <f t="shared" si="0"/>
        <v>5</v>
      </c>
      <c r="U32" s="153">
        <v>1</v>
      </c>
      <c r="V32" s="153">
        <v>1</v>
      </c>
      <c r="W32" s="153">
        <v>0</v>
      </c>
      <c r="X32" s="153">
        <v>1</v>
      </c>
      <c r="Y32" s="153">
        <v>0</v>
      </c>
      <c r="Z32" s="153">
        <v>1</v>
      </c>
      <c r="AA32" s="153">
        <v>0</v>
      </c>
      <c r="AB32" s="153"/>
      <c r="AC32" s="155">
        <v>45913</v>
      </c>
      <c r="AD32" s="156">
        <v>0.72222222221898846</v>
      </c>
      <c r="AE32" s="153" t="s">
        <v>164</v>
      </c>
      <c r="AF32" s="155">
        <v>45918</v>
      </c>
      <c r="AG32" s="156">
        <v>0.62152777778101154</v>
      </c>
      <c r="AH32" s="153" t="s">
        <v>2384</v>
      </c>
      <c r="AI32" s="153" t="s">
        <v>2315</v>
      </c>
      <c r="AJ32" s="153" t="s">
        <v>64</v>
      </c>
      <c r="AK32" s="153" t="s">
        <v>64</v>
      </c>
      <c r="AL32" s="153" t="s">
        <v>2306</v>
      </c>
      <c r="AM32" s="149" t="s">
        <v>65</v>
      </c>
      <c r="AN32" s="158"/>
      <c r="AO32" s="159"/>
      <c r="AQ32"/>
      <c r="AR32"/>
      <c r="AS32"/>
      <c r="AT32"/>
      <c r="AU32"/>
    </row>
    <row r="33" spans="1:47" s="151" customFormat="1" ht="14.25" customHeight="1">
      <c r="A33" s="139"/>
      <c r="B33" s="139"/>
      <c r="C33" s="152" t="str">
        <f>IF($X33=1,COUNTIF($C$10:C32,"&gt;0")+1,"")</f>
        <v/>
      </c>
      <c r="D33" s="323"/>
      <c r="E33" s="153" t="s">
        <v>2309</v>
      </c>
      <c r="F33" s="154" t="s">
        <v>2399</v>
      </c>
      <c r="G33" s="153" t="s">
        <v>2395</v>
      </c>
      <c r="H33" s="153" t="s">
        <v>2400</v>
      </c>
      <c r="I33" s="153" t="s">
        <v>2397</v>
      </c>
      <c r="J33" s="153" t="s">
        <v>58</v>
      </c>
      <c r="K33" s="153" t="s">
        <v>59</v>
      </c>
      <c r="L33" s="155">
        <v>21798</v>
      </c>
      <c r="M33" s="153">
        <v>66</v>
      </c>
      <c r="N33" s="153" t="s">
        <v>2401</v>
      </c>
      <c r="O33" s="155">
        <v>47568</v>
      </c>
      <c r="P33" s="153" t="s">
        <v>4</v>
      </c>
      <c r="Q33" s="153"/>
      <c r="R33" s="162">
        <v>45913</v>
      </c>
      <c r="S33" s="163">
        <v>45918</v>
      </c>
      <c r="T33" s="164">
        <f t="shared" si="0"/>
        <v>5</v>
      </c>
      <c r="U33" s="153">
        <v>1</v>
      </c>
      <c r="V33" s="153">
        <v>1</v>
      </c>
      <c r="W33" s="153">
        <v>0</v>
      </c>
      <c r="X33" s="153">
        <v>0</v>
      </c>
      <c r="Y33" s="153">
        <v>0</v>
      </c>
      <c r="Z33" s="153">
        <v>0</v>
      </c>
      <c r="AA33" s="153">
        <v>0</v>
      </c>
      <c r="AB33" s="153"/>
      <c r="AC33" s="155">
        <v>45913</v>
      </c>
      <c r="AD33" s="156">
        <v>0.72222222221898846</v>
      </c>
      <c r="AE33" s="153" t="s">
        <v>164</v>
      </c>
      <c r="AF33" s="155">
        <v>45918</v>
      </c>
      <c r="AG33" s="156">
        <v>0.62152777778101154</v>
      </c>
      <c r="AH33" s="153" t="s">
        <v>2384</v>
      </c>
      <c r="AI33" s="153" t="s">
        <v>2315</v>
      </c>
      <c r="AJ33" s="153" t="s">
        <v>64</v>
      </c>
      <c r="AK33" s="153" t="s">
        <v>64</v>
      </c>
      <c r="AL33" s="153" t="s">
        <v>2306</v>
      </c>
      <c r="AM33" s="149" t="s">
        <v>65</v>
      </c>
      <c r="AN33" s="158"/>
      <c r="AO33" s="159"/>
      <c r="AQ33"/>
      <c r="AR33"/>
      <c r="AS33"/>
      <c r="AT33"/>
      <c r="AU33"/>
    </row>
    <row r="34" spans="1:47" s="151" customFormat="1" ht="14.25" customHeight="1">
      <c r="A34" s="139"/>
      <c r="B34" s="139"/>
      <c r="C34" s="152">
        <f>IF($X34=1,COUNTIF($C$10:C33,"&gt;0")+1,"")</f>
        <v>12</v>
      </c>
      <c r="D34" s="322">
        <v>75985233</v>
      </c>
      <c r="E34" s="153" t="s">
        <v>2309</v>
      </c>
      <c r="F34" s="154" t="s">
        <v>2402</v>
      </c>
      <c r="G34" s="153" t="s">
        <v>2402</v>
      </c>
      <c r="H34" s="153" t="s">
        <v>2403</v>
      </c>
      <c r="I34" s="153" t="s">
        <v>2404</v>
      </c>
      <c r="J34" s="153" t="s">
        <v>68</v>
      </c>
      <c r="K34" s="153" t="s">
        <v>59</v>
      </c>
      <c r="L34" s="155">
        <v>24065</v>
      </c>
      <c r="M34" s="153">
        <v>59</v>
      </c>
      <c r="N34" s="153" t="s">
        <v>2405</v>
      </c>
      <c r="O34" s="155">
        <v>47083</v>
      </c>
      <c r="P34" s="153" t="s">
        <v>4</v>
      </c>
      <c r="Q34" s="153"/>
      <c r="R34" s="162">
        <v>45913</v>
      </c>
      <c r="S34" s="163">
        <v>45918</v>
      </c>
      <c r="T34" s="164">
        <f t="shared" si="0"/>
        <v>5</v>
      </c>
      <c r="U34" s="153">
        <v>1</v>
      </c>
      <c r="V34" s="153">
        <v>1</v>
      </c>
      <c r="W34" s="153">
        <v>0</v>
      </c>
      <c r="X34" s="153">
        <v>1</v>
      </c>
      <c r="Y34" s="153">
        <v>0</v>
      </c>
      <c r="Z34" s="153">
        <v>1</v>
      </c>
      <c r="AA34" s="153">
        <v>0</v>
      </c>
      <c r="AB34" s="153"/>
      <c r="AC34" s="155">
        <v>45913</v>
      </c>
      <c r="AD34" s="156">
        <v>0.73958333333575865</v>
      </c>
      <c r="AE34" s="153" t="s">
        <v>2406</v>
      </c>
      <c r="AF34" s="155">
        <v>45918</v>
      </c>
      <c r="AG34" s="156">
        <v>0.87847222221898846</v>
      </c>
      <c r="AH34" s="153" t="s">
        <v>1489</v>
      </c>
      <c r="AI34" s="153" t="s">
        <v>2315</v>
      </c>
      <c r="AJ34" s="153" t="s">
        <v>64</v>
      </c>
      <c r="AK34" s="153" t="s">
        <v>64</v>
      </c>
      <c r="AL34" s="153" t="s">
        <v>2306</v>
      </c>
      <c r="AM34" s="149" t="s">
        <v>65</v>
      </c>
      <c r="AN34" s="158"/>
      <c r="AO34" s="159"/>
      <c r="AQ34"/>
      <c r="AR34"/>
      <c r="AS34"/>
      <c r="AT34"/>
      <c r="AU34"/>
    </row>
    <row r="35" spans="1:47" s="151" customFormat="1" ht="14.25" customHeight="1">
      <c r="A35" s="139"/>
      <c r="B35" s="139"/>
      <c r="C35" s="152" t="str">
        <f>IF($X35=1,COUNTIF($C$10:C34,"&gt;0")+1,"")</f>
        <v/>
      </c>
      <c r="D35" s="323"/>
      <c r="E35" s="153" t="s">
        <v>2309</v>
      </c>
      <c r="F35" s="154" t="s">
        <v>2407</v>
      </c>
      <c r="G35" s="153" t="s">
        <v>2402</v>
      </c>
      <c r="H35" s="153" t="s">
        <v>2408</v>
      </c>
      <c r="I35" s="153" t="s">
        <v>2404</v>
      </c>
      <c r="J35" s="153" t="s">
        <v>58</v>
      </c>
      <c r="K35" s="153" t="s">
        <v>59</v>
      </c>
      <c r="L35" s="155">
        <v>24072</v>
      </c>
      <c r="M35" s="153">
        <v>59</v>
      </c>
      <c r="N35" s="153" t="s">
        <v>2409</v>
      </c>
      <c r="O35" s="155">
        <v>47152</v>
      </c>
      <c r="P35" s="153" t="s">
        <v>4</v>
      </c>
      <c r="Q35" s="153"/>
      <c r="R35" s="162">
        <v>45913</v>
      </c>
      <c r="S35" s="163">
        <v>45918</v>
      </c>
      <c r="T35" s="164">
        <f t="shared" si="0"/>
        <v>5</v>
      </c>
      <c r="U35" s="153">
        <v>1</v>
      </c>
      <c r="V35" s="153">
        <v>1</v>
      </c>
      <c r="W35" s="153">
        <v>0</v>
      </c>
      <c r="X35" s="153">
        <v>0</v>
      </c>
      <c r="Y35" s="153">
        <v>0</v>
      </c>
      <c r="Z35" s="153">
        <v>0</v>
      </c>
      <c r="AA35" s="153">
        <v>0</v>
      </c>
      <c r="AB35" s="153"/>
      <c r="AC35" s="155">
        <v>45913</v>
      </c>
      <c r="AD35" s="156">
        <v>0.73958333333575865</v>
      </c>
      <c r="AE35" s="153" t="s">
        <v>2406</v>
      </c>
      <c r="AF35" s="155">
        <v>45918</v>
      </c>
      <c r="AG35" s="156">
        <v>0.87847222221898846</v>
      </c>
      <c r="AH35" s="153" t="s">
        <v>1489</v>
      </c>
      <c r="AI35" s="153" t="s">
        <v>2315</v>
      </c>
      <c r="AJ35" s="153" t="s">
        <v>64</v>
      </c>
      <c r="AK35" s="153" t="s">
        <v>64</v>
      </c>
      <c r="AL35" s="153" t="s">
        <v>2306</v>
      </c>
      <c r="AM35" s="149" t="s">
        <v>65</v>
      </c>
      <c r="AN35" s="158"/>
      <c r="AO35" s="159"/>
      <c r="AQ35"/>
      <c r="AR35"/>
      <c r="AS35"/>
      <c r="AT35"/>
      <c r="AU35"/>
    </row>
    <row r="36" spans="1:47" s="151" customFormat="1" ht="14.25" customHeight="1">
      <c r="A36" s="139"/>
      <c r="B36" s="139"/>
      <c r="C36" s="152">
        <f>IF($X36=1,COUNTIF($C$10:C35,"&gt;0")+1,"")</f>
        <v>13</v>
      </c>
      <c r="D36" s="322">
        <v>75985245</v>
      </c>
      <c r="E36" s="153" t="s">
        <v>2309</v>
      </c>
      <c r="F36" s="154" t="s">
        <v>2410</v>
      </c>
      <c r="G36" s="153" t="s">
        <v>2410</v>
      </c>
      <c r="H36" s="153" t="s">
        <v>2411</v>
      </c>
      <c r="I36" s="153" t="s">
        <v>2412</v>
      </c>
      <c r="J36" s="153" t="s">
        <v>68</v>
      </c>
      <c r="K36" s="153" t="s">
        <v>59</v>
      </c>
      <c r="L36" s="155">
        <v>26911</v>
      </c>
      <c r="M36" s="153">
        <v>52</v>
      </c>
      <c r="N36" s="153" t="s">
        <v>2413</v>
      </c>
      <c r="O36" s="155">
        <v>46370</v>
      </c>
      <c r="P36" s="153" t="s">
        <v>4</v>
      </c>
      <c r="Q36" s="153"/>
      <c r="R36" s="162">
        <v>45913</v>
      </c>
      <c r="S36" s="163">
        <v>45918</v>
      </c>
      <c r="T36" s="164">
        <f t="shared" si="0"/>
        <v>5</v>
      </c>
      <c r="U36" s="153">
        <v>1</v>
      </c>
      <c r="V36" s="153">
        <v>1</v>
      </c>
      <c r="W36" s="153">
        <v>0</v>
      </c>
      <c r="X36" s="153">
        <v>1</v>
      </c>
      <c r="Y36" s="153">
        <v>0</v>
      </c>
      <c r="Z36" s="153">
        <v>1</v>
      </c>
      <c r="AA36" s="153">
        <v>0</v>
      </c>
      <c r="AB36" s="153"/>
      <c r="AC36" s="155">
        <v>45913</v>
      </c>
      <c r="AD36" s="156">
        <v>0.18055555555474712</v>
      </c>
      <c r="AE36" s="153" t="s">
        <v>95</v>
      </c>
      <c r="AF36" s="155">
        <v>45918</v>
      </c>
      <c r="AG36" s="156">
        <v>0.70138888889050577</v>
      </c>
      <c r="AH36" s="153" t="s">
        <v>96</v>
      </c>
      <c r="AI36" s="153" t="s">
        <v>2315</v>
      </c>
      <c r="AJ36" s="153" t="s">
        <v>64</v>
      </c>
      <c r="AK36" s="153" t="s">
        <v>64</v>
      </c>
      <c r="AL36" s="153" t="s">
        <v>2306</v>
      </c>
      <c r="AM36" s="149" t="s">
        <v>65</v>
      </c>
      <c r="AN36" s="158"/>
      <c r="AO36" s="159"/>
      <c r="AQ36"/>
      <c r="AR36"/>
      <c r="AS36"/>
      <c r="AT36"/>
      <c r="AU36"/>
    </row>
    <row r="37" spans="1:47" s="151" customFormat="1" ht="14.25" customHeight="1">
      <c r="A37" s="139"/>
      <c r="B37" s="139"/>
      <c r="C37" s="152" t="str">
        <f>IF($X37=1,COUNTIF($C$10:C36,"&gt;0")+1,"")</f>
        <v/>
      </c>
      <c r="D37" s="324"/>
      <c r="E37" s="153" t="s">
        <v>2309</v>
      </c>
      <c r="F37" s="154" t="s">
        <v>2414</v>
      </c>
      <c r="G37" s="153" t="s">
        <v>2410</v>
      </c>
      <c r="H37" s="153" t="s">
        <v>2415</v>
      </c>
      <c r="I37" s="153" t="s">
        <v>2416</v>
      </c>
      <c r="J37" s="153" t="s">
        <v>58</v>
      </c>
      <c r="K37" s="153" t="s">
        <v>59</v>
      </c>
      <c r="L37" s="155">
        <v>38031</v>
      </c>
      <c r="M37" s="153">
        <v>21</v>
      </c>
      <c r="N37" s="153" t="s">
        <v>2417</v>
      </c>
      <c r="O37" s="155">
        <v>48759</v>
      </c>
      <c r="P37" s="153" t="s">
        <v>4</v>
      </c>
      <c r="Q37" s="153"/>
      <c r="R37" s="162">
        <v>45913</v>
      </c>
      <c r="S37" s="163">
        <v>45918</v>
      </c>
      <c r="T37" s="164">
        <f t="shared" si="0"/>
        <v>5</v>
      </c>
      <c r="U37" s="153">
        <v>1</v>
      </c>
      <c r="V37" s="153">
        <v>1</v>
      </c>
      <c r="W37" s="153">
        <v>0</v>
      </c>
      <c r="X37" s="153">
        <v>0</v>
      </c>
      <c r="Y37" s="153">
        <v>0</v>
      </c>
      <c r="Z37" s="153">
        <v>0</v>
      </c>
      <c r="AA37" s="153">
        <v>0</v>
      </c>
      <c r="AB37" s="153"/>
      <c r="AC37" s="155">
        <v>45913</v>
      </c>
      <c r="AD37" s="156">
        <v>0.18055555555474712</v>
      </c>
      <c r="AE37" s="153" t="s">
        <v>95</v>
      </c>
      <c r="AF37" s="155">
        <v>45918</v>
      </c>
      <c r="AG37" s="156">
        <v>0.70138888889050577</v>
      </c>
      <c r="AH37" s="153" t="s">
        <v>96</v>
      </c>
      <c r="AI37" s="153" t="s">
        <v>2315</v>
      </c>
      <c r="AJ37" s="153" t="s">
        <v>64</v>
      </c>
      <c r="AK37" s="153" t="s">
        <v>64</v>
      </c>
      <c r="AL37" s="153" t="s">
        <v>2306</v>
      </c>
      <c r="AM37" s="149" t="s">
        <v>65</v>
      </c>
      <c r="AN37" s="158"/>
      <c r="AO37" s="159"/>
      <c r="AQ37"/>
      <c r="AR37"/>
      <c r="AS37"/>
      <c r="AT37"/>
      <c r="AU37"/>
    </row>
    <row r="38" spans="1:47" s="151" customFormat="1" ht="14.25" customHeight="1">
      <c r="A38" s="139"/>
      <c r="B38" s="139"/>
      <c r="C38" s="152" t="str">
        <f>IF($X38=1,COUNTIF($C$10:C37,"&gt;0")+1,"")</f>
        <v/>
      </c>
      <c r="D38" s="323"/>
      <c r="E38" s="153" t="s">
        <v>2309</v>
      </c>
      <c r="F38" s="154" t="s">
        <v>2418</v>
      </c>
      <c r="G38" s="153" t="s">
        <v>2410</v>
      </c>
      <c r="H38" s="153" t="s">
        <v>2419</v>
      </c>
      <c r="I38" s="153" t="s">
        <v>2412</v>
      </c>
      <c r="J38" s="153" t="s">
        <v>58</v>
      </c>
      <c r="K38" s="153" t="s">
        <v>59</v>
      </c>
      <c r="L38" s="155">
        <v>41773</v>
      </c>
      <c r="M38" s="153">
        <v>11</v>
      </c>
      <c r="N38" s="153" t="s">
        <v>2420</v>
      </c>
      <c r="O38" s="155">
        <v>46613</v>
      </c>
      <c r="P38" s="153" t="s">
        <v>4</v>
      </c>
      <c r="Q38" s="153"/>
      <c r="R38" s="162">
        <v>45913</v>
      </c>
      <c r="S38" s="163">
        <v>45918</v>
      </c>
      <c r="T38" s="164">
        <f t="shared" si="0"/>
        <v>5</v>
      </c>
      <c r="U38" s="153">
        <v>1</v>
      </c>
      <c r="V38" s="153">
        <v>0</v>
      </c>
      <c r="W38" s="153">
        <v>1</v>
      </c>
      <c r="X38" s="153">
        <v>0</v>
      </c>
      <c r="Y38" s="153">
        <v>0</v>
      </c>
      <c r="Z38" s="153">
        <v>0</v>
      </c>
      <c r="AA38" s="153">
        <v>0</v>
      </c>
      <c r="AB38" s="153"/>
      <c r="AC38" s="155">
        <v>45913</v>
      </c>
      <c r="AD38" s="156">
        <v>0.18055555555474712</v>
      </c>
      <c r="AE38" s="153" t="s">
        <v>95</v>
      </c>
      <c r="AF38" s="155">
        <v>45918</v>
      </c>
      <c r="AG38" s="156">
        <v>0.70138888889050577</v>
      </c>
      <c r="AH38" s="153" t="s">
        <v>96</v>
      </c>
      <c r="AI38" s="153" t="s">
        <v>2315</v>
      </c>
      <c r="AJ38" s="153" t="s">
        <v>64</v>
      </c>
      <c r="AK38" s="153" t="s">
        <v>64</v>
      </c>
      <c r="AL38" s="153" t="s">
        <v>2306</v>
      </c>
      <c r="AM38" s="149" t="s">
        <v>65</v>
      </c>
      <c r="AN38" s="158"/>
      <c r="AO38" s="159"/>
      <c r="AQ38"/>
      <c r="AR38"/>
      <c r="AS38"/>
      <c r="AT38"/>
      <c r="AU38"/>
    </row>
    <row r="39" spans="1:47" s="151" customFormat="1" ht="14.25" customHeight="1">
      <c r="A39" s="139"/>
      <c r="B39" s="139"/>
      <c r="C39" s="152">
        <f>IF($X39=1,COUNTIF($C$10:C38,"&gt;0")+1,"")</f>
        <v>14</v>
      </c>
      <c r="D39" s="153">
        <v>75985262</v>
      </c>
      <c r="E39" s="153" t="s">
        <v>2309</v>
      </c>
      <c r="F39" s="154" t="s">
        <v>2421</v>
      </c>
      <c r="G39" s="153" t="s">
        <v>2421</v>
      </c>
      <c r="H39" s="153" t="s">
        <v>2422</v>
      </c>
      <c r="I39" s="153" t="s">
        <v>2423</v>
      </c>
      <c r="J39" s="153" t="s">
        <v>68</v>
      </c>
      <c r="K39" s="153" t="s">
        <v>2069</v>
      </c>
      <c r="L39" s="155">
        <v>23481</v>
      </c>
      <c r="M39" s="153">
        <v>61</v>
      </c>
      <c r="N39" s="153" t="s">
        <v>2424</v>
      </c>
      <c r="O39" s="155">
        <v>47288</v>
      </c>
      <c r="P39" s="153" t="s">
        <v>3</v>
      </c>
      <c r="Q39" s="153"/>
      <c r="R39" s="162">
        <v>45913</v>
      </c>
      <c r="S39" s="163">
        <v>45918</v>
      </c>
      <c r="T39" s="164">
        <f t="shared" si="0"/>
        <v>5</v>
      </c>
      <c r="U39" s="153">
        <v>1</v>
      </c>
      <c r="V39" s="153">
        <v>1</v>
      </c>
      <c r="W39" s="153">
        <v>0</v>
      </c>
      <c r="X39" s="153">
        <v>1</v>
      </c>
      <c r="Y39" s="153">
        <v>1</v>
      </c>
      <c r="Z39" s="153">
        <v>0</v>
      </c>
      <c r="AA39" s="153">
        <v>0</v>
      </c>
      <c r="AB39" s="153"/>
      <c r="AC39" s="155">
        <v>45913</v>
      </c>
      <c r="AD39" s="156">
        <v>0.72222222221898846</v>
      </c>
      <c r="AE39" s="153" t="s">
        <v>164</v>
      </c>
      <c r="AF39" s="155">
        <v>45918</v>
      </c>
      <c r="AG39" s="156">
        <v>0.62152777778101154</v>
      </c>
      <c r="AH39" s="153" t="s">
        <v>2384</v>
      </c>
      <c r="AI39" s="153" t="s">
        <v>2315</v>
      </c>
      <c r="AJ39" s="153" t="s">
        <v>64</v>
      </c>
      <c r="AK39" s="153" t="s">
        <v>64</v>
      </c>
      <c r="AL39" s="153" t="s">
        <v>2306</v>
      </c>
      <c r="AM39" s="149" t="s">
        <v>65</v>
      </c>
      <c r="AN39" s="158"/>
      <c r="AO39" s="159"/>
      <c r="AQ39"/>
      <c r="AR39"/>
      <c r="AS39"/>
      <c r="AT39"/>
      <c r="AU39"/>
    </row>
    <row r="40" spans="1:47" s="151" customFormat="1" ht="14.25" customHeight="1">
      <c r="A40" s="139"/>
      <c r="B40" s="139"/>
      <c r="C40" s="152">
        <f>IF($X40=1,COUNTIF($C$10:C39,"&gt;0")+1,"")</f>
        <v>15</v>
      </c>
      <c r="D40" s="322">
        <v>75985277</v>
      </c>
      <c r="E40" s="153" t="s">
        <v>2309</v>
      </c>
      <c r="F40" s="154" t="s">
        <v>2425</v>
      </c>
      <c r="G40" s="153" t="s">
        <v>2425</v>
      </c>
      <c r="H40" s="153" t="s">
        <v>2426</v>
      </c>
      <c r="I40" s="153" t="s">
        <v>785</v>
      </c>
      <c r="J40" s="153" t="s">
        <v>68</v>
      </c>
      <c r="K40" s="153" t="s">
        <v>59</v>
      </c>
      <c r="L40" s="155">
        <v>26697</v>
      </c>
      <c r="M40" s="153">
        <v>52</v>
      </c>
      <c r="N40" s="153" t="s">
        <v>2427</v>
      </c>
      <c r="O40" s="155">
        <v>46670</v>
      </c>
      <c r="P40" s="153" t="s">
        <v>4</v>
      </c>
      <c r="Q40" s="153"/>
      <c r="R40" s="162">
        <v>45913</v>
      </c>
      <c r="S40" s="163">
        <v>45918</v>
      </c>
      <c r="T40" s="164">
        <f t="shared" si="0"/>
        <v>5</v>
      </c>
      <c r="U40" s="153">
        <v>1</v>
      </c>
      <c r="V40" s="153">
        <v>1</v>
      </c>
      <c r="W40" s="153">
        <v>0</v>
      </c>
      <c r="X40" s="153">
        <v>1</v>
      </c>
      <c r="Y40" s="153">
        <v>0</v>
      </c>
      <c r="Z40" s="153">
        <v>1</v>
      </c>
      <c r="AA40" s="153">
        <v>0</v>
      </c>
      <c r="AB40" s="153"/>
      <c r="AC40" s="155">
        <v>45913</v>
      </c>
      <c r="AD40" s="156">
        <v>0.625</v>
      </c>
      <c r="AE40" s="153" t="s">
        <v>74</v>
      </c>
      <c r="AF40" s="155">
        <v>45918</v>
      </c>
      <c r="AG40" s="156">
        <v>0.70138888889050577</v>
      </c>
      <c r="AH40" s="153" t="s">
        <v>96</v>
      </c>
      <c r="AI40" s="153" t="s">
        <v>2315</v>
      </c>
      <c r="AJ40" s="153" t="s">
        <v>64</v>
      </c>
      <c r="AK40" s="153" t="s">
        <v>64</v>
      </c>
      <c r="AL40" s="153" t="s">
        <v>2306</v>
      </c>
      <c r="AM40" s="149" t="s">
        <v>65</v>
      </c>
      <c r="AN40" s="158"/>
      <c r="AO40" s="159"/>
      <c r="AQ40"/>
      <c r="AR40"/>
      <c r="AS40"/>
      <c r="AT40"/>
      <c r="AU40"/>
    </row>
    <row r="41" spans="1:47" s="151" customFormat="1" ht="14.25" customHeight="1">
      <c r="A41" s="139"/>
      <c r="B41" s="139"/>
      <c r="C41" s="152" t="str">
        <f>IF($X41=1,COUNTIF($C$10:C40,"&gt;0")+1,"")</f>
        <v/>
      </c>
      <c r="D41" s="324"/>
      <c r="E41" s="153" t="s">
        <v>2309</v>
      </c>
      <c r="F41" s="154" t="s">
        <v>2428</v>
      </c>
      <c r="G41" s="153" t="s">
        <v>2425</v>
      </c>
      <c r="H41" s="153" t="s">
        <v>2429</v>
      </c>
      <c r="I41" s="153" t="s">
        <v>2430</v>
      </c>
      <c r="J41" s="153" t="s">
        <v>58</v>
      </c>
      <c r="K41" s="153" t="s">
        <v>59</v>
      </c>
      <c r="L41" s="155">
        <v>24108</v>
      </c>
      <c r="M41" s="153">
        <v>59</v>
      </c>
      <c r="N41" s="153" t="s">
        <v>2431</v>
      </c>
      <c r="O41" s="155">
        <v>47232</v>
      </c>
      <c r="P41" s="153" t="s">
        <v>4</v>
      </c>
      <c r="Q41" s="153"/>
      <c r="R41" s="162">
        <v>45913</v>
      </c>
      <c r="S41" s="163">
        <v>45918</v>
      </c>
      <c r="T41" s="164">
        <f t="shared" si="0"/>
        <v>5</v>
      </c>
      <c r="U41" s="153">
        <v>1</v>
      </c>
      <c r="V41" s="153">
        <v>1</v>
      </c>
      <c r="W41" s="153">
        <v>0</v>
      </c>
      <c r="X41" s="153">
        <v>0</v>
      </c>
      <c r="Y41" s="153">
        <v>0</v>
      </c>
      <c r="Z41" s="153">
        <v>0</v>
      </c>
      <c r="AA41" s="153">
        <v>0</v>
      </c>
      <c r="AB41" s="153"/>
      <c r="AC41" s="155">
        <v>45913</v>
      </c>
      <c r="AD41" s="156">
        <v>0.625</v>
      </c>
      <c r="AE41" s="153" t="s">
        <v>74</v>
      </c>
      <c r="AF41" s="155">
        <v>45918</v>
      </c>
      <c r="AG41" s="156">
        <v>0.70138888889050577</v>
      </c>
      <c r="AH41" s="153" t="s">
        <v>96</v>
      </c>
      <c r="AI41" s="153" t="s">
        <v>2315</v>
      </c>
      <c r="AJ41" s="153" t="s">
        <v>64</v>
      </c>
      <c r="AK41" s="153" t="s">
        <v>64</v>
      </c>
      <c r="AL41" s="153" t="s">
        <v>2306</v>
      </c>
      <c r="AM41" s="149" t="s">
        <v>65</v>
      </c>
      <c r="AN41" s="158"/>
      <c r="AO41" s="159"/>
      <c r="AQ41"/>
      <c r="AR41"/>
      <c r="AS41"/>
      <c r="AT41"/>
      <c r="AU41"/>
    </row>
    <row r="42" spans="1:47" s="151" customFormat="1" ht="14.25" customHeight="1">
      <c r="A42" s="139"/>
      <c r="B42" s="139"/>
      <c r="C42" s="152" t="str">
        <f>IF($X42=1,COUNTIF($C$10:C41,"&gt;0")+1,"")</f>
        <v/>
      </c>
      <c r="D42" s="323"/>
      <c r="E42" s="153" t="s">
        <v>2309</v>
      </c>
      <c r="F42" s="154" t="s">
        <v>2432</v>
      </c>
      <c r="G42" s="153" t="s">
        <v>2425</v>
      </c>
      <c r="H42" s="153" t="s">
        <v>2433</v>
      </c>
      <c r="I42" s="153" t="s">
        <v>82</v>
      </c>
      <c r="J42" s="153" t="s">
        <v>68</v>
      </c>
      <c r="K42" s="153" t="s">
        <v>59</v>
      </c>
      <c r="L42" s="155">
        <v>41859</v>
      </c>
      <c r="M42" s="153">
        <v>11</v>
      </c>
      <c r="N42" s="153" t="s">
        <v>2434</v>
      </c>
      <c r="O42" s="155">
        <v>47196</v>
      </c>
      <c r="P42" s="153" t="s">
        <v>4</v>
      </c>
      <c r="Q42" s="153"/>
      <c r="R42" s="162">
        <v>45913</v>
      </c>
      <c r="S42" s="163">
        <v>45918</v>
      </c>
      <c r="T42" s="164">
        <f t="shared" si="0"/>
        <v>5</v>
      </c>
      <c r="U42" s="153">
        <v>1</v>
      </c>
      <c r="V42" s="153">
        <v>0</v>
      </c>
      <c r="W42" s="153">
        <v>1</v>
      </c>
      <c r="X42" s="153">
        <v>0</v>
      </c>
      <c r="Y42" s="153">
        <v>0</v>
      </c>
      <c r="Z42" s="153">
        <v>0</v>
      </c>
      <c r="AA42" s="153">
        <v>0</v>
      </c>
      <c r="AB42" s="153"/>
      <c r="AC42" s="155">
        <v>45913</v>
      </c>
      <c r="AD42" s="156">
        <v>0.625</v>
      </c>
      <c r="AE42" s="153" t="s">
        <v>74</v>
      </c>
      <c r="AF42" s="155">
        <v>45918</v>
      </c>
      <c r="AG42" s="156">
        <v>0.70138888889050577</v>
      </c>
      <c r="AH42" s="153" t="s">
        <v>96</v>
      </c>
      <c r="AI42" s="153" t="s">
        <v>2315</v>
      </c>
      <c r="AJ42" s="153" t="s">
        <v>64</v>
      </c>
      <c r="AK42" s="153" t="s">
        <v>64</v>
      </c>
      <c r="AL42" s="153" t="s">
        <v>2306</v>
      </c>
      <c r="AM42" s="149" t="s">
        <v>65</v>
      </c>
      <c r="AN42" s="158"/>
      <c r="AO42" s="159"/>
      <c r="AQ42"/>
      <c r="AR42"/>
      <c r="AS42"/>
      <c r="AT42"/>
      <c r="AU42"/>
    </row>
    <row r="43" spans="1:47" s="151" customFormat="1" ht="14.25" customHeight="1">
      <c r="A43" s="139"/>
      <c r="B43" s="139"/>
      <c r="C43" s="152">
        <f>IF($X43=1,COUNTIF($C$10:C42,"&gt;0")+1,"")</f>
        <v>16</v>
      </c>
      <c r="D43" s="322">
        <v>75985283</v>
      </c>
      <c r="E43" s="153" t="s">
        <v>2309</v>
      </c>
      <c r="F43" s="154" t="s">
        <v>2435</v>
      </c>
      <c r="G43" s="153" t="s">
        <v>2425</v>
      </c>
      <c r="H43" s="153" t="s">
        <v>2436</v>
      </c>
      <c r="I43" s="153" t="s">
        <v>785</v>
      </c>
      <c r="J43" s="153" t="s">
        <v>58</v>
      </c>
      <c r="K43" s="153" t="s">
        <v>59</v>
      </c>
      <c r="L43" s="155">
        <v>13913</v>
      </c>
      <c r="M43" s="153">
        <v>87</v>
      </c>
      <c r="N43" s="153" t="s">
        <v>2437</v>
      </c>
      <c r="O43" s="155">
        <v>46828</v>
      </c>
      <c r="P43" s="153" t="s">
        <v>4</v>
      </c>
      <c r="Q43" s="153"/>
      <c r="R43" s="162">
        <v>45913</v>
      </c>
      <c r="S43" s="163">
        <v>45918</v>
      </c>
      <c r="T43" s="164">
        <f t="shared" si="0"/>
        <v>5</v>
      </c>
      <c r="U43" s="153">
        <v>1</v>
      </c>
      <c r="V43" s="153">
        <v>1</v>
      </c>
      <c r="W43" s="153">
        <v>0</v>
      </c>
      <c r="X43" s="153">
        <v>1</v>
      </c>
      <c r="Y43" s="153">
        <v>0</v>
      </c>
      <c r="Z43" s="153">
        <v>1</v>
      </c>
      <c r="AA43" s="153">
        <v>0</v>
      </c>
      <c r="AB43" s="153"/>
      <c r="AC43" s="155">
        <v>45913</v>
      </c>
      <c r="AD43" s="156">
        <v>0.625</v>
      </c>
      <c r="AE43" s="153" t="s">
        <v>74</v>
      </c>
      <c r="AF43" s="155">
        <v>45918</v>
      </c>
      <c r="AG43" s="156">
        <v>0.70138888889050577</v>
      </c>
      <c r="AH43" s="153" t="s">
        <v>96</v>
      </c>
      <c r="AI43" s="153" t="s">
        <v>2315</v>
      </c>
      <c r="AJ43" s="153" t="s">
        <v>64</v>
      </c>
      <c r="AK43" s="153" t="s">
        <v>64</v>
      </c>
      <c r="AL43" s="153" t="s">
        <v>2306</v>
      </c>
      <c r="AM43" s="149" t="s">
        <v>65</v>
      </c>
      <c r="AN43" s="158"/>
      <c r="AO43" s="159"/>
      <c r="AQ43"/>
      <c r="AR43"/>
      <c r="AS43"/>
      <c r="AT43"/>
      <c r="AU43"/>
    </row>
    <row r="44" spans="1:47" s="151" customFormat="1" ht="14.25" customHeight="1">
      <c r="A44" s="139"/>
      <c r="B44" s="139"/>
      <c r="C44" s="152" t="str">
        <f>IF($X44=1,COUNTIF($C$10:C43,"&gt;0")+1,"")</f>
        <v/>
      </c>
      <c r="D44" s="323"/>
      <c r="E44" s="153" t="s">
        <v>2309</v>
      </c>
      <c r="F44" s="154" t="s">
        <v>2438</v>
      </c>
      <c r="G44" s="153" t="s">
        <v>2425</v>
      </c>
      <c r="H44" s="153" t="s">
        <v>2439</v>
      </c>
      <c r="I44" s="153" t="s">
        <v>2440</v>
      </c>
      <c r="J44" s="153" t="s">
        <v>68</v>
      </c>
      <c r="K44" s="153" t="s">
        <v>59</v>
      </c>
      <c r="L44" s="155">
        <v>15617</v>
      </c>
      <c r="M44" s="153">
        <v>82</v>
      </c>
      <c r="N44" s="153" t="s">
        <v>2441</v>
      </c>
      <c r="O44" s="155">
        <v>48140</v>
      </c>
      <c r="P44" s="153" t="s">
        <v>4</v>
      </c>
      <c r="Q44" s="153"/>
      <c r="R44" s="162">
        <v>45913</v>
      </c>
      <c r="S44" s="163">
        <v>45918</v>
      </c>
      <c r="T44" s="164">
        <f t="shared" si="0"/>
        <v>5</v>
      </c>
      <c r="U44" s="153">
        <v>1</v>
      </c>
      <c r="V44" s="153">
        <v>1</v>
      </c>
      <c r="W44" s="153">
        <v>0</v>
      </c>
      <c r="X44" s="153">
        <v>0</v>
      </c>
      <c r="Y44" s="153">
        <v>0</v>
      </c>
      <c r="Z44" s="153">
        <v>0</v>
      </c>
      <c r="AA44" s="153">
        <v>0</v>
      </c>
      <c r="AB44" s="153"/>
      <c r="AC44" s="155">
        <v>45913</v>
      </c>
      <c r="AD44" s="156">
        <v>0.625</v>
      </c>
      <c r="AE44" s="153" t="s">
        <v>74</v>
      </c>
      <c r="AF44" s="155">
        <v>45918</v>
      </c>
      <c r="AG44" s="156">
        <v>0.70138888889050577</v>
      </c>
      <c r="AH44" s="153" t="s">
        <v>96</v>
      </c>
      <c r="AI44" s="153" t="s">
        <v>2315</v>
      </c>
      <c r="AJ44" s="153" t="s">
        <v>64</v>
      </c>
      <c r="AK44" s="153" t="s">
        <v>64</v>
      </c>
      <c r="AL44" s="153" t="s">
        <v>2306</v>
      </c>
      <c r="AM44" s="149" t="s">
        <v>65</v>
      </c>
      <c r="AN44" s="158"/>
      <c r="AO44" s="159"/>
      <c r="AQ44"/>
      <c r="AR44"/>
      <c r="AS44"/>
      <c r="AT44"/>
      <c r="AU44"/>
    </row>
    <row r="45" spans="1:47" s="151" customFormat="1" ht="14.25" customHeight="1">
      <c r="A45" s="139"/>
      <c r="B45" s="139"/>
      <c r="C45" s="152">
        <f>IF($X45=1,COUNTIF($C$10:C44,"&gt;0")+1,"")</f>
        <v>17</v>
      </c>
      <c r="D45" s="153">
        <v>75985297</v>
      </c>
      <c r="E45" s="153" t="s">
        <v>2309</v>
      </c>
      <c r="F45" s="154" t="s">
        <v>2442</v>
      </c>
      <c r="G45" s="153" t="s">
        <v>2442</v>
      </c>
      <c r="H45" s="153" t="s">
        <v>2443</v>
      </c>
      <c r="I45" s="153" t="s">
        <v>2444</v>
      </c>
      <c r="J45" s="153" t="s">
        <v>58</v>
      </c>
      <c r="K45" s="153" t="s">
        <v>59</v>
      </c>
      <c r="L45" s="155">
        <v>45685</v>
      </c>
      <c r="M45" s="153">
        <v>0</v>
      </c>
      <c r="N45" s="153" t="s">
        <v>2445</v>
      </c>
      <c r="O45" s="155">
        <v>46391</v>
      </c>
      <c r="P45" s="153" t="s">
        <v>3</v>
      </c>
      <c r="Q45" s="153"/>
      <c r="R45" s="162">
        <v>45913</v>
      </c>
      <c r="S45" s="163">
        <v>45918</v>
      </c>
      <c r="T45" s="164">
        <f t="shared" si="0"/>
        <v>5</v>
      </c>
      <c r="U45" s="153">
        <v>1</v>
      </c>
      <c r="V45" s="153">
        <v>1</v>
      </c>
      <c r="W45" s="153">
        <v>0</v>
      </c>
      <c r="X45" s="153">
        <v>1</v>
      </c>
      <c r="Y45" s="153">
        <v>1</v>
      </c>
      <c r="Z45" s="153">
        <v>0</v>
      </c>
      <c r="AA45" s="153">
        <v>0</v>
      </c>
      <c r="AB45" s="153"/>
      <c r="AC45" s="155">
        <v>45913</v>
      </c>
      <c r="AD45" s="156">
        <v>0.625</v>
      </c>
      <c r="AE45" s="153" t="s">
        <v>74</v>
      </c>
      <c r="AF45" s="155">
        <v>45918</v>
      </c>
      <c r="AG45" s="156">
        <v>0.70138888889050577</v>
      </c>
      <c r="AH45" s="153" t="s">
        <v>96</v>
      </c>
      <c r="AI45" s="153" t="s">
        <v>2315</v>
      </c>
      <c r="AJ45" s="153" t="s">
        <v>64</v>
      </c>
      <c r="AK45" s="153" t="s">
        <v>64</v>
      </c>
      <c r="AL45" s="153" t="s">
        <v>2306</v>
      </c>
      <c r="AM45" s="149" t="s">
        <v>65</v>
      </c>
      <c r="AN45" s="158"/>
      <c r="AO45" s="159"/>
      <c r="AQ45"/>
      <c r="AR45"/>
      <c r="AS45"/>
      <c r="AT45"/>
      <c r="AU45"/>
    </row>
    <row r="46" spans="1:47" s="151" customFormat="1" ht="14.25" customHeight="1">
      <c r="A46" s="139"/>
      <c r="B46" s="139"/>
      <c r="C46" s="152">
        <f>IF($X46=1,COUNTIF($C$10:C45,"&gt;0")+1,"")</f>
        <v>18</v>
      </c>
      <c r="D46" s="153">
        <v>75985326</v>
      </c>
      <c r="E46" s="153" t="s">
        <v>2309</v>
      </c>
      <c r="F46" s="154" t="s">
        <v>2446</v>
      </c>
      <c r="G46" s="153" t="s">
        <v>2446</v>
      </c>
      <c r="H46" s="153" t="s">
        <v>2447</v>
      </c>
      <c r="I46" s="153" t="s">
        <v>1130</v>
      </c>
      <c r="J46" s="153" t="s">
        <v>68</v>
      </c>
      <c r="K46" s="153" t="s">
        <v>59</v>
      </c>
      <c r="L46" s="155">
        <v>19582</v>
      </c>
      <c r="M46" s="153">
        <v>72</v>
      </c>
      <c r="N46" s="153" t="s">
        <v>2448</v>
      </c>
      <c r="O46" s="155">
        <v>47442</v>
      </c>
      <c r="P46" s="153" t="s">
        <v>3</v>
      </c>
      <c r="Q46" s="153"/>
      <c r="R46" s="162">
        <v>45913</v>
      </c>
      <c r="S46" s="163">
        <v>45918</v>
      </c>
      <c r="T46" s="164">
        <f t="shared" si="0"/>
        <v>5</v>
      </c>
      <c r="U46" s="153">
        <v>1</v>
      </c>
      <c r="V46" s="153">
        <v>1</v>
      </c>
      <c r="W46" s="153">
        <v>0</v>
      </c>
      <c r="X46" s="153">
        <v>1</v>
      </c>
      <c r="Y46" s="153">
        <v>1</v>
      </c>
      <c r="Z46" s="153">
        <v>0</v>
      </c>
      <c r="AA46" s="153">
        <v>0</v>
      </c>
      <c r="AB46" s="153"/>
      <c r="AC46" s="155">
        <v>45913</v>
      </c>
      <c r="AD46" s="156">
        <v>0.85416666666424135</v>
      </c>
      <c r="AE46" s="153" t="s">
        <v>712</v>
      </c>
      <c r="AF46" s="155" t="s">
        <v>64</v>
      </c>
      <c r="AG46" s="156" t="s">
        <v>64</v>
      </c>
      <c r="AH46" s="153" t="s">
        <v>64</v>
      </c>
      <c r="AI46" s="153" t="s">
        <v>2315</v>
      </c>
      <c r="AJ46" s="153" t="s">
        <v>64</v>
      </c>
      <c r="AK46" s="153" t="s">
        <v>64</v>
      </c>
      <c r="AL46" s="153" t="s">
        <v>2306</v>
      </c>
      <c r="AM46" s="149" t="s">
        <v>65</v>
      </c>
      <c r="AN46" s="158" t="s">
        <v>1600</v>
      </c>
      <c r="AO46" s="159"/>
      <c r="AQ46"/>
      <c r="AR46"/>
      <c r="AS46"/>
      <c r="AT46"/>
      <c r="AU46"/>
    </row>
    <row r="47" spans="1:47" s="151" customFormat="1" ht="14.25" customHeight="1">
      <c r="A47" s="139"/>
      <c r="B47" s="139"/>
      <c r="C47" s="152">
        <f>IF($X47=1,COUNTIF($C$10:C46,"&gt;0")+1,"")</f>
        <v>19</v>
      </c>
      <c r="D47" s="322">
        <v>75985339</v>
      </c>
      <c r="E47" s="153" t="s">
        <v>2309</v>
      </c>
      <c r="F47" s="154" t="s">
        <v>2449</v>
      </c>
      <c r="G47" s="153" t="s">
        <v>2449</v>
      </c>
      <c r="H47" s="153" t="s">
        <v>2450</v>
      </c>
      <c r="I47" s="153" t="s">
        <v>2451</v>
      </c>
      <c r="J47" s="153" t="s">
        <v>58</v>
      </c>
      <c r="K47" s="153" t="s">
        <v>59</v>
      </c>
      <c r="L47" s="155">
        <v>29514</v>
      </c>
      <c r="M47" s="153">
        <v>44</v>
      </c>
      <c r="N47" s="153" t="s">
        <v>2452</v>
      </c>
      <c r="O47" s="155">
        <v>47338</v>
      </c>
      <c r="P47" s="153" t="s">
        <v>4</v>
      </c>
      <c r="Q47" s="153"/>
      <c r="R47" s="162">
        <v>45913</v>
      </c>
      <c r="S47" s="163">
        <v>45918</v>
      </c>
      <c r="T47" s="164">
        <f t="shared" si="0"/>
        <v>5</v>
      </c>
      <c r="U47" s="153">
        <v>1</v>
      </c>
      <c r="V47" s="153">
        <v>1</v>
      </c>
      <c r="W47" s="153">
        <v>0</v>
      </c>
      <c r="X47" s="153">
        <v>1</v>
      </c>
      <c r="Y47" s="153">
        <v>0</v>
      </c>
      <c r="Z47" s="153">
        <v>1</v>
      </c>
      <c r="AA47" s="153">
        <v>0</v>
      </c>
      <c r="AB47" s="153"/>
      <c r="AC47" s="155">
        <v>45913</v>
      </c>
      <c r="AD47" s="156">
        <v>0.54861111110949423</v>
      </c>
      <c r="AE47" s="153" t="s">
        <v>2453</v>
      </c>
      <c r="AF47" s="155">
        <v>45918</v>
      </c>
      <c r="AG47" s="156">
        <v>0.87152777778101154</v>
      </c>
      <c r="AH47" s="153" t="s">
        <v>102</v>
      </c>
      <c r="AI47" s="153" t="s">
        <v>2315</v>
      </c>
      <c r="AJ47" s="153" t="s">
        <v>2454</v>
      </c>
      <c r="AK47" s="161" t="s">
        <v>2455</v>
      </c>
      <c r="AL47" s="153" t="s">
        <v>2306</v>
      </c>
      <c r="AM47" s="149" t="s">
        <v>65</v>
      </c>
      <c r="AN47" s="158"/>
      <c r="AO47" s="159"/>
      <c r="AQ47"/>
      <c r="AR47"/>
      <c r="AS47"/>
      <c r="AT47"/>
      <c r="AU47"/>
    </row>
    <row r="48" spans="1:47" s="151" customFormat="1" ht="14.25" customHeight="1">
      <c r="A48" s="139"/>
      <c r="B48" s="139"/>
      <c r="C48" s="152" t="str">
        <f>IF($X48=1,COUNTIF($C$10:C47,"&gt;0")+1,"")</f>
        <v/>
      </c>
      <c r="D48" s="324"/>
      <c r="E48" s="153" t="s">
        <v>2309</v>
      </c>
      <c r="F48" s="154" t="s">
        <v>2456</v>
      </c>
      <c r="G48" s="153" t="s">
        <v>2449</v>
      </c>
      <c r="H48" s="153" t="s">
        <v>2457</v>
      </c>
      <c r="I48" s="153" t="s">
        <v>82</v>
      </c>
      <c r="J48" s="153" t="s">
        <v>68</v>
      </c>
      <c r="K48" s="153" t="s">
        <v>59</v>
      </c>
      <c r="L48" s="155">
        <v>30617</v>
      </c>
      <c r="M48" s="153">
        <v>41</v>
      </c>
      <c r="N48" s="153" t="s">
        <v>2458</v>
      </c>
      <c r="O48" s="155">
        <v>46860</v>
      </c>
      <c r="P48" s="153" t="s">
        <v>4</v>
      </c>
      <c r="Q48" s="153"/>
      <c r="R48" s="162">
        <v>45913</v>
      </c>
      <c r="S48" s="163">
        <v>45918</v>
      </c>
      <c r="T48" s="164">
        <f t="shared" si="0"/>
        <v>5</v>
      </c>
      <c r="U48" s="153">
        <v>1</v>
      </c>
      <c r="V48" s="153">
        <v>1</v>
      </c>
      <c r="W48" s="153">
        <v>0</v>
      </c>
      <c r="X48" s="153">
        <v>0</v>
      </c>
      <c r="Y48" s="153">
        <v>0</v>
      </c>
      <c r="Z48" s="153">
        <v>0</v>
      </c>
      <c r="AA48" s="153">
        <v>0</v>
      </c>
      <c r="AB48" s="153"/>
      <c r="AC48" s="155">
        <v>45913</v>
      </c>
      <c r="AD48" s="156">
        <v>0.54861111110949423</v>
      </c>
      <c r="AE48" s="153" t="s">
        <v>2453</v>
      </c>
      <c r="AF48" s="155">
        <v>45918</v>
      </c>
      <c r="AG48" s="156">
        <v>0.87152777778101154</v>
      </c>
      <c r="AH48" s="153" t="s">
        <v>102</v>
      </c>
      <c r="AI48" s="153" t="s">
        <v>2315</v>
      </c>
      <c r="AJ48" s="153" t="s">
        <v>64</v>
      </c>
      <c r="AK48" s="161" t="s">
        <v>64</v>
      </c>
      <c r="AL48" s="153" t="s">
        <v>2306</v>
      </c>
      <c r="AM48" s="149" t="s">
        <v>65</v>
      </c>
      <c r="AN48" s="158"/>
      <c r="AO48" s="159"/>
      <c r="AQ48"/>
      <c r="AR48"/>
      <c r="AS48"/>
      <c r="AT48"/>
      <c r="AU48"/>
    </row>
    <row r="49" spans="1:47" s="151" customFormat="1" ht="14.25" customHeight="1">
      <c r="A49" s="139"/>
      <c r="B49" s="139"/>
      <c r="C49" s="152" t="str">
        <f>IF($X49=1,COUNTIF($C$10:C48,"&gt;0")+1,"")</f>
        <v/>
      </c>
      <c r="D49" s="323"/>
      <c r="E49" s="153" t="s">
        <v>2309</v>
      </c>
      <c r="F49" s="154" t="s">
        <v>2459</v>
      </c>
      <c r="G49" s="153" t="s">
        <v>2449</v>
      </c>
      <c r="H49" s="153" t="s">
        <v>2460</v>
      </c>
      <c r="I49" s="153" t="s">
        <v>2451</v>
      </c>
      <c r="J49" s="153" t="s">
        <v>68</v>
      </c>
      <c r="K49" s="153" t="s">
        <v>59</v>
      </c>
      <c r="L49" s="155">
        <v>42322</v>
      </c>
      <c r="M49" s="153">
        <v>9</v>
      </c>
      <c r="N49" s="153" t="s">
        <v>2461</v>
      </c>
      <c r="O49" s="155">
        <v>46503</v>
      </c>
      <c r="P49" s="153" t="s">
        <v>4</v>
      </c>
      <c r="Q49" s="153"/>
      <c r="R49" s="162">
        <v>45913</v>
      </c>
      <c r="S49" s="163">
        <v>45918</v>
      </c>
      <c r="T49" s="164">
        <f t="shared" si="0"/>
        <v>5</v>
      </c>
      <c r="U49" s="153">
        <v>1</v>
      </c>
      <c r="V49" s="153">
        <v>0</v>
      </c>
      <c r="W49" s="153">
        <v>1</v>
      </c>
      <c r="X49" s="153">
        <v>0</v>
      </c>
      <c r="Y49" s="153">
        <v>0</v>
      </c>
      <c r="Z49" s="153">
        <v>0</v>
      </c>
      <c r="AA49" s="153">
        <v>0</v>
      </c>
      <c r="AB49" s="153"/>
      <c r="AC49" s="155">
        <v>45913</v>
      </c>
      <c r="AD49" s="156">
        <v>0.54861111110949423</v>
      </c>
      <c r="AE49" s="153" t="s">
        <v>2453</v>
      </c>
      <c r="AF49" s="155">
        <v>45918</v>
      </c>
      <c r="AG49" s="156">
        <v>0.87152777778101154</v>
      </c>
      <c r="AH49" s="153" t="s">
        <v>102</v>
      </c>
      <c r="AI49" s="153" t="s">
        <v>2315</v>
      </c>
      <c r="AJ49" s="153" t="s">
        <v>64</v>
      </c>
      <c r="AK49" s="161" t="s">
        <v>64</v>
      </c>
      <c r="AL49" s="153" t="s">
        <v>2306</v>
      </c>
      <c r="AM49" s="149" t="s">
        <v>65</v>
      </c>
      <c r="AN49" s="158"/>
      <c r="AO49" s="159"/>
      <c r="AQ49"/>
      <c r="AR49"/>
      <c r="AS49"/>
      <c r="AT49"/>
      <c r="AU49"/>
    </row>
    <row r="50" spans="1:47" s="151" customFormat="1" ht="14.25" customHeight="1">
      <c r="A50" s="139"/>
      <c r="B50" s="139"/>
      <c r="C50" s="152">
        <f>IF($X50=1,COUNTIF($C$10:C49,"&gt;0")+1,"")</f>
        <v>20</v>
      </c>
      <c r="D50" s="322">
        <v>75985357</v>
      </c>
      <c r="E50" s="153" t="s">
        <v>2309</v>
      </c>
      <c r="F50" s="154" t="s">
        <v>2462</v>
      </c>
      <c r="G50" s="153" t="s">
        <v>2462</v>
      </c>
      <c r="H50" s="153" t="s">
        <v>2463</v>
      </c>
      <c r="I50" s="153" t="s">
        <v>2451</v>
      </c>
      <c r="J50" s="153" t="s">
        <v>58</v>
      </c>
      <c r="K50" s="153" t="s">
        <v>59</v>
      </c>
      <c r="L50" s="155">
        <v>18832</v>
      </c>
      <c r="M50" s="153">
        <v>74</v>
      </c>
      <c r="N50" s="153" t="s">
        <v>2464</v>
      </c>
      <c r="O50" s="155">
        <v>48194</v>
      </c>
      <c r="P50" s="153" t="s">
        <v>4</v>
      </c>
      <c r="Q50" s="153"/>
      <c r="R50" s="162">
        <v>45913</v>
      </c>
      <c r="S50" s="163">
        <v>45918</v>
      </c>
      <c r="T50" s="164">
        <f t="shared" si="0"/>
        <v>5</v>
      </c>
      <c r="U50" s="153">
        <v>1</v>
      </c>
      <c r="V50" s="153">
        <v>1</v>
      </c>
      <c r="W50" s="153">
        <v>0</v>
      </c>
      <c r="X50" s="153">
        <v>1</v>
      </c>
      <c r="Y50" s="153">
        <v>0</v>
      </c>
      <c r="Z50" s="153">
        <v>1</v>
      </c>
      <c r="AA50" s="153">
        <v>0</v>
      </c>
      <c r="AB50" s="153"/>
      <c r="AC50" s="155">
        <v>45913</v>
      </c>
      <c r="AD50" s="156">
        <v>0.54861111110949423</v>
      </c>
      <c r="AE50" s="153" t="s">
        <v>2453</v>
      </c>
      <c r="AF50" s="155" t="s">
        <v>64</v>
      </c>
      <c r="AG50" s="156" t="s">
        <v>64</v>
      </c>
      <c r="AH50" s="153" t="s">
        <v>1058</v>
      </c>
      <c r="AI50" s="153" t="s">
        <v>2315</v>
      </c>
      <c r="AJ50" s="153" t="s">
        <v>64</v>
      </c>
      <c r="AK50" s="161" t="s">
        <v>2465</v>
      </c>
      <c r="AL50" s="153" t="s">
        <v>2306</v>
      </c>
      <c r="AM50" s="149" t="s">
        <v>65</v>
      </c>
      <c r="AN50" s="158"/>
      <c r="AO50" s="159"/>
      <c r="AQ50"/>
      <c r="AR50"/>
      <c r="AS50"/>
      <c r="AT50"/>
      <c r="AU50"/>
    </row>
    <row r="51" spans="1:47" s="151" customFormat="1" ht="14.25" customHeight="1">
      <c r="A51" s="139"/>
      <c r="B51" s="139"/>
      <c r="C51" s="152" t="str">
        <f>IF($X51=1,COUNTIF($C$10:C50,"&gt;0")+1,"")</f>
        <v/>
      </c>
      <c r="D51" s="324"/>
      <c r="E51" s="153" t="s">
        <v>2309</v>
      </c>
      <c r="F51" s="154" t="s">
        <v>2466</v>
      </c>
      <c r="G51" s="153" t="s">
        <v>2462</v>
      </c>
      <c r="H51" s="153" t="s">
        <v>2467</v>
      </c>
      <c r="I51" s="153" t="s">
        <v>2451</v>
      </c>
      <c r="J51" s="153" t="s">
        <v>68</v>
      </c>
      <c r="K51" s="153" t="s">
        <v>59</v>
      </c>
      <c r="L51" s="155">
        <v>19074</v>
      </c>
      <c r="M51" s="153">
        <v>73</v>
      </c>
      <c r="N51" s="153" t="s">
        <v>2468</v>
      </c>
      <c r="O51" s="155">
        <v>48168</v>
      </c>
      <c r="P51" s="153" t="s">
        <v>4</v>
      </c>
      <c r="Q51" s="153"/>
      <c r="R51" s="162">
        <v>45913</v>
      </c>
      <c r="S51" s="163">
        <v>45918</v>
      </c>
      <c r="T51" s="164">
        <f t="shared" si="0"/>
        <v>5</v>
      </c>
      <c r="U51" s="153">
        <v>1</v>
      </c>
      <c r="V51" s="153">
        <v>1</v>
      </c>
      <c r="W51" s="153">
        <v>0</v>
      </c>
      <c r="X51" s="153">
        <v>0</v>
      </c>
      <c r="Y51" s="153">
        <v>0</v>
      </c>
      <c r="Z51" s="153">
        <v>0</v>
      </c>
      <c r="AA51" s="153">
        <v>0</v>
      </c>
      <c r="AB51" s="153"/>
      <c r="AC51" s="155">
        <v>45913</v>
      </c>
      <c r="AD51" s="156">
        <v>0.54861111110949423</v>
      </c>
      <c r="AE51" s="153" t="s">
        <v>2453</v>
      </c>
      <c r="AF51" s="155" t="s">
        <v>64</v>
      </c>
      <c r="AG51" s="156" t="s">
        <v>64</v>
      </c>
      <c r="AH51" s="153" t="s">
        <v>1058</v>
      </c>
      <c r="AI51" s="153" t="s">
        <v>2315</v>
      </c>
      <c r="AJ51" s="153" t="s">
        <v>64</v>
      </c>
      <c r="AK51" s="161" t="s">
        <v>64</v>
      </c>
      <c r="AL51" s="153" t="s">
        <v>2306</v>
      </c>
      <c r="AM51" s="149" t="s">
        <v>65</v>
      </c>
      <c r="AN51" s="158"/>
      <c r="AO51" s="159"/>
      <c r="AQ51"/>
      <c r="AR51"/>
      <c r="AS51"/>
      <c r="AT51"/>
      <c r="AU51"/>
    </row>
    <row r="52" spans="1:47" s="151" customFormat="1" ht="14.25" customHeight="1">
      <c r="A52" s="139"/>
      <c r="B52" s="139"/>
      <c r="C52" s="152" t="str">
        <f>IF($X52=1,COUNTIF($C$10:C51,"&gt;0")+1,"")</f>
        <v/>
      </c>
      <c r="D52" s="323"/>
      <c r="E52" s="153" t="s">
        <v>2309</v>
      </c>
      <c r="F52" s="154" t="s">
        <v>2469</v>
      </c>
      <c r="G52" s="153" t="s">
        <v>2462</v>
      </c>
      <c r="H52" s="153" t="s">
        <v>2470</v>
      </c>
      <c r="I52" s="153" t="s">
        <v>2451</v>
      </c>
      <c r="J52" s="153" t="s">
        <v>58</v>
      </c>
      <c r="K52" s="153" t="s">
        <v>59</v>
      </c>
      <c r="L52" s="155">
        <v>42916</v>
      </c>
      <c r="M52" s="153">
        <v>8</v>
      </c>
      <c r="N52" s="153" t="s">
        <v>2471</v>
      </c>
      <c r="O52" s="155">
        <v>47164</v>
      </c>
      <c r="P52" s="153" t="s">
        <v>4</v>
      </c>
      <c r="Q52" s="153"/>
      <c r="R52" s="162">
        <v>45913</v>
      </c>
      <c r="S52" s="163">
        <v>45918</v>
      </c>
      <c r="T52" s="164">
        <f t="shared" si="0"/>
        <v>5</v>
      </c>
      <c r="U52" s="153">
        <v>1</v>
      </c>
      <c r="V52" s="153">
        <v>0</v>
      </c>
      <c r="W52" s="153">
        <v>1</v>
      </c>
      <c r="X52" s="153">
        <v>0</v>
      </c>
      <c r="Y52" s="153">
        <v>0</v>
      </c>
      <c r="Z52" s="153">
        <v>0</v>
      </c>
      <c r="AA52" s="153">
        <v>0</v>
      </c>
      <c r="AB52" s="153"/>
      <c r="AC52" s="155">
        <v>45913</v>
      </c>
      <c r="AD52" s="156">
        <v>0.54861111110949423</v>
      </c>
      <c r="AE52" s="153" t="s">
        <v>2453</v>
      </c>
      <c r="AF52" s="155">
        <v>45918</v>
      </c>
      <c r="AG52" s="156">
        <v>0.87152777778101154</v>
      </c>
      <c r="AH52" s="153" t="s">
        <v>102</v>
      </c>
      <c r="AI52" s="153" t="s">
        <v>2315</v>
      </c>
      <c r="AJ52" s="153" t="s">
        <v>64</v>
      </c>
      <c r="AK52" s="161"/>
      <c r="AL52" s="153" t="s">
        <v>2306</v>
      </c>
      <c r="AM52" s="149" t="s">
        <v>65</v>
      </c>
      <c r="AN52" s="158"/>
      <c r="AO52" s="159"/>
      <c r="AQ52"/>
      <c r="AR52"/>
      <c r="AS52"/>
      <c r="AT52"/>
      <c r="AU52"/>
    </row>
    <row r="53" spans="1:47" s="151" customFormat="1" ht="14.25" customHeight="1">
      <c r="A53" s="139"/>
      <c r="B53" s="139"/>
      <c r="C53" s="152">
        <f>IF($X53=1,COUNTIF($C$10:C52,"&gt;0")+1,"")</f>
        <v>21</v>
      </c>
      <c r="D53" s="322">
        <v>75985368</v>
      </c>
      <c r="E53" s="153" t="s">
        <v>2309</v>
      </c>
      <c r="F53" s="154" t="s">
        <v>2472</v>
      </c>
      <c r="G53" s="153" t="s">
        <v>2472</v>
      </c>
      <c r="H53" s="153" t="s">
        <v>2473</v>
      </c>
      <c r="I53" s="153" t="s">
        <v>2474</v>
      </c>
      <c r="J53" s="153" t="s">
        <v>68</v>
      </c>
      <c r="K53" s="153" t="s">
        <v>2475</v>
      </c>
      <c r="L53" s="155">
        <v>35193</v>
      </c>
      <c r="M53" s="153">
        <v>29</v>
      </c>
      <c r="N53" s="153" t="s">
        <v>2476</v>
      </c>
      <c r="O53" s="155">
        <v>46793</v>
      </c>
      <c r="P53" s="153" t="s">
        <v>5</v>
      </c>
      <c r="Q53" s="153"/>
      <c r="R53" s="162">
        <v>45913</v>
      </c>
      <c r="S53" s="163">
        <v>45918</v>
      </c>
      <c r="T53" s="164">
        <f t="shared" si="0"/>
        <v>5</v>
      </c>
      <c r="U53" s="153">
        <v>1</v>
      </c>
      <c r="V53" s="153">
        <v>1</v>
      </c>
      <c r="W53" s="153">
        <v>0</v>
      </c>
      <c r="X53" s="153">
        <v>1</v>
      </c>
      <c r="Y53" s="153">
        <v>0</v>
      </c>
      <c r="Z53" s="153">
        <v>0</v>
      </c>
      <c r="AA53" s="153">
        <v>1</v>
      </c>
      <c r="AB53" s="153"/>
      <c r="AC53" s="155">
        <v>45913</v>
      </c>
      <c r="AD53" s="156">
        <v>0.625</v>
      </c>
      <c r="AE53" s="153" t="s">
        <v>74</v>
      </c>
      <c r="AF53" s="155">
        <v>45918</v>
      </c>
      <c r="AG53" s="156">
        <v>0.70138888889050577</v>
      </c>
      <c r="AH53" s="153" t="s">
        <v>96</v>
      </c>
      <c r="AI53" s="153" t="s">
        <v>2315</v>
      </c>
      <c r="AJ53" s="153" t="s">
        <v>2454</v>
      </c>
      <c r="AK53" s="161" t="s">
        <v>2477</v>
      </c>
      <c r="AL53" s="153" t="s">
        <v>2306</v>
      </c>
      <c r="AM53" s="149" t="s">
        <v>65</v>
      </c>
      <c r="AN53" s="158"/>
      <c r="AO53" s="159"/>
      <c r="AQ53"/>
      <c r="AR53"/>
      <c r="AS53"/>
      <c r="AT53"/>
      <c r="AU53"/>
    </row>
    <row r="54" spans="1:47" s="151" customFormat="1" ht="14.25" customHeight="1">
      <c r="A54" s="139"/>
      <c r="B54" s="139"/>
      <c r="C54" s="152" t="str">
        <f>IF($X54=1,COUNTIF($C$10:C53,"&gt;0")+1,"")</f>
        <v/>
      </c>
      <c r="D54" s="324"/>
      <c r="E54" s="153" t="s">
        <v>2309</v>
      </c>
      <c r="F54" s="154" t="s">
        <v>2478</v>
      </c>
      <c r="G54" s="153" t="s">
        <v>2472</v>
      </c>
      <c r="H54" s="153" t="s">
        <v>2479</v>
      </c>
      <c r="I54" s="153" t="s">
        <v>390</v>
      </c>
      <c r="J54" s="153" t="s">
        <v>68</v>
      </c>
      <c r="K54" s="153" t="s">
        <v>59</v>
      </c>
      <c r="L54" s="155">
        <v>37414</v>
      </c>
      <c r="M54" s="153">
        <v>23</v>
      </c>
      <c r="N54" s="153" t="s">
        <v>2480</v>
      </c>
      <c r="O54" s="155">
        <v>48100</v>
      </c>
      <c r="P54" s="153" t="s">
        <v>5</v>
      </c>
      <c r="Q54" s="153"/>
      <c r="R54" s="162">
        <v>45913</v>
      </c>
      <c r="S54" s="163">
        <v>45918</v>
      </c>
      <c r="T54" s="164">
        <f t="shared" si="0"/>
        <v>5</v>
      </c>
      <c r="U54" s="153">
        <v>1</v>
      </c>
      <c r="V54" s="153">
        <v>1</v>
      </c>
      <c r="W54" s="153">
        <v>0</v>
      </c>
      <c r="X54" s="153">
        <v>0</v>
      </c>
      <c r="Y54" s="153">
        <v>0</v>
      </c>
      <c r="Z54" s="153">
        <v>0</v>
      </c>
      <c r="AA54" s="153">
        <v>0</v>
      </c>
      <c r="AB54" s="153"/>
      <c r="AC54" s="155">
        <v>45913</v>
      </c>
      <c r="AD54" s="156">
        <v>0.46875</v>
      </c>
      <c r="AE54" s="153" t="s">
        <v>254</v>
      </c>
      <c r="AF54" s="155">
        <v>45918</v>
      </c>
      <c r="AG54" s="156">
        <v>0.46180555555474712</v>
      </c>
      <c r="AH54" s="153" t="s">
        <v>2481</v>
      </c>
      <c r="AI54" s="153" t="s">
        <v>2315</v>
      </c>
      <c r="AJ54" s="153" t="s">
        <v>64</v>
      </c>
      <c r="AK54" s="161"/>
      <c r="AL54" s="153" t="s">
        <v>2306</v>
      </c>
      <c r="AM54" s="149" t="s">
        <v>65</v>
      </c>
      <c r="AN54" s="158"/>
      <c r="AO54" s="159"/>
      <c r="AQ54"/>
      <c r="AR54"/>
      <c r="AS54"/>
      <c r="AT54"/>
      <c r="AU54"/>
    </row>
    <row r="55" spans="1:47" s="151" customFormat="1" ht="14.25" customHeight="1">
      <c r="A55" s="139"/>
      <c r="B55" s="139"/>
      <c r="C55" s="152" t="str">
        <f>IF($X55=1,COUNTIF($C$10:C54,"&gt;0")+1,"")</f>
        <v/>
      </c>
      <c r="D55" s="323"/>
      <c r="E55" s="153" t="s">
        <v>2309</v>
      </c>
      <c r="F55" s="154" t="s">
        <v>2482</v>
      </c>
      <c r="G55" s="153" t="s">
        <v>2472</v>
      </c>
      <c r="H55" s="153" t="s">
        <v>2483</v>
      </c>
      <c r="I55" s="153" t="s">
        <v>2451</v>
      </c>
      <c r="J55" s="153" t="s">
        <v>68</v>
      </c>
      <c r="K55" s="153" t="s">
        <v>59</v>
      </c>
      <c r="L55" s="155">
        <v>43752</v>
      </c>
      <c r="M55" s="153">
        <v>5</v>
      </c>
      <c r="N55" s="153" t="s">
        <v>2484</v>
      </c>
      <c r="O55" s="155">
        <v>47164</v>
      </c>
      <c r="P55" s="153" t="s">
        <v>5</v>
      </c>
      <c r="Q55" s="153"/>
      <c r="R55" s="162">
        <v>45913</v>
      </c>
      <c r="S55" s="163">
        <v>45918</v>
      </c>
      <c r="T55" s="164">
        <f t="shared" si="0"/>
        <v>5</v>
      </c>
      <c r="U55" s="153">
        <v>1</v>
      </c>
      <c r="V55" s="153">
        <v>0</v>
      </c>
      <c r="W55" s="153">
        <v>1</v>
      </c>
      <c r="X55" s="153">
        <v>0</v>
      </c>
      <c r="Y55" s="153">
        <v>0</v>
      </c>
      <c r="Z55" s="153">
        <v>0</v>
      </c>
      <c r="AA55" s="153">
        <v>0</v>
      </c>
      <c r="AB55" s="153"/>
      <c r="AC55" s="155">
        <v>45913</v>
      </c>
      <c r="AD55" s="156">
        <v>0.54861111110949423</v>
      </c>
      <c r="AE55" s="153" t="s">
        <v>2453</v>
      </c>
      <c r="AF55" s="155">
        <v>45918</v>
      </c>
      <c r="AG55" s="156">
        <v>0.87152777778101154</v>
      </c>
      <c r="AH55" s="153" t="s">
        <v>102</v>
      </c>
      <c r="AI55" s="153" t="s">
        <v>2315</v>
      </c>
      <c r="AJ55" s="153" t="s">
        <v>64</v>
      </c>
      <c r="AK55" s="161"/>
      <c r="AL55" s="153" t="s">
        <v>2306</v>
      </c>
      <c r="AM55" s="149" t="s">
        <v>65</v>
      </c>
      <c r="AN55" s="158"/>
      <c r="AO55" s="159"/>
      <c r="AQ55"/>
      <c r="AR55"/>
      <c r="AS55"/>
      <c r="AT55"/>
      <c r="AU55"/>
    </row>
    <row r="56" spans="1:47" s="151" customFormat="1" ht="14.25" customHeight="1">
      <c r="A56" s="139"/>
      <c r="B56" s="139"/>
      <c r="C56" s="152">
        <f>IF($X56=1,COUNTIF($C$10:C55,"&gt;0")+1,"")</f>
        <v>22</v>
      </c>
      <c r="D56" s="322">
        <v>75985382</v>
      </c>
      <c r="E56" s="153" t="s">
        <v>2309</v>
      </c>
      <c r="F56" s="154" t="s">
        <v>2485</v>
      </c>
      <c r="G56" s="153" t="s">
        <v>2485</v>
      </c>
      <c r="H56" s="153" t="s">
        <v>2486</v>
      </c>
      <c r="I56" s="153" t="s">
        <v>1397</v>
      </c>
      <c r="J56" s="153" t="s">
        <v>68</v>
      </c>
      <c r="K56" s="153" t="s">
        <v>59</v>
      </c>
      <c r="L56" s="155">
        <v>20557</v>
      </c>
      <c r="M56" s="153">
        <v>69</v>
      </c>
      <c r="N56" s="153" t="s">
        <v>2487</v>
      </c>
      <c r="O56" s="155">
        <v>46221</v>
      </c>
      <c r="P56" s="153" t="s">
        <v>4</v>
      </c>
      <c r="Q56" s="153"/>
      <c r="R56" s="162">
        <v>45913</v>
      </c>
      <c r="S56" s="163">
        <v>45918</v>
      </c>
      <c r="T56" s="164">
        <f t="shared" si="0"/>
        <v>5</v>
      </c>
      <c r="U56" s="153">
        <v>1</v>
      </c>
      <c r="V56" s="153">
        <v>1</v>
      </c>
      <c r="W56" s="153">
        <v>0</v>
      </c>
      <c r="X56" s="153">
        <v>1</v>
      </c>
      <c r="Y56" s="153">
        <v>0</v>
      </c>
      <c r="Z56" s="153">
        <v>1</v>
      </c>
      <c r="AA56" s="153">
        <v>0</v>
      </c>
      <c r="AB56" s="153"/>
      <c r="AC56" s="155">
        <v>45913</v>
      </c>
      <c r="AD56" s="156">
        <v>0.85416666666424135</v>
      </c>
      <c r="AE56" s="153" t="s">
        <v>712</v>
      </c>
      <c r="AF56" s="155" t="s">
        <v>64</v>
      </c>
      <c r="AG56" s="156" t="s">
        <v>64</v>
      </c>
      <c r="AH56" s="153" t="s">
        <v>1058</v>
      </c>
      <c r="AI56" s="153" t="s">
        <v>2315</v>
      </c>
      <c r="AJ56" s="153" t="s">
        <v>64</v>
      </c>
      <c r="AK56" s="153" t="s">
        <v>64</v>
      </c>
      <c r="AL56" s="153" t="s">
        <v>2306</v>
      </c>
      <c r="AM56" s="149" t="s">
        <v>65</v>
      </c>
      <c r="AN56" s="158" t="s">
        <v>1600</v>
      </c>
      <c r="AO56" s="159"/>
      <c r="AQ56"/>
      <c r="AR56"/>
      <c r="AS56"/>
      <c r="AT56"/>
      <c r="AU56"/>
    </row>
    <row r="57" spans="1:47" s="151" customFormat="1" ht="14.25" customHeight="1">
      <c r="A57" s="139"/>
      <c r="B57" s="139"/>
      <c r="C57" s="152" t="str">
        <f>IF($X57=1,COUNTIF($C$10:C56,"&gt;0")+1,"")</f>
        <v/>
      </c>
      <c r="D57" s="323"/>
      <c r="E57" s="153" t="s">
        <v>2309</v>
      </c>
      <c r="F57" s="154" t="s">
        <v>2488</v>
      </c>
      <c r="G57" s="153" t="s">
        <v>2485</v>
      </c>
      <c r="H57" s="153" t="s">
        <v>2489</v>
      </c>
      <c r="I57" s="153" t="s">
        <v>1397</v>
      </c>
      <c r="J57" s="153" t="s">
        <v>58</v>
      </c>
      <c r="K57" s="153" t="s">
        <v>59</v>
      </c>
      <c r="L57" s="155">
        <v>21195</v>
      </c>
      <c r="M57" s="153">
        <v>67</v>
      </c>
      <c r="N57" s="153" t="s">
        <v>2490</v>
      </c>
      <c r="O57" s="155">
        <v>46526</v>
      </c>
      <c r="P57" s="153" t="s">
        <v>4</v>
      </c>
      <c r="Q57" s="153"/>
      <c r="R57" s="162">
        <v>45913</v>
      </c>
      <c r="S57" s="163">
        <v>45918</v>
      </c>
      <c r="T57" s="164">
        <f t="shared" si="0"/>
        <v>5</v>
      </c>
      <c r="U57" s="153">
        <v>1</v>
      </c>
      <c r="V57" s="153">
        <v>1</v>
      </c>
      <c r="W57" s="153">
        <v>0</v>
      </c>
      <c r="X57" s="153">
        <v>0</v>
      </c>
      <c r="Y57" s="153">
        <v>0</v>
      </c>
      <c r="Z57" s="153">
        <v>0</v>
      </c>
      <c r="AA57" s="153">
        <v>0</v>
      </c>
      <c r="AB57" s="153"/>
      <c r="AC57" s="155">
        <v>45913</v>
      </c>
      <c r="AD57" s="156">
        <v>0.85416666666424135</v>
      </c>
      <c r="AE57" s="153" t="s">
        <v>712</v>
      </c>
      <c r="AF57" s="155" t="s">
        <v>64</v>
      </c>
      <c r="AG57" s="156" t="s">
        <v>64</v>
      </c>
      <c r="AH57" s="153" t="s">
        <v>1058</v>
      </c>
      <c r="AI57" s="153" t="s">
        <v>2315</v>
      </c>
      <c r="AJ57" s="153" t="s">
        <v>64</v>
      </c>
      <c r="AK57" s="153" t="s">
        <v>64</v>
      </c>
      <c r="AL57" s="153" t="s">
        <v>2306</v>
      </c>
      <c r="AM57" s="149" t="s">
        <v>65</v>
      </c>
      <c r="AN57" s="158" t="s">
        <v>1600</v>
      </c>
      <c r="AO57" s="159"/>
      <c r="AQ57"/>
      <c r="AR57"/>
      <c r="AS57"/>
      <c r="AT57"/>
      <c r="AU57"/>
    </row>
    <row r="58" spans="1:47" s="151" customFormat="1" ht="14.25" customHeight="1">
      <c r="A58" s="139"/>
      <c r="B58" s="139"/>
      <c r="C58" s="152">
        <f>IF($X58=1,COUNTIF($C$10:C57,"&gt;0")+1,"")</f>
        <v>23</v>
      </c>
      <c r="D58" s="322">
        <v>75985400</v>
      </c>
      <c r="E58" s="153" t="s">
        <v>2309</v>
      </c>
      <c r="F58" s="154" t="s">
        <v>2491</v>
      </c>
      <c r="G58" s="153" t="s">
        <v>2491</v>
      </c>
      <c r="H58" s="153" t="s">
        <v>2492</v>
      </c>
      <c r="I58" s="153" t="s">
        <v>2493</v>
      </c>
      <c r="J58" s="153" t="s">
        <v>68</v>
      </c>
      <c r="K58" s="153" t="s">
        <v>59</v>
      </c>
      <c r="L58" s="155">
        <v>25113</v>
      </c>
      <c r="M58" s="153">
        <v>56</v>
      </c>
      <c r="N58" s="153" t="s">
        <v>2494</v>
      </c>
      <c r="O58" s="155">
        <v>48254</v>
      </c>
      <c r="P58" s="153" t="s">
        <v>5</v>
      </c>
      <c r="Q58" s="153"/>
      <c r="R58" s="162">
        <v>45913</v>
      </c>
      <c r="S58" s="163">
        <v>45918</v>
      </c>
      <c r="T58" s="164">
        <f t="shared" si="0"/>
        <v>5</v>
      </c>
      <c r="U58" s="153">
        <v>1</v>
      </c>
      <c r="V58" s="153">
        <v>1</v>
      </c>
      <c r="W58" s="153">
        <v>0</v>
      </c>
      <c r="X58" s="153">
        <v>1</v>
      </c>
      <c r="Y58" s="153">
        <v>0</v>
      </c>
      <c r="Z58" s="153">
        <v>0</v>
      </c>
      <c r="AA58" s="153">
        <v>1</v>
      </c>
      <c r="AB58" s="153"/>
      <c r="AC58" s="155">
        <v>45913</v>
      </c>
      <c r="AD58" s="156">
        <v>0.625</v>
      </c>
      <c r="AE58" s="153" t="s">
        <v>74</v>
      </c>
      <c r="AF58" s="155">
        <v>45918</v>
      </c>
      <c r="AG58" s="156">
        <v>0.53819444444525288</v>
      </c>
      <c r="AH58" s="153" t="s">
        <v>738</v>
      </c>
      <c r="AI58" s="153" t="s">
        <v>2315</v>
      </c>
      <c r="AJ58" s="153" t="s">
        <v>64</v>
      </c>
      <c r="AK58" s="153" t="s">
        <v>64</v>
      </c>
      <c r="AL58" s="153" t="s">
        <v>2306</v>
      </c>
      <c r="AM58" s="149" t="s">
        <v>65</v>
      </c>
      <c r="AN58" s="158"/>
      <c r="AO58" s="159"/>
      <c r="AQ58"/>
      <c r="AR58"/>
      <c r="AS58"/>
      <c r="AT58"/>
      <c r="AU58"/>
    </row>
    <row r="59" spans="1:47" s="151" customFormat="1" ht="14.25" customHeight="1">
      <c r="A59" s="139"/>
      <c r="B59" s="139"/>
      <c r="C59" s="152" t="str">
        <f>IF($X59=1,COUNTIF($C$10:C58,"&gt;0")+1,"")</f>
        <v/>
      </c>
      <c r="D59" s="323"/>
      <c r="E59" s="153" t="s">
        <v>2309</v>
      </c>
      <c r="F59" s="154" t="s">
        <v>2495</v>
      </c>
      <c r="G59" s="153" t="s">
        <v>2491</v>
      </c>
      <c r="H59" s="153" t="s">
        <v>2496</v>
      </c>
      <c r="I59" s="153" t="s">
        <v>2493</v>
      </c>
      <c r="J59" s="153" t="s">
        <v>68</v>
      </c>
      <c r="K59" s="153" t="s">
        <v>59</v>
      </c>
      <c r="L59" s="155">
        <v>37995</v>
      </c>
      <c r="M59" s="153">
        <v>21</v>
      </c>
      <c r="N59" s="153" t="s">
        <v>2497</v>
      </c>
      <c r="O59" s="155">
        <v>49098</v>
      </c>
      <c r="P59" s="153" t="s">
        <v>5</v>
      </c>
      <c r="Q59" s="153"/>
      <c r="R59" s="162">
        <v>45913</v>
      </c>
      <c r="S59" s="163">
        <v>45918</v>
      </c>
      <c r="T59" s="164">
        <f t="shared" si="0"/>
        <v>5</v>
      </c>
      <c r="U59" s="153">
        <v>1</v>
      </c>
      <c r="V59" s="153">
        <v>1</v>
      </c>
      <c r="W59" s="153">
        <v>0</v>
      </c>
      <c r="X59" s="153">
        <v>0</v>
      </c>
      <c r="Y59" s="153">
        <v>0</v>
      </c>
      <c r="Z59" s="153">
        <v>0</v>
      </c>
      <c r="AA59" s="153">
        <v>0</v>
      </c>
      <c r="AB59" s="153"/>
      <c r="AC59" s="155">
        <v>45913</v>
      </c>
      <c r="AD59" s="156">
        <v>0.625</v>
      </c>
      <c r="AE59" s="153" t="s">
        <v>74</v>
      </c>
      <c r="AF59" s="155">
        <v>45918</v>
      </c>
      <c r="AG59" s="156">
        <v>0.53819444444525288</v>
      </c>
      <c r="AH59" s="153" t="s">
        <v>738</v>
      </c>
      <c r="AI59" s="153" t="s">
        <v>2315</v>
      </c>
      <c r="AJ59" s="153" t="s">
        <v>64</v>
      </c>
      <c r="AK59" s="153" t="s">
        <v>64</v>
      </c>
      <c r="AL59" s="153" t="s">
        <v>2306</v>
      </c>
      <c r="AM59" s="149" t="s">
        <v>65</v>
      </c>
      <c r="AN59" s="158"/>
      <c r="AO59" s="159"/>
      <c r="AQ59"/>
      <c r="AR59"/>
      <c r="AS59"/>
      <c r="AT59"/>
      <c r="AU59"/>
    </row>
    <row r="60" spans="1:47" s="151" customFormat="1" ht="14.25" customHeight="1">
      <c r="A60" s="139"/>
      <c r="B60" s="139"/>
      <c r="C60" s="152">
        <f>IF($X60=1,COUNTIF($C$10:C59,"&gt;0")+1,"")</f>
        <v>24</v>
      </c>
      <c r="D60" s="153">
        <v>75985438</v>
      </c>
      <c r="E60" s="153" t="s">
        <v>2309</v>
      </c>
      <c r="F60" s="154" t="s">
        <v>2498</v>
      </c>
      <c r="G60" s="153" t="s">
        <v>2498</v>
      </c>
      <c r="H60" s="153" t="s">
        <v>2499</v>
      </c>
      <c r="I60" s="153" t="s">
        <v>2500</v>
      </c>
      <c r="J60" s="153" t="s">
        <v>58</v>
      </c>
      <c r="K60" s="153" t="s">
        <v>59</v>
      </c>
      <c r="L60" s="155">
        <v>34248</v>
      </c>
      <c r="M60" s="153">
        <v>31</v>
      </c>
      <c r="N60" s="153" t="s">
        <v>2501</v>
      </c>
      <c r="O60" s="155">
        <v>47125</v>
      </c>
      <c r="P60" s="153" t="s">
        <v>3</v>
      </c>
      <c r="Q60" s="153"/>
      <c r="R60" s="162">
        <v>45913</v>
      </c>
      <c r="S60" s="163">
        <v>45918</v>
      </c>
      <c r="T60" s="164">
        <f t="shared" si="0"/>
        <v>5</v>
      </c>
      <c r="U60" s="153">
        <v>1</v>
      </c>
      <c r="V60" s="153">
        <v>1</v>
      </c>
      <c r="W60" s="153">
        <v>0</v>
      </c>
      <c r="X60" s="153">
        <v>1</v>
      </c>
      <c r="Y60" s="153">
        <v>1</v>
      </c>
      <c r="Z60" s="153">
        <v>0</v>
      </c>
      <c r="AA60" s="153">
        <v>0</v>
      </c>
      <c r="AB60" s="153"/>
      <c r="AC60" s="155">
        <v>45913</v>
      </c>
      <c r="AD60" s="156">
        <v>0.65972222221898846</v>
      </c>
      <c r="AE60" s="153" t="s">
        <v>101</v>
      </c>
      <c r="AF60" s="155">
        <v>45918</v>
      </c>
      <c r="AG60" s="156">
        <v>0.39583333333575865</v>
      </c>
      <c r="AH60" s="153" t="s">
        <v>2502</v>
      </c>
      <c r="AI60" s="153" t="s">
        <v>2315</v>
      </c>
      <c r="AJ60" s="153" t="s">
        <v>64</v>
      </c>
      <c r="AK60" s="153" t="s">
        <v>64</v>
      </c>
      <c r="AL60" s="153" t="s">
        <v>2306</v>
      </c>
      <c r="AM60" s="149" t="s">
        <v>65</v>
      </c>
      <c r="AN60" s="158"/>
      <c r="AO60" s="159"/>
      <c r="AQ60"/>
      <c r="AR60"/>
      <c r="AS60"/>
      <c r="AT60"/>
      <c r="AU60"/>
    </row>
    <row r="61" spans="1:47" s="151" customFormat="1" ht="14.25" customHeight="1">
      <c r="A61" s="139"/>
      <c r="B61" s="139"/>
      <c r="C61" s="152">
        <f>IF($X61=1,COUNTIF($C$10:C60,"&gt;0")+1,"")</f>
        <v>25</v>
      </c>
      <c r="D61" s="322">
        <v>75985449</v>
      </c>
      <c r="E61" s="153" t="s">
        <v>2309</v>
      </c>
      <c r="F61" s="154" t="s">
        <v>2503</v>
      </c>
      <c r="G61" s="153" t="s">
        <v>2503</v>
      </c>
      <c r="H61" s="153" t="s">
        <v>2504</v>
      </c>
      <c r="I61" s="153" t="s">
        <v>2500</v>
      </c>
      <c r="J61" s="153" t="s">
        <v>68</v>
      </c>
      <c r="K61" s="153" t="s">
        <v>59</v>
      </c>
      <c r="L61" s="155">
        <v>25911</v>
      </c>
      <c r="M61" s="153">
        <v>54</v>
      </c>
      <c r="N61" s="153" t="s">
        <v>2505</v>
      </c>
      <c r="O61" s="155">
        <v>46312</v>
      </c>
      <c r="P61" s="153" t="s">
        <v>4</v>
      </c>
      <c r="Q61" s="153"/>
      <c r="R61" s="162">
        <v>45913</v>
      </c>
      <c r="S61" s="163">
        <v>45918</v>
      </c>
      <c r="T61" s="164">
        <f t="shared" si="0"/>
        <v>5</v>
      </c>
      <c r="U61" s="153">
        <v>1</v>
      </c>
      <c r="V61" s="153">
        <v>1</v>
      </c>
      <c r="W61" s="153">
        <v>0</v>
      </c>
      <c r="X61" s="153">
        <v>1</v>
      </c>
      <c r="Y61" s="153">
        <v>0</v>
      </c>
      <c r="Z61" s="153">
        <v>1</v>
      </c>
      <c r="AA61" s="153">
        <v>0</v>
      </c>
      <c r="AB61" s="153"/>
      <c r="AC61" s="155">
        <v>45913</v>
      </c>
      <c r="AD61" s="156">
        <v>0.65972222221898846</v>
      </c>
      <c r="AE61" s="153" t="s">
        <v>101</v>
      </c>
      <c r="AF61" s="155">
        <v>45918</v>
      </c>
      <c r="AG61" s="156">
        <v>0.74652777778101154</v>
      </c>
      <c r="AH61" s="153" t="s">
        <v>2346</v>
      </c>
      <c r="AI61" s="153" t="s">
        <v>2315</v>
      </c>
      <c r="AJ61" s="153" t="s">
        <v>64</v>
      </c>
      <c r="AK61" s="153" t="s">
        <v>64</v>
      </c>
      <c r="AL61" s="153" t="s">
        <v>2306</v>
      </c>
      <c r="AM61" s="149" t="s">
        <v>65</v>
      </c>
      <c r="AN61" s="158"/>
      <c r="AO61" s="159"/>
      <c r="AQ61"/>
      <c r="AR61"/>
      <c r="AS61"/>
      <c r="AT61"/>
      <c r="AU61"/>
    </row>
    <row r="62" spans="1:47" s="151" customFormat="1" ht="14.25" customHeight="1">
      <c r="A62" s="139"/>
      <c r="B62" s="139"/>
      <c r="C62" s="152" t="str">
        <f>IF($X62=1,COUNTIF($C$10:C61,"&gt;0")+1,"")</f>
        <v/>
      </c>
      <c r="D62" s="323"/>
      <c r="E62" s="153" t="s">
        <v>2309</v>
      </c>
      <c r="F62" s="154" t="s">
        <v>2506</v>
      </c>
      <c r="G62" s="153" t="s">
        <v>2503</v>
      </c>
      <c r="H62" s="153" t="s">
        <v>2507</v>
      </c>
      <c r="I62" s="153" t="s">
        <v>2500</v>
      </c>
      <c r="J62" s="153" t="s">
        <v>58</v>
      </c>
      <c r="K62" s="153" t="s">
        <v>59</v>
      </c>
      <c r="L62" s="155">
        <v>22265</v>
      </c>
      <c r="M62" s="153">
        <v>64</v>
      </c>
      <c r="N62" s="153" t="s">
        <v>2508</v>
      </c>
      <c r="O62" s="155">
        <v>46318</v>
      </c>
      <c r="P62" s="153" t="s">
        <v>4</v>
      </c>
      <c r="Q62" s="153"/>
      <c r="R62" s="162">
        <v>45913</v>
      </c>
      <c r="S62" s="163">
        <v>45918</v>
      </c>
      <c r="T62" s="164">
        <f t="shared" si="0"/>
        <v>5</v>
      </c>
      <c r="U62" s="153">
        <v>1</v>
      </c>
      <c r="V62" s="153">
        <v>1</v>
      </c>
      <c r="W62" s="153">
        <v>0</v>
      </c>
      <c r="X62" s="153">
        <v>0</v>
      </c>
      <c r="Y62" s="153">
        <v>0</v>
      </c>
      <c r="Z62" s="153">
        <v>0</v>
      </c>
      <c r="AA62" s="153">
        <v>0</v>
      </c>
      <c r="AB62" s="153"/>
      <c r="AC62" s="155">
        <v>45913</v>
      </c>
      <c r="AD62" s="156">
        <v>0.65972222221898846</v>
      </c>
      <c r="AE62" s="153" t="s">
        <v>101</v>
      </c>
      <c r="AF62" s="155">
        <v>45918</v>
      </c>
      <c r="AG62" s="156">
        <v>0.74652777778101154</v>
      </c>
      <c r="AH62" s="153" t="s">
        <v>2346</v>
      </c>
      <c r="AI62" s="153" t="s">
        <v>2315</v>
      </c>
      <c r="AJ62" s="153" t="s">
        <v>64</v>
      </c>
      <c r="AK62" s="153" t="s">
        <v>64</v>
      </c>
      <c r="AL62" s="153" t="s">
        <v>2306</v>
      </c>
      <c r="AM62" s="149" t="s">
        <v>65</v>
      </c>
      <c r="AN62" s="158"/>
      <c r="AO62" s="159"/>
      <c r="AQ62"/>
      <c r="AR62"/>
      <c r="AS62"/>
      <c r="AT62"/>
      <c r="AU62"/>
    </row>
    <row r="63" spans="1:47" s="151" customFormat="1" ht="14.25" customHeight="1">
      <c r="A63" s="139"/>
      <c r="B63" s="139"/>
      <c r="C63" s="152">
        <f>IF($X63=1,COUNTIF($C$10:C62,"&gt;0")+1,"")</f>
        <v>26</v>
      </c>
      <c r="D63" s="322">
        <v>75985487</v>
      </c>
      <c r="E63" s="153" t="s">
        <v>2309</v>
      </c>
      <c r="F63" s="154" t="s">
        <v>2509</v>
      </c>
      <c r="G63" s="153" t="s">
        <v>2509</v>
      </c>
      <c r="H63" s="153" t="s">
        <v>1375</v>
      </c>
      <c r="I63" s="153" t="s">
        <v>1319</v>
      </c>
      <c r="J63" s="153" t="s">
        <v>68</v>
      </c>
      <c r="K63" s="153" t="s">
        <v>59</v>
      </c>
      <c r="L63" s="155">
        <v>33037</v>
      </c>
      <c r="M63" s="153">
        <v>35</v>
      </c>
      <c r="N63" s="153" t="s">
        <v>2510</v>
      </c>
      <c r="O63" s="155">
        <v>49035</v>
      </c>
      <c r="P63" s="153" t="s">
        <v>4</v>
      </c>
      <c r="Q63" s="153"/>
      <c r="R63" s="162">
        <v>45913</v>
      </c>
      <c r="S63" s="163">
        <v>45918</v>
      </c>
      <c r="T63" s="164">
        <f t="shared" si="0"/>
        <v>5</v>
      </c>
      <c r="U63" s="153">
        <v>1</v>
      </c>
      <c r="V63" s="153">
        <v>1</v>
      </c>
      <c r="W63" s="153">
        <v>0</v>
      </c>
      <c r="X63" s="153">
        <v>1</v>
      </c>
      <c r="Y63" s="153">
        <v>0</v>
      </c>
      <c r="Z63" s="153">
        <v>1</v>
      </c>
      <c r="AA63" s="153">
        <v>0</v>
      </c>
      <c r="AB63" s="153"/>
      <c r="AC63" s="155">
        <v>45913</v>
      </c>
      <c r="AD63" s="156">
        <v>0.65972222221898846</v>
      </c>
      <c r="AE63" s="153" t="s">
        <v>101</v>
      </c>
      <c r="AF63" s="155">
        <v>45918</v>
      </c>
      <c r="AG63" s="156">
        <v>0.39583333333575865</v>
      </c>
      <c r="AH63" s="153" t="s">
        <v>607</v>
      </c>
      <c r="AI63" s="153" t="s">
        <v>2315</v>
      </c>
      <c r="AJ63" s="153" t="s">
        <v>64</v>
      </c>
      <c r="AK63" s="153" t="s">
        <v>64</v>
      </c>
      <c r="AL63" s="153" t="s">
        <v>2306</v>
      </c>
      <c r="AM63" s="149" t="s">
        <v>65</v>
      </c>
      <c r="AN63" s="158"/>
      <c r="AO63" s="159"/>
      <c r="AQ63"/>
      <c r="AR63"/>
      <c r="AS63"/>
      <c r="AT63"/>
      <c r="AU63"/>
    </row>
    <row r="64" spans="1:47" s="151" customFormat="1" ht="14.25" customHeight="1">
      <c r="A64" s="139"/>
      <c r="B64" s="139"/>
      <c r="C64" s="152" t="str">
        <f>IF($X64=1,COUNTIF($C$10:C63,"&gt;0")+1,"")</f>
        <v/>
      </c>
      <c r="D64" s="323"/>
      <c r="E64" s="153" t="s">
        <v>2309</v>
      </c>
      <c r="F64" s="154" t="s">
        <v>2511</v>
      </c>
      <c r="G64" s="153" t="s">
        <v>2509</v>
      </c>
      <c r="H64" s="153" t="s">
        <v>2512</v>
      </c>
      <c r="I64" s="153" t="s">
        <v>1380</v>
      </c>
      <c r="J64" s="153" t="s">
        <v>58</v>
      </c>
      <c r="K64" s="153" t="s">
        <v>59</v>
      </c>
      <c r="L64" s="155">
        <v>40719</v>
      </c>
      <c r="M64" s="153">
        <v>14</v>
      </c>
      <c r="N64" s="153" t="s">
        <v>2513</v>
      </c>
      <c r="O64" s="155">
        <v>47581</v>
      </c>
      <c r="P64" s="153" t="s">
        <v>4</v>
      </c>
      <c r="Q64" s="153"/>
      <c r="R64" s="162">
        <v>45913</v>
      </c>
      <c r="S64" s="163">
        <v>45918</v>
      </c>
      <c r="T64" s="164">
        <f t="shared" si="0"/>
        <v>5</v>
      </c>
      <c r="U64" s="153">
        <v>1</v>
      </c>
      <c r="V64" s="153">
        <v>1</v>
      </c>
      <c r="W64" s="153">
        <v>0</v>
      </c>
      <c r="X64" s="153">
        <v>0</v>
      </c>
      <c r="Y64" s="153">
        <v>0</v>
      </c>
      <c r="Z64" s="153">
        <v>0</v>
      </c>
      <c r="AA64" s="153">
        <v>0</v>
      </c>
      <c r="AB64" s="153"/>
      <c r="AC64" s="155">
        <v>45913</v>
      </c>
      <c r="AD64" s="156">
        <v>0.65972222221898846</v>
      </c>
      <c r="AE64" s="153" t="s">
        <v>101</v>
      </c>
      <c r="AF64" s="155">
        <v>45918</v>
      </c>
      <c r="AG64" s="156">
        <v>0.76388888889050577</v>
      </c>
      <c r="AH64" s="153" t="s">
        <v>2514</v>
      </c>
      <c r="AI64" s="153" t="s">
        <v>2315</v>
      </c>
      <c r="AJ64" s="153" t="s">
        <v>64</v>
      </c>
      <c r="AK64" s="153" t="s">
        <v>64</v>
      </c>
      <c r="AL64" s="153" t="s">
        <v>2306</v>
      </c>
      <c r="AM64" s="149" t="s">
        <v>65</v>
      </c>
      <c r="AN64" s="158"/>
      <c r="AO64" s="159"/>
      <c r="AQ64"/>
      <c r="AR64"/>
      <c r="AS64"/>
      <c r="AT64"/>
      <c r="AU64"/>
    </row>
    <row r="65" spans="1:47" s="151" customFormat="1" ht="14.25" customHeight="1">
      <c r="A65" s="139"/>
      <c r="B65" s="139"/>
      <c r="C65" s="152">
        <f>IF($X65=1,COUNTIF($C$10:C64,"&gt;0")+1,"")</f>
        <v>27</v>
      </c>
      <c r="D65" s="322">
        <v>75985496</v>
      </c>
      <c r="E65" s="153" t="s">
        <v>2309</v>
      </c>
      <c r="F65" s="154" t="s">
        <v>2515</v>
      </c>
      <c r="G65" s="153" t="s">
        <v>2515</v>
      </c>
      <c r="H65" s="153" t="s">
        <v>2516</v>
      </c>
      <c r="I65" s="153" t="s">
        <v>1376</v>
      </c>
      <c r="J65" s="153" t="s">
        <v>68</v>
      </c>
      <c r="K65" s="153" t="s">
        <v>59</v>
      </c>
      <c r="L65" s="155">
        <v>31722</v>
      </c>
      <c r="M65" s="153">
        <v>38</v>
      </c>
      <c r="N65" s="153" t="s">
        <v>2517</v>
      </c>
      <c r="O65" s="155">
        <v>46946</v>
      </c>
      <c r="P65" s="153" t="s">
        <v>5</v>
      </c>
      <c r="Q65" s="153"/>
      <c r="R65" s="162">
        <v>45913</v>
      </c>
      <c r="S65" s="163">
        <v>45918</v>
      </c>
      <c r="T65" s="164">
        <f t="shared" si="0"/>
        <v>5</v>
      </c>
      <c r="U65" s="153">
        <v>1</v>
      </c>
      <c r="V65" s="153">
        <v>1</v>
      </c>
      <c r="W65" s="153">
        <v>0</v>
      </c>
      <c r="X65" s="153">
        <v>1</v>
      </c>
      <c r="Y65" s="153">
        <v>0</v>
      </c>
      <c r="Z65" s="153">
        <v>0</v>
      </c>
      <c r="AA65" s="153">
        <v>1</v>
      </c>
      <c r="AB65" s="153"/>
      <c r="AC65" s="155">
        <v>45913</v>
      </c>
      <c r="AD65" s="156">
        <v>0.65972222221898846</v>
      </c>
      <c r="AE65" s="153" t="s">
        <v>101</v>
      </c>
      <c r="AF65" s="155">
        <v>45918</v>
      </c>
      <c r="AG65" s="156">
        <v>0.76388888889050577</v>
      </c>
      <c r="AH65" s="153" t="s">
        <v>2514</v>
      </c>
      <c r="AI65" s="153" t="s">
        <v>2315</v>
      </c>
      <c r="AJ65" s="153" t="s">
        <v>64</v>
      </c>
      <c r="AK65" s="153" t="s">
        <v>64</v>
      </c>
      <c r="AL65" s="153" t="s">
        <v>2306</v>
      </c>
      <c r="AM65" s="149" t="s">
        <v>65</v>
      </c>
      <c r="AN65" s="158"/>
      <c r="AO65" s="159"/>
      <c r="AQ65"/>
      <c r="AR65"/>
      <c r="AS65"/>
      <c r="AT65"/>
      <c r="AU65"/>
    </row>
    <row r="66" spans="1:47" s="151" customFormat="1" ht="14.25" customHeight="1">
      <c r="A66" s="139"/>
      <c r="B66" s="139"/>
      <c r="C66" s="152" t="str">
        <f>IF($X66=1,COUNTIF($C$10:C65,"&gt;0")+1,"")</f>
        <v/>
      </c>
      <c r="D66" s="324"/>
      <c r="E66" s="153" t="s">
        <v>2309</v>
      </c>
      <c r="F66" s="154" t="s">
        <v>2518</v>
      </c>
      <c r="G66" s="153" t="s">
        <v>2515</v>
      </c>
      <c r="H66" s="153" t="s">
        <v>2519</v>
      </c>
      <c r="I66" s="153" t="s">
        <v>1380</v>
      </c>
      <c r="J66" s="153" t="s">
        <v>58</v>
      </c>
      <c r="K66" s="153" t="s">
        <v>59</v>
      </c>
      <c r="L66" s="155">
        <v>29610</v>
      </c>
      <c r="M66" s="153">
        <v>44</v>
      </c>
      <c r="N66" s="153" t="s">
        <v>2520</v>
      </c>
      <c r="O66" s="155">
        <v>46947</v>
      </c>
      <c r="P66" s="153" t="s">
        <v>5</v>
      </c>
      <c r="Q66" s="153"/>
      <c r="R66" s="162">
        <v>45913</v>
      </c>
      <c r="S66" s="163">
        <v>45918</v>
      </c>
      <c r="T66" s="164">
        <f t="shared" si="0"/>
        <v>5</v>
      </c>
      <c r="U66" s="153">
        <v>1</v>
      </c>
      <c r="V66" s="153">
        <v>1</v>
      </c>
      <c r="W66" s="153">
        <v>0</v>
      </c>
      <c r="X66" s="153">
        <v>0</v>
      </c>
      <c r="Y66" s="153">
        <v>0</v>
      </c>
      <c r="Z66" s="153">
        <v>0</v>
      </c>
      <c r="AA66" s="153">
        <v>0</v>
      </c>
      <c r="AB66" s="153"/>
      <c r="AC66" s="155">
        <v>45913</v>
      </c>
      <c r="AD66" s="156">
        <v>0.65972222221898846</v>
      </c>
      <c r="AE66" s="153" t="s">
        <v>101</v>
      </c>
      <c r="AF66" s="155">
        <v>45918</v>
      </c>
      <c r="AG66" s="156">
        <v>0.76388888889050577</v>
      </c>
      <c r="AH66" s="153" t="s">
        <v>2514</v>
      </c>
      <c r="AI66" s="153" t="s">
        <v>2315</v>
      </c>
      <c r="AJ66" s="153" t="s">
        <v>64</v>
      </c>
      <c r="AK66" s="153" t="s">
        <v>64</v>
      </c>
      <c r="AL66" s="153" t="s">
        <v>2306</v>
      </c>
      <c r="AM66" s="149" t="s">
        <v>65</v>
      </c>
      <c r="AN66" s="158"/>
      <c r="AO66" s="159"/>
      <c r="AQ66"/>
      <c r="AR66"/>
      <c r="AS66"/>
      <c r="AT66"/>
      <c r="AU66"/>
    </row>
    <row r="67" spans="1:47" s="151" customFormat="1" ht="14.25" customHeight="1">
      <c r="A67" s="139"/>
      <c r="B67" s="139"/>
      <c r="C67" s="152" t="str">
        <f>IF($X67=1,COUNTIF($C$10:C66,"&gt;0")+1,"")</f>
        <v/>
      </c>
      <c r="D67" s="323"/>
      <c r="E67" s="153" t="s">
        <v>2309</v>
      </c>
      <c r="F67" s="154" t="s">
        <v>2521</v>
      </c>
      <c r="G67" s="153" t="s">
        <v>2515</v>
      </c>
      <c r="H67" s="153" t="s">
        <v>2522</v>
      </c>
      <c r="I67" s="153" t="s">
        <v>1380</v>
      </c>
      <c r="J67" s="153" t="s">
        <v>68</v>
      </c>
      <c r="K67" s="153" t="s">
        <v>59</v>
      </c>
      <c r="L67" s="155">
        <v>41607</v>
      </c>
      <c r="M67" s="153">
        <v>11</v>
      </c>
      <c r="N67" s="153" t="s">
        <v>2523</v>
      </c>
      <c r="O67" s="155">
        <v>47581</v>
      </c>
      <c r="P67" s="153" t="s">
        <v>5</v>
      </c>
      <c r="Q67" s="153"/>
      <c r="R67" s="162">
        <v>45913</v>
      </c>
      <c r="S67" s="163">
        <v>45918</v>
      </c>
      <c r="T67" s="164">
        <f t="shared" si="0"/>
        <v>5</v>
      </c>
      <c r="U67" s="153">
        <v>1</v>
      </c>
      <c r="V67" s="153">
        <v>0</v>
      </c>
      <c r="W67" s="153">
        <v>1</v>
      </c>
      <c r="X67" s="153">
        <v>0</v>
      </c>
      <c r="Y67" s="153">
        <v>0</v>
      </c>
      <c r="Z67" s="153">
        <v>0</v>
      </c>
      <c r="AA67" s="153">
        <v>0</v>
      </c>
      <c r="AB67" s="153"/>
      <c r="AC67" s="155">
        <v>45913</v>
      </c>
      <c r="AD67" s="156">
        <v>0.65972222221898846</v>
      </c>
      <c r="AE67" s="153" t="s">
        <v>101</v>
      </c>
      <c r="AF67" s="155">
        <v>45918</v>
      </c>
      <c r="AG67" s="156">
        <v>0.76388888889050577</v>
      </c>
      <c r="AH67" s="153" t="s">
        <v>2514</v>
      </c>
      <c r="AI67" s="153" t="s">
        <v>2315</v>
      </c>
      <c r="AJ67" s="153" t="s">
        <v>64</v>
      </c>
      <c r="AK67" s="153" t="s">
        <v>64</v>
      </c>
      <c r="AL67" s="153" t="s">
        <v>2306</v>
      </c>
      <c r="AM67" s="149" t="s">
        <v>65</v>
      </c>
      <c r="AN67" s="158"/>
      <c r="AO67" s="159"/>
      <c r="AQ67"/>
      <c r="AR67"/>
      <c r="AS67"/>
      <c r="AT67"/>
      <c r="AU67"/>
    </row>
    <row r="68" spans="1:47" s="151" customFormat="1" ht="14.25" customHeight="1">
      <c r="A68" s="139"/>
      <c r="B68" s="139"/>
      <c r="C68" s="152">
        <f>IF($X68=1,COUNTIF($C$10:C67,"&gt;0")+1,"")</f>
        <v>28</v>
      </c>
      <c r="D68" s="322">
        <v>75985531</v>
      </c>
      <c r="E68" s="153" t="s">
        <v>2309</v>
      </c>
      <c r="F68" s="154" t="s">
        <v>2524</v>
      </c>
      <c r="G68" s="153" t="s">
        <v>2524</v>
      </c>
      <c r="H68" s="153" t="s">
        <v>998</v>
      </c>
      <c r="I68" s="153" t="s">
        <v>759</v>
      </c>
      <c r="J68" s="153" t="s">
        <v>68</v>
      </c>
      <c r="K68" s="153" t="s">
        <v>59</v>
      </c>
      <c r="L68" s="155">
        <v>31601</v>
      </c>
      <c r="M68" s="153">
        <v>39</v>
      </c>
      <c r="N68" s="153" t="s">
        <v>2525</v>
      </c>
      <c r="O68" s="155">
        <v>46422</v>
      </c>
      <c r="P68" s="153" t="s">
        <v>4</v>
      </c>
      <c r="Q68" s="153"/>
      <c r="R68" s="162">
        <v>45913</v>
      </c>
      <c r="S68" s="163">
        <v>45918</v>
      </c>
      <c r="T68" s="164">
        <f t="shared" si="0"/>
        <v>5</v>
      </c>
      <c r="U68" s="153">
        <v>1</v>
      </c>
      <c r="V68" s="153">
        <v>1</v>
      </c>
      <c r="W68" s="153">
        <v>0</v>
      </c>
      <c r="X68" s="153">
        <v>1</v>
      </c>
      <c r="Y68" s="153">
        <v>0</v>
      </c>
      <c r="Z68" s="153">
        <v>1</v>
      </c>
      <c r="AA68" s="153">
        <v>0</v>
      </c>
      <c r="AB68" s="153"/>
      <c r="AC68" s="155">
        <v>45913</v>
      </c>
      <c r="AD68" s="156">
        <v>0.65972222221898846</v>
      </c>
      <c r="AE68" s="153" t="s">
        <v>101</v>
      </c>
      <c r="AF68" s="155">
        <v>45918</v>
      </c>
      <c r="AG68" s="156">
        <v>0.70138888889050577</v>
      </c>
      <c r="AH68" s="153" t="s">
        <v>96</v>
      </c>
      <c r="AI68" s="153" t="s">
        <v>2315</v>
      </c>
      <c r="AJ68" s="153" t="s">
        <v>64</v>
      </c>
      <c r="AK68" s="153" t="s">
        <v>64</v>
      </c>
      <c r="AL68" s="153" t="s">
        <v>2306</v>
      </c>
      <c r="AM68" s="149" t="s">
        <v>65</v>
      </c>
      <c r="AN68" s="158"/>
      <c r="AO68" s="159"/>
      <c r="AQ68"/>
      <c r="AR68"/>
      <c r="AS68"/>
      <c r="AT68"/>
      <c r="AU68"/>
    </row>
    <row r="69" spans="1:47" s="151" customFormat="1" ht="14.25" customHeight="1">
      <c r="A69" s="139"/>
      <c r="B69" s="139"/>
      <c r="C69" s="152" t="str">
        <f>IF($X69=1,COUNTIF($C$10:C68,"&gt;0")+1,"")</f>
        <v/>
      </c>
      <c r="D69" s="323"/>
      <c r="E69" s="153" t="s">
        <v>2309</v>
      </c>
      <c r="F69" s="154" t="s">
        <v>2526</v>
      </c>
      <c r="G69" s="153" t="s">
        <v>2524</v>
      </c>
      <c r="H69" s="153" t="s">
        <v>2527</v>
      </c>
      <c r="I69" s="153" t="s">
        <v>438</v>
      </c>
      <c r="J69" s="153" t="s">
        <v>58</v>
      </c>
      <c r="K69" s="153" t="s">
        <v>59</v>
      </c>
      <c r="L69" s="155">
        <v>30405</v>
      </c>
      <c r="M69" s="153">
        <v>42</v>
      </c>
      <c r="N69" s="153" t="s">
        <v>2528</v>
      </c>
      <c r="O69" s="155">
        <v>46550</v>
      </c>
      <c r="P69" s="153" t="s">
        <v>4</v>
      </c>
      <c r="Q69" s="153"/>
      <c r="R69" s="162">
        <v>45913</v>
      </c>
      <c r="S69" s="163">
        <v>45918</v>
      </c>
      <c r="T69" s="164">
        <f t="shared" si="0"/>
        <v>5</v>
      </c>
      <c r="U69" s="153">
        <v>1</v>
      </c>
      <c r="V69" s="153">
        <v>1</v>
      </c>
      <c r="W69" s="153">
        <v>0</v>
      </c>
      <c r="X69" s="153">
        <v>0</v>
      </c>
      <c r="Y69" s="153">
        <v>0</v>
      </c>
      <c r="Z69" s="153">
        <v>0</v>
      </c>
      <c r="AA69" s="153">
        <v>0</v>
      </c>
      <c r="AB69" s="153"/>
      <c r="AC69" s="155">
        <v>45913</v>
      </c>
      <c r="AD69" s="156">
        <v>0.65972222221898846</v>
      </c>
      <c r="AE69" s="153" t="s">
        <v>101</v>
      </c>
      <c r="AF69" s="155">
        <v>45918</v>
      </c>
      <c r="AG69" s="156">
        <v>0.70138888889050577</v>
      </c>
      <c r="AH69" s="153" t="s">
        <v>96</v>
      </c>
      <c r="AI69" s="153" t="s">
        <v>2315</v>
      </c>
      <c r="AJ69" s="153" t="s">
        <v>64</v>
      </c>
      <c r="AK69" s="153" t="s">
        <v>64</v>
      </c>
      <c r="AL69" s="153" t="s">
        <v>2306</v>
      </c>
      <c r="AM69" s="149" t="s">
        <v>65</v>
      </c>
      <c r="AN69" s="158"/>
      <c r="AO69" s="159"/>
      <c r="AQ69"/>
      <c r="AR69"/>
      <c r="AS69"/>
      <c r="AT69"/>
      <c r="AU69"/>
    </row>
    <row r="70" spans="1:47" s="151" customFormat="1" ht="14.25" customHeight="1">
      <c r="A70" s="139"/>
      <c r="B70" s="139"/>
      <c r="C70" s="152">
        <f>IF($X70=1,COUNTIF($C$10:C69,"&gt;0")+1,"")</f>
        <v>29</v>
      </c>
      <c r="D70" s="322">
        <v>75985568</v>
      </c>
      <c r="E70" s="153" t="s">
        <v>2309</v>
      </c>
      <c r="F70" s="154" t="s">
        <v>2529</v>
      </c>
      <c r="G70" s="153" t="s">
        <v>2529</v>
      </c>
      <c r="H70" s="153" t="s">
        <v>2530</v>
      </c>
      <c r="I70" s="153" t="s">
        <v>2531</v>
      </c>
      <c r="J70" s="153" t="s">
        <v>68</v>
      </c>
      <c r="K70" s="153" t="s">
        <v>59</v>
      </c>
      <c r="L70" s="155">
        <v>30518</v>
      </c>
      <c r="M70" s="153">
        <v>42</v>
      </c>
      <c r="N70" s="153" t="s">
        <v>2532</v>
      </c>
      <c r="O70" s="155">
        <v>48180</v>
      </c>
      <c r="P70" s="153" t="s">
        <v>4</v>
      </c>
      <c r="Q70" s="153"/>
      <c r="R70" s="162">
        <v>45913</v>
      </c>
      <c r="S70" s="163">
        <v>45918</v>
      </c>
      <c r="T70" s="164">
        <f t="shared" si="0"/>
        <v>5</v>
      </c>
      <c r="U70" s="153">
        <v>1</v>
      </c>
      <c r="V70" s="153">
        <v>1</v>
      </c>
      <c r="W70" s="153">
        <v>0</v>
      </c>
      <c r="X70" s="153">
        <v>1</v>
      </c>
      <c r="Y70" s="153">
        <v>0</v>
      </c>
      <c r="Z70" s="153">
        <v>1</v>
      </c>
      <c r="AA70" s="153">
        <v>0</v>
      </c>
      <c r="AB70" s="153"/>
      <c r="AC70" s="155">
        <v>45913</v>
      </c>
      <c r="AD70" s="156">
        <v>0.72222222221898846</v>
      </c>
      <c r="AE70" s="153" t="s">
        <v>164</v>
      </c>
      <c r="AF70" s="155">
        <v>45918</v>
      </c>
      <c r="AG70" s="156">
        <v>0.65625</v>
      </c>
      <c r="AH70" s="153" t="s">
        <v>2215</v>
      </c>
      <c r="AI70" s="153" t="s">
        <v>2315</v>
      </c>
      <c r="AJ70" s="153" t="s">
        <v>64</v>
      </c>
      <c r="AK70" s="153" t="s">
        <v>64</v>
      </c>
      <c r="AL70" s="153" t="s">
        <v>2306</v>
      </c>
      <c r="AM70" s="149" t="s">
        <v>65</v>
      </c>
      <c r="AN70" s="158"/>
      <c r="AO70" s="159"/>
      <c r="AQ70"/>
      <c r="AR70"/>
      <c r="AS70"/>
      <c r="AT70"/>
      <c r="AU70"/>
    </row>
    <row r="71" spans="1:47" s="151" customFormat="1" ht="14.25" customHeight="1">
      <c r="A71" s="139"/>
      <c r="B71" s="139"/>
      <c r="C71" s="152" t="str">
        <f>IF($X71=1,COUNTIF($C$10:C70,"&gt;0")+1,"")</f>
        <v/>
      </c>
      <c r="D71" s="323"/>
      <c r="E71" s="153" t="s">
        <v>2309</v>
      </c>
      <c r="F71" s="154" t="s">
        <v>2533</v>
      </c>
      <c r="G71" s="153" t="s">
        <v>2529</v>
      </c>
      <c r="H71" s="153" t="s">
        <v>2534</v>
      </c>
      <c r="I71" s="153" t="s">
        <v>2535</v>
      </c>
      <c r="J71" s="153" t="s">
        <v>68</v>
      </c>
      <c r="K71" s="153" t="s">
        <v>59</v>
      </c>
      <c r="L71" s="155">
        <v>31231</v>
      </c>
      <c r="M71" s="153">
        <v>40</v>
      </c>
      <c r="N71" s="153" t="s">
        <v>2536</v>
      </c>
      <c r="O71" s="155">
        <v>46803</v>
      </c>
      <c r="P71" s="153" t="s">
        <v>4</v>
      </c>
      <c r="Q71" s="153"/>
      <c r="R71" s="162">
        <v>45913</v>
      </c>
      <c r="S71" s="163">
        <v>45918</v>
      </c>
      <c r="T71" s="164">
        <f t="shared" si="0"/>
        <v>5</v>
      </c>
      <c r="U71" s="153">
        <v>1</v>
      </c>
      <c r="V71" s="153">
        <v>1</v>
      </c>
      <c r="W71" s="153">
        <v>0</v>
      </c>
      <c r="X71" s="153">
        <v>0</v>
      </c>
      <c r="Y71" s="153">
        <v>0</v>
      </c>
      <c r="Z71" s="153">
        <v>0</v>
      </c>
      <c r="AA71" s="153">
        <v>0</v>
      </c>
      <c r="AB71" s="153"/>
      <c r="AC71" s="155">
        <v>45913</v>
      </c>
      <c r="AD71" s="156">
        <v>0.72222222221898846</v>
      </c>
      <c r="AE71" s="153" t="s">
        <v>164</v>
      </c>
      <c r="AF71" s="155">
        <v>45918</v>
      </c>
      <c r="AG71" s="156">
        <v>0.65625</v>
      </c>
      <c r="AH71" s="153" t="s">
        <v>2215</v>
      </c>
      <c r="AI71" s="153" t="s">
        <v>2315</v>
      </c>
      <c r="AJ71" s="153" t="s">
        <v>64</v>
      </c>
      <c r="AK71" s="153" t="s">
        <v>64</v>
      </c>
      <c r="AL71" s="153" t="s">
        <v>2306</v>
      </c>
      <c r="AM71" s="149" t="s">
        <v>65</v>
      </c>
      <c r="AN71" s="158"/>
      <c r="AO71" s="159"/>
      <c r="AQ71"/>
      <c r="AR71"/>
      <c r="AS71"/>
      <c r="AT71"/>
      <c r="AU71"/>
    </row>
    <row r="72" spans="1:47" s="151" customFormat="1" ht="14.25" customHeight="1">
      <c r="A72" s="139"/>
      <c r="B72" s="139"/>
      <c r="C72" s="152">
        <f>IF($X72=1,COUNTIF($C$10:C71,"&gt;0")+1,"")</f>
        <v>30</v>
      </c>
      <c r="D72" s="322">
        <v>75985595</v>
      </c>
      <c r="E72" s="153" t="s">
        <v>2309</v>
      </c>
      <c r="F72" s="154" t="s">
        <v>2537</v>
      </c>
      <c r="G72" s="153" t="s">
        <v>2537</v>
      </c>
      <c r="H72" s="153" t="s">
        <v>2538</v>
      </c>
      <c r="I72" s="153" t="s">
        <v>2539</v>
      </c>
      <c r="J72" s="153" t="s">
        <v>68</v>
      </c>
      <c r="K72" s="153" t="s">
        <v>59</v>
      </c>
      <c r="L72" s="155">
        <v>31722</v>
      </c>
      <c r="M72" s="153">
        <v>38</v>
      </c>
      <c r="N72" s="153" t="s">
        <v>2540</v>
      </c>
      <c r="O72" s="155">
        <v>46179</v>
      </c>
      <c r="P72" s="153" t="s">
        <v>4</v>
      </c>
      <c r="Q72" s="153"/>
      <c r="R72" s="162">
        <v>45913</v>
      </c>
      <c r="S72" s="163">
        <v>45918</v>
      </c>
      <c r="T72" s="164">
        <f t="shared" si="0"/>
        <v>5</v>
      </c>
      <c r="U72" s="153">
        <v>1</v>
      </c>
      <c r="V72" s="153">
        <v>1</v>
      </c>
      <c r="W72" s="153">
        <v>0</v>
      </c>
      <c r="X72" s="153">
        <v>1</v>
      </c>
      <c r="Y72" s="153">
        <v>0</v>
      </c>
      <c r="Z72" s="153">
        <v>1</v>
      </c>
      <c r="AA72" s="153">
        <v>0</v>
      </c>
      <c r="AB72" s="153"/>
      <c r="AC72" s="155">
        <v>45913</v>
      </c>
      <c r="AD72" s="156">
        <v>0.72222222221898846</v>
      </c>
      <c r="AE72" s="153" t="s">
        <v>164</v>
      </c>
      <c r="AF72" s="155">
        <v>45918</v>
      </c>
      <c r="AG72" s="156">
        <v>0.65625</v>
      </c>
      <c r="AH72" s="153" t="s">
        <v>2215</v>
      </c>
      <c r="AI72" s="153" t="s">
        <v>2315</v>
      </c>
      <c r="AJ72" s="153" t="s">
        <v>64</v>
      </c>
      <c r="AK72" s="153" t="s">
        <v>64</v>
      </c>
      <c r="AL72" s="153" t="s">
        <v>2306</v>
      </c>
      <c r="AM72" s="149" t="s">
        <v>65</v>
      </c>
      <c r="AN72" s="158"/>
      <c r="AO72" s="159"/>
      <c r="AQ72"/>
      <c r="AR72"/>
      <c r="AS72"/>
      <c r="AT72"/>
      <c r="AU72"/>
    </row>
    <row r="73" spans="1:47" s="151" customFormat="1" ht="14.25" customHeight="1">
      <c r="A73" s="139"/>
      <c r="B73" s="139"/>
      <c r="C73" s="152" t="str">
        <f>IF($X73=1,COUNTIF($C$10:C72,"&gt;0")+1,"")</f>
        <v/>
      </c>
      <c r="D73" s="323"/>
      <c r="E73" s="153" t="s">
        <v>2309</v>
      </c>
      <c r="F73" s="154" t="s">
        <v>2541</v>
      </c>
      <c r="G73" s="153" t="s">
        <v>2537</v>
      </c>
      <c r="H73" s="153" t="s">
        <v>2542</v>
      </c>
      <c r="I73" s="153" t="s">
        <v>2539</v>
      </c>
      <c r="J73" s="153" t="s">
        <v>58</v>
      </c>
      <c r="K73" s="153" t="s">
        <v>59</v>
      </c>
      <c r="L73" s="155">
        <v>31578</v>
      </c>
      <c r="M73" s="153">
        <v>39</v>
      </c>
      <c r="N73" s="153" t="s">
        <v>2543</v>
      </c>
      <c r="O73" s="155">
        <v>46179</v>
      </c>
      <c r="P73" s="153" t="s">
        <v>4</v>
      </c>
      <c r="Q73" s="153"/>
      <c r="R73" s="162">
        <v>45913</v>
      </c>
      <c r="S73" s="163">
        <v>45918</v>
      </c>
      <c r="T73" s="164">
        <f t="shared" si="0"/>
        <v>5</v>
      </c>
      <c r="U73" s="153">
        <v>1</v>
      </c>
      <c r="V73" s="153">
        <v>1</v>
      </c>
      <c r="W73" s="153">
        <v>0</v>
      </c>
      <c r="X73" s="153">
        <v>0</v>
      </c>
      <c r="Y73" s="153">
        <v>0</v>
      </c>
      <c r="Z73" s="153">
        <v>0</v>
      </c>
      <c r="AA73" s="153">
        <v>0</v>
      </c>
      <c r="AB73" s="153"/>
      <c r="AC73" s="155">
        <v>45913</v>
      </c>
      <c r="AD73" s="156">
        <v>0.72222222221898846</v>
      </c>
      <c r="AE73" s="153" t="s">
        <v>164</v>
      </c>
      <c r="AF73" s="155">
        <v>45918</v>
      </c>
      <c r="AG73" s="156">
        <v>0.65625</v>
      </c>
      <c r="AH73" s="153" t="s">
        <v>2215</v>
      </c>
      <c r="AI73" s="153" t="s">
        <v>2315</v>
      </c>
      <c r="AJ73" s="153" t="s">
        <v>64</v>
      </c>
      <c r="AK73" s="153" t="s">
        <v>64</v>
      </c>
      <c r="AL73" s="153" t="s">
        <v>2306</v>
      </c>
      <c r="AM73" s="149" t="s">
        <v>65</v>
      </c>
      <c r="AN73" s="158"/>
      <c r="AO73" s="159"/>
      <c r="AQ73"/>
      <c r="AR73"/>
      <c r="AS73"/>
      <c r="AT73"/>
      <c r="AU73"/>
    </row>
    <row r="74" spans="1:47" s="151" customFormat="1" ht="14.25" customHeight="1">
      <c r="A74" s="139"/>
      <c r="B74" s="139"/>
      <c r="C74" s="152">
        <f>IF($X74=1,COUNTIF($C$10:C73,"&gt;0")+1,"")</f>
        <v>31</v>
      </c>
      <c r="D74" s="322">
        <v>75985599</v>
      </c>
      <c r="E74" s="153" t="s">
        <v>2309</v>
      </c>
      <c r="F74" s="154" t="s">
        <v>2544</v>
      </c>
      <c r="G74" s="153" t="s">
        <v>2544</v>
      </c>
      <c r="H74" s="153" t="s">
        <v>2545</v>
      </c>
      <c r="I74" s="153" t="s">
        <v>2546</v>
      </c>
      <c r="J74" s="153" t="s">
        <v>58</v>
      </c>
      <c r="K74" s="153" t="s">
        <v>59</v>
      </c>
      <c r="L74" s="155">
        <v>22948</v>
      </c>
      <c r="M74" s="153">
        <v>62</v>
      </c>
      <c r="N74" s="153" t="s">
        <v>2547</v>
      </c>
      <c r="O74" s="155">
        <v>49184</v>
      </c>
      <c r="P74" s="153" t="s">
        <v>4</v>
      </c>
      <c r="Q74" s="153"/>
      <c r="R74" s="162">
        <v>45913</v>
      </c>
      <c r="S74" s="163">
        <v>45918</v>
      </c>
      <c r="T74" s="164">
        <f t="shared" ref="T74:T137" si="1">S74-R74</f>
        <v>5</v>
      </c>
      <c r="U74" s="153">
        <v>1</v>
      </c>
      <c r="V74" s="153">
        <v>1</v>
      </c>
      <c r="W74" s="153">
        <v>0</v>
      </c>
      <c r="X74" s="153">
        <v>1</v>
      </c>
      <c r="Y74" s="153">
        <v>0</v>
      </c>
      <c r="Z74" s="153">
        <v>1</v>
      </c>
      <c r="AA74" s="153">
        <v>0</v>
      </c>
      <c r="AB74" s="153"/>
      <c r="AC74" s="155">
        <v>45913</v>
      </c>
      <c r="AD74" s="156">
        <v>0.46875</v>
      </c>
      <c r="AE74" s="153" t="s">
        <v>254</v>
      </c>
      <c r="AF74" s="155">
        <v>45918</v>
      </c>
      <c r="AG74" s="156">
        <v>0.85763888889050577</v>
      </c>
      <c r="AH74" s="153" t="s">
        <v>2548</v>
      </c>
      <c r="AI74" s="153" t="s">
        <v>2315</v>
      </c>
      <c r="AJ74" s="153" t="s">
        <v>64</v>
      </c>
      <c r="AK74" s="153" t="s">
        <v>64</v>
      </c>
      <c r="AL74" s="153" t="s">
        <v>2306</v>
      </c>
      <c r="AM74" s="149" t="s">
        <v>65</v>
      </c>
      <c r="AN74" s="158"/>
      <c r="AO74" s="159"/>
      <c r="AQ74"/>
      <c r="AR74"/>
      <c r="AS74"/>
      <c r="AT74"/>
      <c r="AU74"/>
    </row>
    <row r="75" spans="1:47" s="151" customFormat="1" ht="14.25" customHeight="1">
      <c r="A75" s="139"/>
      <c r="B75" s="139"/>
      <c r="C75" s="152" t="str">
        <f>IF($X75=1,COUNTIF($C$10:C74,"&gt;0")+1,"")</f>
        <v/>
      </c>
      <c r="D75" s="323"/>
      <c r="E75" s="153" t="s">
        <v>2309</v>
      </c>
      <c r="F75" s="154" t="s">
        <v>2549</v>
      </c>
      <c r="G75" s="153" t="s">
        <v>2544</v>
      </c>
      <c r="H75" s="153" t="s">
        <v>2550</v>
      </c>
      <c r="I75" s="153" t="s">
        <v>2546</v>
      </c>
      <c r="J75" s="153" t="s">
        <v>68</v>
      </c>
      <c r="K75" s="153" t="s">
        <v>59</v>
      </c>
      <c r="L75" s="155">
        <v>27099</v>
      </c>
      <c r="M75" s="153">
        <v>51</v>
      </c>
      <c r="N75" s="153" t="s">
        <v>2551</v>
      </c>
      <c r="O75" s="155">
        <v>48962</v>
      </c>
      <c r="P75" s="153" t="s">
        <v>4</v>
      </c>
      <c r="Q75" s="153"/>
      <c r="R75" s="162">
        <v>45913</v>
      </c>
      <c r="S75" s="163">
        <v>45918</v>
      </c>
      <c r="T75" s="164">
        <f t="shared" si="1"/>
        <v>5</v>
      </c>
      <c r="U75" s="153">
        <v>1</v>
      </c>
      <c r="V75" s="153">
        <v>1</v>
      </c>
      <c r="W75" s="153">
        <v>0</v>
      </c>
      <c r="X75" s="153">
        <v>0</v>
      </c>
      <c r="Y75" s="153">
        <v>0</v>
      </c>
      <c r="Z75" s="153">
        <v>0</v>
      </c>
      <c r="AA75" s="153">
        <v>0</v>
      </c>
      <c r="AB75" s="153"/>
      <c r="AC75" s="155">
        <v>45913</v>
      </c>
      <c r="AD75" s="156">
        <v>0.46875</v>
      </c>
      <c r="AE75" s="153" t="s">
        <v>254</v>
      </c>
      <c r="AF75" s="155">
        <v>45918</v>
      </c>
      <c r="AG75" s="156">
        <v>0.85763888889050577</v>
      </c>
      <c r="AH75" s="153" t="s">
        <v>2548</v>
      </c>
      <c r="AI75" s="153" t="s">
        <v>2315</v>
      </c>
      <c r="AJ75" s="153" t="s">
        <v>64</v>
      </c>
      <c r="AK75" s="153" t="s">
        <v>64</v>
      </c>
      <c r="AL75" s="153" t="s">
        <v>2306</v>
      </c>
      <c r="AM75" s="149" t="s">
        <v>65</v>
      </c>
      <c r="AN75" s="158"/>
      <c r="AO75" s="159"/>
      <c r="AQ75"/>
      <c r="AR75"/>
      <c r="AS75"/>
      <c r="AT75"/>
      <c r="AU75"/>
    </row>
    <row r="76" spans="1:47" s="151" customFormat="1" ht="14.25" customHeight="1">
      <c r="A76" s="139"/>
      <c r="B76" s="139"/>
      <c r="C76" s="152">
        <f>IF($X76=1,COUNTIF($C$10:C75,"&gt;0")+1,"")</f>
        <v>32</v>
      </c>
      <c r="D76" s="322">
        <v>75985611</v>
      </c>
      <c r="E76" s="153" t="s">
        <v>2309</v>
      </c>
      <c r="F76" s="154" t="s">
        <v>2552</v>
      </c>
      <c r="G76" s="153" t="s">
        <v>2552</v>
      </c>
      <c r="H76" s="153" t="s">
        <v>2553</v>
      </c>
      <c r="I76" s="153" t="s">
        <v>2176</v>
      </c>
      <c r="J76" s="153" t="s">
        <v>68</v>
      </c>
      <c r="K76" s="153" t="s">
        <v>59</v>
      </c>
      <c r="L76" s="155">
        <v>23785</v>
      </c>
      <c r="M76" s="153">
        <v>60</v>
      </c>
      <c r="N76" s="153" t="s">
        <v>2554</v>
      </c>
      <c r="O76" s="155">
        <v>46413</v>
      </c>
      <c r="P76" s="153" t="s">
        <v>4</v>
      </c>
      <c r="Q76" s="153"/>
      <c r="R76" s="162">
        <v>45913</v>
      </c>
      <c r="S76" s="163">
        <v>45918</v>
      </c>
      <c r="T76" s="164">
        <f t="shared" si="1"/>
        <v>5</v>
      </c>
      <c r="U76" s="153">
        <v>1</v>
      </c>
      <c r="V76" s="153">
        <v>1</v>
      </c>
      <c r="W76" s="153">
        <v>0</v>
      </c>
      <c r="X76" s="153">
        <v>1</v>
      </c>
      <c r="Y76" s="153">
        <v>0</v>
      </c>
      <c r="Z76" s="153">
        <v>1</v>
      </c>
      <c r="AA76" s="153">
        <v>0</v>
      </c>
      <c r="AB76" s="153"/>
      <c r="AC76" s="155">
        <v>45913</v>
      </c>
      <c r="AD76" s="156">
        <v>0.70833333333575865</v>
      </c>
      <c r="AE76" s="153" t="s">
        <v>2555</v>
      </c>
      <c r="AF76" s="155">
        <v>45918</v>
      </c>
      <c r="AG76" s="156">
        <v>0.58333333333575865</v>
      </c>
      <c r="AH76" s="153" t="s">
        <v>2556</v>
      </c>
      <c r="AI76" s="153" t="s">
        <v>2315</v>
      </c>
      <c r="AJ76" s="153" t="s">
        <v>64</v>
      </c>
      <c r="AK76" s="153" t="s">
        <v>64</v>
      </c>
      <c r="AL76" s="153" t="s">
        <v>2306</v>
      </c>
      <c r="AM76" s="149" t="s">
        <v>65</v>
      </c>
      <c r="AN76" s="158"/>
      <c r="AO76" s="159"/>
      <c r="AQ76"/>
      <c r="AR76"/>
      <c r="AS76"/>
      <c r="AT76"/>
      <c r="AU76"/>
    </row>
    <row r="77" spans="1:47" s="151" customFormat="1" ht="14.25" customHeight="1">
      <c r="A77" s="139"/>
      <c r="B77" s="139"/>
      <c r="C77" s="152" t="str">
        <f>IF($X77=1,COUNTIF($C$10:C76,"&gt;0")+1,"")</f>
        <v/>
      </c>
      <c r="D77" s="323"/>
      <c r="E77" s="153" t="s">
        <v>2309</v>
      </c>
      <c r="F77" s="154" t="s">
        <v>2557</v>
      </c>
      <c r="G77" s="153" t="s">
        <v>2552</v>
      </c>
      <c r="H77" s="153" t="s">
        <v>2558</v>
      </c>
      <c r="I77" s="153" t="s">
        <v>2559</v>
      </c>
      <c r="J77" s="153" t="s">
        <v>58</v>
      </c>
      <c r="K77" s="153" t="s">
        <v>59</v>
      </c>
      <c r="L77" s="155">
        <v>22875</v>
      </c>
      <c r="M77" s="153">
        <v>63</v>
      </c>
      <c r="N77" s="153" t="s">
        <v>2560</v>
      </c>
      <c r="O77" s="155">
        <v>48650</v>
      </c>
      <c r="P77" s="153" t="s">
        <v>4</v>
      </c>
      <c r="Q77" s="153"/>
      <c r="R77" s="162">
        <v>45913</v>
      </c>
      <c r="S77" s="163">
        <v>45918</v>
      </c>
      <c r="T77" s="164">
        <f t="shared" si="1"/>
        <v>5</v>
      </c>
      <c r="U77" s="153">
        <v>1</v>
      </c>
      <c r="V77" s="153">
        <v>1</v>
      </c>
      <c r="W77" s="153">
        <v>0</v>
      </c>
      <c r="X77" s="153">
        <v>0</v>
      </c>
      <c r="Y77" s="153">
        <v>0</v>
      </c>
      <c r="Z77" s="153">
        <v>0</v>
      </c>
      <c r="AA77" s="153">
        <v>0</v>
      </c>
      <c r="AB77" s="153"/>
      <c r="AC77" s="155">
        <v>45913</v>
      </c>
      <c r="AD77" s="156">
        <v>0.70833333333575865</v>
      </c>
      <c r="AE77" s="153" t="s">
        <v>2555</v>
      </c>
      <c r="AF77" s="155">
        <v>45918</v>
      </c>
      <c r="AG77" s="156">
        <v>0.58333333333575865</v>
      </c>
      <c r="AH77" s="153" t="s">
        <v>2556</v>
      </c>
      <c r="AI77" s="153" t="s">
        <v>2315</v>
      </c>
      <c r="AJ77" s="153" t="s">
        <v>64</v>
      </c>
      <c r="AK77" s="153" t="s">
        <v>64</v>
      </c>
      <c r="AL77" s="153" t="s">
        <v>2306</v>
      </c>
      <c r="AM77" s="149" t="s">
        <v>65</v>
      </c>
      <c r="AN77" s="158"/>
      <c r="AO77" s="159"/>
      <c r="AQ77"/>
      <c r="AR77"/>
      <c r="AS77"/>
      <c r="AT77"/>
      <c r="AU77"/>
    </row>
    <row r="78" spans="1:47" s="151" customFormat="1" ht="14.25" customHeight="1">
      <c r="A78" s="139"/>
      <c r="B78" s="139"/>
      <c r="C78" s="152">
        <f>IF($X78=1,COUNTIF($C$10:C77,"&gt;0")+1,"")</f>
        <v>33</v>
      </c>
      <c r="D78" s="322">
        <v>75985627</v>
      </c>
      <c r="E78" s="153" t="s">
        <v>2309</v>
      </c>
      <c r="F78" s="154" t="s">
        <v>2561</v>
      </c>
      <c r="G78" s="153" t="s">
        <v>2561</v>
      </c>
      <c r="H78" s="153" t="s">
        <v>2562</v>
      </c>
      <c r="I78" s="153" t="s">
        <v>2563</v>
      </c>
      <c r="J78" s="153" t="s">
        <v>58</v>
      </c>
      <c r="K78" s="153" t="s">
        <v>59</v>
      </c>
      <c r="L78" s="155">
        <v>30624</v>
      </c>
      <c r="M78" s="153">
        <v>41</v>
      </c>
      <c r="N78" s="153" t="s">
        <v>2564</v>
      </c>
      <c r="O78" s="155">
        <v>47149</v>
      </c>
      <c r="P78" s="153" t="s">
        <v>4</v>
      </c>
      <c r="Q78" s="153"/>
      <c r="R78" s="162">
        <v>45913</v>
      </c>
      <c r="S78" s="163">
        <v>45918</v>
      </c>
      <c r="T78" s="164">
        <f t="shared" si="1"/>
        <v>5</v>
      </c>
      <c r="U78" s="153">
        <v>1</v>
      </c>
      <c r="V78" s="153">
        <v>1</v>
      </c>
      <c r="W78" s="153">
        <v>0</v>
      </c>
      <c r="X78" s="153">
        <v>1</v>
      </c>
      <c r="Y78" s="153">
        <v>0</v>
      </c>
      <c r="Z78" s="153">
        <v>1</v>
      </c>
      <c r="AA78" s="153">
        <v>0</v>
      </c>
      <c r="AB78" s="153"/>
      <c r="AC78" s="155">
        <v>45912</v>
      </c>
      <c r="AD78" s="156">
        <v>0.73958333333575865</v>
      </c>
      <c r="AE78" s="153" t="s">
        <v>2406</v>
      </c>
      <c r="AF78" s="155">
        <v>45919</v>
      </c>
      <c r="AG78" s="156">
        <v>0.87847222221898846</v>
      </c>
      <c r="AH78" s="153" t="s">
        <v>1489</v>
      </c>
      <c r="AI78" s="153" t="s">
        <v>2315</v>
      </c>
      <c r="AJ78" s="153" t="s">
        <v>64</v>
      </c>
      <c r="AK78" s="153" t="s">
        <v>64</v>
      </c>
      <c r="AL78" s="153" t="s">
        <v>2306</v>
      </c>
      <c r="AM78" s="149" t="s">
        <v>65</v>
      </c>
      <c r="AN78" s="158"/>
      <c r="AO78" s="159"/>
      <c r="AQ78"/>
      <c r="AR78"/>
      <c r="AS78"/>
      <c r="AT78"/>
      <c r="AU78"/>
    </row>
    <row r="79" spans="1:47" s="151" customFormat="1" ht="14.25" customHeight="1">
      <c r="A79" s="139"/>
      <c r="B79" s="139"/>
      <c r="C79" s="152" t="str">
        <f>IF($X79=1,COUNTIF($C$10:C78,"&gt;0")+1,"")</f>
        <v/>
      </c>
      <c r="D79" s="323"/>
      <c r="E79" s="153" t="s">
        <v>2309</v>
      </c>
      <c r="F79" s="154" t="s">
        <v>2565</v>
      </c>
      <c r="G79" s="153" t="s">
        <v>2561</v>
      </c>
      <c r="H79" s="153" t="s">
        <v>2566</v>
      </c>
      <c r="I79" s="153" t="s">
        <v>2567</v>
      </c>
      <c r="J79" s="153" t="s">
        <v>68</v>
      </c>
      <c r="K79" s="153" t="s">
        <v>2069</v>
      </c>
      <c r="L79" s="155">
        <v>29933</v>
      </c>
      <c r="M79" s="153">
        <v>43</v>
      </c>
      <c r="N79" s="153" t="s">
        <v>2568</v>
      </c>
      <c r="O79" s="155">
        <v>46477</v>
      </c>
      <c r="P79" s="153" t="s">
        <v>4</v>
      </c>
      <c r="Q79" s="153"/>
      <c r="R79" s="162">
        <v>45913</v>
      </c>
      <c r="S79" s="163">
        <v>45918</v>
      </c>
      <c r="T79" s="164">
        <f t="shared" si="1"/>
        <v>5</v>
      </c>
      <c r="U79" s="153">
        <v>1</v>
      </c>
      <c r="V79" s="153">
        <v>1</v>
      </c>
      <c r="W79" s="153">
        <v>0</v>
      </c>
      <c r="X79" s="153">
        <v>0</v>
      </c>
      <c r="Y79" s="153">
        <v>0</v>
      </c>
      <c r="Z79" s="153">
        <v>0</v>
      </c>
      <c r="AA79" s="153">
        <v>0</v>
      </c>
      <c r="AB79" s="153"/>
      <c r="AC79" s="155">
        <v>45913</v>
      </c>
      <c r="AD79" s="156">
        <v>0.65625</v>
      </c>
      <c r="AE79" s="153" t="s">
        <v>2569</v>
      </c>
      <c r="AF79" s="155">
        <v>45918</v>
      </c>
      <c r="AG79" s="156">
        <v>0.70833333333575865</v>
      </c>
      <c r="AH79" s="153" t="s">
        <v>2570</v>
      </c>
      <c r="AI79" s="153" t="s">
        <v>2315</v>
      </c>
      <c r="AJ79" s="153" t="s">
        <v>64</v>
      </c>
      <c r="AK79" s="153" t="s">
        <v>64</v>
      </c>
      <c r="AL79" s="153" t="s">
        <v>2306</v>
      </c>
      <c r="AM79" s="149" t="s">
        <v>65</v>
      </c>
      <c r="AN79" s="158"/>
      <c r="AO79" s="159"/>
      <c r="AQ79"/>
      <c r="AR79"/>
      <c r="AS79"/>
      <c r="AT79"/>
      <c r="AU79"/>
    </row>
    <row r="80" spans="1:47" s="151" customFormat="1" ht="14.25" customHeight="1">
      <c r="A80" s="139"/>
      <c r="B80" s="139"/>
      <c r="C80" s="152">
        <f>IF($X80=1,COUNTIF($C$10:C79,"&gt;0")+1,"")</f>
        <v>34</v>
      </c>
      <c r="D80" s="153">
        <v>75985636</v>
      </c>
      <c r="E80" s="153" t="s">
        <v>2309</v>
      </c>
      <c r="F80" s="154" t="s">
        <v>2571</v>
      </c>
      <c r="G80" s="153" t="s">
        <v>2571</v>
      </c>
      <c r="H80" s="153" t="s">
        <v>2572</v>
      </c>
      <c r="I80" s="153" t="s">
        <v>2573</v>
      </c>
      <c r="J80" s="153" t="s">
        <v>68</v>
      </c>
      <c r="K80" s="153" t="s">
        <v>59</v>
      </c>
      <c r="L80" s="155">
        <v>22448</v>
      </c>
      <c r="M80" s="153">
        <v>64</v>
      </c>
      <c r="N80" s="153" t="s">
        <v>2574</v>
      </c>
      <c r="O80" s="155">
        <v>46420</v>
      </c>
      <c r="P80" s="153" t="s">
        <v>3</v>
      </c>
      <c r="Q80" s="153"/>
      <c r="R80" s="162">
        <v>45913</v>
      </c>
      <c r="S80" s="163">
        <v>45918</v>
      </c>
      <c r="T80" s="164">
        <f t="shared" si="1"/>
        <v>5</v>
      </c>
      <c r="U80" s="153">
        <v>1</v>
      </c>
      <c r="V80" s="153">
        <v>1</v>
      </c>
      <c r="W80" s="153">
        <v>0</v>
      </c>
      <c r="X80" s="153">
        <v>1</v>
      </c>
      <c r="Y80" s="153">
        <v>1</v>
      </c>
      <c r="Z80" s="153">
        <v>0</v>
      </c>
      <c r="AA80" s="153">
        <v>0</v>
      </c>
      <c r="AB80" s="153"/>
      <c r="AC80" s="155">
        <v>45913</v>
      </c>
      <c r="AD80" s="156">
        <v>0.18055555555474712</v>
      </c>
      <c r="AE80" s="153" t="s">
        <v>95</v>
      </c>
      <c r="AF80" s="155">
        <v>45920</v>
      </c>
      <c r="AG80" s="156">
        <v>0.70138888889050577</v>
      </c>
      <c r="AH80" s="153" t="s">
        <v>96</v>
      </c>
      <c r="AI80" s="153" t="s">
        <v>2315</v>
      </c>
      <c r="AJ80" s="153" t="s">
        <v>64</v>
      </c>
      <c r="AK80" s="153" t="s">
        <v>64</v>
      </c>
      <c r="AL80" s="153" t="s">
        <v>2306</v>
      </c>
      <c r="AM80" s="149" t="s">
        <v>65</v>
      </c>
      <c r="AN80" s="158"/>
      <c r="AO80" s="159"/>
      <c r="AQ80"/>
      <c r="AR80"/>
      <c r="AS80"/>
      <c r="AT80"/>
      <c r="AU80"/>
    </row>
    <row r="81" spans="1:47" s="151" customFormat="1" ht="14.25" customHeight="1">
      <c r="A81" s="139"/>
      <c r="B81" s="139"/>
      <c r="C81" s="152">
        <f>IF($X81=1,COUNTIF($C$10:C80,"&gt;0")+1,"")</f>
        <v>35</v>
      </c>
      <c r="D81" s="322">
        <v>75985648</v>
      </c>
      <c r="E81" s="153" t="s">
        <v>2309</v>
      </c>
      <c r="F81" s="154" t="s">
        <v>2575</v>
      </c>
      <c r="G81" s="153" t="s">
        <v>2575</v>
      </c>
      <c r="H81" s="153" t="s">
        <v>2576</v>
      </c>
      <c r="I81" s="153" t="s">
        <v>586</v>
      </c>
      <c r="J81" s="153" t="s">
        <v>68</v>
      </c>
      <c r="K81" s="153" t="s">
        <v>59</v>
      </c>
      <c r="L81" s="155">
        <v>20327</v>
      </c>
      <c r="M81" s="153">
        <v>70</v>
      </c>
      <c r="N81" s="153" t="s">
        <v>2577</v>
      </c>
      <c r="O81" s="155">
        <v>46788</v>
      </c>
      <c r="P81" s="153" t="s">
        <v>4</v>
      </c>
      <c r="Q81" s="153"/>
      <c r="R81" s="162">
        <v>45913</v>
      </c>
      <c r="S81" s="163">
        <v>45918</v>
      </c>
      <c r="T81" s="164">
        <f t="shared" si="1"/>
        <v>5</v>
      </c>
      <c r="U81" s="153">
        <v>1</v>
      </c>
      <c r="V81" s="153">
        <v>1</v>
      </c>
      <c r="W81" s="153">
        <v>0</v>
      </c>
      <c r="X81" s="153">
        <v>1</v>
      </c>
      <c r="Y81" s="153">
        <v>0</v>
      </c>
      <c r="Z81" s="153">
        <v>1</v>
      </c>
      <c r="AA81" s="153">
        <v>0</v>
      </c>
      <c r="AB81" s="153"/>
      <c r="AC81" s="155">
        <v>45912</v>
      </c>
      <c r="AD81" s="156">
        <v>0.65625</v>
      </c>
      <c r="AE81" s="153" t="s">
        <v>2338</v>
      </c>
      <c r="AF81" s="155">
        <v>45918</v>
      </c>
      <c r="AG81" s="156">
        <v>0.54513888889050577</v>
      </c>
      <c r="AH81" s="153" t="s">
        <v>2578</v>
      </c>
      <c r="AI81" s="153" t="s">
        <v>2315</v>
      </c>
      <c r="AJ81" s="153" t="s">
        <v>64</v>
      </c>
      <c r="AK81" s="153" t="s">
        <v>64</v>
      </c>
      <c r="AL81" s="153" t="s">
        <v>2306</v>
      </c>
      <c r="AM81" s="149" t="s">
        <v>65</v>
      </c>
      <c r="AN81" s="158"/>
      <c r="AO81" s="159"/>
      <c r="AQ81"/>
      <c r="AR81"/>
      <c r="AS81"/>
      <c r="AT81"/>
      <c r="AU81"/>
    </row>
    <row r="82" spans="1:47" s="151" customFormat="1" ht="14.25" customHeight="1">
      <c r="A82" s="139"/>
      <c r="B82" s="139"/>
      <c r="C82" s="152" t="str">
        <f>IF($X82=1,COUNTIF($C$10:C81,"&gt;0")+1,"")</f>
        <v/>
      </c>
      <c r="D82" s="323"/>
      <c r="E82" s="153" t="s">
        <v>2309</v>
      </c>
      <c r="F82" s="154" t="s">
        <v>2579</v>
      </c>
      <c r="G82" s="153" t="s">
        <v>2575</v>
      </c>
      <c r="H82" s="153" t="s">
        <v>2580</v>
      </c>
      <c r="I82" s="153" t="s">
        <v>2581</v>
      </c>
      <c r="J82" s="153" t="s">
        <v>68</v>
      </c>
      <c r="K82" s="153" t="s">
        <v>59</v>
      </c>
      <c r="L82" s="155">
        <v>20807</v>
      </c>
      <c r="M82" s="153">
        <v>68</v>
      </c>
      <c r="N82" s="153" t="s">
        <v>2582</v>
      </c>
      <c r="O82" s="155">
        <v>46270</v>
      </c>
      <c r="P82" s="153" t="s">
        <v>4</v>
      </c>
      <c r="Q82" s="153"/>
      <c r="R82" s="162">
        <v>45913</v>
      </c>
      <c r="S82" s="163">
        <v>45918</v>
      </c>
      <c r="T82" s="164">
        <f t="shared" si="1"/>
        <v>5</v>
      </c>
      <c r="U82" s="153">
        <v>1</v>
      </c>
      <c r="V82" s="153">
        <v>1</v>
      </c>
      <c r="W82" s="153">
        <v>0</v>
      </c>
      <c r="X82" s="153">
        <v>0</v>
      </c>
      <c r="Y82" s="153">
        <v>0</v>
      </c>
      <c r="Z82" s="153">
        <v>0</v>
      </c>
      <c r="AA82" s="153">
        <v>0</v>
      </c>
      <c r="AB82" s="153"/>
      <c r="AC82" s="155">
        <v>45912</v>
      </c>
      <c r="AD82" s="156">
        <v>0.65625</v>
      </c>
      <c r="AE82" s="153" t="s">
        <v>2338</v>
      </c>
      <c r="AF82" s="155">
        <v>45918</v>
      </c>
      <c r="AG82" s="156">
        <v>0.54513888889050577</v>
      </c>
      <c r="AH82" s="153" t="s">
        <v>2578</v>
      </c>
      <c r="AI82" s="153" t="s">
        <v>2315</v>
      </c>
      <c r="AJ82" s="153" t="s">
        <v>64</v>
      </c>
      <c r="AK82" s="153" t="s">
        <v>64</v>
      </c>
      <c r="AL82" s="153" t="s">
        <v>2306</v>
      </c>
      <c r="AM82" s="149" t="s">
        <v>65</v>
      </c>
      <c r="AN82" s="158"/>
      <c r="AO82" s="159"/>
      <c r="AQ82"/>
      <c r="AR82"/>
      <c r="AS82"/>
      <c r="AT82"/>
      <c r="AU82"/>
    </row>
    <row r="83" spans="1:47" s="151" customFormat="1" ht="14.25" customHeight="1">
      <c r="A83" s="139"/>
      <c r="B83" s="139"/>
      <c r="C83" s="152">
        <f>IF($X83=1,COUNTIF($C$10:C82,"&gt;0")+1,"")</f>
        <v>36</v>
      </c>
      <c r="D83" s="322">
        <v>75985672</v>
      </c>
      <c r="E83" s="153" t="s">
        <v>2309</v>
      </c>
      <c r="F83" s="154" t="s">
        <v>2583</v>
      </c>
      <c r="G83" s="153" t="s">
        <v>2583</v>
      </c>
      <c r="H83" s="153" t="s">
        <v>2584</v>
      </c>
      <c r="I83" s="153" t="s">
        <v>2585</v>
      </c>
      <c r="J83" s="153" t="s">
        <v>68</v>
      </c>
      <c r="K83" s="153" t="s">
        <v>59</v>
      </c>
      <c r="L83" s="155">
        <v>21083</v>
      </c>
      <c r="M83" s="153">
        <v>67</v>
      </c>
      <c r="N83" s="153" t="s">
        <v>2586</v>
      </c>
      <c r="O83" s="155">
        <v>46494</v>
      </c>
      <c r="P83" s="153" t="s">
        <v>4</v>
      </c>
      <c r="Q83" s="153"/>
      <c r="R83" s="162">
        <v>45913</v>
      </c>
      <c r="S83" s="163">
        <v>45918</v>
      </c>
      <c r="T83" s="164">
        <f t="shared" si="1"/>
        <v>5</v>
      </c>
      <c r="U83" s="153">
        <v>1</v>
      </c>
      <c r="V83" s="153">
        <v>1</v>
      </c>
      <c r="W83" s="153">
        <v>0</v>
      </c>
      <c r="X83" s="153">
        <v>1</v>
      </c>
      <c r="Y83" s="153">
        <v>0</v>
      </c>
      <c r="Z83" s="153">
        <v>1</v>
      </c>
      <c r="AA83" s="153">
        <v>0</v>
      </c>
      <c r="AB83" s="153"/>
      <c r="AC83" s="155">
        <v>45913</v>
      </c>
      <c r="AD83" s="156">
        <v>0.18055555555474712</v>
      </c>
      <c r="AE83" s="153" t="s">
        <v>95</v>
      </c>
      <c r="AF83" s="155">
        <v>45918</v>
      </c>
      <c r="AG83" s="156">
        <v>0.70138888889050577</v>
      </c>
      <c r="AH83" s="153" t="s">
        <v>96</v>
      </c>
      <c r="AI83" s="153" t="s">
        <v>2315</v>
      </c>
      <c r="AJ83" s="153" t="s">
        <v>64</v>
      </c>
      <c r="AK83" s="153" t="s">
        <v>64</v>
      </c>
      <c r="AL83" s="153" t="s">
        <v>2306</v>
      </c>
      <c r="AM83" s="149" t="s">
        <v>65</v>
      </c>
      <c r="AN83" s="158"/>
      <c r="AO83" s="159"/>
      <c r="AQ83"/>
      <c r="AR83"/>
      <c r="AS83"/>
      <c r="AT83"/>
      <c r="AU83"/>
    </row>
    <row r="84" spans="1:47" s="151" customFormat="1" ht="14.25" customHeight="1">
      <c r="A84" s="139"/>
      <c r="B84" s="139"/>
      <c r="C84" s="152" t="str">
        <f>IF($X84=1,COUNTIF($C$10:C83,"&gt;0")+1,"")</f>
        <v/>
      </c>
      <c r="D84" s="323"/>
      <c r="E84" s="153" t="s">
        <v>2309</v>
      </c>
      <c r="F84" s="154" t="s">
        <v>2587</v>
      </c>
      <c r="G84" s="153" t="s">
        <v>2583</v>
      </c>
      <c r="H84" s="153" t="s">
        <v>2588</v>
      </c>
      <c r="I84" s="153" t="s">
        <v>2585</v>
      </c>
      <c r="J84" s="153" t="s">
        <v>58</v>
      </c>
      <c r="K84" s="153" t="s">
        <v>59</v>
      </c>
      <c r="L84" s="155">
        <v>21071</v>
      </c>
      <c r="M84" s="153">
        <v>68</v>
      </c>
      <c r="N84" s="153" t="s">
        <v>2589</v>
      </c>
      <c r="O84" s="155">
        <v>46489</v>
      </c>
      <c r="P84" s="153" t="s">
        <v>4</v>
      </c>
      <c r="Q84" s="153"/>
      <c r="R84" s="162">
        <v>45913</v>
      </c>
      <c r="S84" s="163">
        <v>45918</v>
      </c>
      <c r="T84" s="164">
        <f t="shared" si="1"/>
        <v>5</v>
      </c>
      <c r="U84" s="153">
        <v>1</v>
      </c>
      <c r="V84" s="153">
        <v>1</v>
      </c>
      <c r="W84" s="153">
        <v>0</v>
      </c>
      <c r="X84" s="153">
        <v>0</v>
      </c>
      <c r="Y84" s="153">
        <v>0</v>
      </c>
      <c r="Z84" s="153">
        <v>0</v>
      </c>
      <c r="AA84" s="153">
        <v>0</v>
      </c>
      <c r="AB84" s="153"/>
      <c r="AC84" s="155">
        <v>45913</v>
      </c>
      <c r="AD84" s="156">
        <v>0.18055555555474712</v>
      </c>
      <c r="AE84" s="153" t="s">
        <v>95</v>
      </c>
      <c r="AF84" s="155">
        <v>45918</v>
      </c>
      <c r="AG84" s="156">
        <v>0.70138888889050577</v>
      </c>
      <c r="AH84" s="153" t="s">
        <v>96</v>
      </c>
      <c r="AI84" s="153" t="s">
        <v>2315</v>
      </c>
      <c r="AJ84" s="153" t="s">
        <v>64</v>
      </c>
      <c r="AK84" s="153" t="s">
        <v>64</v>
      </c>
      <c r="AL84" s="153" t="s">
        <v>2306</v>
      </c>
      <c r="AM84" s="149" t="s">
        <v>65</v>
      </c>
      <c r="AN84" s="158"/>
      <c r="AO84" s="159"/>
      <c r="AQ84"/>
      <c r="AR84"/>
      <c r="AS84"/>
      <c r="AT84"/>
      <c r="AU84"/>
    </row>
    <row r="85" spans="1:47" s="151" customFormat="1" ht="14.25" customHeight="1">
      <c r="A85" s="139"/>
      <c r="B85" s="139"/>
      <c r="C85" s="152">
        <f>IF($X85=1,COUNTIF($C$10:C84,"&gt;0")+1,"")</f>
        <v>37</v>
      </c>
      <c r="D85" s="322">
        <v>75985724</v>
      </c>
      <c r="E85" s="153" t="s">
        <v>2309</v>
      </c>
      <c r="F85" s="154" t="s">
        <v>2590</v>
      </c>
      <c r="G85" s="153" t="s">
        <v>2590</v>
      </c>
      <c r="H85" s="153" t="s">
        <v>1209</v>
      </c>
      <c r="I85" s="153" t="s">
        <v>2591</v>
      </c>
      <c r="J85" s="153" t="s">
        <v>68</v>
      </c>
      <c r="K85" s="153" t="s">
        <v>59</v>
      </c>
      <c r="L85" s="155">
        <v>21649</v>
      </c>
      <c r="M85" s="153">
        <v>66</v>
      </c>
      <c r="N85" s="153" t="s">
        <v>2592</v>
      </c>
      <c r="O85" s="155">
        <v>46735</v>
      </c>
      <c r="P85" s="153" t="s">
        <v>4</v>
      </c>
      <c r="Q85" s="153"/>
      <c r="R85" s="162">
        <v>45913</v>
      </c>
      <c r="S85" s="163">
        <v>45918</v>
      </c>
      <c r="T85" s="164">
        <f t="shared" si="1"/>
        <v>5</v>
      </c>
      <c r="U85" s="153">
        <v>1</v>
      </c>
      <c r="V85" s="153">
        <v>1</v>
      </c>
      <c r="W85" s="153">
        <v>0</v>
      </c>
      <c r="X85" s="153">
        <v>1</v>
      </c>
      <c r="Y85" s="153">
        <v>0</v>
      </c>
      <c r="Z85" s="153">
        <v>1</v>
      </c>
      <c r="AA85" s="153">
        <v>0</v>
      </c>
      <c r="AB85" s="153"/>
      <c r="AC85" s="155">
        <v>45913</v>
      </c>
      <c r="AD85" s="156">
        <v>0.72222222221898846</v>
      </c>
      <c r="AE85" s="153" t="s">
        <v>164</v>
      </c>
      <c r="AF85" s="155">
        <v>45918</v>
      </c>
      <c r="AG85" s="156">
        <v>0.66666666666424135</v>
      </c>
      <c r="AH85" s="153" t="s">
        <v>165</v>
      </c>
      <c r="AI85" s="153" t="s">
        <v>2315</v>
      </c>
      <c r="AJ85" s="153" t="s">
        <v>64</v>
      </c>
      <c r="AK85" s="153" t="s">
        <v>64</v>
      </c>
      <c r="AL85" s="153" t="s">
        <v>2306</v>
      </c>
      <c r="AM85" s="149" t="s">
        <v>65</v>
      </c>
      <c r="AN85" s="158"/>
      <c r="AO85" s="159"/>
      <c r="AQ85"/>
      <c r="AR85"/>
      <c r="AS85"/>
      <c r="AT85"/>
      <c r="AU85"/>
    </row>
    <row r="86" spans="1:47" s="151" customFormat="1" ht="14.25" customHeight="1">
      <c r="A86" s="139"/>
      <c r="B86" s="139"/>
      <c r="C86" s="152" t="str">
        <f>IF($X86=1,COUNTIF($C$10:C85,"&gt;0")+1,"")</f>
        <v/>
      </c>
      <c r="D86" s="323"/>
      <c r="E86" s="153" t="s">
        <v>2309</v>
      </c>
      <c r="F86" s="154" t="s">
        <v>2593</v>
      </c>
      <c r="G86" s="153" t="s">
        <v>2590</v>
      </c>
      <c r="H86" s="153" t="s">
        <v>2594</v>
      </c>
      <c r="I86" s="153" t="s">
        <v>2591</v>
      </c>
      <c r="J86" s="153" t="s">
        <v>58</v>
      </c>
      <c r="K86" s="153" t="s">
        <v>59</v>
      </c>
      <c r="L86" s="155">
        <v>20618</v>
      </c>
      <c r="M86" s="153">
        <v>69</v>
      </c>
      <c r="N86" s="153" t="s">
        <v>2595</v>
      </c>
      <c r="O86" s="155">
        <v>47132</v>
      </c>
      <c r="P86" s="153" t="s">
        <v>4</v>
      </c>
      <c r="Q86" s="153"/>
      <c r="R86" s="162">
        <v>45913</v>
      </c>
      <c r="S86" s="163">
        <v>45918</v>
      </c>
      <c r="T86" s="164">
        <f t="shared" si="1"/>
        <v>5</v>
      </c>
      <c r="U86" s="153">
        <v>1</v>
      </c>
      <c r="V86" s="153">
        <v>1</v>
      </c>
      <c r="W86" s="153">
        <v>0</v>
      </c>
      <c r="X86" s="153">
        <v>0</v>
      </c>
      <c r="Y86" s="153">
        <v>0</v>
      </c>
      <c r="Z86" s="153">
        <v>0</v>
      </c>
      <c r="AA86" s="153">
        <v>0</v>
      </c>
      <c r="AB86" s="153"/>
      <c r="AC86" s="155">
        <v>45913</v>
      </c>
      <c r="AD86" s="156">
        <v>0.72222222221898846</v>
      </c>
      <c r="AE86" s="153" t="s">
        <v>164</v>
      </c>
      <c r="AF86" s="155">
        <v>45918</v>
      </c>
      <c r="AG86" s="156">
        <v>0.66666666666424135</v>
      </c>
      <c r="AH86" s="153" t="s">
        <v>165</v>
      </c>
      <c r="AI86" s="153" t="s">
        <v>2315</v>
      </c>
      <c r="AJ86" s="153" t="s">
        <v>64</v>
      </c>
      <c r="AK86" s="153" t="s">
        <v>64</v>
      </c>
      <c r="AL86" s="153" t="s">
        <v>2306</v>
      </c>
      <c r="AM86" s="149" t="s">
        <v>65</v>
      </c>
      <c r="AN86" s="158"/>
      <c r="AO86" s="159"/>
      <c r="AQ86"/>
      <c r="AR86"/>
      <c r="AS86"/>
      <c r="AT86"/>
      <c r="AU86"/>
    </row>
    <row r="87" spans="1:47" s="151" customFormat="1" ht="14.25" customHeight="1">
      <c r="A87" s="139"/>
      <c r="B87" s="139"/>
      <c r="C87" s="152">
        <f>IF($X87=1,COUNTIF($C$10:C86,"&gt;0")+1,"")</f>
        <v>38</v>
      </c>
      <c r="D87" s="322">
        <v>75985750</v>
      </c>
      <c r="E87" s="153" t="s">
        <v>2309</v>
      </c>
      <c r="F87" s="154" t="s">
        <v>2596</v>
      </c>
      <c r="G87" s="153" t="s">
        <v>2596</v>
      </c>
      <c r="H87" s="153" t="s">
        <v>2597</v>
      </c>
      <c r="I87" s="153" t="s">
        <v>2598</v>
      </c>
      <c r="J87" s="153" t="s">
        <v>68</v>
      </c>
      <c r="K87" s="153" t="s">
        <v>59</v>
      </c>
      <c r="L87" s="155">
        <v>18488</v>
      </c>
      <c r="M87" s="153">
        <v>75</v>
      </c>
      <c r="N87" s="153" t="s">
        <v>2599</v>
      </c>
      <c r="O87" s="155">
        <v>46839</v>
      </c>
      <c r="P87" s="153" t="s">
        <v>5</v>
      </c>
      <c r="Q87" s="153"/>
      <c r="R87" s="162">
        <v>45913</v>
      </c>
      <c r="S87" s="163">
        <v>45918</v>
      </c>
      <c r="T87" s="164">
        <f t="shared" si="1"/>
        <v>5</v>
      </c>
      <c r="U87" s="153">
        <v>1</v>
      </c>
      <c r="V87" s="153">
        <v>1</v>
      </c>
      <c r="W87" s="153">
        <v>0</v>
      </c>
      <c r="X87" s="153">
        <v>1</v>
      </c>
      <c r="Y87" s="153">
        <v>0</v>
      </c>
      <c r="Z87" s="153">
        <v>0</v>
      </c>
      <c r="AA87" s="153">
        <v>1</v>
      </c>
      <c r="AB87" s="153"/>
      <c r="AC87" s="155">
        <v>45913</v>
      </c>
      <c r="AD87" s="156">
        <v>0.18055555555474712</v>
      </c>
      <c r="AE87" s="153" t="s">
        <v>95</v>
      </c>
      <c r="AF87" s="155">
        <v>45918</v>
      </c>
      <c r="AG87" s="156">
        <v>0.70138888889050577</v>
      </c>
      <c r="AH87" s="153" t="s">
        <v>96</v>
      </c>
      <c r="AI87" s="153" t="s">
        <v>2315</v>
      </c>
      <c r="AJ87" s="153" t="s">
        <v>64</v>
      </c>
      <c r="AK87" s="153" t="s">
        <v>64</v>
      </c>
      <c r="AL87" s="153" t="s">
        <v>2306</v>
      </c>
      <c r="AM87" s="149" t="s">
        <v>65</v>
      </c>
      <c r="AN87" s="158"/>
      <c r="AO87" s="159"/>
      <c r="AQ87"/>
      <c r="AR87"/>
      <c r="AS87"/>
      <c r="AT87"/>
      <c r="AU87"/>
    </row>
    <row r="88" spans="1:47" s="151" customFormat="1" ht="14.25" customHeight="1">
      <c r="A88" s="139"/>
      <c r="B88" s="139"/>
      <c r="C88" s="152" t="str">
        <f>IF($X88=1,COUNTIF($C$10:C87,"&gt;0")+1,"")</f>
        <v/>
      </c>
      <c r="D88" s="323"/>
      <c r="E88" s="153" t="s">
        <v>2309</v>
      </c>
      <c r="F88" s="154" t="s">
        <v>2600</v>
      </c>
      <c r="G88" s="153" t="s">
        <v>2596</v>
      </c>
      <c r="H88" s="153" t="s">
        <v>2601</v>
      </c>
      <c r="I88" s="153" t="s">
        <v>2602</v>
      </c>
      <c r="J88" s="153" t="s">
        <v>68</v>
      </c>
      <c r="K88" s="153" t="s">
        <v>59</v>
      </c>
      <c r="L88" s="155">
        <v>36944</v>
      </c>
      <c r="M88" s="153">
        <v>24</v>
      </c>
      <c r="N88" s="153" t="s">
        <v>2603</v>
      </c>
      <c r="O88" s="155">
        <v>48103</v>
      </c>
      <c r="P88" s="153" t="s">
        <v>5</v>
      </c>
      <c r="Q88" s="153"/>
      <c r="R88" s="162">
        <v>45913</v>
      </c>
      <c r="S88" s="163">
        <v>45918</v>
      </c>
      <c r="T88" s="164">
        <f t="shared" si="1"/>
        <v>5</v>
      </c>
      <c r="U88" s="153">
        <v>1</v>
      </c>
      <c r="V88" s="153">
        <v>1</v>
      </c>
      <c r="W88" s="153">
        <v>0</v>
      </c>
      <c r="X88" s="153">
        <v>0</v>
      </c>
      <c r="Y88" s="153">
        <v>0</v>
      </c>
      <c r="Z88" s="153">
        <v>0</v>
      </c>
      <c r="AA88" s="153">
        <v>0</v>
      </c>
      <c r="AB88" s="153"/>
      <c r="AC88" s="155">
        <v>45913</v>
      </c>
      <c r="AD88" s="156">
        <v>0.18055555555474712</v>
      </c>
      <c r="AE88" s="153" t="s">
        <v>95</v>
      </c>
      <c r="AF88" s="155">
        <v>45918</v>
      </c>
      <c r="AG88" s="156">
        <v>0.70138888889050577</v>
      </c>
      <c r="AH88" s="153" t="s">
        <v>96</v>
      </c>
      <c r="AI88" s="153" t="s">
        <v>2315</v>
      </c>
      <c r="AJ88" s="153" t="s">
        <v>64</v>
      </c>
      <c r="AK88" s="153" t="s">
        <v>64</v>
      </c>
      <c r="AL88" s="153" t="s">
        <v>2306</v>
      </c>
      <c r="AM88" s="149" t="s">
        <v>65</v>
      </c>
      <c r="AN88" s="158"/>
      <c r="AO88" s="159"/>
      <c r="AQ88"/>
      <c r="AR88"/>
      <c r="AS88"/>
      <c r="AT88"/>
      <c r="AU88"/>
    </row>
    <row r="89" spans="1:47" s="151" customFormat="1" ht="14.25" customHeight="1">
      <c r="A89" s="139"/>
      <c r="B89" s="139"/>
      <c r="C89" s="152">
        <f>IF($X89=1,COUNTIF($C$10:C88,"&gt;0")+1,"")</f>
        <v>39</v>
      </c>
      <c r="D89" s="322">
        <v>75985763</v>
      </c>
      <c r="E89" s="153" t="s">
        <v>2309</v>
      </c>
      <c r="F89" s="154" t="s">
        <v>2604</v>
      </c>
      <c r="G89" s="153" t="s">
        <v>2604</v>
      </c>
      <c r="H89" s="153" t="s">
        <v>2605</v>
      </c>
      <c r="I89" s="153" t="s">
        <v>82</v>
      </c>
      <c r="J89" s="153" t="s">
        <v>68</v>
      </c>
      <c r="K89" s="153" t="s">
        <v>59</v>
      </c>
      <c r="L89" s="155">
        <v>33998</v>
      </c>
      <c r="M89" s="153">
        <v>32</v>
      </c>
      <c r="N89" s="153" t="s">
        <v>2606</v>
      </c>
      <c r="O89" s="155">
        <v>46763</v>
      </c>
      <c r="P89" s="153" t="s">
        <v>4</v>
      </c>
      <c r="Q89" s="153"/>
      <c r="R89" s="162">
        <v>45913</v>
      </c>
      <c r="S89" s="163">
        <v>45918</v>
      </c>
      <c r="T89" s="164">
        <f t="shared" si="1"/>
        <v>5</v>
      </c>
      <c r="U89" s="153">
        <v>1</v>
      </c>
      <c r="V89" s="153">
        <v>1</v>
      </c>
      <c r="W89" s="153">
        <v>0</v>
      </c>
      <c r="X89" s="153">
        <v>1</v>
      </c>
      <c r="Y89" s="153">
        <v>0</v>
      </c>
      <c r="Z89" s="153">
        <v>1</v>
      </c>
      <c r="AA89" s="153">
        <v>0</v>
      </c>
      <c r="AB89" s="153"/>
      <c r="AC89" s="155">
        <v>45913</v>
      </c>
      <c r="AD89" s="156">
        <v>0.1875</v>
      </c>
      <c r="AE89" s="153" t="s">
        <v>220</v>
      </c>
      <c r="AF89" s="155">
        <v>45918</v>
      </c>
      <c r="AG89" s="156">
        <v>0.78472222221898846</v>
      </c>
      <c r="AH89" s="153" t="s">
        <v>1584</v>
      </c>
      <c r="AI89" s="153" t="s">
        <v>2315</v>
      </c>
      <c r="AJ89" s="153" t="s">
        <v>64</v>
      </c>
      <c r="AK89" s="153" t="s">
        <v>64</v>
      </c>
      <c r="AL89" s="153" t="s">
        <v>2306</v>
      </c>
      <c r="AM89" s="149" t="s">
        <v>65</v>
      </c>
      <c r="AN89" s="158"/>
      <c r="AO89" s="159"/>
      <c r="AQ89"/>
      <c r="AR89"/>
      <c r="AS89"/>
      <c r="AT89"/>
      <c r="AU89"/>
    </row>
    <row r="90" spans="1:47" s="151" customFormat="1" ht="14.25" customHeight="1">
      <c r="A90" s="139"/>
      <c r="B90" s="139"/>
      <c r="C90" s="152" t="str">
        <f>IF($X90=1,COUNTIF($C$10:C89,"&gt;0")+1,"")</f>
        <v/>
      </c>
      <c r="D90" s="323"/>
      <c r="E90" s="153" t="s">
        <v>2309</v>
      </c>
      <c r="F90" s="154" t="s">
        <v>2607</v>
      </c>
      <c r="G90" s="153" t="s">
        <v>2604</v>
      </c>
      <c r="H90" s="153" t="s">
        <v>2608</v>
      </c>
      <c r="I90" s="153" t="s">
        <v>82</v>
      </c>
      <c r="J90" s="153" t="s">
        <v>58</v>
      </c>
      <c r="K90" s="153" t="s">
        <v>59</v>
      </c>
      <c r="L90" s="155">
        <v>31540</v>
      </c>
      <c r="M90" s="153">
        <v>39</v>
      </c>
      <c r="N90" s="153" t="s">
        <v>2609</v>
      </c>
      <c r="O90" s="155">
        <v>48217</v>
      </c>
      <c r="P90" s="153" t="s">
        <v>4</v>
      </c>
      <c r="Q90" s="153"/>
      <c r="R90" s="162">
        <v>45913</v>
      </c>
      <c r="S90" s="163">
        <v>45918</v>
      </c>
      <c r="T90" s="164">
        <f t="shared" si="1"/>
        <v>5</v>
      </c>
      <c r="U90" s="153">
        <v>1</v>
      </c>
      <c r="V90" s="153">
        <v>1</v>
      </c>
      <c r="W90" s="153">
        <v>0</v>
      </c>
      <c r="X90" s="153">
        <v>0</v>
      </c>
      <c r="Y90" s="153">
        <v>0</v>
      </c>
      <c r="Z90" s="153">
        <v>0</v>
      </c>
      <c r="AA90" s="153">
        <v>0</v>
      </c>
      <c r="AB90" s="153"/>
      <c r="AC90" s="155">
        <v>45913</v>
      </c>
      <c r="AD90" s="156">
        <v>0.1875</v>
      </c>
      <c r="AE90" s="153" t="s">
        <v>220</v>
      </c>
      <c r="AF90" s="155">
        <v>45918</v>
      </c>
      <c r="AG90" s="156">
        <v>0.78472222221898846</v>
      </c>
      <c r="AH90" s="153" t="s">
        <v>1584</v>
      </c>
      <c r="AI90" s="153" t="s">
        <v>2315</v>
      </c>
      <c r="AJ90" s="153" t="s">
        <v>64</v>
      </c>
      <c r="AK90" s="153" t="s">
        <v>64</v>
      </c>
      <c r="AL90" s="153" t="s">
        <v>2306</v>
      </c>
      <c r="AM90" s="149" t="s">
        <v>65</v>
      </c>
      <c r="AN90" s="158"/>
      <c r="AO90" s="159"/>
      <c r="AQ90"/>
      <c r="AR90"/>
      <c r="AS90"/>
      <c r="AT90"/>
      <c r="AU90"/>
    </row>
    <row r="91" spans="1:47" s="151" customFormat="1" ht="14.25" customHeight="1">
      <c r="A91" s="139"/>
      <c r="B91" s="139"/>
      <c r="C91" s="152">
        <f>IF($X91=1,COUNTIF($C$10:C90,"&gt;0")+1,"")</f>
        <v>40</v>
      </c>
      <c r="D91" s="322">
        <v>75985804</v>
      </c>
      <c r="E91" s="153" t="s">
        <v>2309</v>
      </c>
      <c r="F91" s="154" t="s">
        <v>2610</v>
      </c>
      <c r="G91" s="153" t="s">
        <v>2610</v>
      </c>
      <c r="H91" s="153" t="s">
        <v>2611</v>
      </c>
      <c r="I91" s="153" t="s">
        <v>2612</v>
      </c>
      <c r="J91" s="153" t="s">
        <v>58</v>
      </c>
      <c r="K91" s="153" t="s">
        <v>59</v>
      </c>
      <c r="L91" s="155">
        <v>30954</v>
      </c>
      <c r="M91" s="153">
        <v>40</v>
      </c>
      <c r="N91" s="153" t="s">
        <v>2613</v>
      </c>
      <c r="O91" s="155">
        <v>49316</v>
      </c>
      <c r="P91" s="153" t="s">
        <v>5</v>
      </c>
      <c r="Q91" s="153"/>
      <c r="R91" s="162">
        <v>45913</v>
      </c>
      <c r="S91" s="163">
        <v>45918</v>
      </c>
      <c r="T91" s="164">
        <f t="shared" si="1"/>
        <v>5</v>
      </c>
      <c r="U91" s="153">
        <v>1</v>
      </c>
      <c r="V91" s="153">
        <v>1</v>
      </c>
      <c r="W91" s="153">
        <v>0</v>
      </c>
      <c r="X91" s="153">
        <v>1</v>
      </c>
      <c r="Y91" s="153">
        <v>0</v>
      </c>
      <c r="Z91" s="153">
        <v>0</v>
      </c>
      <c r="AA91" s="153">
        <v>1</v>
      </c>
      <c r="AB91" s="153"/>
      <c r="AC91" s="155">
        <v>45913</v>
      </c>
      <c r="AD91" s="156">
        <v>0.18055555555474712</v>
      </c>
      <c r="AE91" s="153" t="s">
        <v>95</v>
      </c>
      <c r="AF91" s="155">
        <v>45918</v>
      </c>
      <c r="AG91" s="156">
        <v>0.48611111110949423</v>
      </c>
      <c r="AH91" s="153" t="s">
        <v>1820</v>
      </c>
      <c r="AI91" s="153" t="s">
        <v>2315</v>
      </c>
      <c r="AJ91" s="153" t="s">
        <v>64</v>
      </c>
      <c r="AK91" s="153" t="s">
        <v>64</v>
      </c>
      <c r="AL91" s="153" t="s">
        <v>2306</v>
      </c>
      <c r="AM91" s="149" t="s">
        <v>65</v>
      </c>
      <c r="AN91" s="158"/>
      <c r="AO91" s="159"/>
      <c r="AQ91"/>
      <c r="AR91"/>
      <c r="AS91"/>
      <c r="AT91"/>
      <c r="AU91"/>
    </row>
    <row r="92" spans="1:47" s="151" customFormat="1" ht="14.25" customHeight="1">
      <c r="A92" s="139"/>
      <c r="B92" s="139"/>
      <c r="C92" s="152" t="str">
        <f>IF($X92=1,COUNTIF($C$10:C91,"&gt;0")+1,"")</f>
        <v/>
      </c>
      <c r="D92" s="323"/>
      <c r="E92" s="153" t="s">
        <v>2309</v>
      </c>
      <c r="F92" s="154" t="s">
        <v>2614</v>
      </c>
      <c r="G92" s="153" t="s">
        <v>2610</v>
      </c>
      <c r="H92" s="153" t="s">
        <v>2615</v>
      </c>
      <c r="I92" s="153" t="s">
        <v>82</v>
      </c>
      <c r="J92" s="153" t="s">
        <v>58</v>
      </c>
      <c r="K92" s="153" t="s">
        <v>59</v>
      </c>
      <c r="L92" s="155">
        <v>121</v>
      </c>
      <c r="M92" s="153">
        <v>125</v>
      </c>
      <c r="N92" s="153" t="s">
        <v>2616</v>
      </c>
      <c r="O92" s="155">
        <v>46494</v>
      </c>
      <c r="P92" s="153" t="s">
        <v>5</v>
      </c>
      <c r="Q92" s="153"/>
      <c r="R92" s="162">
        <v>45913</v>
      </c>
      <c r="S92" s="163">
        <v>45918</v>
      </c>
      <c r="T92" s="164">
        <f t="shared" si="1"/>
        <v>5</v>
      </c>
      <c r="U92" s="153">
        <v>1</v>
      </c>
      <c r="V92" s="153">
        <v>1</v>
      </c>
      <c r="W92" s="153">
        <v>0</v>
      </c>
      <c r="X92" s="153">
        <v>0</v>
      </c>
      <c r="Y92" s="153">
        <v>0</v>
      </c>
      <c r="Z92" s="153">
        <v>0</v>
      </c>
      <c r="AA92" s="153">
        <v>0</v>
      </c>
      <c r="AB92" s="153"/>
      <c r="AC92" s="155">
        <v>45913</v>
      </c>
      <c r="AD92" s="156">
        <v>0.1875</v>
      </c>
      <c r="AE92" s="153" t="s">
        <v>220</v>
      </c>
      <c r="AF92" s="155">
        <v>45918</v>
      </c>
      <c r="AG92" s="156">
        <v>0.3125</v>
      </c>
      <c r="AH92" s="153" t="s">
        <v>2375</v>
      </c>
      <c r="AI92" s="153" t="s">
        <v>2315</v>
      </c>
      <c r="AJ92" s="153" t="s">
        <v>64</v>
      </c>
      <c r="AK92" s="153" t="s">
        <v>64</v>
      </c>
      <c r="AL92" s="153" t="s">
        <v>2306</v>
      </c>
      <c r="AM92" s="149" t="s">
        <v>65</v>
      </c>
      <c r="AN92" s="158"/>
      <c r="AO92" s="159"/>
      <c r="AQ92"/>
      <c r="AR92"/>
      <c r="AS92"/>
      <c r="AT92"/>
      <c r="AU92"/>
    </row>
    <row r="93" spans="1:47" s="151" customFormat="1" ht="14.25" customHeight="1">
      <c r="A93" s="139"/>
      <c r="B93" s="139"/>
      <c r="C93" s="152">
        <f>IF($X93=1,COUNTIF($C$10:C92,"&gt;0")+1,"")</f>
        <v>41</v>
      </c>
      <c r="D93" s="322">
        <v>75985812</v>
      </c>
      <c r="E93" s="153" t="s">
        <v>2309</v>
      </c>
      <c r="F93" s="154" t="s">
        <v>2617</v>
      </c>
      <c r="G93" s="153" t="s">
        <v>2617</v>
      </c>
      <c r="H93" s="153" t="s">
        <v>2618</v>
      </c>
      <c r="I93" s="153" t="s">
        <v>82</v>
      </c>
      <c r="J93" s="153" t="s">
        <v>58</v>
      </c>
      <c r="K93" s="153" t="s">
        <v>59</v>
      </c>
      <c r="L93" s="155">
        <v>32199</v>
      </c>
      <c r="M93" s="153">
        <v>37</v>
      </c>
      <c r="N93" s="153" t="s">
        <v>2619</v>
      </c>
      <c r="O93" s="155">
        <v>46482</v>
      </c>
      <c r="P93" s="153" t="s">
        <v>4</v>
      </c>
      <c r="Q93" s="153"/>
      <c r="R93" s="162">
        <v>45913</v>
      </c>
      <c r="S93" s="163">
        <v>45918</v>
      </c>
      <c r="T93" s="164">
        <f t="shared" si="1"/>
        <v>5</v>
      </c>
      <c r="U93" s="153">
        <v>1</v>
      </c>
      <c r="V93" s="153">
        <v>1</v>
      </c>
      <c r="W93" s="153">
        <v>0</v>
      </c>
      <c r="X93" s="153">
        <v>1</v>
      </c>
      <c r="Y93" s="153">
        <v>0</v>
      </c>
      <c r="Z93" s="153">
        <v>1</v>
      </c>
      <c r="AA93" s="153">
        <v>0</v>
      </c>
      <c r="AB93" s="153"/>
      <c r="AC93" s="155">
        <v>45913</v>
      </c>
      <c r="AD93" s="156">
        <v>0.72222222221898846</v>
      </c>
      <c r="AE93" s="153" t="s">
        <v>164</v>
      </c>
      <c r="AF93" s="155">
        <v>45918</v>
      </c>
      <c r="AG93" s="156">
        <v>0.66666666666424135</v>
      </c>
      <c r="AH93" s="153" t="s">
        <v>165</v>
      </c>
      <c r="AI93" s="153" t="s">
        <v>2315</v>
      </c>
      <c r="AJ93" s="153" t="s">
        <v>64</v>
      </c>
      <c r="AK93" s="153" t="s">
        <v>2620</v>
      </c>
      <c r="AL93" s="153" t="s">
        <v>2306</v>
      </c>
      <c r="AM93" s="149" t="s">
        <v>65</v>
      </c>
      <c r="AN93" s="158"/>
      <c r="AO93" s="159"/>
      <c r="AQ93"/>
      <c r="AR93"/>
      <c r="AS93"/>
      <c r="AT93"/>
      <c r="AU93"/>
    </row>
    <row r="94" spans="1:47" s="151" customFormat="1" ht="14.25" customHeight="1">
      <c r="A94" s="139"/>
      <c r="B94" s="139"/>
      <c r="C94" s="152" t="str">
        <f>IF($X94=1,COUNTIF($C$10:C93,"&gt;0")+1,"")</f>
        <v/>
      </c>
      <c r="D94" s="323"/>
      <c r="E94" s="153" t="s">
        <v>2309</v>
      </c>
      <c r="F94" s="154" t="s">
        <v>2621</v>
      </c>
      <c r="G94" s="153" t="s">
        <v>2617</v>
      </c>
      <c r="H94" s="153" t="s">
        <v>2622</v>
      </c>
      <c r="I94" s="153" t="s">
        <v>1376</v>
      </c>
      <c r="J94" s="153" t="s">
        <v>68</v>
      </c>
      <c r="K94" s="153" t="s">
        <v>59</v>
      </c>
      <c r="L94" s="155">
        <v>32250</v>
      </c>
      <c r="M94" s="153">
        <v>37</v>
      </c>
      <c r="N94" s="153" t="s">
        <v>2623</v>
      </c>
      <c r="O94" s="155">
        <v>46258</v>
      </c>
      <c r="P94" s="153" t="s">
        <v>4</v>
      </c>
      <c r="Q94" s="153"/>
      <c r="R94" s="162">
        <v>45913</v>
      </c>
      <c r="S94" s="163">
        <v>45918</v>
      </c>
      <c r="T94" s="164">
        <f t="shared" si="1"/>
        <v>5</v>
      </c>
      <c r="U94" s="153">
        <v>1</v>
      </c>
      <c r="V94" s="153">
        <v>1</v>
      </c>
      <c r="W94" s="153">
        <v>0</v>
      </c>
      <c r="X94" s="153">
        <v>0</v>
      </c>
      <c r="Y94" s="153">
        <v>0</v>
      </c>
      <c r="Z94" s="153">
        <v>0</v>
      </c>
      <c r="AA94" s="153">
        <v>0</v>
      </c>
      <c r="AB94" s="153"/>
      <c r="AC94" s="155">
        <v>45913</v>
      </c>
      <c r="AD94" s="156">
        <v>0.72222222221898846</v>
      </c>
      <c r="AE94" s="153" t="s">
        <v>164</v>
      </c>
      <c r="AF94" s="155">
        <v>45918</v>
      </c>
      <c r="AG94" s="156">
        <v>0.66666666666424135</v>
      </c>
      <c r="AH94" s="153" t="s">
        <v>165</v>
      </c>
      <c r="AI94" s="153" t="s">
        <v>2315</v>
      </c>
      <c r="AJ94" s="153" t="s">
        <v>64</v>
      </c>
      <c r="AK94" s="153" t="s">
        <v>64</v>
      </c>
      <c r="AL94" s="153" t="s">
        <v>2306</v>
      </c>
      <c r="AM94" s="149" t="s">
        <v>65</v>
      </c>
      <c r="AN94" s="158"/>
      <c r="AO94" s="159"/>
      <c r="AQ94"/>
      <c r="AR94"/>
      <c r="AS94"/>
      <c r="AT94"/>
      <c r="AU94"/>
    </row>
    <row r="95" spans="1:47" s="151" customFormat="1" ht="14.25" customHeight="1">
      <c r="A95" s="139"/>
      <c r="B95" s="139"/>
      <c r="C95" s="152">
        <f>IF($X95=1,COUNTIF($C$10:C94,"&gt;0")+1,"")</f>
        <v>42</v>
      </c>
      <c r="D95" s="322">
        <v>75985843</v>
      </c>
      <c r="E95" s="153" t="s">
        <v>2309</v>
      </c>
      <c r="F95" s="154" t="s">
        <v>2624</v>
      </c>
      <c r="G95" s="153" t="s">
        <v>2624</v>
      </c>
      <c r="H95" s="153" t="s">
        <v>2625</v>
      </c>
      <c r="I95" s="153" t="s">
        <v>2626</v>
      </c>
      <c r="J95" s="153" t="s">
        <v>58</v>
      </c>
      <c r="K95" s="153" t="s">
        <v>59</v>
      </c>
      <c r="L95" s="155">
        <v>19382</v>
      </c>
      <c r="M95" s="153">
        <v>72</v>
      </c>
      <c r="N95" s="153" t="s">
        <v>2627</v>
      </c>
      <c r="O95" s="155">
        <v>49164</v>
      </c>
      <c r="P95" s="153" t="s">
        <v>4</v>
      </c>
      <c r="Q95" s="153"/>
      <c r="R95" s="162">
        <v>45913</v>
      </c>
      <c r="S95" s="163">
        <v>45918</v>
      </c>
      <c r="T95" s="164">
        <f t="shared" si="1"/>
        <v>5</v>
      </c>
      <c r="U95" s="153">
        <v>1</v>
      </c>
      <c r="V95" s="153">
        <v>1</v>
      </c>
      <c r="W95" s="153">
        <v>0</v>
      </c>
      <c r="X95" s="153">
        <v>1</v>
      </c>
      <c r="Y95" s="153">
        <v>0</v>
      </c>
      <c r="Z95" s="153">
        <v>1</v>
      </c>
      <c r="AA95" s="153">
        <v>0</v>
      </c>
      <c r="AB95" s="153"/>
      <c r="AC95" s="155">
        <v>45913</v>
      </c>
      <c r="AD95" s="156">
        <v>0.18055555555474712</v>
      </c>
      <c r="AE95" s="153" t="s">
        <v>95</v>
      </c>
      <c r="AF95" s="155">
        <v>45920</v>
      </c>
      <c r="AG95" s="156">
        <v>0.32638888889050577</v>
      </c>
      <c r="AH95" s="153" t="s">
        <v>235</v>
      </c>
      <c r="AI95" s="153" t="s">
        <v>2315</v>
      </c>
      <c r="AJ95" s="153" t="s">
        <v>64</v>
      </c>
      <c r="AK95" s="153" t="s">
        <v>64</v>
      </c>
      <c r="AL95" s="153" t="s">
        <v>2306</v>
      </c>
      <c r="AM95" s="149" t="s">
        <v>65</v>
      </c>
      <c r="AN95" s="158"/>
      <c r="AO95" s="159"/>
      <c r="AQ95"/>
      <c r="AR95"/>
      <c r="AS95"/>
      <c r="AT95"/>
      <c r="AU95"/>
    </row>
    <row r="96" spans="1:47" s="151" customFormat="1" ht="14.25" customHeight="1">
      <c r="A96" s="139"/>
      <c r="B96" s="139"/>
      <c r="C96" s="152" t="str">
        <f>IF($X96=1,COUNTIF($C$10:C95,"&gt;0")+1,"")</f>
        <v/>
      </c>
      <c r="D96" s="323"/>
      <c r="E96" s="153" t="s">
        <v>2309</v>
      </c>
      <c r="F96" s="154" t="s">
        <v>2628</v>
      </c>
      <c r="G96" s="153" t="s">
        <v>2624</v>
      </c>
      <c r="H96" s="153" t="s">
        <v>2629</v>
      </c>
      <c r="I96" s="153" t="s">
        <v>2626</v>
      </c>
      <c r="J96" s="153" t="s">
        <v>68</v>
      </c>
      <c r="K96" s="153" t="s">
        <v>59</v>
      </c>
      <c r="L96" s="155">
        <v>20043</v>
      </c>
      <c r="M96" s="153">
        <v>70</v>
      </c>
      <c r="N96" s="153" t="s">
        <v>2630</v>
      </c>
      <c r="O96" s="155">
        <v>49164</v>
      </c>
      <c r="P96" s="153" t="s">
        <v>4</v>
      </c>
      <c r="Q96" s="153"/>
      <c r="R96" s="162">
        <v>45913</v>
      </c>
      <c r="S96" s="163">
        <v>45918</v>
      </c>
      <c r="T96" s="164">
        <f t="shared" si="1"/>
        <v>5</v>
      </c>
      <c r="U96" s="153">
        <v>1</v>
      </c>
      <c r="V96" s="153">
        <v>1</v>
      </c>
      <c r="W96" s="153">
        <v>0</v>
      </c>
      <c r="X96" s="153">
        <v>0</v>
      </c>
      <c r="Y96" s="153">
        <v>0</v>
      </c>
      <c r="Z96" s="153">
        <v>0</v>
      </c>
      <c r="AA96" s="153">
        <v>0</v>
      </c>
      <c r="AB96" s="153"/>
      <c r="AC96" s="155">
        <v>45913</v>
      </c>
      <c r="AD96" s="156">
        <v>0.18055555555474712</v>
      </c>
      <c r="AE96" s="153" t="s">
        <v>95</v>
      </c>
      <c r="AF96" s="155">
        <v>45920</v>
      </c>
      <c r="AG96" s="156">
        <v>0.32638888889050577</v>
      </c>
      <c r="AH96" s="153" t="s">
        <v>235</v>
      </c>
      <c r="AI96" s="153" t="s">
        <v>2315</v>
      </c>
      <c r="AJ96" s="153" t="s">
        <v>64</v>
      </c>
      <c r="AK96" s="153" t="s">
        <v>64</v>
      </c>
      <c r="AL96" s="153" t="s">
        <v>2306</v>
      </c>
      <c r="AM96" s="149" t="s">
        <v>65</v>
      </c>
      <c r="AN96" s="158"/>
      <c r="AO96" s="159"/>
      <c r="AQ96"/>
      <c r="AR96"/>
      <c r="AS96"/>
      <c r="AT96"/>
      <c r="AU96"/>
    </row>
    <row r="97" spans="1:47" s="151" customFormat="1" ht="14.25" customHeight="1">
      <c r="A97" s="139"/>
      <c r="B97" s="139"/>
      <c r="C97" s="152">
        <f>IF($X97=1,COUNTIF($C$10:C96,"&gt;0")+1,"")</f>
        <v>43</v>
      </c>
      <c r="D97" s="153">
        <v>75985866</v>
      </c>
      <c r="E97" s="153" t="s">
        <v>2309</v>
      </c>
      <c r="F97" s="154" t="s">
        <v>2631</v>
      </c>
      <c r="G97" s="153" t="s">
        <v>2631</v>
      </c>
      <c r="H97" s="153" t="s">
        <v>2632</v>
      </c>
      <c r="I97" s="153" t="s">
        <v>82</v>
      </c>
      <c r="J97" s="153" t="s">
        <v>68</v>
      </c>
      <c r="K97" s="153" t="s">
        <v>59</v>
      </c>
      <c r="L97" s="155">
        <v>23291</v>
      </c>
      <c r="M97" s="153">
        <v>61</v>
      </c>
      <c r="N97" s="153" t="s">
        <v>2633</v>
      </c>
      <c r="O97" s="155">
        <v>47564</v>
      </c>
      <c r="P97" s="153" t="s">
        <v>3</v>
      </c>
      <c r="Q97" s="153"/>
      <c r="R97" s="162">
        <v>45913</v>
      </c>
      <c r="S97" s="163">
        <v>45918</v>
      </c>
      <c r="T97" s="164">
        <f t="shared" si="1"/>
        <v>5</v>
      </c>
      <c r="U97" s="153">
        <v>1</v>
      </c>
      <c r="V97" s="153">
        <v>1</v>
      </c>
      <c r="W97" s="153">
        <v>0</v>
      </c>
      <c r="X97" s="153">
        <v>1</v>
      </c>
      <c r="Y97" s="153">
        <v>1</v>
      </c>
      <c r="Z97" s="153">
        <v>0</v>
      </c>
      <c r="AA97" s="153">
        <v>0</v>
      </c>
      <c r="AB97" s="153"/>
      <c r="AC97" s="155">
        <v>45913</v>
      </c>
      <c r="AD97" s="156">
        <v>0.1875</v>
      </c>
      <c r="AE97" s="153" t="s">
        <v>220</v>
      </c>
      <c r="AF97" s="155">
        <v>45918</v>
      </c>
      <c r="AG97" s="156">
        <v>0.3125</v>
      </c>
      <c r="AH97" s="153" t="s">
        <v>2375</v>
      </c>
      <c r="AI97" s="153" t="s">
        <v>2315</v>
      </c>
      <c r="AJ97" s="153" t="s">
        <v>64</v>
      </c>
      <c r="AK97" s="153" t="s">
        <v>64</v>
      </c>
      <c r="AL97" s="153" t="s">
        <v>2306</v>
      </c>
      <c r="AM97" s="149" t="s">
        <v>65</v>
      </c>
      <c r="AN97" s="158"/>
      <c r="AO97" s="159"/>
      <c r="AQ97"/>
      <c r="AR97"/>
      <c r="AS97"/>
      <c r="AT97"/>
      <c r="AU97"/>
    </row>
    <row r="98" spans="1:47" s="151" customFormat="1" ht="14.25" customHeight="1">
      <c r="A98" s="139"/>
      <c r="B98" s="139"/>
      <c r="C98" s="152">
        <f>IF($X98=1,COUNTIF($C$10:C97,"&gt;0")+1,"")</f>
        <v>44</v>
      </c>
      <c r="D98" s="322">
        <v>75985881</v>
      </c>
      <c r="E98" s="153" t="s">
        <v>2309</v>
      </c>
      <c r="F98" s="154" t="s">
        <v>2634</v>
      </c>
      <c r="G98" s="153" t="s">
        <v>2634</v>
      </c>
      <c r="H98" s="153" t="s">
        <v>2635</v>
      </c>
      <c r="I98" s="153" t="s">
        <v>2636</v>
      </c>
      <c r="J98" s="153" t="s">
        <v>58</v>
      </c>
      <c r="K98" s="153" t="s">
        <v>59</v>
      </c>
      <c r="L98" s="155">
        <v>34232</v>
      </c>
      <c r="M98" s="153">
        <v>31</v>
      </c>
      <c r="N98" s="153" t="s">
        <v>2637</v>
      </c>
      <c r="O98" s="155">
        <v>46462</v>
      </c>
      <c r="P98" s="153" t="s">
        <v>4</v>
      </c>
      <c r="Q98" s="153"/>
      <c r="R98" s="162">
        <v>45913</v>
      </c>
      <c r="S98" s="163">
        <v>45918</v>
      </c>
      <c r="T98" s="164">
        <f t="shared" si="1"/>
        <v>5</v>
      </c>
      <c r="U98" s="153">
        <v>1</v>
      </c>
      <c r="V98" s="153">
        <v>1</v>
      </c>
      <c r="W98" s="153">
        <v>0</v>
      </c>
      <c r="X98" s="153">
        <v>1</v>
      </c>
      <c r="Y98" s="153">
        <v>0</v>
      </c>
      <c r="Z98" s="153">
        <v>1</v>
      </c>
      <c r="AA98" s="153">
        <v>0</v>
      </c>
      <c r="AB98" s="153"/>
      <c r="AC98" s="155">
        <v>45913</v>
      </c>
      <c r="AD98" s="156">
        <v>0.18055555555474712</v>
      </c>
      <c r="AE98" s="153" t="s">
        <v>95</v>
      </c>
      <c r="AF98" s="155">
        <v>45918</v>
      </c>
      <c r="AG98" s="156">
        <v>0.70138888889050577</v>
      </c>
      <c r="AH98" s="153" t="s">
        <v>96</v>
      </c>
      <c r="AI98" s="153" t="s">
        <v>2315</v>
      </c>
      <c r="AJ98" s="153" t="s">
        <v>64</v>
      </c>
      <c r="AK98" s="153" t="s">
        <v>64</v>
      </c>
      <c r="AL98" s="153" t="s">
        <v>2306</v>
      </c>
      <c r="AM98" s="149" t="s">
        <v>65</v>
      </c>
      <c r="AN98" s="158"/>
      <c r="AO98" s="159"/>
      <c r="AQ98"/>
      <c r="AR98"/>
      <c r="AS98"/>
      <c r="AT98"/>
      <c r="AU98"/>
    </row>
    <row r="99" spans="1:47" s="151" customFormat="1" ht="14.25" customHeight="1">
      <c r="A99" s="139"/>
      <c r="B99" s="139"/>
      <c r="C99" s="152" t="str">
        <f>IF($X99=1,COUNTIF($C$10:C98,"&gt;0")+1,"")</f>
        <v/>
      </c>
      <c r="D99" s="323"/>
      <c r="E99" s="153" t="s">
        <v>2309</v>
      </c>
      <c r="F99" s="154" t="s">
        <v>2638</v>
      </c>
      <c r="G99" s="153" t="s">
        <v>2634</v>
      </c>
      <c r="H99" s="153" t="s">
        <v>2639</v>
      </c>
      <c r="I99" s="153" t="s">
        <v>2640</v>
      </c>
      <c r="J99" s="153" t="s">
        <v>58</v>
      </c>
      <c r="K99" s="153" t="s">
        <v>59</v>
      </c>
      <c r="L99" s="155">
        <v>28168</v>
      </c>
      <c r="M99" s="153">
        <v>48</v>
      </c>
      <c r="N99" s="153" t="s">
        <v>2641</v>
      </c>
      <c r="O99" s="155">
        <v>49051</v>
      </c>
      <c r="P99" s="153" t="s">
        <v>4</v>
      </c>
      <c r="Q99" s="153"/>
      <c r="R99" s="162">
        <v>45913</v>
      </c>
      <c r="S99" s="163">
        <v>45918</v>
      </c>
      <c r="T99" s="164">
        <f t="shared" si="1"/>
        <v>5</v>
      </c>
      <c r="U99" s="153">
        <v>1</v>
      </c>
      <c r="V99" s="153">
        <v>1</v>
      </c>
      <c r="W99" s="153">
        <v>0</v>
      </c>
      <c r="X99" s="153">
        <v>0</v>
      </c>
      <c r="Y99" s="153">
        <v>0</v>
      </c>
      <c r="Z99" s="153">
        <v>0</v>
      </c>
      <c r="AA99" s="153">
        <v>0</v>
      </c>
      <c r="AB99" s="153"/>
      <c r="AC99" s="155">
        <v>45913</v>
      </c>
      <c r="AD99" s="156">
        <v>0.5625</v>
      </c>
      <c r="AE99" s="153" t="s">
        <v>2642</v>
      </c>
      <c r="AF99" s="155">
        <v>45918</v>
      </c>
      <c r="AG99" s="156">
        <v>0.85763888889050577</v>
      </c>
      <c r="AH99" s="153" t="s">
        <v>2351</v>
      </c>
      <c r="AI99" s="153" t="s">
        <v>2315</v>
      </c>
      <c r="AJ99" s="153" t="s">
        <v>64</v>
      </c>
      <c r="AK99" s="153"/>
      <c r="AL99" s="153" t="s">
        <v>2306</v>
      </c>
      <c r="AM99" s="149" t="s">
        <v>65</v>
      </c>
      <c r="AN99" s="158"/>
      <c r="AO99" s="159"/>
      <c r="AQ99"/>
      <c r="AR99"/>
      <c r="AS99"/>
      <c r="AT99"/>
      <c r="AU99"/>
    </row>
    <row r="100" spans="1:47" s="151" customFormat="1" ht="14.25" customHeight="1">
      <c r="A100" s="139"/>
      <c r="B100" s="139"/>
      <c r="C100" s="152">
        <f>IF($X100=1,COUNTIF($C$10:C99,"&gt;0")+1,"")</f>
        <v>45</v>
      </c>
      <c r="D100" s="153">
        <v>75985900</v>
      </c>
      <c r="E100" s="153" t="s">
        <v>2309</v>
      </c>
      <c r="F100" s="154" t="s">
        <v>2643</v>
      </c>
      <c r="G100" s="153" t="s">
        <v>2643</v>
      </c>
      <c r="H100" s="153" t="s">
        <v>2644</v>
      </c>
      <c r="I100" s="153" t="s">
        <v>2645</v>
      </c>
      <c r="J100" s="153" t="s">
        <v>68</v>
      </c>
      <c r="K100" s="153" t="s">
        <v>59</v>
      </c>
      <c r="L100" s="155">
        <v>21055</v>
      </c>
      <c r="M100" s="153">
        <v>68</v>
      </c>
      <c r="N100" s="153" t="s">
        <v>2646</v>
      </c>
      <c r="O100" s="155">
        <v>45734</v>
      </c>
      <c r="P100" s="153" t="s">
        <v>3</v>
      </c>
      <c r="Q100" s="153"/>
      <c r="R100" s="162">
        <v>45913</v>
      </c>
      <c r="S100" s="163">
        <v>45918</v>
      </c>
      <c r="T100" s="164">
        <f t="shared" si="1"/>
        <v>5</v>
      </c>
      <c r="U100" s="153">
        <v>1</v>
      </c>
      <c r="V100" s="153">
        <v>1</v>
      </c>
      <c r="W100" s="153">
        <v>0</v>
      </c>
      <c r="X100" s="153">
        <v>1</v>
      </c>
      <c r="Y100" s="153">
        <v>1</v>
      </c>
      <c r="Z100" s="153">
        <v>0</v>
      </c>
      <c r="AA100" s="153">
        <v>0</v>
      </c>
      <c r="AB100" s="153"/>
      <c r="AC100" s="155">
        <v>45913</v>
      </c>
      <c r="AD100" s="156">
        <v>0.18055555555474712</v>
      </c>
      <c r="AE100" s="153" t="s">
        <v>95</v>
      </c>
      <c r="AF100" s="155">
        <v>45918</v>
      </c>
      <c r="AG100" s="156">
        <v>0.70138888889050577</v>
      </c>
      <c r="AH100" s="153" t="s">
        <v>96</v>
      </c>
      <c r="AI100" s="153" t="s">
        <v>2315</v>
      </c>
      <c r="AJ100" s="153" t="s">
        <v>64</v>
      </c>
      <c r="AK100" s="153" t="s">
        <v>64</v>
      </c>
      <c r="AL100" s="153" t="s">
        <v>2306</v>
      </c>
      <c r="AM100" s="149" t="s">
        <v>65</v>
      </c>
      <c r="AN100" s="158"/>
      <c r="AO100" s="159"/>
      <c r="AQ100"/>
      <c r="AR100"/>
      <c r="AS100"/>
      <c r="AT100"/>
      <c r="AU100"/>
    </row>
    <row r="101" spans="1:47" s="151" customFormat="1" ht="14.25" customHeight="1">
      <c r="A101" s="139"/>
      <c r="B101" s="139"/>
      <c r="C101" s="152">
        <f>IF($X101=1,COUNTIF($C$10:C100,"&gt;0")+1,"")</f>
        <v>46</v>
      </c>
      <c r="D101" s="322">
        <v>75985925</v>
      </c>
      <c r="E101" s="153" t="s">
        <v>2309</v>
      </c>
      <c r="F101" s="154" t="s">
        <v>2647</v>
      </c>
      <c r="G101" s="153" t="s">
        <v>2647</v>
      </c>
      <c r="H101" s="153" t="s">
        <v>2648</v>
      </c>
      <c r="I101" s="153" t="s">
        <v>2649</v>
      </c>
      <c r="J101" s="153" t="s">
        <v>68</v>
      </c>
      <c r="K101" s="153" t="s">
        <v>59</v>
      </c>
      <c r="L101" s="155">
        <v>24253</v>
      </c>
      <c r="M101" s="153">
        <v>59</v>
      </c>
      <c r="N101" s="153" t="s">
        <v>2650</v>
      </c>
      <c r="O101" s="155">
        <v>49157</v>
      </c>
      <c r="P101" s="153" t="s">
        <v>5</v>
      </c>
      <c r="Q101" s="153"/>
      <c r="R101" s="162">
        <v>45913</v>
      </c>
      <c r="S101" s="163">
        <v>45918</v>
      </c>
      <c r="T101" s="164">
        <f t="shared" si="1"/>
        <v>5</v>
      </c>
      <c r="U101" s="153">
        <v>1</v>
      </c>
      <c r="V101" s="153">
        <v>1</v>
      </c>
      <c r="W101" s="153">
        <v>0</v>
      </c>
      <c r="X101" s="153">
        <v>1</v>
      </c>
      <c r="Y101" s="153">
        <v>0</v>
      </c>
      <c r="Z101" s="153">
        <v>0</v>
      </c>
      <c r="AA101" s="153">
        <v>1</v>
      </c>
      <c r="AB101" s="153"/>
      <c r="AC101" s="155">
        <v>45913</v>
      </c>
      <c r="AD101" s="156">
        <v>0.72222222221898846</v>
      </c>
      <c r="AE101" s="153" t="s">
        <v>164</v>
      </c>
      <c r="AF101" s="155">
        <v>45918</v>
      </c>
      <c r="AG101" s="156">
        <v>0.66666666666424135</v>
      </c>
      <c r="AH101" s="153" t="s">
        <v>165</v>
      </c>
      <c r="AI101" s="153" t="s">
        <v>2315</v>
      </c>
      <c r="AJ101" s="153" t="s">
        <v>64</v>
      </c>
      <c r="AK101" s="153" t="s">
        <v>64</v>
      </c>
      <c r="AL101" s="153" t="s">
        <v>2306</v>
      </c>
      <c r="AM101" s="149" t="s">
        <v>65</v>
      </c>
      <c r="AN101" s="158"/>
      <c r="AO101" s="159"/>
      <c r="AQ101"/>
      <c r="AR101"/>
      <c r="AS101"/>
      <c r="AT101"/>
      <c r="AU101"/>
    </row>
    <row r="102" spans="1:47" s="151" customFormat="1" ht="14.25" customHeight="1">
      <c r="A102" s="139"/>
      <c r="B102" s="139"/>
      <c r="C102" s="152" t="str">
        <f>IF($X102=1,COUNTIF($C$10:C101,"&gt;0")+1,"")</f>
        <v/>
      </c>
      <c r="D102" s="323"/>
      <c r="E102" s="153" t="s">
        <v>2309</v>
      </c>
      <c r="F102" s="154" t="s">
        <v>2651</v>
      </c>
      <c r="G102" s="153" t="s">
        <v>2647</v>
      </c>
      <c r="H102" s="168" t="s">
        <v>2652</v>
      </c>
      <c r="I102" s="168" t="s">
        <v>759</v>
      </c>
      <c r="J102" s="168" t="s">
        <v>68</v>
      </c>
      <c r="K102" s="168" t="s">
        <v>59</v>
      </c>
      <c r="L102" s="169">
        <v>35871</v>
      </c>
      <c r="M102" s="168">
        <v>27</v>
      </c>
      <c r="N102" s="168">
        <v>580329251</v>
      </c>
      <c r="O102" s="169">
        <v>46848</v>
      </c>
      <c r="P102" s="168" t="s">
        <v>5</v>
      </c>
      <c r="Q102" s="168"/>
      <c r="R102" s="107">
        <v>45913</v>
      </c>
      <c r="S102" s="108">
        <v>45918</v>
      </c>
      <c r="T102" s="109">
        <f t="shared" si="1"/>
        <v>5</v>
      </c>
      <c r="U102" s="168">
        <v>1</v>
      </c>
      <c r="V102" s="168">
        <v>1</v>
      </c>
      <c r="W102" s="168">
        <v>0</v>
      </c>
      <c r="X102" s="168">
        <v>0</v>
      </c>
      <c r="Y102" s="168">
        <v>0</v>
      </c>
      <c r="Z102" s="168">
        <v>0</v>
      </c>
      <c r="AA102" s="168">
        <v>0</v>
      </c>
      <c r="AB102" s="168"/>
      <c r="AC102" s="169">
        <v>45913</v>
      </c>
      <c r="AD102" s="170">
        <v>0.91666666666666663</v>
      </c>
      <c r="AE102" s="168" t="s">
        <v>2653</v>
      </c>
      <c r="AF102" s="169">
        <v>45918</v>
      </c>
      <c r="AG102" s="170">
        <v>0.87152777777777779</v>
      </c>
      <c r="AH102" s="168" t="s">
        <v>102</v>
      </c>
      <c r="AI102" s="153" t="s">
        <v>2315</v>
      </c>
      <c r="AJ102" s="153" t="s">
        <v>64</v>
      </c>
      <c r="AK102" s="153" t="s">
        <v>64</v>
      </c>
      <c r="AL102" s="153" t="s">
        <v>2306</v>
      </c>
      <c r="AM102" s="149" t="s">
        <v>65</v>
      </c>
      <c r="AN102" s="158" t="s">
        <v>1600</v>
      </c>
      <c r="AO102" s="171" t="s">
        <v>2654</v>
      </c>
      <c r="AQ102"/>
      <c r="AR102"/>
      <c r="AS102"/>
      <c r="AT102"/>
      <c r="AU102"/>
    </row>
    <row r="103" spans="1:47" s="151" customFormat="1" ht="14.25" customHeight="1">
      <c r="A103" s="139"/>
      <c r="B103" s="139"/>
      <c r="C103" s="152">
        <f>IF($X103=1,COUNTIF($C$10:C102,"&gt;0")+1,"")</f>
        <v>47</v>
      </c>
      <c r="D103" s="322">
        <v>75985939</v>
      </c>
      <c r="E103" s="153" t="s">
        <v>2309</v>
      </c>
      <c r="F103" s="154" t="s">
        <v>2655</v>
      </c>
      <c r="G103" s="153" t="s">
        <v>2655</v>
      </c>
      <c r="H103" s="153" t="s">
        <v>2656</v>
      </c>
      <c r="I103" s="153" t="s">
        <v>993</v>
      </c>
      <c r="J103" s="153" t="s">
        <v>68</v>
      </c>
      <c r="K103" s="153" t="s">
        <v>59</v>
      </c>
      <c r="L103" s="155">
        <v>32011</v>
      </c>
      <c r="M103" s="153">
        <v>38</v>
      </c>
      <c r="N103" s="153" t="s">
        <v>2657</v>
      </c>
      <c r="O103" s="155">
        <v>47528</v>
      </c>
      <c r="P103" s="153" t="s">
        <v>5</v>
      </c>
      <c r="Q103" s="153"/>
      <c r="R103" s="162">
        <v>45913</v>
      </c>
      <c r="S103" s="163">
        <v>45918</v>
      </c>
      <c r="T103" s="164">
        <f t="shared" si="1"/>
        <v>5</v>
      </c>
      <c r="U103" s="153">
        <v>1</v>
      </c>
      <c r="V103" s="153">
        <v>1</v>
      </c>
      <c r="W103" s="153">
        <v>0</v>
      </c>
      <c r="X103" s="153">
        <v>1</v>
      </c>
      <c r="Y103" s="153">
        <v>0</v>
      </c>
      <c r="Z103" s="153">
        <v>0</v>
      </c>
      <c r="AA103" s="153">
        <v>1</v>
      </c>
      <c r="AB103" s="153"/>
      <c r="AC103" s="155">
        <v>45913</v>
      </c>
      <c r="AD103" s="156">
        <v>0.60763888889050577</v>
      </c>
      <c r="AE103" s="153" t="s">
        <v>2658</v>
      </c>
      <c r="AF103" s="155">
        <v>45918</v>
      </c>
      <c r="AG103" s="156">
        <v>0.68402777778101154</v>
      </c>
      <c r="AH103" s="153" t="s">
        <v>274</v>
      </c>
      <c r="AI103" s="153" t="s">
        <v>2315</v>
      </c>
      <c r="AJ103" s="153" t="s">
        <v>64</v>
      </c>
      <c r="AK103" s="153" t="s">
        <v>64</v>
      </c>
      <c r="AL103" s="153" t="s">
        <v>2306</v>
      </c>
      <c r="AM103" s="149" t="s">
        <v>65</v>
      </c>
      <c r="AN103" s="158"/>
      <c r="AO103" s="159"/>
      <c r="AQ103"/>
      <c r="AR103"/>
      <c r="AS103"/>
      <c r="AT103"/>
      <c r="AU103"/>
    </row>
    <row r="104" spans="1:47" s="151" customFormat="1" ht="14.25" customHeight="1">
      <c r="A104" s="139"/>
      <c r="B104" s="139"/>
      <c r="C104" s="152" t="str">
        <f>IF($X104=1,COUNTIF($C$10:C103,"&gt;0")+1,"")</f>
        <v/>
      </c>
      <c r="D104" s="323"/>
      <c r="E104" s="153" t="s">
        <v>2309</v>
      </c>
      <c r="F104" s="154" t="s">
        <v>2659</v>
      </c>
      <c r="G104" s="153" t="s">
        <v>2655</v>
      </c>
      <c r="H104" s="153" t="s">
        <v>2660</v>
      </c>
      <c r="I104" s="153" t="s">
        <v>759</v>
      </c>
      <c r="J104" s="153" t="s">
        <v>68</v>
      </c>
      <c r="K104" s="153" t="s">
        <v>59</v>
      </c>
      <c r="L104" s="155">
        <v>23538</v>
      </c>
      <c r="M104" s="153">
        <v>61</v>
      </c>
      <c r="N104" s="153" t="s">
        <v>2661</v>
      </c>
      <c r="O104" s="155">
        <v>46360</v>
      </c>
      <c r="P104" s="153" t="s">
        <v>5</v>
      </c>
      <c r="Q104" s="153"/>
      <c r="R104" s="162">
        <v>45913</v>
      </c>
      <c r="S104" s="163">
        <v>45918</v>
      </c>
      <c r="T104" s="164">
        <f t="shared" si="1"/>
        <v>5</v>
      </c>
      <c r="U104" s="153">
        <v>1</v>
      </c>
      <c r="V104" s="153">
        <v>1</v>
      </c>
      <c r="W104" s="153">
        <v>0</v>
      </c>
      <c r="X104" s="153">
        <v>0</v>
      </c>
      <c r="Y104" s="153">
        <v>0</v>
      </c>
      <c r="Z104" s="153">
        <v>0</v>
      </c>
      <c r="AA104" s="153">
        <v>0</v>
      </c>
      <c r="AB104" s="153"/>
      <c r="AC104" s="155">
        <v>45913</v>
      </c>
      <c r="AD104" s="156">
        <v>0.59027777778101154</v>
      </c>
      <c r="AE104" s="153" t="s">
        <v>547</v>
      </c>
      <c r="AF104" s="155">
        <v>45918</v>
      </c>
      <c r="AG104" s="156">
        <v>0.68402777778101154</v>
      </c>
      <c r="AH104" s="153" t="s">
        <v>274</v>
      </c>
      <c r="AI104" s="153" t="s">
        <v>2315</v>
      </c>
      <c r="AJ104" s="153" t="s">
        <v>64</v>
      </c>
      <c r="AK104" s="153" t="s">
        <v>64</v>
      </c>
      <c r="AL104" s="153" t="s">
        <v>2306</v>
      </c>
      <c r="AM104" s="149" t="s">
        <v>65</v>
      </c>
      <c r="AN104" s="158"/>
      <c r="AO104" s="159"/>
      <c r="AQ104"/>
      <c r="AR104"/>
      <c r="AS104"/>
      <c r="AT104"/>
      <c r="AU104"/>
    </row>
    <row r="105" spans="1:47" s="151" customFormat="1" ht="14.25" customHeight="1">
      <c r="A105" s="139"/>
      <c r="B105" s="139"/>
      <c r="C105" s="152">
        <f>IF($X105=1,COUNTIF($C$10:C104,"&gt;0")+1,"")</f>
        <v>48</v>
      </c>
      <c r="D105" s="322">
        <v>75985959</v>
      </c>
      <c r="E105" s="153" t="s">
        <v>2309</v>
      </c>
      <c r="F105" s="154" t="s">
        <v>2662</v>
      </c>
      <c r="G105" s="153" t="s">
        <v>2662</v>
      </c>
      <c r="H105" s="153" t="s">
        <v>2663</v>
      </c>
      <c r="I105" s="153" t="s">
        <v>2664</v>
      </c>
      <c r="J105" s="153" t="s">
        <v>58</v>
      </c>
      <c r="K105" s="153" t="s">
        <v>59</v>
      </c>
      <c r="L105" s="155">
        <v>31471</v>
      </c>
      <c r="M105" s="153">
        <v>39</v>
      </c>
      <c r="N105" s="153" t="s">
        <v>2665</v>
      </c>
      <c r="O105" s="155">
        <v>49451</v>
      </c>
      <c r="P105" s="153" t="s">
        <v>4</v>
      </c>
      <c r="Q105" s="153"/>
      <c r="R105" s="162">
        <v>45913</v>
      </c>
      <c r="S105" s="163">
        <v>45918</v>
      </c>
      <c r="T105" s="164">
        <f t="shared" si="1"/>
        <v>5</v>
      </c>
      <c r="U105" s="153">
        <v>1</v>
      </c>
      <c r="V105" s="153">
        <v>1</v>
      </c>
      <c r="W105" s="153">
        <v>0</v>
      </c>
      <c r="X105" s="153">
        <v>1</v>
      </c>
      <c r="Y105" s="153">
        <v>0</v>
      </c>
      <c r="Z105" s="153">
        <v>1</v>
      </c>
      <c r="AA105" s="153">
        <v>0</v>
      </c>
      <c r="AB105" s="153"/>
      <c r="AC105" s="155">
        <v>45913</v>
      </c>
      <c r="AD105" s="156">
        <v>0.58680555555474712</v>
      </c>
      <c r="AE105" s="153" t="s">
        <v>61</v>
      </c>
      <c r="AF105" s="155">
        <v>45918</v>
      </c>
      <c r="AG105" s="156">
        <v>0.46180555555474712</v>
      </c>
      <c r="AH105" s="153" t="s">
        <v>2481</v>
      </c>
      <c r="AI105" s="153" t="s">
        <v>2315</v>
      </c>
      <c r="AJ105" s="153" t="s">
        <v>64</v>
      </c>
      <c r="AK105" s="153" t="s">
        <v>64</v>
      </c>
      <c r="AL105" s="153" t="s">
        <v>2306</v>
      </c>
      <c r="AM105" s="149" t="s">
        <v>65</v>
      </c>
      <c r="AN105" s="158"/>
      <c r="AO105" s="159"/>
      <c r="AQ105"/>
      <c r="AR105"/>
      <c r="AS105"/>
      <c r="AT105"/>
      <c r="AU105"/>
    </row>
    <row r="106" spans="1:47" s="151" customFormat="1" ht="14.25" customHeight="1">
      <c r="A106" s="139"/>
      <c r="B106" s="139"/>
      <c r="C106" s="152" t="str">
        <f>IF($X106=1,COUNTIF($C$10:C105,"&gt;0")+1,"")</f>
        <v/>
      </c>
      <c r="D106" s="323"/>
      <c r="E106" s="153" t="s">
        <v>2309</v>
      </c>
      <c r="F106" s="154" t="s">
        <v>2666</v>
      </c>
      <c r="G106" s="153" t="s">
        <v>2662</v>
      </c>
      <c r="H106" s="153" t="s">
        <v>2667</v>
      </c>
      <c r="I106" s="153" t="s">
        <v>2668</v>
      </c>
      <c r="J106" s="153" t="s">
        <v>58</v>
      </c>
      <c r="K106" s="153" t="s">
        <v>59</v>
      </c>
      <c r="L106" s="155">
        <v>41349</v>
      </c>
      <c r="M106" s="153">
        <v>12</v>
      </c>
      <c r="N106" s="153" t="s">
        <v>2669</v>
      </c>
      <c r="O106" s="155">
        <v>46455</v>
      </c>
      <c r="P106" s="153" t="s">
        <v>4</v>
      </c>
      <c r="Q106" s="153"/>
      <c r="R106" s="162">
        <v>45913</v>
      </c>
      <c r="S106" s="163">
        <v>45918</v>
      </c>
      <c r="T106" s="164">
        <f t="shared" si="1"/>
        <v>5</v>
      </c>
      <c r="U106" s="153">
        <v>1</v>
      </c>
      <c r="V106" s="153">
        <v>1</v>
      </c>
      <c r="W106" s="153">
        <v>0</v>
      </c>
      <c r="X106" s="153">
        <v>0</v>
      </c>
      <c r="Y106" s="153">
        <v>0</v>
      </c>
      <c r="Z106" s="153">
        <v>0</v>
      </c>
      <c r="AA106" s="153">
        <v>0</v>
      </c>
      <c r="AB106" s="153"/>
      <c r="AC106" s="155">
        <v>45913</v>
      </c>
      <c r="AD106" s="156">
        <v>0.625</v>
      </c>
      <c r="AE106" s="153" t="s">
        <v>74</v>
      </c>
      <c r="AF106" s="155">
        <v>45918</v>
      </c>
      <c r="AG106" s="156">
        <v>0.47916666666424135</v>
      </c>
      <c r="AH106" s="153" t="s">
        <v>189</v>
      </c>
      <c r="AI106" s="153" t="s">
        <v>2315</v>
      </c>
      <c r="AJ106" s="153" t="s">
        <v>64</v>
      </c>
      <c r="AK106" s="153" t="s">
        <v>64</v>
      </c>
      <c r="AL106" s="153" t="s">
        <v>2306</v>
      </c>
      <c r="AM106" s="149" t="s">
        <v>65</v>
      </c>
      <c r="AN106" s="158"/>
      <c r="AO106" s="159"/>
      <c r="AQ106"/>
      <c r="AR106"/>
      <c r="AS106"/>
      <c r="AT106"/>
      <c r="AU106"/>
    </row>
    <row r="107" spans="1:47" s="151" customFormat="1" ht="14.25" customHeight="1">
      <c r="A107" s="139"/>
      <c r="B107" s="139"/>
      <c r="C107" s="152">
        <f>IF($X107=1,COUNTIF($C$10:C106,"&gt;0")+1,"")</f>
        <v>49</v>
      </c>
      <c r="D107" s="322">
        <v>75985989</v>
      </c>
      <c r="E107" s="153" t="s">
        <v>2309</v>
      </c>
      <c r="F107" s="154" t="s">
        <v>2670</v>
      </c>
      <c r="G107" s="153" t="s">
        <v>2670</v>
      </c>
      <c r="H107" s="153" t="s">
        <v>2671</v>
      </c>
      <c r="I107" s="153" t="s">
        <v>1376</v>
      </c>
      <c r="J107" s="153" t="s">
        <v>58</v>
      </c>
      <c r="K107" s="153" t="s">
        <v>59</v>
      </c>
      <c r="L107" s="155">
        <v>34478</v>
      </c>
      <c r="M107" s="153">
        <v>31</v>
      </c>
      <c r="N107" s="153" t="s">
        <v>2672</v>
      </c>
      <c r="O107" s="155">
        <v>47357</v>
      </c>
      <c r="P107" s="153" t="s">
        <v>5</v>
      </c>
      <c r="Q107" s="153"/>
      <c r="R107" s="162">
        <v>45913</v>
      </c>
      <c r="S107" s="163">
        <v>45918</v>
      </c>
      <c r="T107" s="164">
        <f t="shared" si="1"/>
        <v>5</v>
      </c>
      <c r="U107" s="153">
        <v>1</v>
      </c>
      <c r="V107" s="153">
        <v>1</v>
      </c>
      <c r="W107" s="153">
        <v>0</v>
      </c>
      <c r="X107" s="153">
        <v>1</v>
      </c>
      <c r="Y107" s="153">
        <v>0</v>
      </c>
      <c r="Z107" s="153">
        <v>0</v>
      </c>
      <c r="AA107" s="153">
        <v>1</v>
      </c>
      <c r="AB107" s="153"/>
      <c r="AC107" s="155">
        <v>45913</v>
      </c>
      <c r="AD107" s="156">
        <v>0.625</v>
      </c>
      <c r="AE107" s="153" t="s">
        <v>74</v>
      </c>
      <c r="AF107" s="155">
        <v>45918</v>
      </c>
      <c r="AG107" s="156">
        <v>0.31944444444525288</v>
      </c>
      <c r="AH107" s="153" t="s">
        <v>2673</v>
      </c>
      <c r="AI107" s="153" t="s">
        <v>2315</v>
      </c>
      <c r="AJ107" s="153" t="s">
        <v>2454</v>
      </c>
      <c r="AK107" s="153" t="s">
        <v>64</v>
      </c>
      <c r="AL107" s="153" t="s">
        <v>2306</v>
      </c>
      <c r="AM107" s="149" t="s">
        <v>65</v>
      </c>
      <c r="AN107" s="158"/>
      <c r="AO107" s="159"/>
      <c r="AQ107"/>
      <c r="AR107"/>
      <c r="AS107"/>
      <c r="AT107"/>
      <c r="AU107"/>
    </row>
    <row r="108" spans="1:47" s="151" customFormat="1" ht="14.25" customHeight="1">
      <c r="A108" s="139"/>
      <c r="B108" s="139"/>
      <c r="C108" s="152" t="str">
        <f>IF($X108=1,COUNTIF($C$10:C107,"&gt;0")+1,"")</f>
        <v/>
      </c>
      <c r="D108" s="323"/>
      <c r="E108" s="153" t="s">
        <v>2309</v>
      </c>
      <c r="F108" s="154" t="s">
        <v>2674</v>
      </c>
      <c r="G108" s="153" t="s">
        <v>2670</v>
      </c>
      <c r="H108" s="153" t="s">
        <v>2675</v>
      </c>
      <c r="I108" s="153" t="s">
        <v>82</v>
      </c>
      <c r="J108" s="153" t="s">
        <v>58</v>
      </c>
      <c r="K108" s="153" t="s">
        <v>59</v>
      </c>
      <c r="L108" s="155">
        <v>20976</v>
      </c>
      <c r="M108" s="153">
        <v>68</v>
      </c>
      <c r="N108" s="153" t="s">
        <v>2676</v>
      </c>
      <c r="O108" s="155">
        <v>46063</v>
      </c>
      <c r="P108" s="153" t="s">
        <v>5</v>
      </c>
      <c r="Q108" s="153"/>
      <c r="R108" s="162">
        <v>45913</v>
      </c>
      <c r="S108" s="163">
        <v>45918</v>
      </c>
      <c r="T108" s="164">
        <f t="shared" si="1"/>
        <v>5</v>
      </c>
      <c r="U108" s="153">
        <v>1</v>
      </c>
      <c r="V108" s="153">
        <v>1</v>
      </c>
      <c r="W108" s="153">
        <v>0</v>
      </c>
      <c r="X108" s="153">
        <v>0</v>
      </c>
      <c r="Y108" s="153">
        <v>0</v>
      </c>
      <c r="Z108" s="153">
        <v>0</v>
      </c>
      <c r="AA108" s="153">
        <v>0</v>
      </c>
      <c r="AB108" s="153"/>
      <c r="AC108" s="155">
        <v>45913</v>
      </c>
      <c r="AD108" s="156">
        <v>0.625</v>
      </c>
      <c r="AE108" s="153" t="s">
        <v>74</v>
      </c>
      <c r="AF108" s="155">
        <v>45918</v>
      </c>
      <c r="AG108" s="156">
        <v>0.70138888889050577</v>
      </c>
      <c r="AH108" s="153" t="s">
        <v>96</v>
      </c>
      <c r="AI108" s="153" t="s">
        <v>2315</v>
      </c>
      <c r="AJ108" s="153" t="s">
        <v>64</v>
      </c>
      <c r="AK108" s="153" t="s">
        <v>64</v>
      </c>
      <c r="AL108" s="153" t="s">
        <v>2306</v>
      </c>
      <c r="AM108" s="149" t="s">
        <v>65</v>
      </c>
      <c r="AN108" s="158"/>
      <c r="AO108" s="159"/>
      <c r="AQ108"/>
      <c r="AR108"/>
      <c r="AS108"/>
      <c r="AT108"/>
      <c r="AU108"/>
    </row>
    <row r="109" spans="1:47" s="151" customFormat="1" ht="14.25" customHeight="1">
      <c r="A109" s="139"/>
      <c r="B109" s="139"/>
      <c r="C109" s="152">
        <f>IF($X109=1,COUNTIF($C$10:C108,"&gt;0")+1,"")</f>
        <v>50</v>
      </c>
      <c r="D109" s="322">
        <v>75986007</v>
      </c>
      <c r="E109" s="153" t="s">
        <v>2309</v>
      </c>
      <c r="F109" s="154" t="s">
        <v>2677</v>
      </c>
      <c r="G109" s="153" t="s">
        <v>2677</v>
      </c>
      <c r="H109" s="153" t="s">
        <v>2678</v>
      </c>
      <c r="I109" s="153" t="s">
        <v>1869</v>
      </c>
      <c r="J109" s="153" t="s">
        <v>68</v>
      </c>
      <c r="K109" s="153" t="s">
        <v>59</v>
      </c>
      <c r="L109" s="155">
        <v>29854</v>
      </c>
      <c r="M109" s="153">
        <v>43</v>
      </c>
      <c r="N109" s="153" t="s">
        <v>2679</v>
      </c>
      <c r="O109" s="155">
        <v>49058</v>
      </c>
      <c r="P109" s="153" t="s">
        <v>4</v>
      </c>
      <c r="Q109" s="153"/>
      <c r="R109" s="162">
        <v>45913</v>
      </c>
      <c r="S109" s="163">
        <v>45918</v>
      </c>
      <c r="T109" s="164">
        <f t="shared" si="1"/>
        <v>5</v>
      </c>
      <c r="U109" s="153">
        <v>1</v>
      </c>
      <c r="V109" s="153">
        <v>1</v>
      </c>
      <c r="W109" s="153">
        <v>0</v>
      </c>
      <c r="X109" s="153">
        <v>1</v>
      </c>
      <c r="Y109" s="153">
        <v>0</v>
      </c>
      <c r="Z109" s="153">
        <v>1</v>
      </c>
      <c r="AA109" s="153">
        <v>0</v>
      </c>
      <c r="AB109" s="153"/>
      <c r="AC109" s="155">
        <v>45913</v>
      </c>
      <c r="AD109" s="156">
        <v>0.46875</v>
      </c>
      <c r="AE109" s="153" t="s">
        <v>254</v>
      </c>
      <c r="AF109" s="155">
        <v>45918</v>
      </c>
      <c r="AG109" s="156">
        <v>0.46180555555474712</v>
      </c>
      <c r="AH109" s="153" t="s">
        <v>2481</v>
      </c>
      <c r="AI109" s="153" t="s">
        <v>2315</v>
      </c>
      <c r="AJ109" s="153" t="s">
        <v>64</v>
      </c>
      <c r="AK109" s="153"/>
      <c r="AL109" s="153" t="s">
        <v>2306</v>
      </c>
      <c r="AM109" s="149" t="s">
        <v>65</v>
      </c>
      <c r="AN109" s="158"/>
      <c r="AO109" s="159"/>
      <c r="AQ109"/>
      <c r="AR109"/>
      <c r="AS109"/>
      <c r="AT109"/>
      <c r="AU109"/>
    </row>
    <row r="110" spans="1:47" s="151" customFormat="1" ht="14.25" customHeight="1">
      <c r="A110" s="139"/>
      <c r="B110" s="139"/>
      <c r="C110" s="152" t="str">
        <f>IF($X110=1,COUNTIF($C$10:C109,"&gt;0")+1,"")</f>
        <v/>
      </c>
      <c r="D110" s="323"/>
      <c r="E110" s="153" t="s">
        <v>2309</v>
      </c>
      <c r="F110" s="154" t="s">
        <v>2680</v>
      </c>
      <c r="G110" s="153" t="s">
        <v>2677</v>
      </c>
      <c r="H110" s="153" t="s">
        <v>2681</v>
      </c>
      <c r="I110" s="153" t="s">
        <v>390</v>
      </c>
      <c r="J110" s="153" t="s">
        <v>58</v>
      </c>
      <c r="K110" s="153" t="s">
        <v>59</v>
      </c>
      <c r="L110" s="155">
        <v>28440</v>
      </c>
      <c r="M110" s="153">
        <v>47</v>
      </c>
      <c r="N110" s="153" t="s">
        <v>2682</v>
      </c>
      <c r="O110" s="155">
        <v>48056</v>
      </c>
      <c r="P110" s="153" t="s">
        <v>4</v>
      </c>
      <c r="Q110" s="153"/>
      <c r="R110" s="162">
        <v>45913</v>
      </c>
      <c r="S110" s="163">
        <v>45918</v>
      </c>
      <c r="T110" s="164">
        <f t="shared" si="1"/>
        <v>5</v>
      </c>
      <c r="U110" s="153">
        <v>1</v>
      </c>
      <c r="V110" s="153">
        <v>1</v>
      </c>
      <c r="W110" s="153">
        <v>0</v>
      </c>
      <c r="X110" s="153">
        <v>0</v>
      </c>
      <c r="Y110" s="153">
        <v>0</v>
      </c>
      <c r="Z110" s="153">
        <v>0</v>
      </c>
      <c r="AA110" s="153">
        <v>0</v>
      </c>
      <c r="AB110" s="153"/>
      <c r="AC110" s="155">
        <v>45913</v>
      </c>
      <c r="AD110" s="156">
        <v>0.46875</v>
      </c>
      <c r="AE110" s="153" t="s">
        <v>254</v>
      </c>
      <c r="AF110" s="155">
        <v>45918</v>
      </c>
      <c r="AG110" s="156">
        <v>0.46180555555474712</v>
      </c>
      <c r="AH110" s="153" t="s">
        <v>2481</v>
      </c>
      <c r="AI110" s="153" t="s">
        <v>2315</v>
      </c>
      <c r="AJ110" s="153" t="s">
        <v>64</v>
      </c>
      <c r="AK110" s="153"/>
      <c r="AL110" s="153" t="s">
        <v>2306</v>
      </c>
      <c r="AM110" s="149" t="s">
        <v>65</v>
      </c>
      <c r="AN110" s="158"/>
      <c r="AO110" s="159"/>
      <c r="AQ110"/>
      <c r="AR110"/>
      <c r="AS110"/>
      <c r="AT110"/>
      <c r="AU110"/>
    </row>
    <row r="111" spans="1:47" s="151" customFormat="1" ht="14.25" customHeight="1">
      <c r="A111" s="139"/>
      <c r="B111" s="139"/>
      <c r="C111" s="152">
        <f>IF($X111=1,COUNTIF($C$10:C110,"&gt;0")+1,"")</f>
        <v>51</v>
      </c>
      <c r="D111" s="322">
        <v>75986021</v>
      </c>
      <c r="E111" s="153" t="s">
        <v>2309</v>
      </c>
      <c r="F111" s="154" t="s">
        <v>2683</v>
      </c>
      <c r="G111" s="153" t="s">
        <v>2683</v>
      </c>
      <c r="H111" s="153" t="s">
        <v>2684</v>
      </c>
      <c r="I111" s="153" t="s">
        <v>2685</v>
      </c>
      <c r="J111" s="153" t="s">
        <v>68</v>
      </c>
      <c r="K111" s="153" t="s">
        <v>59</v>
      </c>
      <c r="L111" s="155">
        <v>32061</v>
      </c>
      <c r="M111" s="153">
        <v>37</v>
      </c>
      <c r="N111" s="153" t="s">
        <v>2686</v>
      </c>
      <c r="O111" s="155">
        <v>49097</v>
      </c>
      <c r="P111" s="153" t="s">
        <v>5</v>
      </c>
      <c r="Q111" s="153"/>
      <c r="R111" s="162">
        <v>45913</v>
      </c>
      <c r="S111" s="163">
        <v>45918</v>
      </c>
      <c r="T111" s="164">
        <f t="shared" si="1"/>
        <v>5</v>
      </c>
      <c r="U111" s="153">
        <v>1</v>
      </c>
      <c r="V111" s="153">
        <v>1</v>
      </c>
      <c r="W111" s="153">
        <v>0</v>
      </c>
      <c r="X111" s="153">
        <v>1</v>
      </c>
      <c r="Y111" s="153">
        <v>0</v>
      </c>
      <c r="Z111" s="153">
        <v>0</v>
      </c>
      <c r="AA111" s="153">
        <v>1</v>
      </c>
      <c r="AB111" s="153"/>
      <c r="AC111" s="155">
        <v>45913</v>
      </c>
      <c r="AD111" s="156">
        <v>0.625</v>
      </c>
      <c r="AE111" s="153" t="s">
        <v>74</v>
      </c>
      <c r="AF111" s="155">
        <v>45918</v>
      </c>
      <c r="AG111" s="156">
        <v>0.70138888889050577</v>
      </c>
      <c r="AH111" s="153" t="s">
        <v>96</v>
      </c>
      <c r="AI111" s="153" t="s">
        <v>2315</v>
      </c>
      <c r="AJ111" s="153" t="s">
        <v>64</v>
      </c>
      <c r="AK111" s="153" t="s">
        <v>64</v>
      </c>
      <c r="AL111" s="153" t="s">
        <v>2306</v>
      </c>
      <c r="AM111" s="149" t="s">
        <v>65</v>
      </c>
      <c r="AN111" s="158"/>
      <c r="AO111" s="159"/>
      <c r="AQ111"/>
      <c r="AR111"/>
      <c r="AS111"/>
      <c r="AT111"/>
      <c r="AU111"/>
    </row>
    <row r="112" spans="1:47" s="151" customFormat="1" ht="14.25" customHeight="1">
      <c r="A112" s="139"/>
      <c r="B112" s="139"/>
      <c r="C112" s="152" t="str">
        <f>IF($X112=1,COUNTIF($C$10:C111,"&gt;0")+1,"")</f>
        <v/>
      </c>
      <c r="D112" s="323"/>
      <c r="E112" s="153" t="s">
        <v>2309</v>
      </c>
      <c r="F112" s="154" t="s">
        <v>2687</v>
      </c>
      <c r="G112" s="153" t="s">
        <v>2683</v>
      </c>
      <c r="H112" s="153" t="s">
        <v>2688</v>
      </c>
      <c r="I112" s="153" t="s">
        <v>2689</v>
      </c>
      <c r="J112" s="153" t="s">
        <v>68</v>
      </c>
      <c r="K112" s="153" t="s">
        <v>64</v>
      </c>
      <c r="L112" s="155">
        <v>40003</v>
      </c>
      <c r="M112" s="153">
        <v>16</v>
      </c>
      <c r="N112" s="153" t="s">
        <v>64</v>
      </c>
      <c r="O112" s="155" t="s">
        <v>64</v>
      </c>
      <c r="P112" s="153" t="s">
        <v>5</v>
      </c>
      <c r="Q112" s="153"/>
      <c r="R112" s="162">
        <v>45913</v>
      </c>
      <c r="S112" s="163">
        <v>45918</v>
      </c>
      <c r="T112" s="164">
        <f t="shared" si="1"/>
        <v>5</v>
      </c>
      <c r="U112" s="153">
        <v>1</v>
      </c>
      <c r="V112" s="153">
        <v>1</v>
      </c>
      <c r="W112" s="153">
        <v>0</v>
      </c>
      <c r="X112" s="153">
        <v>0</v>
      </c>
      <c r="Y112" s="153">
        <v>0</v>
      </c>
      <c r="Z112" s="153">
        <v>0</v>
      </c>
      <c r="AA112" s="153">
        <v>0</v>
      </c>
      <c r="AB112" s="153"/>
      <c r="AC112" s="155">
        <v>45913</v>
      </c>
      <c r="AD112" s="156">
        <v>0.625</v>
      </c>
      <c r="AE112" s="153" t="s">
        <v>74</v>
      </c>
      <c r="AF112" s="155">
        <v>45918</v>
      </c>
      <c r="AG112" s="156">
        <v>0.70138888889050577</v>
      </c>
      <c r="AH112" s="153" t="s">
        <v>96</v>
      </c>
      <c r="AI112" s="153" t="s">
        <v>2315</v>
      </c>
      <c r="AJ112" s="153" t="s">
        <v>64</v>
      </c>
      <c r="AK112" s="153" t="s">
        <v>64</v>
      </c>
      <c r="AL112" s="153" t="s">
        <v>2306</v>
      </c>
      <c r="AM112" s="149" t="s">
        <v>65</v>
      </c>
      <c r="AN112" s="158"/>
      <c r="AO112" s="159"/>
      <c r="AQ112"/>
      <c r="AR112"/>
      <c r="AS112"/>
      <c r="AT112"/>
      <c r="AU112"/>
    </row>
    <row r="113" spans="1:47" s="151" customFormat="1" ht="14.25" customHeight="1">
      <c r="A113" s="139"/>
      <c r="B113" s="139"/>
      <c r="C113" s="152">
        <f>IF($X113=1,COUNTIF($C$10:C112,"&gt;0")+1,"")</f>
        <v>52</v>
      </c>
      <c r="D113" s="322">
        <v>94663030</v>
      </c>
      <c r="E113" s="168" t="s">
        <v>2309</v>
      </c>
      <c r="F113" s="172" t="s">
        <v>2690</v>
      </c>
      <c r="G113" s="168" t="s">
        <v>2690</v>
      </c>
      <c r="H113" s="168" t="s">
        <v>2691</v>
      </c>
      <c r="I113" s="168" t="s">
        <v>2692</v>
      </c>
      <c r="J113" s="168" t="s">
        <v>58</v>
      </c>
      <c r="K113" s="168" t="s">
        <v>59</v>
      </c>
      <c r="L113" s="169">
        <v>25175</v>
      </c>
      <c r="M113" s="168">
        <v>56</v>
      </c>
      <c r="N113" s="168" t="s">
        <v>2693</v>
      </c>
      <c r="O113" s="169">
        <v>45684</v>
      </c>
      <c r="P113" s="168" t="s">
        <v>4</v>
      </c>
      <c r="Q113" s="168" t="s">
        <v>2694</v>
      </c>
      <c r="R113" s="173">
        <v>45913</v>
      </c>
      <c r="S113" s="174">
        <v>45921</v>
      </c>
      <c r="T113" s="175">
        <f t="shared" si="1"/>
        <v>8</v>
      </c>
      <c r="U113" s="153">
        <v>1</v>
      </c>
      <c r="V113" s="153">
        <v>1</v>
      </c>
      <c r="W113" s="153">
        <v>0</v>
      </c>
      <c r="X113" s="153">
        <v>1</v>
      </c>
      <c r="Y113" s="153">
        <v>0</v>
      </c>
      <c r="Z113" s="153">
        <v>1</v>
      </c>
      <c r="AA113" s="153">
        <v>0</v>
      </c>
      <c r="AB113" s="153"/>
      <c r="AC113" s="155">
        <v>45911</v>
      </c>
      <c r="AD113" s="156">
        <v>0.46875</v>
      </c>
      <c r="AE113" s="153" t="s">
        <v>254</v>
      </c>
      <c r="AF113" s="155">
        <v>45921</v>
      </c>
      <c r="AG113" s="156">
        <v>0.29166666666424135</v>
      </c>
      <c r="AH113" s="153" t="s">
        <v>2695</v>
      </c>
      <c r="AI113" s="153" t="s">
        <v>2315</v>
      </c>
      <c r="AJ113" s="153" t="s">
        <v>64</v>
      </c>
      <c r="AK113" s="161" t="s">
        <v>2696</v>
      </c>
      <c r="AL113" s="153" t="s">
        <v>2306</v>
      </c>
      <c r="AM113" s="149" t="s">
        <v>65</v>
      </c>
      <c r="AN113" s="158"/>
      <c r="AO113" s="176" t="s">
        <v>2697</v>
      </c>
      <c r="AQ113"/>
      <c r="AR113"/>
      <c r="AS113"/>
      <c r="AT113"/>
      <c r="AU113"/>
    </row>
    <row r="114" spans="1:47" s="151" customFormat="1" ht="14.25" customHeight="1">
      <c r="A114" s="139"/>
      <c r="B114" s="139"/>
      <c r="C114" s="152" t="str">
        <f>IF($X114=1,COUNTIF($C$10:C113,"&gt;0")+1,"")</f>
        <v/>
      </c>
      <c r="D114" s="323"/>
      <c r="E114" s="168" t="s">
        <v>2309</v>
      </c>
      <c r="F114" s="172" t="s">
        <v>2698</v>
      </c>
      <c r="G114" s="168" t="s">
        <v>2690</v>
      </c>
      <c r="H114" s="168" t="s">
        <v>2699</v>
      </c>
      <c r="I114" s="168" t="s">
        <v>1898</v>
      </c>
      <c r="J114" s="168" t="s">
        <v>68</v>
      </c>
      <c r="K114" s="168" t="s">
        <v>59</v>
      </c>
      <c r="L114" s="169">
        <v>25258</v>
      </c>
      <c r="M114" s="168">
        <v>56</v>
      </c>
      <c r="N114" s="168" t="s">
        <v>2700</v>
      </c>
      <c r="O114" s="169">
        <v>48595</v>
      </c>
      <c r="P114" s="168" t="s">
        <v>4</v>
      </c>
      <c r="Q114" s="168" t="s">
        <v>2694</v>
      </c>
      <c r="R114" s="173">
        <v>45913</v>
      </c>
      <c r="S114" s="174">
        <v>45921</v>
      </c>
      <c r="T114" s="175">
        <f t="shared" si="1"/>
        <v>8</v>
      </c>
      <c r="U114" s="153">
        <v>1</v>
      </c>
      <c r="V114" s="153">
        <v>1</v>
      </c>
      <c r="W114" s="153">
        <v>0</v>
      </c>
      <c r="X114" s="153">
        <v>0</v>
      </c>
      <c r="Y114" s="153">
        <v>0</v>
      </c>
      <c r="Z114" s="153">
        <v>0</v>
      </c>
      <c r="AA114" s="153">
        <v>0</v>
      </c>
      <c r="AB114" s="153"/>
      <c r="AC114" s="155">
        <v>45911</v>
      </c>
      <c r="AD114" s="156">
        <v>0.46875</v>
      </c>
      <c r="AE114" s="153" t="s">
        <v>254</v>
      </c>
      <c r="AF114" s="155">
        <v>45921</v>
      </c>
      <c r="AG114" s="156">
        <v>0.29166666666424135</v>
      </c>
      <c r="AH114" s="153" t="s">
        <v>2695</v>
      </c>
      <c r="AI114" s="153" t="s">
        <v>2315</v>
      </c>
      <c r="AJ114" s="153" t="s">
        <v>2454</v>
      </c>
      <c r="AK114" s="177" t="s">
        <v>2701</v>
      </c>
      <c r="AL114" s="153" t="s">
        <v>2306</v>
      </c>
      <c r="AM114" s="149" t="s">
        <v>65</v>
      </c>
      <c r="AN114" s="158"/>
      <c r="AO114" s="176" t="s">
        <v>2697</v>
      </c>
      <c r="AQ114"/>
      <c r="AR114"/>
      <c r="AS114"/>
      <c r="AT114"/>
      <c r="AU114"/>
    </row>
    <row r="115" spans="1:47" s="151" customFormat="1" ht="14.25" customHeight="1">
      <c r="A115" s="139"/>
      <c r="B115" s="139"/>
      <c r="C115" s="152">
        <f>IF($X115=1,COUNTIF($C$10:C114,"&gt;0")+1,"")</f>
        <v>53</v>
      </c>
      <c r="D115" s="322">
        <v>75986049</v>
      </c>
      <c r="E115" s="153" t="s">
        <v>2309</v>
      </c>
      <c r="F115" s="154" t="s">
        <v>2702</v>
      </c>
      <c r="G115" s="153" t="s">
        <v>2690</v>
      </c>
      <c r="H115" s="153" t="s">
        <v>2703</v>
      </c>
      <c r="I115" s="153" t="s">
        <v>2692</v>
      </c>
      <c r="J115" s="153" t="s">
        <v>58</v>
      </c>
      <c r="K115" s="153" t="s">
        <v>59</v>
      </c>
      <c r="L115" s="155">
        <v>18006</v>
      </c>
      <c r="M115" s="153">
        <v>76</v>
      </c>
      <c r="N115" s="153" t="s">
        <v>2704</v>
      </c>
      <c r="O115" s="155">
        <v>48185</v>
      </c>
      <c r="P115" s="153" t="s">
        <v>4</v>
      </c>
      <c r="Q115" s="153"/>
      <c r="R115" s="162">
        <v>45913</v>
      </c>
      <c r="S115" s="163">
        <v>45918</v>
      </c>
      <c r="T115" s="164">
        <f t="shared" si="1"/>
        <v>5</v>
      </c>
      <c r="U115" s="153">
        <v>1</v>
      </c>
      <c r="V115" s="153">
        <v>1</v>
      </c>
      <c r="W115" s="153">
        <v>0</v>
      </c>
      <c r="X115" s="153">
        <v>1</v>
      </c>
      <c r="Y115" s="153">
        <v>0</v>
      </c>
      <c r="Z115" s="153">
        <v>1</v>
      </c>
      <c r="AA115" s="153">
        <v>0</v>
      </c>
      <c r="AB115" s="153"/>
      <c r="AC115" s="155">
        <v>45913</v>
      </c>
      <c r="AD115" s="156">
        <v>0.46875</v>
      </c>
      <c r="AE115" s="153" t="s">
        <v>254</v>
      </c>
      <c r="AF115" s="155">
        <v>45918</v>
      </c>
      <c r="AG115" s="156">
        <v>0.46180555555474712</v>
      </c>
      <c r="AH115" s="153" t="s">
        <v>2481</v>
      </c>
      <c r="AI115" s="153" t="s">
        <v>2315</v>
      </c>
      <c r="AJ115" s="153" t="s">
        <v>64</v>
      </c>
      <c r="AK115" s="177" t="s">
        <v>2701</v>
      </c>
      <c r="AL115" s="153" t="s">
        <v>2306</v>
      </c>
      <c r="AM115" s="149" t="s">
        <v>65</v>
      </c>
      <c r="AN115" s="158"/>
      <c r="AO115" s="159"/>
      <c r="AQ115"/>
      <c r="AR115"/>
      <c r="AS115"/>
      <c r="AT115"/>
      <c r="AU115"/>
    </row>
    <row r="116" spans="1:47" s="151" customFormat="1" ht="14.25" customHeight="1">
      <c r="A116" s="139"/>
      <c r="B116" s="139"/>
      <c r="C116" s="152" t="str">
        <f>IF($X116=1,COUNTIF($C$10:C115,"&gt;0")+1,"")</f>
        <v/>
      </c>
      <c r="D116" s="323"/>
      <c r="E116" s="153" t="s">
        <v>2309</v>
      </c>
      <c r="F116" s="154" t="s">
        <v>2705</v>
      </c>
      <c r="G116" s="153" t="s">
        <v>2690</v>
      </c>
      <c r="H116" s="153" t="s">
        <v>2706</v>
      </c>
      <c r="I116" s="153" t="s">
        <v>2341</v>
      </c>
      <c r="J116" s="153" t="s">
        <v>68</v>
      </c>
      <c r="K116" s="153" t="s">
        <v>59</v>
      </c>
      <c r="L116" s="155">
        <v>18333</v>
      </c>
      <c r="M116" s="153">
        <v>75</v>
      </c>
      <c r="N116" s="153" t="s">
        <v>2707</v>
      </c>
      <c r="O116" s="155">
        <v>48185</v>
      </c>
      <c r="P116" s="153" t="s">
        <v>4</v>
      </c>
      <c r="R116" s="162">
        <v>45913</v>
      </c>
      <c r="S116" s="163">
        <v>45918</v>
      </c>
      <c r="T116" s="164">
        <f t="shared" si="1"/>
        <v>5</v>
      </c>
      <c r="U116" s="153">
        <v>1</v>
      </c>
      <c r="V116" s="153">
        <v>1</v>
      </c>
      <c r="W116" s="153">
        <v>0</v>
      </c>
      <c r="X116" s="153">
        <v>0</v>
      </c>
      <c r="Y116" s="153">
        <v>0</v>
      </c>
      <c r="Z116" s="153">
        <v>0</v>
      </c>
      <c r="AA116" s="153">
        <v>0</v>
      </c>
      <c r="AB116" s="153"/>
      <c r="AC116" s="155">
        <v>45913</v>
      </c>
      <c r="AD116" s="156">
        <v>0.46875</v>
      </c>
      <c r="AE116" s="153" t="s">
        <v>254</v>
      </c>
      <c r="AF116" s="155">
        <v>45918</v>
      </c>
      <c r="AG116" s="156">
        <v>0.46180555555474712</v>
      </c>
      <c r="AH116" s="153" t="s">
        <v>2481</v>
      </c>
      <c r="AI116" s="153" t="s">
        <v>2315</v>
      </c>
      <c r="AJ116" s="153" t="s">
        <v>64</v>
      </c>
      <c r="AK116" s="161"/>
      <c r="AL116" s="153" t="s">
        <v>2306</v>
      </c>
      <c r="AM116" s="149" t="s">
        <v>65</v>
      </c>
      <c r="AN116" s="158"/>
      <c r="AO116" s="159"/>
      <c r="AQ116"/>
      <c r="AR116"/>
      <c r="AS116"/>
      <c r="AT116"/>
      <c r="AU116"/>
    </row>
    <row r="117" spans="1:47" s="151" customFormat="1" ht="14.25" customHeight="1">
      <c r="A117" s="139"/>
      <c r="B117" s="139"/>
      <c r="C117" s="152">
        <f>IF($X117=1,COUNTIF($C$10:C116,"&gt;0")+1,"")</f>
        <v>54</v>
      </c>
      <c r="D117" s="322">
        <v>75986058</v>
      </c>
      <c r="E117" s="153" t="s">
        <v>2309</v>
      </c>
      <c r="F117" s="154" t="s">
        <v>2708</v>
      </c>
      <c r="G117" s="153" t="s">
        <v>2690</v>
      </c>
      <c r="H117" s="153" t="s">
        <v>2709</v>
      </c>
      <c r="I117" s="153" t="s">
        <v>666</v>
      </c>
      <c r="J117" s="153" t="s">
        <v>58</v>
      </c>
      <c r="K117" s="153" t="s">
        <v>59</v>
      </c>
      <c r="L117" s="155">
        <v>24836</v>
      </c>
      <c r="M117" s="153">
        <v>57</v>
      </c>
      <c r="N117" s="153" t="s">
        <v>2710</v>
      </c>
      <c r="O117" s="155">
        <v>48000</v>
      </c>
      <c r="P117" s="153" t="s">
        <v>4</v>
      </c>
      <c r="Q117" s="153"/>
      <c r="R117" s="162">
        <v>45913</v>
      </c>
      <c r="S117" s="163">
        <v>45918</v>
      </c>
      <c r="T117" s="164">
        <f t="shared" si="1"/>
        <v>5</v>
      </c>
      <c r="U117" s="153">
        <v>1</v>
      </c>
      <c r="V117" s="153">
        <v>1</v>
      </c>
      <c r="W117" s="153">
        <v>0</v>
      </c>
      <c r="X117" s="153">
        <v>1</v>
      </c>
      <c r="Y117" s="153">
        <v>0</v>
      </c>
      <c r="Z117" s="153">
        <v>1</v>
      </c>
      <c r="AA117" s="153">
        <v>0</v>
      </c>
      <c r="AB117" s="153"/>
      <c r="AC117" s="155">
        <v>45913</v>
      </c>
      <c r="AD117" s="156">
        <v>0.46875</v>
      </c>
      <c r="AE117" s="153" t="s">
        <v>254</v>
      </c>
      <c r="AF117" s="155">
        <v>45918</v>
      </c>
      <c r="AG117" s="156">
        <v>0.46180555555474712</v>
      </c>
      <c r="AH117" s="153" t="s">
        <v>2481</v>
      </c>
      <c r="AI117" s="153" t="s">
        <v>2315</v>
      </c>
      <c r="AJ117" s="153" t="s">
        <v>64</v>
      </c>
      <c r="AK117" s="177" t="s">
        <v>2701</v>
      </c>
      <c r="AL117" s="153" t="s">
        <v>2306</v>
      </c>
      <c r="AM117" s="149" t="s">
        <v>65</v>
      </c>
      <c r="AN117" s="158"/>
      <c r="AO117" s="159"/>
      <c r="AQ117"/>
      <c r="AR117"/>
      <c r="AS117"/>
      <c r="AT117"/>
      <c r="AU117"/>
    </row>
    <row r="118" spans="1:47" s="151" customFormat="1" ht="14.25" customHeight="1">
      <c r="A118" s="139"/>
      <c r="B118" s="139"/>
      <c r="C118" s="152" t="str">
        <f>IF($X118=1,COUNTIF($C$10:C117,"&gt;0")+1,"")</f>
        <v/>
      </c>
      <c r="D118" s="323"/>
      <c r="E118" s="153" t="s">
        <v>2309</v>
      </c>
      <c r="F118" s="154" t="s">
        <v>2711</v>
      </c>
      <c r="G118" s="153" t="s">
        <v>2690</v>
      </c>
      <c r="H118" s="153" t="s">
        <v>2712</v>
      </c>
      <c r="I118" s="153" t="s">
        <v>2713</v>
      </c>
      <c r="J118" s="153" t="s">
        <v>68</v>
      </c>
      <c r="K118" s="153" t="s">
        <v>59</v>
      </c>
      <c r="L118" s="155">
        <v>25253</v>
      </c>
      <c r="M118" s="153">
        <v>56</v>
      </c>
      <c r="N118" s="153" t="s">
        <v>2714</v>
      </c>
      <c r="O118" s="155">
        <v>47128</v>
      </c>
      <c r="P118" s="153" t="s">
        <v>4</v>
      </c>
      <c r="Q118" s="153"/>
      <c r="R118" s="162">
        <v>45913</v>
      </c>
      <c r="S118" s="163">
        <v>45918</v>
      </c>
      <c r="T118" s="164">
        <f t="shared" si="1"/>
        <v>5</v>
      </c>
      <c r="U118" s="153">
        <v>1</v>
      </c>
      <c r="V118" s="153">
        <v>1</v>
      </c>
      <c r="W118" s="153">
        <v>0</v>
      </c>
      <c r="X118" s="153">
        <v>0</v>
      </c>
      <c r="Y118" s="153">
        <v>0</v>
      </c>
      <c r="Z118" s="153">
        <v>0</v>
      </c>
      <c r="AA118" s="153">
        <v>0</v>
      </c>
      <c r="AB118" s="153"/>
      <c r="AC118" s="155">
        <v>45913</v>
      </c>
      <c r="AD118" s="156">
        <v>0.46875</v>
      </c>
      <c r="AE118" s="153" t="s">
        <v>254</v>
      </c>
      <c r="AF118" s="155">
        <v>45918</v>
      </c>
      <c r="AG118" s="156">
        <v>0.46180555555474712</v>
      </c>
      <c r="AH118" s="153" t="s">
        <v>2481</v>
      </c>
      <c r="AI118" s="153" t="s">
        <v>2315</v>
      </c>
      <c r="AJ118" s="153" t="s">
        <v>64</v>
      </c>
      <c r="AK118" s="161"/>
      <c r="AL118" s="153" t="s">
        <v>2306</v>
      </c>
      <c r="AM118" s="149" t="s">
        <v>65</v>
      </c>
      <c r="AN118" s="158"/>
      <c r="AO118" s="159"/>
      <c r="AQ118"/>
      <c r="AR118"/>
      <c r="AS118"/>
      <c r="AT118"/>
      <c r="AU118"/>
    </row>
    <row r="119" spans="1:47" s="151" customFormat="1" ht="14.25" customHeight="1">
      <c r="A119" s="139"/>
      <c r="B119" s="139"/>
      <c r="C119" s="152">
        <f>IF($X119=1,COUNTIF($C$10:C118,"&gt;0")+1,"")</f>
        <v>55</v>
      </c>
      <c r="D119" s="322">
        <v>75986142</v>
      </c>
      <c r="E119" s="153" t="s">
        <v>2309</v>
      </c>
      <c r="F119" s="154" t="s">
        <v>2715</v>
      </c>
      <c r="G119" s="153" t="s">
        <v>2690</v>
      </c>
      <c r="H119" s="153" t="s">
        <v>2716</v>
      </c>
      <c r="I119" s="153" t="s">
        <v>755</v>
      </c>
      <c r="J119" s="153" t="s">
        <v>68</v>
      </c>
      <c r="K119" s="153" t="s">
        <v>59</v>
      </c>
      <c r="L119" s="155">
        <v>30621</v>
      </c>
      <c r="M119" s="153">
        <v>41</v>
      </c>
      <c r="N119" s="153" t="s">
        <v>2717</v>
      </c>
      <c r="O119" s="155">
        <v>46152</v>
      </c>
      <c r="P119" s="153" t="s">
        <v>4</v>
      </c>
      <c r="Q119" s="153"/>
      <c r="R119" s="162">
        <v>45913</v>
      </c>
      <c r="S119" s="163">
        <v>45918</v>
      </c>
      <c r="T119" s="164">
        <f t="shared" si="1"/>
        <v>5</v>
      </c>
      <c r="U119" s="153">
        <v>1</v>
      </c>
      <c r="V119" s="153">
        <v>1</v>
      </c>
      <c r="W119" s="153">
        <v>0</v>
      </c>
      <c r="X119" s="153">
        <v>1</v>
      </c>
      <c r="Y119" s="153">
        <v>0</v>
      </c>
      <c r="Z119" s="153">
        <v>1</v>
      </c>
      <c r="AA119" s="153">
        <v>0</v>
      </c>
      <c r="AB119" s="153"/>
      <c r="AC119" s="155">
        <v>45913</v>
      </c>
      <c r="AD119" s="156">
        <v>0.46875</v>
      </c>
      <c r="AE119" s="153" t="s">
        <v>254</v>
      </c>
      <c r="AF119" s="155">
        <v>45918</v>
      </c>
      <c r="AG119" s="156">
        <v>0.46180555555474712</v>
      </c>
      <c r="AH119" s="153" t="s">
        <v>2481</v>
      </c>
      <c r="AI119" s="153" t="s">
        <v>2315</v>
      </c>
      <c r="AJ119" s="153" t="s">
        <v>64</v>
      </c>
      <c r="AK119" s="177" t="s">
        <v>2701</v>
      </c>
      <c r="AL119" s="153" t="s">
        <v>2306</v>
      </c>
      <c r="AM119" s="149" t="s">
        <v>65</v>
      </c>
      <c r="AN119" s="158"/>
      <c r="AO119" s="159"/>
      <c r="AQ119"/>
      <c r="AR119"/>
      <c r="AS119"/>
      <c r="AT119"/>
      <c r="AU119"/>
    </row>
    <row r="120" spans="1:47" s="151" customFormat="1" ht="14.25" customHeight="1">
      <c r="A120" s="139"/>
      <c r="B120" s="139"/>
      <c r="C120" s="152" t="str">
        <f>IF($X120=1,COUNTIF($C$10:C119,"&gt;0")+1,"")</f>
        <v/>
      </c>
      <c r="D120" s="324"/>
      <c r="E120" s="153" t="s">
        <v>2309</v>
      </c>
      <c r="F120" s="154" t="s">
        <v>2718</v>
      </c>
      <c r="G120" s="153" t="s">
        <v>2690</v>
      </c>
      <c r="H120" s="153" t="s">
        <v>2719</v>
      </c>
      <c r="I120" s="153" t="s">
        <v>2692</v>
      </c>
      <c r="J120" s="153" t="s">
        <v>58</v>
      </c>
      <c r="K120" s="153" t="s">
        <v>59</v>
      </c>
      <c r="L120" s="155">
        <v>28915</v>
      </c>
      <c r="M120" s="153">
        <v>46</v>
      </c>
      <c r="N120" s="153" t="s">
        <v>2720</v>
      </c>
      <c r="O120" s="155">
        <v>47036</v>
      </c>
      <c r="P120" s="153" t="s">
        <v>4</v>
      </c>
      <c r="Q120" s="153"/>
      <c r="R120" s="162">
        <v>45913</v>
      </c>
      <c r="S120" s="163">
        <v>45918</v>
      </c>
      <c r="T120" s="164">
        <f t="shared" si="1"/>
        <v>5</v>
      </c>
      <c r="U120" s="153">
        <v>1</v>
      </c>
      <c r="V120" s="153">
        <v>1</v>
      </c>
      <c r="W120" s="153">
        <v>0</v>
      </c>
      <c r="X120" s="153">
        <v>0</v>
      </c>
      <c r="Y120" s="153">
        <v>0</v>
      </c>
      <c r="Z120" s="153">
        <v>0</v>
      </c>
      <c r="AA120" s="153">
        <v>0</v>
      </c>
      <c r="AB120" s="153"/>
      <c r="AC120" s="155">
        <v>45913</v>
      </c>
      <c r="AD120" s="156">
        <v>0.46875</v>
      </c>
      <c r="AE120" s="153" t="s">
        <v>254</v>
      </c>
      <c r="AF120" s="155">
        <v>45918</v>
      </c>
      <c r="AG120" s="156">
        <v>0.46180555555474712</v>
      </c>
      <c r="AH120" s="153" t="s">
        <v>2481</v>
      </c>
      <c r="AI120" s="153" t="s">
        <v>2315</v>
      </c>
      <c r="AJ120" s="153" t="s">
        <v>64</v>
      </c>
      <c r="AK120" s="161"/>
      <c r="AL120" s="153" t="s">
        <v>2306</v>
      </c>
      <c r="AM120" s="149" t="s">
        <v>65</v>
      </c>
      <c r="AN120" s="158"/>
      <c r="AO120" s="159"/>
      <c r="AQ120"/>
      <c r="AR120"/>
      <c r="AS120"/>
      <c r="AT120"/>
      <c r="AU120"/>
    </row>
    <row r="121" spans="1:47" s="151" customFormat="1" ht="14.25" customHeight="1">
      <c r="A121" s="139"/>
      <c r="B121" s="139"/>
      <c r="C121" s="152" t="str">
        <f>IF($X121=1,COUNTIF($C$10:C120,"&gt;0")+1,"")</f>
        <v/>
      </c>
      <c r="D121" s="323"/>
      <c r="E121" s="153" t="s">
        <v>2309</v>
      </c>
      <c r="F121" s="154" t="s">
        <v>2721</v>
      </c>
      <c r="G121" s="153" t="s">
        <v>2690</v>
      </c>
      <c r="H121" s="153" t="s">
        <v>2722</v>
      </c>
      <c r="I121" s="153" t="s">
        <v>2692</v>
      </c>
      <c r="J121" s="153" t="s">
        <v>68</v>
      </c>
      <c r="K121" s="153" t="s">
        <v>59</v>
      </c>
      <c r="L121" s="155">
        <v>42901</v>
      </c>
      <c r="M121" s="153">
        <v>8</v>
      </c>
      <c r="N121" s="153" t="s">
        <v>2723</v>
      </c>
      <c r="O121" s="155">
        <v>46362</v>
      </c>
      <c r="P121" s="153" t="s">
        <v>4</v>
      </c>
      <c r="Q121" s="153"/>
      <c r="R121" s="162">
        <v>45913</v>
      </c>
      <c r="S121" s="163">
        <v>45918</v>
      </c>
      <c r="T121" s="164">
        <f t="shared" si="1"/>
        <v>5</v>
      </c>
      <c r="U121" s="153">
        <v>1</v>
      </c>
      <c r="V121" s="153">
        <v>0</v>
      </c>
      <c r="W121" s="153">
        <v>1</v>
      </c>
      <c r="X121" s="153">
        <v>0</v>
      </c>
      <c r="Y121" s="153">
        <v>0</v>
      </c>
      <c r="Z121" s="153">
        <v>0</v>
      </c>
      <c r="AA121" s="153">
        <v>0</v>
      </c>
      <c r="AB121" s="153"/>
      <c r="AC121" s="155">
        <v>45913</v>
      </c>
      <c r="AD121" s="156">
        <v>0.46875</v>
      </c>
      <c r="AE121" s="153" t="s">
        <v>254</v>
      </c>
      <c r="AF121" s="155">
        <v>45918</v>
      </c>
      <c r="AG121" s="156">
        <v>0.46180555555474712</v>
      </c>
      <c r="AH121" s="153" t="s">
        <v>2481</v>
      </c>
      <c r="AI121" s="153" t="s">
        <v>2315</v>
      </c>
      <c r="AJ121" s="153" t="s">
        <v>64</v>
      </c>
      <c r="AK121" s="161"/>
      <c r="AL121" s="153" t="s">
        <v>2306</v>
      </c>
      <c r="AM121" s="149" t="s">
        <v>65</v>
      </c>
      <c r="AN121" s="158"/>
      <c r="AO121" s="159"/>
      <c r="AQ121"/>
      <c r="AR121"/>
      <c r="AS121"/>
      <c r="AT121"/>
      <c r="AU121"/>
    </row>
    <row r="122" spans="1:47" s="151" customFormat="1" ht="14.25" customHeight="1">
      <c r="A122" s="139"/>
      <c r="B122" s="139"/>
      <c r="C122" s="152">
        <f>IF($X122=1,COUNTIF($C$10:C121,"&gt;0")+1,"")</f>
        <v>56</v>
      </c>
      <c r="D122" s="322">
        <v>75986153</v>
      </c>
      <c r="E122" s="153" t="s">
        <v>2309</v>
      </c>
      <c r="F122" s="154" t="s">
        <v>2724</v>
      </c>
      <c r="G122" s="153" t="s">
        <v>2690</v>
      </c>
      <c r="H122" s="153" t="s">
        <v>2725</v>
      </c>
      <c r="I122" s="153" t="s">
        <v>82</v>
      </c>
      <c r="J122" s="153" t="s">
        <v>68</v>
      </c>
      <c r="K122" s="153" t="s">
        <v>59</v>
      </c>
      <c r="L122" s="155">
        <v>19763</v>
      </c>
      <c r="M122" s="153">
        <v>71</v>
      </c>
      <c r="N122" s="153" t="s">
        <v>2726</v>
      </c>
      <c r="O122" s="155">
        <v>48259</v>
      </c>
      <c r="P122" s="153" t="s">
        <v>5</v>
      </c>
      <c r="Q122" s="153"/>
      <c r="R122" s="162">
        <v>45913</v>
      </c>
      <c r="S122" s="163">
        <v>45918</v>
      </c>
      <c r="T122" s="164">
        <f t="shared" si="1"/>
        <v>5</v>
      </c>
      <c r="U122" s="153">
        <v>1</v>
      </c>
      <c r="V122" s="153">
        <v>1</v>
      </c>
      <c r="W122" s="153">
        <v>0</v>
      </c>
      <c r="X122" s="153">
        <v>1</v>
      </c>
      <c r="Y122" s="153">
        <v>0</v>
      </c>
      <c r="Z122" s="153">
        <v>0</v>
      </c>
      <c r="AA122" s="153">
        <v>1</v>
      </c>
      <c r="AB122" s="153"/>
      <c r="AC122" s="155">
        <v>45913</v>
      </c>
      <c r="AD122" s="156">
        <v>0.46875</v>
      </c>
      <c r="AE122" s="153" t="s">
        <v>254</v>
      </c>
      <c r="AF122" s="155">
        <v>45918</v>
      </c>
      <c r="AG122" s="156">
        <v>0.44097222221898846</v>
      </c>
      <c r="AH122" s="153" t="s">
        <v>1846</v>
      </c>
      <c r="AI122" s="153" t="s">
        <v>2315</v>
      </c>
      <c r="AJ122" s="153" t="s">
        <v>64</v>
      </c>
      <c r="AK122" s="177" t="s">
        <v>2701</v>
      </c>
      <c r="AL122" s="153" t="s">
        <v>2306</v>
      </c>
      <c r="AM122" s="149" t="s">
        <v>65</v>
      </c>
      <c r="AN122" s="158"/>
      <c r="AO122" s="159"/>
      <c r="AQ122"/>
      <c r="AR122"/>
      <c r="AS122"/>
      <c r="AT122"/>
      <c r="AU122"/>
    </row>
    <row r="123" spans="1:47" s="151" customFormat="1" ht="14.25" customHeight="1">
      <c r="A123" s="139"/>
      <c r="B123" s="139"/>
      <c r="C123" s="152" t="str">
        <f>IF($X123=1,COUNTIF($C$10:C122,"&gt;0")+1,"")</f>
        <v/>
      </c>
      <c r="D123" s="323"/>
      <c r="E123" s="153" t="s">
        <v>2309</v>
      </c>
      <c r="F123" s="154" t="s">
        <v>2727</v>
      </c>
      <c r="G123" s="153" t="s">
        <v>2690</v>
      </c>
      <c r="H123" s="153" t="s">
        <v>2728</v>
      </c>
      <c r="I123" s="153" t="s">
        <v>82</v>
      </c>
      <c r="J123" s="153" t="s">
        <v>68</v>
      </c>
      <c r="K123" s="153" t="s">
        <v>59</v>
      </c>
      <c r="L123" s="155">
        <v>18037</v>
      </c>
      <c r="M123" s="153">
        <v>76</v>
      </c>
      <c r="N123" s="153" t="s">
        <v>2729</v>
      </c>
      <c r="O123" s="155">
        <v>49336</v>
      </c>
      <c r="P123" s="153" t="s">
        <v>5</v>
      </c>
      <c r="Q123" s="153"/>
      <c r="R123" s="162">
        <v>45913</v>
      </c>
      <c r="S123" s="163">
        <v>45918</v>
      </c>
      <c r="T123" s="164">
        <f t="shared" si="1"/>
        <v>5</v>
      </c>
      <c r="U123" s="153">
        <v>1</v>
      </c>
      <c r="V123" s="153">
        <v>1</v>
      </c>
      <c r="W123" s="153">
        <v>0</v>
      </c>
      <c r="X123" s="153">
        <v>0</v>
      </c>
      <c r="Y123" s="153">
        <v>0</v>
      </c>
      <c r="Z123" s="153">
        <v>0</v>
      </c>
      <c r="AA123" s="153">
        <v>0</v>
      </c>
      <c r="AB123" s="153"/>
      <c r="AC123" s="155">
        <v>45913</v>
      </c>
      <c r="AD123" s="156">
        <v>0.46875</v>
      </c>
      <c r="AE123" s="153" t="s">
        <v>254</v>
      </c>
      <c r="AF123" s="155">
        <v>45918</v>
      </c>
      <c r="AG123" s="156">
        <v>0.44097222221898846</v>
      </c>
      <c r="AH123" s="153" t="s">
        <v>1846</v>
      </c>
      <c r="AI123" s="153" t="s">
        <v>2315</v>
      </c>
      <c r="AJ123" s="153" t="s">
        <v>64</v>
      </c>
      <c r="AK123" s="161"/>
      <c r="AL123" s="153" t="s">
        <v>2306</v>
      </c>
      <c r="AM123" s="149" t="s">
        <v>65</v>
      </c>
      <c r="AN123" s="158"/>
      <c r="AO123" s="159"/>
      <c r="AQ123"/>
      <c r="AR123"/>
      <c r="AS123"/>
      <c r="AT123"/>
      <c r="AU123"/>
    </row>
    <row r="124" spans="1:47" s="151" customFormat="1" ht="14.25" customHeight="1">
      <c r="A124" s="139"/>
      <c r="B124" s="139"/>
      <c r="C124" s="152">
        <f>IF($X124=1,COUNTIF($C$10:C123,"&gt;0")+1,"")</f>
        <v>57</v>
      </c>
      <c r="D124" s="322">
        <v>75986203</v>
      </c>
      <c r="E124" s="153" t="s">
        <v>2309</v>
      </c>
      <c r="F124" s="154" t="s">
        <v>2730</v>
      </c>
      <c r="G124" s="153" t="s">
        <v>2730</v>
      </c>
      <c r="H124" s="153" t="s">
        <v>2731</v>
      </c>
      <c r="I124" s="153" t="s">
        <v>2732</v>
      </c>
      <c r="J124" s="153" t="s">
        <v>68</v>
      </c>
      <c r="K124" s="153" t="s">
        <v>59</v>
      </c>
      <c r="L124" s="155">
        <v>34658</v>
      </c>
      <c r="M124" s="153">
        <v>30</v>
      </c>
      <c r="N124" s="153" t="s">
        <v>2733</v>
      </c>
      <c r="O124" s="155">
        <v>48595</v>
      </c>
      <c r="P124" s="153" t="s">
        <v>5</v>
      </c>
      <c r="Q124" s="153"/>
      <c r="R124" s="162">
        <v>45913</v>
      </c>
      <c r="S124" s="163">
        <v>45918</v>
      </c>
      <c r="T124" s="164">
        <f t="shared" si="1"/>
        <v>5</v>
      </c>
      <c r="U124" s="153">
        <v>1</v>
      </c>
      <c r="V124" s="153">
        <v>1</v>
      </c>
      <c r="W124" s="153">
        <v>0</v>
      </c>
      <c r="X124" s="153">
        <v>1</v>
      </c>
      <c r="Y124" s="153">
        <v>0</v>
      </c>
      <c r="Z124" s="153">
        <v>0</v>
      </c>
      <c r="AA124" s="153">
        <v>1</v>
      </c>
      <c r="AB124" s="153"/>
      <c r="AC124" s="155">
        <v>45913</v>
      </c>
      <c r="AD124" s="156">
        <v>0.625</v>
      </c>
      <c r="AE124" s="153" t="s">
        <v>74</v>
      </c>
      <c r="AF124" s="155">
        <v>45918</v>
      </c>
      <c r="AG124" s="156">
        <v>0.31944444444525288</v>
      </c>
      <c r="AH124" s="153" t="s">
        <v>2734</v>
      </c>
      <c r="AI124" s="153" t="s">
        <v>2315</v>
      </c>
      <c r="AJ124" s="153" t="s">
        <v>64</v>
      </c>
      <c r="AK124" s="153" t="s">
        <v>64</v>
      </c>
      <c r="AL124" s="153" t="s">
        <v>2306</v>
      </c>
      <c r="AM124" s="149" t="s">
        <v>65</v>
      </c>
      <c r="AN124" s="158"/>
      <c r="AO124" s="159"/>
      <c r="AQ124"/>
      <c r="AR124"/>
      <c r="AS124"/>
      <c r="AT124"/>
      <c r="AU124"/>
    </row>
    <row r="125" spans="1:47" s="151" customFormat="1" ht="14.25" customHeight="1">
      <c r="A125" s="139"/>
      <c r="B125" s="139"/>
      <c r="C125" s="152" t="str">
        <f>IF($X125=1,COUNTIF($C$10:C124,"&gt;0")+1,"")</f>
        <v/>
      </c>
      <c r="D125" s="323"/>
      <c r="E125" s="153" t="s">
        <v>2309</v>
      </c>
      <c r="F125" s="154" t="s">
        <v>2735</v>
      </c>
      <c r="G125" s="153" t="s">
        <v>2730</v>
      </c>
      <c r="H125" s="153" t="s">
        <v>2736</v>
      </c>
      <c r="I125" s="153" t="s">
        <v>82</v>
      </c>
      <c r="J125" s="153" t="s">
        <v>68</v>
      </c>
      <c r="K125" s="153" t="s">
        <v>59</v>
      </c>
      <c r="L125" s="155">
        <v>35063</v>
      </c>
      <c r="M125" s="153">
        <v>29</v>
      </c>
      <c r="N125" s="153" t="s">
        <v>2737</v>
      </c>
      <c r="O125" s="155">
        <v>48317</v>
      </c>
      <c r="P125" s="153" t="s">
        <v>5</v>
      </c>
      <c r="Q125" s="153"/>
      <c r="R125" s="162">
        <v>45913</v>
      </c>
      <c r="S125" s="163">
        <v>45918</v>
      </c>
      <c r="T125" s="164">
        <f t="shared" si="1"/>
        <v>5</v>
      </c>
      <c r="U125" s="153">
        <v>1</v>
      </c>
      <c r="V125" s="153">
        <v>1</v>
      </c>
      <c r="W125" s="153">
        <v>0</v>
      </c>
      <c r="X125" s="153">
        <v>0</v>
      </c>
      <c r="Y125" s="153">
        <v>0</v>
      </c>
      <c r="Z125" s="153">
        <v>0</v>
      </c>
      <c r="AA125" s="153">
        <v>0</v>
      </c>
      <c r="AB125" s="153"/>
      <c r="AC125" s="155">
        <v>45913</v>
      </c>
      <c r="AD125" s="156">
        <v>0.58680555555474712</v>
      </c>
      <c r="AE125" s="153" t="s">
        <v>61</v>
      </c>
      <c r="AF125" s="155">
        <v>45918</v>
      </c>
      <c r="AG125" s="156">
        <v>0.56944444444525288</v>
      </c>
      <c r="AH125" s="153" t="s">
        <v>492</v>
      </c>
      <c r="AI125" s="153" t="s">
        <v>2315</v>
      </c>
      <c r="AJ125" s="153" t="s">
        <v>64</v>
      </c>
      <c r="AK125" s="153" t="s">
        <v>64</v>
      </c>
      <c r="AL125" s="153" t="s">
        <v>2306</v>
      </c>
      <c r="AM125" s="149" t="s">
        <v>65</v>
      </c>
      <c r="AN125" s="158"/>
      <c r="AO125" s="159"/>
      <c r="AQ125"/>
      <c r="AR125"/>
      <c r="AS125"/>
      <c r="AT125"/>
      <c r="AU125"/>
    </row>
    <row r="126" spans="1:47" s="151" customFormat="1" ht="14.25" customHeight="1">
      <c r="A126" s="139"/>
      <c r="B126" s="139"/>
      <c r="C126" s="152">
        <f>IF($X126=1,COUNTIF($C$10:C125,"&gt;0")+1,"")</f>
        <v>58</v>
      </c>
      <c r="D126" s="322">
        <v>75986237</v>
      </c>
      <c r="E126" s="153" t="s">
        <v>2309</v>
      </c>
      <c r="F126" s="154" t="s">
        <v>2738</v>
      </c>
      <c r="G126" s="153" t="s">
        <v>2738</v>
      </c>
      <c r="H126" s="153" t="s">
        <v>2739</v>
      </c>
      <c r="I126" s="153" t="s">
        <v>2740</v>
      </c>
      <c r="J126" s="153" t="s">
        <v>68</v>
      </c>
      <c r="K126" s="153" t="s">
        <v>2069</v>
      </c>
      <c r="L126" s="155">
        <v>26834</v>
      </c>
      <c r="M126" s="153">
        <v>52</v>
      </c>
      <c r="N126" s="153" t="s">
        <v>2741</v>
      </c>
      <c r="O126" s="155">
        <v>45530</v>
      </c>
      <c r="P126" s="153" t="s">
        <v>5</v>
      </c>
      <c r="Q126" s="153"/>
      <c r="R126" s="162">
        <v>45913</v>
      </c>
      <c r="S126" s="163">
        <v>45918</v>
      </c>
      <c r="T126" s="164">
        <f t="shared" si="1"/>
        <v>5</v>
      </c>
      <c r="U126" s="153">
        <v>1</v>
      </c>
      <c r="V126" s="153">
        <v>1</v>
      </c>
      <c r="W126" s="153">
        <v>0</v>
      </c>
      <c r="X126" s="153">
        <v>1</v>
      </c>
      <c r="Y126" s="153">
        <v>0</v>
      </c>
      <c r="Z126" s="153">
        <v>0</v>
      </c>
      <c r="AA126" s="153">
        <v>1</v>
      </c>
      <c r="AB126" s="153"/>
      <c r="AC126" s="155">
        <v>45913</v>
      </c>
      <c r="AD126" s="156">
        <v>0.58680555555474712</v>
      </c>
      <c r="AE126" s="153" t="s">
        <v>61</v>
      </c>
      <c r="AF126" s="155">
        <v>45918</v>
      </c>
      <c r="AG126" s="156">
        <v>0.56944444444525288</v>
      </c>
      <c r="AH126" s="153" t="s">
        <v>492</v>
      </c>
      <c r="AI126" s="153" t="s">
        <v>2315</v>
      </c>
      <c r="AJ126" s="153" t="s">
        <v>64</v>
      </c>
      <c r="AK126" s="153" t="s">
        <v>64</v>
      </c>
      <c r="AL126" s="153" t="s">
        <v>2306</v>
      </c>
      <c r="AM126" s="149" t="s">
        <v>65</v>
      </c>
      <c r="AN126" s="158"/>
      <c r="AO126" s="159"/>
      <c r="AQ126"/>
      <c r="AR126"/>
      <c r="AS126"/>
      <c r="AT126"/>
      <c r="AU126"/>
    </row>
    <row r="127" spans="1:47" s="151" customFormat="1" ht="14.25" customHeight="1">
      <c r="A127" s="139"/>
      <c r="B127" s="139"/>
      <c r="C127" s="152" t="str">
        <f>IF($X127=1,COUNTIF($C$10:C126,"&gt;0")+1,"")</f>
        <v/>
      </c>
      <c r="D127" s="323"/>
      <c r="E127" s="153" t="s">
        <v>2309</v>
      </c>
      <c r="F127" s="154" t="s">
        <v>2742</v>
      </c>
      <c r="G127" s="153" t="s">
        <v>2738</v>
      </c>
      <c r="H127" s="153" t="s">
        <v>2743</v>
      </c>
      <c r="I127" s="153" t="s">
        <v>2744</v>
      </c>
      <c r="J127" s="153" t="s">
        <v>68</v>
      </c>
      <c r="K127" s="153" t="s">
        <v>59</v>
      </c>
      <c r="L127" s="155">
        <v>20499</v>
      </c>
      <c r="M127" s="153">
        <v>69</v>
      </c>
      <c r="N127" s="153" t="s">
        <v>2745</v>
      </c>
      <c r="O127" s="155">
        <v>46710</v>
      </c>
      <c r="P127" s="153" t="s">
        <v>5</v>
      </c>
      <c r="Q127" s="153"/>
      <c r="R127" s="162">
        <v>45913</v>
      </c>
      <c r="S127" s="163">
        <v>45918</v>
      </c>
      <c r="T127" s="164">
        <f t="shared" si="1"/>
        <v>5</v>
      </c>
      <c r="U127" s="153">
        <v>1</v>
      </c>
      <c r="V127" s="153">
        <v>1</v>
      </c>
      <c r="W127" s="153">
        <v>0</v>
      </c>
      <c r="X127" s="153">
        <v>0</v>
      </c>
      <c r="Y127" s="153">
        <v>0</v>
      </c>
      <c r="Z127" s="153">
        <v>0</v>
      </c>
      <c r="AA127" s="153">
        <v>0</v>
      </c>
      <c r="AB127" s="153"/>
      <c r="AC127" s="155">
        <v>45913</v>
      </c>
      <c r="AD127" s="156">
        <v>0.63888888889050577</v>
      </c>
      <c r="AE127" s="153" t="s">
        <v>84</v>
      </c>
      <c r="AF127" s="155">
        <v>45930</v>
      </c>
      <c r="AG127" s="156">
        <v>0.81944444444525288</v>
      </c>
      <c r="AH127" s="153" t="s">
        <v>770</v>
      </c>
      <c r="AI127" s="153" t="s">
        <v>2315</v>
      </c>
      <c r="AJ127" s="153" t="s">
        <v>64</v>
      </c>
      <c r="AK127" s="153"/>
      <c r="AL127" s="153" t="s">
        <v>2306</v>
      </c>
      <c r="AM127" s="149" t="s">
        <v>65</v>
      </c>
      <c r="AN127" s="158"/>
      <c r="AO127" s="159"/>
      <c r="AQ127"/>
      <c r="AR127"/>
      <c r="AS127"/>
      <c r="AT127"/>
      <c r="AU127"/>
    </row>
    <row r="128" spans="1:47" s="151" customFormat="1" ht="14.25" customHeight="1">
      <c r="A128" s="139"/>
      <c r="B128" s="139"/>
      <c r="C128" s="152">
        <f>IF($X128=1,COUNTIF($C$10:C127,"&gt;0")+1,"")</f>
        <v>59</v>
      </c>
      <c r="D128" s="322">
        <v>75986248</v>
      </c>
      <c r="E128" s="153" t="s">
        <v>2309</v>
      </c>
      <c r="F128" s="154" t="s">
        <v>2746</v>
      </c>
      <c r="G128" s="153" t="s">
        <v>2746</v>
      </c>
      <c r="H128" s="153" t="s">
        <v>2747</v>
      </c>
      <c r="I128" s="153" t="s">
        <v>82</v>
      </c>
      <c r="J128" s="153" t="s">
        <v>58</v>
      </c>
      <c r="K128" s="153" t="s">
        <v>59</v>
      </c>
      <c r="L128" s="155">
        <v>28983</v>
      </c>
      <c r="M128" s="153">
        <v>46</v>
      </c>
      <c r="N128" s="153" t="s">
        <v>2748</v>
      </c>
      <c r="O128" s="155">
        <v>47844</v>
      </c>
      <c r="P128" s="153" t="s">
        <v>4</v>
      </c>
      <c r="Q128" s="153"/>
      <c r="R128" s="162">
        <v>45913</v>
      </c>
      <c r="S128" s="163">
        <v>45918</v>
      </c>
      <c r="T128" s="164">
        <f t="shared" si="1"/>
        <v>5</v>
      </c>
      <c r="U128" s="153">
        <v>1</v>
      </c>
      <c r="V128" s="153">
        <v>1</v>
      </c>
      <c r="W128" s="153">
        <v>0</v>
      </c>
      <c r="X128" s="153">
        <v>1</v>
      </c>
      <c r="Y128" s="153">
        <v>0</v>
      </c>
      <c r="Z128" s="153">
        <v>1</v>
      </c>
      <c r="AA128" s="153">
        <v>0</v>
      </c>
      <c r="AB128" s="153"/>
      <c r="AC128" s="155">
        <v>45910</v>
      </c>
      <c r="AD128" s="156">
        <v>0.18055555555474712</v>
      </c>
      <c r="AE128" s="153" t="s">
        <v>408</v>
      </c>
      <c r="AF128" s="155">
        <v>45917</v>
      </c>
      <c r="AG128" s="156">
        <v>0.87152777778101154</v>
      </c>
      <c r="AH128" s="153" t="s">
        <v>102</v>
      </c>
      <c r="AI128" s="153" t="s">
        <v>2315</v>
      </c>
      <c r="AJ128" s="153" t="s">
        <v>41</v>
      </c>
      <c r="AK128" s="153"/>
      <c r="AL128" s="153" t="s">
        <v>2306</v>
      </c>
      <c r="AM128" s="149" t="s">
        <v>65</v>
      </c>
      <c r="AN128" s="158"/>
      <c r="AO128" s="159"/>
      <c r="AQ128"/>
      <c r="AR128"/>
      <c r="AS128"/>
      <c r="AT128"/>
      <c r="AU128"/>
    </row>
    <row r="129" spans="1:47" s="151" customFormat="1" ht="14.25" customHeight="1">
      <c r="A129" s="139"/>
      <c r="B129" s="139"/>
      <c r="C129" s="152" t="str">
        <f>IF($X129=1,COUNTIF($C$10:C128,"&gt;0")+1,"")</f>
        <v/>
      </c>
      <c r="D129" s="323"/>
      <c r="E129" s="153" t="s">
        <v>2309</v>
      </c>
      <c r="F129" s="154" t="s">
        <v>2749</v>
      </c>
      <c r="G129" s="153" t="s">
        <v>2746</v>
      </c>
      <c r="H129" s="153" t="s">
        <v>2750</v>
      </c>
      <c r="I129" s="153" t="s">
        <v>82</v>
      </c>
      <c r="J129" s="153" t="s">
        <v>68</v>
      </c>
      <c r="K129" s="153" t="s">
        <v>59</v>
      </c>
      <c r="L129" s="155">
        <v>33878</v>
      </c>
      <c r="M129" s="153">
        <v>32</v>
      </c>
      <c r="N129" s="153" t="s">
        <v>2751</v>
      </c>
      <c r="O129" s="155">
        <v>47961</v>
      </c>
      <c r="P129" s="153" t="s">
        <v>4</v>
      </c>
      <c r="Q129" s="153"/>
      <c r="R129" s="162">
        <v>45913</v>
      </c>
      <c r="S129" s="163">
        <v>45918</v>
      </c>
      <c r="T129" s="164">
        <f t="shared" si="1"/>
        <v>5</v>
      </c>
      <c r="U129" s="153">
        <v>1</v>
      </c>
      <c r="V129" s="153">
        <v>1</v>
      </c>
      <c r="W129" s="153">
        <v>0</v>
      </c>
      <c r="X129" s="153">
        <v>0</v>
      </c>
      <c r="Y129" s="153">
        <v>0</v>
      </c>
      <c r="Z129" s="153">
        <v>0</v>
      </c>
      <c r="AA129" s="153">
        <v>0</v>
      </c>
      <c r="AB129" s="153"/>
      <c r="AC129" s="155">
        <v>45910</v>
      </c>
      <c r="AD129" s="156">
        <v>0.18055555555474712</v>
      </c>
      <c r="AE129" s="153" t="s">
        <v>408</v>
      </c>
      <c r="AF129" s="155">
        <v>45918</v>
      </c>
      <c r="AG129" s="156">
        <v>0.52777777778101154</v>
      </c>
      <c r="AH129" s="153" t="s">
        <v>842</v>
      </c>
      <c r="AI129" s="153" t="s">
        <v>2315</v>
      </c>
      <c r="AJ129" s="153" t="s">
        <v>41</v>
      </c>
      <c r="AK129" s="153" t="s">
        <v>64</v>
      </c>
      <c r="AL129" s="153" t="s">
        <v>2306</v>
      </c>
      <c r="AM129" s="149" t="s">
        <v>65</v>
      </c>
      <c r="AN129" s="158"/>
      <c r="AO129" s="159"/>
      <c r="AQ129"/>
      <c r="AR129"/>
      <c r="AS129"/>
      <c r="AT129"/>
      <c r="AU129"/>
    </row>
    <row r="130" spans="1:47" s="151" customFormat="1" ht="14.25" customHeight="1">
      <c r="A130" s="139"/>
      <c r="B130" s="139"/>
      <c r="C130" s="152">
        <f>IF($X130=1,COUNTIF($C$10:C129,"&gt;0")+1,"")</f>
        <v>60</v>
      </c>
      <c r="D130" s="322">
        <v>75986280</v>
      </c>
      <c r="E130" s="153" t="s">
        <v>2309</v>
      </c>
      <c r="F130" s="154" t="s">
        <v>2752</v>
      </c>
      <c r="G130" s="153" t="s">
        <v>2752</v>
      </c>
      <c r="H130" s="153" t="s">
        <v>2753</v>
      </c>
      <c r="I130" s="153" t="s">
        <v>736</v>
      </c>
      <c r="J130" s="153" t="s">
        <v>58</v>
      </c>
      <c r="K130" s="153" t="s">
        <v>59</v>
      </c>
      <c r="L130" s="155">
        <v>27060</v>
      </c>
      <c r="M130" s="153">
        <v>51</v>
      </c>
      <c r="N130" s="153" t="s">
        <v>2754</v>
      </c>
      <c r="O130" s="155">
        <v>48444</v>
      </c>
      <c r="P130" s="153" t="s">
        <v>5</v>
      </c>
      <c r="Q130" s="153"/>
      <c r="R130" s="162">
        <v>45913</v>
      </c>
      <c r="S130" s="163">
        <v>45918</v>
      </c>
      <c r="T130" s="164">
        <f t="shared" si="1"/>
        <v>5</v>
      </c>
      <c r="U130" s="153">
        <v>1</v>
      </c>
      <c r="V130" s="153">
        <v>1</v>
      </c>
      <c r="W130" s="153">
        <v>0</v>
      </c>
      <c r="X130" s="153">
        <v>1</v>
      </c>
      <c r="Y130" s="153">
        <v>0</v>
      </c>
      <c r="Z130" s="153">
        <v>0</v>
      </c>
      <c r="AA130" s="153">
        <v>1</v>
      </c>
      <c r="AB130" s="153"/>
      <c r="AC130" s="155">
        <v>45913</v>
      </c>
      <c r="AD130" s="156">
        <v>0.50694444444525288</v>
      </c>
      <c r="AE130" s="153" t="s">
        <v>182</v>
      </c>
      <c r="AF130" s="155">
        <v>45918</v>
      </c>
      <c r="AG130" s="156">
        <v>0.70138888889050577</v>
      </c>
      <c r="AH130" s="153" t="s">
        <v>96</v>
      </c>
      <c r="AI130" s="153" t="s">
        <v>2315</v>
      </c>
      <c r="AJ130" s="153" t="s">
        <v>64</v>
      </c>
      <c r="AK130" s="153" t="s">
        <v>64</v>
      </c>
      <c r="AL130" s="153" t="s">
        <v>2306</v>
      </c>
      <c r="AM130" s="149" t="s">
        <v>65</v>
      </c>
      <c r="AN130" s="158"/>
      <c r="AO130" s="159"/>
      <c r="AQ130"/>
      <c r="AR130"/>
      <c r="AS130"/>
      <c r="AT130"/>
      <c r="AU130"/>
    </row>
    <row r="131" spans="1:47" s="151" customFormat="1" ht="14.25" customHeight="1">
      <c r="A131" s="139"/>
      <c r="B131" s="139"/>
      <c r="C131" s="152" t="str">
        <f>IF($X131=1,COUNTIF($C$10:C130,"&gt;0")+1,"")</f>
        <v/>
      </c>
      <c r="D131" s="323"/>
      <c r="E131" s="153" t="s">
        <v>2309</v>
      </c>
      <c r="F131" s="154" t="s">
        <v>2755</v>
      </c>
      <c r="G131" s="153" t="s">
        <v>2752</v>
      </c>
      <c r="H131" s="153" t="s">
        <v>2756</v>
      </c>
      <c r="I131" s="153" t="s">
        <v>736</v>
      </c>
      <c r="J131" s="153" t="s">
        <v>58</v>
      </c>
      <c r="K131" s="153" t="s">
        <v>59</v>
      </c>
      <c r="L131" s="155">
        <v>40321</v>
      </c>
      <c r="M131" s="153">
        <v>15</v>
      </c>
      <c r="N131" s="153" t="s">
        <v>2757</v>
      </c>
      <c r="O131" s="155">
        <v>47070</v>
      </c>
      <c r="P131" s="153" t="s">
        <v>5</v>
      </c>
      <c r="Q131" s="153"/>
      <c r="R131" s="162">
        <v>45913</v>
      </c>
      <c r="S131" s="163">
        <v>45918</v>
      </c>
      <c r="T131" s="164">
        <f t="shared" si="1"/>
        <v>5</v>
      </c>
      <c r="U131" s="153">
        <v>1</v>
      </c>
      <c r="V131" s="153">
        <v>1</v>
      </c>
      <c r="W131" s="153">
        <v>0</v>
      </c>
      <c r="X131" s="153">
        <v>0</v>
      </c>
      <c r="Y131" s="153">
        <v>0</v>
      </c>
      <c r="Z131" s="153">
        <v>0</v>
      </c>
      <c r="AA131" s="153">
        <v>0</v>
      </c>
      <c r="AB131" s="153"/>
      <c r="AC131" s="155">
        <v>45913</v>
      </c>
      <c r="AD131" s="156">
        <v>0.625</v>
      </c>
      <c r="AE131" s="153" t="s">
        <v>74</v>
      </c>
      <c r="AF131" s="155">
        <v>45918</v>
      </c>
      <c r="AG131" s="156">
        <v>0.70138888889050577</v>
      </c>
      <c r="AH131" s="153" t="s">
        <v>96</v>
      </c>
      <c r="AI131" s="153" t="s">
        <v>2315</v>
      </c>
      <c r="AJ131" s="153" t="s">
        <v>64</v>
      </c>
      <c r="AK131" s="153" t="s">
        <v>64</v>
      </c>
      <c r="AL131" s="153" t="s">
        <v>2306</v>
      </c>
      <c r="AM131" s="149" t="s">
        <v>65</v>
      </c>
      <c r="AN131" s="158"/>
      <c r="AO131" s="159"/>
      <c r="AQ131"/>
      <c r="AR131"/>
      <c r="AS131"/>
      <c r="AT131"/>
      <c r="AU131"/>
    </row>
    <row r="132" spans="1:47" s="151" customFormat="1" ht="14.25" customHeight="1">
      <c r="A132" s="139"/>
      <c r="B132" s="139"/>
      <c r="C132" s="152">
        <f>IF($X132=1,COUNTIF($C$10:C131,"&gt;0")+1,"")</f>
        <v>61</v>
      </c>
      <c r="D132" s="322">
        <v>75986304</v>
      </c>
      <c r="E132" s="153" t="s">
        <v>2309</v>
      </c>
      <c r="F132" s="154" t="s">
        <v>2758</v>
      </c>
      <c r="G132" s="153" t="s">
        <v>2752</v>
      </c>
      <c r="H132" s="153" t="s">
        <v>2759</v>
      </c>
      <c r="I132" s="153" t="s">
        <v>736</v>
      </c>
      <c r="J132" s="153" t="s">
        <v>68</v>
      </c>
      <c r="K132" s="153" t="s">
        <v>59</v>
      </c>
      <c r="L132" s="155">
        <v>27721</v>
      </c>
      <c r="M132" s="153">
        <v>49</v>
      </c>
      <c r="N132" s="153" t="s">
        <v>2760</v>
      </c>
      <c r="O132" s="155">
        <v>48419</v>
      </c>
      <c r="P132" s="153" t="s">
        <v>4</v>
      </c>
      <c r="Q132" s="153"/>
      <c r="R132" s="162">
        <v>45913</v>
      </c>
      <c r="S132" s="163">
        <v>45918</v>
      </c>
      <c r="T132" s="164">
        <f t="shared" si="1"/>
        <v>5</v>
      </c>
      <c r="U132" s="153">
        <v>1</v>
      </c>
      <c r="V132" s="153">
        <v>1</v>
      </c>
      <c r="W132" s="153">
        <v>0</v>
      </c>
      <c r="X132" s="153">
        <v>1</v>
      </c>
      <c r="Y132" s="153">
        <v>0</v>
      </c>
      <c r="Z132" s="153">
        <v>1</v>
      </c>
      <c r="AA132" s="153">
        <v>0</v>
      </c>
      <c r="AB132" s="153"/>
      <c r="AC132" s="155">
        <v>45913</v>
      </c>
      <c r="AD132" s="156">
        <v>0.625</v>
      </c>
      <c r="AE132" s="153" t="s">
        <v>74</v>
      </c>
      <c r="AF132" s="155">
        <v>45918</v>
      </c>
      <c r="AG132" s="156">
        <v>0.70138888889050577</v>
      </c>
      <c r="AH132" s="153" t="s">
        <v>96</v>
      </c>
      <c r="AI132" s="153" t="s">
        <v>2315</v>
      </c>
      <c r="AJ132" s="153" t="s">
        <v>64</v>
      </c>
      <c r="AK132" s="153" t="s">
        <v>64</v>
      </c>
      <c r="AL132" s="153" t="s">
        <v>2306</v>
      </c>
      <c r="AM132" s="149" t="s">
        <v>65</v>
      </c>
      <c r="AN132" s="158"/>
      <c r="AO132" s="159"/>
      <c r="AQ132"/>
      <c r="AR132"/>
      <c r="AS132"/>
      <c r="AT132"/>
      <c r="AU132"/>
    </row>
    <row r="133" spans="1:47" s="151" customFormat="1" ht="14.25" customHeight="1">
      <c r="A133" s="139"/>
      <c r="B133" s="139"/>
      <c r="C133" s="152" t="str">
        <f>IF($X133=1,COUNTIF($C$10:C132,"&gt;0")+1,"")</f>
        <v/>
      </c>
      <c r="D133" s="324"/>
      <c r="E133" s="153" t="s">
        <v>2309</v>
      </c>
      <c r="F133" s="154" t="s">
        <v>2761</v>
      </c>
      <c r="G133" s="153" t="s">
        <v>2752</v>
      </c>
      <c r="H133" s="153" t="s">
        <v>2762</v>
      </c>
      <c r="I133" s="153" t="s">
        <v>1376</v>
      </c>
      <c r="J133" s="153" t="s">
        <v>68</v>
      </c>
      <c r="K133" s="153" t="s">
        <v>59</v>
      </c>
      <c r="L133" s="155">
        <v>17295</v>
      </c>
      <c r="M133" s="153">
        <v>78</v>
      </c>
      <c r="N133" s="153" t="s">
        <v>2763</v>
      </c>
      <c r="O133" s="155">
        <v>46374</v>
      </c>
      <c r="P133" s="153" t="s">
        <v>4</v>
      </c>
      <c r="Q133" s="153"/>
      <c r="R133" s="162">
        <v>45913</v>
      </c>
      <c r="S133" s="163">
        <v>45918</v>
      </c>
      <c r="T133" s="164">
        <f t="shared" si="1"/>
        <v>5</v>
      </c>
      <c r="U133" s="153">
        <v>1</v>
      </c>
      <c r="V133" s="153">
        <v>1</v>
      </c>
      <c r="W133" s="153">
        <v>0</v>
      </c>
      <c r="X133" s="153">
        <v>0</v>
      </c>
      <c r="Y133" s="153">
        <v>0</v>
      </c>
      <c r="Z133" s="153">
        <v>0</v>
      </c>
      <c r="AA133" s="153">
        <v>0</v>
      </c>
      <c r="AB133" s="153"/>
      <c r="AC133" s="155">
        <v>45913</v>
      </c>
      <c r="AD133" s="156">
        <v>0.625</v>
      </c>
      <c r="AE133" s="153" t="s">
        <v>74</v>
      </c>
      <c r="AF133" s="155">
        <v>45918</v>
      </c>
      <c r="AG133" s="156">
        <v>0.70138888889050577</v>
      </c>
      <c r="AH133" s="153" t="s">
        <v>96</v>
      </c>
      <c r="AI133" s="153" t="s">
        <v>2315</v>
      </c>
      <c r="AJ133" s="153" t="s">
        <v>64</v>
      </c>
      <c r="AK133" s="153" t="s">
        <v>64</v>
      </c>
      <c r="AL133" s="153" t="s">
        <v>2306</v>
      </c>
      <c r="AM133" s="149" t="s">
        <v>65</v>
      </c>
      <c r="AN133" s="158"/>
      <c r="AO133" s="159"/>
      <c r="AQ133"/>
      <c r="AR133"/>
      <c r="AS133"/>
      <c r="AT133"/>
      <c r="AU133"/>
    </row>
    <row r="134" spans="1:47" s="151" customFormat="1" ht="14.25" customHeight="1">
      <c r="A134" s="139"/>
      <c r="B134" s="139"/>
      <c r="C134" s="152" t="str">
        <f>IF($X134=1,COUNTIF($C$10:C133,"&gt;0")+1,"")</f>
        <v/>
      </c>
      <c r="D134" s="323"/>
      <c r="E134" s="153" t="s">
        <v>2309</v>
      </c>
      <c r="F134" s="154" t="s">
        <v>2764</v>
      </c>
      <c r="G134" s="153" t="s">
        <v>2752</v>
      </c>
      <c r="H134" s="153" t="s">
        <v>2765</v>
      </c>
      <c r="I134" s="153" t="s">
        <v>736</v>
      </c>
      <c r="J134" s="153" t="s">
        <v>58</v>
      </c>
      <c r="K134" s="153" t="s">
        <v>59</v>
      </c>
      <c r="L134" s="155">
        <v>43053</v>
      </c>
      <c r="M134" s="153">
        <v>7</v>
      </c>
      <c r="N134" s="153" t="s">
        <v>2766</v>
      </c>
      <c r="O134" s="155">
        <v>47055</v>
      </c>
      <c r="P134" s="153" t="s">
        <v>4</v>
      </c>
      <c r="Q134" s="153"/>
      <c r="R134" s="162">
        <v>45913</v>
      </c>
      <c r="S134" s="163">
        <v>45918</v>
      </c>
      <c r="T134" s="164">
        <f t="shared" si="1"/>
        <v>5</v>
      </c>
      <c r="U134" s="153">
        <v>1</v>
      </c>
      <c r="V134" s="153">
        <v>0</v>
      </c>
      <c r="W134" s="153">
        <v>1</v>
      </c>
      <c r="X134" s="153">
        <v>0</v>
      </c>
      <c r="Y134" s="153">
        <v>0</v>
      </c>
      <c r="Z134" s="153">
        <v>0</v>
      </c>
      <c r="AA134" s="153">
        <v>0</v>
      </c>
      <c r="AB134" s="153"/>
      <c r="AC134" s="155">
        <v>45913</v>
      </c>
      <c r="AD134" s="156">
        <v>0.625</v>
      </c>
      <c r="AE134" s="153" t="s">
        <v>74</v>
      </c>
      <c r="AF134" s="155">
        <v>45918</v>
      </c>
      <c r="AG134" s="156">
        <v>0.70138888889050577</v>
      </c>
      <c r="AH134" s="153" t="s">
        <v>96</v>
      </c>
      <c r="AI134" s="153" t="s">
        <v>2315</v>
      </c>
      <c r="AJ134" s="153" t="s">
        <v>64</v>
      </c>
      <c r="AK134" s="153" t="s">
        <v>64</v>
      </c>
      <c r="AL134" s="153" t="s">
        <v>2306</v>
      </c>
      <c r="AM134" s="149" t="s">
        <v>65</v>
      </c>
      <c r="AN134" s="158"/>
      <c r="AO134" s="159"/>
      <c r="AQ134"/>
      <c r="AR134"/>
      <c r="AS134"/>
      <c r="AT134"/>
      <c r="AU134"/>
    </row>
    <row r="135" spans="1:47" s="151" customFormat="1" ht="14.25" customHeight="1">
      <c r="A135" s="139"/>
      <c r="B135" s="139"/>
      <c r="C135" s="152">
        <f>IF($X135=1,COUNTIF($C$10:C134,"&gt;0")+1,"")</f>
        <v>62</v>
      </c>
      <c r="D135" s="322">
        <v>75986350</v>
      </c>
      <c r="E135" s="153" t="s">
        <v>2309</v>
      </c>
      <c r="F135" s="154" t="s">
        <v>2767</v>
      </c>
      <c r="G135" s="153" t="s">
        <v>2767</v>
      </c>
      <c r="H135" s="153" t="s">
        <v>2768</v>
      </c>
      <c r="I135" s="153" t="s">
        <v>82</v>
      </c>
      <c r="J135" s="153" t="s">
        <v>68</v>
      </c>
      <c r="K135" s="153" t="s">
        <v>59</v>
      </c>
      <c r="L135" s="155">
        <v>23064</v>
      </c>
      <c r="M135" s="153">
        <v>62</v>
      </c>
      <c r="N135" s="153" t="s">
        <v>2769</v>
      </c>
      <c r="O135" s="155">
        <v>47961</v>
      </c>
      <c r="P135" s="153" t="s">
        <v>4</v>
      </c>
      <c r="Q135" s="153"/>
      <c r="R135" s="162">
        <v>45913</v>
      </c>
      <c r="S135" s="163">
        <v>45918</v>
      </c>
      <c r="T135" s="164">
        <f t="shared" si="1"/>
        <v>5</v>
      </c>
      <c r="U135" s="153">
        <v>1</v>
      </c>
      <c r="V135" s="153">
        <v>1</v>
      </c>
      <c r="W135" s="153">
        <v>0</v>
      </c>
      <c r="X135" s="153">
        <v>1</v>
      </c>
      <c r="Y135" s="153">
        <v>0</v>
      </c>
      <c r="Z135" s="153">
        <v>1</v>
      </c>
      <c r="AA135" s="153">
        <v>0</v>
      </c>
      <c r="AB135" s="153"/>
      <c r="AC135" s="155">
        <v>45913</v>
      </c>
      <c r="AD135" s="156">
        <v>0.625</v>
      </c>
      <c r="AE135" s="153" t="s">
        <v>74</v>
      </c>
      <c r="AF135" s="155">
        <v>45918</v>
      </c>
      <c r="AG135" s="156">
        <v>0.48611111110949423</v>
      </c>
      <c r="AH135" s="153" t="s">
        <v>1820</v>
      </c>
      <c r="AI135" s="153" t="s">
        <v>2315</v>
      </c>
      <c r="AJ135" s="153" t="s">
        <v>64</v>
      </c>
      <c r="AK135" s="153" t="s">
        <v>64</v>
      </c>
      <c r="AL135" s="153" t="s">
        <v>2306</v>
      </c>
      <c r="AM135" s="149" t="s">
        <v>65</v>
      </c>
      <c r="AN135" s="158"/>
      <c r="AO135" s="159"/>
      <c r="AQ135"/>
      <c r="AR135"/>
      <c r="AS135"/>
      <c r="AT135"/>
      <c r="AU135"/>
    </row>
    <row r="136" spans="1:47" s="151" customFormat="1" ht="14.25" customHeight="1">
      <c r="A136" s="139"/>
      <c r="B136" s="139"/>
      <c r="C136" s="152" t="str">
        <f>IF($X136=1,COUNTIF($C$10:C135,"&gt;0")+1,"")</f>
        <v/>
      </c>
      <c r="D136" s="323"/>
      <c r="E136" s="153" t="s">
        <v>2309</v>
      </c>
      <c r="F136" s="154" t="s">
        <v>2770</v>
      </c>
      <c r="G136" s="153" t="s">
        <v>2767</v>
      </c>
      <c r="H136" s="153" t="s">
        <v>729</v>
      </c>
      <c r="I136" s="153" t="s">
        <v>82</v>
      </c>
      <c r="J136" s="153" t="s">
        <v>58</v>
      </c>
      <c r="K136" s="153" t="s">
        <v>59</v>
      </c>
      <c r="L136" s="155">
        <v>22098</v>
      </c>
      <c r="M136" s="153">
        <v>65</v>
      </c>
      <c r="N136" s="153" t="s">
        <v>2771</v>
      </c>
      <c r="O136" s="155">
        <v>47961</v>
      </c>
      <c r="P136" s="153" t="s">
        <v>4</v>
      </c>
      <c r="Q136" s="153"/>
      <c r="R136" s="162">
        <v>45913</v>
      </c>
      <c r="S136" s="163">
        <v>45918</v>
      </c>
      <c r="T136" s="164">
        <f t="shared" si="1"/>
        <v>5</v>
      </c>
      <c r="U136" s="153">
        <v>1</v>
      </c>
      <c r="V136" s="153">
        <v>1</v>
      </c>
      <c r="W136" s="153">
        <v>0</v>
      </c>
      <c r="X136" s="153">
        <v>0</v>
      </c>
      <c r="Y136" s="153">
        <v>0</v>
      </c>
      <c r="Z136" s="153">
        <v>0</v>
      </c>
      <c r="AA136" s="153">
        <v>0</v>
      </c>
      <c r="AB136" s="153"/>
      <c r="AC136" s="155">
        <v>45913</v>
      </c>
      <c r="AD136" s="156">
        <v>0.625</v>
      </c>
      <c r="AE136" s="153" t="s">
        <v>74</v>
      </c>
      <c r="AF136" s="155">
        <v>45918</v>
      </c>
      <c r="AG136" s="156">
        <v>0.48611111110949423</v>
      </c>
      <c r="AH136" s="153" t="s">
        <v>1820</v>
      </c>
      <c r="AI136" s="153" t="s">
        <v>2315</v>
      </c>
      <c r="AJ136" s="153" t="s">
        <v>64</v>
      </c>
      <c r="AK136" s="153" t="s">
        <v>64</v>
      </c>
      <c r="AL136" s="153" t="s">
        <v>2306</v>
      </c>
      <c r="AM136" s="149" t="s">
        <v>65</v>
      </c>
      <c r="AN136" s="158"/>
      <c r="AO136" s="159"/>
      <c r="AQ136"/>
      <c r="AR136"/>
      <c r="AS136"/>
      <c r="AT136"/>
      <c r="AU136"/>
    </row>
    <row r="137" spans="1:47" s="151" customFormat="1" ht="14.25" customHeight="1">
      <c r="A137" s="139"/>
      <c r="B137" s="139"/>
      <c r="C137" s="152">
        <f>IF($X137=1,COUNTIF($C$10:C136,"&gt;0")+1,"")</f>
        <v>63</v>
      </c>
      <c r="D137" s="322">
        <v>75986373</v>
      </c>
      <c r="E137" s="153" t="s">
        <v>2309</v>
      </c>
      <c r="F137" s="154" t="s">
        <v>2772</v>
      </c>
      <c r="G137" s="153" t="s">
        <v>2772</v>
      </c>
      <c r="H137" s="153" t="s">
        <v>2773</v>
      </c>
      <c r="I137" s="153" t="s">
        <v>759</v>
      </c>
      <c r="J137" s="153" t="s">
        <v>68</v>
      </c>
      <c r="K137" s="153" t="s">
        <v>59</v>
      </c>
      <c r="L137" s="155">
        <v>30476</v>
      </c>
      <c r="M137" s="153">
        <v>42</v>
      </c>
      <c r="N137" s="153" t="s">
        <v>2774</v>
      </c>
      <c r="O137" s="155">
        <v>48913</v>
      </c>
      <c r="P137" s="153" t="s">
        <v>5</v>
      </c>
      <c r="Q137" s="153"/>
      <c r="R137" s="162">
        <v>45913</v>
      </c>
      <c r="S137" s="163">
        <v>45918</v>
      </c>
      <c r="T137" s="164">
        <f t="shared" si="1"/>
        <v>5</v>
      </c>
      <c r="U137" s="153">
        <v>1</v>
      </c>
      <c r="V137" s="153">
        <v>1</v>
      </c>
      <c r="W137" s="153">
        <v>0</v>
      </c>
      <c r="X137" s="153">
        <v>1</v>
      </c>
      <c r="Y137" s="153">
        <v>0</v>
      </c>
      <c r="Z137" s="153">
        <v>0</v>
      </c>
      <c r="AA137" s="153">
        <v>1</v>
      </c>
      <c r="AB137" s="153"/>
      <c r="AC137" s="155">
        <v>45913</v>
      </c>
      <c r="AD137" s="156">
        <v>0.72222222221898846</v>
      </c>
      <c r="AE137" s="153" t="s">
        <v>164</v>
      </c>
      <c r="AF137" s="155">
        <v>45922</v>
      </c>
      <c r="AG137" s="156">
        <v>0.66666666666424135</v>
      </c>
      <c r="AH137" s="153" t="s">
        <v>165</v>
      </c>
      <c r="AI137" s="153" t="s">
        <v>2315</v>
      </c>
      <c r="AJ137" s="153" t="s">
        <v>64</v>
      </c>
      <c r="AK137" s="153" t="s">
        <v>64</v>
      </c>
      <c r="AL137" s="153" t="s">
        <v>2306</v>
      </c>
      <c r="AM137" s="149" t="s">
        <v>65</v>
      </c>
      <c r="AN137" s="158"/>
      <c r="AO137" s="159"/>
      <c r="AQ137"/>
      <c r="AR137"/>
      <c r="AS137"/>
      <c r="AT137"/>
      <c r="AU137"/>
    </row>
    <row r="138" spans="1:47" s="151" customFormat="1" ht="14.25" customHeight="1">
      <c r="A138" s="139"/>
      <c r="B138" s="139"/>
      <c r="C138" s="152" t="str">
        <f>IF($X138=1,COUNTIF($C$10:C137,"&gt;0")+1,"")</f>
        <v/>
      </c>
      <c r="D138" s="323"/>
      <c r="E138" s="153" t="s">
        <v>2309</v>
      </c>
      <c r="F138" s="154" t="s">
        <v>2775</v>
      </c>
      <c r="G138" s="153" t="s">
        <v>2772</v>
      </c>
      <c r="H138" s="153" t="s">
        <v>2776</v>
      </c>
      <c r="I138" s="153" t="s">
        <v>82</v>
      </c>
      <c r="J138" s="153" t="s">
        <v>68</v>
      </c>
      <c r="K138" s="153" t="s">
        <v>59</v>
      </c>
      <c r="L138" s="155">
        <v>31129</v>
      </c>
      <c r="M138" s="153">
        <v>40</v>
      </c>
      <c r="N138" s="153" t="s">
        <v>2777</v>
      </c>
      <c r="O138" s="155">
        <v>46925</v>
      </c>
      <c r="P138" s="153" t="s">
        <v>5</v>
      </c>
      <c r="Q138" s="153"/>
      <c r="R138" s="162">
        <v>45913</v>
      </c>
      <c r="S138" s="163">
        <v>45918</v>
      </c>
      <c r="T138" s="164">
        <f t="shared" ref="T138:T201" si="2">S138-R138</f>
        <v>5</v>
      </c>
      <c r="U138" s="153">
        <v>1</v>
      </c>
      <c r="V138" s="153">
        <v>1</v>
      </c>
      <c r="W138" s="153">
        <v>0</v>
      </c>
      <c r="X138" s="153">
        <v>0</v>
      </c>
      <c r="Y138" s="153">
        <v>0</v>
      </c>
      <c r="Z138" s="153">
        <v>0</v>
      </c>
      <c r="AA138" s="153">
        <v>0</v>
      </c>
      <c r="AB138" s="153"/>
      <c r="AC138" s="155">
        <v>45913</v>
      </c>
      <c r="AD138" s="156">
        <v>0.72222222221898846</v>
      </c>
      <c r="AE138" s="153" t="s">
        <v>164</v>
      </c>
      <c r="AF138" s="155">
        <v>45922</v>
      </c>
      <c r="AG138" s="156">
        <v>0.66666666666424135</v>
      </c>
      <c r="AH138" s="153" t="s">
        <v>165</v>
      </c>
      <c r="AI138" s="153" t="s">
        <v>2315</v>
      </c>
      <c r="AJ138" s="153" t="s">
        <v>64</v>
      </c>
      <c r="AK138" s="153" t="s">
        <v>64</v>
      </c>
      <c r="AL138" s="153" t="s">
        <v>2306</v>
      </c>
      <c r="AM138" s="149" t="s">
        <v>65</v>
      </c>
      <c r="AN138" s="158"/>
      <c r="AO138" s="159"/>
      <c r="AQ138"/>
      <c r="AR138"/>
      <c r="AS138"/>
      <c r="AT138"/>
      <c r="AU138"/>
    </row>
    <row r="139" spans="1:47" s="151" customFormat="1" ht="14.25" customHeight="1">
      <c r="A139" s="139"/>
      <c r="B139" s="139"/>
      <c r="C139" s="152">
        <f>IF($X139=1,COUNTIF($C$10:C138,"&gt;0")+1,"")</f>
        <v>64</v>
      </c>
      <c r="D139" s="322">
        <v>75986411</v>
      </c>
      <c r="E139" s="153" t="s">
        <v>2309</v>
      </c>
      <c r="F139" s="154" t="s">
        <v>2778</v>
      </c>
      <c r="G139" s="153" t="s">
        <v>2778</v>
      </c>
      <c r="H139" s="153" t="s">
        <v>2779</v>
      </c>
      <c r="I139" s="153" t="s">
        <v>2668</v>
      </c>
      <c r="J139" s="153" t="s">
        <v>58</v>
      </c>
      <c r="K139" s="153" t="s">
        <v>59</v>
      </c>
      <c r="L139" s="155">
        <v>25505</v>
      </c>
      <c r="M139" s="153">
        <v>55</v>
      </c>
      <c r="N139" s="153" t="s">
        <v>2780</v>
      </c>
      <c r="O139" s="155">
        <v>46854</v>
      </c>
      <c r="P139" s="153" t="s">
        <v>5</v>
      </c>
      <c r="Q139" s="153"/>
      <c r="R139" s="162">
        <v>45913</v>
      </c>
      <c r="S139" s="163">
        <v>45918</v>
      </c>
      <c r="T139" s="164">
        <f t="shared" si="2"/>
        <v>5</v>
      </c>
      <c r="U139" s="153">
        <v>1</v>
      </c>
      <c r="V139" s="153">
        <v>1</v>
      </c>
      <c r="W139" s="153">
        <v>0</v>
      </c>
      <c r="X139" s="153">
        <v>1</v>
      </c>
      <c r="Y139" s="153">
        <v>0</v>
      </c>
      <c r="Z139" s="153">
        <v>0</v>
      </c>
      <c r="AA139" s="153">
        <v>1</v>
      </c>
      <c r="AB139" s="153"/>
      <c r="AC139" s="155">
        <v>45913</v>
      </c>
      <c r="AD139" s="156">
        <v>0.625</v>
      </c>
      <c r="AE139" s="153" t="s">
        <v>74</v>
      </c>
      <c r="AF139" s="155">
        <v>45918</v>
      </c>
      <c r="AG139" s="156">
        <v>0.47916666666424135</v>
      </c>
      <c r="AH139" s="153" t="s">
        <v>189</v>
      </c>
      <c r="AI139" s="153" t="s">
        <v>2315</v>
      </c>
      <c r="AJ139" s="153" t="s">
        <v>64</v>
      </c>
      <c r="AK139" s="153" t="s">
        <v>64</v>
      </c>
      <c r="AL139" s="153" t="s">
        <v>2306</v>
      </c>
      <c r="AM139" s="149" t="s">
        <v>65</v>
      </c>
      <c r="AN139" s="158"/>
      <c r="AO139" s="159"/>
      <c r="AQ139"/>
      <c r="AR139"/>
      <c r="AS139"/>
      <c r="AT139"/>
      <c r="AU139"/>
    </row>
    <row r="140" spans="1:47" s="151" customFormat="1" ht="14.25" customHeight="1">
      <c r="A140" s="139"/>
      <c r="B140" s="139"/>
      <c r="C140" s="152" t="str">
        <f>IF($X140=1,COUNTIF($C$10:C139,"&gt;0")+1,"")</f>
        <v/>
      </c>
      <c r="D140" s="324"/>
      <c r="E140" s="153" t="s">
        <v>2309</v>
      </c>
      <c r="F140" s="154" t="s">
        <v>2781</v>
      </c>
      <c r="G140" s="153" t="s">
        <v>2778</v>
      </c>
      <c r="H140" s="153" t="s">
        <v>2782</v>
      </c>
      <c r="I140" s="153" t="s">
        <v>1869</v>
      </c>
      <c r="J140" s="153" t="s">
        <v>68</v>
      </c>
      <c r="K140" s="153" t="s">
        <v>59</v>
      </c>
      <c r="L140" s="155">
        <v>27625</v>
      </c>
      <c r="M140" s="153">
        <v>50</v>
      </c>
      <c r="N140" s="153" t="s">
        <v>2783</v>
      </c>
      <c r="O140" s="155">
        <v>46854</v>
      </c>
      <c r="P140" s="153" t="s">
        <v>5</v>
      </c>
      <c r="Q140" s="153"/>
      <c r="R140" s="162">
        <v>45913</v>
      </c>
      <c r="S140" s="163">
        <v>45918</v>
      </c>
      <c r="T140" s="164">
        <f t="shared" si="2"/>
        <v>5</v>
      </c>
      <c r="U140" s="153">
        <v>1</v>
      </c>
      <c r="V140" s="153">
        <v>1</v>
      </c>
      <c r="W140" s="153">
        <v>0</v>
      </c>
      <c r="X140" s="153">
        <v>0</v>
      </c>
      <c r="Y140" s="153">
        <v>0</v>
      </c>
      <c r="Z140" s="153">
        <v>0</v>
      </c>
      <c r="AA140" s="153">
        <v>0</v>
      </c>
      <c r="AB140" s="153"/>
      <c r="AC140" s="155">
        <v>45913</v>
      </c>
      <c r="AD140" s="156">
        <v>0.625</v>
      </c>
      <c r="AE140" s="153" t="s">
        <v>74</v>
      </c>
      <c r="AF140" s="155">
        <v>45918</v>
      </c>
      <c r="AG140" s="156">
        <v>0.47916666666424135</v>
      </c>
      <c r="AH140" s="153" t="s">
        <v>189</v>
      </c>
      <c r="AI140" s="153" t="s">
        <v>2315</v>
      </c>
      <c r="AJ140" s="153" t="s">
        <v>64</v>
      </c>
      <c r="AK140" s="153" t="s">
        <v>64</v>
      </c>
      <c r="AL140" s="153" t="s">
        <v>2306</v>
      </c>
      <c r="AM140" s="149" t="s">
        <v>65</v>
      </c>
      <c r="AN140" s="158"/>
      <c r="AO140" s="159"/>
      <c r="AQ140"/>
      <c r="AR140"/>
      <c r="AS140"/>
      <c r="AT140"/>
      <c r="AU140"/>
    </row>
    <row r="141" spans="1:47" s="151" customFormat="1" ht="14.25" customHeight="1">
      <c r="A141" s="139"/>
      <c r="B141" s="139"/>
      <c r="C141" s="152" t="str">
        <f>IF($X141=1,COUNTIF($C$10:C140,"&gt;0")+1,"")</f>
        <v/>
      </c>
      <c r="D141" s="323"/>
      <c r="E141" s="153" t="s">
        <v>2309</v>
      </c>
      <c r="F141" s="154" t="s">
        <v>2784</v>
      </c>
      <c r="G141" s="153" t="s">
        <v>2778</v>
      </c>
      <c r="H141" s="153" t="s">
        <v>2785</v>
      </c>
      <c r="I141" s="153" t="s">
        <v>2668</v>
      </c>
      <c r="J141" s="153" t="s">
        <v>68</v>
      </c>
      <c r="K141" s="153" t="s">
        <v>59</v>
      </c>
      <c r="L141" s="155">
        <v>42302</v>
      </c>
      <c r="M141" s="153">
        <v>9</v>
      </c>
      <c r="N141" s="153" t="s">
        <v>2786</v>
      </c>
      <c r="O141" s="155">
        <v>46455</v>
      </c>
      <c r="P141" s="153" t="s">
        <v>5</v>
      </c>
      <c r="Q141" s="153"/>
      <c r="R141" s="162">
        <v>45913</v>
      </c>
      <c r="S141" s="163">
        <v>45918</v>
      </c>
      <c r="T141" s="164">
        <f t="shared" si="2"/>
        <v>5</v>
      </c>
      <c r="U141" s="153">
        <v>1</v>
      </c>
      <c r="V141" s="153">
        <v>0</v>
      </c>
      <c r="W141" s="153">
        <v>1</v>
      </c>
      <c r="X141" s="153">
        <v>0</v>
      </c>
      <c r="Y141" s="153">
        <v>0</v>
      </c>
      <c r="Z141" s="153">
        <v>0</v>
      </c>
      <c r="AA141" s="153">
        <v>0</v>
      </c>
      <c r="AB141" s="153"/>
      <c r="AC141" s="155">
        <v>45913</v>
      </c>
      <c r="AD141" s="156">
        <v>0.625</v>
      </c>
      <c r="AE141" s="153" t="s">
        <v>74</v>
      </c>
      <c r="AF141" s="155">
        <v>45918</v>
      </c>
      <c r="AG141" s="156">
        <v>0.47916666666424135</v>
      </c>
      <c r="AH141" s="153" t="s">
        <v>189</v>
      </c>
      <c r="AI141" s="153" t="s">
        <v>2315</v>
      </c>
      <c r="AJ141" s="153" t="s">
        <v>64</v>
      </c>
      <c r="AK141" s="153" t="s">
        <v>64</v>
      </c>
      <c r="AL141" s="153" t="s">
        <v>2306</v>
      </c>
      <c r="AM141" s="149" t="s">
        <v>65</v>
      </c>
      <c r="AN141" s="158"/>
      <c r="AO141" s="159"/>
      <c r="AQ141"/>
      <c r="AR141"/>
      <c r="AS141"/>
      <c r="AT141"/>
      <c r="AU141"/>
    </row>
    <row r="142" spans="1:47" s="151" customFormat="1" ht="14.25" customHeight="1">
      <c r="A142" s="139"/>
      <c r="B142" s="139"/>
      <c r="C142" s="152">
        <f>IF($X142=1,COUNTIF($C$10:C141,"&gt;0")+1,"")</f>
        <v>65</v>
      </c>
      <c r="D142" s="322">
        <v>75986422</v>
      </c>
      <c r="E142" s="153" t="s">
        <v>2309</v>
      </c>
      <c r="F142" s="154" t="s">
        <v>2787</v>
      </c>
      <c r="G142" s="153" t="s">
        <v>2787</v>
      </c>
      <c r="H142" s="153" t="s">
        <v>2788</v>
      </c>
      <c r="I142" s="153" t="s">
        <v>2341</v>
      </c>
      <c r="J142" s="153" t="s">
        <v>58</v>
      </c>
      <c r="K142" s="153" t="s">
        <v>59</v>
      </c>
      <c r="L142" s="155">
        <v>19887</v>
      </c>
      <c r="M142" s="153">
        <v>71</v>
      </c>
      <c r="N142" s="153" t="s">
        <v>2789</v>
      </c>
      <c r="O142" s="155">
        <v>47159</v>
      </c>
      <c r="P142" s="153" t="s">
        <v>5</v>
      </c>
      <c r="Q142" s="153"/>
      <c r="R142" s="162">
        <v>45913</v>
      </c>
      <c r="S142" s="163">
        <v>45918</v>
      </c>
      <c r="T142" s="164">
        <f t="shared" si="2"/>
        <v>5</v>
      </c>
      <c r="U142" s="153">
        <v>1</v>
      </c>
      <c r="V142" s="153">
        <v>1</v>
      </c>
      <c r="W142" s="153">
        <v>0</v>
      </c>
      <c r="X142" s="153">
        <v>1</v>
      </c>
      <c r="Y142" s="153">
        <v>0</v>
      </c>
      <c r="Z142" s="153">
        <v>0</v>
      </c>
      <c r="AA142" s="153">
        <v>1</v>
      </c>
      <c r="AB142" s="153"/>
      <c r="AC142" s="155">
        <v>45913</v>
      </c>
      <c r="AD142" s="156">
        <v>0.65625</v>
      </c>
      <c r="AE142" s="153" t="s">
        <v>2338</v>
      </c>
      <c r="AF142" s="155">
        <v>45918</v>
      </c>
      <c r="AG142" s="156">
        <v>0.73958333333575865</v>
      </c>
      <c r="AH142" s="153" t="s">
        <v>1117</v>
      </c>
      <c r="AI142" s="153" t="s">
        <v>2315</v>
      </c>
      <c r="AJ142" s="153" t="s">
        <v>64</v>
      </c>
      <c r="AK142" s="153" t="s">
        <v>64</v>
      </c>
      <c r="AL142" s="153" t="s">
        <v>2306</v>
      </c>
      <c r="AM142" s="149" t="s">
        <v>65</v>
      </c>
      <c r="AN142" s="158"/>
      <c r="AO142" s="159"/>
      <c r="AQ142"/>
      <c r="AR142"/>
      <c r="AS142"/>
      <c r="AT142"/>
      <c r="AU142"/>
    </row>
    <row r="143" spans="1:47" s="151" customFormat="1" ht="14.25" customHeight="1">
      <c r="A143" s="139"/>
      <c r="B143" s="139"/>
      <c r="C143" s="152" t="str">
        <f>IF($X143=1,COUNTIF($C$10:C142,"&gt;0")+1,"")</f>
        <v/>
      </c>
      <c r="D143" s="323"/>
      <c r="E143" s="153" t="s">
        <v>2309</v>
      </c>
      <c r="F143" s="154" t="s">
        <v>2790</v>
      </c>
      <c r="G143" s="153" t="s">
        <v>2787</v>
      </c>
      <c r="H143" s="153" t="s">
        <v>759</v>
      </c>
      <c r="I143" s="153" t="s">
        <v>2791</v>
      </c>
      <c r="J143" s="153" t="s">
        <v>58</v>
      </c>
      <c r="K143" s="153" t="s">
        <v>59</v>
      </c>
      <c r="L143" s="155">
        <v>26918</v>
      </c>
      <c r="M143" s="153">
        <v>52</v>
      </c>
      <c r="N143" s="153" t="s">
        <v>2792</v>
      </c>
      <c r="O143" s="155">
        <v>46556</v>
      </c>
      <c r="P143" s="153" t="s">
        <v>5</v>
      </c>
      <c r="Q143" s="153"/>
      <c r="R143" s="162">
        <v>45913</v>
      </c>
      <c r="S143" s="163">
        <v>45918</v>
      </c>
      <c r="T143" s="164">
        <f t="shared" si="2"/>
        <v>5</v>
      </c>
      <c r="U143" s="153">
        <v>1</v>
      </c>
      <c r="V143" s="153">
        <v>1</v>
      </c>
      <c r="W143" s="153">
        <v>0</v>
      </c>
      <c r="X143" s="153">
        <v>0</v>
      </c>
      <c r="Y143" s="153">
        <v>0</v>
      </c>
      <c r="Z143" s="153">
        <v>0</v>
      </c>
      <c r="AA143" s="153">
        <v>0</v>
      </c>
      <c r="AB143" s="153"/>
      <c r="AC143" s="155">
        <v>45913</v>
      </c>
      <c r="AD143" s="156">
        <v>0.65625</v>
      </c>
      <c r="AE143" s="153" t="s">
        <v>2338</v>
      </c>
      <c r="AF143" s="155">
        <v>45918</v>
      </c>
      <c r="AG143" s="156">
        <v>0.73958333333575865</v>
      </c>
      <c r="AH143" s="153" t="s">
        <v>1117</v>
      </c>
      <c r="AI143" s="153" t="s">
        <v>2315</v>
      </c>
      <c r="AJ143" s="153" t="s">
        <v>64</v>
      </c>
      <c r="AK143" s="153" t="s">
        <v>64</v>
      </c>
      <c r="AL143" s="153" t="s">
        <v>2306</v>
      </c>
      <c r="AM143" s="149" t="s">
        <v>65</v>
      </c>
      <c r="AN143" s="158"/>
      <c r="AO143" s="159"/>
      <c r="AQ143"/>
      <c r="AR143"/>
      <c r="AS143"/>
      <c r="AT143"/>
      <c r="AU143"/>
    </row>
    <row r="144" spans="1:47" s="151" customFormat="1" ht="14.25" customHeight="1">
      <c r="A144" s="139"/>
      <c r="B144" s="139"/>
      <c r="C144" s="152">
        <f>IF($X144=1,COUNTIF($C$10:C143,"&gt;0")+1,"")</f>
        <v>66</v>
      </c>
      <c r="D144" s="322">
        <v>75986440</v>
      </c>
      <c r="E144" s="153" t="s">
        <v>2309</v>
      </c>
      <c r="F144" s="154" t="s">
        <v>2793</v>
      </c>
      <c r="G144" s="153" t="s">
        <v>2793</v>
      </c>
      <c r="H144" s="153" t="s">
        <v>2794</v>
      </c>
      <c r="I144" s="153" t="s">
        <v>82</v>
      </c>
      <c r="J144" s="153" t="s">
        <v>68</v>
      </c>
      <c r="K144" s="153" t="s">
        <v>59</v>
      </c>
      <c r="L144" s="155">
        <v>27921</v>
      </c>
      <c r="M144" s="153">
        <v>49</v>
      </c>
      <c r="N144" s="153" t="s">
        <v>2795</v>
      </c>
      <c r="O144" s="155">
        <v>48765</v>
      </c>
      <c r="P144" s="153" t="s">
        <v>5</v>
      </c>
      <c r="Q144" s="153"/>
      <c r="R144" s="162">
        <v>45913</v>
      </c>
      <c r="S144" s="163">
        <v>45918</v>
      </c>
      <c r="T144" s="164">
        <f t="shared" si="2"/>
        <v>5</v>
      </c>
      <c r="U144" s="153">
        <v>1</v>
      </c>
      <c r="V144" s="153">
        <v>1</v>
      </c>
      <c r="W144" s="153">
        <v>0</v>
      </c>
      <c r="X144" s="153">
        <v>1</v>
      </c>
      <c r="Y144" s="153">
        <v>0</v>
      </c>
      <c r="Z144" s="153">
        <v>0</v>
      </c>
      <c r="AA144" s="153">
        <v>1</v>
      </c>
      <c r="AB144" s="153"/>
      <c r="AC144" s="155">
        <v>45913</v>
      </c>
      <c r="AD144" s="156">
        <v>0.65625</v>
      </c>
      <c r="AE144" s="153" t="s">
        <v>2338</v>
      </c>
      <c r="AF144" s="155">
        <v>45918</v>
      </c>
      <c r="AG144" s="156">
        <v>0.74652777778101154</v>
      </c>
      <c r="AH144" s="153" t="s">
        <v>2346</v>
      </c>
      <c r="AI144" s="153" t="s">
        <v>2315</v>
      </c>
      <c r="AJ144" s="153" t="s">
        <v>64</v>
      </c>
      <c r="AK144" s="153" t="s">
        <v>64</v>
      </c>
      <c r="AL144" s="153" t="s">
        <v>2306</v>
      </c>
      <c r="AM144" s="149" t="s">
        <v>65</v>
      </c>
      <c r="AN144" s="158"/>
      <c r="AO144" s="159"/>
      <c r="AQ144"/>
      <c r="AR144"/>
      <c r="AS144"/>
      <c r="AT144"/>
      <c r="AU144"/>
    </row>
    <row r="145" spans="1:47" s="151" customFormat="1" ht="14.25" customHeight="1">
      <c r="A145" s="139"/>
      <c r="B145" s="139"/>
      <c r="C145" s="152" t="str">
        <f>IF($X145=1,COUNTIF($C$10:C144,"&gt;0")+1,"")</f>
        <v/>
      </c>
      <c r="D145" s="323"/>
      <c r="E145" s="153" t="s">
        <v>2309</v>
      </c>
      <c r="F145" s="154" t="s">
        <v>2796</v>
      </c>
      <c r="G145" s="153" t="s">
        <v>2793</v>
      </c>
      <c r="H145" s="153" t="s">
        <v>2797</v>
      </c>
      <c r="I145" s="153" t="s">
        <v>2798</v>
      </c>
      <c r="J145" s="153" t="s">
        <v>68</v>
      </c>
      <c r="K145" s="153" t="s">
        <v>59</v>
      </c>
      <c r="L145" s="155">
        <v>40123</v>
      </c>
      <c r="M145" s="153">
        <v>15</v>
      </c>
      <c r="N145" s="153" t="s">
        <v>2799</v>
      </c>
      <c r="O145" s="155">
        <v>47286</v>
      </c>
      <c r="P145" s="153" t="s">
        <v>5</v>
      </c>
      <c r="Q145" s="153"/>
      <c r="R145" s="162">
        <v>45913</v>
      </c>
      <c r="S145" s="163">
        <v>45918</v>
      </c>
      <c r="T145" s="164">
        <f t="shared" si="2"/>
        <v>5</v>
      </c>
      <c r="U145" s="153">
        <v>1</v>
      </c>
      <c r="V145" s="153">
        <v>1</v>
      </c>
      <c r="W145" s="153">
        <v>0</v>
      </c>
      <c r="X145" s="153">
        <v>0</v>
      </c>
      <c r="Y145" s="153">
        <v>0</v>
      </c>
      <c r="Z145" s="153">
        <v>0</v>
      </c>
      <c r="AA145" s="153">
        <v>0</v>
      </c>
      <c r="AB145" s="153"/>
      <c r="AC145" s="155">
        <v>45913</v>
      </c>
      <c r="AD145" s="156">
        <v>0.65625</v>
      </c>
      <c r="AE145" s="153" t="s">
        <v>2338</v>
      </c>
      <c r="AF145" s="155">
        <v>45918</v>
      </c>
      <c r="AG145" s="156">
        <v>0.74652777778101154</v>
      </c>
      <c r="AH145" s="153" t="s">
        <v>2346</v>
      </c>
      <c r="AI145" s="153" t="s">
        <v>2315</v>
      </c>
      <c r="AJ145" s="153" t="s">
        <v>64</v>
      </c>
      <c r="AK145" s="153" t="s">
        <v>64</v>
      </c>
      <c r="AL145" s="153" t="s">
        <v>2306</v>
      </c>
      <c r="AM145" s="149" t="s">
        <v>65</v>
      </c>
      <c r="AN145" s="158"/>
      <c r="AO145" s="159"/>
      <c r="AQ145"/>
      <c r="AR145"/>
      <c r="AS145"/>
      <c r="AT145"/>
      <c r="AU145"/>
    </row>
    <row r="146" spans="1:47" s="151" customFormat="1" ht="14.25" customHeight="1">
      <c r="A146" s="139"/>
      <c r="B146" s="139"/>
      <c r="C146" s="152">
        <f>IF($X146=1,COUNTIF($C$10:C145,"&gt;0")+1,"")</f>
        <v>67</v>
      </c>
      <c r="D146" s="322">
        <v>75986448</v>
      </c>
      <c r="E146" s="153" t="s">
        <v>2309</v>
      </c>
      <c r="F146" s="154" t="s">
        <v>2800</v>
      </c>
      <c r="G146" s="153" t="s">
        <v>2800</v>
      </c>
      <c r="H146" s="153" t="s">
        <v>2801</v>
      </c>
      <c r="I146" s="153" t="s">
        <v>82</v>
      </c>
      <c r="J146" s="153" t="s">
        <v>68</v>
      </c>
      <c r="K146" s="153" t="s">
        <v>460</v>
      </c>
      <c r="L146" s="155">
        <v>20896</v>
      </c>
      <c r="M146" s="153">
        <v>68</v>
      </c>
      <c r="N146" s="153" t="s">
        <v>2802</v>
      </c>
      <c r="O146" s="155">
        <v>46169</v>
      </c>
      <c r="P146" s="153" t="s">
        <v>5</v>
      </c>
      <c r="Q146" s="153"/>
      <c r="R146" s="162">
        <v>45913</v>
      </c>
      <c r="S146" s="163">
        <v>45918</v>
      </c>
      <c r="T146" s="164">
        <f t="shared" si="2"/>
        <v>5</v>
      </c>
      <c r="U146" s="153">
        <v>1</v>
      </c>
      <c r="V146" s="153">
        <v>1</v>
      </c>
      <c r="W146" s="153">
        <v>0</v>
      </c>
      <c r="X146" s="153">
        <v>1</v>
      </c>
      <c r="Y146" s="153">
        <v>0</v>
      </c>
      <c r="Z146" s="153">
        <v>0</v>
      </c>
      <c r="AA146" s="153">
        <v>1</v>
      </c>
      <c r="AB146" s="153"/>
      <c r="AC146" s="155">
        <v>45913</v>
      </c>
      <c r="AD146" s="156">
        <v>0.65625</v>
      </c>
      <c r="AE146" s="153" t="s">
        <v>2338</v>
      </c>
      <c r="AF146" s="155">
        <v>45918</v>
      </c>
      <c r="AG146" s="156">
        <v>0.73958333333575865</v>
      </c>
      <c r="AH146" s="153" t="s">
        <v>1117</v>
      </c>
      <c r="AI146" s="153" t="s">
        <v>2315</v>
      </c>
      <c r="AJ146" s="153" t="s">
        <v>64</v>
      </c>
      <c r="AK146" s="153" t="s">
        <v>64</v>
      </c>
      <c r="AL146" s="153" t="s">
        <v>2306</v>
      </c>
      <c r="AM146" s="149" t="s">
        <v>65</v>
      </c>
      <c r="AN146" s="158"/>
      <c r="AO146" s="159"/>
      <c r="AQ146"/>
      <c r="AR146"/>
      <c r="AS146"/>
      <c r="AT146"/>
      <c r="AU146"/>
    </row>
    <row r="147" spans="1:47" s="151" customFormat="1" ht="14.25" customHeight="1">
      <c r="A147" s="139"/>
      <c r="B147" s="139"/>
      <c r="C147" s="152" t="str">
        <f>IF($X147=1,COUNTIF($C$10:C146,"&gt;0")+1,"")</f>
        <v/>
      </c>
      <c r="D147" s="323"/>
      <c r="E147" s="153" t="s">
        <v>2309</v>
      </c>
      <c r="F147" s="154" t="s">
        <v>2803</v>
      </c>
      <c r="G147" s="153" t="s">
        <v>2800</v>
      </c>
      <c r="H147" s="153" t="s">
        <v>2804</v>
      </c>
      <c r="I147" s="153" t="s">
        <v>2805</v>
      </c>
      <c r="J147" s="153" t="s">
        <v>68</v>
      </c>
      <c r="K147" s="153" t="s">
        <v>2069</v>
      </c>
      <c r="L147" s="155">
        <v>22200</v>
      </c>
      <c r="M147" s="153">
        <v>64</v>
      </c>
      <c r="N147" s="153" t="s">
        <v>2806</v>
      </c>
      <c r="O147" s="155">
        <v>46552</v>
      </c>
      <c r="P147" s="153" t="s">
        <v>5</v>
      </c>
      <c r="Q147" s="153"/>
      <c r="R147" s="162">
        <v>45913</v>
      </c>
      <c r="S147" s="163">
        <v>45918</v>
      </c>
      <c r="T147" s="164">
        <f t="shared" si="2"/>
        <v>5</v>
      </c>
      <c r="U147" s="153">
        <v>1</v>
      </c>
      <c r="V147" s="153">
        <v>1</v>
      </c>
      <c r="W147" s="153">
        <v>0</v>
      </c>
      <c r="X147" s="153">
        <v>0</v>
      </c>
      <c r="Y147" s="153">
        <v>0</v>
      </c>
      <c r="Z147" s="153">
        <v>0</v>
      </c>
      <c r="AA147" s="153">
        <v>0</v>
      </c>
      <c r="AB147" s="153"/>
      <c r="AC147" s="155">
        <v>45913</v>
      </c>
      <c r="AD147" s="156">
        <v>0.75694444444525288</v>
      </c>
      <c r="AE147" s="153" t="s">
        <v>2807</v>
      </c>
      <c r="AF147" s="155">
        <v>45918</v>
      </c>
      <c r="AG147" s="156">
        <v>0.87152777778101154</v>
      </c>
      <c r="AH147" s="153" t="s">
        <v>102</v>
      </c>
      <c r="AI147" s="153" t="s">
        <v>2315</v>
      </c>
      <c r="AJ147" s="153" t="s">
        <v>64</v>
      </c>
      <c r="AK147" s="153" t="s">
        <v>64</v>
      </c>
      <c r="AL147" s="153" t="s">
        <v>2306</v>
      </c>
      <c r="AM147" s="149" t="s">
        <v>65</v>
      </c>
      <c r="AN147" s="158"/>
      <c r="AO147" s="159"/>
      <c r="AQ147"/>
      <c r="AR147"/>
      <c r="AS147"/>
      <c r="AT147"/>
      <c r="AU147"/>
    </row>
    <row r="148" spans="1:47" s="151" customFormat="1" ht="14.25" customHeight="1">
      <c r="A148" s="139"/>
      <c r="B148" s="139"/>
      <c r="C148" s="152">
        <f>IF($X148=1,COUNTIF($C$10:C147,"&gt;0")+1,"")</f>
        <v>68</v>
      </c>
      <c r="D148" s="322">
        <v>75986453</v>
      </c>
      <c r="E148" s="153" t="s">
        <v>2309</v>
      </c>
      <c r="F148" s="154" t="s">
        <v>2808</v>
      </c>
      <c r="G148" s="153" t="s">
        <v>2808</v>
      </c>
      <c r="H148" s="153" t="s">
        <v>2809</v>
      </c>
      <c r="I148" s="153" t="s">
        <v>2810</v>
      </c>
      <c r="J148" s="153" t="s">
        <v>58</v>
      </c>
      <c r="K148" s="153" t="s">
        <v>59</v>
      </c>
      <c r="L148" s="155">
        <v>15906</v>
      </c>
      <c r="M148" s="153">
        <v>82</v>
      </c>
      <c r="N148" s="153" t="s">
        <v>2811</v>
      </c>
      <c r="O148" s="155">
        <v>46881</v>
      </c>
      <c r="P148" s="153" t="s">
        <v>4</v>
      </c>
      <c r="Q148" s="153"/>
      <c r="R148" s="162">
        <v>45913</v>
      </c>
      <c r="S148" s="163">
        <v>45918</v>
      </c>
      <c r="T148" s="164">
        <f t="shared" si="2"/>
        <v>5</v>
      </c>
      <c r="U148" s="153">
        <v>1</v>
      </c>
      <c r="V148" s="153">
        <v>1</v>
      </c>
      <c r="W148" s="153">
        <v>0</v>
      </c>
      <c r="X148" s="153">
        <v>1</v>
      </c>
      <c r="Y148" s="153">
        <v>0</v>
      </c>
      <c r="Z148" s="153">
        <v>1</v>
      </c>
      <c r="AA148" s="153">
        <v>0</v>
      </c>
      <c r="AB148" s="153"/>
      <c r="AC148" s="155">
        <v>45913</v>
      </c>
      <c r="AD148" s="156">
        <v>0.625</v>
      </c>
      <c r="AE148" s="153" t="s">
        <v>74</v>
      </c>
      <c r="AF148" s="155">
        <v>45918</v>
      </c>
      <c r="AG148" s="156">
        <v>0.47916666666424135</v>
      </c>
      <c r="AH148" s="153" t="s">
        <v>189</v>
      </c>
      <c r="AI148" s="153" t="s">
        <v>2315</v>
      </c>
      <c r="AJ148" s="153" t="s">
        <v>64</v>
      </c>
      <c r="AK148" s="153" t="s">
        <v>64</v>
      </c>
      <c r="AL148" s="153" t="s">
        <v>2306</v>
      </c>
      <c r="AM148" s="149" t="s">
        <v>65</v>
      </c>
      <c r="AN148" s="158"/>
      <c r="AO148" s="159"/>
      <c r="AQ148"/>
      <c r="AR148"/>
      <c r="AS148"/>
      <c r="AT148"/>
      <c r="AU148"/>
    </row>
    <row r="149" spans="1:47" s="151" customFormat="1" ht="14.25" customHeight="1">
      <c r="A149" s="139"/>
      <c r="B149" s="139"/>
      <c r="C149" s="152" t="str">
        <f>IF($X149=1,COUNTIF($C$10:C148,"&gt;0")+1,"")</f>
        <v/>
      </c>
      <c r="D149" s="323"/>
      <c r="E149" s="153" t="s">
        <v>2309</v>
      </c>
      <c r="F149" s="154" t="s">
        <v>2812</v>
      </c>
      <c r="G149" s="153" t="s">
        <v>2808</v>
      </c>
      <c r="H149" s="153" t="s">
        <v>2813</v>
      </c>
      <c r="I149" s="153" t="s">
        <v>754</v>
      </c>
      <c r="J149" s="153" t="s">
        <v>68</v>
      </c>
      <c r="K149" s="153" t="s">
        <v>59</v>
      </c>
      <c r="L149" s="155">
        <v>18510</v>
      </c>
      <c r="M149" s="153">
        <v>75</v>
      </c>
      <c r="N149" s="153" t="s">
        <v>2814</v>
      </c>
      <c r="O149" s="155">
        <v>48589</v>
      </c>
      <c r="P149" s="153" t="s">
        <v>4</v>
      </c>
      <c r="Q149" s="153"/>
      <c r="R149" s="162">
        <v>45913</v>
      </c>
      <c r="S149" s="163">
        <v>45918</v>
      </c>
      <c r="T149" s="164">
        <f t="shared" si="2"/>
        <v>5</v>
      </c>
      <c r="U149" s="153">
        <v>1</v>
      </c>
      <c r="V149" s="153">
        <v>1</v>
      </c>
      <c r="W149" s="153">
        <v>0</v>
      </c>
      <c r="X149" s="153">
        <v>0</v>
      </c>
      <c r="Y149" s="153">
        <v>0</v>
      </c>
      <c r="Z149" s="153">
        <v>0</v>
      </c>
      <c r="AA149" s="153">
        <v>0</v>
      </c>
      <c r="AB149" s="153"/>
      <c r="AC149" s="155">
        <v>45913</v>
      </c>
      <c r="AD149" s="156">
        <v>0.625</v>
      </c>
      <c r="AE149" s="153" t="s">
        <v>74</v>
      </c>
      <c r="AF149" s="155">
        <v>45918</v>
      </c>
      <c r="AG149" s="156">
        <v>0.47916666666424135</v>
      </c>
      <c r="AH149" s="153" t="s">
        <v>189</v>
      </c>
      <c r="AI149" s="153" t="s">
        <v>2315</v>
      </c>
      <c r="AJ149" s="153" t="s">
        <v>64</v>
      </c>
      <c r="AK149" s="153" t="s">
        <v>64</v>
      </c>
      <c r="AL149" s="153" t="s">
        <v>2306</v>
      </c>
      <c r="AM149" s="149" t="s">
        <v>65</v>
      </c>
      <c r="AN149" s="158"/>
      <c r="AO149" s="159"/>
      <c r="AQ149"/>
      <c r="AR149"/>
      <c r="AS149"/>
      <c r="AT149"/>
      <c r="AU149"/>
    </row>
    <row r="150" spans="1:47" s="151" customFormat="1" ht="14.25" customHeight="1">
      <c r="A150" s="139"/>
      <c r="B150" s="139"/>
      <c r="C150" s="152">
        <f>IF($X150=1,COUNTIF($C$10:C149,"&gt;0")+1,"")</f>
        <v>69</v>
      </c>
      <c r="D150" s="322">
        <v>75986496</v>
      </c>
      <c r="E150" s="153" t="s">
        <v>2309</v>
      </c>
      <c r="F150" s="154" t="s">
        <v>2815</v>
      </c>
      <c r="G150" s="153" t="s">
        <v>2815</v>
      </c>
      <c r="H150" s="153" t="s">
        <v>2816</v>
      </c>
      <c r="I150" s="153" t="s">
        <v>82</v>
      </c>
      <c r="J150" s="153" t="s">
        <v>58</v>
      </c>
      <c r="K150" s="153" t="s">
        <v>59</v>
      </c>
      <c r="L150" s="155">
        <v>23594</v>
      </c>
      <c r="M150" s="153">
        <v>61</v>
      </c>
      <c r="N150" s="153" t="s">
        <v>2817</v>
      </c>
      <c r="O150" s="155">
        <v>46972</v>
      </c>
      <c r="P150" s="153" t="s">
        <v>4</v>
      </c>
      <c r="Q150" s="153"/>
      <c r="R150" s="162">
        <v>45913</v>
      </c>
      <c r="S150" s="163">
        <v>45918</v>
      </c>
      <c r="T150" s="164">
        <f t="shared" si="2"/>
        <v>5</v>
      </c>
      <c r="U150" s="153">
        <v>1</v>
      </c>
      <c r="V150" s="153">
        <v>1</v>
      </c>
      <c r="W150" s="153">
        <v>0</v>
      </c>
      <c r="X150" s="153">
        <v>1</v>
      </c>
      <c r="Y150" s="153">
        <v>0</v>
      </c>
      <c r="Z150" s="153">
        <v>1</v>
      </c>
      <c r="AA150" s="153">
        <v>0</v>
      </c>
      <c r="AB150" s="153"/>
      <c r="AC150" s="155">
        <v>45913</v>
      </c>
      <c r="AD150" s="156">
        <v>0.65625</v>
      </c>
      <c r="AE150" s="153" t="s">
        <v>2338</v>
      </c>
      <c r="AF150" s="155">
        <v>45918</v>
      </c>
      <c r="AG150" s="156">
        <v>0.73958333333575865</v>
      </c>
      <c r="AH150" s="153" t="s">
        <v>1117</v>
      </c>
      <c r="AI150" s="153" t="s">
        <v>2315</v>
      </c>
      <c r="AJ150" s="153" t="s">
        <v>64</v>
      </c>
      <c r="AK150" s="153" t="s">
        <v>64</v>
      </c>
      <c r="AL150" s="153" t="s">
        <v>2306</v>
      </c>
      <c r="AM150" s="149" t="s">
        <v>65</v>
      </c>
      <c r="AN150" s="158"/>
      <c r="AO150" s="159"/>
      <c r="AQ150"/>
      <c r="AR150"/>
      <c r="AS150"/>
      <c r="AT150"/>
      <c r="AU150"/>
    </row>
    <row r="151" spans="1:47" s="151" customFormat="1" ht="14.25" customHeight="1">
      <c r="A151" s="139"/>
      <c r="B151" s="139"/>
      <c r="C151" s="152" t="str">
        <f>IF($X151=1,COUNTIF($C$10:C150,"&gt;0")+1,"")</f>
        <v/>
      </c>
      <c r="D151" s="323"/>
      <c r="E151" s="153" t="s">
        <v>2309</v>
      </c>
      <c r="F151" s="154" t="s">
        <v>2818</v>
      </c>
      <c r="G151" s="153" t="s">
        <v>2815</v>
      </c>
      <c r="H151" s="153" t="s">
        <v>2819</v>
      </c>
      <c r="I151" s="153" t="s">
        <v>1873</v>
      </c>
      <c r="J151" s="153" t="s">
        <v>68</v>
      </c>
      <c r="K151" s="153" t="s">
        <v>59</v>
      </c>
      <c r="L151" s="155">
        <v>25818</v>
      </c>
      <c r="M151" s="153">
        <v>55</v>
      </c>
      <c r="N151" s="153" t="s">
        <v>2820</v>
      </c>
      <c r="O151" s="155">
        <v>47014</v>
      </c>
      <c r="P151" s="153" t="s">
        <v>4</v>
      </c>
      <c r="Q151" s="153"/>
      <c r="R151" s="162">
        <v>45913</v>
      </c>
      <c r="S151" s="163">
        <v>45918</v>
      </c>
      <c r="T151" s="164">
        <f t="shared" si="2"/>
        <v>5</v>
      </c>
      <c r="U151" s="153">
        <v>1</v>
      </c>
      <c r="V151" s="153">
        <v>1</v>
      </c>
      <c r="W151" s="153">
        <v>0</v>
      </c>
      <c r="X151" s="153">
        <v>0</v>
      </c>
      <c r="Y151" s="153">
        <v>0</v>
      </c>
      <c r="Z151" s="153">
        <v>0</v>
      </c>
      <c r="AA151" s="153">
        <v>0</v>
      </c>
      <c r="AB151" s="153"/>
      <c r="AC151" s="155">
        <v>45913</v>
      </c>
      <c r="AD151" s="156">
        <v>0.65625</v>
      </c>
      <c r="AE151" s="153" t="s">
        <v>2338</v>
      </c>
      <c r="AF151" s="155">
        <v>45918</v>
      </c>
      <c r="AG151" s="156">
        <v>0.73958333333575865</v>
      </c>
      <c r="AH151" s="153" t="s">
        <v>1117</v>
      </c>
      <c r="AI151" s="153" t="s">
        <v>2315</v>
      </c>
      <c r="AJ151" s="153" t="s">
        <v>64</v>
      </c>
      <c r="AK151" s="153" t="s">
        <v>64</v>
      </c>
      <c r="AL151" s="153" t="s">
        <v>2306</v>
      </c>
      <c r="AM151" s="149" t="s">
        <v>65</v>
      </c>
      <c r="AN151" s="158"/>
      <c r="AO151" s="159"/>
      <c r="AQ151"/>
      <c r="AR151"/>
      <c r="AS151"/>
      <c r="AT151"/>
      <c r="AU151"/>
    </row>
    <row r="152" spans="1:47" s="151" customFormat="1" ht="14.25" customHeight="1">
      <c r="A152" s="139"/>
      <c r="B152" s="139"/>
      <c r="C152" s="152">
        <f>IF($X152=1,COUNTIF($C$10:C151,"&gt;0")+1,"")</f>
        <v>70</v>
      </c>
      <c r="D152" s="322">
        <v>75986535</v>
      </c>
      <c r="E152" s="153" t="s">
        <v>2309</v>
      </c>
      <c r="F152" s="154" t="s">
        <v>2821</v>
      </c>
      <c r="G152" s="153" t="s">
        <v>2815</v>
      </c>
      <c r="H152" s="153" t="s">
        <v>2822</v>
      </c>
      <c r="I152" s="153" t="s">
        <v>82</v>
      </c>
      <c r="J152" s="153" t="s">
        <v>68</v>
      </c>
      <c r="K152" s="153" t="s">
        <v>59</v>
      </c>
      <c r="L152" s="155">
        <v>37528</v>
      </c>
      <c r="M152" s="153">
        <v>22</v>
      </c>
      <c r="N152" s="153" t="s">
        <v>2823</v>
      </c>
      <c r="O152" s="155">
        <v>48700</v>
      </c>
      <c r="P152" s="153" t="s">
        <v>4</v>
      </c>
      <c r="Q152" s="153"/>
      <c r="R152" s="162">
        <v>45913</v>
      </c>
      <c r="S152" s="163">
        <v>45918</v>
      </c>
      <c r="T152" s="164">
        <f t="shared" si="2"/>
        <v>5</v>
      </c>
      <c r="U152" s="153">
        <v>1</v>
      </c>
      <c r="V152" s="153">
        <v>1</v>
      </c>
      <c r="W152" s="153">
        <v>0</v>
      </c>
      <c r="X152" s="153">
        <v>1</v>
      </c>
      <c r="Y152" s="153">
        <v>0</v>
      </c>
      <c r="Z152" s="153">
        <v>1</v>
      </c>
      <c r="AA152" s="153">
        <v>0</v>
      </c>
      <c r="AB152" s="153"/>
      <c r="AC152" s="155">
        <v>45907</v>
      </c>
      <c r="AD152" s="156">
        <v>0.85416666666424135</v>
      </c>
      <c r="AE152" s="153" t="s">
        <v>712</v>
      </c>
      <c r="AF152" s="155">
        <v>45921</v>
      </c>
      <c r="AG152" s="156">
        <v>0.76388888889050577</v>
      </c>
      <c r="AH152" s="153" t="s">
        <v>2824</v>
      </c>
      <c r="AI152" s="153" t="s">
        <v>2315</v>
      </c>
      <c r="AJ152" s="153" t="s">
        <v>64</v>
      </c>
      <c r="AK152" s="153" t="s">
        <v>64</v>
      </c>
      <c r="AL152" s="153" t="s">
        <v>2306</v>
      </c>
      <c r="AM152" s="149" t="s">
        <v>65</v>
      </c>
      <c r="AN152" s="158"/>
      <c r="AO152" s="159"/>
      <c r="AQ152"/>
      <c r="AR152"/>
      <c r="AS152"/>
      <c r="AT152"/>
      <c r="AU152"/>
    </row>
    <row r="153" spans="1:47" s="151" customFormat="1" ht="14.25" customHeight="1">
      <c r="A153" s="139"/>
      <c r="B153" s="139"/>
      <c r="C153" s="152" t="str">
        <f>IF($X153=1,COUNTIF($C$10:C152,"&gt;0")+1,"")</f>
        <v/>
      </c>
      <c r="D153" s="323"/>
      <c r="E153" s="153" t="s">
        <v>2309</v>
      </c>
      <c r="F153" s="154" t="s">
        <v>2825</v>
      </c>
      <c r="G153" s="153" t="s">
        <v>2815</v>
      </c>
      <c r="H153" s="153" t="s">
        <v>2826</v>
      </c>
      <c r="I153" s="153" t="s">
        <v>2827</v>
      </c>
      <c r="J153" s="153" t="s">
        <v>58</v>
      </c>
      <c r="K153" s="153" t="s">
        <v>59</v>
      </c>
      <c r="L153" s="155">
        <v>37455</v>
      </c>
      <c r="M153" s="153">
        <v>23</v>
      </c>
      <c r="N153" s="153" t="s">
        <v>2828</v>
      </c>
      <c r="O153" s="155">
        <v>48700</v>
      </c>
      <c r="P153" s="153" t="s">
        <v>4</v>
      </c>
      <c r="Q153" s="153"/>
      <c r="R153" s="162">
        <v>45913</v>
      </c>
      <c r="S153" s="163">
        <v>45918</v>
      </c>
      <c r="T153" s="164">
        <f t="shared" si="2"/>
        <v>5</v>
      </c>
      <c r="U153" s="153">
        <v>1</v>
      </c>
      <c r="V153" s="153">
        <v>1</v>
      </c>
      <c r="W153" s="153">
        <v>0</v>
      </c>
      <c r="X153" s="153">
        <v>0</v>
      </c>
      <c r="Y153" s="153">
        <v>0</v>
      </c>
      <c r="Z153" s="153">
        <v>0</v>
      </c>
      <c r="AA153" s="153">
        <v>0</v>
      </c>
      <c r="AB153" s="153"/>
      <c r="AC153" s="155">
        <v>45907</v>
      </c>
      <c r="AD153" s="156">
        <v>0.85416666666424135</v>
      </c>
      <c r="AE153" s="153" t="s">
        <v>712</v>
      </c>
      <c r="AF153" s="155">
        <v>45921</v>
      </c>
      <c r="AG153" s="156">
        <v>0.76388888889050577</v>
      </c>
      <c r="AH153" s="153" t="s">
        <v>2824</v>
      </c>
      <c r="AI153" s="153" t="s">
        <v>2315</v>
      </c>
      <c r="AJ153" s="153" t="s">
        <v>64</v>
      </c>
      <c r="AK153" s="153" t="s">
        <v>64</v>
      </c>
      <c r="AL153" s="153" t="s">
        <v>2306</v>
      </c>
      <c r="AM153" s="149" t="s">
        <v>65</v>
      </c>
      <c r="AN153" s="158"/>
      <c r="AO153" s="159"/>
      <c r="AQ153"/>
      <c r="AR153"/>
      <c r="AS153"/>
      <c r="AT153"/>
      <c r="AU153"/>
    </row>
    <row r="154" spans="1:47" s="151" customFormat="1" ht="14.25" customHeight="1">
      <c r="A154" s="139"/>
      <c r="B154" s="139"/>
      <c r="C154" s="152">
        <f>IF($X154=1,COUNTIF($C$10:C153,"&gt;0")+1,"")</f>
        <v>71</v>
      </c>
      <c r="D154" s="322">
        <v>75986541</v>
      </c>
      <c r="E154" s="153" t="s">
        <v>2309</v>
      </c>
      <c r="F154" s="154" t="s">
        <v>2829</v>
      </c>
      <c r="G154" s="153" t="s">
        <v>2829</v>
      </c>
      <c r="H154" s="153" t="s">
        <v>2830</v>
      </c>
      <c r="I154" s="153" t="s">
        <v>1818</v>
      </c>
      <c r="J154" s="153" t="s">
        <v>58</v>
      </c>
      <c r="K154" s="153" t="s">
        <v>59</v>
      </c>
      <c r="L154" s="155">
        <v>30890</v>
      </c>
      <c r="M154" s="153">
        <v>41</v>
      </c>
      <c r="N154" s="153" t="s">
        <v>2831</v>
      </c>
      <c r="O154" s="155">
        <v>49400</v>
      </c>
      <c r="P154" s="153" t="s">
        <v>4</v>
      </c>
      <c r="Q154" s="153"/>
      <c r="R154" s="162">
        <v>45913</v>
      </c>
      <c r="S154" s="163">
        <v>45918</v>
      </c>
      <c r="T154" s="164">
        <f t="shared" si="2"/>
        <v>5</v>
      </c>
      <c r="U154" s="153">
        <v>1</v>
      </c>
      <c r="V154" s="153">
        <v>1</v>
      </c>
      <c r="W154" s="153">
        <v>0</v>
      </c>
      <c r="X154" s="153">
        <v>1</v>
      </c>
      <c r="Y154" s="153">
        <v>0</v>
      </c>
      <c r="Z154" s="153">
        <v>1</v>
      </c>
      <c r="AA154" s="153">
        <v>0</v>
      </c>
      <c r="AB154" s="153"/>
      <c r="AC154" s="155">
        <v>45913</v>
      </c>
      <c r="AD154" s="156">
        <v>0.18055555555474712</v>
      </c>
      <c r="AE154" s="153" t="s">
        <v>95</v>
      </c>
      <c r="AF154" s="155">
        <v>45918</v>
      </c>
      <c r="AG154" s="156">
        <v>0.47916666666424135</v>
      </c>
      <c r="AH154" s="153" t="s">
        <v>189</v>
      </c>
      <c r="AI154" s="153" t="s">
        <v>2315</v>
      </c>
      <c r="AJ154" s="153" t="s">
        <v>64</v>
      </c>
      <c r="AK154" s="153"/>
      <c r="AL154" s="153" t="s">
        <v>2306</v>
      </c>
      <c r="AM154" s="149" t="s">
        <v>65</v>
      </c>
      <c r="AN154" s="158"/>
      <c r="AO154" s="159"/>
      <c r="AQ154"/>
      <c r="AR154"/>
      <c r="AS154"/>
      <c r="AT154"/>
      <c r="AU154"/>
    </row>
    <row r="155" spans="1:47" s="151" customFormat="1" ht="14.25" customHeight="1">
      <c r="A155" s="139"/>
      <c r="B155" s="139"/>
      <c r="C155" s="152" t="str">
        <f>IF($X155=1,COUNTIF($C$10:C154,"&gt;0")+1,"")</f>
        <v/>
      </c>
      <c r="D155" s="323"/>
      <c r="E155" s="153" t="s">
        <v>2309</v>
      </c>
      <c r="F155" s="154" t="s">
        <v>2832</v>
      </c>
      <c r="G155" s="153" t="s">
        <v>2829</v>
      </c>
      <c r="H155" s="153" t="s">
        <v>526</v>
      </c>
      <c r="I155" s="153" t="s">
        <v>755</v>
      </c>
      <c r="J155" s="153" t="s">
        <v>68</v>
      </c>
      <c r="K155" s="153" t="s">
        <v>59</v>
      </c>
      <c r="L155" s="155">
        <v>34173</v>
      </c>
      <c r="M155" s="153">
        <v>32</v>
      </c>
      <c r="N155" s="153" t="s">
        <v>2833</v>
      </c>
      <c r="O155" s="155">
        <v>49400</v>
      </c>
      <c r="P155" s="153" t="s">
        <v>4</v>
      </c>
      <c r="Q155" s="153"/>
      <c r="R155" s="162">
        <v>45913</v>
      </c>
      <c r="S155" s="163">
        <v>45918</v>
      </c>
      <c r="T155" s="164">
        <f t="shared" si="2"/>
        <v>5</v>
      </c>
      <c r="U155" s="153">
        <v>1</v>
      </c>
      <c r="V155" s="153">
        <v>1</v>
      </c>
      <c r="W155" s="153">
        <v>0</v>
      </c>
      <c r="X155" s="153">
        <v>0</v>
      </c>
      <c r="Y155" s="153">
        <v>0</v>
      </c>
      <c r="Z155" s="153">
        <v>0</v>
      </c>
      <c r="AA155" s="153">
        <v>0</v>
      </c>
      <c r="AB155" s="153"/>
      <c r="AC155" s="155">
        <v>45913</v>
      </c>
      <c r="AD155" s="156">
        <v>0.18055555555474712</v>
      </c>
      <c r="AE155" s="153" t="s">
        <v>95</v>
      </c>
      <c r="AF155" s="155">
        <v>45918</v>
      </c>
      <c r="AG155" s="156">
        <v>0.47916666666424135</v>
      </c>
      <c r="AH155" s="153" t="s">
        <v>189</v>
      </c>
      <c r="AI155" s="153" t="s">
        <v>2315</v>
      </c>
      <c r="AJ155" s="153" t="s">
        <v>64</v>
      </c>
      <c r="AK155" s="153" t="s">
        <v>64</v>
      </c>
      <c r="AL155" s="153" t="s">
        <v>2306</v>
      </c>
      <c r="AM155" s="149" t="s">
        <v>65</v>
      </c>
      <c r="AN155" s="158"/>
      <c r="AO155" s="159"/>
      <c r="AQ155"/>
      <c r="AR155"/>
      <c r="AS155"/>
      <c r="AT155"/>
      <c r="AU155"/>
    </row>
    <row r="156" spans="1:47" s="151" customFormat="1" ht="14.25" customHeight="1">
      <c r="A156" s="139"/>
      <c r="B156" s="139"/>
      <c r="C156" s="152">
        <f>IF($X156=1,COUNTIF($C$10:C155,"&gt;0")+1,"")</f>
        <v>72</v>
      </c>
      <c r="D156" s="322">
        <v>75986559</v>
      </c>
      <c r="E156" s="153" t="s">
        <v>2309</v>
      </c>
      <c r="F156" s="154" t="s">
        <v>2834</v>
      </c>
      <c r="G156" s="153" t="s">
        <v>2834</v>
      </c>
      <c r="H156" s="153" t="s">
        <v>2835</v>
      </c>
      <c r="I156" s="153" t="s">
        <v>2836</v>
      </c>
      <c r="J156" s="153" t="s">
        <v>68</v>
      </c>
      <c r="K156" s="153" t="s">
        <v>59</v>
      </c>
      <c r="L156" s="155">
        <v>24294</v>
      </c>
      <c r="M156" s="153">
        <v>59</v>
      </c>
      <c r="N156" s="153" t="s">
        <v>2837</v>
      </c>
      <c r="O156" s="155">
        <v>47647</v>
      </c>
      <c r="P156" s="153" t="s">
        <v>5</v>
      </c>
      <c r="Q156" s="153"/>
      <c r="R156" s="162">
        <v>45913</v>
      </c>
      <c r="S156" s="163">
        <v>45918</v>
      </c>
      <c r="T156" s="164">
        <f t="shared" si="2"/>
        <v>5</v>
      </c>
      <c r="U156" s="153">
        <v>1</v>
      </c>
      <c r="V156" s="153">
        <v>1</v>
      </c>
      <c r="W156" s="153">
        <v>0</v>
      </c>
      <c r="X156" s="153">
        <v>1</v>
      </c>
      <c r="Y156" s="153">
        <v>0</v>
      </c>
      <c r="Z156" s="153">
        <v>0</v>
      </c>
      <c r="AA156" s="153">
        <v>1</v>
      </c>
      <c r="AB156" s="153"/>
      <c r="AC156" s="155">
        <v>45913</v>
      </c>
      <c r="AD156" s="156">
        <v>0.1875</v>
      </c>
      <c r="AE156" s="153" t="s">
        <v>220</v>
      </c>
      <c r="AF156" s="155">
        <v>45918</v>
      </c>
      <c r="AG156" s="156">
        <v>0.87152777778101154</v>
      </c>
      <c r="AH156" s="153" t="s">
        <v>102</v>
      </c>
      <c r="AI156" s="153" t="s">
        <v>2315</v>
      </c>
      <c r="AJ156" s="153" t="s">
        <v>64</v>
      </c>
      <c r="AK156" s="153" t="s">
        <v>64</v>
      </c>
      <c r="AL156" s="153" t="s">
        <v>2306</v>
      </c>
      <c r="AM156" s="149" t="s">
        <v>65</v>
      </c>
      <c r="AN156" s="158"/>
      <c r="AO156" s="159"/>
      <c r="AQ156"/>
      <c r="AR156"/>
      <c r="AS156"/>
      <c r="AT156"/>
      <c r="AU156"/>
    </row>
    <row r="157" spans="1:47" s="151" customFormat="1" ht="14.25" customHeight="1">
      <c r="A157" s="139"/>
      <c r="B157" s="139"/>
      <c r="C157" s="152" t="str">
        <f>IF($X157=1,COUNTIF($C$10:C156,"&gt;0")+1,"")</f>
        <v/>
      </c>
      <c r="D157" s="323"/>
      <c r="E157" s="153" t="s">
        <v>2309</v>
      </c>
      <c r="F157" s="154" t="s">
        <v>2838</v>
      </c>
      <c r="G157" s="153" t="s">
        <v>2834</v>
      </c>
      <c r="H157" s="153" t="s">
        <v>2839</v>
      </c>
      <c r="I157" s="153" t="s">
        <v>2836</v>
      </c>
      <c r="J157" s="153" t="s">
        <v>68</v>
      </c>
      <c r="K157" s="153" t="s">
        <v>59</v>
      </c>
      <c r="L157" s="155">
        <v>38944</v>
      </c>
      <c r="M157" s="153">
        <v>19</v>
      </c>
      <c r="N157" s="153" t="s">
        <v>2840</v>
      </c>
      <c r="O157" s="155">
        <v>46491</v>
      </c>
      <c r="P157" s="153" t="s">
        <v>5</v>
      </c>
      <c r="Q157" s="153"/>
      <c r="R157" s="162">
        <v>45913</v>
      </c>
      <c r="S157" s="163">
        <v>45918</v>
      </c>
      <c r="T157" s="164">
        <f t="shared" si="2"/>
        <v>5</v>
      </c>
      <c r="U157" s="153">
        <v>1</v>
      </c>
      <c r="V157" s="153">
        <v>1</v>
      </c>
      <c r="W157" s="153">
        <v>0</v>
      </c>
      <c r="X157" s="153">
        <v>0</v>
      </c>
      <c r="Y157" s="153">
        <v>0</v>
      </c>
      <c r="Z157" s="153">
        <v>0</v>
      </c>
      <c r="AA157" s="153">
        <v>0</v>
      </c>
      <c r="AB157" s="153"/>
      <c r="AC157" s="155">
        <v>45913</v>
      </c>
      <c r="AD157" s="156">
        <v>0.1875</v>
      </c>
      <c r="AE157" s="153" t="s">
        <v>220</v>
      </c>
      <c r="AF157" s="155">
        <v>45918</v>
      </c>
      <c r="AG157" s="156">
        <v>0.87152777778101154</v>
      </c>
      <c r="AH157" s="153" t="s">
        <v>102</v>
      </c>
      <c r="AI157" s="153" t="s">
        <v>2315</v>
      </c>
      <c r="AJ157" s="153" t="s">
        <v>64</v>
      </c>
      <c r="AK157" s="153" t="s">
        <v>64</v>
      </c>
      <c r="AL157" s="153" t="s">
        <v>2306</v>
      </c>
      <c r="AM157" s="149" t="s">
        <v>65</v>
      </c>
      <c r="AN157" s="158"/>
      <c r="AO157" s="159"/>
      <c r="AQ157"/>
      <c r="AR157"/>
      <c r="AS157"/>
      <c r="AT157"/>
      <c r="AU157"/>
    </row>
    <row r="158" spans="1:47" s="151" customFormat="1" ht="14.25" customHeight="1">
      <c r="A158" s="139"/>
      <c r="B158" s="139"/>
      <c r="C158" s="152">
        <f>IF($X158=1,COUNTIF($C$10:C157,"&gt;0")+1,"")</f>
        <v>73</v>
      </c>
      <c r="D158" s="322">
        <v>75986593</v>
      </c>
      <c r="E158" s="153" t="s">
        <v>2309</v>
      </c>
      <c r="F158" s="154" t="s">
        <v>2841</v>
      </c>
      <c r="G158" s="153" t="s">
        <v>2841</v>
      </c>
      <c r="H158" s="153" t="s">
        <v>2842</v>
      </c>
      <c r="I158" s="153" t="s">
        <v>2843</v>
      </c>
      <c r="J158" s="153" t="s">
        <v>68</v>
      </c>
      <c r="K158" s="153" t="s">
        <v>59</v>
      </c>
      <c r="L158" s="155">
        <v>29584</v>
      </c>
      <c r="M158" s="153">
        <v>44</v>
      </c>
      <c r="N158" s="153" t="s">
        <v>2844</v>
      </c>
      <c r="O158" s="155">
        <v>46491</v>
      </c>
      <c r="P158" s="153" t="s">
        <v>4</v>
      </c>
      <c r="Q158" s="153"/>
      <c r="R158" s="162">
        <v>45913</v>
      </c>
      <c r="S158" s="163">
        <v>45918</v>
      </c>
      <c r="T158" s="164">
        <f t="shared" si="2"/>
        <v>5</v>
      </c>
      <c r="U158" s="153">
        <v>1</v>
      </c>
      <c r="V158" s="153">
        <v>1</v>
      </c>
      <c r="W158" s="153">
        <v>0</v>
      </c>
      <c r="X158" s="153">
        <v>1</v>
      </c>
      <c r="Y158" s="153">
        <v>0</v>
      </c>
      <c r="Z158" s="153">
        <v>1</v>
      </c>
      <c r="AA158" s="153">
        <v>0</v>
      </c>
      <c r="AB158" s="153"/>
      <c r="AC158" s="155">
        <v>45913</v>
      </c>
      <c r="AD158" s="156">
        <v>0.72222222221898846</v>
      </c>
      <c r="AE158" s="153" t="s">
        <v>164</v>
      </c>
      <c r="AF158" s="155">
        <v>45918</v>
      </c>
      <c r="AG158" s="156">
        <v>0.66666666666424135</v>
      </c>
      <c r="AH158" s="153" t="s">
        <v>165</v>
      </c>
      <c r="AI158" s="153" t="s">
        <v>2315</v>
      </c>
      <c r="AJ158" s="153" t="s">
        <v>64</v>
      </c>
      <c r="AK158" s="153" t="s">
        <v>64</v>
      </c>
      <c r="AL158" s="153" t="s">
        <v>2306</v>
      </c>
      <c r="AM158" s="149" t="s">
        <v>65</v>
      </c>
      <c r="AN158" s="158"/>
      <c r="AO158" s="159"/>
      <c r="AQ158"/>
      <c r="AR158"/>
      <c r="AS158"/>
      <c r="AT158"/>
      <c r="AU158"/>
    </row>
    <row r="159" spans="1:47" s="151" customFormat="1" ht="14.25" customHeight="1">
      <c r="A159" s="139"/>
      <c r="B159" s="139"/>
      <c r="C159" s="152" t="str">
        <f>IF($X159=1,COUNTIF($C$10:C158,"&gt;0")+1,"")</f>
        <v/>
      </c>
      <c r="D159" s="323"/>
      <c r="E159" s="153" t="s">
        <v>2309</v>
      </c>
      <c r="F159" s="154" t="s">
        <v>2845</v>
      </c>
      <c r="G159" s="153" t="s">
        <v>2841</v>
      </c>
      <c r="H159" s="153" t="s">
        <v>2846</v>
      </c>
      <c r="I159" s="153" t="s">
        <v>2843</v>
      </c>
      <c r="J159" s="153" t="s">
        <v>58</v>
      </c>
      <c r="K159" s="153" t="s">
        <v>59</v>
      </c>
      <c r="L159" s="155">
        <v>29263</v>
      </c>
      <c r="M159" s="153">
        <v>45</v>
      </c>
      <c r="N159" s="153" t="s">
        <v>2847</v>
      </c>
      <c r="O159" s="155">
        <v>48520</v>
      </c>
      <c r="P159" s="153" t="s">
        <v>4</v>
      </c>
      <c r="Q159" s="153"/>
      <c r="R159" s="162">
        <v>45913</v>
      </c>
      <c r="S159" s="163">
        <v>45918</v>
      </c>
      <c r="T159" s="164">
        <f t="shared" si="2"/>
        <v>5</v>
      </c>
      <c r="U159" s="153">
        <v>1</v>
      </c>
      <c r="V159" s="153">
        <v>1</v>
      </c>
      <c r="W159" s="153">
        <v>0</v>
      </c>
      <c r="X159" s="153">
        <v>0</v>
      </c>
      <c r="Y159" s="153">
        <v>0</v>
      </c>
      <c r="Z159" s="153">
        <v>0</v>
      </c>
      <c r="AA159" s="153">
        <v>0</v>
      </c>
      <c r="AB159" s="153"/>
      <c r="AC159" s="155">
        <v>45913</v>
      </c>
      <c r="AD159" s="156">
        <v>0.72222222221898846</v>
      </c>
      <c r="AE159" s="153" t="s">
        <v>164</v>
      </c>
      <c r="AF159" s="155">
        <v>45918</v>
      </c>
      <c r="AG159" s="156">
        <v>0.66666666666424135</v>
      </c>
      <c r="AH159" s="153" t="s">
        <v>165</v>
      </c>
      <c r="AI159" s="153" t="s">
        <v>2315</v>
      </c>
      <c r="AJ159" s="153" t="s">
        <v>64</v>
      </c>
      <c r="AK159" s="153" t="s">
        <v>64</v>
      </c>
      <c r="AL159" s="153" t="s">
        <v>2306</v>
      </c>
      <c r="AM159" s="149" t="s">
        <v>65</v>
      </c>
      <c r="AN159" s="158"/>
      <c r="AO159" s="159"/>
      <c r="AQ159"/>
      <c r="AR159"/>
      <c r="AS159"/>
      <c r="AT159"/>
      <c r="AU159"/>
    </row>
    <row r="160" spans="1:47" s="151" customFormat="1" ht="14.25" customHeight="1">
      <c r="A160" s="139"/>
      <c r="B160" s="139"/>
      <c r="C160" s="152">
        <f>IF($X160=1,COUNTIF($C$10:C159,"&gt;0")+1,"")</f>
        <v>74</v>
      </c>
      <c r="D160" s="322">
        <v>30148255</v>
      </c>
      <c r="E160" s="153" t="s">
        <v>2309</v>
      </c>
      <c r="F160" s="154" t="s">
        <v>2848</v>
      </c>
      <c r="G160" s="153" t="s">
        <v>2841</v>
      </c>
      <c r="H160" s="153" t="s">
        <v>2849</v>
      </c>
      <c r="I160" s="153" t="s">
        <v>2850</v>
      </c>
      <c r="J160" s="153" t="s">
        <v>58</v>
      </c>
      <c r="K160" s="153" t="s">
        <v>59</v>
      </c>
      <c r="L160" s="155">
        <v>32350</v>
      </c>
      <c r="M160" s="153">
        <v>37</v>
      </c>
      <c r="N160" s="153" t="s">
        <v>2851</v>
      </c>
      <c r="O160" s="155">
        <v>46369</v>
      </c>
      <c r="P160" s="153" t="s">
        <v>4</v>
      </c>
      <c r="Q160" s="153"/>
      <c r="R160" s="162">
        <v>45913</v>
      </c>
      <c r="S160" s="163">
        <v>45918</v>
      </c>
      <c r="T160" s="164">
        <f t="shared" si="2"/>
        <v>5</v>
      </c>
      <c r="U160" s="153">
        <v>1</v>
      </c>
      <c r="V160" s="153">
        <v>1</v>
      </c>
      <c r="W160" s="153">
        <v>0</v>
      </c>
      <c r="X160" s="153">
        <v>1</v>
      </c>
      <c r="Y160" s="153">
        <v>0</v>
      </c>
      <c r="Z160" s="153">
        <v>1</v>
      </c>
      <c r="AA160" s="153">
        <v>0</v>
      </c>
      <c r="AB160" s="153"/>
      <c r="AC160" s="155">
        <v>45913</v>
      </c>
      <c r="AD160" s="156">
        <v>0.72222222221898846</v>
      </c>
      <c r="AE160" s="153" t="s">
        <v>2852</v>
      </c>
      <c r="AF160" s="155">
        <v>45918</v>
      </c>
      <c r="AG160" s="156">
        <v>0.42361111110949423</v>
      </c>
      <c r="AH160" s="153" t="s">
        <v>2113</v>
      </c>
      <c r="AI160" s="153" t="s">
        <v>2315</v>
      </c>
      <c r="AJ160" s="153" t="s">
        <v>64</v>
      </c>
      <c r="AK160" s="153" t="s">
        <v>64</v>
      </c>
      <c r="AL160" s="153" t="s">
        <v>2306</v>
      </c>
      <c r="AM160" s="149" t="s">
        <v>65</v>
      </c>
      <c r="AN160" s="158"/>
      <c r="AO160" s="159"/>
      <c r="AQ160"/>
      <c r="AR160"/>
      <c r="AS160"/>
      <c r="AT160"/>
      <c r="AU160"/>
    </row>
    <row r="161" spans="1:47" s="151" customFormat="1" ht="14.25" customHeight="1">
      <c r="A161" s="139"/>
      <c r="B161" s="139"/>
      <c r="C161" s="152" t="str">
        <f>IF($X161=1,COUNTIF($C$10:C160,"&gt;0")+1,"")</f>
        <v/>
      </c>
      <c r="D161" s="324"/>
      <c r="E161" s="153" t="s">
        <v>2309</v>
      </c>
      <c r="F161" s="154" t="s">
        <v>2853</v>
      </c>
      <c r="G161" s="153" t="s">
        <v>2841</v>
      </c>
      <c r="H161" s="153" t="s">
        <v>2854</v>
      </c>
      <c r="I161" s="153" t="s">
        <v>2850</v>
      </c>
      <c r="J161" s="153" t="s">
        <v>68</v>
      </c>
      <c r="K161" s="153" t="s">
        <v>2855</v>
      </c>
      <c r="L161" s="155">
        <v>33680</v>
      </c>
      <c r="M161" s="153">
        <v>33</v>
      </c>
      <c r="N161" s="153" t="s">
        <v>2856</v>
      </c>
      <c r="O161" s="155">
        <v>48022</v>
      </c>
      <c r="P161" s="153" t="s">
        <v>4</v>
      </c>
      <c r="Q161" s="153"/>
      <c r="R161" s="162">
        <v>45913</v>
      </c>
      <c r="S161" s="163">
        <v>45918</v>
      </c>
      <c r="T161" s="164">
        <f t="shared" si="2"/>
        <v>5</v>
      </c>
      <c r="U161" s="153">
        <v>1</v>
      </c>
      <c r="V161" s="153">
        <v>1</v>
      </c>
      <c r="W161" s="153">
        <v>0</v>
      </c>
      <c r="X161" s="153">
        <v>0</v>
      </c>
      <c r="Y161" s="153">
        <v>0</v>
      </c>
      <c r="Z161" s="153">
        <v>0</v>
      </c>
      <c r="AA161" s="153">
        <v>0</v>
      </c>
      <c r="AB161" s="153"/>
      <c r="AC161" s="155">
        <v>45913</v>
      </c>
      <c r="AD161" s="156">
        <v>0.72222222221898846</v>
      </c>
      <c r="AE161" s="153" t="s">
        <v>2852</v>
      </c>
      <c r="AF161" s="155">
        <v>45918</v>
      </c>
      <c r="AG161" s="156">
        <v>0.42361111110949423</v>
      </c>
      <c r="AH161" s="153" t="s">
        <v>2113</v>
      </c>
      <c r="AI161" s="153" t="s">
        <v>2315</v>
      </c>
      <c r="AJ161" s="153" t="s">
        <v>64</v>
      </c>
      <c r="AK161" s="153" t="s">
        <v>64</v>
      </c>
      <c r="AL161" s="153" t="s">
        <v>2306</v>
      </c>
      <c r="AM161" s="149" t="s">
        <v>65</v>
      </c>
      <c r="AN161" s="158"/>
      <c r="AO161" s="159"/>
      <c r="AQ161"/>
      <c r="AR161"/>
      <c r="AS161"/>
      <c r="AT161"/>
      <c r="AU161"/>
    </row>
    <row r="162" spans="1:47" s="151" customFormat="1" ht="14.25" customHeight="1">
      <c r="A162" s="139"/>
      <c r="B162" s="139"/>
      <c r="C162" s="152" t="str">
        <f>IF($X162=1,COUNTIF($C$10:C161,"&gt;0")+1,"")</f>
        <v/>
      </c>
      <c r="D162" s="323"/>
      <c r="E162" s="153" t="s">
        <v>2309</v>
      </c>
      <c r="F162" s="154" t="s">
        <v>2857</v>
      </c>
      <c r="G162" s="153" t="s">
        <v>2841</v>
      </c>
      <c r="H162" s="153" t="s">
        <v>2858</v>
      </c>
      <c r="I162" s="153" t="s">
        <v>2850</v>
      </c>
      <c r="J162" s="153" t="s">
        <v>68</v>
      </c>
      <c r="K162" s="153" t="s">
        <v>59</v>
      </c>
      <c r="L162" s="155">
        <v>45253</v>
      </c>
      <c r="M162" s="153">
        <v>1</v>
      </c>
      <c r="N162" s="153" t="s">
        <v>2859</v>
      </c>
      <c r="O162" s="155">
        <v>47182</v>
      </c>
      <c r="P162" s="153" t="s">
        <v>4</v>
      </c>
      <c r="Q162" s="153"/>
      <c r="R162" s="162">
        <v>45913</v>
      </c>
      <c r="S162" s="163">
        <v>45918</v>
      </c>
      <c r="T162" s="164">
        <f t="shared" si="2"/>
        <v>5</v>
      </c>
      <c r="U162" s="153">
        <v>0</v>
      </c>
      <c r="V162" s="153">
        <v>0</v>
      </c>
      <c r="W162" s="153">
        <v>0</v>
      </c>
      <c r="X162" s="153">
        <v>0</v>
      </c>
      <c r="Y162" s="153">
        <v>0</v>
      </c>
      <c r="Z162" s="153">
        <v>0</v>
      </c>
      <c r="AA162" s="153">
        <v>0</v>
      </c>
      <c r="AB162" s="153"/>
      <c r="AC162" s="155">
        <v>45913</v>
      </c>
      <c r="AD162" s="156">
        <v>0.72222222221898846</v>
      </c>
      <c r="AE162" s="153" t="s">
        <v>2852</v>
      </c>
      <c r="AF162" s="155">
        <v>45918</v>
      </c>
      <c r="AG162" s="156">
        <v>0.42361111110949423</v>
      </c>
      <c r="AH162" s="153" t="s">
        <v>2113</v>
      </c>
      <c r="AI162" s="153" t="s">
        <v>2315</v>
      </c>
      <c r="AJ162" s="153" t="s">
        <v>64</v>
      </c>
      <c r="AK162" s="153" t="s">
        <v>64</v>
      </c>
      <c r="AL162" s="153" t="s">
        <v>2306</v>
      </c>
      <c r="AM162" s="149" t="s">
        <v>65</v>
      </c>
      <c r="AN162" s="158"/>
      <c r="AO162" s="159"/>
      <c r="AQ162"/>
      <c r="AR162"/>
      <c r="AS162"/>
      <c r="AT162"/>
      <c r="AU162"/>
    </row>
    <row r="163" spans="1:47" s="151" customFormat="1" ht="14.25" customHeight="1">
      <c r="A163" s="139"/>
      <c r="B163" s="139"/>
      <c r="C163" s="152">
        <f>IF($X163=1,COUNTIF($C$10:C162,"&gt;0")+1,"")</f>
        <v>75</v>
      </c>
      <c r="D163" s="322">
        <v>75986628</v>
      </c>
      <c r="E163" s="153" t="s">
        <v>2309</v>
      </c>
      <c r="F163" s="154" t="s">
        <v>2860</v>
      </c>
      <c r="G163" s="153" t="s">
        <v>2860</v>
      </c>
      <c r="H163" s="153" t="s">
        <v>2861</v>
      </c>
      <c r="I163" s="153" t="s">
        <v>1960</v>
      </c>
      <c r="J163" s="153" t="s">
        <v>58</v>
      </c>
      <c r="K163" s="153" t="s">
        <v>59</v>
      </c>
      <c r="L163" s="155">
        <v>20090</v>
      </c>
      <c r="M163" s="153">
        <v>70</v>
      </c>
      <c r="N163" s="153" t="s">
        <v>2862</v>
      </c>
      <c r="O163" s="155">
        <v>48153</v>
      </c>
      <c r="P163" s="153" t="s">
        <v>4</v>
      </c>
      <c r="Q163" s="153"/>
      <c r="R163" s="162">
        <v>45913</v>
      </c>
      <c r="S163" s="163">
        <v>45918</v>
      </c>
      <c r="T163" s="164">
        <f t="shared" si="2"/>
        <v>5</v>
      </c>
      <c r="U163" s="153">
        <v>1</v>
      </c>
      <c r="V163" s="153">
        <v>1</v>
      </c>
      <c r="W163" s="153">
        <v>0</v>
      </c>
      <c r="X163" s="153">
        <v>1</v>
      </c>
      <c r="Y163" s="153">
        <v>0</v>
      </c>
      <c r="Z163" s="153">
        <v>1</v>
      </c>
      <c r="AA163" s="153">
        <v>0</v>
      </c>
      <c r="AB163" s="153"/>
      <c r="AC163" s="155">
        <v>45913</v>
      </c>
      <c r="AD163" s="156">
        <v>0.18055555555474712</v>
      </c>
      <c r="AE163" s="153" t="s">
        <v>95</v>
      </c>
      <c r="AF163" s="155">
        <v>45918</v>
      </c>
      <c r="AG163" s="156">
        <v>0.80555555555474712</v>
      </c>
      <c r="AH163" s="153" t="s">
        <v>2863</v>
      </c>
      <c r="AI163" s="153" t="s">
        <v>2315</v>
      </c>
      <c r="AJ163" s="153" t="s">
        <v>64</v>
      </c>
      <c r="AK163" s="153" t="s">
        <v>2696</v>
      </c>
      <c r="AL163" s="153" t="s">
        <v>2306</v>
      </c>
      <c r="AM163" s="149" t="s">
        <v>65</v>
      </c>
      <c r="AN163" s="158"/>
      <c r="AO163" s="159"/>
      <c r="AQ163"/>
      <c r="AR163"/>
      <c r="AS163"/>
      <c r="AT163"/>
      <c r="AU163"/>
    </row>
    <row r="164" spans="1:47" s="151" customFormat="1" ht="14.25" customHeight="1">
      <c r="A164" s="139"/>
      <c r="B164" s="139"/>
      <c r="C164" s="152" t="str">
        <f>IF($X164=1,COUNTIF($C$10:C163,"&gt;0")+1,"")</f>
        <v/>
      </c>
      <c r="D164" s="323"/>
      <c r="E164" s="153" t="s">
        <v>2309</v>
      </c>
      <c r="F164" s="154" t="s">
        <v>2864</v>
      </c>
      <c r="G164" s="153" t="s">
        <v>2860</v>
      </c>
      <c r="H164" s="153" t="s">
        <v>2865</v>
      </c>
      <c r="I164" s="153" t="s">
        <v>1376</v>
      </c>
      <c r="J164" s="153" t="s">
        <v>68</v>
      </c>
      <c r="K164" s="153" t="s">
        <v>59</v>
      </c>
      <c r="L164" s="155">
        <v>23918</v>
      </c>
      <c r="M164" s="153">
        <v>60</v>
      </c>
      <c r="N164" s="153" t="s">
        <v>2866</v>
      </c>
      <c r="O164" s="155">
        <v>48463</v>
      </c>
      <c r="P164" s="153" t="s">
        <v>4</v>
      </c>
      <c r="Q164" s="153"/>
      <c r="R164" s="162">
        <v>45913</v>
      </c>
      <c r="S164" s="163">
        <v>45918</v>
      </c>
      <c r="T164" s="164">
        <f t="shared" si="2"/>
        <v>5</v>
      </c>
      <c r="U164" s="153">
        <v>1</v>
      </c>
      <c r="V164" s="153">
        <v>1</v>
      </c>
      <c r="W164" s="153">
        <v>0</v>
      </c>
      <c r="X164" s="153">
        <v>0</v>
      </c>
      <c r="Y164" s="153">
        <v>0</v>
      </c>
      <c r="Z164" s="153">
        <v>0</v>
      </c>
      <c r="AA164" s="153">
        <v>0</v>
      </c>
      <c r="AB164" s="153"/>
      <c r="AC164" s="155">
        <v>45913</v>
      </c>
      <c r="AD164" s="156">
        <v>0.18055555555474712</v>
      </c>
      <c r="AE164" s="153" t="s">
        <v>95</v>
      </c>
      <c r="AF164" s="155">
        <v>45918</v>
      </c>
      <c r="AG164" s="156">
        <v>0.80555555555474712</v>
      </c>
      <c r="AH164" s="153" t="s">
        <v>2863</v>
      </c>
      <c r="AI164" s="153" t="s">
        <v>2315</v>
      </c>
      <c r="AJ164" s="153" t="s">
        <v>64</v>
      </c>
      <c r="AK164" s="153" t="s">
        <v>64</v>
      </c>
      <c r="AL164" s="153" t="s">
        <v>2306</v>
      </c>
      <c r="AM164" s="149" t="s">
        <v>65</v>
      </c>
      <c r="AN164" s="158"/>
      <c r="AO164" s="159"/>
      <c r="AQ164"/>
      <c r="AR164"/>
      <c r="AS164"/>
      <c r="AT164"/>
      <c r="AU164"/>
    </row>
    <row r="165" spans="1:47" s="151" customFormat="1" ht="14.25" customHeight="1">
      <c r="A165" s="139"/>
      <c r="B165" s="139"/>
      <c r="C165" s="152">
        <f>IF($X165=1,COUNTIF($C$10:C164,"&gt;0")+1,"")</f>
        <v>76</v>
      </c>
      <c r="D165" s="322">
        <v>75986641</v>
      </c>
      <c r="E165" s="153" t="s">
        <v>2309</v>
      </c>
      <c r="F165" s="154" t="s">
        <v>2867</v>
      </c>
      <c r="G165" s="153" t="s">
        <v>2860</v>
      </c>
      <c r="H165" s="153" t="s">
        <v>2868</v>
      </c>
      <c r="I165" s="153" t="s">
        <v>1960</v>
      </c>
      <c r="J165" s="153" t="s">
        <v>68</v>
      </c>
      <c r="K165" s="153" t="s">
        <v>59</v>
      </c>
      <c r="L165" s="155">
        <v>36324</v>
      </c>
      <c r="M165" s="153">
        <v>26</v>
      </c>
      <c r="N165" s="153" t="s">
        <v>2869</v>
      </c>
      <c r="O165" s="155">
        <v>46995</v>
      </c>
      <c r="P165" s="153" t="s">
        <v>5</v>
      </c>
      <c r="Q165" s="153"/>
      <c r="R165" s="162">
        <v>45913</v>
      </c>
      <c r="S165" s="163">
        <v>45918</v>
      </c>
      <c r="T165" s="164">
        <f t="shared" si="2"/>
        <v>5</v>
      </c>
      <c r="U165" s="153">
        <v>1</v>
      </c>
      <c r="V165" s="153">
        <v>1</v>
      </c>
      <c r="W165" s="153">
        <v>0</v>
      </c>
      <c r="X165" s="153">
        <v>1</v>
      </c>
      <c r="Y165" s="153">
        <v>0</v>
      </c>
      <c r="Z165" s="153">
        <v>0</v>
      </c>
      <c r="AA165" s="153">
        <v>1</v>
      </c>
      <c r="AB165" s="153"/>
      <c r="AC165" s="155">
        <v>45909</v>
      </c>
      <c r="AD165" s="156">
        <v>0.1875</v>
      </c>
      <c r="AE165" s="153" t="s">
        <v>220</v>
      </c>
      <c r="AF165" s="155">
        <v>45918</v>
      </c>
      <c r="AG165" s="156">
        <v>0.77083333333575865</v>
      </c>
      <c r="AH165" s="153" t="s">
        <v>2870</v>
      </c>
      <c r="AI165" s="153" t="s">
        <v>2315</v>
      </c>
      <c r="AJ165" s="153" t="s">
        <v>64</v>
      </c>
      <c r="AK165" s="153" t="s">
        <v>64</v>
      </c>
      <c r="AL165" s="153" t="s">
        <v>2306</v>
      </c>
      <c r="AM165" s="149" t="s">
        <v>65</v>
      </c>
      <c r="AN165" s="158"/>
      <c r="AO165" s="159"/>
      <c r="AQ165"/>
      <c r="AR165"/>
      <c r="AS165"/>
      <c r="AT165"/>
      <c r="AU165"/>
    </row>
    <row r="166" spans="1:47" s="151" customFormat="1" ht="14.25" customHeight="1">
      <c r="A166" s="139"/>
      <c r="B166" s="139"/>
      <c r="C166" s="152" t="str">
        <f>IF($X166=1,COUNTIF($C$10:C165,"&gt;0")+1,"")</f>
        <v/>
      </c>
      <c r="D166" s="323"/>
      <c r="E166" s="153" t="s">
        <v>2309</v>
      </c>
      <c r="F166" s="154" t="s">
        <v>2871</v>
      </c>
      <c r="G166" s="153" t="s">
        <v>2860</v>
      </c>
      <c r="H166" s="153" t="s">
        <v>2872</v>
      </c>
      <c r="I166" s="153" t="s">
        <v>1818</v>
      </c>
      <c r="J166" s="153" t="s">
        <v>68</v>
      </c>
      <c r="K166" s="153" t="s">
        <v>59</v>
      </c>
      <c r="L166" s="155">
        <v>32746</v>
      </c>
      <c r="M166" s="153">
        <v>36</v>
      </c>
      <c r="N166" s="153" t="s">
        <v>2873</v>
      </c>
      <c r="O166" s="155">
        <v>48595</v>
      </c>
      <c r="P166" s="153" t="s">
        <v>5</v>
      </c>
      <c r="Q166" s="153"/>
      <c r="R166" s="162">
        <v>45913</v>
      </c>
      <c r="S166" s="163">
        <v>45918</v>
      </c>
      <c r="T166" s="164">
        <f t="shared" si="2"/>
        <v>5</v>
      </c>
      <c r="U166" s="153">
        <v>1</v>
      </c>
      <c r="V166" s="153">
        <v>1</v>
      </c>
      <c r="W166" s="153">
        <v>0</v>
      </c>
      <c r="X166" s="153">
        <v>0</v>
      </c>
      <c r="Y166" s="153">
        <v>0</v>
      </c>
      <c r="Z166" s="153">
        <v>0</v>
      </c>
      <c r="AA166" s="153">
        <v>0</v>
      </c>
      <c r="AB166" s="153"/>
      <c r="AC166" s="155">
        <v>45913</v>
      </c>
      <c r="AD166" s="156">
        <v>0.18055555555474712</v>
      </c>
      <c r="AE166" s="153" t="s">
        <v>95</v>
      </c>
      <c r="AF166" s="155">
        <v>45918</v>
      </c>
      <c r="AG166" s="156">
        <v>0.80555555555474712</v>
      </c>
      <c r="AH166" s="153" t="s">
        <v>2863</v>
      </c>
      <c r="AI166" s="153" t="s">
        <v>2315</v>
      </c>
      <c r="AJ166" s="153" t="s">
        <v>64</v>
      </c>
      <c r="AK166" s="153" t="s">
        <v>64</v>
      </c>
      <c r="AL166" s="153" t="s">
        <v>2306</v>
      </c>
      <c r="AM166" s="149" t="s">
        <v>65</v>
      </c>
      <c r="AN166" s="158"/>
      <c r="AO166" s="159"/>
      <c r="AQ166"/>
      <c r="AR166"/>
      <c r="AS166"/>
      <c r="AT166"/>
      <c r="AU166"/>
    </row>
    <row r="167" spans="1:47" s="151" customFormat="1" ht="14.25" customHeight="1">
      <c r="A167" s="139"/>
      <c r="B167" s="139"/>
      <c r="C167" s="152">
        <f>IF($X167=1,COUNTIF($C$10:C166,"&gt;0")+1,"")</f>
        <v>77</v>
      </c>
      <c r="D167" s="322">
        <v>75986667</v>
      </c>
      <c r="E167" s="153" t="s">
        <v>2309</v>
      </c>
      <c r="F167" s="154" t="s">
        <v>2874</v>
      </c>
      <c r="G167" s="153" t="s">
        <v>2860</v>
      </c>
      <c r="H167" s="153" t="s">
        <v>2875</v>
      </c>
      <c r="I167" s="153" t="s">
        <v>2876</v>
      </c>
      <c r="J167" s="153" t="s">
        <v>58</v>
      </c>
      <c r="K167" s="153" t="s">
        <v>59</v>
      </c>
      <c r="L167" s="155">
        <v>36301</v>
      </c>
      <c r="M167" s="153">
        <v>26</v>
      </c>
      <c r="N167" s="153" t="s">
        <v>2877</v>
      </c>
      <c r="O167" s="155">
        <v>47148</v>
      </c>
      <c r="P167" s="153" t="s">
        <v>5</v>
      </c>
      <c r="Q167" s="153"/>
      <c r="R167" s="162">
        <v>45913</v>
      </c>
      <c r="S167" s="163">
        <v>45918</v>
      </c>
      <c r="T167" s="164">
        <f t="shared" si="2"/>
        <v>5</v>
      </c>
      <c r="U167" s="153">
        <v>1</v>
      </c>
      <c r="V167" s="153">
        <v>1</v>
      </c>
      <c r="W167" s="153">
        <v>0</v>
      </c>
      <c r="X167" s="153">
        <v>1</v>
      </c>
      <c r="Y167" s="153">
        <v>0</v>
      </c>
      <c r="Z167" s="153">
        <v>0</v>
      </c>
      <c r="AA167" s="153">
        <v>1</v>
      </c>
      <c r="AB167" s="153"/>
      <c r="AC167" s="155">
        <v>45913</v>
      </c>
      <c r="AD167" s="156">
        <v>0.625</v>
      </c>
      <c r="AE167" s="153" t="s">
        <v>74</v>
      </c>
      <c r="AF167" s="155">
        <v>45918</v>
      </c>
      <c r="AG167" s="156">
        <v>0.47916666666424135</v>
      </c>
      <c r="AH167" s="153" t="s">
        <v>189</v>
      </c>
      <c r="AI167" s="153" t="s">
        <v>2315</v>
      </c>
      <c r="AJ167" s="153" t="s">
        <v>64</v>
      </c>
      <c r="AK167" s="153" t="s">
        <v>64</v>
      </c>
      <c r="AL167" s="153" t="s">
        <v>2306</v>
      </c>
      <c r="AM167" s="149" t="s">
        <v>65</v>
      </c>
      <c r="AN167" s="158"/>
      <c r="AO167" s="159"/>
      <c r="AQ167"/>
      <c r="AR167"/>
      <c r="AS167"/>
      <c r="AT167"/>
      <c r="AU167"/>
    </row>
    <row r="168" spans="1:47" s="151" customFormat="1" ht="14.25" customHeight="1">
      <c r="A168" s="139"/>
      <c r="B168" s="139"/>
      <c r="C168" s="152" t="str">
        <f>IF($X168=1,COUNTIF($C$10:C167,"&gt;0")+1,"")</f>
        <v/>
      </c>
      <c r="D168" s="323"/>
      <c r="E168" s="153" t="s">
        <v>2309</v>
      </c>
      <c r="F168" s="154" t="s">
        <v>2878</v>
      </c>
      <c r="G168" s="153" t="s">
        <v>2860</v>
      </c>
      <c r="H168" s="153" t="s">
        <v>2879</v>
      </c>
      <c r="I168" s="153" t="s">
        <v>1376</v>
      </c>
      <c r="J168" s="153" t="s">
        <v>58</v>
      </c>
      <c r="K168" s="153" t="s">
        <v>59</v>
      </c>
      <c r="L168" s="155">
        <v>37606</v>
      </c>
      <c r="M168" s="153">
        <v>22</v>
      </c>
      <c r="N168" s="153" t="s">
        <v>2880</v>
      </c>
      <c r="O168" s="155">
        <v>48099</v>
      </c>
      <c r="P168" s="153" t="s">
        <v>5</v>
      </c>
      <c r="Q168" s="153"/>
      <c r="R168" s="162">
        <v>45913</v>
      </c>
      <c r="S168" s="163">
        <v>45918</v>
      </c>
      <c r="T168" s="164">
        <f t="shared" si="2"/>
        <v>5</v>
      </c>
      <c r="U168" s="153">
        <v>1</v>
      </c>
      <c r="V168" s="153">
        <v>1</v>
      </c>
      <c r="W168" s="153">
        <v>0</v>
      </c>
      <c r="X168" s="153">
        <v>0</v>
      </c>
      <c r="Y168" s="153">
        <v>0</v>
      </c>
      <c r="Z168" s="153">
        <v>0</v>
      </c>
      <c r="AA168" s="153">
        <v>0</v>
      </c>
      <c r="AB168" s="153"/>
      <c r="AC168" s="155">
        <v>45912</v>
      </c>
      <c r="AD168" s="156">
        <v>0.63888888889050577</v>
      </c>
      <c r="AE168" s="153" t="s">
        <v>84</v>
      </c>
      <c r="AF168" s="155">
        <v>45918</v>
      </c>
      <c r="AG168" s="156">
        <v>0.81944444444525288</v>
      </c>
      <c r="AH168" s="153" t="s">
        <v>770</v>
      </c>
      <c r="AI168" s="153" t="s">
        <v>2315</v>
      </c>
      <c r="AJ168" s="153" t="s">
        <v>64</v>
      </c>
      <c r="AK168" s="153" t="s">
        <v>64</v>
      </c>
      <c r="AL168" s="153" t="s">
        <v>2306</v>
      </c>
      <c r="AM168" s="149" t="s">
        <v>65</v>
      </c>
      <c r="AN168" s="158"/>
      <c r="AO168" s="159"/>
      <c r="AQ168"/>
      <c r="AR168"/>
      <c r="AS168"/>
      <c r="AT168"/>
      <c r="AU168"/>
    </row>
    <row r="169" spans="1:47" s="151" customFormat="1" ht="14.25" customHeight="1">
      <c r="A169" s="139"/>
      <c r="B169" s="139"/>
      <c r="C169" s="152">
        <f>IF($X169=1,COUNTIF($C$10:C168,"&gt;0")+1,"")</f>
        <v>78</v>
      </c>
      <c r="D169" s="322">
        <v>75986683</v>
      </c>
      <c r="E169" s="153" t="s">
        <v>2309</v>
      </c>
      <c r="F169" s="154" t="s">
        <v>2881</v>
      </c>
      <c r="G169" s="153" t="s">
        <v>2881</v>
      </c>
      <c r="H169" s="153" t="s">
        <v>2882</v>
      </c>
      <c r="I169" s="153" t="s">
        <v>2883</v>
      </c>
      <c r="J169" s="153" t="s">
        <v>68</v>
      </c>
      <c r="K169" s="153" t="s">
        <v>59</v>
      </c>
      <c r="L169" s="155">
        <v>24629</v>
      </c>
      <c r="M169" s="153">
        <v>58</v>
      </c>
      <c r="N169" s="153" t="s">
        <v>2884</v>
      </c>
      <c r="O169" s="155">
        <v>47023</v>
      </c>
      <c r="P169" s="153" t="s">
        <v>4</v>
      </c>
      <c r="Q169" s="153"/>
      <c r="R169" s="162">
        <v>45913</v>
      </c>
      <c r="S169" s="163">
        <v>45918</v>
      </c>
      <c r="T169" s="164">
        <f t="shared" si="2"/>
        <v>5</v>
      </c>
      <c r="U169" s="153">
        <v>1</v>
      </c>
      <c r="V169" s="153">
        <v>1</v>
      </c>
      <c r="W169" s="153">
        <v>0</v>
      </c>
      <c r="X169" s="153">
        <v>1</v>
      </c>
      <c r="Y169" s="153">
        <v>0</v>
      </c>
      <c r="Z169" s="153">
        <v>1</v>
      </c>
      <c r="AA169" s="153">
        <v>0</v>
      </c>
      <c r="AB169" s="153"/>
      <c r="AC169" s="155">
        <v>45913</v>
      </c>
      <c r="AD169" s="156">
        <v>0.18055555555474712</v>
      </c>
      <c r="AE169" s="153" t="s">
        <v>95</v>
      </c>
      <c r="AF169" s="155">
        <v>45922</v>
      </c>
      <c r="AG169" s="156">
        <v>0.70138888889050577</v>
      </c>
      <c r="AH169" s="153" t="s">
        <v>96</v>
      </c>
      <c r="AI169" s="153" t="s">
        <v>2315</v>
      </c>
      <c r="AJ169" s="153" t="s">
        <v>64</v>
      </c>
      <c r="AK169" s="153"/>
      <c r="AL169" s="153" t="s">
        <v>2306</v>
      </c>
      <c r="AM169" s="149" t="s">
        <v>65</v>
      </c>
      <c r="AN169" s="158"/>
      <c r="AO169" s="159"/>
      <c r="AQ169"/>
      <c r="AR169"/>
      <c r="AS169"/>
      <c r="AT169"/>
      <c r="AU169"/>
    </row>
    <row r="170" spans="1:47" s="151" customFormat="1" ht="14.25" customHeight="1">
      <c r="A170" s="139"/>
      <c r="B170" s="139"/>
      <c r="C170" s="152" t="str">
        <f>IF($X170=1,COUNTIF($C$10:C169,"&gt;0")+1,"")</f>
        <v/>
      </c>
      <c r="D170" s="323"/>
      <c r="E170" s="153" t="s">
        <v>2309</v>
      </c>
      <c r="F170" s="154" t="s">
        <v>2885</v>
      </c>
      <c r="G170" s="153" t="s">
        <v>2881</v>
      </c>
      <c r="H170" s="153" t="s">
        <v>2886</v>
      </c>
      <c r="I170" s="153" t="s">
        <v>2883</v>
      </c>
      <c r="J170" s="153" t="s">
        <v>58</v>
      </c>
      <c r="K170" s="153" t="s">
        <v>59</v>
      </c>
      <c r="L170" s="155">
        <v>19328</v>
      </c>
      <c r="M170" s="153">
        <v>72</v>
      </c>
      <c r="N170" s="153" t="s">
        <v>2887</v>
      </c>
      <c r="O170" s="155">
        <v>46244</v>
      </c>
      <c r="P170" s="153" t="s">
        <v>4</v>
      </c>
      <c r="Q170" s="153"/>
      <c r="R170" s="162">
        <v>45913</v>
      </c>
      <c r="S170" s="163">
        <v>45918</v>
      </c>
      <c r="T170" s="164">
        <f t="shared" si="2"/>
        <v>5</v>
      </c>
      <c r="U170" s="153">
        <v>1</v>
      </c>
      <c r="V170" s="153">
        <v>1</v>
      </c>
      <c r="W170" s="153">
        <v>0</v>
      </c>
      <c r="X170" s="153">
        <v>0</v>
      </c>
      <c r="Y170" s="153">
        <v>0</v>
      </c>
      <c r="Z170" s="153">
        <v>0</v>
      </c>
      <c r="AA170" s="153">
        <v>0</v>
      </c>
      <c r="AB170" s="153"/>
      <c r="AC170" s="155">
        <v>45913</v>
      </c>
      <c r="AD170" s="156">
        <v>0.18055555555474712</v>
      </c>
      <c r="AE170" s="153" t="s">
        <v>95</v>
      </c>
      <c r="AF170" s="155">
        <v>45922</v>
      </c>
      <c r="AG170" s="156">
        <v>0.70138888889050577</v>
      </c>
      <c r="AH170" s="153" t="s">
        <v>96</v>
      </c>
      <c r="AI170" s="153" t="s">
        <v>2315</v>
      </c>
      <c r="AJ170" s="153" t="s">
        <v>64</v>
      </c>
      <c r="AK170" s="153" t="s">
        <v>64</v>
      </c>
      <c r="AL170" s="153" t="s">
        <v>2306</v>
      </c>
      <c r="AM170" s="149" t="s">
        <v>65</v>
      </c>
      <c r="AN170" s="158"/>
      <c r="AO170" s="159"/>
      <c r="AQ170"/>
      <c r="AR170"/>
      <c r="AS170"/>
      <c r="AT170"/>
      <c r="AU170"/>
    </row>
    <row r="171" spans="1:47" s="151" customFormat="1" ht="14.25" customHeight="1">
      <c r="A171" s="139"/>
      <c r="B171" s="139"/>
      <c r="C171" s="152">
        <f>IF($X171=1,COUNTIF($C$10:C170,"&gt;0")+1,"")</f>
        <v>79</v>
      </c>
      <c r="D171" s="322">
        <v>75986717</v>
      </c>
      <c r="E171" s="153" t="s">
        <v>2309</v>
      </c>
      <c r="F171" s="154" t="s">
        <v>2888</v>
      </c>
      <c r="G171" s="153" t="s">
        <v>2888</v>
      </c>
      <c r="H171" s="153" t="s">
        <v>2889</v>
      </c>
      <c r="I171" s="153" t="s">
        <v>2876</v>
      </c>
      <c r="J171" s="153" t="s">
        <v>68</v>
      </c>
      <c r="K171" s="153" t="s">
        <v>59</v>
      </c>
      <c r="L171" s="155">
        <v>25015</v>
      </c>
      <c r="M171" s="153">
        <v>57</v>
      </c>
      <c r="N171" s="153" t="s">
        <v>2890</v>
      </c>
      <c r="O171" s="155">
        <v>46408</v>
      </c>
      <c r="P171" s="153" t="s">
        <v>4</v>
      </c>
      <c r="Q171" s="153"/>
      <c r="R171" s="162">
        <v>45913</v>
      </c>
      <c r="S171" s="163">
        <v>45918</v>
      </c>
      <c r="T171" s="164">
        <f t="shared" si="2"/>
        <v>5</v>
      </c>
      <c r="U171" s="153">
        <v>1</v>
      </c>
      <c r="V171" s="153">
        <v>1</v>
      </c>
      <c r="W171" s="153">
        <v>0</v>
      </c>
      <c r="X171" s="153">
        <v>1</v>
      </c>
      <c r="Y171" s="153">
        <v>0</v>
      </c>
      <c r="Z171" s="153">
        <v>1</v>
      </c>
      <c r="AA171" s="153">
        <v>0</v>
      </c>
      <c r="AB171" s="153"/>
      <c r="AC171" s="155">
        <v>45913</v>
      </c>
      <c r="AD171" s="156">
        <v>0.625</v>
      </c>
      <c r="AE171" s="153" t="s">
        <v>74</v>
      </c>
      <c r="AF171" s="155">
        <v>45918</v>
      </c>
      <c r="AG171" s="156">
        <v>0.47916666666424135</v>
      </c>
      <c r="AH171" s="153" t="s">
        <v>189</v>
      </c>
      <c r="AI171" s="153" t="s">
        <v>2315</v>
      </c>
      <c r="AJ171" s="153" t="s">
        <v>64</v>
      </c>
      <c r="AK171" s="153" t="s">
        <v>64</v>
      </c>
      <c r="AL171" s="153" t="s">
        <v>2306</v>
      </c>
      <c r="AM171" s="149" t="s">
        <v>65</v>
      </c>
      <c r="AN171" s="158"/>
      <c r="AO171" s="159"/>
      <c r="AQ171"/>
      <c r="AR171"/>
      <c r="AS171"/>
      <c r="AT171"/>
      <c r="AU171"/>
    </row>
    <row r="172" spans="1:47" s="151" customFormat="1" ht="14.25" customHeight="1">
      <c r="A172" s="139"/>
      <c r="B172" s="139"/>
      <c r="C172" s="152" t="str">
        <f>IF($X172=1,COUNTIF($C$10:C171,"&gt;0")+1,"")</f>
        <v/>
      </c>
      <c r="D172" s="323"/>
      <c r="E172" s="153" t="s">
        <v>2309</v>
      </c>
      <c r="F172" s="154" t="s">
        <v>2891</v>
      </c>
      <c r="G172" s="153" t="s">
        <v>2888</v>
      </c>
      <c r="H172" s="153" t="s">
        <v>2892</v>
      </c>
      <c r="I172" s="153" t="s">
        <v>2893</v>
      </c>
      <c r="J172" s="153" t="s">
        <v>58</v>
      </c>
      <c r="K172" s="153" t="s">
        <v>59</v>
      </c>
      <c r="L172" s="155">
        <v>27416</v>
      </c>
      <c r="M172" s="153">
        <v>50</v>
      </c>
      <c r="N172" s="153" t="s">
        <v>2894</v>
      </c>
      <c r="O172" s="155">
        <v>48203</v>
      </c>
      <c r="P172" s="153" t="s">
        <v>4</v>
      </c>
      <c r="Q172" s="153"/>
      <c r="R172" s="162">
        <v>45913</v>
      </c>
      <c r="S172" s="163">
        <v>45918</v>
      </c>
      <c r="T172" s="164">
        <f t="shared" si="2"/>
        <v>5</v>
      </c>
      <c r="U172" s="153">
        <v>1</v>
      </c>
      <c r="V172" s="153">
        <v>1</v>
      </c>
      <c r="W172" s="153">
        <v>0</v>
      </c>
      <c r="X172" s="153">
        <v>0</v>
      </c>
      <c r="Y172" s="153">
        <v>0</v>
      </c>
      <c r="Z172" s="153">
        <v>0</v>
      </c>
      <c r="AA172" s="153">
        <v>0</v>
      </c>
      <c r="AB172" s="153"/>
      <c r="AC172" s="155">
        <v>45913</v>
      </c>
      <c r="AD172" s="156">
        <v>0.625</v>
      </c>
      <c r="AE172" s="153" t="s">
        <v>74</v>
      </c>
      <c r="AF172" s="155">
        <v>45918</v>
      </c>
      <c r="AG172" s="156">
        <v>0.47916666666424135</v>
      </c>
      <c r="AH172" s="153" t="s">
        <v>189</v>
      </c>
      <c r="AI172" s="153" t="s">
        <v>2315</v>
      </c>
      <c r="AJ172" s="153" t="s">
        <v>64</v>
      </c>
      <c r="AK172" s="153" t="s">
        <v>64</v>
      </c>
      <c r="AL172" s="153" t="s">
        <v>2306</v>
      </c>
      <c r="AM172" s="149" t="s">
        <v>65</v>
      </c>
      <c r="AN172" s="158"/>
      <c r="AO172" s="159"/>
      <c r="AQ172"/>
      <c r="AR172"/>
      <c r="AS172"/>
      <c r="AT172"/>
      <c r="AU172"/>
    </row>
    <row r="173" spans="1:47" s="151" customFormat="1" ht="14.25" customHeight="1">
      <c r="A173" s="139"/>
      <c r="B173" s="139"/>
      <c r="C173" s="152">
        <f>IF($X173=1,COUNTIF($C$10:C172,"&gt;0")+1,"")</f>
        <v>80</v>
      </c>
      <c r="D173" s="322">
        <v>75986736</v>
      </c>
      <c r="E173" s="153" t="s">
        <v>2309</v>
      </c>
      <c r="F173" s="154" t="s">
        <v>2895</v>
      </c>
      <c r="G173" s="153" t="s">
        <v>2895</v>
      </c>
      <c r="H173" s="153" t="s">
        <v>1844</v>
      </c>
      <c r="I173" s="153" t="s">
        <v>1818</v>
      </c>
      <c r="J173" s="153" t="s">
        <v>68</v>
      </c>
      <c r="K173" s="153" t="s">
        <v>59</v>
      </c>
      <c r="L173" s="155">
        <v>22929</v>
      </c>
      <c r="M173" s="153">
        <v>62</v>
      </c>
      <c r="N173" s="153" t="s">
        <v>2896</v>
      </c>
      <c r="O173" s="155">
        <v>48239</v>
      </c>
      <c r="P173" s="153" t="s">
        <v>4</v>
      </c>
      <c r="Q173" s="153"/>
      <c r="R173" s="162">
        <v>45913</v>
      </c>
      <c r="S173" s="163">
        <v>45918</v>
      </c>
      <c r="T173" s="164">
        <f t="shared" si="2"/>
        <v>5</v>
      </c>
      <c r="U173" s="153">
        <v>1</v>
      </c>
      <c r="V173" s="153">
        <v>1</v>
      </c>
      <c r="W173" s="153">
        <v>0</v>
      </c>
      <c r="X173" s="153">
        <v>1</v>
      </c>
      <c r="Y173" s="153">
        <v>0</v>
      </c>
      <c r="Z173" s="153">
        <v>1</v>
      </c>
      <c r="AA173" s="153">
        <v>0</v>
      </c>
      <c r="AB173" s="153"/>
      <c r="AC173" s="155">
        <v>45913</v>
      </c>
      <c r="AD173" s="156">
        <v>0.625</v>
      </c>
      <c r="AE173" s="153" t="s">
        <v>74</v>
      </c>
      <c r="AF173" s="155">
        <v>45918</v>
      </c>
      <c r="AG173" s="156">
        <v>0.80555555555474712</v>
      </c>
      <c r="AH173" s="153" t="s">
        <v>2863</v>
      </c>
      <c r="AI173" s="153" t="s">
        <v>2315</v>
      </c>
      <c r="AJ173" s="153" t="s">
        <v>64</v>
      </c>
      <c r="AK173" s="153" t="s">
        <v>64</v>
      </c>
      <c r="AL173" s="153" t="s">
        <v>2306</v>
      </c>
      <c r="AM173" s="149" t="s">
        <v>65</v>
      </c>
      <c r="AN173" s="158"/>
      <c r="AO173" s="159"/>
      <c r="AQ173"/>
      <c r="AR173"/>
      <c r="AS173"/>
      <c r="AT173"/>
      <c r="AU173"/>
    </row>
    <row r="174" spans="1:47" s="151" customFormat="1" ht="14.25" customHeight="1">
      <c r="A174" s="139"/>
      <c r="B174" s="139"/>
      <c r="C174" s="152" t="str">
        <f>IF($X174=1,COUNTIF($C$10:C173,"&gt;0")+1,"")</f>
        <v/>
      </c>
      <c r="D174" s="323"/>
      <c r="E174" s="153" t="s">
        <v>2309</v>
      </c>
      <c r="F174" s="154" t="s">
        <v>2897</v>
      </c>
      <c r="G174" s="153" t="s">
        <v>2895</v>
      </c>
      <c r="H174" s="153" t="s">
        <v>2898</v>
      </c>
      <c r="I174" s="153" t="s">
        <v>1818</v>
      </c>
      <c r="J174" s="153" t="s">
        <v>58</v>
      </c>
      <c r="K174" s="153" t="s">
        <v>59</v>
      </c>
      <c r="L174" s="155">
        <v>21832</v>
      </c>
      <c r="M174" s="153">
        <v>65</v>
      </c>
      <c r="N174" s="153" t="s">
        <v>2899</v>
      </c>
      <c r="O174" s="155">
        <v>48239</v>
      </c>
      <c r="P174" s="153" t="s">
        <v>4</v>
      </c>
      <c r="Q174" s="153"/>
      <c r="R174" s="162">
        <v>45913</v>
      </c>
      <c r="S174" s="163">
        <v>45918</v>
      </c>
      <c r="T174" s="164">
        <f t="shared" si="2"/>
        <v>5</v>
      </c>
      <c r="U174" s="153">
        <v>1</v>
      </c>
      <c r="V174" s="153">
        <v>1</v>
      </c>
      <c r="W174" s="153">
        <v>0</v>
      </c>
      <c r="X174" s="153">
        <v>0</v>
      </c>
      <c r="Y174" s="153">
        <v>0</v>
      </c>
      <c r="Z174" s="153">
        <v>0</v>
      </c>
      <c r="AA174" s="153">
        <v>0</v>
      </c>
      <c r="AB174" s="153"/>
      <c r="AC174" s="155">
        <v>45913</v>
      </c>
      <c r="AD174" s="156">
        <v>0.625</v>
      </c>
      <c r="AE174" s="153" t="s">
        <v>74</v>
      </c>
      <c r="AF174" s="155">
        <v>45918</v>
      </c>
      <c r="AG174" s="156">
        <v>0.47916666666424135</v>
      </c>
      <c r="AH174" s="153" t="s">
        <v>189</v>
      </c>
      <c r="AI174" s="153" t="s">
        <v>2315</v>
      </c>
      <c r="AJ174" s="153" t="s">
        <v>64</v>
      </c>
      <c r="AK174" s="153" t="s">
        <v>64</v>
      </c>
      <c r="AL174" s="153" t="s">
        <v>2306</v>
      </c>
      <c r="AM174" s="149" t="s">
        <v>65</v>
      </c>
      <c r="AN174" s="158"/>
      <c r="AO174" s="159"/>
      <c r="AQ174"/>
      <c r="AR174"/>
      <c r="AS174"/>
      <c r="AT174"/>
      <c r="AU174"/>
    </row>
    <row r="175" spans="1:47" s="151" customFormat="1" ht="14.25" customHeight="1">
      <c r="A175" s="139"/>
      <c r="B175" s="139"/>
      <c r="C175" s="152">
        <f>IF($X175=1,COUNTIF($C$10:C174,"&gt;0")+1,"")</f>
        <v>81</v>
      </c>
      <c r="D175" s="322">
        <v>75986765</v>
      </c>
      <c r="E175" s="153" t="s">
        <v>2309</v>
      </c>
      <c r="F175" s="154" t="s">
        <v>2900</v>
      </c>
      <c r="G175" s="153" t="s">
        <v>2900</v>
      </c>
      <c r="H175" s="153" t="s">
        <v>2901</v>
      </c>
      <c r="I175" s="153" t="s">
        <v>1873</v>
      </c>
      <c r="J175" s="153" t="s">
        <v>68</v>
      </c>
      <c r="K175" s="153" t="s">
        <v>59</v>
      </c>
      <c r="L175" s="155">
        <v>26409</v>
      </c>
      <c r="M175" s="153">
        <v>53</v>
      </c>
      <c r="N175" s="153" t="s">
        <v>2902</v>
      </c>
      <c r="O175" s="155">
        <v>48179</v>
      </c>
      <c r="P175" s="153" t="s">
        <v>4</v>
      </c>
      <c r="Q175" s="153"/>
      <c r="R175" s="162">
        <v>45913</v>
      </c>
      <c r="S175" s="163">
        <v>45918</v>
      </c>
      <c r="T175" s="164">
        <f t="shared" si="2"/>
        <v>5</v>
      </c>
      <c r="U175" s="153">
        <v>1</v>
      </c>
      <c r="V175" s="153">
        <v>1</v>
      </c>
      <c r="W175" s="153">
        <v>0</v>
      </c>
      <c r="X175" s="153">
        <v>1</v>
      </c>
      <c r="Y175" s="153">
        <v>0</v>
      </c>
      <c r="Z175" s="153">
        <v>1</v>
      </c>
      <c r="AA175" s="153">
        <v>0</v>
      </c>
      <c r="AB175" s="153"/>
      <c r="AC175" s="155">
        <v>45913</v>
      </c>
      <c r="AD175" s="156">
        <v>0.65625</v>
      </c>
      <c r="AE175" s="153" t="s">
        <v>2338</v>
      </c>
      <c r="AF175" s="155">
        <v>45918</v>
      </c>
      <c r="AG175" s="156">
        <v>0.70138888889050577</v>
      </c>
      <c r="AH175" s="153" t="s">
        <v>96</v>
      </c>
      <c r="AI175" s="153" t="s">
        <v>2315</v>
      </c>
      <c r="AJ175" s="153" t="s">
        <v>64</v>
      </c>
      <c r="AK175" s="153" t="s">
        <v>64</v>
      </c>
      <c r="AL175" s="153" t="s">
        <v>2306</v>
      </c>
      <c r="AM175" s="149" t="s">
        <v>65</v>
      </c>
      <c r="AN175" s="158"/>
      <c r="AO175" s="159"/>
      <c r="AQ175"/>
      <c r="AR175"/>
      <c r="AS175"/>
      <c r="AT175"/>
      <c r="AU175"/>
    </row>
    <row r="176" spans="1:47" s="151" customFormat="1" ht="14.25" customHeight="1">
      <c r="A176" s="139"/>
      <c r="B176" s="139"/>
      <c r="C176" s="152" t="str">
        <f>IF($X176=1,COUNTIF($C$10:C175,"&gt;0")+1,"")</f>
        <v/>
      </c>
      <c r="D176" s="323"/>
      <c r="E176" s="153" t="s">
        <v>2309</v>
      </c>
      <c r="F176" s="154" t="s">
        <v>2903</v>
      </c>
      <c r="G176" s="153" t="s">
        <v>2900</v>
      </c>
      <c r="H176" s="153" t="s">
        <v>2904</v>
      </c>
      <c r="I176" s="153" t="s">
        <v>438</v>
      </c>
      <c r="J176" s="153" t="s">
        <v>68</v>
      </c>
      <c r="K176" s="153" t="s">
        <v>59</v>
      </c>
      <c r="L176" s="155">
        <v>25264</v>
      </c>
      <c r="M176" s="153">
        <v>56</v>
      </c>
      <c r="N176" s="153" t="s">
        <v>2905</v>
      </c>
      <c r="O176" s="155">
        <v>46605</v>
      </c>
      <c r="P176" s="153" t="s">
        <v>4</v>
      </c>
      <c r="Q176" s="153"/>
      <c r="R176" s="162">
        <v>45913</v>
      </c>
      <c r="S176" s="163">
        <v>45918</v>
      </c>
      <c r="T176" s="164">
        <f t="shared" si="2"/>
        <v>5</v>
      </c>
      <c r="U176" s="153">
        <v>1</v>
      </c>
      <c r="V176" s="153">
        <v>1</v>
      </c>
      <c r="W176" s="153">
        <v>0</v>
      </c>
      <c r="X176" s="153">
        <v>0</v>
      </c>
      <c r="Y176" s="153">
        <v>0</v>
      </c>
      <c r="Z176" s="153">
        <v>0</v>
      </c>
      <c r="AA176" s="153">
        <v>0</v>
      </c>
      <c r="AB176" s="153"/>
      <c r="AC176" s="155">
        <v>45913</v>
      </c>
      <c r="AD176" s="156">
        <v>0.65625</v>
      </c>
      <c r="AE176" s="153" t="s">
        <v>2338</v>
      </c>
      <c r="AF176" s="155">
        <v>45918</v>
      </c>
      <c r="AG176" s="156">
        <v>0.74652777778101154</v>
      </c>
      <c r="AH176" s="153" t="s">
        <v>2346</v>
      </c>
      <c r="AI176" s="153" t="s">
        <v>2315</v>
      </c>
      <c r="AJ176" s="153" t="s">
        <v>64</v>
      </c>
      <c r="AK176" s="153" t="s">
        <v>64</v>
      </c>
      <c r="AL176" s="153" t="s">
        <v>2306</v>
      </c>
      <c r="AM176" s="149" t="s">
        <v>65</v>
      </c>
      <c r="AN176" s="158"/>
      <c r="AO176" s="159"/>
      <c r="AQ176"/>
      <c r="AR176"/>
      <c r="AS176"/>
      <c r="AT176"/>
      <c r="AU176"/>
    </row>
    <row r="177" spans="1:47" s="151" customFormat="1" ht="14.25" customHeight="1">
      <c r="A177" s="139"/>
      <c r="B177" s="139"/>
      <c r="C177" s="152">
        <f>IF($X177=1,COUNTIF($C$10:C176,"&gt;0")+1,"")</f>
        <v>82</v>
      </c>
      <c r="D177" s="322">
        <v>75986779</v>
      </c>
      <c r="E177" s="153" t="s">
        <v>2309</v>
      </c>
      <c r="F177" s="154" t="s">
        <v>2906</v>
      </c>
      <c r="G177" s="153" t="s">
        <v>2906</v>
      </c>
      <c r="H177" s="153" t="s">
        <v>2907</v>
      </c>
      <c r="I177" s="153" t="s">
        <v>82</v>
      </c>
      <c r="J177" s="153" t="s">
        <v>68</v>
      </c>
      <c r="K177" s="153" t="s">
        <v>59</v>
      </c>
      <c r="L177" s="155">
        <v>24905</v>
      </c>
      <c r="M177" s="153">
        <v>57</v>
      </c>
      <c r="N177" s="153" t="s">
        <v>2908</v>
      </c>
      <c r="O177" s="155">
        <v>48932</v>
      </c>
      <c r="P177" s="153" t="s">
        <v>4</v>
      </c>
      <c r="Q177" s="153"/>
      <c r="R177" s="162">
        <v>45913</v>
      </c>
      <c r="S177" s="163">
        <v>45918</v>
      </c>
      <c r="T177" s="164">
        <f t="shared" si="2"/>
        <v>5</v>
      </c>
      <c r="U177" s="153">
        <v>1</v>
      </c>
      <c r="V177" s="153">
        <v>1</v>
      </c>
      <c r="W177" s="153">
        <v>0</v>
      </c>
      <c r="X177" s="153">
        <v>1</v>
      </c>
      <c r="Y177" s="153">
        <v>0</v>
      </c>
      <c r="Z177" s="153">
        <v>1</v>
      </c>
      <c r="AA177" s="153">
        <v>0</v>
      </c>
      <c r="AB177" s="153"/>
      <c r="AC177" s="155">
        <v>45913</v>
      </c>
      <c r="AD177" s="156">
        <v>0.65625</v>
      </c>
      <c r="AE177" s="153" t="s">
        <v>2338</v>
      </c>
      <c r="AF177" s="155">
        <v>45918</v>
      </c>
      <c r="AG177" s="156">
        <v>0.73958333333575865</v>
      </c>
      <c r="AH177" s="153" t="s">
        <v>1117</v>
      </c>
      <c r="AI177" s="153" t="s">
        <v>2315</v>
      </c>
      <c r="AJ177" s="153" t="s">
        <v>64</v>
      </c>
      <c r="AK177" s="153" t="s">
        <v>64</v>
      </c>
      <c r="AL177" s="153" t="s">
        <v>2306</v>
      </c>
      <c r="AM177" s="149" t="s">
        <v>65</v>
      </c>
      <c r="AN177" s="158"/>
      <c r="AO177" s="159"/>
      <c r="AQ177"/>
      <c r="AR177"/>
      <c r="AS177"/>
      <c r="AT177"/>
      <c r="AU177"/>
    </row>
    <row r="178" spans="1:47" s="151" customFormat="1" ht="14.25" customHeight="1">
      <c r="A178" s="139"/>
      <c r="B178" s="139"/>
      <c r="C178" s="152" t="str">
        <f>IF($X178=1,COUNTIF($C$10:C177,"&gt;0")+1,"")</f>
        <v/>
      </c>
      <c r="D178" s="323"/>
      <c r="E178" s="153" t="s">
        <v>2309</v>
      </c>
      <c r="F178" s="154" t="s">
        <v>2909</v>
      </c>
      <c r="G178" s="153" t="s">
        <v>2906</v>
      </c>
      <c r="H178" s="153" t="s">
        <v>2910</v>
      </c>
      <c r="I178" s="153" t="s">
        <v>82</v>
      </c>
      <c r="J178" s="153" t="s">
        <v>58</v>
      </c>
      <c r="K178" s="153" t="s">
        <v>59</v>
      </c>
      <c r="L178" s="155">
        <v>25547</v>
      </c>
      <c r="M178" s="153">
        <v>55</v>
      </c>
      <c r="N178" s="153" t="s">
        <v>2911</v>
      </c>
      <c r="O178" s="155">
        <v>48930</v>
      </c>
      <c r="P178" s="153" t="s">
        <v>4</v>
      </c>
      <c r="Q178" s="153"/>
      <c r="R178" s="162">
        <v>45913</v>
      </c>
      <c r="S178" s="163">
        <v>45918</v>
      </c>
      <c r="T178" s="164">
        <f t="shared" si="2"/>
        <v>5</v>
      </c>
      <c r="U178" s="153">
        <v>1</v>
      </c>
      <c r="V178" s="153">
        <v>1</v>
      </c>
      <c r="W178" s="153">
        <v>0</v>
      </c>
      <c r="X178" s="153">
        <v>0</v>
      </c>
      <c r="Y178" s="153">
        <v>0</v>
      </c>
      <c r="Z178" s="153">
        <v>0</v>
      </c>
      <c r="AA178" s="153">
        <v>0</v>
      </c>
      <c r="AB178" s="153"/>
      <c r="AC178" s="155">
        <v>45913</v>
      </c>
      <c r="AD178" s="156">
        <v>0.65625</v>
      </c>
      <c r="AE178" s="153" t="s">
        <v>2338</v>
      </c>
      <c r="AF178" s="155">
        <v>45918</v>
      </c>
      <c r="AG178" s="156">
        <v>0.73958333333575865</v>
      </c>
      <c r="AH178" s="153" t="s">
        <v>1117</v>
      </c>
      <c r="AI178" s="153" t="s">
        <v>2315</v>
      </c>
      <c r="AJ178" s="153" t="s">
        <v>64</v>
      </c>
      <c r="AK178" s="153" t="s">
        <v>64</v>
      </c>
      <c r="AL178" s="153" t="s">
        <v>2306</v>
      </c>
      <c r="AM178" s="149" t="s">
        <v>65</v>
      </c>
      <c r="AN178" s="158"/>
      <c r="AO178" s="159"/>
      <c r="AQ178"/>
      <c r="AR178"/>
      <c r="AS178"/>
      <c r="AT178"/>
      <c r="AU178"/>
    </row>
    <row r="179" spans="1:47" s="151" customFormat="1" ht="14.25" customHeight="1">
      <c r="A179" s="139"/>
      <c r="B179" s="139"/>
      <c r="C179" s="152">
        <f>IF($X179=1,COUNTIF($C$10:C178,"&gt;0")+1,"")</f>
        <v>83</v>
      </c>
      <c r="D179" s="322">
        <v>75986825</v>
      </c>
      <c r="E179" s="153" t="s">
        <v>2309</v>
      </c>
      <c r="F179" s="154" t="s">
        <v>2912</v>
      </c>
      <c r="G179" s="153" t="s">
        <v>2912</v>
      </c>
      <c r="H179" s="153" t="s">
        <v>2913</v>
      </c>
      <c r="I179" s="153" t="s">
        <v>82</v>
      </c>
      <c r="J179" s="153" t="s">
        <v>68</v>
      </c>
      <c r="K179" s="153" t="s">
        <v>59</v>
      </c>
      <c r="L179" s="155">
        <v>29074</v>
      </c>
      <c r="M179" s="153">
        <v>46</v>
      </c>
      <c r="N179" s="153" t="s">
        <v>2914</v>
      </c>
      <c r="O179" s="155">
        <v>48611</v>
      </c>
      <c r="P179" s="153" t="s">
        <v>4</v>
      </c>
      <c r="Q179" s="153"/>
      <c r="R179" s="162">
        <v>45913</v>
      </c>
      <c r="S179" s="163">
        <v>45918</v>
      </c>
      <c r="T179" s="164">
        <f t="shared" si="2"/>
        <v>5</v>
      </c>
      <c r="U179" s="153">
        <v>1</v>
      </c>
      <c r="V179" s="153">
        <v>1</v>
      </c>
      <c r="W179" s="153">
        <v>0</v>
      </c>
      <c r="X179" s="153">
        <v>1</v>
      </c>
      <c r="Y179" s="153">
        <v>0</v>
      </c>
      <c r="Z179" s="153">
        <v>1</v>
      </c>
      <c r="AA179" s="153">
        <v>0</v>
      </c>
      <c r="AB179" s="153"/>
      <c r="AC179" s="155">
        <v>45913</v>
      </c>
      <c r="AD179" s="156">
        <v>0.45833333333575865</v>
      </c>
      <c r="AE179" s="153" t="s">
        <v>244</v>
      </c>
      <c r="AF179" s="155">
        <v>45918</v>
      </c>
      <c r="AG179" s="156">
        <v>0.5</v>
      </c>
      <c r="AH179" s="153" t="s">
        <v>2915</v>
      </c>
      <c r="AI179" s="153" t="s">
        <v>2315</v>
      </c>
      <c r="AJ179" s="153" t="s">
        <v>64</v>
      </c>
      <c r="AK179" s="153" t="s">
        <v>64</v>
      </c>
      <c r="AL179" s="153" t="s">
        <v>2306</v>
      </c>
      <c r="AM179" s="149" t="s">
        <v>65</v>
      </c>
      <c r="AN179" s="158"/>
      <c r="AO179" s="159"/>
      <c r="AQ179"/>
      <c r="AR179"/>
      <c r="AS179"/>
      <c r="AT179"/>
      <c r="AU179"/>
    </row>
    <row r="180" spans="1:47" s="151" customFormat="1" ht="14.25" customHeight="1">
      <c r="A180" s="139"/>
      <c r="B180" s="139"/>
      <c r="C180" s="152" t="str">
        <f>IF($X180=1,COUNTIF($C$10:C179,"&gt;0")+1,"")</f>
        <v/>
      </c>
      <c r="D180" s="323"/>
      <c r="E180" s="153" t="s">
        <v>2309</v>
      </c>
      <c r="F180" s="154" t="s">
        <v>2916</v>
      </c>
      <c r="G180" s="153" t="s">
        <v>2912</v>
      </c>
      <c r="H180" s="153" t="s">
        <v>2917</v>
      </c>
      <c r="I180" s="153" t="s">
        <v>82</v>
      </c>
      <c r="J180" s="153" t="s">
        <v>68</v>
      </c>
      <c r="K180" s="153" t="s">
        <v>59</v>
      </c>
      <c r="L180" s="155">
        <v>19207</v>
      </c>
      <c r="M180" s="153">
        <v>73</v>
      </c>
      <c r="N180" s="153" t="s">
        <v>2918</v>
      </c>
      <c r="O180" s="155">
        <v>47180</v>
      </c>
      <c r="P180" s="153" t="s">
        <v>4</v>
      </c>
      <c r="Q180" s="153"/>
      <c r="R180" s="162">
        <v>45913</v>
      </c>
      <c r="S180" s="163">
        <v>45918</v>
      </c>
      <c r="T180" s="164">
        <f t="shared" si="2"/>
        <v>5</v>
      </c>
      <c r="U180" s="153">
        <v>1</v>
      </c>
      <c r="V180" s="153">
        <v>1</v>
      </c>
      <c r="W180" s="153">
        <v>0</v>
      </c>
      <c r="X180" s="153">
        <v>0</v>
      </c>
      <c r="Y180" s="153">
        <v>0</v>
      </c>
      <c r="Z180" s="153">
        <v>0</v>
      </c>
      <c r="AA180" s="153">
        <v>0</v>
      </c>
      <c r="AB180" s="153"/>
      <c r="AC180" s="155">
        <v>45913</v>
      </c>
      <c r="AD180" s="156">
        <v>0.45833333333575865</v>
      </c>
      <c r="AE180" s="153" t="s">
        <v>244</v>
      </c>
      <c r="AF180" s="155">
        <v>45918</v>
      </c>
      <c r="AG180" s="156">
        <v>0.5</v>
      </c>
      <c r="AH180" s="153" t="s">
        <v>2915</v>
      </c>
      <c r="AI180" s="153" t="s">
        <v>2315</v>
      </c>
      <c r="AJ180" s="153" t="s">
        <v>64</v>
      </c>
      <c r="AK180" s="153" t="s">
        <v>64</v>
      </c>
      <c r="AL180" s="153" t="s">
        <v>2306</v>
      </c>
      <c r="AM180" s="149" t="s">
        <v>65</v>
      </c>
      <c r="AN180" s="158"/>
      <c r="AO180" s="159"/>
      <c r="AQ180"/>
      <c r="AR180"/>
      <c r="AS180"/>
      <c r="AT180"/>
      <c r="AU180"/>
    </row>
    <row r="181" spans="1:47" s="151" customFormat="1" ht="14.25" customHeight="1">
      <c r="A181" s="139"/>
      <c r="B181" s="139"/>
      <c r="C181" s="152">
        <f>IF($X181=1,COUNTIF($C$10:C180,"&gt;0")+1,"")</f>
        <v>84</v>
      </c>
      <c r="D181" s="322">
        <v>75986846</v>
      </c>
      <c r="E181" s="153" t="s">
        <v>2309</v>
      </c>
      <c r="F181" s="154" t="s">
        <v>2919</v>
      </c>
      <c r="G181" s="153" t="s">
        <v>2919</v>
      </c>
      <c r="H181" s="153" t="s">
        <v>2920</v>
      </c>
      <c r="I181" s="153" t="s">
        <v>1397</v>
      </c>
      <c r="J181" s="153" t="s">
        <v>68</v>
      </c>
      <c r="K181" s="153" t="s">
        <v>59</v>
      </c>
      <c r="L181" s="155">
        <v>28299</v>
      </c>
      <c r="M181" s="153">
        <v>48</v>
      </c>
      <c r="N181" s="153" t="s">
        <v>2921</v>
      </c>
      <c r="O181" s="155">
        <v>47209</v>
      </c>
      <c r="P181" s="153" t="s">
        <v>5</v>
      </c>
      <c r="Q181" s="153"/>
      <c r="R181" s="162">
        <v>45913</v>
      </c>
      <c r="S181" s="163">
        <v>45918</v>
      </c>
      <c r="T181" s="164">
        <f t="shared" si="2"/>
        <v>5</v>
      </c>
      <c r="U181" s="153">
        <v>1</v>
      </c>
      <c r="V181" s="153">
        <v>1</v>
      </c>
      <c r="W181" s="153">
        <v>0</v>
      </c>
      <c r="X181" s="153">
        <v>1</v>
      </c>
      <c r="Y181" s="153">
        <v>0</v>
      </c>
      <c r="Z181" s="153">
        <v>0</v>
      </c>
      <c r="AA181" s="153">
        <v>1</v>
      </c>
      <c r="AB181" s="153"/>
      <c r="AC181" s="155">
        <v>45913</v>
      </c>
      <c r="AD181" s="156">
        <v>0.18055555555474712</v>
      </c>
      <c r="AE181" s="153" t="s">
        <v>95</v>
      </c>
      <c r="AF181" s="155">
        <v>45918</v>
      </c>
      <c r="AG181" s="156">
        <v>0.70138888889050577</v>
      </c>
      <c r="AH181" s="153" t="s">
        <v>96</v>
      </c>
      <c r="AI181" s="153" t="s">
        <v>2315</v>
      </c>
      <c r="AJ181" s="153" t="s">
        <v>64</v>
      </c>
      <c r="AK181" s="153" t="s">
        <v>64</v>
      </c>
      <c r="AL181" s="153" t="s">
        <v>2306</v>
      </c>
      <c r="AM181" s="149" t="s">
        <v>65</v>
      </c>
      <c r="AN181" s="158"/>
      <c r="AO181" s="159"/>
      <c r="AQ181"/>
      <c r="AR181"/>
      <c r="AS181"/>
      <c r="AT181"/>
      <c r="AU181"/>
    </row>
    <row r="182" spans="1:47" s="151" customFormat="1" ht="14.25" customHeight="1">
      <c r="A182" s="139"/>
      <c r="B182" s="139"/>
      <c r="C182" s="152" t="str">
        <f>IF($X182=1,COUNTIF($C$10:C181,"&gt;0")+1,"")</f>
        <v/>
      </c>
      <c r="D182" s="323"/>
      <c r="E182" s="153" t="s">
        <v>2309</v>
      </c>
      <c r="F182" s="154" t="s">
        <v>2922</v>
      </c>
      <c r="G182" s="153" t="s">
        <v>2919</v>
      </c>
      <c r="H182" s="153" t="s">
        <v>2923</v>
      </c>
      <c r="I182" s="153" t="s">
        <v>82</v>
      </c>
      <c r="J182" s="153" t="s">
        <v>58</v>
      </c>
      <c r="K182" s="153" t="s">
        <v>59</v>
      </c>
      <c r="L182" s="155">
        <v>38103</v>
      </c>
      <c r="M182" s="153">
        <v>21</v>
      </c>
      <c r="N182" s="153" t="s">
        <v>2924</v>
      </c>
      <c r="O182" s="155">
        <v>48444</v>
      </c>
      <c r="P182" s="153" t="s">
        <v>5</v>
      </c>
      <c r="Q182" s="153"/>
      <c r="R182" s="162">
        <v>45913</v>
      </c>
      <c r="S182" s="163">
        <v>45918</v>
      </c>
      <c r="T182" s="164">
        <f t="shared" si="2"/>
        <v>5</v>
      </c>
      <c r="U182" s="153">
        <v>1</v>
      </c>
      <c r="V182" s="153">
        <v>1</v>
      </c>
      <c r="W182" s="153">
        <v>0</v>
      </c>
      <c r="X182" s="153">
        <v>0</v>
      </c>
      <c r="Y182" s="153">
        <v>0</v>
      </c>
      <c r="Z182" s="153">
        <v>0</v>
      </c>
      <c r="AA182" s="153">
        <v>0</v>
      </c>
      <c r="AB182" s="153"/>
      <c r="AC182" s="155">
        <v>45913</v>
      </c>
      <c r="AD182" s="156">
        <v>0.18055555555474712</v>
      </c>
      <c r="AE182" s="153" t="s">
        <v>95</v>
      </c>
      <c r="AF182" s="155">
        <v>45918</v>
      </c>
      <c r="AG182" s="156">
        <v>0.70138888889050577</v>
      </c>
      <c r="AH182" s="153" t="s">
        <v>96</v>
      </c>
      <c r="AI182" s="153" t="s">
        <v>2315</v>
      </c>
      <c r="AJ182" s="153" t="s">
        <v>64</v>
      </c>
      <c r="AK182" s="153" t="s">
        <v>64</v>
      </c>
      <c r="AL182" s="153" t="s">
        <v>2306</v>
      </c>
      <c r="AM182" s="149" t="s">
        <v>65</v>
      </c>
      <c r="AN182" s="158"/>
      <c r="AO182" s="159"/>
      <c r="AQ182"/>
      <c r="AR182"/>
      <c r="AS182"/>
      <c r="AT182"/>
      <c r="AU182"/>
    </row>
    <row r="183" spans="1:47" s="151" customFormat="1" ht="14.25" customHeight="1">
      <c r="A183" s="139"/>
      <c r="B183" s="139"/>
      <c r="C183" s="152">
        <f>IF($X183=1,COUNTIF($C$10:C182,"&gt;0")+1,"")</f>
        <v>85</v>
      </c>
      <c r="D183" s="322">
        <v>75986874</v>
      </c>
      <c r="E183" s="153" t="s">
        <v>2309</v>
      </c>
      <c r="F183" s="154" t="s">
        <v>2925</v>
      </c>
      <c r="G183" s="153" t="s">
        <v>2925</v>
      </c>
      <c r="H183" s="153" t="s">
        <v>2926</v>
      </c>
      <c r="I183" s="153" t="s">
        <v>666</v>
      </c>
      <c r="J183" s="153" t="s">
        <v>68</v>
      </c>
      <c r="K183" s="153" t="s">
        <v>59</v>
      </c>
      <c r="L183" s="155">
        <v>22460</v>
      </c>
      <c r="M183" s="153">
        <v>64</v>
      </c>
      <c r="N183" s="153" t="s">
        <v>2927</v>
      </c>
      <c r="O183" s="155">
        <v>47269</v>
      </c>
      <c r="P183" s="153" t="s">
        <v>5</v>
      </c>
      <c r="Q183" s="153"/>
      <c r="R183" s="162">
        <v>45913</v>
      </c>
      <c r="S183" s="163">
        <v>45918</v>
      </c>
      <c r="T183" s="164">
        <f t="shared" si="2"/>
        <v>5</v>
      </c>
      <c r="U183" s="153">
        <v>1</v>
      </c>
      <c r="V183" s="153">
        <v>1</v>
      </c>
      <c r="W183" s="153">
        <v>0</v>
      </c>
      <c r="X183" s="153">
        <v>1</v>
      </c>
      <c r="Y183" s="153">
        <v>0</v>
      </c>
      <c r="Z183" s="153">
        <v>0</v>
      </c>
      <c r="AA183" s="153">
        <v>1</v>
      </c>
      <c r="AB183" s="153"/>
      <c r="AC183" s="155">
        <v>45913</v>
      </c>
      <c r="AD183" s="156">
        <v>0.1875</v>
      </c>
      <c r="AE183" s="153" t="s">
        <v>220</v>
      </c>
      <c r="AF183" s="155">
        <v>45918</v>
      </c>
      <c r="AG183" s="156">
        <v>0.67361111110949423</v>
      </c>
      <c r="AH183" s="153" t="s">
        <v>2928</v>
      </c>
      <c r="AI183" s="153" t="s">
        <v>2315</v>
      </c>
      <c r="AJ183" s="153" t="s">
        <v>64</v>
      </c>
      <c r="AK183" s="153" t="s">
        <v>64</v>
      </c>
      <c r="AL183" s="153" t="s">
        <v>2306</v>
      </c>
      <c r="AM183" s="149" t="s">
        <v>65</v>
      </c>
      <c r="AN183" s="158"/>
      <c r="AO183" s="159"/>
      <c r="AQ183"/>
      <c r="AR183"/>
      <c r="AS183"/>
      <c r="AT183"/>
      <c r="AU183"/>
    </row>
    <row r="184" spans="1:47" s="151" customFormat="1" ht="14.25" customHeight="1">
      <c r="A184" s="139"/>
      <c r="B184" s="139"/>
      <c r="C184" s="152" t="str">
        <f>IF($X184=1,COUNTIF($C$10:C183,"&gt;0")+1,"")</f>
        <v/>
      </c>
      <c r="D184" s="323"/>
      <c r="E184" s="153" t="s">
        <v>2309</v>
      </c>
      <c r="F184" s="154" t="s">
        <v>2929</v>
      </c>
      <c r="G184" s="153" t="s">
        <v>2925</v>
      </c>
      <c r="H184" s="153" t="s">
        <v>2930</v>
      </c>
      <c r="I184" s="153" t="s">
        <v>666</v>
      </c>
      <c r="J184" s="153" t="s">
        <v>68</v>
      </c>
      <c r="K184" s="153" t="s">
        <v>59</v>
      </c>
      <c r="L184" s="155">
        <v>37717</v>
      </c>
      <c r="M184" s="153">
        <v>22</v>
      </c>
      <c r="N184" s="153" t="s">
        <v>2931</v>
      </c>
      <c r="O184" s="155">
        <v>47269</v>
      </c>
      <c r="P184" s="153" t="s">
        <v>5</v>
      </c>
      <c r="Q184" s="153"/>
      <c r="R184" s="162">
        <v>45913</v>
      </c>
      <c r="S184" s="163">
        <v>45918</v>
      </c>
      <c r="T184" s="164">
        <f t="shared" si="2"/>
        <v>5</v>
      </c>
      <c r="U184" s="153">
        <v>1</v>
      </c>
      <c r="V184" s="153">
        <v>1</v>
      </c>
      <c r="W184" s="153">
        <v>0</v>
      </c>
      <c r="X184" s="153">
        <v>0</v>
      </c>
      <c r="Y184" s="153">
        <v>0</v>
      </c>
      <c r="Z184" s="153">
        <v>0</v>
      </c>
      <c r="AA184" s="153">
        <v>0</v>
      </c>
      <c r="AB184" s="153"/>
      <c r="AC184" s="155">
        <v>45913</v>
      </c>
      <c r="AD184" s="156">
        <v>0.1875</v>
      </c>
      <c r="AE184" s="153" t="s">
        <v>220</v>
      </c>
      <c r="AF184" s="155">
        <v>45918</v>
      </c>
      <c r="AG184" s="156">
        <v>0.67361111110949423</v>
      </c>
      <c r="AH184" s="153" t="s">
        <v>2928</v>
      </c>
      <c r="AI184" s="153" t="s">
        <v>2315</v>
      </c>
      <c r="AJ184" s="153" t="s">
        <v>64</v>
      </c>
      <c r="AK184" s="153" t="s">
        <v>64</v>
      </c>
      <c r="AL184" s="153" t="s">
        <v>2306</v>
      </c>
      <c r="AM184" s="149" t="s">
        <v>65</v>
      </c>
      <c r="AN184" s="158"/>
      <c r="AO184" s="159"/>
      <c r="AQ184"/>
      <c r="AR184"/>
      <c r="AS184"/>
      <c r="AT184"/>
      <c r="AU184"/>
    </row>
    <row r="185" spans="1:47" s="151" customFormat="1" ht="14.25" customHeight="1">
      <c r="A185" s="139"/>
      <c r="B185" s="139"/>
      <c r="C185" s="152">
        <f>IF($X185=1,COUNTIF($C$10:C184,"&gt;0")+1,"")</f>
        <v>86</v>
      </c>
      <c r="D185" s="153">
        <v>75986887</v>
      </c>
      <c r="E185" s="153" t="s">
        <v>2309</v>
      </c>
      <c r="F185" s="154" t="s">
        <v>2932</v>
      </c>
      <c r="G185" s="153" t="s">
        <v>2932</v>
      </c>
      <c r="H185" s="153" t="s">
        <v>2933</v>
      </c>
      <c r="I185" s="153" t="s">
        <v>2934</v>
      </c>
      <c r="J185" s="153" t="s">
        <v>58</v>
      </c>
      <c r="K185" s="153" t="s">
        <v>59</v>
      </c>
      <c r="L185" s="155">
        <v>20114</v>
      </c>
      <c r="M185" s="153">
        <v>70</v>
      </c>
      <c r="N185" s="153" t="s">
        <v>2935</v>
      </c>
      <c r="O185" s="155">
        <v>48423</v>
      </c>
      <c r="P185" s="153" t="s">
        <v>3</v>
      </c>
      <c r="Q185" s="153"/>
      <c r="R185" s="162">
        <v>45913</v>
      </c>
      <c r="S185" s="163">
        <v>45918</v>
      </c>
      <c r="T185" s="164">
        <f t="shared" si="2"/>
        <v>5</v>
      </c>
      <c r="U185" s="153">
        <v>1</v>
      </c>
      <c r="V185" s="153">
        <v>1</v>
      </c>
      <c r="W185" s="153">
        <v>0</v>
      </c>
      <c r="X185" s="153">
        <v>1</v>
      </c>
      <c r="Y185" s="153">
        <v>1</v>
      </c>
      <c r="Z185" s="153">
        <v>0</v>
      </c>
      <c r="AA185" s="153">
        <v>0</v>
      </c>
      <c r="AB185" s="153"/>
      <c r="AC185" s="155">
        <v>45913</v>
      </c>
      <c r="AD185" s="156">
        <v>0.72222222221898846</v>
      </c>
      <c r="AE185" s="153" t="s">
        <v>164</v>
      </c>
      <c r="AF185" s="155">
        <v>45920</v>
      </c>
      <c r="AG185" s="156">
        <v>0.66666666666424135</v>
      </c>
      <c r="AH185" s="153" t="s">
        <v>165</v>
      </c>
      <c r="AI185" s="153" t="s">
        <v>2315</v>
      </c>
      <c r="AJ185" s="153" t="s">
        <v>64</v>
      </c>
      <c r="AK185" s="153" t="s">
        <v>64</v>
      </c>
      <c r="AL185" s="153" t="s">
        <v>2306</v>
      </c>
      <c r="AM185" s="149" t="s">
        <v>65</v>
      </c>
      <c r="AN185" s="158"/>
      <c r="AO185" s="159"/>
      <c r="AQ185"/>
      <c r="AR185"/>
      <c r="AS185"/>
      <c r="AT185"/>
      <c r="AU185"/>
    </row>
    <row r="186" spans="1:47" s="151" customFormat="1" ht="14.25" customHeight="1">
      <c r="A186" s="139"/>
      <c r="B186" s="139"/>
      <c r="C186" s="152">
        <f>IF($X186=1,COUNTIF($C$10:C185,"&gt;0")+1,"")</f>
        <v>87</v>
      </c>
      <c r="D186" s="322">
        <v>75986911</v>
      </c>
      <c r="E186" s="153" t="s">
        <v>2309</v>
      </c>
      <c r="F186" s="154" t="s">
        <v>2936</v>
      </c>
      <c r="G186" s="153" t="s">
        <v>2936</v>
      </c>
      <c r="H186" s="153" t="s">
        <v>2937</v>
      </c>
      <c r="I186" s="153" t="s">
        <v>390</v>
      </c>
      <c r="J186" s="153" t="s">
        <v>58</v>
      </c>
      <c r="K186" s="153" t="s">
        <v>59</v>
      </c>
      <c r="L186" s="155">
        <v>27112</v>
      </c>
      <c r="M186" s="153">
        <v>51</v>
      </c>
      <c r="N186" s="153" t="s">
        <v>2938</v>
      </c>
      <c r="O186" s="155">
        <v>48244</v>
      </c>
      <c r="P186" s="153" t="s">
        <v>4</v>
      </c>
      <c r="Q186" s="153"/>
      <c r="R186" s="162">
        <v>45913</v>
      </c>
      <c r="S186" s="163">
        <v>45918</v>
      </c>
      <c r="T186" s="164">
        <f t="shared" si="2"/>
        <v>5</v>
      </c>
      <c r="U186" s="153">
        <v>1</v>
      </c>
      <c r="V186" s="153">
        <v>1</v>
      </c>
      <c r="W186" s="153">
        <v>0</v>
      </c>
      <c r="X186" s="153">
        <v>1</v>
      </c>
      <c r="Y186" s="153">
        <v>0</v>
      </c>
      <c r="Z186" s="153">
        <v>1</v>
      </c>
      <c r="AA186" s="153">
        <v>0</v>
      </c>
      <c r="AB186" s="153"/>
      <c r="AC186" s="155">
        <v>45913</v>
      </c>
      <c r="AD186" s="156">
        <v>0.69097222221898846</v>
      </c>
      <c r="AE186" s="153" t="s">
        <v>2939</v>
      </c>
      <c r="AF186" s="155">
        <v>45921</v>
      </c>
      <c r="AG186" s="156">
        <v>0.72569444444525288</v>
      </c>
      <c r="AH186" s="153" t="s">
        <v>313</v>
      </c>
      <c r="AI186" s="153" t="s">
        <v>2315</v>
      </c>
      <c r="AJ186" s="153" t="s">
        <v>64</v>
      </c>
      <c r="AK186" s="153" t="s">
        <v>64</v>
      </c>
      <c r="AL186" s="153" t="s">
        <v>2306</v>
      </c>
      <c r="AM186" s="149" t="s">
        <v>65</v>
      </c>
      <c r="AN186" s="158"/>
      <c r="AO186" s="159"/>
      <c r="AQ186"/>
      <c r="AR186"/>
      <c r="AS186"/>
      <c r="AT186"/>
      <c r="AU186"/>
    </row>
    <row r="187" spans="1:47" s="151" customFormat="1" ht="14.25" customHeight="1">
      <c r="A187" s="139"/>
      <c r="B187" s="139"/>
      <c r="C187" s="152" t="str">
        <f>IF($X187=1,COUNTIF($C$10:C186,"&gt;0")+1,"")</f>
        <v/>
      </c>
      <c r="D187" s="323"/>
      <c r="E187" s="153" t="s">
        <v>2309</v>
      </c>
      <c r="F187" s="154" t="s">
        <v>2940</v>
      </c>
      <c r="G187" s="153" t="s">
        <v>2936</v>
      </c>
      <c r="H187" s="153" t="s">
        <v>2941</v>
      </c>
      <c r="I187" s="153" t="s">
        <v>759</v>
      </c>
      <c r="J187" s="153" t="s">
        <v>68</v>
      </c>
      <c r="K187" s="153" t="s">
        <v>59</v>
      </c>
      <c r="L187" s="155">
        <v>28414</v>
      </c>
      <c r="M187" s="153">
        <v>47</v>
      </c>
      <c r="N187" s="153" t="s">
        <v>2942</v>
      </c>
      <c r="O187" s="155">
        <v>48244</v>
      </c>
      <c r="P187" s="153" t="s">
        <v>4</v>
      </c>
      <c r="Q187" s="153"/>
      <c r="R187" s="162">
        <v>45913</v>
      </c>
      <c r="S187" s="163">
        <v>45918</v>
      </c>
      <c r="T187" s="164">
        <f t="shared" si="2"/>
        <v>5</v>
      </c>
      <c r="U187" s="153">
        <v>1</v>
      </c>
      <c r="V187" s="153">
        <v>1</v>
      </c>
      <c r="W187" s="153">
        <v>0</v>
      </c>
      <c r="X187" s="153">
        <v>0</v>
      </c>
      <c r="Y187" s="153">
        <v>0</v>
      </c>
      <c r="Z187" s="153">
        <v>0</v>
      </c>
      <c r="AA187" s="153">
        <v>0</v>
      </c>
      <c r="AB187" s="153"/>
      <c r="AC187" s="155">
        <v>45913</v>
      </c>
      <c r="AD187" s="156">
        <v>0.69097222221898846</v>
      </c>
      <c r="AE187" s="153" t="s">
        <v>2939</v>
      </c>
      <c r="AF187" s="155">
        <v>45921</v>
      </c>
      <c r="AG187" s="156">
        <v>0.72569444444525288</v>
      </c>
      <c r="AH187" s="153" t="s">
        <v>313</v>
      </c>
      <c r="AI187" s="153" t="s">
        <v>2315</v>
      </c>
      <c r="AJ187" s="153" t="s">
        <v>64</v>
      </c>
      <c r="AK187" s="153" t="s">
        <v>64</v>
      </c>
      <c r="AL187" s="153" t="s">
        <v>2306</v>
      </c>
      <c r="AM187" s="149" t="s">
        <v>65</v>
      </c>
      <c r="AN187" s="158"/>
      <c r="AO187" s="159"/>
      <c r="AQ187"/>
      <c r="AR187"/>
      <c r="AS187"/>
      <c r="AT187"/>
      <c r="AU187"/>
    </row>
    <row r="188" spans="1:47" s="151" customFormat="1" ht="14.25" customHeight="1">
      <c r="A188" s="139"/>
      <c r="B188" s="139"/>
      <c r="C188" s="152">
        <f>IF($X188=1,COUNTIF($C$10:C187,"&gt;0")+1,"")</f>
        <v>88</v>
      </c>
      <c r="D188" s="322">
        <v>75986916</v>
      </c>
      <c r="E188" s="153" t="s">
        <v>2309</v>
      </c>
      <c r="F188" s="154" t="s">
        <v>2943</v>
      </c>
      <c r="G188" s="153" t="s">
        <v>2936</v>
      </c>
      <c r="H188" s="153" t="s">
        <v>288</v>
      </c>
      <c r="I188" s="153" t="s">
        <v>82</v>
      </c>
      <c r="J188" s="153" t="s">
        <v>58</v>
      </c>
      <c r="K188" s="153" t="s">
        <v>59</v>
      </c>
      <c r="L188" s="155">
        <v>35812</v>
      </c>
      <c r="M188" s="153">
        <v>27</v>
      </c>
      <c r="N188" s="153" t="s">
        <v>2944</v>
      </c>
      <c r="O188" s="155">
        <v>46810</v>
      </c>
      <c r="P188" s="153" t="s">
        <v>4</v>
      </c>
      <c r="Q188" s="153"/>
      <c r="R188" s="162">
        <v>45913</v>
      </c>
      <c r="S188" s="163">
        <v>45918</v>
      </c>
      <c r="T188" s="164">
        <f t="shared" si="2"/>
        <v>5</v>
      </c>
      <c r="U188" s="153">
        <v>1</v>
      </c>
      <c r="V188" s="153">
        <v>1</v>
      </c>
      <c r="W188" s="153">
        <v>0</v>
      </c>
      <c r="X188" s="153">
        <v>1</v>
      </c>
      <c r="Y188" s="153">
        <v>0</v>
      </c>
      <c r="Z188" s="153">
        <v>1</v>
      </c>
      <c r="AA188" s="153">
        <v>0</v>
      </c>
      <c r="AB188" s="153"/>
      <c r="AC188" s="155">
        <v>45913</v>
      </c>
      <c r="AD188" s="156">
        <v>0.69097222221898846</v>
      </c>
      <c r="AE188" s="153" t="s">
        <v>2939</v>
      </c>
      <c r="AF188" s="155">
        <v>45921</v>
      </c>
      <c r="AG188" s="156">
        <v>0.72569444444525288</v>
      </c>
      <c r="AH188" s="153" t="s">
        <v>313</v>
      </c>
      <c r="AI188" s="153" t="s">
        <v>2315</v>
      </c>
      <c r="AJ188" s="153" t="s">
        <v>64</v>
      </c>
      <c r="AK188" s="153" t="s">
        <v>64</v>
      </c>
      <c r="AL188" s="153" t="s">
        <v>2306</v>
      </c>
      <c r="AM188" s="149" t="s">
        <v>65</v>
      </c>
      <c r="AN188" s="158"/>
      <c r="AO188" s="159"/>
      <c r="AQ188"/>
      <c r="AR188"/>
      <c r="AS188"/>
      <c r="AT188"/>
      <c r="AU188"/>
    </row>
    <row r="189" spans="1:47" s="151" customFormat="1" ht="14.25" customHeight="1">
      <c r="A189" s="139"/>
      <c r="B189" s="139"/>
      <c r="C189" s="152" t="str">
        <f>IF($X189=1,COUNTIF($C$10:C188,"&gt;0")+1,"")</f>
        <v/>
      </c>
      <c r="D189" s="323"/>
      <c r="E189" s="153" t="s">
        <v>2309</v>
      </c>
      <c r="F189" s="154" t="s">
        <v>2945</v>
      </c>
      <c r="G189" s="153" t="s">
        <v>2936</v>
      </c>
      <c r="H189" s="153" t="s">
        <v>1435</v>
      </c>
      <c r="I189" s="153" t="s">
        <v>82</v>
      </c>
      <c r="J189" s="153" t="s">
        <v>68</v>
      </c>
      <c r="K189" s="153" t="s">
        <v>59</v>
      </c>
      <c r="L189" s="155">
        <v>35038</v>
      </c>
      <c r="M189" s="153">
        <v>29</v>
      </c>
      <c r="N189" s="153" t="s">
        <v>2946</v>
      </c>
      <c r="O189" s="155">
        <v>46203</v>
      </c>
      <c r="P189" s="153" t="s">
        <v>4</v>
      </c>
      <c r="Q189" s="153"/>
      <c r="R189" s="162">
        <v>45913</v>
      </c>
      <c r="S189" s="163">
        <v>45918</v>
      </c>
      <c r="T189" s="164">
        <f t="shared" si="2"/>
        <v>5</v>
      </c>
      <c r="U189" s="153">
        <v>1</v>
      </c>
      <c r="V189" s="153">
        <v>1</v>
      </c>
      <c r="W189" s="153">
        <v>0</v>
      </c>
      <c r="X189" s="153">
        <v>0</v>
      </c>
      <c r="Y189" s="153">
        <v>0</v>
      </c>
      <c r="Z189" s="153">
        <v>0</v>
      </c>
      <c r="AA189" s="153">
        <v>0</v>
      </c>
      <c r="AB189" s="153"/>
      <c r="AC189" s="155">
        <v>45913</v>
      </c>
      <c r="AD189" s="156">
        <v>0.69097222221898846</v>
      </c>
      <c r="AE189" s="153" t="s">
        <v>2939</v>
      </c>
      <c r="AF189" s="155">
        <v>45921</v>
      </c>
      <c r="AG189" s="156">
        <v>0.72569444444525288</v>
      </c>
      <c r="AH189" s="153" t="s">
        <v>313</v>
      </c>
      <c r="AI189" s="153" t="s">
        <v>2315</v>
      </c>
      <c r="AJ189" s="153" t="s">
        <v>64</v>
      </c>
      <c r="AK189" s="153" t="s">
        <v>64</v>
      </c>
      <c r="AL189" s="153" t="s">
        <v>2306</v>
      </c>
      <c r="AM189" s="149" t="s">
        <v>65</v>
      </c>
      <c r="AN189" s="158"/>
      <c r="AO189" s="159"/>
      <c r="AQ189"/>
      <c r="AR189"/>
      <c r="AS189"/>
      <c r="AT189"/>
      <c r="AU189"/>
    </row>
    <row r="190" spans="1:47" s="151" customFormat="1" ht="14.25" customHeight="1">
      <c r="A190" s="139"/>
      <c r="B190" s="139"/>
      <c r="C190" s="152">
        <f>IF($X190=1,COUNTIF($C$10:C189,"&gt;0")+1,"")</f>
        <v>89</v>
      </c>
      <c r="D190" s="322">
        <v>75986930</v>
      </c>
      <c r="E190" s="153" t="s">
        <v>2309</v>
      </c>
      <c r="F190" s="154" t="s">
        <v>2947</v>
      </c>
      <c r="G190" s="153" t="s">
        <v>2936</v>
      </c>
      <c r="H190" s="153" t="s">
        <v>2948</v>
      </c>
      <c r="I190" s="153" t="s">
        <v>390</v>
      </c>
      <c r="J190" s="153" t="s">
        <v>58</v>
      </c>
      <c r="K190" s="153" t="s">
        <v>59</v>
      </c>
      <c r="L190" s="155">
        <v>38641</v>
      </c>
      <c r="M190" s="153">
        <v>19</v>
      </c>
      <c r="N190" s="153" t="s">
        <v>2949</v>
      </c>
      <c r="O190" s="155">
        <v>48241</v>
      </c>
      <c r="P190" s="153" t="s">
        <v>5</v>
      </c>
      <c r="Q190" s="153"/>
      <c r="R190" s="162">
        <v>45913</v>
      </c>
      <c r="S190" s="163">
        <v>45918</v>
      </c>
      <c r="T190" s="164">
        <f t="shared" si="2"/>
        <v>5</v>
      </c>
      <c r="U190" s="153">
        <v>1</v>
      </c>
      <c r="V190" s="153">
        <v>1</v>
      </c>
      <c r="W190" s="153">
        <v>0</v>
      </c>
      <c r="X190" s="153">
        <v>1</v>
      </c>
      <c r="Y190" s="153">
        <v>0</v>
      </c>
      <c r="Z190" s="153">
        <v>0</v>
      </c>
      <c r="AA190" s="153">
        <v>1</v>
      </c>
      <c r="AB190" s="153"/>
      <c r="AC190" s="155">
        <v>45913</v>
      </c>
      <c r="AD190" s="156">
        <v>0.69097222221898846</v>
      </c>
      <c r="AE190" s="153" t="s">
        <v>2939</v>
      </c>
      <c r="AF190" s="155">
        <v>45921</v>
      </c>
      <c r="AG190" s="156">
        <v>0.72569444444525288</v>
      </c>
      <c r="AH190" s="153" t="s">
        <v>313</v>
      </c>
      <c r="AI190" s="153" t="s">
        <v>2315</v>
      </c>
      <c r="AJ190" s="153" t="s">
        <v>64</v>
      </c>
      <c r="AK190" s="153" t="s">
        <v>64</v>
      </c>
      <c r="AL190" s="153" t="s">
        <v>2306</v>
      </c>
      <c r="AM190" s="149" t="s">
        <v>65</v>
      </c>
      <c r="AN190" s="158"/>
      <c r="AO190" s="159"/>
      <c r="AQ190"/>
      <c r="AR190"/>
      <c r="AS190"/>
      <c r="AT190"/>
      <c r="AU190"/>
    </row>
    <row r="191" spans="1:47" s="151" customFormat="1" ht="14.25" customHeight="1">
      <c r="A191" s="139"/>
      <c r="B191" s="139"/>
      <c r="C191" s="152" t="str">
        <f>IF($X191=1,COUNTIF($C$10:C190,"&gt;0")+1,"")</f>
        <v/>
      </c>
      <c r="D191" s="323"/>
      <c r="E191" s="153" t="s">
        <v>2309</v>
      </c>
      <c r="F191" s="154" t="s">
        <v>2950</v>
      </c>
      <c r="G191" s="153" t="s">
        <v>2936</v>
      </c>
      <c r="H191" s="153" t="s">
        <v>2951</v>
      </c>
      <c r="I191" s="153" t="s">
        <v>390</v>
      </c>
      <c r="J191" s="153" t="s">
        <v>58</v>
      </c>
      <c r="K191" s="153" t="s">
        <v>59</v>
      </c>
      <c r="L191" s="155">
        <v>38292</v>
      </c>
      <c r="M191" s="153">
        <v>20</v>
      </c>
      <c r="N191" s="153" t="s">
        <v>2952</v>
      </c>
      <c r="O191" s="155">
        <v>48241</v>
      </c>
      <c r="P191" s="153" t="s">
        <v>5</v>
      </c>
      <c r="Q191" s="153"/>
      <c r="R191" s="162">
        <v>45913</v>
      </c>
      <c r="S191" s="163">
        <v>45918</v>
      </c>
      <c r="T191" s="164">
        <f t="shared" si="2"/>
        <v>5</v>
      </c>
      <c r="U191" s="153">
        <v>1</v>
      </c>
      <c r="V191" s="153">
        <v>1</v>
      </c>
      <c r="W191" s="153">
        <v>0</v>
      </c>
      <c r="X191" s="153">
        <v>0</v>
      </c>
      <c r="Y191" s="153">
        <v>0</v>
      </c>
      <c r="Z191" s="153">
        <v>0</v>
      </c>
      <c r="AA191" s="153">
        <v>0</v>
      </c>
      <c r="AB191" s="153"/>
      <c r="AC191" s="155">
        <v>45913</v>
      </c>
      <c r="AD191" s="156">
        <v>0.69097222221898846</v>
      </c>
      <c r="AE191" s="153" t="s">
        <v>2939</v>
      </c>
      <c r="AF191" s="155">
        <v>45921</v>
      </c>
      <c r="AG191" s="156">
        <v>0.72569444444525288</v>
      </c>
      <c r="AH191" s="153" t="s">
        <v>313</v>
      </c>
      <c r="AI191" s="153" t="s">
        <v>2315</v>
      </c>
      <c r="AJ191" s="153" t="s">
        <v>64</v>
      </c>
      <c r="AK191" s="153" t="s">
        <v>64</v>
      </c>
      <c r="AL191" s="153" t="s">
        <v>2306</v>
      </c>
      <c r="AM191" s="149" t="s">
        <v>65</v>
      </c>
      <c r="AN191" s="158"/>
      <c r="AO191" s="159"/>
      <c r="AQ191"/>
      <c r="AR191"/>
      <c r="AS191"/>
      <c r="AT191"/>
      <c r="AU191"/>
    </row>
    <row r="192" spans="1:47" s="151" customFormat="1" ht="14.25" customHeight="1">
      <c r="A192" s="139"/>
      <c r="B192" s="139"/>
      <c r="C192" s="152">
        <f>IF($X192=1,COUNTIF($C$10:C191,"&gt;0")+1,"")</f>
        <v>90</v>
      </c>
      <c r="D192" s="322">
        <v>75986951</v>
      </c>
      <c r="E192" s="153" t="s">
        <v>2309</v>
      </c>
      <c r="F192" s="154" t="s">
        <v>2953</v>
      </c>
      <c r="G192" s="153" t="s">
        <v>2936</v>
      </c>
      <c r="H192" s="153" t="s">
        <v>2954</v>
      </c>
      <c r="I192" s="153" t="s">
        <v>1818</v>
      </c>
      <c r="J192" s="153" t="s">
        <v>58</v>
      </c>
      <c r="K192" s="153" t="s">
        <v>59</v>
      </c>
      <c r="L192" s="155">
        <v>35685</v>
      </c>
      <c r="M192" s="153">
        <v>28</v>
      </c>
      <c r="N192" s="153" t="s">
        <v>2955</v>
      </c>
      <c r="O192" s="155">
        <v>12064</v>
      </c>
      <c r="P192" s="153" t="s">
        <v>5</v>
      </c>
      <c r="Q192" s="153"/>
      <c r="R192" s="162">
        <v>45913</v>
      </c>
      <c r="S192" s="163">
        <v>45918</v>
      </c>
      <c r="T192" s="164">
        <f t="shared" si="2"/>
        <v>5</v>
      </c>
      <c r="U192" s="153">
        <v>1</v>
      </c>
      <c r="V192" s="153">
        <v>1</v>
      </c>
      <c r="W192" s="153">
        <v>0</v>
      </c>
      <c r="X192" s="153">
        <v>1</v>
      </c>
      <c r="Y192" s="153">
        <v>0</v>
      </c>
      <c r="Z192" s="153">
        <v>0</v>
      </c>
      <c r="AA192" s="153">
        <v>1</v>
      </c>
      <c r="AB192" s="153"/>
      <c r="AC192" s="155">
        <v>45913</v>
      </c>
      <c r="AD192" s="156">
        <v>0.69097222221898846</v>
      </c>
      <c r="AE192" s="153" t="s">
        <v>2939</v>
      </c>
      <c r="AF192" s="155">
        <v>45921</v>
      </c>
      <c r="AG192" s="156">
        <v>0.72569444444525288</v>
      </c>
      <c r="AH192" s="153" t="s">
        <v>313</v>
      </c>
      <c r="AI192" s="153" t="s">
        <v>2315</v>
      </c>
      <c r="AJ192" s="153" t="s">
        <v>64</v>
      </c>
      <c r="AK192" s="153" t="s">
        <v>64</v>
      </c>
      <c r="AL192" s="153" t="s">
        <v>2306</v>
      </c>
      <c r="AM192" s="149" t="s">
        <v>65</v>
      </c>
      <c r="AN192" s="158"/>
      <c r="AO192" s="159"/>
      <c r="AQ192"/>
      <c r="AR192"/>
      <c r="AS192"/>
      <c r="AT192"/>
      <c r="AU192"/>
    </row>
    <row r="193" spans="1:47" s="151" customFormat="1" ht="14.25" customHeight="1">
      <c r="A193" s="139"/>
      <c r="B193" s="139"/>
      <c r="C193" s="152" t="str">
        <f>IF($X193=1,COUNTIF($C$10:C192,"&gt;0")+1,"")</f>
        <v/>
      </c>
      <c r="D193" s="323"/>
      <c r="E193" s="153" t="s">
        <v>2309</v>
      </c>
      <c r="F193" s="154" t="s">
        <v>2956</v>
      </c>
      <c r="G193" s="153" t="s">
        <v>2936</v>
      </c>
      <c r="H193" s="153" t="s">
        <v>2957</v>
      </c>
      <c r="I193" s="153" t="s">
        <v>390</v>
      </c>
      <c r="J193" s="153" t="s">
        <v>58</v>
      </c>
      <c r="K193" s="153" t="s">
        <v>59</v>
      </c>
      <c r="L193" s="155">
        <v>27234</v>
      </c>
      <c r="M193" s="153">
        <v>51</v>
      </c>
      <c r="N193" s="153" t="s">
        <v>2958</v>
      </c>
      <c r="O193" s="155">
        <v>46415</v>
      </c>
      <c r="P193" s="153" t="s">
        <v>5</v>
      </c>
      <c r="Q193" s="153"/>
      <c r="R193" s="162">
        <v>45913</v>
      </c>
      <c r="S193" s="163">
        <v>45918</v>
      </c>
      <c r="T193" s="164">
        <f t="shared" si="2"/>
        <v>5</v>
      </c>
      <c r="U193" s="153">
        <v>1</v>
      </c>
      <c r="V193" s="153">
        <v>1</v>
      </c>
      <c r="W193" s="153">
        <v>0</v>
      </c>
      <c r="X193" s="153">
        <v>0</v>
      </c>
      <c r="Y193" s="153">
        <v>0</v>
      </c>
      <c r="Z193" s="153">
        <v>0</v>
      </c>
      <c r="AA193" s="153">
        <v>0</v>
      </c>
      <c r="AB193" s="153"/>
      <c r="AC193" s="155">
        <v>45913</v>
      </c>
      <c r="AD193" s="156">
        <v>0.69097222221898846</v>
      </c>
      <c r="AE193" s="153" t="s">
        <v>2939</v>
      </c>
      <c r="AF193" s="155">
        <v>45921</v>
      </c>
      <c r="AG193" s="156">
        <v>0.72569444444525288</v>
      </c>
      <c r="AH193" s="153" t="s">
        <v>313</v>
      </c>
      <c r="AI193" s="153" t="s">
        <v>2315</v>
      </c>
      <c r="AJ193" s="153" t="s">
        <v>64</v>
      </c>
      <c r="AK193" s="153" t="s">
        <v>64</v>
      </c>
      <c r="AL193" s="153" t="s">
        <v>2306</v>
      </c>
      <c r="AM193" s="149" t="s">
        <v>65</v>
      </c>
      <c r="AN193" s="158"/>
      <c r="AO193" s="159"/>
      <c r="AQ193"/>
      <c r="AR193"/>
      <c r="AS193"/>
      <c r="AT193"/>
      <c r="AU193"/>
    </row>
    <row r="194" spans="1:47" s="151" customFormat="1" ht="14.25" customHeight="1">
      <c r="A194" s="139"/>
      <c r="B194" s="139"/>
      <c r="C194" s="152">
        <f>IF($X194=1,COUNTIF($C$10:C193,"&gt;0")+1,"")</f>
        <v>91</v>
      </c>
      <c r="D194" s="322">
        <v>75986977</v>
      </c>
      <c r="E194" s="153" t="s">
        <v>2309</v>
      </c>
      <c r="F194" s="154" t="s">
        <v>2959</v>
      </c>
      <c r="G194" s="153" t="s">
        <v>2959</v>
      </c>
      <c r="H194" s="153" t="s">
        <v>2960</v>
      </c>
      <c r="I194" s="153" t="s">
        <v>2961</v>
      </c>
      <c r="J194" s="153" t="s">
        <v>58</v>
      </c>
      <c r="K194" s="153" t="s">
        <v>59</v>
      </c>
      <c r="L194" s="155">
        <v>24805</v>
      </c>
      <c r="M194" s="153">
        <v>57</v>
      </c>
      <c r="N194" s="153" t="s">
        <v>2962</v>
      </c>
      <c r="O194" s="155">
        <v>49105</v>
      </c>
      <c r="P194" s="153" t="s">
        <v>4</v>
      </c>
      <c r="Q194" s="153"/>
      <c r="R194" s="162">
        <v>45913</v>
      </c>
      <c r="S194" s="163">
        <v>45918</v>
      </c>
      <c r="T194" s="164">
        <f t="shared" si="2"/>
        <v>5</v>
      </c>
      <c r="U194" s="153">
        <v>1</v>
      </c>
      <c r="V194" s="153">
        <v>1</v>
      </c>
      <c r="W194" s="153">
        <v>0</v>
      </c>
      <c r="X194" s="153">
        <v>1</v>
      </c>
      <c r="Y194" s="153">
        <v>0</v>
      </c>
      <c r="Z194" s="153">
        <v>1</v>
      </c>
      <c r="AA194" s="153">
        <v>0</v>
      </c>
      <c r="AB194" s="153"/>
      <c r="AC194" s="155">
        <v>45913</v>
      </c>
      <c r="AD194" s="156">
        <v>0.88194444444525288</v>
      </c>
      <c r="AE194" s="153" t="s">
        <v>2963</v>
      </c>
      <c r="AF194" s="155">
        <v>45918</v>
      </c>
      <c r="AG194" s="156">
        <v>0.47916666666424135</v>
      </c>
      <c r="AH194" s="153" t="s">
        <v>189</v>
      </c>
      <c r="AI194" s="153" t="s">
        <v>2315</v>
      </c>
      <c r="AJ194" s="153" t="s">
        <v>64</v>
      </c>
      <c r="AK194" s="153" t="s">
        <v>2964</v>
      </c>
      <c r="AL194" s="153" t="s">
        <v>2306</v>
      </c>
      <c r="AM194" s="149" t="s">
        <v>65</v>
      </c>
      <c r="AN194" s="158" t="s">
        <v>1600</v>
      </c>
      <c r="AO194" s="159"/>
      <c r="AQ194"/>
      <c r="AR194"/>
      <c r="AS194"/>
      <c r="AT194"/>
      <c r="AU194"/>
    </row>
    <row r="195" spans="1:47" s="151" customFormat="1" ht="14.25" customHeight="1">
      <c r="A195" s="139"/>
      <c r="B195" s="139"/>
      <c r="C195" s="152" t="str">
        <f>IF($X195=1,COUNTIF($C$10:C194,"&gt;0")+1,"")</f>
        <v/>
      </c>
      <c r="D195" s="323"/>
      <c r="E195" s="153" t="s">
        <v>2309</v>
      </c>
      <c r="F195" s="154" t="s">
        <v>2965</v>
      </c>
      <c r="G195" s="153" t="s">
        <v>2959</v>
      </c>
      <c r="H195" s="153" t="s">
        <v>2966</v>
      </c>
      <c r="I195" s="153" t="s">
        <v>2961</v>
      </c>
      <c r="J195" s="153" t="s">
        <v>68</v>
      </c>
      <c r="K195" s="153" t="s">
        <v>59</v>
      </c>
      <c r="L195" s="155">
        <v>25466</v>
      </c>
      <c r="M195" s="153">
        <v>55</v>
      </c>
      <c r="N195" s="153" t="s">
        <v>2967</v>
      </c>
      <c r="O195" s="155">
        <v>49105</v>
      </c>
      <c r="P195" s="153" t="s">
        <v>4</v>
      </c>
      <c r="Q195" s="153"/>
      <c r="R195" s="162">
        <v>45913</v>
      </c>
      <c r="S195" s="163">
        <v>45918</v>
      </c>
      <c r="T195" s="164">
        <f t="shared" si="2"/>
        <v>5</v>
      </c>
      <c r="U195" s="153">
        <v>1</v>
      </c>
      <c r="V195" s="153">
        <v>1</v>
      </c>
      <c r="W195" s="153">
        <v>0</v>
      </c>
      <c r="X195" s="153">
        <v>0</v>
      </c>
      <c r="Y195" s="153">
        <v>0</v>
      </c>
      <c r="Z195" s="153">
        <v>0</v>
      </c>
      <c r="AA195" s="153">
        <v>0</v>
      </c>
      <c r="AB195" s="153"/>
      <c r="AC195" s="155">
        <v>45913</v>
      </c>
      <c r="AD195" s="156">
        <v>0.88194444444525288</v>
      </c>
      <c r="AE195" s="153" t="s">
        <v>2963</v>
      </c>
      <c r="AF195" s="155">
        <v>45918</v>
      </c>
      <c r="AG195" s="156">
        <v>0.47916666666424135</v>
      </c>
      <c r="AH195" s="153" t="s">
        <v>189</v>
      </c>
      <c r="AI195" s="153" t="s">
        <v>2315</v>
      </c>
      <c r="AJ195" s="153" t="s">
        <v>64</v>
      </c>
      <c r="AK195" s="153" t="s">
        <v>64</v>
      </c>
      <c r="AL195" s="153" t="s">
        <v>2306</v>
      </c>
      <c r="AM195" s="149" t="s">
        <v>65</v>
      </c>
      <c r="AN195" s="158" t="s">
        <v>1600</v>
      </c>
      <c r="AO195" s="159"/>
      <c r="AQ195"/>
      <c r="AR195"/>
      <c r="AS195"/>
      <c r="AT195"/>
      <c r="AU195"/>
    </row>
    <row r="196" spans="1:47" s="151" customFormat="1" ht="14.25" customHeight="1">
      <c r="A196" s="139"/>
      <c r="B196" s="139"/>
      <c r="C196" s="152">
        <f>IF($X196=1,COUNTIF($C$10:C195,"&gt;0")+1,"")</f>
        <v>92</v>
      </c>
      <c r="D196" s="322">
        <v>75987018</v>
      </c>
      <c r="E196" s="153" t="s">
        <v>2309</v>
      </c>
      <c r="F196" s="154" t="s">
        <v>2968</v>
      </c>
      <c r="G196" s="153" t="s">
        <v>2968</v>
      </c>
      <c r="H196" s="153" t="s">
        <v>2969</v>
      </c>
      <c r="I196" s="153" t="s">
        <v>2970</v>
      </c>
      <c r="J196" s="153" t="s">
        <v>58</v>
      </c>
      <c r="K196" s="153" t="s">
        <v>59</v>
      </c>
      <c r="L196" s="155">
        <v>33964</v>
      </c>
      <c r="M196" s="153">
        <v>32</v>
      </c>
      <c r="N196" s="153" t="s">
        <v>2971</v>
      </c>
      <c r="O196" s="155">
        <v>49526</v>
      </c>
      <c r="P196" s="153" t="s">
        <v>4</v>
      </c>
      <c r="Q196" s="153"/>
      <c r="R196" s="162">
        <v>45913</v>
      </c>
      <c r="S196" s="163">
        <v>45918</v>
      </c>
      <c r="T196" s="164">
        <f t="shared" si="2"/>
        <v>5</v>
      </c>
      <c r="U196" s="153">
        <v>1</v>
      </c>
      <c r="V196" s="153">
        <v>1</v>
      </c>
      <c r="W196" s="153">
        <v>0</v>
      </c>
      <c r="X196" s="153">
        <v>1</v>
      </c>
      <c r="Y196" s="153">
        <v>0</v>
      </c>
      <c r="Z196" s="153">
        <v>1</v>
      </c>
      <c r="AA196" s="153">
        <v>0</v>
      </c>
      <c r="AB196" s="153"/>
      <c r="AC196" s="155">
        <v>45913</v>
      </c>
      <c r="AD196" s="156">
        <v>0.64583333333575865</v>
      </c>
      <c r="AE196" s="153" t="s">
        <v>312</v>
      </c>
      <c r="AF196" s="155" t="s">
        <v>64</v>
      </c>
      <c r="AG196" s="156" t="s">
        <v>64</v>
      </c>
      <c r="AH196" s="153" t="s">
        <v>2972</v>
      </c>
      <c r="AI196" s="153" t="s">
        <v>2315</v>
      </c>
      <c r="AJ196" s="153" t="s">
        <v>64</v>
      </c>
      <c r="AK196" s="153" t="s">
        <v>64</v>
      </c>
      <c r="AL196" s="153" t="s">
        <v>2306</v>
      </c>
      <c r="AM196" s="149" t="s">
        <v>65</v>
      </c>
      <c r="AN196" s="158"/>
      <c r="AO196" s="159"/>
      <c r="AQ196"/>
      <c r="AR196"/>
      <c r="AS196"/>
      <c r="AT196"/>
      <c r="AU196"/>
    </row>
    <row r="197" spans="1:47" s="151" customFormat="1" ht="14.25" customHeight="1">
      <c r="A197" s="139"/>
      <c r="B197" s="139"/>
      <c r="C197" s="152" t="str">
        <f>IF($X197=1,COUNTIF($C$10:C196,"&gt;0")+1,"")</f>
        <v/>
      </c>
      <c r="D197" s="323"/>
      <c r="E197" s="153" t="s">
        <v>2309</v>
      </c>
      <c r="F197" s="154" t="s">
        <v>2973</v>
      </c>
      <c r="G197" s="153" t="s">
        <v>2968</v>
      </c>
      <c r="H197" s="168" t="s">
        <v>2974</v>
      </c>
      <c r="I197" s="168" t="s">
        <v>2970</v>
      </c>
      <c r="J197" s="168" t="s">
        <v>68</v>
      </c>
      <c r="K197" s="168" t="s">
        <v>59</v>
      </c>
      <c r="L197" s="169">
        <v>33970</v>
      </c>
      <c r="M197" s="168">
        <v>32</v>
      </c>
      <c r="N197" s="153" t="s">
        <v>64</v>
      </c>
      <c r="O197" s="155" t="s">
        <v>64</v>
      </c>
      <c r="P197" s="153" t="s">
        <v>4</v>
      </c>
      <c r="Q197" s="153"/>
      <c r="R197" s="162">
        <v>45913</v>
      </c>
      <c r="S197" s="163">
        <v>45918</v>
      </c>
      <c r="T197" s="164">
        <f t="shared" si="2"/>
        <v>5</v>
      </c>
      <c r="U197" s="153">
        <v>1</v>
      </c>
      <c r="V197" s="153">
        <v>1</v>
      </c>
      <c r="W197" s="153">
        <v>0</v>
      </c>
      <c r="X197" s="153">
        <v>0</v>
      </c>
      <c r="Y197" s="153">
        <v>0</v>
      </c>
      <c r="Z197" s="153">
        <v>0</v>
      </c>
      <c r="AA197" s="153">
        <v>0</v>
      </c>
      <c r="AB197" s="153"/>
      <c r="AC197" s="155">
        <v>45913</v>
      </c>
      <c r="AD197" s="156">
        <v>0.64583333333575865</v>
      </c>
      <c r="AE197" s="153" t="s">
        <v>312</v>
      </c>
      <c r="AF197" s="155" t="s">
        <v>64</v>
      </c>
      <c r="AG197" s="156" t="s">
        <v>64</v>
      </c>
      <c r="AH197" s="153" t="s">
        <v>2972</v>
      </c>
      <c r="AI197" s="153" t="s">
        <v>2315</v>
      </c>
      <c r="AJ197" s="153" t="s">
        <v>64</v>
      </c>
      <c r="AK197" s="153" t="s">
        <v>64</v>
      </c>
      <c r="AL197" s="153" t="s">
        <v>2306</v>
      </c>
      <c r="AM197" s="149" t="s">
        <v>65</v>
      </c>
      <c r="AN197" s="158"/>
      <c r="AO197" s="171" t="s">
        <v>2975</v>
      </c>
      <c r="AQ197"/>
      <c r="AR197"/>
      <c r="AS197"/>
      <c r="AT197"/>
      <c r="AU197"/>
    </row>
    <row r="198" spans="1:47" s="151" customFormat="1" ht="14.25" customHeight="1">
      <c r="A198" s="139"/>
      <c r="B198" s="139"/>
      <c r="C198" s="152">
        <f>IF($X198=1,COUNTIF($C$10:C197,"&gt;0")+1,"")</f>
        <v>93</v>
      </c>
      <c r="D198" s="322">
        <v>75987043</v>
      </c>
      <c r="E198" s="153" t="s">
        <v>2309</v>
      </c>
      <c r="F198" s="154" t="s">
        <v>2976</v>
      </c>
      <c r="G198" s="153" t="s">
        <v>2976</v>
      </c>
      <c r="H198" s="153" t="s">
        <v>2941</v>
      </c>
      <c r="I198" s="153" t="s">
        <v>2011</v>
      </c>
      <c r="J198" s="153" t="s">
        <v>68</v>
      </c>
      <c r="K198" s="153" t="s">
        <v>59</v>
      </c>
      <c r="L198" s="155">
        <v>20714</v>
      </c>
      <c r="M198" s="153">
        <v>69</v>
      </c>
      <c r="N198" s="153" t="s">
        <v>2977</v>
      </c>
      <c r="O198" s="155">
        <v>49325</v>
      </c>
      <c r="P198" s="153" t="s">
        <v>5</v>
      </c>
      <c r="Q198" s="153"/>
      <c r="R198" s="162">
        <v>45913</v>
      </c>
      <c r="S198" s="163">
        <v>45918</v>
      </c>
      <c r="T198" s="164">
        <f t="shared" si="2"/>
        <v>5</v>
      </c>
      <c r="U198" s="153">
        <v>1</v>
      </c>
      <c r="V198" s="153">
        <v>1</v>
      </c>
      <c r="W198" s="153">
        <v>0</v>
      </c>
      <c r="X198" s="153">
        <v>1</v>
      </c>
      <c r="Y198" s="153">
        <v>0</v>
      </c>
      <c r="Z198" s="153">
        <v>0</v>
      </c>
      <c r="AA198" s="153">
        <v>1</v>
      </c>
      <c r="AB198" s="153"/>
      <c r="AC198" s="155">
        <v>45912</v>
      </c>
      <c r="AD198" s="156" t="s">
        <v>64</v>
      </c>
      <c r="AE198" s="153" t="s">
        <v>64</v>
      </c>
      <c r="AF198" s="155" t="s">
        <v>64</v>
      </c>
      <c r="AG198" s="156" t="s">
        <v>64</v>
      </c>
      <c r="AH198" s="153" t="s">
        <v>1058</v>
      </c>
      <c r="AI198" s="153" t="s">
        <v>2315</v>
      </c>
      <c r="AJ198" s="153" t="s">
        <v>64</v>
      </c>
      <c r="AK198" s="153" t="s">
        <v>64</v>
      </c>
      <c r="AL198" s="153" t="s">
        <v>2306</v>
      </c>
      <c r="AM198" s="149" t="s">
        <v>65</v>
      </c>
      <c r="AN198" s="158"/>
      <c r="AO198" s="159"/>
      <c r="AQ198"/>
      <c r="AR198"/>
      <c r="AS198"/>
      <c r="AT198"/>
      <c r="AU198"/>
    </row>
    <row r="199" spans="1:47" s="151" customFormat="1" ht="14.25" customHeight="1">
      <c r="A199" s="139"/>
      <c r="B199" s="139"/>
      <c r="C199" s="152" t="str">
        <f>IF($X199=1,COUNTIF($C$10:C198,"&gt;0")+1,"")</f>
        <v/>
      </c>
      <c r="D199" s="323"/>
      <c r="E199" s="153" t="s">
        <v>2309</v>
      </c>
      <c r="F199" s="154" t="s">
        <v>2978</v>
      </c>
      <c r="G199" s="153" t="s">
        <v>2976</v>
      </c>
      <c r="H199" s="153" t="s">
        <v>2979</v>
      </c>
      <c r="I199" s="153" t="s">
        <v>2011</v>
      </c>
      <c r="J199" s="153" t="s">
        <v>68</v>
      </c>
      <c r="K199" s="153" t="s">
        <v>59</v>
      </c>
      <c r="L199" s="155">
        <v>13668</v>
      </c>
      <c r="M199" s="153">
        <v>88</v>
      </c>
      <c r="N199" s="153" t="s">
        <v>2980</v>
      </c>
      <c r="O199" s="155">
        <v>49002</v>
      </c>
      <c r="P199" s="153" t="s">
        <v>5</v>
      </c>
      <c r="Q199" s="153"/>
      <c r="R199" s="162">
        <v>45913</v>
      </c>
      <c r="S199" s="163">
        <v>45918</v>
      </c>
      <c r="T199" s="164">
        <f t="shared" si="2"/>
        <v>5</v>
      </c>
      <c r="U199" s="153">
        <v>1</v>
      </c>
      <c r="V199" s="153">
        <v>1</v>
      </c>
      <c r="W199" s="153">
        <v>0</v>
      </c>
      <c r="X199" s="153">
        <v>0</v>
      </c>
      <c r="Y199" s="153">
        <v>0</v>
      </c>
      <c r="Z199" s="153">
        <v>0</v>
      </c>
      <c r="AA199" s="153">
        <v>0</v>
      </c>
      <c r="AB199" s="153"/>
      <c r="AC199" s="155">
        <v>45912</v>
      </c>
      <c r="AD199" s="156" t="s">
        <v>64</v>
      </c>
      <c r="AE199" s="153" t="s">
        <v>64</v>
      </c>
      <c r="AF199" s="155" t="s">
        <v>64</v>
      </c>
      <c r="AG199" s="156" t="s">
        <v>64</v>
      </c>
      <c r="AH199" s="153" t="s">
        <v>1058</v>
      </c>
      <c r="AI199" s="153" t="s">
        <v>2315</v>
      </c>
      <c r="AJ199" s="153" t="s">
        <v>64</v>
      </c>
      <c r="AK199" s="153" t="s">
        <v>64</v>
      </c>
      <c r="AL199" s="153" t="s">
        <v>2306</v>
      </c>
      <c r="AM199" s="149" t="s">
        <v>65</v>
      </c>
      <c r="AN199" s="158"/>
      <c r="AO199" s="159"/>
      <c r="AQ199"/>
      <c r="AR199"/>
      <c r="AS199"/>
      <c r="AT199"/>
      <c r="AU199"/>
    </row>
    <row r="200" spans="1:47" s="151" customFormat="1" ht="14.25" customHeight="1">
      <c r="A200" s="139"/>
      <c r="B200" s="139"/>
      <c r="C200" s="152">
        <f>IF($X200=1,COUNTIF($C$10:C199,"&gt;0")+1,"")</f>
        <v>94</v>
      </c>
      <c r="D200" s="322">
        <v>75987081</v>
      </c>
      <c r="E200" s="153" t="s">
        <v>2309</v>
      </c>
      <c r="F200" s="154" t="s">
        <v>2981</v>
      </c>
      <c r="G200" s="153" t="s">
        <v>2976</v>
      </c>
      <c r="H200" s="153" t="s">
        <v>2982</v>
      </c>
      <c r="I200" s="153" t="s">
        <v>2983</v>
      </c>
      <c r="J200" s="153" t="s">
        <v>68</v>
      </c>
      <c r="K200" s="153" t="s">
        <v>59</v>
      </c>
      <c r="L200" s="155">
        <v>31994</v>
      </c>
      <c r="M200" s="153">
        <v>38</v>
      </c>
      <c r="N200" s="153" t="s">
        <v>2984</v>
      </c>
      <c r="O200" s="155">
        <v>48271</v>
      </c>
      <c r="P200" s="153" t="s">
        <v>4</v>
      </c>
      <c r="Q200" s="153"/>
      <c r="R200" s="162">
        <v>45913</v>
      </c>
      <c r="S200" s="163">
        <v>45918</v>
      </c>
      <c r="T200" s="164">
        <f t="shared" si="2"/>
        <v>5</v>
      </c>
      <c r="U200" s="153">
        <v>1</v>
      </c>
      <c r="V200" s="153">
        <v>1</v>
      </c>
      <c r="W200" s="153">
        <v>0</v>
      </c>
      <c r="X200" s="153">
        <v>1</v>
      </c>
      <c r="Y200" s="153">
        <v>0</v>
      </c>
      <c r="Z200" s="153">
        <v>1</v>
      </c>
      <c r="AA200" s="153">
        <v>0</v>
      </c>
      <c r="AB200" s="153"/>
      <c r="AC200" s="169">
        <v>45913</v>
      </c>
      <c r="AD200" s="170">
        <v>0.1875</v>
      </c>
      <c r="AE200" s="168" t="s">
        <v>220</v>
      </c>
      <c r="AF200" s="155"/>
      <c r="AG200" s="156" t="s">
        <v>64</v>
      </c>
      <c r="AH200" s="153" t="s">
        <v>64</v>
      </c>
      <c r="AI200" s="153" t="s">
        <v>2315</v>
      </c>
      <c r="AJ200" s="153" t="s">
        <v>64</v>
      </c>
      <c r="AK200" s="153" t="s">
        <v>64</v>
      </c>
      <c r="AL200" s="153" t="s">
        <v>2306</v>
      </c>
      <c r="AM200" s="149" t="s">
        <v>65</v>
      </c>
      <c r="AN200" s="158"/>
      <c r="AO200" s="159"/>
      <c r="AQ200"/>
      <c r="AR200"/>
      <c r="AS200"/>
      <c r="AT200"/>
      <c r="AU200"/>
    </row>
    <row r="201" spans="1:47" s="151" customFormat="1" ht="14.25" customHeight="1">
      <c r="A201" s="139"/>
      <c r="B201" s="139"/>
      <c r="C201" s="152" t="str">
        <f>IF($X201=1,COUNTIF($C$10:C200,"&gt;0")+1,"")</f>
        <v/>
      </c>
      <c r="D201" s="324"/>
      <c r="E201" s="153" t="s">
        <v>2309</v>
      </c>
      <c r="F201" s="154" t="s">
        <v>2985</v>
      </c>
      <c r="G201" s="153" t="s">
        <v>2976</v>
      </c>
      <c r="H201" s="153" t="s">
        <v>2986</v>
      </c>
      <c r="I201" s="153" t="s">
        <v>2987</v>
      </c>
      <c r="J201" s="153" t="s">
        <v>58</v>
      </c>
      <c r="K201" s="153" t="s">
        <v>59</v>
      </c>
      <c r="L201" s="155">
        <v>32102</v>
      </c>
      <c r="M201" s="153">
        <v>37</v>
      </c>
      <c r="N201" s="153" t="s">
        <v>2988</v>
      </c>
      <c r="O201" s="155">
        <v>49483</v>
      </c>
      <c r="P201" s="153" t="s">
        <v>4</v>
      </c>
      <c r="Q201" s="153"/>
      <c r="R201" s="162">
        <v>45913</v>
      </c>
      <c r="S201" s="163">
        <v>45918</v>
      </c>
      <c r="T201" s="164">
        <f t="shared" si="2"/>
        <v>5</v>
      </c>
      <c r="U201" s="153">
        <v>1</v>
      </c>
      <c r="V201" s="153">
        <v>1</v>
      </c>
      <c r="W201" s="153">
        <v>0</v>
      </c>
      <c r="X201" s="153">
        <v>0</v>
      </c>
      <c r="Y201" s="153">
        <v>0</v>
      </c>
      <c r="Z201" s="153">
        <v>0</v>
      </c>
      <c r="AA201" s="153">
        <v>0</v>
      </c>
      <c r="AB201" s="153"/>
      <c r="AC201" s="169">
        <v>45913</v>
      </c>
      <c r="AD201" s="170">
        <v>0.1875</v>
      </c>
      <c r="AE201" s="168" t="s">
        <v>220</v>
      </c>
      <c r="AF201" s="155" t="s">
        <v>64</v>
      </c>
      <c r="AG201" s="156" t="s">
        <v>64</v>
      </c>
      <c r="AH201" s="153" t="s">
        <v>64</v>
      </c>
      <c r="AI201" s="153" t="s">
        <v>2315</v>
      </c>
      <c r="AJ201" s="153" t="s">
        <v>64</v>
      </c>
      <c r="AK201" s="153" t="s">
        <v>64</v>
      </c>
      <c r="AL201" s="153" t="s">
        <v>2306</v>
      </c>
      <c r="AM201" s="149" t="s">
        <v>65</v>
      </c>
      <c r="AN201" s="158"/>
      <c r="AO201" s="159"/>
      <c r="AQ201"/>
      <c r="AR201"/>
      <c r="AS201"/>
      <c r="AT201"/>
      <c r="AU201"/>
    </row>
    <row r="202" spans="1:47" s="151" customFormat="1" ht="14.25" customHeight="1">
      <c r="A202" s="139"/>
      <c r="B202" s="139"/>
      <c r="C202" s="152" t="str">
        <f>IF($X202=1,COUNTIF($C$10:C201,"&gt;0")+1,"")</f>
        <v/>
      </c>
      <c r="D202" s="323"/>
      <c r="E202" s="153" t="s">
        <v>2309</v>
      </c>
      <c r="F202" s="154" t="s">
        <v>2989</v>
      </c>
      <c r="G202" s="153" t="s">
        <v>2976</v>
      </c>
      <c r="H202" s="153" t="s">
        <v>2990</v>
      </c>
      <c r="I202" s="153" t="s">
        <v>2987</v>
      </c>
      <c r="J202" s="153" t="s">
        <v>58</v>
      </c>
      <c r="K202" s="153" t="s">
        <v>59</v>
      </c>
      <c r="L202" s="155">
        <v>45033</v>
      </c>
      <c r="M202" s="153">
        <v>2</v>
      </c>
      <c r="N202" s="153" t="s">
        <v>2991</v>
      </c>
      <c r="O202" s="155">
        <v>47184</v>
      </c>
      <c r="P202" s="153" t="s">
        <v>4</v>
      </c>
      <c r="Q202" s="153"/>
      <c r="R202" s="162">
        <v>45913</v>
      </c>
      <c r="S202" s="163">
        <v>45918</v>
      </c>
      <c r="T202" s="164">
        <f t="shared" ref="T202:T265" si="3">S202-R202</f>
        <v>5</v>
      </c>
      <c r="U202" s="153">
        <v>1</v>
      </c>
      <c r="V202" s="153">
        <v>0</v>
      </c>
      <c r="W202" s="153">
        <v>1</v>
      </c>
      <c r="X202" s="153">
        <v>0</v>
      </c>
      <c r="Y202" s="153">
        <v>0</v>
      </c>
      <c r="Z202" s="153">
        <v>0</v>
      </c>
      <c r="AA202" s="153">
        <v>0</v>
      </c>
      <c r="AB202" s="153"/>
      <c r="AC202" s="169">
        <v>45913</v>
      </c>
      <c r="AD202" s="170">
        <v>0.1875</v>
      </c>
      <c r="AE202" s="168" t="s">
        <v>220</v>
      </c>
      <c r="AF202" s="155" t="s">
        <v>64</v>
      </c>
      <c r="AG202" s="156" t="s">
        <v>64</v>
      </c>
      <c r="AH202" s="153" t="s">
        <v>64</v>
      </c>
      <c r="AI202" s="153" t="s">
        <v>2315</v>
      </c>
      <c r="AJ202" s="153" t="s">
        <v>64</v>
      </c>
      <c r="AK202" s="153" t="s">
        <v>64</v>
      </c>
      <c r="AL202" s="153" t="s">
        <v>2306</v>
      </c>
      <c r="AM202" s="149" t="s">
        <v>65</v>
      </c>
      <c r="AN202" s="158"/>
      <c r="AO202" s="159"/>
      <c r="AQ202"/>
      <c r="AR202"/>
      <c r="AS202"/>
      <c r="AT202"/>
      <c r="AU202"/>
    </row>
    <row r="203" spans="1:47" s="151" customFormat="1" ht="14.25" customHeight="1">
      <c r="A203" s="139"/>
      <c r="B203" s="139"/>
      <c r="C203" s="152">
        <f>IF($X203=1,COUNTIF($C$10:C202,"&gt;0")+1,"")</f>
        <v>95</v>
      </c>
      <c r="D203" s="322">
        <v>75987105</v>
      </c>
      <c r="E203" s="153" t="s">
        <v>2309</v>
      </c>
      <c r="F203" s="154" t="s">
        <v>2992</v>
      </c>
      <c r="G203" s="153" t="s">
        <v>2992</v>
      </c>
      <c r="H203" s="153" t="s">
        <v>2993</v>
      </c>
      <c r="I203" s="153" t="s">
        <v>438</v>
      </c>
      <c r="J203" s="153" t="s">
        <v>68</v>
      </c>
      <c r="K203" s="153" t="s">
        <v>59</v>
      </c>
      <c r="L203" s="155">
        <v>27582</v>
      </c>
      <c r="M203" s="153">
        <v>50</v>
      </c>
      <c r="N203" s="153" t="s">
        <v>2994</v>
      </c>
      <c r="O203" s="155">
        <v>49435</v>
      </c>
      <c r="P203" s="153" t="s">
        <v>4</v>
      </c>
      <c r="Q203" s="153"/>
      <c r="R203" s="162">
        <v>45913</v>
      </c>
      <c r="S203" s="163">
        <v>45918</v>
      </c>
      <c r="T203" s="164">
        <f t="shared" si="3"/>
        <v>5</v>
      </c>
      <c r="U203" s="153">
        <v>1</v>
      </c>
      <c r="V203" s="153">
        <v>1</v>
      </c>
      <c r="W203" s="153">
        <v>0</v>
      </c>
      <c r="X203" s="153">
        <v>1</v>
      </c>
      <c r="Y203" s="153">
        <v>0</v>
      </c>
      <c r="Z203" s="153">
        <v>1</v>
      </c>
      <c r="AA203" s="153">
        <v>0</v>
      </c>
      <c r="AB203" s="153"/>
      <c r="AC203" s="155">
        <v>45912</v>
      </c>
      <c r="AD203" s="156">
        <v>0.18055555555474712</v>
      </c>
      <c r="AE203" s="153" t="s">
        <v>95</v>
      </c>
      <c r="AF203" s="155">
        <v>45918</v>
      </c>
      <c r="AG203" s="156">
        <v>0.64583333333575865</v>
      </c>
      <c r="AH203" s="153" t="s">
        <v>2995</v>
      </c>
      <c r="AI203" s="153" t="s">
        <v>2315</v>
      </c>
      <c r="AJ203" s="153" t="s">
        <v>64</v>
      </c>
      <c r="AK203" s="153" t="s">
        <v>64</v>
      </c>
      <c r="AL203" s="153" t="s">
        <v>2306</v>
      </c>
      <c r="AM203" s="149" t="s">
        <v>65</v>
      </c>
      <c r="AN203" s="158"/>
      <c r="AO203" s="159"/>
      <c r="AQ203"/>
      <c r="AR203"/>
      <c r="AS203"/>
      <c r="AT203"/>
      <c r="AU203"/>
    </row>
    <row r="204" spans="1:47" s="151" customFormat="1" ht="14.25" customHeight="1">
      <c r="A204" s="139"/>
      <c r="B204" s="139"/>
      <c r="C204" s="152" t="str">
        <f>IF($X204=1,COUNTIF($C$10:C203,"&gt;0")+1,"")</f>
        <v/>
      </c>
      <c r="D204" s="324"/>
      <c r="E204" s="153" t="s">
        <v>2309</v>
      </c>
      <c r="F204" s="154" t="s">
        <v>2996</v>
      </c>
      <c r="G204" s="153" t="s">
        <v>2992</v>
      </c>
      <c r="H204" s="153" t="s">
        <v>2997</v>
      </c>
      <c r="I204" s="153" t="s">
        <v>2998</v>
      </c>
      <c r="J204" s="153" t="s">
        <v>58</v>
      </c>
      <c r="K204" s="153" t="s">
        <v>59</v>
      </c>
      <c r="L204" s="155">
        <v>26819</v>
      </c>
      <c r="M204" s="153">
        <v>52</v>
      </c>
      <c r="N204" s="153" t="s">
        <v>2999</v>
      </c>
      <c r="O204" s="155">
        <v>47553</v>
      </c>
      <c r="P204" s="153" t="s">
        <v>4</v>
      </c>
      <c r="Q204" s="153"/>
      <c r="R204" s="162">
        <v>45913</v>
      </c>
      <c r="S204" s="163">
        <v>45918</v>
      </c>
      <c r="T204" s="164">
        <f t="shared" si="3"/>
        <v>5</v>
      </c>
      <c r="U204" s="153">
        <v>1</v>
      </c>
      <c r="V204" s="153">
        <v>1</v>
      </c>
      <c r="W204" s="153">
        <v>0</v>
      </c>
      <c r="X204" s="153">
        <v>0</v>
      </c>
      <c r="Y204" s="153">
        <v>0</v>
      </c>
      <c r="Z204" s="153">
        <v>0</v>
      </c>
      <c r="AA204" s="153">
        <v>0</v>
      </c>
      <c r="AB204" s="153"/>
      <c r="AC204" s="155">
        <v>45912</v>
      </c>
      <c r="AD204" s="156">
        <v>0.18055555555474712</v>
      </c>
      <c r="AE204" s="153" t="s">
        <v>95</v>
      </c>
      <c r="AF204" s="155">
        <v>45918</v>
      </c>
      <c r="AG204" s="156">
        <v>0.64583333333575865</v>
      </c>
      <c r="AH204" s="153" t="s">
        <v>2995</v>
      </c>
      <c r="AI204" s="153" t="s">
        <v>2315</v>
      </c>
      <c r="AJ204" s="153" t="s">
        <v>64</v>
      </c>
      <c r="AK204" s="153" t="s">
        <v>64</v>
      </c>
      <c r="AL204" s="153" t="s">
        <v>2306</v>
      </c>
      <c r="AM204" s="149" t="s">
        <v>65</v>
      </c>
      <c r="AN204" s="158"/>
      <c r="AO204" s="159"/>
      <c r="AQ204"/>
      <c r="AR204"/>
      <c r="AS204"/>
      <c r="AT204"/>
      <c r="AU204"/>
    </row>
    <row r="205" spans="1:47" s="151" customFormat="1" ht="14.25" customHeight="1">
      <c r="A205" s="139"/>
      <c r="B205" s="139"/>
      <c r="C205" s="152" t="str">
        <f>IF($X205=1,COUNTIF($C$10:C204,"&gt;0")+1,"")</f>
        <v/>
      </c>
      <c r="D205" s="323"/>
      <c r="E205" s="153" t="s">
        <v>2309</v>
      </c>
      <c r="F205" s="154" t="s">
        <v>3000</v>
      </c>
      <c r="G205" s="153" t="s">
        <v>2992</v>
      </c>
      <c r="H205" s="153" t="s">
        <v>3001</v>
      </c>
      <c r="I205" s="153" t="s">
        <v>2998</v>
      </c>
      <c r="J205" s="153" t="s">
        <v>58</v>
      </c>
      <c r="K205" s="153" t="s">
        <v>59</v>
      </c>
      <c r="L205" s="155">
        <v>41574</v>
      </c>
      <c r="M205" s="153">
        <v>11</v>
      </c>
      <c r="N205" s="153" t="s">
        <v>3002</v>
      </c>
      <c r="O205" s="155">
        <v>46204</v>
      </c>
      <c r="P205" s="153" t="s">
        <v>4</v>
      </c>
      <c r="Q205" s="153"/>
      <c r="R205" s="162">
        <v>45913</v>
      </c>
      <c r="S205" s="163">
        <v>45918</v>
      </c>
      <c r="T205" s="164">
        <f t="shared" si="3"/>
        <v>5</v>
      </c>
      <c r="U205" s="153">
        <v>1</v>
      </c>
      <c r="V205" s="153">
        <v>0</v>
      </c>
      <c r="W205" s="153">
        <v>1</v>
      </c>
      <c r="X205" s="153">
        <v>0</v>
      </c>
      <c r="Y205" s="153">
        <v>0</v>
      </c>
      <c r="Z205" s="153">
        <v>0</v>
      </c>
      <c r="AA205" s="153">
        <v>0</v>
      </c>
      <c r="AB205" s="153"/>
      <c r="AC205" s="155">
        <v>45912</v>
      </c>
      <c r="AD205" s="156">
        <v>0.18055555555474712</v>
      </c>
      <c r="AE205" s="153" t="s">
        <v>95</v>
      </c>
      <c r="AF205" s="155">
        <v>45918</v>
      </c>
      <c r="AG205" s="156">
        <v>0.64583333333575865</v>
      </c>
      <c r="AH205" s="153" t="s">
        <v>2995</v>
      </c>
      <c r="AI205" s="153" t="s">
        <v>2315</v>
      </c>
      <c r="AJ205" s="153" t="s">
        <v>64</v>
      </c>
      <c r="AK205" s="153" t="s">
        <v>64</v>
      </c>
      <c r="AL205" s="153" t="s">
        <v>2306</v>
      </c>
      <c r="AM205" s="149" t="s">
        <v>65</v>
      </c>
      <c r="AN205" s="158"/>
      <c r="AO205" s="159"/>
      <c r="AQ205"/>
      <c r="AR205"/>
      <c r="AS205"/>
      <c r="AT205"/>
      <c r="AU205"/>
    </row>
    <row r="206" spans="1:47" s="151" customFormat="1" ht="14.25" customHeight="1">
      <c r="A206" s="139"/>
      <c r="B206" s="139"/>
      <c r="C206" s="152">
        <f>IF($X206=1,COUNTIF($C$10:C205,"&gt;0")+1,"")</f>
        <v>96</v>
      </c>
      <c r="D206" s="322">
        <v>75987132</v>
      </c>
      <c r="E206" s="153" t="s">
        <v>2309</v>
      </c>
      <c r="F206" s="154" t="s">
        <v>3003</v>
      </c>
      <c r="G206" s="153" t="s">
        <v>2992</v>
      </c>
      <c r="H206" s="153" t="s">
        <v>3004</v>
      </c>
      <c r="I206" s="153" t="s">
        <v>2998</v>
      </c>
      <c r="J206" s="153" t="s">
        <v>58</v>
      </c>
      <c r="K206" s="153" t="s">
        <v>59</v>
      </c>
      <c r="L206" s="155">
        <v>39476</v>
      </c>
      <c r="M206" s="153">
        <v>17</v>
      </c>
      <c r="N206" s="153" t="s">
        <v>3005</v>
      </c>
      <c r="O206" s="155">
        <v>46204</v>
      </c>
      <c r="P206" s="153" t="s">
        <v>5</v>
      </c>
      <c r="Q206" s="153"/>
      <c r="R206" s="162">
        <v>45913</v>
      </c>
      <c r="S206" s="163">
        <v>45918</v>
      </c>
      <c r="T206" s="164">
        <f t="shared" si="3"/>
        <v>5</v>
      </c>
      <c r="U206" s="153">
        <v>1</v>
      </c>
      <c r="V206" s="153">
        <v>1</v>
      </c>
      <c r="W206" s="153">
        <v>0</v>
      </c>
      <c r="X206" s="153">
        <v>1</v>
      </c>
      <c r="Y206" s="153">
        <v>0</v>
      </c>
      <c r="Z206" s="153">
        <v>0</v>
      </c>
      <c r="AA206" s="153">
        <v>1</v>
      </c>
      <c r="AB206" s="153"/>
      <c r="AC206" s="155">
        <v>45912</v>
      </c>
      <c r="AD206" s="156">
        <v>0.18055555555474712</v>
      </c>
      <c r="AE206" s="153" t="s">
        <v>95</v>
      </c>
      <c r="AF206" s="155">
        <v>45918</v>
      </c>
      <c r="AG206" s="156">
        <v>0.64583333333575865</v>
      </c>
      <c r="AH206" s="153" t="s">
        <v>2995</v>
      </c>
      <c r="AI206" s="153" t="s">
        <v>2315</v>
      </c>
      <c r="AJ206" s="153" t="s">
        <v>64</v>
      </c>
      <c r="AK206" s="153" t="s">
        <v>64</v>
      </c>
      <c r="AL206" s="153" t="s">
        <v>2306</v>
      </c>
      <c r="AM206" s="149" t="s">
        <v>65</v>
      </c>
      <c r="AN206" s="158"/>
      <c r="AO206" s="159"/>
      <c r="AQ206"/>
      <c r="AR206"/>
      <c r="AS206"/>
      <c r="AT206"/>
      <c r="AU206"/>
    </row>
    <row r="207" spans="1:47" s="151" customFormat="1" ht="14.25" customHeight="1">
      <c r="A207" s="139"/>
      <c r="B207" s="139"/>
      <c r="C207" s="152" t="str">
        <f>IF($X207=1,COUNTIF($C$10:C206,"&gt;0")+1,"")</f>
        <v/>
      </c>
      <c r="D207" s="323"/>
      <c r="E207" s="153" t="s">
        <v>2309</v>
      </c>
      <c r="F207" s="154" t="s">
        <v>3006</v>
      </c>
      <c r="G207" s="153" t="s">
        <v>2992</v>
      </c>
      <c r="H207" s="153" t="s">
        <v>3007</v>
      </c>
      <c r="I207" s="153" t="s">
        <v>3008</v>
      </c>
      <c r="J207" s="153" t="s">
        <v>68</v>
      </c>
      <c r="K207" s="153" t="s">
        <v>59</v>
      </c>
      <c r="L207" s="155">
        <v>38920</v>
      </c>
      <c r="M207" s="153">
        <v>19</v>
      </c>
      <c r="N207" s="153" t="s">
        <v>3009</v>
      </c>
      <c r="O207" s="155">
        <v>48457</v>
      </c>
      <c r="P207" s="153" t="s">
        <v>5</v>
      </c>
      <c r="Q207" s="153"/>
      <c r="R207" s="162">
        <v>45913</v>
      </c>
      <c r="S207" s="163">
        <v>45918</v>
      </c>
      <c r="T207" s="164">
        <f t="shared" si="3"/>
        <v>5</v>
      </c>
      <c r="U207" s="153">
        <v>1</v>
      </c>
      <c r="V207" s="153">
        <v>1</v>
      </c>
      <c r="W207" s="153">
        <v>0</v>
      </c>
      <c r="X207" s="153">
        <v>0</v>
      </c>
      <c r="Y207" s="153">
        <v>0</v>
      </c>
      <c r="Z207" s="153">
        <v>0</v>
      </c>
      <c r="AA207" s="153">
        <v>0</v>
      </c>
      <c r="AB207" s="153"/>
      <c r="AC207" s="155">
        <v>45913</v>
      </c>
      <c r="AD207" s="156">
        <v>0.69097222221898846</v>
      </c>
      <c r="AE207" s="153" t="s">
        <v>2939</v>
      </c>
      <c r="AF207" s="155">
        <v>45921</v>
      </c>
      <c r="AG207" s="156">
        <v>0.72569444444525288</v>
      </c>
      <c r="AH207" s="153" t="s">
        <v>313</v>
      </c>
      <c r="AI207" s="153" t="s">
        <v>2315</v>
      </c>
      <c r="AJ207" s="153" t="s">
        <v>64</v>
      </c>
      <c r="AK207" s="153" t="s">
        <v>64</v>
      </c>
      <c r="AL207" s="153" t="s">
        <v>2306</v>
      </c>
      <c r="AM207" s="149" t="s">
        <v>65</v>
      </c>
      <c r="AN207" s="158"/>
      <c r="AO207" s="159"/>
      <c r="AQ207"/>
      <c r="AR207"/>
      <c r="AS207"/>
      <c r="AT207"/>
      <c r="AU207"/>
    </row>
    <row r="208" spans="1:47" s="151" customFormat="1" ht="14.25" customHeight="1">
      <c r="A208" s="139"/>
      <c r="B208" s="139"/>
      <c r="C208" s="152">
        <f>IF($X208=1,COUNTIF($C$10:C207,"&gt;0")+1,"")</f>
        <v>97</v>
      </c>
      <c r="D208" s="153">
        <v>75987144</v>
      </c>
      <c r="E208" s="153" t="s">
        <v>2309</v>
      </c>
      <c r="F208" s="154" t="s">
        <v>3010</v>
      </c>
      <c r="G208" s="153" t="s">
        <v>3010</v>
      </c>
      <c r="H208" s="153" t="s">
        <v>3011</v>
      </c>
      <c r="I208" s="153" t="s">
        <v>3012</v>
      </c>
      <c r="J208" s="153" t="s">
        <v>58</v>
      </c>
      <c r="K208" s="153" t="s">
        <v>59</v>
      </c>
      <c r="L208" s="155">
        <v>29474</v>
      </c>
      <c r="M208" s="153">
        <v>45</v>
      </c>
      <c r="N208" s="153" t="s">
        <v>3013</v>
      </c>
      <c r="O208" s="155">
        <v>46732</v>
      </c>
      <c r="P208" s="153" t="s">
        <v>3</v>
      </c>
      <c r="Q208" s="153"/>
      <c r="R208" s="162">
        <v>45913</v>
      </c>
      <c r="S208" s="163">
        <v>45918</v>
      </c>
      <c r="T208" s="164">
        <f t="shared" si="3"/>
        <v>5</v>
      </c>
      <c r="U208" s="153">
        <v>1</v>
      </c>
      <c r="V208" s="153">
        <v>1</v>
      </c>
      <c r="W208" s="153">
        <v>0</v>
      </c>
      <c r="X208" s="153">
        <v>1</v>
      </c>
      <c r="Y208" s="153">
        <v>1</v>
      </c>
      <c r="Z208" s="153">
        <v>0</v>
      </c>
      <c r="AA208" s="153">
        <v>0</v>
      </c>
      <c r="AB208" s="153"/>
      <c r="AC208" s="155">
        <v>45913</v>
      </c>
      <c r="AD208" s="156">
        <v>0.59027777778101154</v>
      </c>
      <c r="AE208" s="153" t="s">
        <v>547</v>
      </c>
      <c r="AF208" s="155">
        <v>45918</v>
      </c>
      <c r="AG208" s="156">
        <v>0.62152777778101154</v>
      </c>
      <c r="AH208" s="153" t="s">
        <v>2384</v>
      </c>
      <c r="AI208" s="153" t="s">
        <v>2315</v>
      </c>
      <c r="AJ208" s="153" t="s">
        <v>64</v>
      </c>
      <c r="AK208" s="153" t="s">
        <v>64</v>
      </c>
      <c r="AL208" s="153" t="s">
        <v>2306</v>
      </c>
      <c r="AM208" s="149" t="s">
        <v>65</v>
      </c>
      <c r="AN208" s="158"/>
      <c r="AO208" s="159"/>
      <c r="AQ208"/>
      <c r="AR208"/>
      <c r="AS208"/>
      <c r="AT208"/>
      <c r="AU208"/>
    </row>
    <row r="209" spans="1:47" s="151" customFormat="1" ht="14.25" customHeight="1">
      <c r="A209" s="139"/>
      <c r="B209" s="139"/>
      <c r="C209" s="152">
        <f>IF($X209=1,COUNTIF($C$10:C208,"&gt;0")+1,"")</f>
        <v>98</v>
      </c>
      <c r="D209" s="322">
        <v>75987150</v>
      </c>
      <c r="E209" s="153" t="s">
        <v>3014</v>
      </c>
      <c r="F209" s="154" t="s">
        <v>3015</v>
      </c>
      <c r="G209" s="153" t="s">
        <v>3015</v>
      </c>
      <c r="H209" s="153" t="s">
        <v>3016</v>
      </c>
      <c r="I209" s="153" t="s">
        <v>3017</v>
      </c>
      <c r="J209" s="153" t="s">
        <v>58</v>
      </c>
      <c r="K209" s="153" t="s">
        <v>59</v>
      </c>
      <c r="L209" s="155">
        <v>30460</v>
      </c>
      <c r="M209" s="153">
        <v>42</v>
      </c>
      <c r="N209" s="153" t="s">
        <v>3018</v>
      </c>
      <c r="O209" s="155">
        <v>48519</v>
      </c>
      <c r="P209" s="153" t="s">
        <v>4</v>
      </c>
      <c r="Q209" s="153"/>
      <c r="R209" s="162">
        <v>45913</v>
      </c>
      <c r="S209" s="163">
        <v>45918</v>
      </c>
      <c r="T209" s="164">
        <f t="shared" si="3"/>
        <v>5</v>
      </c>
      <c r="U209" s="153">
        <v>1</v>
      </c>
      <c r="V209" s="153">
        <v>1</v>
      </c>
      <c r="W209" s="153">
        <v>0</v>
      </c>
      <c r="X209" s="153">
        <v>1</v>
      </c>
      <c r="Y209" s="153">
        <v>0</v>
      </c>
      <c r="Z209" s="153">
        <v>1</v>
      </c>
      <c r="AA209" s="153">
        <v>0</v>
      </c>
      <c r="AB209" s="153"/>
      <c r="AC209" s="155">
        <v>45913</v>
      </c>
      <c r="AD209" s="156">
        <v>0.74305555555474712</v>
      </c>
      <c r="AE209" s="153" t="s">
        <v>3019</v>
      </c>
      <c r="AF209" s="155">
        <v>45918</v>
      </c>
      <c r="AG209" s="156">
        <v>0.78472222221898846</v>
      </c>
      <c r="AH209" s="153" t="s">
        <v>3020</v>
      </c>
      <c r="AI209" s="153" t="s">
        <v>3021</v>
      </c>
      <c r="AJ209" s="153" t="s">
        <v>64</v>
      </c>
      <c r="AK209" s="153" t="s">
        <v>64</v>
      </c>
      <c r="AL209" s="153" t="s">
        <v>2306</v>
      </c>
      <c r="AM209" s="149" t="s">
        <v>65</v>
      </c>
      <c r="AN209" s="158"/>
      <c r="AO209" s="159"/>
      <c r="AQ209"/>
      <c r="AR209"/>
      <c r="AS209"/>
      <c r="AT209"/>
      <c r="AU209"/>
    </row>
    <row r="210" spans="1:47" s="151" customFormat="1" ht="14.25" customHeight="1">
      <c r="A210" s="139"/>
      <c r="B210" s="139"/>
      <c r="C210" s="152" t="str">
        <f>IF($X210=1,COUNTIF($C$10:C209,"&gt;0")+1,"")</f>
        <v/>
      </c>
      <c r="D210" s="324"/>
      <c r="E210" s="153" t="s">
        <v>3014</v>
      </c>
      <c r="F210" s="154" t="s">
        <v>3022</v>
      </c>
      <c r="G210" s="153" t="s">
        <v>3015</v>
      </c>
      <c r="H210" s="153" t="s">
        <v>3023</v>
      </c>
      <c r="I210" s="153" t="s">
        <v>3024</v>
      </c>
      <c r="J210" s="153" t="s">
        <v>68</v>
      </c>
      <c r="K210" s="153" t="s">
        <v>59</v>
      </c>
      <c r="L210" s="155">
        <v>30889</v>
      </c>
      <c r="M210" s="153">
        <v>41</v>
      </c>
      <c r="N210" s="153" t="s">
        <v>3025</v>
      </c>
      <c r="O210" s="155">
        <v>47001</v>
      </c>
      <c r="P210" s="153" t="s">
        <v>4</v>
      </c>
      <c r="Q210" s="153"/>
      <c r="R210" s="162">
        <v>45913</v>
      </c>
      <c r="S210" s="163">
        <v>45918</v>
      </c>
      <c r="T210" s="164">
        <f t="shared" si="3"/>
        <v>5</v>
      </c>
      <c r="U210" s="153">
        <v>1</v>
      </c>
      <c r="V210" s="153">
        <v>1</v>
      </c>
      <c r="W210" s="153">
        <v>0</v>
      </c>
      <c r="X210" s="153">
        <v>0</v>
      </c>
      <c r="Y210" s="153">
        <v>0</v>
      </c>
      <c r="Z210" s="153">
        <v>0</v>
      </c>
      <c r="AA210" s="153">
        <v>0</v>
      </c>
      <c r="AB210" s="153"/>
      <c r="AC210" s="155">
        <v>45913</v>
      </c>
      <c r="AD210" s="156">
        <v>0.74305555555474712</v>
      </c>
      <c r="AE210" s="153" t="s">
        <v>3019</v>
      </c>
      <c r="AF210" s="155">
        <v>45918</v>
      </c>
      <c r="AG210" s="156">
        <v>0.78472222221898846</v>
      </c>
      <c r="AH210" s="153" t="s">
        <v>3020</v>
      </c>
      <c r="AI210" s="153" t="s">
        <v>3021</v>
      </c>
      <c r="AJ210" s="153" t="s">
        <v>64</v>
      </c>
      <c r="AK210" s="153" t="s">
        <v>64</v>
      </c>
      <c r="AL210" s="153" t="s">
        <v>2306</v>
      </c>
      <c r="AM210" s="149" t="s">
        <v>65</v>
      </c>
      <c r="AN210" s="158"/>
      <c r="AO210" s="159"/>
      <c r="AQ210"/>
      <c r="AR210"/>
      <c r="AS210"/>
      <c r="AT210"/>
      <c r="AU210"/>
    </row>
    <row r="211" spans="1:47" s="151" customFormat="1" ht="14.25" customHeight="1">
      <c r="A211" s="139"/>
      <c r="B211" s="139"/>
      <c r="C211" s="152" t="str">
        <f>IF($X211=1,COUNTIF($C$10:C210,"&gt;0")+1,"")</f>
        <v/>
      </c>
      <c r="D211" s="323"/>
      <c r="E211" s="153" t="s">
        <v>3014</v>
      </c>
      <c r="F211" s="154" t="s">
        <v>3026</v>
      </c>
      <c r="G211" s="153" t="s">
        <v>3015</v>
      </c>
      <c r="H211" s="153" t="s">
        <v>3027</v>
      </c>
      <c r="I211" s="153" t="s">
        <v>3024</v>
      </c>
      <c r="J211" s="153" t="s">
        <v>68</v>
      </c>
      <c r="K211" s="153" t="s">
        <v>59</v>
      </c>
      <c r="L211" s="155">
        <v>44049</v>
      </c>
      <c r="M211" s="153">
        <v>5</v>
      </c>
      <c r="N211" s="153" t="s">
        <v>3028</v>
      </c>
      <c r="O211" s="155">
        <v>46692</v>
      </c>
      <c r="P211" s="153" t="s">
        <v>4</v>
      </c>
      <c r="Q211" s="153"/>
      <c r="R211" s="162">
        <v>45913</v>
      </c>
      <c r="S211" s="163">
        <v>45918</v>
      </c>
      <c r="T211" s="164">
        <f t="shared" si="3"/>
        <v>5</v>
      </c>
      <c r="U211" s="153">
        <v>1</v>
      </c>
      <c r="V211" s="153">
        <v>0</v>
      </c>
      <c r="W211" s="153">
        <v>1</v>
      </c>
      <c r="X211" s="153">
        <v>0</v>
      </c>
      <c r="Y211" s="153">
        <v>0</v>
      </c>
      <c r="Z211" s="153">
        <v>0</v>
      </c>
      <c r="AA211" s="153">
        <v>0</v>
      </c>
      <c r="AB211" s="153"/>
      <c r="AC211" s="155">
        <v>45913</v>
      </c>
      <c r="AD211" s="156">
        <v>0.74305555555474712</v>
      </c>
      <c r="AE211" s="153" t="s">
        <v>3019</v>
      </c>
      <c r="AF211" s="155">
        <v>45918</v>
      </c>
      <c r="AG211" s="156">
        <v>0.78472222221898846</v>
      </c>
      <c r="AH211" s="153" t="s">
        <v>3020</v>
      </c>
      <c r="AI211" s="153" t="s">
        <v>3021</v>
      </c>
      <c r="AJ211" s="153" t="s">
        <v>64</v>
      </c>
      <c r="AK211" s="153" t="s">
        <v>64</v>
      </c>
      <c r="AL211" s="153" t="s">
        <v>2306</v>
      </c>
      <c r="AM211" s="149" t="s">
        <v>65</v>
      </c>
      <c r="AN211" s="158"/>
      <c r="AO211" s="159"/>
      <c r="AQ211"/>
      <c r="AR211"/>
      <c r="AS211"/>
      <c r="AT211"/>
      <c r="AU211"/>
    </row>
    <row r="212" spans="1:47" s="151" customFormat="1" ht="14.25" customHeight="1">
      <c r="A212" s="139"/>
      <c r="B212" s="139"/>
      <c r="C212" s="152">
        <f>IF($X212=1,COUNTIF($C$10:C211,"&gt;0")+1,"")</f>
        <v>99</v>
      </c>
      <c r="D212" s="322">
        <v>75987159</v>
      </c>
      <c r="E212" s="153" t="s">
        <v>3014</v>
      </c>
      <c r="F212" s="154" t="s">
        <v>3029</v>
      </c>
      <c r="G212" s="153" t="s">
        <v>3029</v>
      </c>
      <c r="H212" s="153" t="s">
        <v>1064</v>
      </c>
      <c r="I212" s="153" t="s">
        <v>3030</v>
      </c>
      <c r="J212" s="153" t="s">
        <v>58</v>
      </c>
      <c r="K212" s="153" t="s">
        <v>59</v>
      </c>
      <c r="L212" s="155">
        <v>34500</v>
      </c>
      <c r="M212" s="153">
        <v>31</v>
      </c>
      <c r="N212" s="153" t="s">
        <v>3031</v>
      </c>
      <c r="O212" s="155">
        <v>48347</v>
      </c>
      <c r="P212" s="153" t="s">
        <v>4</v>
      </c>
      <c r="Q212" s="153"/>
      <c r="R212" s="162">
        <v>45913</v>
      </c>
      <c r="S212" s="163">
        <v>45918</v>
      </c>
      <c r="T212" s="164">
        <f t="shared" si="3"/>
        <v>5</v>
      </c>
      <c r="U212" s="153">
        <v>1</v>
      </c>
      <c r="V212" s="153">
        <v>1</v>
      </c>
      <c r="W212" s="153">
        <v>0</v>
      </c>
      <c r="X212" s="153">
        <v>1</v>
      </c>
      <c r="Y212" s="153">
        <v>0</v>
      </c>
      <c r="Z212" s="153">
        <v>1</v>
      </c>
      <c r="AA212" s="153">
        <v>0</v>
      </c>
      <c r="AB212" s="153"/>
      <c r="AC212" s="155">
        <v>45913</v>
      </c>
      <c r="AD212" s="156">
        <v>0.58680555555474712</v>
      </c>
      <c r="AE212" s="153" t="s">
        <v>61</v>
      </c>
      <c r="AF212" s="155">
        <v>45918</v>
      </c>
      <c r="AG212" s="156">
        <v>0.56944444444525288</v>
      </c>
      <c r="AH212" s="153" t="s">
        <v>492</v>
      </c>
      <c r="AI212" s="153" t="s">
        <v>3021</v>
      </c>
      <c r="AJ212" s="153" t="s">
        <v>64</v>
      </c>
      <c r="AK212" s="153" t="s">
        <v>64</v>
      </c>
      <c r="AL212" s="153" t="s">
        <v>2306</v>
      </c>
      <c r="AM212" s="149" t="s">
        <v>65</v>
      </c>
      <c r="AN212" s="158"/>
      <c r="AO212" s="159"/>
      <c r="AQ212"/>
      <c r="AR212"/>
      <c r="AS212"/>
      <c r="AT212"/>
      <c r="AU212"/>
    </row>
    <row r="213" spans="1:47" s="151" customFormat="1" ht="14.25" customHeight="1">
      <c r="A213" s="139"/>
      <c r="B213" s="139"/>
      <c r="C213" s="152" t="str">
        <f>IF($X213=1,COUNTIF($C$10:C212,"&gt;0")+1,"")</f>
        <v/>
      </c>
      <c r="D213" s="324"/>
      <c r="E213" s="153" t="s">
        <v>3014</v>
      </c>
      <c r="F213" s="154" t="s">
        <v>3032</v>
      </c>
      <c r="G213" s="153" t="s">
        <v>3029</v>
      </c>
      <c r="H213" s="153" t="s">
        <v>3033</v>
      </c>
      <c r="I213" s="153" t="s">
        <v>3034</v>
      </c>
      <c r="J213" s="153" t="s">
        <v>68</v>
      </c>
      <c r="K213" s="153" t="s">
        <v>59</v>
      </c>
      <c r="L213" s="155">
        <v>35485</v>
      </c>
      <c r="M213" s="153">
        <v>28</v>
      </c>
      <c r="N213" s="153" t="s">
        <v>3035</v>
      </c>
      <c r="O213" s="155">
        <v>48373</v>
      </c>
      <c r="P213" s="153" t="s">
        <v>4</v>
      </c>
      <c r="Q213" s="153"/>
      <c r="R213" s="162">
        <v>45913</v>
      </c>
      <c r="S213" s="163">
        <v>45918</v>
      </c>
      <c r="T213" s="164">
        <f t="shared" si="3"/>
        <v>5</v>
      </c>
      <c r="U213" s="153">
        <v>1</v>
      </c>
      <c r="V213" s="153">
        <v>1</v>
      </c>
      <c r="W213" s="153">
        <v>0</v>
      </c>
      <c r="X213" s="153">
        <v>0</v>
      </c>
      <c r="Y213" s="153">
        <v>0</v>
      </c>
      <c r="Z213" s="153">
        <v>0</v>
      </c>
      <c r="AA213" s="153">
        <v>0</v>
      </c>
      <c r="AB213" s="153"/>
      <c r="AC213" s="155">
        <v>45913</v>
      </c>
      <c r="AD213" s="156">
        <v>0.58680555555474712</v>
      </c>
      <c r="AE213" s="153" t="s">
        <v>61</v>
      </c>
      <c r="AF213" s="155">
        <v>45918</v>
      </c>
      <c r="AG213" s="156">
        <v>0.56944444444525288</v>
      </c>
      <c r="AH213" s="153" t="s">
        <v>492</v>
      </c>
      <c r="AI213" s="153" t="s">
        <v>3021</v>
      </c>
      <c r="AJ213" s="153" t="s">
        <v>64</v>
      </c>
      <c r="AK213" s="153" t="s">
        <v>64</v>
      </c>
      <c r="AL213" s="153" t="s">
        <v>2306</v>
      </c>
      <c r="AM213" s="149" t="s">
        <v>65</v>
      </c>
      <c r="AN213" s="158"/>
      <c r="AO213" s="159"/>
      <c r="AQ213"/>
      <c r="AR213"/>
      <c r="AS213"/>
      <c r="AT213"/>
      <c r="AU213"/>
    </row>
    <row r="214" spans="1:47" s="151" customFormat="1" ht="14.25" customHeight="1">
      <c r="A214" s="139"/>
      <c r="B214" s="139"/>
      <c r="C214" s="152" t="str">
        <f>IF($X214=1,COUNTIF($C$10:C213,"&gt;0")+1,"")</f>
        <v/>
      </c>
      <c r="D214" s="323"/>
      <c r="E214" s="153" t="s">
        <v>3014</v>
      </c>
      <c r="F214" s="154" t="s">
        <v>3036</v>
      </c>
      <c r="G214" s="153" t="s">
        <v>3029</v>
      </c>
      <c r="H214" s="153" t="s">
        <v>3037</v>
      </c>
      <c r="I214" s="153" t="s">
        <v>3024</v>
      </c>
      <c r="J214" s="153" t="s">
        <v>68</v>
      </c>
      <c r="K214" s="153" t="s">
        <v>59</v>
      </c>
      <c r="L214" s="155">
        <v>43243</v>
      </c>
      <c r="M214" s="153">
        <v>7</v>
      </c>
      <c r="N214" s="153" t="s">
        <v>3038</v>
      </c>
      <c r="O214" s="155">
        <v>47091</v>
      </c>
      <c r="P214" s="153" t="s">
        <v>4</v>
      </c>
      <c r="Q214" s="153"/>
      <c r="R214" s="162">
        <v>45913</v>
      </c>
      <c r="S214" s="163">
        <v>45918</v>
      </c>
      <c r="T214" s="164">
        <f t="shared" si="3"/>
        <v>5</v>
      </c>
      <c r="U214" s="153">
        <v>1</v>
      </c>
      <c r="V214" s="153">
        <v>0</v>
      </c>
      <c r="W214" s="153">
        <v>1</v>
      </c>
      <c r="X214" s="153">
        <v>0</v>
      </c>
      <c r="Y214" s="153">
        <v>0</v>
      </c>
      <c r="Z214" s="153">
        <v>0</v>
      </c>
      <c r="AA214" s="153">
        <v>0</v>
      </c>
      <c r="AB214" s="153"/>
      <c r="AC214" s="155">
        <v>45913</v>
      </c>
      <c r="AD214" s="156">
        <v>0.74305555555474712</v>
      </c>
      <c r="AE214" s="153" t="s">
        <v>3019</v>
      </c>
      <c r="AF214" s="155">
        <v>45918</v>
      </c>
      <c r="AG214" s="156">
        <v>0.78472222221898846</v>
      </c>
      <c r="AH214" s="153" t="s">
        <v>3020</v>
      </c>
      <c r="AI214" s="153" t="s">
        <v>3021</v>
      </c>
      <c r="AJ214" s="153" t="s">
        <v>64</v>
      </c>
      <c r="AK214" s="153" t="s">
        <v>64</v>
      </c>
      <c r="AL214" s="153" t="s">
        <v>2306</v>
      </c>
      <c r="AM214" s="149" t="s">
        <v>65</v>
      </c>
      <c r="AN214" s="158"/>
      <c r="AO214" s="159"/>
      <c r="AQ214"/>
      <c r="AR214"/>
      <c r="AS214"/>
      <c r="AT214"/>
      <c r="AU214"/>
    </row>
    <row r="215" spans="1:47" s="151" customFormat="1" ht="14.25" customHeight="1">
      <c r="A215" s="139"/>
      <c r="B215" s="139"/>
      <c r="C215" s="152">
        <f>IF($X215=1,COUNTIF($C$10:C214,"&gt;0")+1,"")</f>
        <v>100</v>
      </c>
      <c r="D215" s="153">
        <v>75987172</v>
      </c>
      <c r="E215" s="153" t="s">
        <v>3014</v>
      </c>
      <c r="F215" s="154" t="s">
        <v>3039</v>
      </c>
      <c r="G215" s="153" t="s">
        <v>3039</v>
      </c>
      <c r="H215" s="153" t="s">
        <v>3040</v>
      </c>
      <c r="I215" s="153" t="s">
        <v>3041</v>
      </c>
      <c r="J215" s="153" t="s">
        <v>68</v>
      </c>
      <c r="K215" s="153" t="s">
        <v>59</v>
      </c>
      <c r="L215" s="155">
        <v>25994</v>
      </c>
      <c r="M215" s="153">
        <v>54</v>
      </c>
      <c r="N215" s="153" t="s">
        <v>3042</v>
      </c>
      <c r="O215" s="155">
        <v>48484</v>
      </c>
      <c r="P215" s="153" t="s">
        <v>3</v>
      </c>
      <c r="Q215" s="153"/>
      <c r="R215" s="162">
        <v>45913</v>
      </c>
      <c r="S215" s="163">
        <v>45918</v>
      </c>
      <c r="T215" s="164">
        <f t="shared" si="3"/>
        <v>5</v>
      </c>
      <c r="U215" s="153">
        <v>1</v>
      </c>
      <c r="V215" s="153">
        <v>1</v>
      </c>
      <c r="W215" s="153">
        <v>0</v>
      </c>
      <c r="X215" s="153">
        <v>1</v>
      </c>
      <c r="Y215" s="153">
        <v>1</v>
      </c>
      <c r="Z215" s="153">
        <v>0</v>
      </c>
      <c r="AA215" s="153">
        <v>0</v>
      </c>
      <c r="AB215" s="153"/>
      <c r="AC215" s="155">
        <v>45913</v>
      </c>
      <c r="AD215" s="156">
        <v>0.68402777778101154</v>
      </c>
      <c r="AE215" s="153" t="s">
        <v>688</v>
      </c>
      <c r="AF215" s="155">
        <v>45918</v>
      </c>
      <c r="AG215" s="156">
        <v>0.52083333333575865</v>
      </c>
      <c r="AH215" s="153" t="s">
        <v>3043</v>
      </c>
      <c r="AI215" s="153" t="s">
        <v>3021</v>
      </c>
      <c r="AJ215" s="153" t="s">
        <v>64</v>
      </c>
      <c r="AK215" s="153" t="s">
        <v>64</v>
      </c>
      <c r="AL215" s="153" t="s">
        <v>2306</v>
      </c>
      <c r="AM215" s="149" t="s">
        <v>65</v>
      </c>
      <c r="AN215" s="158"/>
      <c r="AO215" s="159"/>
      <c r="AQ215"/>
      <c r="AR215"/>
      <c r="AS215"/>
      <c r="AT215"/>
      <c r="AU215"/>
    </row>
    <row r="216" spans="1:47" s="151" customFormat="1" ht="14.25" customHeight="1">
      <c r="A216" s="139"/>
      <c r="B216" s="139"/>
      <c r="C216" s="152">
        <f>IF($X216=1,COUNTIF($C$10:C215,"&gt;0")+1,"")</f>
        <v>101</v>
      </c>
      <c r="D216" s="322">
        <v>75987184</v>
      </c>
      <c r="E216" s="153" t="s">
        <v>3014</v>
      </c>
      <c r="F216" s="154" t="s">
        <v>3044</v>
      </c>
      <c r="G216" s="153" t="s">
        <v>3044</v>
      </c>
      <c r="H216" s="153" t="s">
        <v>3045</v>
      </c>
      <c r="I216" s="153" t="s">
        <v>3046</v>
      </c>
      <c r="J216" s="153" t="s">
        <v>68</v>
      </c>
      <c r="K216" s="153" t="s">
        <v>460</v>
      </c>
      <c r="L216" s="155">
        <v>26752</v>
      </c>
      <c r="M216" s="153">
        <v>52</v>
      </c>
      <c r="N216" s="153" t="s">
        <v>3047</v>
      </c>
      <c r="O216" s="155">
        <v>48883</v>
      </c>
      <c r="P216" s="153" t="s">
        <v>5</v>
      </c>
      <c r="Q216" s="153"/>
      <c r="R216" s="162">
        <v>45913</v>
      </c>
      <c r="S216" s="163">
        <v>45918</v>
      </c>
      <c r="T216" s="164">
        <f t="shared" si="3"/>
        <v>5</v>
      </c>
      <c r="U216" s="153">
        <v>1</v>
      </c>
      <c r="V216" s="153">
        <v>1</v>
      </c>
      <c r="W216" s="153">
        <v>0</v>
      </c>
      <c r="X216" s="153">
        <v>1</v>
      </c>
      <c r="Y216" s="153">
        <v>0</v>
      </c>
      <c r="Z216" s="153">
        <v>0</v>
      </c>
      <c r="AA216" s="153">
        <v>1</v>
      </c>
      <c r="AB216" s="153"/>
      <c r="AC216" s="155">
        <v>45913</v>
      </c>
      <c r="AD216" s="156">
        <v>0.78125</v>
      </c>
      <c r="AE216" s="153" t="s">
        <v>462</v>
      </c>
      <c r="AF216" s="155">
        <v>45918</v>
      </c>
      <c r="AG216" s="156">
        <v>0.86458333333575865</v>
      </c>
      <c r="AH216" s="153" t="s">
        <v>463</v>
      </c>
      <c r="AI216" s="153" t="s">
        <v>3021</v>
      </c>
      <c r="AJ216" s="153" t="s">
        <v>64</v>
      </c>
      <c r="AK216" s="153" t="s">
        <v>64</v>
      </c>
      <c r="AL216" s="153" t="s">
        <v>2306</v>
      </c>
      <c r="AM216" s="149" t="s">
        <v>65</v>
      </c>
      <c r="AN216" s="158" t="s">
        <v>1600</v>
      </c>
      <c r="AO216" s="159"/>
      <c r="AQ216"/>
      <c r="AR216"/>
      <c r="AS216"/>
      <c r="AT216"/>
      <c r="AU216"/>
    </row>
    <row r="217" spans="1:47" s="151" customFormat="1" ht="14.25" customHeight="1">
      <c r="A217" s="139"/>
      <c r="B217" s="139"/>
      <c r="C217" s="152" t="str">
        <f>IF($X217=1,COUNTIF($C$10:C216,"&gt;0")+1,"")</f>
        <v/>
      </c>
      <c r="D217" s="323"/>
      <c r="E217" s="153" t="s">
        <v>3014</v>
      </c>
      <c r="F217" s="154" t="s">
        <v>3048</v>
      </c>
      <c r="G217" s="153" t="s">
        <v>3044</v>
      </c>
      <c r="H217" s="153" t="s">
        <v>3049</v>
      </c>
      <c r="I217" s="153" t="s">
        <v>3050</v>
      </c>
      <c r="J217" s="153" t="s">
        <v>68</v>
      </c>
      <c r="K217" s="153" t="s">
        <v>3051</v>
      </c>
      <c r="L217" s="155">
        <v>30093</v>
      </c>
      <c r="M217" s="153">
        <v>43</v>
      </c>
      <c r="N217" s="153" t="s">
        <v>3052</v>
      </c>
      <c r="O217" s="155">
        <v>45878</v>
      </c>
      <c r="P217" s="153" t="s">
        <v>5</v>
      </c>
      <c r="Q217" s="153"/>
      <c r="R217" s="162">
        <v>45913</v>
      </c>
      <c r="S217" s="163">
        <v>45918</v>
      </c>
      <c r="T217" s="164">
        <f t="shared" si="3"/>
        <v>5</v>
      </c>
      <c r="U217" s="153">
        <v>1</v>
      </c>
      <c r="V217" s="153">
        <v>1</v>
      </c>
      <c r="W217" s="153">
        <v>0</v>
      </c>
      <c r="X217" s="153">
        <v>0</v>
      </c>
      <c r="Y217" s="153">
        <v>0</v>
      </c>
      <c r="Z217" s="153">
        <v>0</v>
      </c>
      <c r="AA217" s="153">
        <v>0</v>
      </c>
      <c r="AB217" s="153"/>
      <c r="AC217" s="155">
        <v>45913</v>
      </c>
      <c r="AD217" s="156">
        <v>0.78125</v>
      </c>
      <c r="AE217" s="153" t="s">
        <v>462</v>
      </c>
      <c r="AF217" s="155">
        <v>45918</v>
      </c>
      <c r="AG217" s="156">
        <v>0.86458333333575865</v>
      </c>
      <c r="AH217" s="153" t="s">
        <v>463</v>
      </c>
      <c r="AI217" s="153" t="s">
        <v>3021</v>
      </c>
      <c r="AJ217" s="153" t="s">
        <v>64</v>
      </c>
      <c r="AK217" s="153" t="s">
        <v>64</v>
      </c>
      <c r="AL217" s="153" t="s">
        <v>2306</v>
      </c>
      <c r="AM217" s="149" t="s">
        <v>65</v>
      </c>
      <c r="AN217" s="158" t="s">
        <v>1600</v>
      </c>
      <c r="AO217" s="159"/>
      <c r="AQ217"/>
      <c r="AR217"/>
      <c r="AS217"/>
      <c r="AT217"/>
      <c r="AU217"/>
    </row>
    <row r="218" spans="1:47" s="151" customFormat="1" ht="14.25" customHeight="1">
      <c r="A218" s="139"/>
      <c r="B218" s="139"/>
      <c r="C218" s="152">
        <f>IF($X218=1,COUNTIF($C$10:C217,"&gt;0")+1,"")</f>
        <v>102</v>
      </c>
      <c r="D218" s="322">
        <v>75987221</v>
      </c>
      <c r="E218" s="153" t="s">
        <v>3014</v>
      </c>
      <c r="F218" s="154" t="s">
        <v>3053</v>
      </c>
      <c r="G218" s="153" t="s">
        <v>3044</v>
      </c>
      <c r="H218" s="153" t="s">
        <v>3054</v>
      </c>
      <c r="I218" s="153" t="s">
        <v>3055</v>
      </c>
      <c r="J218" s="153" t="s">
        <v>68</v>
      </c>
      <c r="K218" s="153" t="s">
        <v>3051</v>
      </c>
      <c r="L218" s="155">
        <v>30093</v>
      </c>
      <c r="M218" s="153">
        <v>43</v>
      </c>
      <c r="N218" s="153" t="s">
        <v>3052</v>
      </c>
      <c r="O218" s="155">
        <v>47339</v>
      </c>
      <c r="P218" s="153" t="s">
        <v>5</v>
      </c>
      <c r="Q218" s="153"/>
      <c r="R218" s="162">
        <v>45913</v>
      </c>
      <c r="S218" s="163">
        <v>45918</v>
      </c>
      <c r="T218" s="164">
        <f t="shared" si="3"/>
        <v>5</v>
      </c>
      <c r="U218" s="153">
        <v>1</v>
      </c>
      <c r="V218" s="153">
        <v>1</v>
      </c>
      <c r="W218" s="153">
        <v>0</v>
      </c>
      <c r="X218" s="153">
        <v>1</v>
      </c>
      <c r="Y218" s="153">
        <v>0</v>
      </c>
      <c r="Z218" s="153">
        <v>0</v>
      </c>
      <c r="AA218" s="153">
        <v>1</v>
      </c>
      <c r="AB218" s="153"/>
      <c r="AC218" s="155">
        <v>45913</v>
      </c>
      <c r="AD218" s="156">
        <v>0.78125</v>
      </c>
      <c r="AE218" s="153" t="s">
        <v>462</v>
      </c>
      <c r="AF218" s="155">
        <v>45918</v>
      </c>
      <c r="AG218" s="156">
        <v>0.86458333333575865</v>
      </c>
      <c r="AH218" s="153" t="s">
        <v>463</v>
      </c>
      <c r="AI218" s="153" t="s">
        <v>3021</v>
      </c>
      <c r="AJ218" s="153" t="s">
        <v>64</v>
      </c>
      <c r="AK218" s="153" t="s">
        <v>64</v>
      </c>
      <c r="AL218" s="153" t="s">
        <v>2306</v>
      </c>
      <c r="AM218" s="149" t="s">
        <v>65</v>
      </c>
      <c r="AN218" s="158" t="s">
        <v>1600</v>
      </c>
      <c r="AO218" s="159"/>
      <c r="AQ218"/>
      <c r="AR218"/>
      <c r="AS218"/>
      <c r="AT218"/>
      <c r="AU218"/>
    </row>
    <row r="219" spans="1:47" s="151" customFormat="1" ht="14.25" customHeight="1">
      <c r="A219" s="139"/>
      <c r="B219" s="139"/>
      <c r="C219" s="152" t="str">
        <f>IF($X219=1,COUNTIF($C$10:C218,"&gt;0")+1,"")</f>
        <v/>
      </c>
      <c r="D219" s="323"/>
      <c r="E219" s="153" t="s">
        <v>3014</v>
      </c>
      <c r="F219" s="154" t="s">
        <v>3056</v>
      </c>
      <c r="G219" s="153" t="s">
        <v>3044</v>
      </c>
      <c r="H219" s="153" t="s">
        <v>3057</v>
      </c>
      <c r="I219" s="153" t="s">
        <v>3058</v>
      </c>
      <c r="J219" s="153" t="s">
        <v>68</v>
      </c>
      <c r="K219" s="153" t="s">
        <v>460</v>
      </c>
      <c r="L219" s="155">
        <v>33049</v>
      </c>
      <c r="M219" s="153">
        <v>35</v>
      </c>
      <c r="N219" s="153" t="s">
        <v>3059</v>
      </c>
      <c r="O219" s="155">
        <v>49371</v>
      </c>
      <c r="P219" s="153" t="s">
        <v>5</v>
      </c>
      <c r="Q219" s="153"/>
      <c r="R219" s="162">
        <v>45913</v>
      </c>
      <c r="S219" s="163">
        <v>45918</v>
      </c>
      <c r="T219" s="164">
        <f t="shared" si="3"/>
        <v>5</v>
      </c>
      <c r="U219" s="153">
        <v>1</v>
      </c>
      <c r="V219" s="153">
        <v>1</v>
      </c>
      <c r="W219" s="153">
        <v>0</v>
      </c>
      <c r="X219" s="153">
        <v>0</v>
      </c>
      <c r="Y219" s="153">
        <v>0</v>
      </c>
      <c r="Z219" s="153">
        <v>0</v>
      </c>
      <c r="AA219" s="153">
        <v>0</v>
      </c>
      <c r="AB219" s="153"/>
      <c r="AC219" s="155">
        <v>45913</v>
      </c>
      <c r="AD219" s="156">
        <v>0.78125</v>
      </c>
      <c r="AE219" s="153" t="s">
        <v>462</v>
      </c>
      <c r="AF219" s="155">
        <v>45918</v>
      </c>
      <c r="AG219" s="156">
        <v>0.86458333333575865</v>
      </c>
      <c r="AH219" s="153" t="s">
        <v>463</v>
      </c>
      <c r="AI219" s="153" t="s">
        <v>3021</v>
      </c>
      <c r="AJ219" s="153" t="s">
        <v>64</v>
      </c>
      <c r="AK219" s="153" t="s">
        <v>64</v>
      </c>
      <c r="AL219" s="153" t="s">
        <v>2306</v>
      </c>
      <c r="AM219" s="149" t="s">
        <v>65</v>
      </c>
      <c r="AN219" s="158" t="s">
        <v>1600</v>
      </c>
      <c r="AO219" s="159"/>
      <c r="AQ219"/>
      <c r="AR219"/>
      <c r="AS219"/>
      <c r="AT219"/>
      <c r="AU219"/>
    </row>
    <row r="220" spans="1:47" s="151" customFormat="1" ht="14.25" customHeight="1">
      <c r="A220" s="139"/>
      <c r="B220" s="139"/>
      <c r="C220" s="152">
        <f>IF($X220=1,COUNTIF($C$10:C219,"&gt;0")+1,"")</f>
        <v>103</v>
      </c>
      <c r="D220" s="322">
        <v>75987234</v>
      </c>
      <c r="E220" s="153" t="s">
        <v>3014</v>
      </c>
      <c r="F220" s="154" t="s">
        <v>3060</v>
      </c>
      <c r="G220" s="153" t="s">
        <v>3060</v>
      </c>
      <c r="H220" s="153" t="s">
        <v>3061</v>
      </c>
      <c r="I220" s="153" t="s">
        <v>3062</v>
      </c>
      <c r="J220" s="153" t="s">
        <v>58</v>
      </c>
      <c r="K220" s="153" t="s">
        <v>460</v>
      </c>
      <c r="L220" s="155">
        <v>26452</v>
      </c>
      <c r="M220" s="153">
        <v>53</v>
      </c>
      <c r="N220" s="153" t="s">
        <v>3063</v>
      </c>
      <c r="O220" s="155">
        <v>46433</v>
      </c>
      <c r="P220" s="153" t="s">
        <v>4</v>
      </c>
      <c r="Q220" s="153"/>
      <c r="R220" s="162">
        <v>45913</v>
      </c>
      <c r="S220" s="163">
        <v>45918</v>
      </c>
      <c r="T220" s="164">
        <f t="shared" si="3"/>
        <v>5</v>
      </c>
      <c r="U220" s="153">
        <v>1</v>
      </c>
      <c r="V220" s="153">
        <v>1</v>
      </c>
      <c r="W220" s="153">
        <v>0</v>
      </c>
      <c r="X220" s="153">
        <v>1</v>
      </c>
      <c r="Y220" s="153">
        <v>0</v>
      </c>
      <c r="Z220" s="153">
        <v>1</v>
      </c>
      <c r="AA220" s="153">
        <v>0</v>
      </c>
      <c r="AB220" s="153"/>
      <c r="AC220" s="155">
        <v>45913</v>
      </c>
      <c r="AD220" s="156">
        <v>0.72569444444525288</v>
      </c>
      <c r="AE220" s="153" t="s">
        <v>3064</v>
      </c>
      <c r="AF220" s="155">
        <v>45918</v>
      </c>
      <c r="AG220" s="156">
        <v>0.86458333333575865</v>
      </c>
      <c r="AH220" s="153" t="s">
        <v>463</v>
      </c>
      <c r="AI220" s="153" t="s">
        <v>3021</v>
      </c>
      <c r="AJ220" s="153" t="s">
        <v>64</v>
      </c>
      <c r="AK220" s="153" t="s">
        <v>64</v>
      </c>
      <c r="AL220" s="153" t="s">
        <v>2306</v>
      </c>
      <c r="AM220" s="149" t="s">
        <v>65</v>
      </c>
      <c r="AN220" s="158"/>
      <c r="AO220" s="159"/>
      <c r="AQ220"/>
      <c r="AR220"/>
      <c r="AS220"/>
      <c r="AT220"/>
      <c r="AU220"/>
    </row>
    <row r="221" spans="1:47" s="151" customFormat="1" ht="14.25" customHeight="1">
      <c r="A221" s="139"/>
      <c r="B221" s="139"/>
      <c r="C221" s="152" t="str">
        <f>IF($X221=1,COUNTIF($C$10:C220,"&gt;0")+1,"")</f>
        <v/>
      </c>
      <c r="D221" s="323"/>
      <c r="E221" s="153" t="s">
        <v>3014</v>
      </c>
      <c r="F221" s="154" t="s">
        <v>3065</v>
      </c>
      <c r="G221" s="153" t="s">
        <v>3060</v>
      </c>
      <c r="H221" s="153" t="s">
        <v>799</v>
      </c>
      <c r="I221" s="153" t="s">
        <v>3062</v>
      </c>
      <c r="J221" s="153" t="s">
        <v>68</v>
      </c>
      <c r="K221" s="153" t="s">
        <v>460</v>
      </c>
      <c r="L221" s="155">
        <v>25847</v>
      </c>
      <c r="M221" s="153">
        <v>54</v>
      </c>
      <c r="N221" s="153" t="s">
        <v>3066</v>
      </c>
      <c r="O221" s="155">
        <v>46433</v>
      </c>
      <c r="P221" s="153" t="s">
        <v>4</v>
      </c>
      <c r="Q221" s="153"/>
      <c r="R221" s="162">
        <v>45913</v>
      </c>
      <c r="S221" s="163">
        <v>45918</v>
      </c>
      <c r="T221" s="164">
        <f t="shared" si="3"/>
        <v>5</v>
      </c>
      <c r="U221" s="153">
        <v>1</v>
      </c>
      <c r="V221" s="153">
        <v>1</v>
      </c>
      <c r="W221" s="153">
        <v>0</v>
      </c>
      <c r="X221" s="153">
        <v>0</v>
      </c>
      <c r="Y221" s="153">
        <v>0</v>
      </c>
      <c r="Z221" s="153">
        <v>0</v>
      </c>
      <c r="AA221" s="153">
        <v>0</v>
      </c>
      <c r="AB221" s="153"/>
      <c r="AC221" s="155">
        <v>45913</v>
      </c>
      <c r="AD221" s="156">
        <v>0.72569444444525288</v>
      </c>
      <c r="AE221" s="153" t="s">
        <v>3064</v>
      </c>
      <c r="AF221" s="155">
        <v>45918</v>
      </c>
      <c r="AG221" s="156">
        <v>0.86458333333575865</v>
      </c>
      <c r="AH221" s="153" t="s">
        <v>463</v>
      </c>
      <c r="AI221" s="153" t="s">
        <v>3021</v>
      </c>
      <c r="AJ221" s="153" t="s">
        <v>64</v>
      </c>
      <c r="AK221" s="153" t="s">
        <v>64</v>
      </c>
      <c r="AL221" s="153" t="s">
        <v>2306</v>
      </c>
      <c r="AM221" s="149" t="s">
        <v>65</v>
      </c>
      <c r="AN221" s="158"/>
      <c r="AO221" s="159"/>
      <c r="AQ221"/>
      <c r="AR221"/>
      <c r="AS221"/>
      <c r="AT221"/>
      <c r="AU221"/>
    </row>
    <row r="222" spans="1:47" s="151" customFormat="1" ht="14.25" customHeight="1">
      <c r="A222" s="139"/>
      <c r="B222" s="139"/>
      <c r="C222" s="152">
        <f>IF($X222=1,COUNTIF($C$10:C221,"&gt;0")+1,"")</f>
        <v>104</v>
      </c>
      <c r="D222" s="153">
        <v>75987253</v>
      </c>
      <c r="E222" s="153" t="s">
        <v>3014</v>
      </c>
      <c r="F222" s="154" t="s">
        <v>3067</v>
      </c>
      <c r="G222" s="153" t="s">
        <v>3060</v>
      </c>
      <c r="H222" s="153" t="s">
        <v>3068</v>
      </c>
      <c r="I222" s="153" t="s">
        <v>3062</v>
      </c>
      <c r="J222" s="153" t="s">
        <v>58</v>
      </c>
      <c r="K222" s="153" t="s">
        <v>460</v>
      </c>
      <c r="L222" s="155">
        <v>36409</v>
      </c>
      <c r="M222" s="153">
        <v>26</v>
      </c>
      <c r="N222" s="153" t="s">
        <v>3069</v>
      </c>
      <c r="O222" s="155">
        <v>46817</v>
      </c>
      <c r="P222" s="153" t="s">
        <v>3</v>
      </c>
      <c r="Q222" s="153"/>
      <c r="R222" s="162">
        <v>45913</v>
      </c>
      <c r="S222" s="163">
        <v>45918</v>
      </c>
      <c r="T222" s="164">
        <f t="shared" si="3"/>
        <v>5</v>
      </c>
      <c r="U222" s="153">
        <v>1</v>
      </c>
      <c r="V222" s="153">
        <v>1</v>
      </c>
      <c r="W222" s="153">
        <v>0</v>
      </c>
      <c r="X222" s="153">
        <v>1</v>
      </c>
      <c r="Y222" s="153">
        <v>1</v>
      </c>
      <c r="Z222" s="153">
        <v>0</v>
      </c>
      <c r="AA222" s="153">
        <v>0</v>
      </c>
      <c r="AB222" s="153"/>
      <c r="AC222" s="155">
        <v>45913</v>
      </c>
      <c r="AD222" s="156">
        <v>0.72569444444525288</v>
      </c>
      <c r="AE222" s="153" t="s">
        <v>3064</v>
      </c>
      <c r="AF222" s="155">
        <v>45918</v>
      </c>
      <c r="AG222" s="156">
        <v>0.86458333333575865</v>
      </c>
      <c r="AH222" s="153" t="s">
        <v>463</v>
      </c>
      <c r="AI222" s="153" t="s">
        <v>3021</v>
      </c>
      <c r="AJ222" s="153" t="s">
        <v>64</v>
      </c>
      <c r="AK222" s="153" t="s">
        <v>64</v>
      </c>
      <c r="AL222" s="153" t="s">
        <v>2306</v>
      </c>
      <c r="AM222" s="149" t="s">
        <v>65</v>
      </c>
      <c r="AN222" s="158"/>
      <c r="AO222" s="159"/>
      <c r="AQ222"/>
      <c r="AR222"/>
      <c r="AS222"/>
      <c r="AT222"/>
      <c r="AU222"/>
    </row>
    <row r="223" spans="1:47" s="151" customFormat="1" ht="14.25" customHeight="1">
      <c r="A223" s="139"/>
      <c r="B223" s="139"/>
      <c r="C223" s="152">
        <f>IF($X223=1,COUNTIF($C$10:C222,"&gt;0")+1,"")</f>
        <v>105</v>
      </c>
      <c r="D223" s="322">
        <v>75987276</v>
      </c>
      <c r="E223" s="153" t="s">
        <v>3014</v>
      </c>
      <c r="F223" s="154" t="s">
        <v>3070</v>
      </c>
      <c r="G223" s="153" t="s">
        <v>3070</v>
      </c>
      <c r="H223" s="153" t="s">
        <v>3071</v>
      </c>
      <c r="I223" s="153" t="s">
        <v>3072</v>
      </c>
      <c r="J223" s="153" t="s">
        <v>58</v>
      </c>
      <c r="K223" s="153" t="s">
        <v>59</v>
      </c>
      <c r="L223" s="155">
        <v>23834</v>
      </c>
      <c r="M223" s="153">
        <v>60</v>
      </c>
      <c r="N223" s="153" t="s">
        <v>3073</v>
      </c>
      <c r="O223" s="155">
        <v>47026</v>
      </c>
      <c r="P223" s="153" t="s">
        <v>5</v>
      </c>
      <c r="Q223" s="153"/>
      <c r="R223" s="162">
        <v>45913</v>
      </c>
      <c r="S223" s="163">
        <v>45918</v>
      </c>
      <c r="T223" s="164">
        <f t="shared" si="3"/>
        <v>5</v>
      </c>
      <c r="U223" s="153">
        <v>1</v>
      </c>
      <c r="V223" s="153">
        <v>1</v>
      </c>
      <c r="W223" s="153">
        <v>0</v>
      </c>
      <c r="X223" s="153">
        <v>1</v>
      </c>
      <c r="Y223" s="153">
        <v>0</v>
      </c>
      <c r="Z223" s="153">
        <v>0</v>
      </c>
      <c r="AA223" s="153">
        <v>1</v>
      </c>
      <c r="AB223" s="153"/>
      <c r="AC223" s="155">
        <v>45913</v>
      </c>
      <c r="AD223" s="156">
        <v>0.72222222221898846</v>
      </c>
      <c r="AE223" s="153" t="s">
        <v>164</v>
      </c>
      <c r="AF223" s="155">
        <v>45918</v>
      </c>
      <c r="AG223" s="156">
        <v>0.66666666666424135</v>
      </c>
      <c r="AH223" s="153" t="s">
        <v>165</v>
      </c>
      <c r="AI223" s="153" t="s">
        <v>3021</v>
      </c>
      <c r="AJ223" s="153" t="s">
        <v>64</v>
      </c>
      <c r="AK223" s="153" t="s">
        <v>64</v>
      </c>
      <c r="AL223" s="153" t="s">
        <v>2306</v>
      </c>
      <c r="AM223" s="149" t="s">
        <v>65</v>
      </c>
      <c r="AN223" s="158"/>
      <c r="AO223" s="159"/>
      <c r="AQ223"/>
      <c r="AR223"/>
      <c r="AS223"/>
      <c r="AT223"/>
      <c r="AU223"/>
    </row>
    <row r="224" spans="1:47" s="151" customFormat="1" ht="14.25" customHeight="1">
      <c r="A224" s="139"/>
      <c r="B224" s="139"/>
      <c r="C224" s="152" t="str">
        <f>IF($X224=1,COUNTIF($C$10:C223,"&gt;0")+1,"")</f>
        <v/>
      </c>
      <c r="D224" s="323"/>
      <c r="E224" s="153" t="s">
        <v>3014</v>
      </c>
      <c r="F224" s="154" t="s">
        <v>3074</v>
      </c>
      <c r="G224" s="153" t="s">
        <v>3070</v>
      </c>
      <c r="H224" s="153" t="s">
        <v>3075</v>
      </c>
      <c r="I224" s="153" t="s">
        <v>82</v>
      </c>
      <c r="J224" s="153" t="s">
        <v>68</v>
      </c>
      <c r="K224" s="153" t="s">
        <v>59</v>
      </c>
      <c r="L224" s="155">
        <v>23674</v>
      </c>
      <c r="M224" s="153">
        <v>60</v>
      </c>
      <c r="N224" s="153" t="s">
        <v>3076</v>
      </c>
      <c r="O224" s="155">
        <v>48244</v>
      </c>
      <c r="P224" s="153" t="s">
        <v>5</v>
      </c>
      <c r="Q224" s="153"/>
      <c r="R224" s="162">
        <v>45913</v>
      </c>
      <c r="S224" s="163">
        <v>45918</v>
      </c>
      <c r="T224" s="164">
        <f t="shared" si="3"/>
        <v>5</v>
      </c>
      <c r="U224" s="153">
        <v>1</v>
      </c>
      <c r="V224" s="153">
        <v>1</v>
      </c>
      <c r="W224" s="153">
        <v>0</v>
      </c>
      <c r="X224" s="153">
        <v>0</v>
      </c>
      <c r="Y224" s="153">
        <v>0</v>
      </c>
      <c r="Z224" s="153">
        <v>0</v>
      </c>
      <c r="AA224" s="153">
        <v>0</v>
      </c>
      <c r="AB224" s="153"/>
      <c r="AC224" s="155">
        <v>45913</v>
      </c>
      <c r="AD224" s="156">
        <v>0.72222222221898846</v>
      </c>
      <c r="AE224" s="153" t="s">
        <v>164</v>
      </c>
      <c r="AF224" s="155">
        <v>45918</v>
      </c>
      <c r="AG224" s="156">
        <v>0.37847222221898846</v>
      </c>
      <c r="AH224" s="153" t="s">
        <v>3077</v>
      </c>
      <c r="AI224" s="153" t="s">
        <v>3021</v>
      </c>
      <c r="AJ224" s="153" t="s">
        <v>64</v>
      </c>
      <c r="AK224" s="153" t="s">
        <v>64</v>
      </c>
      <c r="AL224" s="153" t="s">
        <v>2306</v>
      </c>
      <c r="AM224" s="149" t="s">
        <v>65</v>
      </c>
      <c r="AN224" s="158"/>
      <c r="AO224" s="159"/>
      <c r="AQ224"/>
      <c r="AR224"/>
      <c r="AS224"/>
      <c r="AT224"/>
      <c r="AU224"/>
    </row>
    <row r="225" spans="1:47" s="151" customFormat="1" ht="14.25" customHeight="1">
      <c r="A225" s="139"/>
      <c r="B225" s="139"/>
      <c r="C225" s="152">
        <f>IF($X225=1,COUNTIF($C$10:C224,"&gt;0")+1,"")</f>
        <v>106</v>
      </c>
      <c r="D225" s="322">
        <v>75987288</v>
      </c>
      <c r="E225" s="153" t="s">
        <v>3014</v>
      </c>
      <c r="F225" s="154" t="s">
        <v>3078</v>
      </c>
      <c r="G225" s="153" t="s">
        <v>3078</v>
      </c>
      <c r="H225" s="153" t="s">
        <v>3079</v>
      </c>
      <c r="I225" s="153" t="s">
        <v>3080</v>
      </c>
      <c r="J225" s="153" t="s">
        <v>58</v>
      </c>
      <c r="K225" s="153" t="s">
        <v>59</v>
      </c>
      <c r="L225" s="155">
        <v>31230</v>
      </c>
      <c r="M225" s="153">
        <v>40</v>
      </c>
      <c r="N225" s="153" t="s">
        <v>3081</v>
      </c>
      <c r="O225" s="155">
        <v>46376</v>
      </c>
      <c r="P225" s="153" t="s">
        <v>5</v>
      </c>
      <c r="Q225" s="153"/>
      <c r="R225" s="162">
        <v>45913</v>
      </c>
      <c r="S225" s="163">
        <v>45918</v>
      </c>
      <c r="T225" s="164">
        <f t="shared" si="3"/>
        <v>5</v>
      </c>
      <c r="U225" s="153">
        <v>1</v>
      </c>
      <c r="V225" s="153">
        <v>1</v>
      </c>
      <c r="W225" s="153">
        <v>0</v>
      </c>
      <c r="X225" s="153">
        <v>1</v>
      </c>
      <c r="Y225" s="153">
        <v>0</v>
      </c>
      <c r="Z225" s="153">
        <v>0</v>
      </c>
      <c r="AA225" s="153">
        <v>1</v>
      </c>
      <c r="AB225" s="153"/>
      <c r="AC225" s="155">
        <v>45912</v>
      </c>
      <c r="AD225" s="156">
        <v>0.67013888889050577</v>
      </c>
      <c r="AE225" s="153" t="s">
        <v>234</v>
      </c>
      <c r="AF225" s="155" t="s">
        <v>64</v>
      </c>
      <c r="AG225" s="156" t="s">
        <v>64</v>
      </c>
      <c r="AH225" s="153" t="s">
        <v>1058</v>
      </c>
      <c r="AI225" s="153" t="s">
        <v>3021</v>
      </c>
      <c r="AJ225" s="153" t="s">
        <v>64</v>
      </c>
      <c r="AK225" s="153" t="s">
        <v>64</v>
      </c>
      <c r="AL225" s="153" t="s">
        <v>2306</v>
      </c>
      <c r="AM225" s="149" t="s">
        <v>65</v>
      </c>
      <c r="AN225" s="158"/>
      <c r="AO225" s="159"/>
      <c r="AQ225"/>
      <c r="AR225"/>
      <c r="AS225"/>
      <c r="AT225"/>
      <c r="AU225"/>
    </row>
    <row r="226" spans="1:47" s="151" customFormat="1" ht="14.25" customHeight="1">
      <c r="A226" s="139"/>
      <c r="B226" s="139"/>
      <c r="C226" s="152" t="str">
        <f>IF($X226=1,COUNTIF($C$10:C225,"&gt;0")+1,"")</f>
        <v/>
      </c>
      <c r="D226" s="323"/>
      <c r="E226" s="153" t="s">
        <v>3014</v>
      </c>
      <c r="F226" s="154" t="s">
        <v>3082</v>
      </c>
      <c r="G226" s="153" t="s">
        <v>3078</v>
      </c>
      <c r="H226" s="153" t="s">
        <v>3083</v>
      </c>
      <c r="I226" s="153" t="s">
        <v>82</v>
      </c>
      <c r="J226" s="153" t="s">
        <v>68</v>
      </c>
      <c r="K226" s="153" t="s">
        <v>59</v>
      </c>
      <c r="L226" s="155">
        <v>16343</v>
      </c>
      <c r="M226" s="153">
        <v>80</v>
      </c>
      <c r="N226" s="153" t="s">
        <v>3084</v>
      </c>
      <c r="O226" s="155">
        <v>47246</v>
      </c>
      <c r="P226" s="153" t="s">
        <v>5</v>
      </c>
      <c r="Q226" s="153"/>
      <c r="R226" s="162">
        <v>45913</v>
      </c>
      <c r="S226" s="163">
        <v>45918</v>
      </c>
      <c r="T226" s="164">
        <f t="shared" si="3"/>
        <v>5</v>
      </c>
      <c r="U226" s="153">
        <v>1</v>
      </c>
      <c r="V226" s="153">
        <v>1</v>
      </c>
      <c r="W226" s="153">
        <v>0</v>
      </c>
      <c r="X226" s="153">
        <v>0</v>
      </c>
      <c r="Y226" s="153">
        <v>0</v>
      </c>
      <c r="Z226" s="153">
        <v>0</v>
      </c>
      <c r="AA226" s="153">
        <v>0</v>
      </c>
      <c r="AB226" s="153"/>
      <c r="AC226" s="155">
        <v>45912</v>
      </c>
      <c r="AD226" s="156">
        <v>0.625</v>
      </c>
      <c r="AE226" s="153" t="s">
        <v>74</v>
      </c>
      <c r="AF226" s="155">
        <v>45918</v>
      </c>
      <c r="AG226" s="156">
        <v>0.47916666666424135</v>
      </c>
      <c r="AH226" s="153" t="s">
        <v>189</v>
      </c>
      <c r="AI226" s="153" t="s">
        <v>3021</v>
      </c>
      <c r="AJ226" s="153" t="s">
        <v>64</v>
      </c>
      <c r="AK226" s="153" t="s">
        <v>64</v>
      </c>
      <c r="AL226" s="153" t="s">
        <v>2306</v>
      </c>
      <c r="AM226" s="149" t="s">
        <v>65</v>
      </c>
      <c r="AN226" s="158"/>
      <c r="AO226" s="159"/>
      <c r="AQ226"/>
      <c r="AR226"/>
      <c r="AS226"/>
      <c r="AT226"/>
      <c r="AU226"/>
    </row>
    <row r="227" spans="1:47" s="151" customFormat="1" ht="14.25" customHeight="1">
      <c r="A227" s="139"/>
      <c r="B227" s="139"/>
      <c r="C227" s="152">
        <f>IF($X227=1,COUNTIF($C$10:C226,"&gt;0")+1,"")</f>
        <v>107</v>
      </c>
      <c r="D227" s="322">
        <v>75987324</v>
      </c>
      <c r="E227" s="153" t="s">
        <v>3014</v>
      </c>
      <c r="F227" s="154" t="s">
        <v>3085</v>
      </c>
      <c r="G227" s="153" t="s">
        <v>3085</v>
      </c>
      <c r="H227" s="153" t="s">
        <v>1259</v>
      </c>
      <c r="I227" s="153" t="s">
        <v>3086</v>
      </c>
      <c r="J227" s="153" t="s">
        <v>68</v>
      </c>
      <c r="K227" s="153" t="s">
        <v>460</v>
      </c>
      <c r="L227" s="155">
        <v>28552</v>
      </c>
      <c r="M227" s="153">
        <v>47</v>
      </c>
      <c r="N227" s="153" t="s">
        <v>3087</v>
      </c>
      <c r="O227" s="155">
        <v>46426</v>
      </c>
      <c r="P227" s="153" t="s">
        <v>4</v>
      </c>
      <c r="Q227" s="153"/>
      <c r="R227" s="162">
        <v>45913</v>
      </c>
      <c r="S227" s="163">
        <v>45918</v>
      </c>
      <c r="T227" s="164">
        <f t="shared" si="3"/>
        <v>5</v>
      </c>
      <c r="U227" s="153">
        <v>1</v>
      </c>
      <c r="V227" s="153">
        <v>1</v>
      </c>
      <c r="W227" s="153">
        <v>0</v>
      </c>
      <c r="X227" s="153">
        <v>1</v>
      </c>
      <c r="Y227" s="153">
        <v>0</v>
      </c>
      <c r="Z227" s="153">
        <v>1</v>
      </c>
      <c r="AA227" s="153">
        <v>0</v>
      </c>
      <c r="AB227" s="153"/>
      <c r="AC227" s="155">
        <v>45913</v>
      </c>
      <c r="AD227" s="156">
        <v>0.78125</v>
      </c>
      <c r="AE227" s="153" t="s">
        <v>462</v>
      </c>
      <c r="AF227" s="155">
        <v>45918</v>
      </c>
      <c r="AG227" s="156">
        <v>0.66666666666424135</v>
      </c>
      <c r="AH227" s="153" t="s">
        <v>3088</v>
      </c>
      <c r="AI227" s="153" t="s">
        <v>3021</v>
      </c>
      <c r="AJ227" s="153" t="s">
        <v>64</v>
      </c>
      <c r="AK227" s="153" t="s">
        <v>64</v>
      </c>
      <c r="AL227" s="153" t="s">
        <v>2306</v>
      </c>
      <c r="AM227" s="149" t="s">
        <v>65</v>
      </c>
      <c r="AN227" s="158" t="s">
        <v>1600</v>
      </c>
      <c r="AO227" s="159"/>
      <c r="AQ227"/>
      <c r="AR227"/>
      <c r="AS227"/>
      <c r="AT227"/>
      <c r="AU227"/>
    </row>
    <row r="228" spans="1:47" s="151" customFormat="1" ht="14.25" customHeight="1">
      <c r="A228" s="139"/>
      <c r="B228" s="139"/>
      <c r="C228" s="152" t="str">
        <f>IF($X228=1,COUNTIF($C$10:C227,"&gt;0")+1,"")</f>
        <v/>
      </c>
      <c r="D228" s="324"/>
      <c r="E228" s="153" t="s">
        <v>3014</v>
      </c>
      <c r="F228" s="154" t="s">
        <v>3089</v>
      </c>
      <c r="G228" s="153" t="s">
        <v>3085</v>
      </c>
      <c r="H228" s="153" t="s">
        <v>3086</v>
      </c>
      <c r="I228" s="153" t="s">
        <v>3090</v>
      </c>
      <c r="J228" s="153" t="s">
        <v>68</v>
      </c>
      <c r="K228" s="153" t="s">
        <v>460</v>
      </c>
      <c r="L228" s="155">
        <v>40069</v>
      </c>
      <c r="M228" s="153">
        <v>16</v>
      </c>
      <c r="N228" s="153" t="s">
        <v>3091</v>
      </c>
      <c r="O228" s="155">
        <v>46411</v>
      </c>
      <c r="P228" s="153" t="s">
        <v>4</v>
      </c>
      <c r="Q228" s="153"/>
      <c r="R228" s="162">
        <v>45913</v>
      </c>
      <c r="S228" s="163">
        <v>45918</v>
      </c>
      <c r="T228" s="164">
        <f t="shared" si="3"/>
        <v>5</v>
      </c>
      <c r="U228" s="153">
        <v>1</v>
      </c>
      <c r="V228" s="153">
        <v>1</v>
      </c>
      <c r="W228" s="153">
        <v>0</v>
      </c>
      <c r="X228" s="153">
        <v>0</v>
      </c>
      <c r="Y228" s="153">
        <v>0</v>
      </c>
      <c r="Z228" s="153">
        <v>0</v>
      </c>
      <c r="AA228" s="153">
        <v>0</v>
      </c>
      <c r="AB228" s="153"/>
      <c r="AC228" s="155">
        <v>45913</v>
      </c>
      <c r="AD228" s="156">
        <v>0.78125</v>
      </c>
      <c r="AE228" s="153" t="s">
        <v>462</v>
      </c>
      <c r="AF228" s="155">
        <v>45918</v>
      </c>
      <c r="AG228" s="156">
        <v>0.66666666666424135</v>
      </c>
      <c r="AH228" s="153" t="s">
        <v>3088</v>
      </c>
      <c r="AI228" s="153" t="s">
        <v>3021</v>
      </c>
      <c r="AJ228" s="153" t="s">
        <v>64</v>
      </c>
      <c r="AK228" s="153" t="s">
        <v>64</v>
      </c>
      <c r="AL228" s="153" t="s">
        <v>2306</v>
      </c>
      <c r="AM228" s="149" t="s">
        <v>65</v>
      </c>
      <c r="AN228" s="158" t="s">
        <v>1600</v>
      </c>
      <c r="AO228" s="159"/>
      <c r="AQ228"/>
      <c r="AR228"/>
      <c r="AS228"/>
      <c r="AT228"/>
      <c r="AU228"/>
    </row>
    <row r="229" spans="1:47" s="151" customFormat="1" ht="14.25" customHeight="1">
      <c r="A229" s="139"/>
      <c r="B229" s="139"/>
      <c r="C229" s="152" t="str">
        <f>IF($X229=1,COUNTIF($C$10:C228,"&gt;0")+1,"")</f>
        <v/>
      </c>
      <c r="D229" s="323"/>
      <c r="E229" s="153" t="s">
        <v>3014</v>
      </c>
      <c r="F229" s="154" t="s">
        <v>3092</v>
      </c>
      <c r="G229" s="153" t="s">
        <v>3085</v>
      </c>
      <c r="H229" s="153" t="s">
        <v>3093</v>
      </c>
      <c r="I229" s="153" t="s">
        <v>3086</v>
      </c>
      <c r="J229" s="153" t="s">
        <v>58</v>
      </c>
      <c r="K229" s="153" t="s">
        <v>460</v>
      </c>
      <c r="L229" s="155">
        <v>42387</v>
      </c>
      <c r="M229" s="153">
        <v>9</v>
      </c>
      <c r="N229" s="153" t="s">
        <v>3094</v>
      </c>
      <c r="O229" s="155">
        <v>46439</v>
      </c>
      <c r="P229" s="153" t="s">
        <v>4</v>
      </c>
      <c r="Q229" s="153"/>
      <c r="R229" s="162">
        <v>45913</v>
      </c>
      <c r="S229" s="163">
        <v>45918</v>
      </c>
      <c r="T229" s="164">
        <f t="shared" si="3"/>
        <v>5</v>
      </c>
      <c r="U229" s="153">
        <v>1</v>
      </c>
      <c r="V229" s="153">
        <v>0</v>
      </c>
      <c r="W229" s="153">
        <v>1</v>
      </c>
      <c r="X229" s="153">
        <v>0</v>
      </c>
      <c r="Y229" s="153">
        <v>0</v>
      </c>
      <c r="Z229" s="153">
        <v>0</v>
      </c>
      <c r="AA229" s="153">
        <v>0</v>
      </c>
      <c r="AB229" s="153"/>
      <c r="AC229" s="155">
        <v>45913</v>
      </c>
      <c r="AD229" s="156">
        <v>0.78125</v>
      </c>
      <c r="AE229" s="153" t="s">
        <v>462</v>
      </c>
      <c r="AF229" s="155">
        <v>45918</v>
      </c>
      <c r="AG229" s="156">
        <v>0.66666666666424135</v>
      </c>
      <c r="AH229" s="153" t="s">
        <v>3088</v>
      </c>
      <c r="AI229" s="153" t="s">
        <v>3021</v>
      </c>
      <c r="AJ229" s="153" t="s">
        <v>64</v>
      </c>
      <c r="AK229" s="153" t="s">
        <v>64</v>
      </c>
      <c r="AL229" s="153" t="s">
        <v>2306</v>
      </c>
      <c r="AM229" s="149" t="s">
        <v>65</v>
      </c>
      <c r="AN229" s="158" t="s">
        <v>1600</v>
      </c>
      <c r="AO229" s="159"/>
      <c r="AQ229"/>
      <c r="AR229"/>
      <c r="AS229"/>
      <c r="AT229"/>
      <c r="AU229"/>
    </row>
    <row r="230" spans="1:47" s="151" customFormat="1" ht="14.25" customHeight="1">
      <c r="A230" s="139"/>
      <c r="B230" s="139"/>
      <c r="C230" s="152">
        <f>IF($X230=1,COUNTIF($C$10:C229,"&gt;0")+1,"")</f>
        <v>108</v>
      </c>
      <c r="D230" s="322">
        <v>75987342</v>
      </c>
      <c r="E230" s="153" t="s">
        <v>3014</v>
      </c>
      <c r="F230" s="154" t="s">
        <v>3095</v>
      </c>
      <c r="G230" s="153" t="s">
        <v>3095</v>
      </c>
      <c r="H230" s="153" t="s">
        <v>3096</v>
      </c>
      <c r="I230" s="153" t="s">
        <v>3097</v>
      </c>
      <c r="J230" s="153" t="s">
        <v>58</v>
      </c>
      <c r="K230" s="153" t="s">
        <v>59</v>
      </c>
      <c r="L230" s="155">
        <v>25324</v>
      </c>
      <c r="M230" s="153">
        <v>56</v>
      </c>
      <c r="N230" s="153" t="s">
        <v>3098</v>
      </c>
      <c r="O230" s="155">
        <v>49505</v>
      </c>
      <c r="P230" s="153" t="s">
        <v>4</v>
      </c>
      <c r="Q230" s="153"/>
      <c r="R230" s="162">
        <v>45913</v>
      </c>
      <c r="S230" s="163">
        <v>45918</v>
      </c>
      <c r="T230" s="164">
        <f t="shared" si="3"/>
        <v>5</v>
      </c>
      <c r="U230" s="153">
        <v>1</v>
      </c>
      <c r="V230" s="153">
        <v>1</v>
      </c>
      <c r="W230" s="153">
        <v>0</v>
      </c>
      <c r="X230" s="153">
        <v>1</v>
      </c>
      <c r="Y230" s="153">
        <v>0</v>
      </c>
      <c r="Z230" s="153">
        <v>1</v>
      </c>
      <c r="AA230" s="153">
        <v>0</v>
      </c>
      <c r="AB230" s="153"/>
      <c r="AC230" s="155">
        <v>45913</v>
      </c>
      <c r="AD230" s="156">
        <v>0.92013888889050577</v>
      </c>
      <c r="AE230" s="153" t="s">
        <v>3099</v>
      </c>
      <c r="AF230" s="155">
        <v>45918</v>
      </c>
      <c r="AG230" s="156">
        <v>0.77777777778101154</v>
      </c>
      <c r="AH230" s="153" t="s">
        <v>330</v>
      </c>
      <c r="AI230" s="153" t="s">
        <v>3021</v>
      </c>
      <c r="AJ230" s="153" t="s">
        <v>64</v>
      </c>
      <c r="AK230" s="153" t="s">
        <v>64</v>
      </c>
      <c r="AL230" s="153" t="s">
        <v>2306</v>
      </c>
      <c r="AM230" s="149" t="s">
        <v>65</v>
      </c>
      <c r="AN230" s="158" t="s">
        <v>1600</v>
      </c>
      <c r="AO230" s="159"/>
      <c r="AQ230"/>
      <c r="AR230"/>
      <c r="AS230"/>
      <c r="AT230"/>
      <c r="AU230"/>
    </row>
    <row r="231" spans="1:47" s="151" customFormat="1" ht="14.25" customHeight="1">
      <c r="A231" s="139"/>
      <c r="B231" s="139"/>
      <c r="C231" s="152" t="str">
        <f>IF($X231=1,COUNTIF($C$10:C230,"&gt;0")+1,"")</f>
        <v/>
      </c>
      <c r="D231" s="323"/>
      <c r="E231" s="153" t="s">
        <v>3014</v>
      </c>
      <c r="F231" s="154" t="s">
        <v>3100</v>
      </c>
      <c r="G231" s="153" t="s">
        <v>3095</v>
      </c>
      <c r="H231" s="167" t="s">
        <v>3101</v>
      </c>
      <c r="I231" s="167" t="s">
        <v>3102</v>
      </c>
      <c r="J231" s="167" t="s">
        <v>58</v>
      </c>
      <c r="K231" s="167" t="s">
        <v>3103</v>
      </c>
      <c r="L231" s="165">
        <v>25242</v>
      </c>
      <c r="M231" s="167">
        <v>56</v>
      </c>
      <c r="N231" s="167" t="s">
        <v>3104</v>
      </c>
      <c r="O231" s="165">
        <v>48622</v>
      </c>
      <c r="P231" s="167" t="s">
        <v>4</v>
      </c>
      <c r="Q231" s="167"/>
      <c r="R231" s="178">
        <v>45913</v>
      </c>
      <c r="S231" s="174">
        <v>45918</v>
      </c>
      <c r="T231" s="175">
        <f t="shared" si="3"/>
        <v>5</v>
      </c>
      <c r="U231" s="167">
        <v>1</v>
      </c>
      <c r="V231" s="167">
        <v>1</v>
      </c>
      <c r="W231" s="167">
        <v>0</v>
      </c>
      <c r="X231" s="167">
        <v>0</v>
      </c>
      <c r="Y231" s="167">
        <v>0</v>
      </c>
      <c r="Z231" s="167">
        <v>0</v>
      </c>
      <c r="AA231" s="167">
        <v>0</v>
      </c>
      <c r="AB231" s="167"/>
      <c r="AC231" s="165">
        <v>45913</v>
      </c>
      <c r="AD231" s="166">
        <v>0.92013888889050577</v>
      </c>
      <c r="AE231" s="167" t="s">
        <v>3099</v>
      </c>
      <c r="AF231" s="165">
        <v>45918</v>
      </c>
      <c r="AG231" s="166">
        <v>0.77777777778101154</v>
      </c>
      <c r="AH231" s="167" t="s">
        <v>330</v>
      </c>
      <c r="AI231" s="167" t="s">
        <v>3021</v>
      </c>
      <c r="AJ231" s="167" t="s">
        <v>64</v>
      </c>
      <c r="AK231" s="167" t="s">
        <v>64</v>
      </c>
      <c r="AL231" s="167" t="s">
        <v>2306</v>
      </c>
      <c r="AM231" s="179" t="s">
        <v>65</v>
      </c>
      <c r="AN231" s="180" t="s">
        <v>1600</v>
      </c>
      <c r="AO231" s="159"/>
      <c r="AQ231"/>
      <c r="AR231"/>
      <c r="AS231"/>
      <c r="AT231"/>
      <c r="AU231"/>
    </row>
    <row r="232" spans="1:47" s="151" customFormat="1" ht="14.25" customHeight="1">
      <c r="A232" s="139"/>
      <c r="B232" s="139"/>
      <c r="C232" s="152">
        <f>IF($X232=1,COUNTIF($C$10:C231,"&gt;0")+1,"")</f>
        <v>109</v>
      </c>
      <c r="D232" s="153">
        <v>75987351</v>
      </c>
      <c r="E232" s="153" t="s">
        <v>3014</v>
      </c>
      <c r="F232" s="154" t="s">
        <v>3105</v>
      </c>
      <c r="G232" s="153" t="s">
        <v>3105</v>
      </c>
      <c r="H232" s="153" t="s">
        <v>3106</v>
      </c>
      <c r="I232" s="153" t="s">
        <v>3107</v>
      </c>
      <c r="J232" s="153" t="s">
        <v>58</v>
      </c>
      <c r="K232" s="153" t="s">
        <v>59</v>
      </c>
      <c r="L232" s="155">
        <v>33337</v>
      </c>
      <c r="M232" s="153">
        <v>34</v>
      </c>
      <c r="N232" s="153" t="s">
        <v>3108</v>
      </c>
      <c r="O232" s="155">
        <v>49205</v>
      </c>
      <c r="P232" s="153" t="s">
        <v>3</v>
      </c>
      <c r="Q232" s="153"/>
      <c r="R232" s="162">
        <v>45913</v>
      </c>
      <c r="S232" s="163">
        <v>45918</v>
      </c>
      <c r="T232" s="164">
        <f t="shared" si="3"/>
        <v>5</v>
      </c>
      <c r="U232" s="153">
        <v>1</v>
      </c>
      <c r="V232" s="153">
        <v>1</v>
      </c>
      <c r="W232" s="153">
        <v>0</v>
      </c>
      <c r="X232" s="153">
        <v>1</v>
      </c>
      <c r="Y232" s="153">
        <v>1</v>
      </c>
      <c r="Z232" s="153">
        <v>0</v>
      </c>
      <c r="AA232" s="153">
        <v>0</v>
      </c>
      <c r="AB232" s="153"/>
      <c r="AC232" s="155">
        <v>45915</v>
      </c>
      <c r="AD232" s="156">
        <v>0.625</v>
      </c>
      <c r="AE232" s="153" t="s">
        <v>74</v>
      </c>
      <c r="AF232" s="155">
        <v>45918</v>
      </c>
      <c r="AG232" s="156">
        <v>0.36805555555474712</v>
      </c>
      <c r="AH232" s="153" t="s">
        <v>1854</v>
      </c>
      <c r="AI232" s="153" t="s">
        <v>3021</v>
      </c>
      <c r="AJ232" s="153" t="s">
        <v>64</v>
      </c>
      <c r="AK232" s="153" t="s">
        <v>64</v>
      </c>
      <c r="AL232" s="153" t="s">
        <v>2306</v>
      </c>
      <c r="AM232" s="149" t="s">
        <v>65</v>
      </c>
      <c r="AN232" s="158"/>
      <c r="AO232" s="159"/>
      <c r="AQ232"/>
      <c r="AR232"/>
      <c r="AS232"/>
      <c r="AT232"/>
      <c r="AU232"/>
    </row>
    <row r="233" spans="1:47" s="151" customFormat="1" ht="14.25" customHeight="1">
      <c r="A233" s="139"/>
      <c r="B233" s="139"/>
      <c r="C233" s="152">
        <f>IF($X233=1,COUNTIF($C$10:C232,"&gt;0")+1,"")</f>
        <v>110</v>
      </c>
      <c r="D233" s="322">
        <v>75987427</v>
      </c>
      <c r="E233" s="153" t="s">
        <v>3014</v>
      </c>
      <c r="F233" s="154" t="s">
        <v>3109</v>
      </c>
      <c r="G233" s="153" t="s">
        <v>3109</v>
      </c>
      <c r="H233" s="153" t="s">
        <v>3110</v>
      </c>
      <c r="I233" s="153" t="s">
        <v>3107</v>
      </c>
      <c r="J233" s="153" t="s">
        <v>68</v>
      </c>
      <c r="K233" s="153" t="s">
        <v>59</v>
      </c>
      <c r="L233" s="155">
        <v>21286</v>
      </c>
      <c r="M233" s="153">
        <v>67</v>
      </c>
      <c r="N233" s="153" t="s">
        <v>3111</v>
      </c>
      <c r="O233" s="155">
        <v>46137</v>
      </c>
      <c r="P233" s="153" t="s">
        <v>4</v>
      </c>
      <c r="Q233" s="153"/>
      <c r="R233" s="162">
        <v>45913</v>
      </c>
      <c r="S233" s="163">
        <v>45918</v>
      </c>
      <c r="T233" s="164">
        <f t="shared" si="3"/>
        <v>5</v>
      </c>
      <c r="U233" s="153">
        <v>1</v>
      </c>
      <c r="V233" s="153">
        <v>1</v>
      </c>
      <c r="W233" s="153">
        <v>0</v>
      </c>
      <c r="X233" s="153">
        <v>1</v>
      </c>
      <c r="Y233" s="153">
        <v>0</v>
      </c>
      <c r="Z233" s="153">
        <v>1</v>
      </c>
      <c r="AA233" s="153">
        <v>0</v>
      </c>
      <c r="AB233" s="153"/>
      <c r="AC233" s="155">
        <v>45913</v>
      </c>
      <c r="AD233" s="156">
        <v>0.85416666666424135</v>
      </c>
      <c r="AE233" s="153" t="s">
        <v>712</v>
      </c>
      <c r="AF233" s="155">
        <v>45918</v>
      </c>
      <c r="AG233" s="156">
        <v>0.36805555555474712</v>
      </c>
      <c r="AH233" s="153" t="s">
        <v>1854</v>
      </c>
      <c r="AI233" s="153" t="s">
        <v>3021</v>
      </c>
      <c r="AJ233" s="153" t="s">
        <v>64</v>
      </c>
      <c r="AK233" s="153" t="s">
        <v>64</v>
      </c>
      <c r="AL233" s="153" t="s">
        <v>2306</v>
      </c>
      <c r="AM233" s="149" t="s">
        <v>65</v>
      </c>
      <c r="AN233" s="158" t="s">
        <v>1600</v>
      </c>
      <c r="AO233" s="159"/>
      <c r="AQ233"/>
      <c r="AR233"/>
      <c r="AS233"/>
      <c r="AT233"/>
      <c r="AU233"/>
    </row>
    <row r="234" spans="1:47" s="151" customFormat="1" ht="14.25" customHeight="1">
      <c r="A234" s="139"/>
      <c r="B234" s="139"/>
      <c r="C234" s="152" t="str">
        <f>IF($X234=1,COUNTIF($C$10:C233,"&gt;0")+1,"")</f>
        <v/>
      </c>
      <c r="D234" s="323"/>
      <c r="E234" s="153" t="s">
        <v>3014</v>
      </c>
      <c r="F234" s="154" t="s">
        <v>3112</v>
      </c>
      <c r="G234" s="153" t="s">
        <v>3109</v>
      </c>
      <c r="H234" s="153" t="s">
        <v>3113</v>
      </c>
      <c r="I234" s="153" t="s">
        <v>3107</v>
      </c>
      <c r="J234" s="153" t="s">
        <v>58</v>
      </c>
      <c r="K234" s="153" t="s">
        <v>59</v>
      </c>
      <c r="L234" s="155">
        <v>21394</v>
      </c>
      <c r="M234" s="153">
        <v>67</v>
      </c>
      <c r="N234" s="153" t="s">
        <v>3114</v>
      </c>
      <c r="O234" s="155">
        <v>46081</v>
      </c>
      <c r="P234" s="153" t="s">
        <v>4</v>
      </c>
      <c r="Q234" s="153"/>
      <c r="R234" s="162">
        <v>45913</v>
      </c>
      <c r="S234" s="163">
        <v>45918</v>
      </c>
      <c r="T234" s="164">
        <f t="shared" si="3"/>
        <v>5</v>
      </c>
      <c r="U234" s="153">
        <v>1</v>
      </c>
      <c r="V234" s="153">
        <v>1</v>
      </c>
      <c r="W234" s="153">
        <v>0</v>
      </c>
      <c r="X234" s="153">
        <v>0</v>
      </c>
      <c r="Y234" s="153">
        <v>0</v>
      </c>
      <c r="Z234" s="153">
        <v>0</v>
      </c>
      <c r="AA234" s="153">
        <v>0</v>
      </c>
      <c r="AB234" s="153"/>
      <c r="AC234" s="155">
        <v>45913</v>
      </c>
      <c r="AD234" s="156">
        <v>0.85416666666424135</v>
      </c>
      <c r="AE234" s="153" t="s">
        <v>712</v>
      </c>
      <c r="AF234" s="155">
        <v>45918</v>
      </c>
      <c r="AG234" s="156">
        <v>0.36805555555474712</v>
      </c>
      <c r="AH234" s="153" t="s">
        <v>1854</v>
      </c>
      <c r="AI234" s="153" t="s">
        <v>3021</v>
      </c>
      <c r="AJ234" s="153" t="s">
        <v>64</v>
      </c>
      <c r="AK234" s="153" t="s">
        <v>64</v>
      </c>
      <c r="AL234" s="153" t="s">
        <v>2306</v>
      </c>
      <c r="AM234" s="149" t="s">
        <v>65</v>
      </c>
      <c r="AN234" s="158" t="s">
        <v>1600</v>
      </c>
      <c r="AO234" s="159"/>
      <c r="AQ234"/>
      <c r="AR234"/>
      <c r="AS234"/>
      <c r="AT234"/>
      <c r="AU234"/>
    </row>
    <row r="235" spans="1:47" s="151" customFormat="1" ht="14.25" customHeight="1">
      <c r="A235" s="139"/>
      <c r="B235" s="139"/>
      <c r="C235" s="152">
        <f>IF($X235=1,COUNTIF($C$10:C234,"&gt;0")+1,"")</f>
        <v>111</v>
      </c>
      <c r="D235" s="322">
        <v>75987440</v>
      </c>
      <c r="E235" s="153" t="s">
        <v>3014</v>
      </c>
      <c r="F235" s="154" t="s">
        <v>3115</v>
      </c>
      <c r="G235" s="153" t="s">
        <v>3115</v>
      </c>
      <c r="H235" s="153" t="s">
        <v>3116</v>
      </c>
      <c r="I235" s="153" t="s">
        <v>3117</v>
      </c>
      <c r="J235" s="153" t="s">
        <v>58</v>
      </c>
      <c r="K235" s="153" t="s">
        <v>59</v>
      </c>
      <c r="L235" s="155">
        <v>23726</v>
      </c>
      <c r="M235" s="153">
        <v>60</v>
      </c>
      <c r="N235" s="153" t="s">
        <v>3118</v>
      </c>
      <c r="O235" s="155">
        <v>48260</v>
      </c>
      <c r="P235" s="153" t="s">
        <v>5</v>
      </c>
      <c r="Q235" s="153"/>
      <c r="R235" s="162">
        <v>45913</v>
      </c>
      <c r="S235" s="163">
        <v>45918</v>
      </c>
      <c r="T235" s="164">
        <f t="shared" si="3"/>
        <v>5</v>
      </c>
      <c r="U235" s="153">
        <v>1</v>
      </c>
      <c r="V235" s="153">
        <v>1</v>
      </c>
      <c r="W235" s="153">
        <v>0</v>
      </c>
      <c r="X235" s="153">
        <v>1</v>
      </c>
      <c r="Y235" s="153">
        <v>0</v>
      </c>
      <c r="Z235" s="153">
        <v>0</v>
      </c>
      <c r="AA235" s="153">
        <v>1</v>
      </c>
      <c r="AB235" s="153"/>
      <c r="AC235" s="155">
        <v>45913</v>
      </c>
      <c r="AD235" s="156">
        <v>0.85416666666424135</v>
      </c>
      <c r="AE235" s="153" t="s">
        <v>712</v>
      </c>
      <c r="AF235" s="155">
        <v>45918</v>
      </c>
      <c r="AG235" s="156">
        <v>0.53819444444525288</v>
      </c>
      <c r="AH235" s="153" t="s">
        <v>738</v>
      </c>
      <c r="AI235" s="153" t="s">
        <v>3021</v>
      </c>
      <c r="AJ235" s="153" t="s">
        <v>64</v>
      </c>
      <c r="AK235" s="153" t="s">
        <v>64</v>
      </c>
      <c r="AL235" s="153" t="s">
        <v>2306</v>
      </c>
      <c r="AM235" s="149" t="s">
        <v>65</v>
      </c>
      <c r="AN235" s="158" t="s">
        <v>1600</v>
      </c>
      <c r="AO235" s="159"/>
      <c r="AQ235"/>
      <c r="AR235"/>
      <c r="AS235"/>
      <c r="AT235"/>
      <c r="AU235"/>
    </row>
    <row r="236" spans="1:47" s="151" customFormat="1" ht="14.25" customHeight="1">
      <c r="A236" s="139"/>
      <c r="B236" s="139"/>
      <c r="C236" s="152" t="str">
        <f>IF($X236=1,COUNTIF($C$10:C235,"&gt;0")+1,"")</f>
        <v/>
      </c>
      <c r="D236" s="323"/>
      <c r="E236" s="153" t="s">
        <v>3014</v>
      </c>
      <c r="F236" s="154" t="s">
        <v>3119</v>
      </c>
      <c r="G236" s="153" t="s">
        <v>3115</v>
      </c>
      <c r="H236" s="153" t="s">
        <v>3120</v>
      </c>
      <c r="I236" s="153" t="s">
        <v>3121</v>
      </c>
      <c r="J236" s="153" t="s">
        <v>68</v>
      </c>
      <c r="K236" s="153" t="s">
        <v>59</v>
      </c>
      <c r="L236" s="155">
        <v>23136</v>
      </c>
      <c r="M236" s="153">
        <v>62</v>
      </c>
      <c r="N236" s="153" t="s">
        <v>3122</v>
      </c>
      <c r="O236" s="155">
        <v>49142</v>
      </c>
      <c r="P236" s="153" t="s">
        <v>5</v>
      </c>
      <c r="Q236" s="153"/>
      <c r="R236" s="162">
        <v>45913</v>
      </c>
      <c r="S236" s="163">
        <v>45918</v>
      </c>
      <c r="T236" s="164">
        <f t="shared" si="3"/>
        <v>5</v>
      </c>
      <c r="U236" s="153">
        <v>1</v>
      </c>
      <c r="V236" s="153">
        <v>1</v>
      </c>
      <c r="W236" s="153">
        <v>0</v>
      </c>
      <c r="X236" s="153">
        <v>0</v>
      </c>
      <c r="Y236" s="153">
        <v>0</v>
      </c>
      <c r="Z236" s="153">
        <v>0</v>
      </c>
      <c r="AA236" s="153">
        <v>0</v>
      </c>
      <c r="AB236" s="153"/>
      <c r="AC236" s="155">
        <v>45913</v>
      </c>
      <c r="AD236" s="156">
        <v>0.85416666666424135</v>
      </c>
      <c r="AE236" s="153" t="s">
        <v>712</v>
      </c>
      <c r="AF236" s="155">
        <v>45918</v>
      </c>
      <c r="AG236" s="156">
        <v>0.53819444444525288</v>
      </c>
      <c r="AH236" s="153" t="s">
        <v>738</v>
      </c>
      <c r="AI236" s="153" t="s">
        <v>3021</v>
      </c>
      <c r="AJ236" s="153" t="s">
        <v>64</v>
      </c>
      <c r="AK236" s="153" t="s">
        <v>64</v>
      </c>
      <c r="AL236" s="153" t="s">
        <v>2306</v>
      </c>
      <c r="AM236" s="149" t="s">
        <v>65</v>
      </c>
      <c r="AN236" s="158" t="s">
        <v>1600</v>
      </c>
      <c r="AO236" s="159"/>
      <c r="AQ236"/>
      <c r="AR236"/>
      <c r="AS236"/>
      <c r="AT236"/>
      <c r="AU236"/>
    </row>
    <row r="237" spans="1:47" s="151" customFormat="1" ht="14.25" customHeight="1">
      <c r="A237" s="139"/>
      <c r="B237" s="139"/>
      <c r="C237" s="152">
        <f>IF($X237=1,COUNTIF($C$10:C236,"&gt;0")+1,"")</f>
        <v>112</v>
      </c>
      <c r="D237" s="322">
        <v>75987451</v>
      </c>
      <c r="E237" s="153" t="s">
        <v>3014</v>
      </c>
      <c r="F237" s="154" t="s">
        <v>3123</v>
      </c>
      <c r="G237" s="153" t="s">
        <v>3123</v>
      </c>
      <c r="H237" s="153" t="s">
        <v>3124</v>
      </c>
      <c r="I237" s="153" t="s">
        <v>3125</v>
      </c>
      <c r="J237" s="153" t="s">
        <v>68</v>
      </c>
      <c r="K237" s="153" t="s">
        <v>59</v>
      </c>
      <c r="L237" s="155">
        <v>24457</v>
      </c>
      <c r="M237" s="153">
        <v>58</v>
      </c>
      <c r="N237" s="153" t="s">
        <v>3126</v>
      </c>
      <c r="O237" s="155">
        <v>46486</v>
      </c>
      <c r="P237" s="153" t="s">
        <v>5</v>
      </c>
      <c r="Q237" s="153"/>
      <c r="R237" s="162">
        <v>45913</v>
      </c>
      <c r="S237" s="163">
        <v>45918</v>
      </c>
      <c r="T237" s="164">
        <f t="shared" si="3"/>
        <v>5</v>
      </c>
      <c r="U237" s="153">
        <v>1</v>
      </c>
      <c r="V237" s="153">
        <v>1</v>
      </c>
      <c r="W237" s="153">
        <v>0</v>
      </c>
      <c r="X237" s="153">
        <v>1</v>
      </c>
      <c r="Y237" s="153">
        <v>0</v>
      </c>
      <c r="Z237" s="153">
        <v>0</v>
      </c>
      <c r="AA237" s="153">
        <v>1</v>
      </c>
      <c r="AB237" s="153"/>
      <c r="AC237" s="155">
        <v>45913</v>
      </c>
      <c r="AD237" s="156">
        <v>0.85416666666424135</v>
      </c>
      <c r="AE237" s="153" t="s">
        <v>712</v>
      </c>
      <c r="AF237" s="155">
        <v>45918</v>
      </c>
      <c r="AG237" s="156">
        <v>0.53819444444525288</v>
      </c>
      <c r="AH237" s="153" t="s">
        <v>738</v>
      </c>
      <c r="AI237" s="153" t="s">
        <v>3021</v>
      </c>
      <c r="AJ237" s="153" t="s">
        <v>64</v>
      </c>
      <c r="AK237" s="153" t="s">
        <v>64</v>
      </c>
      <c r="AL237" s="153" t="s">
        <v>2306</v>
      </c>
      <c r="AM237" s="149" t="s">
        <v>65</v>
      </c>
      <c r="AN237" s="158" t="s">
        <v>1600</v>
      </c>
      <c r="AO237" s="159"/>
      <c r="AQ237"/>
      <c r="AR237"/>
      <c r="AS237"/>
      <c r="AT237"/>
      <c r="AU237"/>
    </row>
    <row r="238" spans="1:47" s="151" customFormat="1" ht="14.25" customHeight="1">
      <c r="A238" s="139"/>
      <c r="B238" s="139"/>
      <c r="C238" s="152" t="str">
        <f>IF($X238=1,COUNTIF($C$10:C237,"&gt;0")+1,"")</f>
        <v/>
      </c>
      <c r="D238" s="323"/>
      <c r="E238" s="153" t="s">
        <v>3014</v>
      </c>
      <c r="F238" s="154" t="s">
        <v>3127</v>
      </c>
      <c r="G238" s="153" t="s">
        <v>3123</v>
      </c>
      <c r="H238" s="153" t="s">
        <v>3128</v>
      </c>
      <c r="I238" s="153" t="s">
        <v>3125</v>
      </c>
      <c r="J238" s="153" t="s">
        <v>68</v>
      </c>
      <c r="K238" s="153" t="s">
        <v>59</v>
      </c>
      <c r="L238" s="155">
        <v>35663</v>
      </c>
      <c r="M238" s="153">
        <v>28</v>
      </c>
      <c r="N238" s="153" t="s">
        <v>3129</v>
      </c>
      <c r="O238" s="155">
        <v>46249</v>
      </c>
      <c r="P238" s="153" t="s">
        <v>5</v>
      </c>
      <c r="Q238" s="153"/>
      <c r="R238" s="162">
        <v>45913</v>
      </c>
      <c r="S238" s="163">
        <v>45918</v>
      </c>
      <c r="T238" s="164">
        <f t="shared" si="3"/>
        <v>5</v>
      </c>
      <c r="U238" s="153">
        <v>1</v>
      </c>
      <c r="V238" s="153">
        <v>1</v>
      </c>
      <c r="W238" s="153">
        <v>0</v>
      </c>
      <c r="X238" s="153">
        <v>0</v>
      </c>
      <c r="Y238" s="153">
        <v>0</v>
      </c>
      <c r="Z238" s="153">
        <v>0</v>
      </c>
      <c r="AA238" s="153">
        <v>0</v>
      </c>
      <c r="AB238" s="153"/>
      <c r="AC238" s="155">
        <v>45913</v>
      </c>
      <c r="AD238" s="156">
        <v>0.85416666666424135</v>
      </c>
      <c r="AE238" s="153" t="s">
        <v>712</v>
      </c>
      <c r="AF238" s="155">
        <v>45918</v>
      </c>
      <c r="AG238" s="156">
        <v>0.53819444444525288</v>
      </c>
      <c r="AH238" s="153" t="s">
        <v>738</v>
      </c>
      <c r="AI238" s="153" t="s">
        <v>3021</v>
      </c>
      <c r="AJ238" s="153" t="s">
        <v>64</v>
      </c>
      <c r="AK238" s="153" t="s">
        <v>64</v>
      </c>
      <c r="AL238" s="153" t="s">
        <v>2306</v>
      </c>
      <c r="AM238" s="149" t="s">
        <v>65</v>
      </c>
      <c r="AN238" s="158" t="s">
        <v>1600</v>
      </c>
      <c r="AO238" s="159"/>
      <c r="AQ238"/>
      <c r="AR238"/>
      <c r="AS238"/>
      <c r="AT238"/>
      <c r="AU238"/>
    </row>
    <row r="239" spans="1:47" s="151" customFormat="1" ht="14.25" customHeight="1">
      <c r="A239" s="139"/>
      <c r="B239" s="139"/>
      <c r="C239" s="152">
        <f>IF($X239=1,COUNTIF($C$10:C238,"&gt;0")+1,"")</f>
        <v>113</v>
      </c>
      <c r="D239" s="322">
        <v>75987468</v>
      </c>
      <c r="E239" s="153" t="s">
        <v>3014</v>
      </c>
      <c r="F239" s="154" t="s">
        <v>3130</v>
      </c>
      <c r="G239" s="153" t="s">
        <v>3130</v>
      </c>
      <c r="H239" s="153" t="s">
        <v>3131</v>
      </c>
      <c r="I239" s="153" t="s">
        <v>3125</v>
      </c>
      <c r="J239" s="153" t="s">
        <v>58</v>
      </c>
      <c r="K239" s="153" t="s">
        <v>59</v>
      </c>
      <c r="L239" s="155">
        <v>33709</v>
      </c>
      <c r="M239" s="153">
        <v>33</v>
      </c>
      <c r="N239" s="153" t="s">
        <v>3132</v>
      </c>
      <c r="O239" s="155">
        <v>47255</v>
      </c>
      <c r="P239" s="153" t="s">
        <v>4</v>
      </c>
      <c r="Q239" s="153"/>
      <c r="R239" s="162">
        <v>45913</v>
      </c>
      <c r="S239" s="163">
        <v>45918</v>
      </c>
      <c r="T239" s="164">
        <f t="shared" si="3"/>
        <v>5</v>
      </c>
      <c r="U239" s="153">
        <v>1</v>
      </c>
      <c r="V239" s="153">
        <v>1</v>
      </c>
      <c r="W239" s="153">
        <v>0</v>
      </c>
      <c r="X239" s="153">
        <v>1</v>
      </c>
      <c r="Y239" s="153">
        <v>0</v>
      </c>
      <c r="Z239" s="153">
        <v>1</v>
      </c>
      <c r="AA239" s="153">
        <v>0</v>
      </c>
      <c r="AB239" s="153"/>
      <c r="AC239" s="155">
        <v>45913</v>
      </c>
      <c r="AD239" s="156">
        <v>0.85416666666424135</v>
      </c>
      <c r="AE239" s="153" t="s">
        <v>712</v>
      </c>
      <c r="AF239" s="155">
        <v>45918</v>
      </c>
      <c r="AG239" s="156">
        <v>0.53819444444525288</v>
      </c>
      <c r="AH239" s="153" t="s">
        <v>738</v>
      </c>
      <c r="AI239" s="153" t="s">
        <v>3021</v>
      </c>
      <c r="AJ239" s="153" t="s">
        <v>64</v>
      </c>
      <c r="AK239" s="153" t="s">
        <v>64</v>
      </c>
      <c r="AL239" s="153" t="s">
        <v>2306</v>
      </c>
      <c r="AM239" s="149" t="s">
        <v>65</v>
      </c>
      <c r="AN239" s="158" t="s">
        <v>1600</v>
      </c>
      <c r="AO239" s="159"/>
      <c r="AQ239"/>
      <c r="AR239"/>
      <c r="AS239"/>
      <c r="AT239"/>
      <c r="AU239"/>
    </row>
    <row r="240" spans="1:47" s="151" customFormat="1" ht="14.25" customHeight="1">
      <c r="A240" s="139"/>
      <c r="B240" s="139"/>
      <c r="C240" s="152" t="str">
        <f>IF($X240=1,COUNTIF($C$10:C239,"&gt;0")+1,"")</f>
        <v/>
      </c>
      <c r="D240" s="324"/>
      <c r="E240" s="153" t="s">
        <v>3014</v>
      </c>
      <c r="F240" s="154" t="s">
        <v>3133</v>
      </c>
      <c r="G240" s="153" t="s">
        <v>3130</v>
      </c>
      <c r="H240" s="153" t="s">
        <v>3134</v>
      </c>
      <c r="I240" s="153" t="s">
        <v>3125</v>
      </c>
      <c r="J240" s="153" t="s">
        <v>68</v>
      </c>
      <c r="K240" s="153" t="s">
        <v>59</v>
      </c>
      <c r="L240" s="155">
        <v>33642</v>
      </c>
      <c r="M240" s="153">
        <v>33</v>
      </c>
      <c r="N240" s="153" t="s">
        <v>3135</v>
      </c>
      <c r="O240" s="155">
        <v>48008</v>
      </c>
      <c r="P240" s="153" t="s">
        <v>4</v>
      </c>
      <c r="Q240" s="153"/>
      <c r="R240" s="162">
        <v>45913</v>
      </c>
      <c r="S240" s="163">
        <v>45918</v>
      </c>
      <c r="T240" s="164">
        <f t="shared" si="3"/>
        <v>5</v>
      </c>
      <c r="U240" s="153">
        <v>1</v>
      </c>
      <c r="V240" s="153">
        <v>1</v>
      </c>
      <c r="W240" s="153">
        <v>0</v>
      </c>
      <c r="X240" s="153">
        <v>0</v>
      </c>
      <c r="Y240" s="153">
        <v>0</v>
      </c>
      <c r="Z240" s="153">
        <v>0</v>
      </c>
      <c r="AA240" s="153">
        <v>0</v>
      </c>
      <c r="AB240" s="153"/>
      <c r="AC240" s="155">
        <v>45914</v>
      </c>
      <c r="AD240" s="156">
        <v>0.46875</v>
      </c>
      <c r="AE240" s="153" t="s">
        <v>254</v>
      </c>
      <c r="AF240" s="155">
        <v>45918</v>
      </c>
      <c r="AG240" s="156">
        <v>0.53819444444525288</v>
      </c>
      <c r="AH240" s="153" t="s">
        <v>738</v>
      </c>
      <c r="AI240" s="153" t="s">
        <v>3021</v>
      </c>
      <c r="AJ240" s="153" t="s">
        <v>64</v>
      </c>
      <c r="AK240" s="153" t="s">
        <v>64</v>
      </c>
      <c r="AL240" s="153" t="s">
        <v>2306</v>
      </c>
      <c r="AM240" s="149" t="s">
        <v>65</v>
      </c>
      <c r="AN240" s="158"/>
      <c r="AO240" s="159"/>
      <c r="AQ240"/>
      <c r="AR240"/>
      <c r="AS240"/>
      <c r="AT240"/>
      <c r="AU240"/>
    </row>
    <row r="241" spans="1:47" s="151" customFormat="1" ht="14.25" customHeight="1">
      <c r="A241" s="139"/>
      <c r="B241" s="139"/>
      <c r="C241" s="152" t="str">
        <f>IF($X241=1,COUNTIF($C$10:C240,"&gt;0")+1,"")</f>
        <v/>
      </c>
      <c r="D241" s="323"/>
      <c r="E241" s="153" t="s">
        <v>3014</v>
      </c>
      <c r="F241" s="154" t="s">
        <v>3136</v>
      </c>
      <c r="G241" s="153" t="s">
        <v>3130</v>
      </c>
      <c r="H241" s="153" t="s">
        <v>3131</v>
      </c>
      <c r="I241" s="153" t="s">
        <v>3137</v>
      </c>
      <c r="J241" s="153" t="s">
        <v>58</v>
      </c>
      <c r="K241" s="153" t="s">
        <v>59</v>
      </c>
      <c r="L241" s="155">
        <v>44727</v>
      </c>
      <c r="M241" s="153">
        <v>3</v>
      </c>
      <c r="N241" s="153" t="s">
        <v>3138</v>
      </c>
      <c r="O241" s="155">
        <v>46889</v>
      </c>
      <c r="P241" s="153" t="s">
        <v>4</v>
      </c>
      <c r="Q241" s="153"/>
      <c r="R241" s="162">
        <v>45913</v>
      </c>
      <c r="S241" s="163">
        <v>45918</v>
      </c>
      <c r="T241" s="164">
        <f t="shared" si="3"/>
        <v>5</v>
      </c>
      <c r="U241" s="153">
        <v>1</v>
      </c>
      <c r="V241" s="153">
        <v>0</v>
      </c>
      <c r="W241" s="153">
        <v>1</v>
      </c>
      <c r="X241" s="153">
        <v>0</v>
      </c>
      <c r="Y241" s="153">
        <v>0</v>
      </c>
      <c r="Z241" s="153">
        <v>0</v>
      </c>
      <c r="AA241" s="153">
        <v>0</v>
      </c>
      <c r="AB241" s="153"/>
      <c r="AC241" s="155">
        <v>45913</v>
      </c>
      <c r="AD241" s="156">
        <v>0.85416666666424135</v>
      </c>
      <c r="AE241" s="153" t="s">
        <v>712</v>
      </c>
      <c r="AF241" s="155">
        <v>45918</v>
      </c>
      <c r="AG241" s="156">
        <v>0.53819444444525288</v>
      </c>
      <c r="AH241" s="153" t="s">
        <v>738</v>
      </c>
      <c r="AI241" s="153" t="s">
        <v>3021</v>
      </c>
      <c r="AJ241" s="153" t="s">
        <v>64</v>
      </c>
      <c r="AK241" s="153" t="s">
        <v>64</v>
      </c>
      <c r="AL241" s="153" t="s">
        <v>2306</v>
      </c>
      <c r="AM241" s="149" t="s">
        <v>65</v>
      </c>
      <c r="AN241" s="158"/>
      <c r="AO241" s="159"/>
      <c r="AQ241"/>
      <c r="AR241"/>
      <c r="AS241"/>
      <c r="AT241"/>
      <c r="AU241"/>
    </row>
    <row r="242" spans="1:47" s="151" customFormat="1" ht="14.25" customHeight="1">
      <c r="A242" s="139"/>
      <c r="B242" s="139"/>
      <c r="C242" s="152">
        <f>IF($X242=1,COUNTIF($C$10:C241,"&gt;0")+1,"")</f>
        <v>114</v>
      </c>
      <c r="D242" s="322">
        <v>74069349</v>
      </c>
      <c r="E242" s="153" t="s">
        <v>3014</v>
      </c>
      <c r="F242" s="154" t="s">
        <v>3139</v>
      </c>
      <c r="G242" s="153" t="s">
        <v>3139</v>
      </c>
      <c r="H242" s="153" t="s">
        <v>3140</v>
      </c>
      <c r="I242" s="153" t="s">
        <v>3141</v>
      </c>
      <c r="J242" s="153" t="s">
        <v>68</v>
      </c>
      <c r="K242" s="153" t="s">
        <v>180</v>
      </c>
      <c r="L242" s="155">
        <v>34957</v>
      </c>
      <c r="M242" s="153">
        <v>30</v>
      </c>
      <c r="N242" s="153" t="s">
        <v>3142</v>
      </c>
      <c r="O242" s="155">
        <v>47176</v>
      </c>
      <c r="P242" s="153" t="s">
        <v>4</v>
      </c>
      <c r="Q242" s="153"/>
      <c r="R242" s="162">
        <v>45913</v>
      </c>
      <c r="S242" s="163">
        <v>45918</v>
      </c>
      <c r="T242" s="164">
        <f t="shared" si="3"/>
        <v>5</v>
      </c>
      <c r="U242" s="153">
        <v>1</v>
      </c>
      <c r="V242" s="153">
        <v>1</v>
      </c>
      <c r="W242" s="153">
        <v>0</v>
      </c>
      <c r="X242" s="153">
        <v>1</v>
      </c>
      <c r="Y242" s="153">
        <v>0</v>
      </c>
      <c r="Z242" s="153">
        <v>1</v>
      </c>
      <c r="AA242" s="153">
        <v>0</v>
      </c>
      <c r="AB242" s="153"/>
      <c r="AC242" s="155">
        <v>45913</v>
      </c>
      <c r="AD242" s="156">
        <v>0.85416666666424135</v>
      </c>
      <c r="AE242" s="153" t="s">
        <v>712</v>
      </c>
      <c r="AF242" s="155">
        <v>45918</v>
      </c>
      <c r="AG242" s="156">
        <v>0.53819444444525288</v>
      </c>
      <c r="AH242" s="153" t="s">
        <v>738</v>
      </c>
      <c r="AI242" s="153" t="s">
        <v>3021</v>
      </c>
      <c r="AJ242" s="153" t="s">
        <v>64</v>
      </c>
      <c r="AK242" s="153" t="s">
        <v>64</v>
      </c>
      <c r="AL242" s="153" t="s">
        <v>2306</v>
      </c>
      <c r="AM242" s="149" t="s">
        <v>65</v>
      </c>
      <c r="AN242" s="158" t="s">
        <v>1600</v>
      </c>
      <c r="AO242" s="159"/>
      <c r="AQ242"/>
      <c r="AR242"/>
      <c r="AS242"/>
      <c r="AT242"/>
      <c r="AU242"/>
    </row>
    <row r="243" spans="1:47" s="151" customFormat="1" ht="14.25" customHeight="1">
      <c r="A243" s="139"/>
      <c r="B243" s="139"/>
      <c r="C243" s="152" t="str">
        <f>IF($X243=1,COUNTIF($C$10:C242,"&gt;0")+1,"")</f>
        <v/>
      </c>
      <c r="D243" s="323"/>
      <c r="E243" s="153" t="s">
        <v>3014</v>
      </c>
      <c r="F243" s="154" t="s">
        <v>3143</v>
      </c>
      <c r="G243" s="153" t="s">
        <v>3139</v>
      </c>
      <c r="H243" s="153" t="s">
        <v>3144</v>
      </c>
      <c r="I243" s="153" t="s">
        <v>1111</v>
      </c>
      <c r="J243" s="153" t="s">
        <v>58</v>
      </c>
      <c r="K243" s="153" t="s">
        <v>59</v>
      </c>
      <c r="L243" s="155">
        <v>31737</v>
      </c>
      <c r="M243" s="153">
        <v>38</v>
      </c>
      <c r="N243" s="153" t="s">
        <v>3145</v>
      </c>
      <c r="O243" s="155">
        <v>46369</v>
      </c>
      <c r="P243" s="153" t="s">
        <v>4</v>
      </c>
      <c r="Q243" s="153"/>
      <c r="R243" s="162">
        <v>45913</v>
      </c>
      <c r="S243" s="163">
        <v>45918</v>
      </c>
      <c r="T243" s="164">
        <f t="shared" si="3"/>
        <v>5</v>
      </c>
      <c r="U243" s="153">
        <v>1</v>
      </c>
      <c r="V243" s="153">
        <v>1</v>
      </c>
      <c r="W243" s="153">
        <v>0</v>
      </c>
      <c r="X243" s="153">
        <v>0</v>
      </c>
      <c r="Y243" s="153">
        <v>0</v>
      </c>
      <c r="Z243" s="153">
        <v>0</v>
      </c>
      <c r="AA243" s="153">
        <v>0</v>
      </c>
      <c r="AB243" s="153"/>
      <c r="AC243" s="155">
        <v>45913</v>
      </c>
      <c r="AD243" s="156">
        <v>0.85416666666424135</v>
      </c>
      <c r="AE243" s="153" t="s">
        <v>712</v>
      </c>
      <c r="AF243" s="155">
        <v>45918</v>
      </c>
      <c r="AG243" s="156">
        <v>0.53819444444525288</v>
      </c>
      <c r="AH243" s="153" t="s">
        <v>738</v>
      </c>
      <c r="AI243" s="153" t="s">
        <v>3021</v>
      </c>
      <c r="AJ243" s="153" t="s">
        <v>64</v>
      </c>
      <c r="AK243" s="153" t="s">
        <v>64</v>
      </c>
      <c r="AL243" s="153" t="s">
        <v>2306</v>
      </c>
      <c r="AM243" s="149" t="s">
        <v>65</v>
      </c>
      <c r="AN243" s="158" t="s">
        <v>1600</v>
      </c>
      <c r="AO243" s="159"/>
      <c r="AQ243"/>
      <c r="AR243"/>
      <c r="AS243"/>
      <c r="AT243"/>
      <c r="AU243"/>
    </row>
    <row r="244" spans="1:47" s="151" customFormat="1" ht="14.25" customHeight="1">
      <c r="A244" s="139"/>
      <c r="B244" s="139"/>
      <c r="C244" s="152">
        <f>IF($X244=1,COUNTIF($C$10:C243,"&gt;0")+1,"")</f>
        <v>115</v>
      </c>
      <c r="D244" s="322">
        <v>75987490</v>
      </c>
      <c r="E244" s="153" t="s">
        <v>3014</v>
      </c>
      <c r="F244" s="154" t="s">
        <v>3146</v>
      </c>
      <c r="G244" s="153" t="s">
        <v>3146</v>
      </c>
      <c r="H244" s="153" t="s">
        <v>3147</v>
      </c>
      <c r="I244" s="153" t="s">
        <v>3148</v>
      </c>
      <c r="J244" s="153" t="s">
        <v>68</v>
      </c>
      <c r="K244" s="153" t="s">
        <v>59</v>
      </c>
      <c r="L244" s="155">
        <v>18181</v>
      </c>
      <c r="M244" s="153">
        <v>75</v>
      </c>
      <c r="N244" s="153" t="s">
        <v>3149</v>
      </c>
      <c r="O244" s="155">
        <v>47347</v>
      </c>
      <c r="P244" s="153" t="s">
        <v>4</v>
      </c>
      <c r="Q244" s="153"/>
      <c r="R244" s="162">
        <v>45913</v>
      </c>
      <c r="S244" s="163">
        <v>45918</v>
      </c>
      <c r="T244" s="164">
        <f t="shared" si="3"/>
        <v>5</v>
      </c>
      <c r="U244" s="153">
        <v>1</v>
      </c>
      <c r="V244" s="153">
        <v>1</v>
      </c>
      <c r="W244" s="153">
        <v>0</v>
      </c>
      <c r="X244" s="153">
        <v>1</v>
      </c>
      <c r="Y244" s="153">
        <v>0</v>
      </c>
      <c r="Z244" s="153">
        <v>1</v>
      </c>
      <c r="AA244" s="153">
        <v>0</v>
      </c>
      <c r="AB244" s="153"/>
      <c r="AC244" s="155">
        <v>45914</v>
      </c>
      <c r="AD244" s="156">
        <v>0.46875</v>
      </c>
      <c r="AE244" s="153" t="s">
        <v>254</v>
      </c>
      <c r="AF244" s="155">
        <v>45918</v>
      </c>
      <c r="AG244" s="156">
        <v>0.53819444444525288</v>
      </c>
      <c r="AH244" s="153" t="s">
        <v>738</v>
      </c>
      <c r="AI244" s="153" t="s">
        <v>3021</v>
      </c>
      <c r="AJ244" s="153" t="s">
        <v>64</v>
      </c>
      <c r="AK244" s="153" t="s">
        <v>64</v>
      </c>
      <c r="AL244" s="153" t="s">
        <v>2306</v>
      </c>
      <c r="AM244" s="149" t="s">
        <v>65</v>
      </c>
      <c r="AN244" s="158"/>
      <c r="AO244" s="159"/>
      <c r="AQ244"/>
      <c r="AR244"/>
      <c r="AS244"/>
      <c r="AT244"/>
      <c r="AU244"/>
    </row>
    <row r="245" spans="1:47" s="151" customFormat="1" ht="14.25" customHeight="1">
      <c r="A245" s="139"/>
      <c r="B245" s="139"/>
      <c r="C245" s="152" t="str">
        <f>IF($X245=1,COUNTIF($C$10:C244,"&gt;0")+1,"")</f>
        <v/>
      </c>
      <c r="D245" s="323"/>
      <c r="E245" s="153" t="s">
        <v>3014</v>
      </c>
      <c r="F245" s="154" t="s">
        <v>3150</v>
      </c>
      <c r="G245" s="153" t="s">
        <v>3146</v>
      </c>
      <c r="H245" s="153" t="s">
        <v>3151</v>
      </c>
      <c r="I245" s="153" t="s">
        <v>3152</v>
      </c>
      <c r="J245" s="153" t="s">
        <v>68</v>
      </c>
      <c r="K245" s="153" t="s">
        <v>59</v>
      </c>
      <c r="L245" s="155">
        <v>33548</v>
      </c>
      <c r="M245" s="153">
        <v>33</v>
      </c>
      <c r="N245" s="153" t="s">
        <v>3153</v>
      </c>
      <c r="O245" s="155">
        <v>48827</v>
      </c>
      <c r="P245" s="153" t="s">
        <v>4</v>
      </c>
      <c r="Q245" s="153"/>
      <c r="R245" s="162">
        <v>45913</v>
      </c>
      <c r="S245" s="163">
        <v>45918</v>
      </c>
      <c r="T245" s="164">
        <f t="shared" si="3"/>
        <v>5</v>
      </c>
      <c r="U245" s="153">
        <v>1</v>
      </c>
      <c r="V245" s="153">
        <v>1</v>
      </c>
      <c r="W245" s="153">
        <v>0</v>
      </c>
      <c r="X245" s="153">
        <v>0</v>
      </c>
      <c r="Y245" s="153">
        <v>0</v>
      </c>
      <c r="Z245" s="153">
        <v>0</v>
      </c>
      <c r="AA245" s="153">
        <v>0</v>
      </c>
      <c r="AB245" s="153"/>
      <c r="AC245" s="155">
        <v>45913</v>
      </c>
      <c r="AD245" s="156">
        <v>0.67013888889050577</v>
      </c>
      <c r="AE245" s="153" t="s">
        <v>234</v>
      </c>
      <c r="AF245" s="155">
        <v>45918</v>
      </c>
      <c r="AG245" s="156">
        <v>0.53819444444525288</v>
      </c>
      <c r="AH245" s="153" t="s">
        <v>738</v>
      </c>
      <c r="AI245" s="153" t="s">
        <v>3021</v>
      </c>
      <c r="AJ245" s="153" t="s">
        <v>64</v>
      </c>
      <c r="AK245" s="153" t="s">
        <v>64</v>
      </c>
      <c r="AL245" s="153" t="s">
        <v>2306</v>
      </c>
      <c r="AM245" s="149" t="s">
        <v>65</v>
      </c>
      <c r="AN245" s="158"/>
      <c r="AO245" s="159"/>
      <c r="AQ245"/>
      <c r="AR245"/>
      <c r="AS245"/>
      <c r="AT245"/>
      <c r="AU245"/>
    </row>
    <row r="246" spans="1:47" s="151" customFormat="1" ht="14.25" customHeight="1">
      <c r="A246" s="139"/>
      <c r="B246" s="139"/>
      <c r="C246" s="152">
        <f>IF($X246=1,COUNTIF($C$10:C245,"&gt;0")+1,"")</f>
        <v>116</v>
      </c>
      <c r="D246" s="322">
        <v>75987502</v>
      </c>
      <c r="E246" s="153" t="s">
        <v>3014</v>
      </c>
      <c r="F246" s="154" t="s">
        <v>3154</v>
      </c>
      <c r="G246" s="153" t="s">
        <v>3154</v>
      </c>
      <c r="H246" s="153" t="s">
        <v>3155</v>
      </c>
      <c r="I246" s="153" t="s">
        <v>3156</v>
      </c>
      <c r="J246" s="153" t="s">
        <v>68</v>
      </c>
      <c r="K246" s="153" t="s">
        <v>59</v>
      </c>
      <c r="L246" s="155">
        <v>28781</v>
      </c>
      <c r="M246" s="153">
        <v>46</v>
      </c>
      <c r="N246" s="153" t="s">
        <v>3157</v>
      </c>
      <c r="O246" s="155">
        <v>46148</v>
      </c>
      <c r="P246" s="153" t="s">
        <v>4</v>
      </c>
      <c r="Q246" s="153"/>
      <c r="R246" s="162">
        <v>45913</v>
      </c>
      <c r="S246" s="163">
        <v>45918</v>
      </c>
      <c r="T246" s="164">
        <f t="shared" si="3"/>
        <v>5</v>
      </c>
      <c r="U246" s="153">
        <v>1</v>
      </c>
      <c r="V246" s="153">
        <v>1</v>
      </c>
      <c r="W246" s="153">
        <v>0</v>
      </c>
      <c r="X246" s="153">
        <v>1</v>
      </c>
      <c r="Y246" s="153">
        <v>0</v>
      </c>
      <c r="Z246" s="153">
        <v>1</v>
      </c>
      <c r="AA246" s="153">
        <v>0</v>
      </c>
      <c r="AB246" s="153"/>
      <c r="AC246" s="155">
        <v>45913</v>
      </c>
      <c r="AD246" s="156">
        <v>0.85416666666424135</v>
      </c>
      <c r="AE246" s="153" t="s">
        <v>712</v>
      </c>
      <c r="AF246" s="155">
        <v>45918</v>
      </c>
      <c r="AG246" s="156">
        <v>0.53819444444525288</v>
      </c>
      <c r="AH246" s="153" t="s">
        <v>738</v>
      </c>
      <c r="AI246" s="153" t="s">
        <v>3021</v>
      </c>
      <c r="AJ246" s="153" t="s">
        <v>64</v>
      </c>
      <c r="AK246" s="153" t="s">
        <v>64</v>
      </c>
      <c r="AL246" s="153" t="s">
        <v>2306</v>
      </c>
      <c r="AM246" s="149" t="s">
        <v>65</v>
      </c>
      <c r="AN246" s="158" t="s">
        <v>1600</v>
      </c>
      <c r="AO246" s="159"/>
      <c r="AQ246"/>
      <c r="AR246"/>
      <c r="AS246"/>
      <c r="AT246"/>
      <c r="AU246"/>
    </row>
    <row r="247" spans="1:47" s="151" customFormat="1" ht="14.25" customHeight="1">
      <c r="A247" s="139"/>
      <c r="B247" s="139"/>
      <c r="C247" s="152" t="str">
        <f>IF($X247=1,COUNTIF($C$10:C246,"&gt;0")+1,"")</f>
        <v/>
      </c>
      <c r="D247" s="324"/>
      <c r="E247" s="153" t="s">
        <v>3014</v>
      </c>
      <c r="F247" s="154" t="s">
        <v>3158</v>
      </c>
      <c r="G247" s="153" t="s">
        <v>3154</v>
      </c>
      <c r="H247" s="153" t="s">
        <v>3159</v>
      </c>
      <c r="I247" s="153" t="s">
        <v>3156</v>
      </c>
      <c r="J247" s="153" t="s">
        <v>58</v>
      </c>
      <c r="K247" s="153" t="s">
        <v>59</v>
      </c>
      <c r="L247" s="155">
        <v>29138</v>
      </c>
      <c r="M247" s="153">
        <v>45</v>
      </c>
      <c r="N247" s="153" t="s">
        <v>3160</v>
      </c>
      <c r="O247" s="155">
        <v>46923</v>
      </c>
      <c r="P247" s="153" t="s">
        <v>4</v>
      </c>
      <c r="Q247" s="153"/>
      <c r="R247" s="162">
        <v>45913</v>
      </c>
      <c r="S247" s="163">
        <v>45918</v>
      </c>
      <c r="T247" s="164">
        <f t="shared" si="3"/>
        <v>5</v>
      </c>
      <c r="U247" s="153">
        <v>1</v>
      </c>
      <c r="V247" s="153">
        <v>1</v>
      </c>
      <c r="W247" s="153">
        <v>0</v>
      </c>
      <c r="X247" s="153">
        <v>0</v>
      </c>
      <c r="Y247" s="153">
        <v>0</v>
      </c>
      <c r="Z247" s="153">
        <v>0</v>
      </c>
      <c r="AA247" s="153">
        <v>0</v>
      </c>
      <c r="AB247" s="153"/>
      <c r="AC247" s="155">
        <v>45913</v>
      </c>
      <c r="AD247" s="156">
        <v>0.85416666666424135</v>
      </c>
      <c r="AE247" s="153" t="s">
        <v>712</v>
      </c>
      <c r="AF247" s="155">
        <v>45918</v>
      </c>
      <c r="AG247" s="156">
        <v>0.53819444444525288</v>
      </c>
      <c r="AH247" s="153" t="s">
        <v>738</v>
      </c>
      <c r="AI247" s="153" t="s">
        <v>3021</v>
      </c>
      <c r="AJ247" s="153" t="s">
        <v>64</v>
      </c>
      <c r="AK247" s="153" t="s">
        <v>64</v>
      </c>
      <c r="AL247" s="153" t="s">
        <v>2306</v>
      </c>
      <c r="AM247" s="149" t="s">
        <v>65</v>
      </c>
      <c r="AN247" s="158" t="s">
        <v>1600</v>
      </c>
      <c r="AO247" s="159"/>
      <c r="AQ247"/>
      <c r="AR247"/>
      <c r="AS247"/>
      <c r="AT247"/>
      <c r="AU247"/>
    </row>
    <row r="248" spans="1:47" s="151" customFormat="1" ht="14.25" customHeight="1">
      <c r="A248" s="139"/>
      <c r="B248" s="139"/>
      <c r="C248" s="152" t="str">
        <f>IF($X248=1,COUNTIF($C$10:C247,"&gt;0")+1,"")</f>
        <v/>
      </c>
      <c r="D248" s="323"/>
      <c r="E248" s="153" t="s">
        <v>3014</v>
      </c>
      <c r="F248" s="154" t="s">
        <v>3161</v>
      </c>
      <c r="G248" s="153" t="s">
        <v>3154</v>
      </c>
      <c r="H248" s="153" t="s">
        <v>3162</v>
      </c>
      <c r="I248" s="153" t="s">
        <v>3156</v>
      </c>
      <c r="J248" s="153" t="s">
        <v>58</v>
      </c>
      <c r="K248" s="153" t="s">
        <v>59</v>
      </c>
      <c r="L248" s="155">
        <v>44715</v>
      </c>
      <c r="M248" s="153">
        <v>3</v>
      </c>
      <c r="N248" s="153" t="s">
        <v>3163</v>
      </c>
      <c r="O248" s="155">
        <v>47113</v>
      </c>
      <c r="P248" s="153" t="s">
        <v>4</v>
      </c>
      <c r="Q248" s="153"/>
      <c r="R248" s="162">
        <v>45913</v>
      </c>
      <c r="S248" s="163">
        <v>45918</v>
      </c>
      <c r="T248" s="164">
        <f t="shared" si="3"/>
        <v>5</v>
      </c>
      <c r="U248" s="153">
        <v>1</v>
      </c>
      <c r="V248" s="153">
        <v>0</v>
      </c>
      <c r="W248" s="153">
        <v>1</v>
      </c>
      <c r="X248" s="153">
        <v>0</v>
      </c>
      <c r="Y248" s="153">
        <v>0</v>
      </c>
      <c r="Z248" s="153">
        <v>0</v>
      </c>
      <c r="AA248" s="153">
        <v>0</v>
      </c>
      <c r="AB248" s="153"/>
      <c r="AC248" s="155">
        <v>45913</v>
      </c>
      <c r="AD248" s="156">
        <v>0.85416666666424135</v>
      </c>
      <c r="AE248" s="153" t="s">
        <v>712</v>
      </c>
      <c r="AF248" s="155">
        <v>45918</v>
      </c>
      <c r="AG248" s="156">
        <v>0.53819444444525288</v>
      </c>
      <c r="AH248" s="153" t="s">
        <v>738</v>
      </c>
      <c r="AI248" s="153" t="s">
        <v>3021</v>
      </c>
      <c r="AJ248" s="153" t="s">
        <v>64</v>
      </c>
      <c r="AK248" s="153" t="s">
        <v>64</v>
      </c>
      <c r="AL248" s="153" t="s">
        <v>2306</v>
      </c>
      <c r="AM248" s="149" t="s">
        <v>65</v>
      </c>
      <c r="AN248" s="158" t="s">
        <v>1600</v>
      </c>
      <c r="AO248" s="159"/>
      <c r="AQ248"/>
      <c r="AR248"/>
      <c r="AS248"/>
      <c r="AT248"/>
      <c r="AU248"/>
    </row>
    <row r="249" spans="1:47" s="151" customFormat="1" ht="14.25" customHeight="1">
      <c r="A249" s="139"/>
      <c r="B249" s="139"/>
      <c r="C249" s="152">
        <f>IF($X249=1,COUNTIF($C$10:C248,"&gt;0")+1,"")</f>
        <v>117</v>
      </c>
      <c r="D249" s="322">
        <v>75987509</v>
      </c>
      <c r="E249" s="153" t="s">
        <v>3014</v>
      </c>
      <c r="F249" s="154" t="s">
        <v>3164</v>
      </c>
      <c r="G249" s="153" t="s">
        <v>3164</v>
      </c>
      <c r="H249" s="153" t="s">
        <v>3165</v>
      </c>
      <c r="I249" s="153" t="s">
        <v>573</v>
      </c>
      <c r="J249" s="153" t="s">
        <v>68</v>
      </c>
      <c r="K249" s="153" t="s">
        <v>59</v>
      </c>
      <c r="L249" s="155">
        <v>23017</v>
      </c>
      <c r="M249" s="153">
        <v>62</v>
      </c>
      <c r="N249" s="153" t="s">
        <v>3166</v>
      </c>
      <c r="O249" s="155">
        <v>48803</v>
      </c>
      <c r="P249" s="153" t="s">
        <v>4</v>
      </c>
      <c r="Q249" s="153"/>
      <c r="R249" s="162">
        <v>45913</v>
      </c>
      <c r="S249" s="163">
        <v>45918</v>
      </c>
      <c r="T249" s="164">
        <f t="shared" si="3"/>
        <v>5</v>
      </c>
      <c r="U249" s="153">
        <v>1</v>
      </c>
      <c r="V249" s="153">
        <v>1</v>
      </c>
      <c r="W249" s="153">
        <v>0</v>
      </c>
      <c r="X249" s="153">
        <v>1</v>
      </c>
      <c r="Y249" s="153">
        <v>0</v>
      </c>
      <c r="Z249" s="153">
        <v>1</v>
      </c>
      <c r="AA249" s="153">
        <v>0</v>
      </c>
      <c r="AB249" s="153"/>
      <c r="AC249" s="155">
        <v>45912</v>
      </c>
      <c r="AD249" s="156">
        <v>0.625</v>
      </c>
      <c r="AE249" s="153" t="s">
        <v>74</v>
      </c>
      <c r="AF249" s="155">
        <v>45918</v>
      </c>
      <c r="AG249" s="156">
        <v>0.47916666666424135</v>
      </c>
      <c r="AH249" s="153" t="s">
        <v>189</v>
      </c>
      <c r="AI249" s="153" t="s">
        <v>3021</v>
      </c>
      <c r="AJ249" s="153" t="s">
        <v>64</v>
      </c>
      <c r="AK249" s="153" t="s">
        <v>64</v>
      </c>
      <c r="AL249" s="153" t="s">
        <v>2306</v>
      </c>
      <c r="AM249" s="149" t="s">
        <v>65</v>
      </c>
      <c r="AN249" s="158"/>
      <c r="AO249" s="159"/>
      <c r="AQ249"/>
      <c r="AR249"/>
      <c r="AS249"/>
      <c r="AT249"/>
      <c r="AU249"/>
    </row>
    <row r="250" spans="1:47" s="151" customFormat="1" ht="14.25" customHeight="1">
      <c r="A250" s="139"/>
      <c r="B250" s="139"/>
      <c r="C250" s="152" t="str">
        <f>IF($X250=1,COUNTIF($C$10:C249,"&gt;0")+1,"")</f>
        <v/>
      </c>
      <c r="D250" s="323"/>
      <c r="E250" s="153" t="s">
        <v>3014</v>
      </c>
      <c r="F250" s="154" t="s">
        <v>3167</v>
      </c>
      <c r="G250" s="153" t="s">
        <v>3164</v>
      </c>
      <c r="H250" s="153" t="s">
        <v>3168</v>
      </c>
      <c r="I250" s="153" t="s">
        <v>573</v>
      </c>
      <c r="J250" s="153" t="s">
        <v>58</v>
      </c>
      <c r="K250" s="153" t="s">
        <v>59</v>
      </c>
      <c r="L250" s="155">
        <v>21348</v>
      </c>
      <c r="M250" s="153">
        <v>67</v>
      </c>
      <c r="N250" s="153" t="s">
        <v>3169</v>
      </c>
      <c r="O250" s="155">
        <v>45981</v>
      </c>
      <c r="P250" s="153" t="s">
        <v>4</v>
      </c>
      <c r="Q250" s="153"/>
      <c r="R250" s="162">
        <v>45913</v>
      </c>
      <c r="S250" s="163">
        <v>45918</v>
      </c>
      <c r="T250" s="164">
        <f t="shared" si="3"/>
        <v>5</v>
      </c>
      <c r="U250" s="153">
        <v>1</v>
      </c>
      <c r="V250" s="153">
        <v>1</v>
      </c>
      <c r="W250" s="153">
        <v>0</v>
      </c>
      <c r="X250" s="153">
        <v>0</v>
      </c>
      <c r="Y250" s="153">
        <v>0</v>
      </c>
      <c r="Z250" s="153">
        <v>0</v>
      </c>
      <c r="AA250" s="153">
        <v>0</v>
      </c>
      <c r="AB250" s="153"/>
      <c r="AC250" s="155">
        <v>45912</v>
      </c>
      <c r="AD250" s="156">
        <v>0.625</v>
      </c>
      <c r="AE250" s="153" t="s">
        <v>74</v>
      </c>
      <c r="AF250" s="155">
        <v>45918</v>
      </c>
      <c r="AG250" s="156">
        <v>0.47916666666424135</v>
      </c>
      <c r="AH250" s="153" t="s">
        <v>189</v>
      </c>
      <c r="AI250" s="153" t="s">
        <v>3021</v>
      </c>
      <c r="AJ250" s="153" t="s">
        <v>64</v>
      </c>
      <c r="AK250" s="153" t="s">
        <v>64</v>
      </c>
      <c r="AL250" s="153" t="s">
        <v>2306</v>
      </c>
      <c r="AM250" s="149" t="s">
        <v>65</v>
      </c>
      <c r="AN250" s="158"/>
      <c r="AO250" s="159"/>
      <c r="AQ250"/>
      <c r="AR250"/>
      <c r="AS250"/>
      <c r="AT250"/>
      <c r="AU250"/>
    </row>
    <row r="251" spans="1:47" s="151" customFormat="1" ht="14.25" customHeight="1">
      <c r="A251" s="139"/>
      <c r="B251" s="139"/>
      <c r="C251" s="152">
        <f>IF($X251=1,COUNTIF($C$10:C250,"&gt;0")+1,"")</f>
        <v>118</v>
      </c>
      <c r="D251" s="322">
        <v>75987529</v>
      </c>
      <c r="E251" s="153" t="s">
        <v>3014</v>
      </c>
      <c r="F251" s="154" t="s">
        <v>3170</v>
      </c>
      <c r="G251" s="153" t="s">
        <v>3170</v>
      </c>
      <c r="H251" s="153" t="s">
        <v>3171</v>
      </c>
      <c r="I251" s="153" t="s">
        <v>1823</v>
      </c>
      <c r="J251" s="153" t="s">
        <v>68</v>
      </c>
      <c r="K251" s="153" t="s">
        <v>59</v>
      </c>
      <c r="L251" s="155">
        <v>36504</v>
      </c>
      <c r="M251" s="153">
        <v>25</v>
      </c>
      <c r="N251" s="153" t="s">
        <v>3172</v>
      </c>
      <c r="O251" s="155">
        <v>47370</v>
      </c>
      <c r="P251" s="153" t="s">
        <v>4</v>
      </c>
      <c r="Q251" s="153"/>
      <c r="R251" s="162">
        <v>45913</v>
      </c>
      <c r="S251" s="163">
        <v>45918</v>
      </c>
      <c r="T251" s="164">
        <f t="shared" si="3"/>
        <v>5</v>
      </c>
      <c r="U251" s="153">
        <v>1</v>
      </c>
      <c r="V251" s="153">
        <v>1</v>
      </c>
      <c r="W251" s="153">
        <v>0</v>
      </c>
      <c r="X251" s="153">
        <v>1</v>
      </c>
      <c r="Y251" s="153">
        <v>0</v>
      </c>
      <c r="Z251" s="153">
        <v>1</v>
      </c>
      <c r="AA251" s="153">
        <v>0</v>
      </c>
      <c r="AB251" s="153"/>
      <c r="AC251" s="155">
        <v>45913</v>
      </c>
      <c r="AD251" s="156">
        <v>0.18055555555474712</v>
      </c>
      <c r="AE251" s="153" t="s">
        <v>95</v>
      </c>
      <c r="AF251" s="155">
        <v>45920</v>
      </c>
      <c r="AG251" s="156">
        <v>0.70138888889050577</v>
      </c>
      <c r="AH251" s="153" t="s">
        <v>96</v>
      </c>
      <c r="AI251" s="153" t="s">
        <v>3021</v>
      </c>
      <c r="AJ251" s="153" t="s">
        <v>64</v>
      </c>
      <c r="AK251" s="153" t="s">
        <v>64</v>
      </c>
      <c r="AL251" s="153" t="s">
        <v>2306</v>
      </c>
      <c r="AM251" s="149" t="s">
        <v>65</v>
      </c>
      <c r="AN251" s="158"/>
      <c r="AO251" s="159"/>
      <c r="AQ251"/>
      <c r="AR251"/>
      <c r="AS251"/>
      <c r="AT251"/>
      <c r="AU251"/>
    </row>
    <row r="252" spans="1:47" s="151" customFormat="1" ht="14.25" customHeight="1">
      <c r="A252" s="139"/>
      <c r="B252" s="139"/>
      <c r="C252" s="152" t="str">
        <f>IF($X252=1,COUNTIF($C$10:C251,"&gt;0")+1,"")</f>
        <v/>
      </c>
      <c r="D252" s="323"/>
      <c r="E252" s="153" t="s">
        <v>3014</v>
      </c>
      <c r="F252" s="154" t="s">
        <v>3173</v>
      </c>
      <c r="G252" s="153" t="s">
        <v>3170</v>
      </c>
      <c r="H252" s="153" t="s">
        <v>3174</v>
      </c>
      <c r="I252" s="153" t="s">
        <v>327</v>
      </c>
      <c r="J252" s="153" t="s">
        <v>58</v>
      </c>
      <c r="K252" s="153" t="s">
        <v>59</v>
      </c>
      <c r="L252" s="155">
        <v>36775</v>
      </c>
      <c r="M252" s="153">
        <v>25</v>
      </c>
      <c r="N252" s="153" t="s">
        <v>3175</v>
      </c>
      <c r="O252" s="155">
        <v>46390</v>
      </c>
      <c r="P252" s="153" t="s">
        <v>4</v>
      </c>
      <c r="Q252" s="153"/>
      <c r="R252" s="162">
        <v>45913</v>
      </c>
      <c r="S252" s="163">
        <v>45918</v>
      </c>
      <c r="T252" s="164">
        <f t="shared" si="3"/>
        <v>5</v>
      </c>
      <c r="U252" s="153">
        <v>1</v>
      </c>
      <c r="V252" s="153">
        <v>1</v>
      </c>
      <c r="W252" s="153">
        <v>0</v>
      </c>
      <c r="X252" s="153">
        <v>0</v>
      </c>
      <c r="Y252" s="153">
        <v>0</v>
      </c>
      <c r="Z252" s="153">
        <v>0</v>
      </c>
      <c r="AA252" s="153">
        <v>0</v>
      </c>
      <c r="AB252" s="153"/>
      <c r="AC252" s="155">
        <v>45913</v>
      </c>
      <c r="AD252" s="156">
        <v>0.18055555555474712</v>
      </c>
      <c r="AE252" s="153" t="s">
        <v>95</v>
      </c>
      <c r="AF252" s="155">
        <v>45920</v>
      </c>
      <c r="AG252" s="156">
        <v>0.70138888889050577</v>
      </c>
      <c r="AH252" s="153" t="s">
        <v>96</v>
      </c>
      <c r="AI252" s="153" t="s">
        <v>3021</v>
      </c>
      <c r="AJ252" s="153" t="s">
        <v>64</v>
      </c>
      <c r="AK252" s="153" t="s">
        <v>64</v>
      </c>
      <c r="AL252" s="153" t="s">
        <v>2306</v>
      </c>
      <c r="AM252" s="149" t="s">
        <v>65</v>
      </c>
      <c r="AN252" s="158"/>
      <c r="AO252" s="159"/>
      <c r="AQ252"/>
      <c r="AR252"/>
      <c r="AS252"/>
      <c r="AT252"/>
      <c r="AU252"/>
    </row>
    <row r="253" spans="1:47" s="151" customFormat="1" ht="14.25" customHeight="1">
      <c r="A253" s="139"/>
      <c r="B253" s="139"/>
      <c r="C253" s="152">
        <f>IF($X253=1,COUNTIF($C$10:C252,"&gt;0")+1,"")</f>
        <v>119</v>
      </c>
      <c r="D253" s="322">
        <v>75987546</v>
      </c>
      <c r="E253" s="153" t="s">
        <v>3014</v>
      </c>
      <c r="F253" s="154" t="s">
        <v>3176</v>
      </c>
      <c r="G253" s="153" t="s">
        <v>3170</v>
      </c>
      <c r="H253" s="153" t="s">
        <v>3177</v>
      </c>
      <c r="I253" s="153" t="s">
        <v>1869</v>
      </c>
      <c r="J253" s="153" t="s">
        <v>68</v>
      </c>
      <c r="K253" s="153" t="s">
        <v>59</v>
      </c>
      <c r="L253" s="155">
        <v>27053</v>
      </c>
      <c r="M253" s="153">
        <v>51</v>
      </c>
      <c r="N253" s="153" t="s">
        <v>3178</v>
      </c>
      <c r="O253" s="155">
        <v>46676</v>
      </c>
      <c r="P253" s="153" t="s">
        <v>4</v>
      </c>
      <c r="Q253" s="153"/>
      <c r="R253" s="162">
        <v>45913</v>
      </c>
      <c r="S253" s="163">
        <v>45918</v>
      </c>
      <c r="T253" s="164">
        <f t="shared" si="3"/>
        <v>5</v>
      </c>
      <c r="U253" s="153">
        <v>1</v>
      </c>
      <c r="V253" s="153">
        <v>1</v>
      </c>
      <c r="W253" s="153">
        <v>0</v>
      </c>
      <c r="X253" s="153">
        <v>1</v>
      </c>
      <c r="Y253" s="153">
        <v>0</v>
      </c>
      <c r="Z253" s="153">
        <v>1</v>
      </c>
      <c r="AA253" s="153">
        <v>0</v>
      </c>
      <c r="AB253" s="153"/>
      <c r="AC253" s="155">
        <v>45913</v>
      </c>
      <c r="AD253" s="156">
        <v>0.18055555555474712</v>
      </c>
      <c r="AE253" s="153" t="s">
        <v>95</v>
      </c>
      <c r="AF253" s="155">
        <v>45920</v>
      </c>
      <c r="AG253" s="156">
        <v>0.70138888889050577</v>
      </c>
      <c r="AH253" s="153" t="s">
        <v>96</v>
      </c>
      <c r="AI253" s="153" t="s">
        <v>3021</v>
      </c>
      <c r="AJ253" s="153" t="s">
        <v>64</v>
      </c>
      <c r="AK253" s="153" t="s">
        <v>64</v>
      </c>
      <c r="AL253" s="153" t="s">
        <v>2306</v>
      </c>
      <c r="AM253" s="149" t="s">
        <v>65</v>
      </c>
      <c r="AN253" s="158"/>
      <c r="AO253" s="159"/>
      <c r="AQ253"/>
      <c r="AR253"/>
      <c r="AS253"/>
      <c r="AT253"/>
      <c r="AU253"/>
    </row>
    <row r="254" spans="1:47" s="151" customFormat="1" ht="14.25" customHeight="1">
      <c r="A254" s="139"/>
      <c r="B254" s="139"/>
      <c r="C254" s="152" t="str">
        <f>IF($X254=1,COUNTIF($C$10:C253,"&gt;0")+1,"")</f>
        <v/>
      </c>
      <c r="D254" s="323"/>
      <c r="E254" s="153" t="s">
        <v>3014</v>
      </c>
      <c r="F254" s="154" t="s">
        <v>3179</v>
      </c>
      <c r="G254" s="153" t="s">
        <v>3170</v>
      </c>
      <c r="H254" s="153" t="s">
        <v>3180</v>
      </c>
      <c r="I254" s="153" t="s">
        <v>1823</v>
      </c>
      <c r="J254" s="153" t="s">
        <v>68</v>
      </c>
      <c r="K254" s="153" t="s">
        <v>59</v>
      </c>
      <c r="L254" s="155">
        <v>39178</v>
      </c>
      <c r="M254" s="153">
        <v>18</v>
      </c>
      <c r="N254" s="153" t="s">
        <v>3181</v>
      </c>
      <c r="O254" s="155">
        <v>48847</v>
      </c>
      <c r="P254" s="153" t="s">
        <v>4</v>
      </c>
      <c r="Q254" s="153"/>
      <c r="R254" s="162">
        <v>45913</v>
      </c>
      <c r="S254" s="163">
        <v>45918</v>
      </c>
      <c r="T254" s="164">
        <f t="shared" si="3"/>
        <v>5</v>
      </c>
      <c r="U254" s="153">
        <v>1</v>
      </c>
      <c r="V254" s="153">
        <v>1</v>
      </c>
      <c r="W254" s="153">
        <v>0</v>
      </c>
      <c r="X254" s="153">
        <v>0</v>
      </c>
      <c r="Y254" s="153">
        <v>0</v>
      </c>
      <c r="Z254" s="153">
        <v>0</v>
      </c>
      <c r="AA254" s="153">
        <v>0</v>
      </c>
      <c r="AB254" s="153"/>
      <c r="AC254" s="155">
        <v>45913</v>
      </c>
      <c r="AD254" s="156">
        <v>0.18055555555474712</v>
      </c>
      <c r="AE254" s="153" t="s">
        <v>95</v>
      </c>
      <c r="AF254" s="155">
        <v>45920</v>
      </c>
      <c r="AG254" s="156">
        <v>0.70138888889050577</v>
      </c>
      <c r="AH254" s="153" t="s">
        <v>96</v>
      </c>
      <c r="AI254" s="153" t="s">
        <v>3021</v>
      </c>
      <c r="AJ254" s="153" t="s">
        <v>64</v>
      </c>
      <c r="AK254" s="153" t="s">
        <v>64</v>
      </c>
      <c r="AL254" s="153" t="s">
        <v>2306</v>
      </c>
      <c r="AM254" s="149" t="s">
        <v>65</v>
      </c>
      <c r="AN254" s="158"/>
      <c r="AO254" s="159"/>
      <c r="AQ254"/>
      <c r="AR254"/>
      <c r="AS254"/>
      <c r="AT254"/>
      <c r="AU254"/>
    </row>
    <row r="255" spans="1:47" s="151" customFormat="1" ht="14.25" customHeight="1">
      <c r="A255" s="139"/>
      <c r="B255" s="139"/>
      <c r="C255" s="152">
        <f>IF($X255=1,COUNTIF($C$10:C254,"&gt;0")+1,"")</f>
        <v>120</v>
      </c>
      <c r="D255" s="322">
        <v>75987579</v>
      </c>
      <c r="E255" s="153" t="s">
        <v>3014</v>
      </c>
      <c r="F255" s="154" t="s">
        <v>3182</v>
      </c>
      <c r="G255" s="153" t="s">
        <v>3182</v>
      </c>
      <c r="H255" s="153" t="s">
        <v>3183</v>
      </c>
      <c r="I255" s="153" t="s">
        <v>455</v>
      </c>
      <c r="J255" s="153" t="s">
        <v>58</v>
      </c>
      <c r="K255" s="153" t="s">
        <v>59</v>
      </c>
      <c r="L255" s="155">
        <v>32740</v>
      </c>
      <c r="M255" s="153">
        <v>36</v>
      </c>
      <c r="N255" s="153" t="s">
        <v>3184</v>
      </c>
      <c r="O255" s="155">
        <v>46784</v>
      </c>
      <c r="P255" s="153" t="s">
        <v>4</v>
      </c>
      <c r="Q255" s="153"/>
      <c r="R255" s="162">
        <v>45913</v>
      </c>
      <c r="S255" s="163">
        <v>45918</v>
      </c>
      <c r="T255" s="164">
        <f t="shared" si="3"/>
        <v>5</v>
      </c>
      <c r="U255" s="153">
        <v>1</v>
      </c>
      <c r="V255" s="153">
        <v>1</v>
      </c>
      <c r="W255" s="153">
        <v>0</v>
      </c>
      <c r="X255" s="153">
        <v>1</v>
      </c>
      <c r="Y255" s="153">
        <v>0</v>
      </c>
      <c r="Z255" s="153">
        <v>1</v>
      </c>
      <c r="AA255" s="153">
        <v>0</v>
      </c>
      <c r="AB255" s="153"/>
      <c r="AC255" s="155">
        <v>45913</v>
      </c>
      <c r="AD255" s="156">
        <v>0.18055555555474712</v>
      </c>
      <c r="AE255" s="153" t="s">
        <v>95</v>
      </c>
      <c r="AF255" s="155">
        <v>45920</v>
      </c>
      <c r="AG255" s="156">
        <v>0.70138888889050577</v>
      </c>
      <c r="AH255" s="153" t="s">
        <v>96</v>
      </c>
      <c r="AI255" s="153" t="s">
        <v>3021</v>
      </c>
      <c r="AJ255" s="153" t="s">
        <v>64</v>
      </c>
      <c r="AK255" s="153" t="s">
        <v>64</v>
      </c>
      <c r="AL255" s="153" t="s">
        <v>2306</v>
      </c>
      <c r="AM255" s="149" t="s">
        <v>65</v>
      </c>
      <c r="AN255" s="158"/>
      <c r="AO255" s="159"/>
      <c r="AQ255"/>
      <c r="AR255"/>
      <c r="AS255"/>
      <c r="AT255"/>
      <c r="AU255"/>
    </row>
    <row r="256" spans="1:47" s="151" customFormat="1" ht="14.25" customHeight="1">
      <c r="A256" s="139"/>
      <c r="B256" s="139"/>
      <c r="C256" s="152" t="str">
        <f>IF($X256=1,COUNTIF($C$10:C255,"&gt;0")+1,"")</f>
        <v/>
      </c>
      <c r="D256" s="324"/>
      <c r="E256" s="153" t="s">
        <v>3014</v>
      </c>
      <c r="F256" s="154" t="s">
        <v>3185</v>
      </c>
      <c r="G256" s="153" t="s">
        <v>3182</v>
      </c>
      <c r="H256" s="153" t="s">
        <v>3186</v>
      </c>
      <c r="I256" s="153" t="s">
        <v>455</v>
      </c>
      <c r="J256" s="153" t="s">
        <v>68</v>
      </c>
      <c r="K256" s="153" t="s">
        <v>59</v>
      </c>
      <c r="L256" s="155">
        <v>32941</v>
      </c>
      <c r="M256" s="153">
        <v>35</v>
      </c>
      <c r="N256" s="153" t="s">
        <v>3187</v>
      </c>
      <c r="O256" s="155">
        <v>48040</v>
      </c>
      <c r="P256" s="153" t="s">
        <v>4</v>
      </c>
      <c r="Q256" s="153"/>
      <c r="R256" s="162">
        <v>45913</v>
      </c>
      <c r="S256" s="163">
        <v>45918</v>
      </c>
      <c r="T256" s="164">
        <f t="shared" si="3"/>
        <v>5</v>
      </c>
      <c r="U256" s="153">
        <v>1</v>
      </c>
      <c r="V256" s="153">
        <v>1</v>
      </c>
      <c r="W256" s="153">
        <v>0</v>
      </c>
      <c r="X256" s="153">
        <v>0</v>
      </c>
      <c r="Y256" s="153">
        <v>0</v>
      </c>
      <c r="Z256" s="153">
        <v>0</v>
      </c>
      <c r="AA256" s="153">
        <v>0</v>
      </c>
      <c r="AB256" s="153"/>
      <c r="AC256" s="155">
        <v>45913</v>
      </c>
      <c r="AD256" s="156">
        <v>0.18055555555474712</v>
      </c>
      <c r="AE256" s="153" t="s">
        <v>95</v>
      </c>
      <c r="AF256" s="155">
        <v>45920</v>
      </c>
      <c r="AG256" s="156">
        <v>0.70138888889050577</v>
      </c>
      <c r="AH256" s="153" t="s">
        <v>96</v>
      </c>
      <c r="AI256" s="153" t="s">
        <v>3021</v>
      </c>
      <c r="AJ256" s="153" t="s">
        <v>64</v>
      </c>
      <c r="AK256" s="153" t="s">
        <v>64</v>
      </c>
      <c r="AL256" s="153" t="s">
        <v>2306</v>
      </c>
      <c r="AM256" s="149" t="s">
        <v>65</v>
      </c>
      <c r="AN256" s="158"/>
      <c r="AO256" s="159"/>
      <c r="AQ256"/>
      <c r="AR256"/>
      <c r="AS256"/>
      <c r="AT256"/>
      <c r="AU256"/>
    </row>
    <row r="257" spans="1:47" s="151" customFormat="1" ht="14.25" customHeight="1">
      <c r="A257" s="139"/>
      <c r="B257" s="139"/>
      <c r="C257" s="152" t="str">
        <f>IF($X257=1,COUNTIF($C$10:C256,"&gt;0")+1,"")</f>
        <v/>
      </c>
      <c r="D257" s="323"/>
      <c r="E257" s="153" t="s">
        <v>3014</v>
      </c>
      <c r="F257" s="154" t="s">
        <v>3188</v>
      </c>
      <c r="G257" s="153" t="s">
        <v>3182</v>
      </c>
      <c r="H257" s="153" t="s">
        <v>3189</v>
      </c>
      <c r="I257" s="153" t="s">
        <v>455</v>
      </c>
      <c r="J257" s="153" t="s">
        <v>58</v>
      </c>
      <c r="K257" s="153" t="s">
        <v>59</v>
      </c>
      <c r="L257" s="155">
        <v>43789</v>
      </c>
      <c r="M257" s="153">
        <v>5</v>
      </c>
      <c r="N257" s="153" t="s">
        <v>3190</v>
      </c>
      <c r="O257" s="155">
        <v>46188</v>
      </c>
      <c r="P257" s="153" t="s">
        <v>4</v>
      </c>
      <c r="Q257" s="153"/>
      <c r="R257" s="162">
        <v>45913</v>
      </c>
      <c r="S257" s="163">
        <v>45918</v>
      </c>
      <c r="T257" s="164">
        <f t="shared" si="3"/>
        <v>5</v>
      </c>
      <c r="U257" s="153">
        <v>1</v>
      </c>
      <c r="V257" s="153">
        <v>0</v>
      </c>
      <c r="W257" s="153">
        <v>1</v>
      </c>
      <c r="X257" s="153">
        <v>0</v>
      </c>
      <c r="Y257" s="153">
        <v>0</v>
      </c>
      <c r="Z257" s="153">
        <v>0</v>
      </c>
      <c r="AA257" s="153">
        <v>0</v>
      </c>
      <c r="AB257" s="153"/>
      <c r="AC257" s="155">
        <v>45913</v>
      </c>
      <c r="AD257" s="156">
        <v>0.18055555555474712</v>
      </c>
      <c r="AE257" s="153" t="s">
        <v>95</v>
      </c>
      <c r="AF257" s="155">
        <v>45920</v>
      </c>
      <c r="AG257" s="156">
        <v>0.70138888889050577</v>
      </c>
      <c r="AH257" s="153" t="s">
        <v>96</v>
      </c>
      <c r="AI257" s="153" t="s">
        <v>3021</v>
      </c>
      <c r="AJ257" s="153" t="s">
        <v>64</v>
      </c>
      <c r="AK257" s="153" t="s">
        <v>64</v>
      </c>
      <c r="AL257" s="153" t="s">
        <v>2306</v>
      </c>
      <c r="AM257" s="149" t="s">
        <v>65</v>
      </c>
      <c r="AN257" s="158"/>
      <c r="AO257" s="159"/>
      <c r="AQ257"/>
      <c r="AR257"/>
      <c r="AS257"/>
      <c r="AT257"/>
      <c r="AU257"/>
    </row>
    <row r="258" spans="1:47" s="151" customFormat="1" ht="14.25" customHeight="1">
      <c r="A258" s="139"/>
      <c r="B258" s="139"/>
      <c r="C258" s="152">
        <f>IF($X258=1,COUNTIF($C$10:C257,"&gt;0")+1,"")</f>
        <v>121</v>
      </c>
      <c r="D258" s="322">
        <v>75987589</v>
      </c>
      <c r="E258" s="153" t="s">
        <v>3014</v>
      </c>
      <c r="F258" s="154" t="s">
        <v>3191</v>
      </c>
      <c r="G258" s="153" t="s">
        <v>3182</v>
      </c>
      <c r="H258" s="153" t="s">
        <v>3192</v>
      </c>
      <c r="I258" s="153" t="s">
        <v>1369</v>
      </c>
      <c r="J258" s="153" t="s">
        <v>68</v>
      </c>
      <c r="K258" s="153" t="s">
        <v>59</v>
      </c>
      <c r="L258" s="155">
        <v>23291</v>
      </c>
      <c r="M258" s="153">
        <v>61</v>
      </c>
      <c r="N258" s="153" t="s">
        <v>3193</v>
      </c>
      <c r="O258" s="155">
        <v>48639</v>
      </c>
      <c r="P258" s="153" t="s">
        <v>5</v>
      </c>
      <c r="Q258" s="153"/>
      <c r="R258" s="162">
        <v>45913</v>
      </c>
      <c r="S258" s="163">
        <v>45918</v>
      </c>
      <c r="T258" s="164">
        <f t="shared" si="3"/>
        <v>5</v>
      </c>
      <c r="U258" s="153">
        <v>1</v>
      </c>
      <c r="V258" s="153">
        <v>1</v>
      </c>
      <c r="W258" s="153">
        <v>0</v>
      </c>
      <c r="X258" s="153">
        <v>1</v>
      </c>
      <c r="Y258" s="153">
        <v>0</v>
      </c>
      <c r="Z258" s="153">
        <v>0</v>
      </c>
      <c r="AA258" s="153">
        <v>1</v>
      </c>
      <c r="AB258" s="153"/>
      <c r="AC258" s="155">
        <v>45913</v>
      </c>
      <c r="AD258" s="156">
        <v>0.18055555555474712</v>
      </c>
      <c r="AE258" s="153" t="s">
        <v>95</v>
      </c>
      <c r="AF258" s="155">
        <v>45920</v>
      </c>
      <c r="AG258" s="156">
        <v>0.70138888889050577</v>
      </c>
      <c r="AH258" s="153" t="s">
        <v>96</v>
      </c>
      <c r="AI258" s="153" t="s">
        <v>3021</v>
      </c>
      <c r="AJ258" s="153" t="s">
        <v>64</v>
      </c>
      <c r="AK258" s="153" t="s">
        <v>64</v>
      </c>
      <c r="AL258" s="153" t="s">
        <v>2306</v>
      </c>
      <c r="AM258" s="149" t="s">
        <v>65</v>
      </c>
      <c r="AN258" s="158"/>
      <c r="AO258" s="159"/>
      <c r="AQ258"/>
      <c r="AR258"/>
      <c r="AS258"/>
      <c r="AT258"/>
      <c r="AU258"/>
    </row>
    <row r="259" spans="1:47" s="151" customFormat="1" ht="14.25" customHeight="1">
      <c r="A259" s="139"/>
      <c r="B259" s="139"/>
      <c r="C259" s="152" t="str">
        <f>IF($X259=1,COUNTIF($C$10:C258,"&gt;0")+1,"")</f>
        <v/>
      </c>
      <c r="D259" s="324"/>
      <c r="E259" s="153" t="s">
        <v>3014</v>
      </c>
      <c r="F259" s="154" t="s">
        <v>3194</v>
      </c>
      <c r="G259" s="153" t="s">
        <v>3182</v>
      </c>
      <c r="H259" s="153" t="s">
        <v>3195</v>
      </c>
      <c r="I259" s="153" t="s">
        <v>82</v>
      </c>
      <c r="J259" s="153" t="s">
        <v>68</v>
      </c>
      <c r="K259" s="153" t="s">
        <v>59</v>
      </c>
      <c r="L259" s="155">
        <v>20811</v>
      </c>
      <c r="M259" s="153">
        <v>68</v>
      </c>
      <c r="N259" s="153" t="s">
        <v>3196</v>
      </c>
      <c r="O259" s="155">
        <v>48226</v>
      </c>
      <c r="P259" s="153" t="s">
        <v>5</v>
      </c>
      <c r="Q259" s="153"/>
      <c r="R259" s="162">
        <v>45913</v>
      </c>
      <c r="S259" s="163">
        <v>45918</v>
      </c>
      <c r="T259" s="164">
        <f t="shared" si="3"/>
        <v>5</v>
      </c>
      <c r="U259" s="153">
        <v>1</v>
      </c>
      <c r="V259" s="153">
        <v>1</v>
      </c>
      <c r="W259" s="153">
        <v>0</v>
      </c>
      <c r="X259" s="153">
        <v>0</v>
      </c>
      <c r="Y259" s="153">
        <v>0</v>
      </c>
      <c r="Z259" s="153">
        <v>0</v>
      </c>
      <c r="AA259" s="153">
        <v>0</v>
      </c>
      <c r="AB259" s="153"/>
      <c r="AC259" s="155">
        <v>45913</v>
      </c>
      <c r="AD259" s="156">
        <v>0.18055555555474712</v>
      </c>
      <c r="AE259" s="153" t="s">
        <v>95</v>
      </c>
      <c r="AF259" s="155">
        <v>45920</v>
      </c>
      <c r="AG259" s="156">
        <v>0.70138888889050577</v>
      </c>
      <c r="AH259" s="153" t="s">
        <v>96</v>
      </c>
      <c r="AI259" s="153" t="s">
        <v>3021</v>
      </c>
      <c r="AJ259" s="153" t="s">
        <v>64</v>
      </c>
      <c r="AK259" s="153" t="s">
        <v>64</v>
      </c>
      <c r="AL259" s="153" t="s">
        <v>2306</v>
      </c>
      <c r="AM259" s="149" t="s">
        <v>65</v>
      </c>
      <c r="AN259" s="158"/>
      <c r="AO259" s="159"/>
      <c r="AQ259"/>
      <c r="AR259"/>
      <c r="AS259"/>
      <c r="AT259"/>
      <c r="AU259"/>
    </row>
    <row r="260" spans="1:47" s="151" customFormat="1" ht="14.25" customHeight="1">
      <c r="A260" s="139"/>
      <c r="B260" s="139"/>
      <c r="C260" s="152" t="str">
        <f>IF($X260=1,COUNTIF($C$10:C259,"&gt;0")+1,"")</f>
        <v/>
      </c>
      <c r="D260" s="323"/>
      <c r="E260" s="153" t="s">
        <v>3014</v>
      </c>
      <c r="F260" s="154" t="s">
        <v>3197</v>
      </c>
      <c r="G260" s="153" t="s">
        <v>3182</v>
      </c>
      <c r="H260" s="153" t="s">
        <v>3198</v>
      </c>
      <c r="I260" s="153" t="s">
        <v>455</v>
      </c>
      <c r="J260" s="153" t="s">
        <v>68</v>
      </c>
      <c r="K260" s="153" t="s">
        <v>59</v>
      </c>
      <c r="L260" s="155">
        <v>45210</v>
      </c>
      <c r="M260" s="153">
        <v>1</v>
      </c>
      <c r="N260" s="153" t="s">
        <v>3199</v>
      </c>
      <c r="O260" s="155">
        <v>47316</v>
      </c>
      <c r="P260" s="153" t="s">
        <v>5</v>
      </c>
      <c r="Q260" s="153"/>
      <c r="R260" s="162">
        <v>45913</v>
      </c>
      <c r="S260" s="163">
        <v>45918</v>
      </c>
      <c r="T260" s="164">
        <f t="shared" si="3"/>
        <v>5</v>
      </c>
      <c r="U260" s="153">
        <v>0</v>
      </c>
      <c r="V260" s="153">
        <v>0</v>
      </c>
      <c r="W260" s="153">
        <v>0</v>
      </c>
      <c r="X260" s="153">
        <v>0</v>
      </c>
      <c r="Y260" s="153">
        <v>0</v>
      </c>
      <c r="Z260" s="153">
        <v>0</v>
      </c>
      <c r="AA260" s="153">
        <v>0</v>
      </c>
      <c r="AB260" s="153"/>
      <c r="AC260" s="155">
        <v>45913</v>
      </c>
      <c r="AD260" s="156">
        <v>0.18055555555474712</v>
      </c>
      <c r="AE260" s="153" t="s">
        <v>95</v>
      </c>
      <c r="AF260" s="155">
        <v>45920</v>
      </c>
      <c r="AG260" s="156">
        <v>0.70138888889050577</v>
      </c>
      <c r="AH260" s="153" t="s">
        <v>96</v>
      </c>
      <c r="AI260" s="153" t="s">
        <v>3021</v>
      </c>
      <c r="AJ260" s="153" t="s">
        <v>64</v>
      </c>
      <c r="AK260" s="153" t="s">
        <v>64</v>
      </c>
      <c r="AL260" s="153" t="s">
        <v>2306</v>
      </c>
      <c r="AM260" s="149" t="s">
        <v>65</v>
      </c>
      <c r="AN260" s="158"/>
      <c r="AO260" s="159"/>
      <c r="AQ260"/>
      <c r="AR260"/>
      <c r="AS260"/>
      <c r="AT260"/>
      <c r="AU260"/>
    </row>
    <row r="261" spans="1:47" s="151" customFormat="1" ht="14.25" customHeight="1">
      <c r="A261" s="139"/>
      <c r="B261" s="139"/>
      <c r="C261" s="152">
        <f>IF($X261=1,COUNTIF($C$10:C260,"&gt;0")+1,"")</f>
        <v>122</v>
      </c>
      <c r="D261" s="322">
        <v>75987627</v>
      </c>
      <c r="E261" s="153" t="s">
        <v>3014</v>
      </c>
      <c r="F261" s="154" t="s">
        <v>3200</v>
      </c>
      <c r="G261" s="153" t="s">
        <v>3200</v>
      </c>
      <c r="H261" s="153" t="s">
        <v>3201</v>
      </c>
      <c r="I261" s="153" t="s">
        <v>3202</v>
      </c>
      <c r="J261" s="153" t="s">
        <v>68</v>
      </c>
      <c r="K261" s="153" t="s">
        <v>460</v>
      </c>
      <c r="L261" s="155">
        <v>34310</v>
      </c>
      <c r="M261" s="153">
        <v>31</v>
      </c>
      <c r="N261" s="153" t="s">
        <v>3203</v>
      </c>
      <c r="O261" s="155">
        <v>49003</v>
      </c>
      <c r="P261" s="153" t="s">
        <v>4</v>
      </c>
      <c r="Q261" s="153"/>
      <c r="R261" s="162">
        <v>45913</v>
      </c>
      <c r="S261" s="163">
        <v>45918</v>
      </c>
      <c r="T261" s="164">
        <f t="shared" si="3"/>
        <v>5</v>
      </c>
      <c r="U261" s="153">
        <v>1</v>
      </c>
      <c r="V261" s="153">
        <v>1</v>
      </c>
      <c r="W261" s="153">
        <v>0</v>
      </c>
      <c r="X261" s="153">
        <v>1</v>
      </c>
      <c r="Y261" s="153">
        <v>0</v>
      </c>
      <c r="Z261" s="153">
        <v>1</v>
      </c>
      <c r="AA261" s="153">
        <v>0</v>
      </c>
      <c r="AB261" s="153"/>
      <c r="AC261" s="155">
        <v>45913</v>
      </c>
      <c r="AD261" s="156">
        <v>0.78125</v>
      </c>
      <c r="AE261" s="153" t="s">
        <v>462</v>
      </c>
      <c r="AF261" s="155">
        <v>45918</v>
      </c>
      <c r="AG261" s="156">
        <v>0.66666666666424135</v>
      </c>
      <c r="AH261" s="153" t="s">
        <v>3088</v>
      </c>
      <c r="AI261" s="153" t="s">
        <v>3021</v>
      </c>
      <c r="AJ261" s="153" t="s">
        <v>64</v>
      </c>
      <c r="AK261" s="153" t="s">
        <v>64</v>
      </c>
      <c r="AL261" s="153" t="s">
        <v>2306</v>
      </c>
      <c r="AM261" s="149" t="s">
        <v>65</v>
      </c>
      <c r="AN261" s="158" t="s">
        <v>1600</v>
      </c>
      <c r="AO261" s="159"/>
      <c r="AQ261"/>
      <c r="AR261"/>
      <c r="AS261"/>
      <c r="AT261"/>
      <c r="AU261"/>
    </row>
    <row r="262" spans="1:47" s="151" customFormat="1" ht="14.25" customHeight="1">
      <c r="A262" s="139"/>
      <c r="B262" s="139"/>
      <c r="C262" s="152" t="str">
        <f>IF($X262=1,COUNTIF($C$10:C261,"&gt;0")+1,"")</f>
        <v/>
      </c>
      <c r="D262" s="323"/>
      <c r="E262" s="153" t="s">
        <v>3014</v>
      </c>
      <c r="F262" s="154" t="s">
        <v>3204</v>
      </c>
      <c r="G262" s="153" t="s">
        <v>3200</v>
      </c>
      <c r="H262" s="153" t="s">
        <v>3205</v>
      </c>
      <c r="I262" s="153" t="s">
        <v>3202</v>
      </c>
      <c r="J262" s="153" t="s">
        <v>68</v>
      </c>
      <c r="K262" s="153" t="s">
        <v>460</v>
      </c>
      <c r="L262" s="155">
        <v>39245</v>
      </c>
      <c r="M262" s="153">
        <v>18</v>
      </c>
      <c r="N262" s="153" t="s">
        <v>3206</v>
      </c>
      <c r="O262" s="155">
        <v>46371</v>
      </c>
      <c r="P262" s="153" t="s">
        <v>4</v>
      </c>
      <c r="Q262" s="153"/>
      <c r="R262" s="162">
        <v>45913</v>
      </c>
      <c r="S262" s="163">
        <v>45918</v>
      </c>
      <c r="T262" s="164">
        <f t="shared" si="3"/>
        <v>5</v>
      </c>
      <c r="U262" s="153">
        <v>1</v>
      </c>
      <c r="V262" s="153">
        <v>1</v>
      </c>
      <c r="W262" s="153">
        <v>0</v>
      </c>
      <c r="X262" s="153">
        <v>0</v>
      </c>
      <c r="Y262" s="153">
        <v>0</v>
      </c>
      <c r="Z262" s="153">
        <v>0</v>
      </c>
      <c r="AA262" s="153">
        <v>0</v>
      </c>
      <c r="AB262" s="153"/>
      <c r="AC262" s="155">
        <v>45913</v>
      </c>
      <c r="AD262" s="156">
        <v>0.78125</v>
      </c>
      <c r="AE262" s="153" t="s">
        <v>462</v>
      </c>
      <c r="AF262" s="155">
        <v>45918</v>
      </c>
      <c r="AG262" s="156">
        <v>0.66666666666424135</v>
      </c>
      <c r="AH262" s="153" t="s">
        <v>3088</v>
      </c>
      <c r="AI262" s="153" t="s">
        <v>3021</v>
      </c>
      <c r="AJ262" s="153" t="s">
        <v>64</v>
      </c>
      <c r="AK262" s="153" t="s">
        <v>64</v>
      </c>
      <c r="AL262" s="153" t="s">
        <v>2306</v>
      </c>
      <c r="AM262" s="149" t="s">
        <v>65</v>
      </c>
      <c r="AN262" s="158" t="s">
        <v>1600</v>
      </c>
      <c r="AO262" s="159"/>
      <c r="AQ262"/>
      <c r="AR262"/>
      <c r="AS262"/>
      <c r="AT262"/>
      <c r="AU262"/>
    </row>
    <row r="263" spans="1:47" s="151" customFormat="1" ht="14.25" customHeight="1">
      <c r="A263" s="139"/>
      <c r="B263" s="139"/>
      <c r="C263" s="152">
        <f>IF($X263=1,COUNTIF($C$10:C262,"&gt;0")+1,"")</f>
        <v>123</v>
      </c>
      <c r="D263" s="322">
        <v>75987653</v>
      </c>
      <c r="E263" s="153" t="s">
        <v>3014</v>
      </c>
      <c r="F263" s="154" t="s">
        <v>3207</v>
      </c>
      <c r="G263" s="153" t="s">
        <v>3207</v>
      </c>
      <c r="H263" s="153" t="s">
        <v>3208</v>
      </c>
      <c r="I263" s="153" t="s">
        <v>3209</v>
      </c>
      <c r="J263" s="153" t="s">
        <v>68</v>
      </c>
      <c r="K263" s="153" t="s">
        <v>460</v>
      </c>
      <c r="L263" s="155">
        <v>24451</v>
      </c>
      <c r="M263" s="153">
        <v>58</v>
      </c>
      <c r="N263" s="153" t="s">
        <v>3210</v>
      </c>
      <c r="O263" s="155">
        <v>46131</v>
      </c>
      <c r="P263" s="153" t="s">
        <v>4</v>
      </c>
      <c r="Q263" s="153"/>
      <c r="R263" s="162">
        <v>45913</v>
      </c>
      <c r="S263" s="163">
        <v>45918</v>
      </c>
      <c r="T263" s="164">
        <f t="shared" si="3"/>
        <v>5</v>
      </c>
      <c r="U263" s="153">
        <v>1</v>
      </c>
      <c r="V263" s="153">
        <v>1</v>
      </c>
      <c r="W263" s="153">
        <v>0</v>
      </c>
      <c r="X263" s="153">
        <v>1</v>
      </c>
      <c r="Y263" s="153">
        <v>0</v>
      </c>
      <c r="Z263" s="153">
        <v>1</v>
      </c>
      <c r="AA263" s="153">
        <v>0</v>
      </c>
      <c r="AB263" s="153"/>
      <c r="AC263" s="155">
        <v>45913</v>
      </c>
      <c r="AD263" s="156">
        <v>0.80555555555474712</v>
      </c>
      <c r="AE263" s="153" t="s">
        <v>808</v>
      </c>
      <c r="AF263" s="155" t="s">
        <v>64</v>
      </c>
      <c r="AG263" s="156" t="s">
        <v>64</v>
      </c>
      <c r="AH263" s="153" t="s">
        <v>64</v>
      </c>
      <c r="AI263" s="153" t="s">
        <v>3021</v>
      </c>
      <c r="AJ263" s="153" t="s">
        <v>64</v>
      </c>
      <c r="AK263" s="153" t="s">
        <v>64</v>
      </c>
      <c r="AL263" s="153" t="s">
        <v>2306</v>
      </c>
      <c r="AM263" s="149" t="s">
        <v>65</v>
      </c>
      <c r="AN263" s="158" t="s">
        <v>1600</v>
      </c>
      <c r="AO263" s="159"/>
      <c r="AQ263"/>
      <c r="AR263"/>
      <c r="AS263"/>
      <c r="AT263"/>
      <c r="AU263"/>
    </row>
    <row r="264" spans="1:47" s="151" customFormat="1" ht="14.25" customHeight="1">
      <c r="A264" s="139"/>
      <c r="B264" s="139"/>
      <c r="C264" s="152" t="str">
        <f>IF($X264=1,COUNTIF($C$10:C263,"&gt;0")+1,"")</f>
        <v/>
      </c>
      <c r="D264" s="323"/>
      <c r="E264" s="153" t="s">
        <v>3014</v>
      </c>
      <c r="F264" s="154" t="s">
        <v>3211</v>
      </c>
      <c r="G264" s="153" t="s">
        <v>3207</v>
      </c>
      <c r="H264" s="153" t="s">
        <v>3212</v>
      </c>
      <c r="I264" s="153" t="s">
        <v>3209</v>
      </c>
      <c r="J264" s="153" t="s">
        <v>58</v>
      </c>
      <c r="K264" s="153" t="s">
        <v>460</v>
      </c>
      <c r="L264" s="155">
        <v>24108</v>
      </c>
      <c r="M264" s="153">
        <v>59</v>
      </c>
      <c r="N264" s="153" t="s">
        <v>3213</v>
      </c>
      <c r="O264" s="155">
        <v>46126</v>
      </c>
      <c r="P264" s="153" t="s">
        <v>4</v>
      </c>
      <c r="Q264" s="153"/>
      <c r="R264" s="162">
        <v>45913</v>
      </c>
      <c r="S264" s="163">
        <v>45918</v>
      </c>
      <c r="T264" s="164">
        <f t="shared" si="3"/>
        <v>5</v>
      </c>
      <c r="U264" s="153">
        <v>1</v>
      </c>
      <c r="V264" s="153">
        <v>1</v>
      </c>
      <c r="W264" s="153">
        <v>0</v>
      </c>
      <c r="X264" s="153">
        <v>0</v>
      </c>
      <c r="Y264" s="153">
        <v>0</v>
      </c>
      <c r="Z264" s="153">
        <v>0</v>
      </c>
      <c r="AA264" s="153">
        <v>0</v>
      </c>
      <c r="AB264" s="153"/>
      <c r="AC264" s="155">
        <v>45913</v>
      </c>
      <c r="AD264" s="156">
        <v>0.80555555555474712</v>
      </c>
      <c r="AE264" s="153" t="s">
        <v>808</v>
      </c>
      <c r="AF264" s="155" t="s">
        <v>64</v>
      </c>
      <c r="AG264" s="156" t="s">
        <v>64</v>
      </c>
      <c r="AH264" s="153" t="s">
        <v>64</v>
      </c>
      <c r="AI264" s="153" t="s">
        <v>3021</v>
      </c>
      <c r="AJ264" s="153" t="s">
        <v>64</v>
      </c>
      <c r="AK264" s="153" t="s">
        <v>64</v>
      </c>
      <c r="AL264" s="153" t="s">
        <v>2306</v>
      </c>
      <c r="AM264" s="149" t="s">
        <v>65</v>
      </c>
      <c r="AN264" s="158" t="s">
        <v>1600</v>
      </c>
      <c r="AO264" s="159"/>
      <c r="AQ264"/>
      <c r="AR264"/>
      <c r="AS264"/>
      <c r="AT264"/>
      <c r="AU264"/>
    </row>
    <row r="265" spans="1:47" s="151" customFormat="1" ht="14.25" customHeight="1">
      <c r="A265" s="139"/>
      <c r="B265" s="139"/>
      <c r="C265" s="152">
        <f>IF($X265=1,COUNTIF($C$10:C264,"&gt;0")+1,"")</f>
        <v>124</v>
      </c>
      <c r="D265" s="322">
        <v>75987670</v>
      </c>
      <c r="E265" s="153" t="s">
        <v>3014</v>
      </c>
      <c r="F265" s="154" t="s">
        <v>3214</v>
      </c>
      <c r="G265" s="153" t="s">
        <v>3214</v>
      </c>
      <c r="H265" s="153" t="s">
        <v>3215</v>
      </c>
      <c r="I265" s="153" t="s">
        <v>3216</v>
      </c>
      <c r="J265" s="153" t="s">
        <v>68</v>
      </c>
      <c r="K265" s="153" t="s">
        <v>59</v>
      </c>
      <c r="L265" s="155">
        <v>33734</v>
      </c>
      <c r="M265" s="153">
        <v>33</v>
      </c>
      <c r="N265" s="153" t="s">
        <v>3217</v>
      </c>
      <c r="O265" s="155">
        <v>48855</v>
      </c>
      <c r="P265" s="153" t="s">
        <v>4</v>
      </c>
      <c r="Q265" s="153"/>
      <c r="R265" s="162">
        <v>45913</v>
      </c>
      <c r="S265" s="163">
        <v>45918</v>
      </c>
      <c r="T265" s="164">
        <f t="shared" si="3"/>
        <v>5</v>
      </c>
      <c r="U265" s="153">
        <v>1</v>
      </c>
      <c r="V265" s="153">
        <v>1</v>
      </c>
      <c r="W265" s="153">
        <v>0</v>
      </c>
      <c r="X265" s="153">
        <v>1</v>
      </c>
      <c r="Y265" s="153">
        <v>0</v>
      </c>
      <c r="Z265" s="153">
        <v>1</v>
      </c>
      <c r="AA265" s="153">
        <v>0</v>
      </c>
      <c r="AB265" s="153"/>
      <c r="AC265" s="155">
        <v>45913</v>
      </c>
      <c r="AD265" s="156">
        <v>0.71180555555474712</v>
      </c>
      <c r="AE265" s="153" t="s">
        <v>3218</v>
      </c>
      <c r="AF265" s="155">
        <v>45918</v>
      </c>
      <c r="AG265" s="156">
        <v>0.70138888889050577</v>
      </c>
      <c r="AH265" s="153" t="s">
        <v>96</v>
      </c>
      <c r="AI265" s="153" t="s">
        <v>3021</v>
      </c>
      <c r="AJ265" s="153" t="s">
        <v>64</v>
      </c>
      <c r="AK265" s="153" t="s">
        <v>64</v>
      </c>
      <c r="AL265" s="153" t="s">
        <v>2306</v>
      </c>
      <c r="AM265" s="149" t="s">
        <v>65</v>
      </c>
      <c r="AN265" s="158"/>
      <c r="AO265" s="159"/>
      <c r="AQ265"/>
      <c r="AR265"/>
      <c r="AS265"/>
      <c r="AT265"/>
      <c r="AU265"/>
    </row>
    <row r="266" spans="1:47" s="151" customFormat="1" ht="14.25" customHeight="1">
      <c r="A266" s="139"/>
      <c r="B266" s="139"/>
      <c r="C266" s="152" t="str">
        <f>IF($X266=1,COUNTIF($C$10:C265,"&gt;0")+1,"")</f>
        <v/>
      </c>
      <c r="D266" s="323"/>
      <c r="E266" s="153" t="s">
        <v>3014</v>
      </c>
      <c r="F266" s="154" t="s">
        <v>3219</v>
      </c>
      <c r="G266" s="153" t="s">
        <v>3214</v>
      </c>
      <c r="H266" s="153" t="s">
        <v>3220</v>
      </c>
      <c r="I266" s="153" t="s">
        <v>1905</v>
      </c>
      <c r="J266" s="153" t="s">
        <v>68</v>
      </c>
      <c r="K266" s="153" t="s">
        <v>59</v>
      </c>
      <c r="L266" s="155">
        <v>32108</v>
      </c>
      <c r="M266" s="153">
        <v>37</v>
      </c>
      <c r="N266" s="153" t="s">
        <v>3221</v>
      </c>
      <c r="O266" s="155">
        <v>48722</v>
      </c>
      <c r="P266" s="153" t="s">
        <v>4</v>
      </c>
      <c r="Q266" s="153"/>
      <c r="R266" s="162">
        <v>45913</v>
      </c>
      <c r="S266" s="163">
        <v>45918</v>
      </c>
      <c r="T266" s="164">
        <f t="shared" ref="T266:T329" si="4">S266-R266</f>
        <v>5</v>
      </c>
      <c r="U266" s="153">
        <v>1</v>
      </c>
      <c r="V266" s="153">
        <v>1</v>
      </c>
      <c r="W266" s="153">
        <v>0</v>
      </c>
      <c r="X266" s="153">
        <v>0</v>
      </c>
      <c r="Y266" s="153">
        <v>0</v>
      </c>
      <c r="Z266" s="153">
        <v>0</v>
      </c>
      <c r="AA266" s="153">
        <v>0</v>
      </c>
      <c r="AB266" s="153"/>
      <c r="AC266" s="155">
        <v>45913</v>
      </c>
      <c r="AD266" s="156">
        <v>0.71180555555474712</v>
      </c>
      <c r="AE266" s="153" t="s">
        <v>3218</v>
      </c>
      <c r="AF266" s="155">
        <v>45918</v>
      </c>
      <c r="AG266" s="156">
        <v>0.70138888889050577</v>
      </c>
      <c r="AH266" s="153" t="s">
        <v>96</v>
      </c>
      <c r="AI266" s="153" t="s">
        <v>3021</v>
      </c>
      <c r="AJ266" s="153" t="s">
        <v>64</v>
      </c>
      <c r="AK266" s="153" t="s">
        <v>64</v>
      </c>
      <c r="AL266" s="153" t="s">
        <v>2306</v>
      </c>
      <c r="AM266" s="149" t="s">
        <v>65</v>
      </c>
      <c r="AN266" s="158"/>
      <c r="AO266" s="159"/>
      <c r="AQ266"/>
      <c r="AR266"/>
      <c r="AS266"/>
      <c r="AT266"/>
      <c r="AU266"/>
    </row>
    <row r="267" spans="1:47" s="151" customFormat="1" ht="14.25" customHeight="1">
      <c r="A267" s="139"/>
      <c r="B267" s="139"/>
      <c r="C267" s="152">
        <f>IF($X267=1,COUNTIF($C$10:C266,"&gt;0")+1,"")</f>
        <v>125</v>
      </c>
      <c r="D267" s="322">
        <v>75987692</v>
      </c>
      <c r="E267" s="153" t="s">
        <v>3014</v>
      </c>
      <c r="F267" s="154" t="s">
        <v>3222</v>
      </c>
      <c r="G267" s="153" t="s">
        <v>3222</v>
      </c>
      <c r="H267" s="153" t="s">
        <v>3223</v>
      </c>
      <c r="I267" s="153" t="s">
        <v>3224</v>
      </c>
      <c r="J267" s="153" t="s">
        <v>68</v>
      </c>
      <c r="K267" s="153" t="s">
        <v>59</v>
      </c>
      <c r="L267" s="155">
        <v>19049</v>
      </c>
      <c r="M267" s="153">
        <v>73</v>
      </c>
      <c r="N267" s="153" t="s">
        <v>3225</v>
      </c>
      <c r="O267" s="155">
        <v>48861</v>
      </c>
      <c r="P267" s="153" t="s">
        <v>4</v>
      </c>
      <c r="Q267" s="153"/>
      <c r="R267" s="162">
        <v>45913</v>
      </c>
      <c r="S267" s="163">
        <v>45918</v>
      </c>
      <c r="T267" s="164">
        <f t="shared" si="4"/>
        <v>5</v>
      </c>
      <c r="U267" s="153">
        <v>1</v>
      </c>
      <c r="V267" s="153">
        <v>1</v>
      </c>
      <c r="W267" s="153">
        <v>0</v>
      </c>
      <c r="X267" s="153">
        <v>1</v>
      </c>
      <c r="Y267" s="153">
        <v>0</v>
      </c>
      <c r="Z267" s="153">
        <v>1</v>
      </c>
      <c r="AA267" s="153">
        <v>0</v>
      </c>
      <c r="AB267" s="153"/>
      <c r="AC267" s="155">
        <v>45912</v>
      </c>
      <c r="AD267" s="156">
        <v>0.625</v>
      </c>
      <c r="AE267" s="153" t="s">
        <v>74</v>
      </c>
      <c r="AF267" s="155">
        <v>45918</v>
      </c>
      <c r="AG267" s="156">
        <v>0.47916666666424135</v>
      </c>
      <c r="AH267" s="153" t="s">
        <v>189</v>
      </c>
      <c r="AI267" s="153" t="s">
        <v>3021</v>
      </c>
      <c r="AJ267" s="153" t="s">
        <v>64</v>
      </c>
      <c r="AK267" s="153" t="s">
        <v>64</v>
      </c>
      <c r="AL267" s="153" t="s">
        <v>2306</v>
      </c>
      <c r="AM267" s="149" t="s">
        <v>65</v>
      </c>
      <c r="AN267" s="158"/>
      <c r="AO267" s="159"/>
      <c r="AQ267"/>
      <c r="AR267"/>
      <c r="AS267"/>
      <c r="AT267"/>
      <c r="AU267"/>
    </row>
    <row r="268" spans="1:47" s="151" customFormat="1" ht="14.25" customHeight="1">
      <c r="A268" s="139"/>
      <c r="B268" s="139"/>
      <c r="C268" s="152" t="str">
        <f>IF($X268=1,COUNTIF($C$10:C267,"&gt;0")+1,"")</f>
        <v/>
      </c>
      <c r="D268" s="323"/>
      <c r="E268" s="153" t="s">
        <v>3014</v>
      </c>
      <c r="F268" s="154" t="s">
        <v>3226</v>
      </c>
      <c r="G268" s="153" t="s">
        <v>3222</v>
      </c>
      <c r="H268" s="153" t="s">
        <v>3227</v>
      </c>
      <c r="I268" s="153" t="s">
        <v>3224</v>
      </c>
      <c r="J268" s="153" t="s">
        <v>58</v>
      </c>
      <c r="K268" s="153" t="s">
        <v>59</v>
      </c>
      <c r="L268" s="155">
        <v>17519</v>
      </c>
      <c r="M268" s="153">
        <v>77</v>
      </c>
      <c r="N268" s="153" t="s">
        <v>3228</v>
      </c>
      <c r="O268" s="155">
        <v>46405</v>
      </c>
      <c r="P268" s="153" t="s">
        <v>4</v>
      </c>
      <c r="Q268" s="153"/>
      <c r="R268" s="162">
        <v>45913</v>
      </c>
      <c r="S268" s="163">
        <v>45918</v>
      </c>
      <c r="T268" s="164">
        <f t="shared" si="4"/>
        <v>5</v>
      </c>
      <c r="U268" s="153">
        <v>1</v>
      </c>
      <c r="V268" s="153">
        <v>1</v>
      </c>
      <c r="W268" s="153">
        <v>0</v>
      </c>
      <c r="X268" s="153">
        <v>0</v>
      </c>
      <c r="Y268" s="153">
        <v>0</v>
      </c>
      <c r="Z268" s="153">
        <v>0</v>
      </c>
      <c r="AA268" s="153">
        <v>0</v>
      </c>
      <c r="AB268" s="153"/>
      <c r="AC268" s="155">
        <v>45912</v>
      </c>
      <c r="AD268" s="156">
        <v>0.625</v>
      </c>
      <c r="AE268" s="153" t="s">
        <v>74</v>
      </c>
      <c r="AF268" s="155">
        <v>45918</v>
      </c>
      <c r="AG268" s="156">
        <v>0.47916666666424135</v>
      </c>
      <c r="AH268" s="153" t="s">
        <v>189</v>
      </c>
      <c r="AI268" s="153" t="s">
        <v>3021</v>
      </c>
      <c r="AJ268" s="153" t="s">
        <v>64</v>
      </c>
      <c r="AK268" s="153" t="s">
        <v>64</v>
      </c>
      <c r="AL268" s="153" t="s">
        <v>2306</v>
      </c>
      <c r="AM268" s="149" t="s">
        <v>65</v>
      </c>
      <c r="AN268" s="158"/>
      <c r="AO268" s="159"/>
      <c r="AQ268"/>
      <c r="AR268"/>
      <c r="AS268"/>
      <c r="AT268"/>
      <c r="AU268"/>
    </row>
    <row r="269" spans="1:47" s="151" customFormat="1" ht="14.25" customHeight="1">
      <c r="A269" s="139"/>
      <c r="B269" s="139"/>
      <c r="C269" s="152">
        <f>IF($X269=1,COUNTIF($C$10:C268,"&gt;0")+1,"")</f>
        <v>126</v>
      </c>
      <c r="D269" s="322">
        <v>75987718</v>
      </c>
      <c r="E269" s="153" t="s">
        <v>3014</v>
      </c>
      <c r="F269" s="154" t="s">
        <v>3229</v>
      </c>
      <c r="G269" s="153" t="s">
        <v>3229</v>
      </c>
      <c r="H269" s="153" t="s">
        <v>3230</v>
      </c>
      <c r="I269" s="153" t="s">
        <v>3231</v>
      </c>
      <c r="J269" s="153" t="s">
        <v>68</v>
      </c>
      <c r="K269" s="153" t="s">
        <v>59</v>
      </c>
      <c r="L269" s="155">
        <v>26530</v>
      </c>
      <c r="M269" s="153">
        <v>53</v>
      </c>
      <c r="N269" s="153" t="s">
        <v>3232</v>
      </c>
      <c r="O269" s="155">
        <v>47173</v>
      </c>
      <c r="P269" s="153" t="s">
        <v>5</v>
      </c>
      <c r="Q269" s="153"/>
      <c r="R269" s="162">
        <v>45913</v>
      </c>
      <c r="S269" s="163">
        <v>45918</v>
      </c>
      <c r="T269" s="164">
        <f t="shared" si="4"/>
        <v>5</v>
      </c>
      <c r="U269" s="153">
        <v>1</v>
      </c>
      <c r="V269" s="153">
        <v>1</v>
      </c>
      <c r="W269" s="153">
        <v>0</v>
      </c>
      <c r="X269" s="153">
        <v>1</v>
      </c>
      <c r="Y269" s="153">
        <v>0</v>
      </c>
      <c r="Z269" s="153">
        <v>0</v>
      </c>
      <c r="AA269" s="153">
        <v>1</v>
      </c>
      <c r="AB269" s="153"/>
      <c r="AC269" s="155">
        <v>45913</v>
      </c>
      <c r="AD269" s="156">
        <v>0.71180555555474712</v>
      </c>
      <c r="AE269" s="153" t="s">
        <v>3218</v>
      </c>
      <c r="AF269" s="155">
        <v>45918</v>
      </c>
      <c r="AG269" s="156">
        <v>0.70138888889050577</v>
      </c>
      <c r="AH269" s="153" t="s">
        <v>96</v>
      </c>
      <c r="AI269" s="153" t="s">
        <v>3021</v>
      </c>
      <c r="AJ269" s="153" t="s">
        <v>64</v>
      </c>
      <c r="AK269" s="153" t="s">
        <v>64</v>
      </c>
      <c r="AL269" s="153" t="s">
        <v>2306</v>
      </c>
      <c r="AM269" s="149" t="s">
        <v>65</v>
      </c>
      <c r="AN269" s="158"/>
      <c r="AO269" s="159"/>
      <c r="AQ269"/>
      <c r="AR269"/>
      <c r="AS269"/>
      <c r="AT269"/>
      <c r="AU269"/>
    </row>
    <row r="270" spans="1:47" s="151" customFormat="1" ht="14.25" customHeight="1">
      <c r="A270" s="139"/>
      <c r="B270" s="139"/>
      <c r="C270" s="152" t="str">
        <f>IF($X270=1,COUNTIF($C$10:C269,"&gt;0")+1,"")</f>
        <v/>
      </c>
      <c r="D270" s="323"/>
      <c r="E270" s="153" t="s">
        <v>3014</v>
      </c>
      <c r="F270" s="154" t="s">
        <v>3233</v>
      </c>
      <c r="G270" s="153" t="s">
        <v>3229</v>
      </c>
      <c r="H270" s="153" t="s">
        <v>3234</v>
      </c>
      <c r="I270" s="153" t="s">
        <v>3235</v>
      </c>
      <c r="J270" s="153" t="s">
        <v>58</v>
      </c>
      <c r="K270" s="153" t="s">
        <v>3236</v>
      </c>
      <c r="L270" s="155">
        <v>27033</v>
      </c>
      <c r="M270" s="153">
        <v>51</v>
      </c>
      <c r="N270" s="153" t="s">
        <v>3237</v>
      </c>
      <c r="O270" s="155">
        <v>48402</v>
      </c>
      <c r="P270" s="153" t="s">
        <v>5</v>
      </c>
      <c r="Q270" s="153"/>
      <c r="R270" s="162">
        <v>45913</v>
      </c>
      <c r="S270" s="163">
        <v>45918</v>
      </c>
      <c r="T270" s="164">
        <f t="shared" si="4"/>
        <v>5</v>
      </c>
      <c r="U270" s="153">
        <v>1</v>
      </c>
      <c r="V270" s="153">
        <v>1</v>
      </c>
      <c r="W270" s="153">
        <v>0</v>
      </c>
      <c r="X270" s="153">
        <v>0</v>
      </c>
      <c r="Y270" s="153">
        <v>0</v>
      </c>
      <c r="Z270" s="153">
        <v>0</v>
      </c>
      <c r="AA270" s="153">
        <v>0</v>
      </c>
      <c r="AB270" s="153"/>
      <c r="AC270" s="155">
        <v>45913</v>
      </c>
      <c r="AD270" s="156">
        <v>0.71180555555474712</v>
      </c>
      <c r="AE270" s="153" t="s">
        <v>3218</v>
      </c>
      <c r="AF270" s="155">
        <v>45918</v>
      </c>
      <c r="AG270" s="156">
        <v>0.70138888889050577</v>
      </c>
      <c r="AH270" s="153" t="s">
        <v>96</v>
      </c>
      <c r="AI270" s="153" t="s">
        <v>3021</v>
      </c>
      <c r="AJ270" s="153" t="s">
        <v>64</v>
      </c>
      <c r="AK270" s="153" t="s">
        <v>64</v>
      </c>
      <c r="AL270" s="153" t="s">
        <v>2306</v>
      </c>
      <c r="AM270" s="149" t="s">
        <v>65</v>
      </c>
      <c r="AN270" s="158"/>
      <c r="AO270" s="159"/>
      <c r="AQ270"/>
      <c r="AR270"/>
      <c r="AS270"/>
      <c r="AT270"/>
      <c r="AU270"/>
    </row>
    <row r="271" spans="1:47" s="151" customFormat="1" ht="14.25" customHeight="1">
      <c r="A271" s="139"/>
      <c r="B271" s="139"/>
      <c r="C271" s="152">
        <f>IF($X271=1,COUNTIF($C$10:C270,"&gt;0")+1,"")</f>
        <v>127</v>
      </c>
      <c r="D271" s="322">
        <v>75987728</v>
      </c>
      <c r="E271" s="153" t="s">
        <v>3014</v>
      </c>
      <c r="F271" s="154" t="s">
        <v>3238</v>
      </c>
      <c r="G271" s="153" t="s">
        <v>3238</v>
      </c>
      <c r="H271" s="153" t="s">
        <v>3239</v>
      </c>
      <c r="I271" s="153" t="s">
        <v>3240</v>
      </c>
      <c r="J271" s="153" t="s">
        <v>68</v>
      </c>
      <c r="K271" s="153" t="s">
        <v>59</v>
      </c>
      <c r="L271" s="155">
        <v>27400</v>
      </c>
      <c r="M271" s="153">
        <v>50</v>
      </c>
      <c r="N271" s="153" t="s">
        <v>3241</v>
      </c>
      <c r="O271" s="155">
        <v>48806</v>
      </c>
      <c r="P271" s="153" t="s">
        <v>4</v>
      </c>
      <c r="Q271" s="153"/>
      <c r="R271" s="162">
        <v>45913</v>
      </c>
      <c r="S271" s="163">
        <v>45918</v>
      </c>
      <c r="T271" s="164">
        <f t="shared" si="4"/>
        <v>5</v>
      </c>
      <c r="U271" s="153">
        <v>1</v>
      </c>
      <c r="V271" s="153">
        <v>1</v>
      </c>
      <c r="W271" s="153">
        <v>0</v>
      </c>
      <c r="X271" s="153">
        <v>1</v>
      </c>
      <c r="Y271" s="153">
        <v>0</v>
      </c>
      <c r="Z271" s="153">
        <v>1</v>
      </c>
      <c r="AA271" s="153">
        <v>0</v>
      </c>
      <c r="AB271" s="153"/>
      <c r="AC271" s="155">
        <v>45913</v>
      </c>
      <c r="AD271" s="156">
        <v>0.22222222221898846</v>
      </c>
      <c r="AE271" s="153" t="s">
        <v>619</v>
      </c>
      <c r="AF271" s="155">
        <v>45918</v>
      </c>
      <c r="AG271" s="156">
        <v>0.41666666666424135</v>
      </c>
      <c r="AH271" s="153" t="s">
        <v>3242</v>
      </c>
      <c r="AI271" s="153" t="s">
        <v>3021</v>
      </c>
      <c r="AJ271" s="153" t="s">
        <v>64</v>
      </c>
      <c r="AK271" s="153" t="s">
        <v>64</v>
      </c>
      <c r="AL271" s="153" t="s">
        <v>2306</v>
      </c>
      <c r="AM271" s="149" t="s">
        <v>65</v>
      </c>
      <c r="AN271" s="158"/>
      <c r="AO271" s="159"/>
      <c r="AQ271"/>
      <c r="AR271"/>
      <c r="AS271"/>
      <c r="AT271"/>
      <c r="AU271"/>
    </row>
    <row r="272" spans="1:47" s="151" customFormat="1" ht="14.25" customHeight="1">
      <c r="A272" s="139"/>
      <c r="B272" s="139"/>
      <c r="C272" s="152" t="str">
        <f>IF($X272=1,COUNTIF($C$10:C271,"&gt;0")+1,"")</f>
        <v/>
      </c>
      <c r="D272" s="323"/>
      <c r="E272" s="153" t="s">
        <v>3014</v>
      </c>
      <c r="F272" s="154" t="s">
        <v>3243</v>
      </c>
      <c r="G272" s="153" t="s">
        <v>3238</v>
      </c>
      <c r="H272" s="153" t="s">
        <v>3244</v>
      </c>
      <c r="I272" s="153" t="s">
        <v>3240</v>
      </c>
      <c r="J272" s="153" t="s">
        <v>58</v>
      </c>
      <c r="K272" s="153" t="s">
        <v>59</v>
      </c>
      <c r="L272" s="155">
        <v>27920</v>
      </c>
      <c r="M272" s="153">
        <v>49</v>
      </c>
      <c r="N272" s="153" t="s">
        <v>3245</v>
      </c>
      <c r="O272" s="155">
        <v>47708</v>
      </c>
      <c r="P272" s="153" t="s">
        <v>4</v>
      </c>
      <c r="Q272" s="153"/>
      <c r="R272" s="162">
        <v>45913</v>
      </c>
      <c r="S272" s="163">
        <v>45918</v>
      </c>
      <c r="T272" s="164">
        <f t="shared" si="4"/>
        <v>5</v>
      </c>
      <c r="U272" s="153">
        <v>1</v>
      </c>
      <c r="V272" s="153">
        <v>1</v>
      </c>
      <c r="W272" s="153">
        <v>0</v>
      </c>
      <c r="X272" s="153">
        <v>0</v>
      </c>
      <c r="Y272" s="153">
        <v>0</v>
      </c>
      <c r="Z272" s="153">
        <v>0</v>
      </c>
      <c r="AA272" s="153">
        <v>0</v>
      </c>
      <c r="AB272" s="153"/>
      <c r="AC272" s="155">
        <v>45913</v>
      </c>
      <c r="AD272" s="156">
        <v>0.22222222221898846</v>
      </c>
      <c r="AE272" s="153" t="s">
        <v>619</v>
      </c>
      <c r="AF272" s="155">
        <v>45918</v>
      </c>
      <c r="AG272" s="156">
        <v>0.41666666666424135</v>
      </c>
      <c r="AH272" s="153" t="s">
        <v>3242</v>
      </c>
      <c r="AI272" s="153" t="s">
        <v>3021</v>
      </c>
      <c r="AJ272" s="153" t="s">
        <v>64</v>
      </c>
      <c r="AK272" s="153" t="s">
        <v>64</v>
      </c>
      <c r="AL272" s="153" t="s">
        <v>2306</v>
      </c>
      <c r="AM272" s="149" t="s">
        <v>65</v>
      </c>
      <c r="AN272" s="158"/>
      <c r="AO272" s="159"/>
      <c r="AQ272"/>
      <c r="AR272"/>
      <c r="AS272"/>
      <c r="AT272"/>
      <c r="AU272"/>
    </row>
    <row r="273" spans="1:47" s="151" customFormat="1" ht="14.25" customHeight="1">
      <c r="A273" s="139"/>
      <c r="B273" s="139"/>
      <c r="C273" s="152">
        <f>IF($X273=1,COUNTIF($C$10:C272,"&gt;0")+1,"")</f>
        <v>128</v>
      </c>
      <c r="D273" s="322">
        <v>75987771</v>
      </c>
      <c r="E273" s="153" t="s">
        <v>3014</v>
      </c>
      <c r="F273" s="154" t="s">
        <v>3246</v>
      </c>
      <c r="G273" s="153" t="s">
        <v>3246</v>
      </c>
      <c r="H273" s="153" t="s">
        <v>3247</v>
      </c>
      <c r="I273" s="153" t="s">
        <v>2636</v>
      </c>
      <c r="J273" s="153" t="s">
        <v>68</v>
      </c>
      <c r="K273" s="153" t="s">
        <v>59</v>
      </c>
      <c r="L273" s="155">
        <v>28150</v>
      </c>
      <c r="M273" s="153">
        <v>48</v>
      </c>
      <c r="N273" s="153" t="s">
        <v>3248</v>
      </c>
      <c r="O273" s="155">
        <v>49100</v>
      </c>
      <c r="P273" s="153" t="s">
        <v>4</v>
      </c>
      <c r="Q273" s="153"/>
      <c r="R273" s="162">
        <v>45913</v>
      </c>
      <c r="S273" s="163">
        <v>45918</v>
      </c>
      <c r="T273" s="164">
        <f t="shared" si="4"/>
        <v>5</v>
      </c>
      <c r="U273" s="153">
        <v>1</v>
      </c>
      <c r="V273" s="153">
        <v>1</v>
      </c>
      <c r="W273" s="153">
        <v>0</v>
      </c>
      <c r="X273" s="153">
        <v>1</v>
      </c>
      <c r="Y273" s="153">
        <v>0</v>
      </c>
      <c r="Z273" s="153">
        <v>1</v>
      </c>
      <c r="AA273" s="153">
        <v>0</v>
      </c>
      <c r="AB273" s="153"/>
      <c r="AC273" s="155">
        <v>45913</v>
      </c>
      <c r="AD273" s="156">
        <v>0.64583333333575865</v>
      </c>
      <c r="AE273" s="153" t="s">
        <v>312</v>
      </c>
      <c r="AF273" s="155">
        <v>45918</v>
      </c>
      <c r="AG273" s="156">
        <v>0.72569444444525288</v>
      </c>
      <c r="AH273" s="153" t="s">
        <v>313</v>
      </c>
      <c r="AI273" s="153" t="s">
        <v>3021</v>
      </c>
      <c r="AJ273" s="153" t="s">
        <v>64</v>
      </c>
      <c r="AK273" s="153" t="s">
        <v>64</v>
      </c>
      <c r="AL273" s="153" t="s">
        <v>2306</v>
      </c>
      <c r="AM273" s="149" t="s">
        <v>65</v>
      </c>
      <c r="AN273" s="158"/>
      <c r="AO273" s="159"/>
      <c r="AQ273"/>
      <c r="AR273"/>
      <c r="AS273"/>
      <c r="AT273"/>
      <c r="AU273"/>
    </row>
    <row r="274" spans="1:47" s="151" customFormat="1" ht="14.25" customHeight="1">
      <c r="A274" s="139"/>
      <c r="B274" s="139"/>
      <c r="C274" s="152" t="str">
        <f>IF($X274=1,COUNTIF($C$10:C273,"&gt;0")+1,"")</f>
        <v/>
      </c>
      <c r="D274" s="323"/>
      <c r="E274" s="153" t="s">
        <v>3014</v>
      </c>
      <c r="F274" s="154" t="s">
        <v>3249</v>
      </c>
      <c r="G274" s="153" t="s">
        <v>3246</v>
      </c>
      <c r="H274" s="153" t="s">
        <v>3250</v>
      </c>
      <c r="I274" s="153" t="s">
        <v>3251</v>
      </c>
      <c r="J274" s="153" t="s">
        <v>68</v>
      </c>
      <c r="K274" s="153" t="s">
        <v>59</v>
      </c>
      <c r="L274" s="155">
        <v>26724</v>
      </c>
      <c r="M274" s="153">
        <v>52</v>
      </c>
      <c r="N274" s="153" t="s">
        <v>3252</v>
      </c>
      <c r="O274" s="155">
        <v>48786</v>
      </c>
      <c r="P274" s="153" t="s">
        <v>4</v>
      </c>
      <c r="Q274" s="153"/>
      <c r="R274" s="162">
        <v>45913</v>
      </c>
      <c r="S274" s="163">
        <v>45918</v>
      </c>
      <c r="T274" s="164">
        <f t="shared" si="4"/>
        <v>5</v>
      </c>
      <c r="U274" s="153">
        <v>1</v>
      </c>
      <c r="V274" s="153">
        <v>1</v>
      </c>
      <c r="W274" s="153">
        <v>0</v>
      </c>
      <c r="X274" s="153">
        <v>0</v>
      </c>
      <c r="Y274" s="153">
        <v>0</v>
      </c>
      <c r="Z274" s="153">
        <v>0</v>
      </c>
      <c r="AA274" s="153">
        <v>0</v>
      </c>
      <c r="AB274" s="153"/>
      <c r="AC274" s="155">
        <v>45913</v>
      </c>
      <c r="AD274" s="156">
        <v>0.64583333333575865</v>
      </c>
      <c r="AE274" s="153" t="s">
        <v>312</v>
      </c>
      <c r="AF274" s="155">
        <v>45918</v>
      </c>
      <c r="AG274" s="156">
        <v>0.72569444444525288</v>
      </c>
      <c r="AH274" s="153" t="s">
        <v>313</v>
      </c>
      <c r="AI274" s="153" t="s">
        <v>3021</v>
      </c>
      <c r="AJ274" s="153" t="s">
        <v>64</v>
      </c>
      <c r="AK274" s="153" t="s">
        <v>64</v>
      </c>
      <c r="AL274" s="153" t="s">
        <v>2306</v>
      </c>
      <c r="AM274" s="149" t="s">
        <v>65</v>
      </c>
      <c r="AN274" s="158"/>
      <c r="AO274" s="159"/>
      <c r="AQ274"/>
      <c r="AR274"/>
      <c r="AS274"/>
      <c r="AT274"/>
      <c r="AU274"/>
    </row>
    <row r="275" spans="1:47" s="151" customFormat="1" ht="14.25" customHeight="1">
      <c r="A275" s="139"/>
      <c r="B275" s="139"/>
      <c r="C275" s="152">
        <f>IF($X275=1,COUNTIF($C$10:C274,"&gt;0")+1,"")</f>
        <v>129</v>
      </c>
      <c r="D275" s="153">
        <v>75987785</v>
      </c>
      <c r="E275" s="153" t="s">
        <v>3014</v>
      </c>
      <c r="F275" s="154" t="s">
        <v>3253</v>
      </c>
      <c r="G275" s="153" t="s">
        <v>3253</v>
      </c>
      <c r="H275" s="153" t="s">
        <v>3247</v>
      </c>
      <c r="I275" s="153" t="s">
        <v>3254</v>
      </c>
      <c r="J275" s="153" t="s">
        <v>68</v>
      </c>
      <c r="K275" s="153" t="s">
        <v>59</v>
      </c>
      <c r="L275" s="155">
        <v>24085</v>
      </c>
      <c r="M275" s="153">
        <v>59</v>
      </c>
      <c r="N275" s="153" t="s">
        <v>3255</v>
      </c>
      <c r="O275" s="155">
        <v>49273</v>
      </c>
      <c r="P275" s="153" t="s">
        <v>3</v>
      </c>
      <c r="Q275" s="153"/>
      <c r="R275" s="162">
        <v>45913</v>
      </c>
      <c r="S275" s="163">
        <v>45918</v>
      </c>
      <c r="T275" s="164">
        <f t="shared" si="4"/>
        <v>5</v>
      </c>
      <c r="U275" s="153">
        <v>1</v>
      </c>
      <c r="V275" s="153">
        <v>1</v>
      </c>
      <c r="W275" s="153">
        <v>0</v>
      </c>
      <c r="X275" s="153">
        <v>1</v>
      </c>
      <c r="Y275" s="153">
        <v>1</v>
      </c>
      <c r="Z275" s="153">
        <v>0</v>
      </c>
      <c r="AA275" s="153">
        <v>0</v>
      </c>
      <c r="AB275" s="153"/>
      <c r="AC275" s="155">
        <v>45913</v>
      </c>
      <c r="AD275" s="156">
        <v>0.70138888889050577</v>
      </c>
      <c r="AE275" s="153" t="s">
        <v>3256</v>
      </c>
      <c r="AF275" s="155">
        <v>45918</v>
      </c>
      <c r="AG275" s="156">
        <v>0.78472222221898846</v>
      </c>
      <c r="AH275" s="153" t="s">
        <v>393</v>
      </c>
      <c r="AI275" s="153" t="s">
        <v>3021</v>
      </c>
      <c r="AJ275" s="153" t="s">
        <v>64</v>
      </c>
      <c r="AK275" s="153" t="s">
        <v>64</v>
      </c>
      <c r="AL275" s="153" t="s">
        <v>2306</v>
      </c>
      <c r="AM275" s="149" t="s">
        <v>65</v>
      </c>
      <c r="AN275" s="158"/>
      <c r="AO275" s="159"/>
      <c r="AQ275"/>
      <c r="AR275"/>
      <c r="AS275"/>
      <c r="AT275"/>
      <c r="AU275"/>
    </row>
    <row r="276" spans="1:47" s="151" customFormat="1" ht="14.25" customHeight="1">
      <c r="A276" s="139"/>
      <c r="B276" s="139"/>
      <c r="C276" s="152">
        <f>IF($X276=1,COUNTIF($C$10:C275,"&gt;0")+1,"")</f>
        <v>130</v>
      </c>
      <c r="D276" s="322">
        <v>75987801</v>
      </c>
      <c r="E276" s="153" t="s">
        <v>3014</v>
      </c>
      <c r="F276" s="172" t="s">
        <v>3257</v>
      </c>
      <c r="G276" s="168" t="s">
        <v>3257</v>
      </c>
      <c r="H276" s="168" t="s">
        <v>3258</v>
      </c>
      <c r="I276" s="168" t="s">
        <v>3259</v>
      </c>
      <c r="J276" s="168" t="s">
        <v>68</v>
      </c>
      <c r="K276" s="168" t="s">
        <v>59</v>
      </c>
      <c r="L276" s="169">
        <v>29844</v>
      </c>
      <c r="M276" s="168">
        <v>44</v>
      </c>
      <c r="N276" s="168" t="s">
        <v>3260</v>
      </c>
      <c r="O276" s="169">
        <v>48431</v>
      </c>
      <c r="P276" s="153" t="s">
        <v>5</v>
      </c>
      <c r="Q276" s="153"/>
      <c r="R276" s="162">
        <v>45913</v>
      </c>
      <c r="S276" s="163">
        <v>45918</v>
      </c>
      <c r="T276" s="164">
        <f t="shared" si="4"/>
        <v>5</v>
      </c>
      <c r="U276" s="153">
        <v>1</v>
      </c>
      <c r="V276" s="153">
        <v>1</v>
      </c>
      <c r="W276" s="153">
        <v>0</v>
      </c>
      <c r="X276" s="153">
        <v>1</v>
      </c>
      <c r="Y276" s="153">
        <v>0</v>
      </c>
      <c r="Z276" s="153">
        <v>0</v>
      </c>
      <c r="AA276" s="153">
        <v>1</v>
      </c>
      <c r="AB276" s="153"/>
      <c r="AC276" s="155">
        <v>45913</v>
      </c>
      <c r="AD276" s="156">
        <v>0.70833333333575865</v>
      </c>
      <c r="AE276" s="153" t="s">
        <v>3261</v>
      </c>
      <c r="AF276" s="155">
        <v>45918</v>
      </c>
      <c r="AG276" s="156">
        <v>0.44444444444525288</v>
      </c>
      <c r="AH276" s="153" t="s">
        <v>3262</v>
      </c>
      <c r="AI276" s="153" t="s">
        <v>3021</v>
      </c>
      <c r="AJ276" s="153" t="s">
        <v>64</v>
      </c>
      <c r="AK276" s="153" t="s">
        <v>64</v>
      </c>
      <c r="AL276" s="153" t="s">
        <v>2306</v>
      </c>
      <c r="AM276" s="149" t="s">
        <v>65</v>
      </c>
      <c r="AN276" s="158"/>
      <c r="AO276" s="159"/>
      <c r="AQ276"/>
      <c r="AR276"/>
      <c r="AS276"/>
      <c r="AT276"/>
      <c r="AU276"/>
    </row>
    <row r="277" spans="1:47" s="151" customFormat="1" ht="14.25" customHeight="1">
      <c r="A277" s="139"/>
      <c r="B277" s="139"/>
      <c r="C277" s="152" t="str">
        <f>IF($X277=1,COUNTIF($C$10:C276,"&gt;0")+1,"")</f>
        <v/>
      </c>
      <c r="D277" s="323"/>
      <c r="E277" s="153" t="s">
        <v>3014</v>
      </c>
      <c r="F277" s="172" t="s">
        <v>3263</v>
      </c>
      <c r="G277" s="168" t="s">
        <v>3257</v>
      </c>
      <c r="H277" s="168" t="s">
        <v>3264</v>
      </c>
      <c r="I277" s="168" t="s">
        <v>3265</v>
      </c>
      <c r="J277" s="168" t="s">
        <v>58</v>
      </c>
      <c r="K277" s="168" t="s">
        <v>59</v>
      </c>
      <c r="L277" s="169">
        <v>39374</v>
      </c>
      <c r="M277" s="168">
        <v>17</v>
      </c>
      <c r="N277" s="168" t="s">
        <v>3266</v>
      </c>
      <c r="O277" s="169">
        <v>49518</v>
      </c>
      <c r="P277" s="153" t="s">
        <v>5</v>
      </c>
      <c r="Q277" s="153"/>
      <c r="R277" s="162">
        <v>45913</v>
      </c>
      <c r="S277" s="163">
        <v>45918</v>
      </c>
      <c r="T277" s="164">
        <f t="shared" si="4"/>
        <v>5</v>
      </c>
      <c r="U277" s="153">
        <v>1</v>
      </c>
      <c r="V277" s="153">
        <v>1</v>
      </c>
      <c r="W277" s="153">
        <v>0</v>
      </c>
      <c r="X277" s="153">
        <v>0</v>
      </c>
      <c r="Y277" s="153">
        <v>0</v>
      </c>
      <c r="Z277" s="153">
        <v>0</v>
      </c>
      <c r="AA277" s="153">
        <v>0</v>
      </c>
      <c r="AB277" s="153"/>
      <c r="AC277" s="155">
        <v>45913</v>
      </c>
      <c r="AD277" s="156">
        <v>0.70833333333575865</v>
      </c>
      <c r="AE277" s="153" t="s">
        <v>3261</v>
      </c>
      <c r="AF277" s="155">
        <v>45918</v>
      </c>
      <c r="AG277" s="156">
        <v>0.44444444444525288</v>
      </c>
      <c r="AH277" s="153" t="s">
        <v>3262</v>
      </c>
      <c r="AI277" s="153" t="s">
        <v>3021</v>
      </c>
      <c r="AJ277" s="153" t="s">
        <v>64</v>
      </c>
      <c r="AK277" s="153" t="s">
        <v>64</v>
      </c>
      <c r="AL277" s="153" t="s">
        <v>2306</v>
      </c>
      <c r="AM277" s="149" t="s">
        <v>65</v>
      </c>
      <c r="AN277" s="158"/>
      <c r="AO277" s="181" t="s">
        <v>3267</v>
      </c>
      <c r="AQ277"/>
      <c r="AR277"/>
      <c r="AS277"/>
      <c r="AT277"/>
      <c r="AU277"/>
    </row>
    <row r="278" spans="1:47" s="151" customFormat="1" ht="14.25" customHeight="1">
      <c r="A278" s="139"/>
      <c r="B278" s="139"/>
      <c r="C278" s="152">
        <f>IF($X278=1,COUNTIF($C$10:C277,"&gt;0")+1,"")</f>
        <v>131</v>
      </c>
      <c r="D278" s="322">
        <v>75987811</v>
      </c>
      <c r="E278" s="153" t="s">
        <v>3014</v>
      </c>
      <c r="F278" s="154" t="s">
        <v>3268</v>
      </c>
      <c r="G278" s="153" t="s">
        <v>3268</v>
      </c>
      <c r="H278" s="153" t="s">
        <v>3269</v>
      </c>
      <c r="I278" s="153" t="s">
        <v>2018</v>
      </c>
      <c r="J278" s="153" t="s">
        <v>68</v>
      </c>
      <c r="K278" s="153" t="s">
        <v>59</v>
      </c>
      <c r="L278" s="155">
        <v>19732</v>
      </c>
      <c r="M278" s="153">
        <v>71</v>
      </c>
      <c r="N278" s="153" t="s">
        <v>3270</v>
      </c>
      <c r="O278" s="155">
        <v>46244</v>
      </c>
      <c r="P278" s="153" t="s">
        <v>5</v>
      </c>
      <c r="Q278" s="153"/>
      <c r="R278" s="162">
        <v>45913</v>
      </c>
      <c r="S278" s="163">
        <v>45918</v>
      </c>
      <c r="T278" s="164">
        <f t="shared" si="4"/>
        <v>5</v>
      </c>
      <c r="U278" s="153">
        <v>1</v>
      </c>
      <c r="V278" s="153">
        <v>1</v>
      </c>
      <c r="W278" s="153">
        <v>0</v>
      </c>
      <c r="X278" s="153">
        <v>1</v>
      </c>
      <c r="Y278" s="153">
        <v>0</v>
      </c>
      <c r="Z278" s="153">
        <v>0</v>
      </c>
      <c r="AA278" s="153">
        <v>1</v>
      </c>
      <c r="AB278" s="153"/>
      <c r="AC278" s="155">
        <v>45913</v>
      </c>
      <c r="AD278" s="156">
        <v>0.59027777778101154</v>
      </c>
      <c r="AE278" s="153" t="s">
        <v>547</v>
      </c>
      <c r="AF278" s="155">
        <v>45918</v>
      </c>
      <c r="AG278" s="156">
        <v>0.68402777778101154</v>
      </c>
      <c r="AH278" s="153" t="s">
        <v>274</v>
      </c>
      <c r="AI278" s="153" t="s">
        <v>3021</v>
      </c>
      <c r="AJ278" s="153" t="s">
        <v>64</v>
      </c>
      <c r="AK278" s="153" t="s">
        <v>64</v>
      </c>
      <c r="AL278" s="153" t="s">
        <v>2306</v>
      </c>
      <c r="AM278" s="149" t="s">
        <v>65</v>
      </c>
      <c r="AN278" s="158"/>
      <c r="AO278" s="159"/>
      <c r="AQ278"/>
      <c r="AR278"/>
      <c r="AS278"/>
      <c r="AT278"/>
      <c r="AU278"/>
    </row>
    <row r="279" spans="1:47" s="151" customFormat="1" ht="14.25" customHeight="1">
      <c r="A279" s="139"/>
      <c r="B279" s="139"/>
      <c r="C279" s="152" t="str">
        <f>IF($X279=1,COUNTIF($C$10:C278,"&gt;0")+1,"")</f>
        <v/>
      </c>
      <c r="D279" s="323"/>
      <c r="E279" s="153" t="s">
        <v>3014</v>
      </c>
      <c r="F279" s="154" t="s">
        <v>3271</v>
      </c>
      <c r="G279" s="153" t="s">
        <v>3268</v>
      </c>
      <c r="H279" s="153" t="s">
        <v>526</v>
      </c>
      <c r="I279" s="153" t="s">
        <v>3272</v>
      </c>
      <c r="J279" s="153" t="s">
        <v>68</v>
      </c>
      <c r="K279" s="153" t="s">
        <v>59</v>
      </c>
      <c r="L279" s="155">
        <v>20056</v>
      </c>
      <c r="M279" s="153">
        <v>70</v>
      </c>
      <c r="N279" s="153" t="s">
        <v>3273</v>
      </c>
      <c r="O279" s="155">
        <v>49373</v>
      </c>
      <c r="P279" s="153" t="s">
        <v>5</v>
      </c>
      <c r="Q279" s="153"/>
      <c r="R279" s="162">
        <v>45913</v>
      </c>
      <c r="S279" s="163">
        <v>45918</v>
      </c>
      <c r="T279" s="164">
        <f t="shared" si="4"/>
        <v>5</v>
      </c>
      <c r="U279" s="153">
        <v>1</v>
      </c>
      <c r="V279" s="153">
        <v>1</v>
      </c>
      <c r="W279" s="153">
        <v>0</v>
      </c>
      <c r="X279" s="153">
        <v>0</v>
      </c>
      <c r="Y279" s="153">
        <v>0</v>
      </c>
      <c r="Z279" s="153">
        <v>0</v>
      </c>
      <c r="AA279" s="153">
        <v>0</v>
      </c>
      <c r="AB279" s="153"/>
      <c r="AC279" s="155">
        <v>45913</v>
      </c>
      <c r="AD279" s="156">
        <v>0.64583333333575865</v>
      </c>
      <c r="AE279" s="153" t="s">
        <v>312</v>
      </c>
      <c r="AF279" s="155">
        <v>45918</v>
      </c>
      <c r="AG279" s="156">
        <v>0.72569444444525288</v>
      </c>
      <c r="AH279" s="153" t="s">
        <v>313</v>
      </c>
      <c r="AI279" s="153" t="s">
        <v>3021</v>
      </c>
      <c r="AJ279" s="153" t="s">
        <v>64</v>
      </c>
      <c r="AK279" s="153" t="s">
        <v>64</v>
      </c>
      <c r="AL279" s="153" t="s">
        <v>2306</v>
      </c>
      <c r="AM279" s="149" t="s">
        <v>65</v>
      </c>
      <c r="AN279" s="158"/>
      <c r="AO279" s="159"/>
      <c r="AQ279"/>
      <c r="AR279"/>
      <c r="AS279"/>
      <c r="AT279"/>
      <c r="AU279"/>
    </row>
    <row r="280" spans="1:47" s="151" customFormat="1" ht="14.25" customHeight="1">
      <c r="A280" s="139"/>
      <c r="B280" s="139"/>
      <c r="C280" s="152">
        <f>IF($X280=1,COUNTIF($C$10:C279,"&gt;0")+1,"")</f>
        <v>132</v>
      </c>
      <c r="D280" s="322">
        <v>75987851</v>
      </c>
      <c r="E280" s="153" t="s">
        <v>3014</v>
      </c>
      <c r="F280" s="154" t="s">
        <v>3274</v>
      </c>
      <c r="G280" s="153" t="s">
        <v>3274</v>
      </c>
      <c r="H280" s="153" t="s">
        <v>3275</v>
      </c>
      <c r="I280" s="153" t="s">
        <v>3276</v>
      </c>
      <c r="J280" s="153" t="s">
        <v>68</v>
      </c>
      <c r="K280" s="153" t="s">
        <v>59</v>
      </c>
      <c r="L280" s="155">
        <v>19375</v>
      </c>
      <c r="M280" s="153">
        <v>72</v>
      </c>
      <c r="N280" s="153" t="s">
        <v>3277</v>
      </c>
      <c r="O280" s="155">
        <v>49191</v>
      </c>
      <c r="P280" s="153" t="s">
        <v>5</v>
      </c>
      <c r="Q280" s="153"/>
      <c r="R280" s="162">
        <v>45913</v>
      </c>
      <c r="S280" s="163">
        <v>45918</v>
      </c>
      <c r="T280" s="164">
        <f t="shared" si="4"/>
        <v>5</v>
      </c>
      <c r="U280" s="153">
        <v>1</v>
      </c>
      <c r="V280" s="153">
        <v>1</v>
      </c>
      <c r="W280" s="153">
        <v>0</v>
      </c>
      <c r="X280" s="153">
        <v>1</v>
      </c>
      <c r="Y280" s="153">
        <v>0</v>
      </c>
      <c r="Z280" s="153">
        <v>0</v>
      </c>
      <c r="AA280" s="153">
        <v>1</v>
      </c>
      <c r="AB280" s="153"/>
      <c r="AC280" s="155">
        <v>45913</v>
      </c>
      <c r="AD280" s="156">
        <v>0.59027777778101154</v>
      </c>
      <c r="AE280" s="153" t="s">
        <v>547</v>
      </c>
      <c r="AF280" s="155">
        <v>45918</v>
      </c>
      <c r="AG280" s="156">
        <v>0.68402777778101154</v>
      </c>
      <c r="AH280" s="153" t="s">
        <v>274</v>
      </c>
      <c r="AI280" s="153" t="s">
        <v>3021</v>
      </c>
      <c r="AJ280" s="153" t="s">
        <v>64</v>
      </c>
      <c r="AK280" s="153" t="s">
        <v>64</v>
      </c>
      <c r="AL280" s="153" t="s">
        <v>2306</v>
      </c>
      <c r="AM280" s="149" t="s">
        <v>65</v>
      </c>
      <c r="AN280" s="158"/>
      <c r="AO280" s="159"/>
      <c r="AQ280"/>
      <c r="AR280"/>
      <c r="AS280"/>
      <c r="AT280"/>
      <c r="AU280"/>
    </row>
    <row r="281" spans="1:47" s="151" customFormat="1" ht="14.25" customHeight="1">
      <c r="A281" s="139"/>
      <c r="B281" s="139"/>
      <c r="C281" s="152" t="str">
        <f>IF($X281=1,COUNTIF($C$10:C280,"&gt;0")+1,"")</f>
        <v/>
      </c>
      <c r="D281" s="323"/>
      <c r="E281" s="153" t="s">
        <v>3014</v>
      </c>
      <c r="F281" s="154" t="s">
        <v>3278</v>
      </c>
      <c r="G281" s="153" t="s">
        <v>3274</v>
      </c>
      <c r="H281" s="153" t="s">
        <v>3279</v>
      </c>
      <c r="I281" s="153" t="s">
        <v>3280</v>
      </c>
      <c r="J281" s="153" t="s">
        <v>68</v>
      </c>
      <c r="K281" s="153" t="s">
        <v>59</v>
      </c>
      <c r="L281" s="155">
        <v>24907</v>
      </c>
      <c r="M281" s="153">
        <v>57</v>
      </c>
      <c r="N281" s="153" t="s">
        <v>3281</v>
      </c>
      <c r="O281" s="155">
        <v>47813</v>
      </c>
      <c r="P281" s="153" t="s">
        <v>5</v>
      </c>
      <c r="Q281" s="153"/>
      <c r="R281" s="162">
        <v>45913</v>
      </c>
      <c r="S281" s="163">
        <v>45918</v>
      </c>
      <c r="T281" s="164">
        <f t="shared" si="4"/>
        <v>5</v>
      </c>
      <c r="U281" s="153">
        <v>1</v>
      </c>
      <c r="V281" s="153">
        <v>1</v>
      </c>
      <c r="W281" s="153">
        <v>0</v>
      </c>
      <c r="X281" s="153">
        <v>0</v>
      </c>
      <c r="Y281" s="153">
        <v>0</v>
      </c>
      <c r="Z281" s="153">
        <v>0</v>
      </c>
      <c r="AA281" s="153">
        <v>0</v>
      </c>
      <c r="AB281" s="153"/>
      <c r="AC281" s="155">
        <v>45913</v>
      </c>
      <c r="AD281" s="156">
        <v>0.64583333333575865</v>
      </c>
      <c r="AE281" s="153" t="s">
        <v>312</v>
      </c>
      <c r="AF281" s="155">
        <v>45918</v>
      </c>
      <c r="AG281" s="156">
        <v>0.72569444444525288</v>
      </c>
      <c r="AH281" s="153" t="s">
        <v>313</v>
      </c>
      <c r="AI281" s="153" t="s">
        <v>3021</v>
      </c>
      <c r="AJ281" s="153" t="s">
        <v>64</v>
      </c>
      <c r="AK281" s="153" t="s">
        <v>64</v>
      </c>
      <c r="AL281" s="153" t="s">
        <v>2306</v>
      </c>
      <c r="AM281" s="149" t="s">
        <v>65</v>
      </c>
      <c r="AN281" s="158"/>
      <c r="AO281" s="159"/>
      <c r="AQ281"/>
      <c r="AR281"/>
      <c r="AS281"/>
      <c r="AT281"/>
      <c r="AU281"/>
    </row>
    <row r="282" spans="1:47" s="151" customFormat="1" ht="14.25" customHeight="1">
      <c r="A282" s="139"/>
      <c r="B282" s="139"/>
      <c r="C282" s="152">
        <f>IF($X282=1,COUNTIF($C$10:C281,"&gt;0")+1,"")</f>
        <v>133</v>
      </c>
      <c r="D282" s="322">
        <v>75987865</v>
      </c>
      <c r="E282" s="153" t="s">
        <v>3014</v>
      </c>
      <c r="F282" s="154" t="s">
        <v>3282</v>
      </c>
      <c r="G282" s="153" t="s">
        <v>3282</v>
      </c>
      <c r="H282" s="153" t="s">
        <v>3283</v>
      </c>
      <c r="I282" s="153" t="s">
        <v>3284</v>
      </c>
      <c r="J282" s="153" t="s">
        <v>68</v>
      </c>
      <c r="K282" s="153" t="s">
        <v>59</v>
      </c>
      <c r="L282" s="155">
        <v>18652</v>
      </c>
      <c r="M282" s="153">
        <v>74</v>
      </c>
      <c r="N282" s="153" t="s">
        <v>3285</v>
      </c>
      <c r="O282" s="155">
        <v>48236</v>
      </c>
      <c r="P282" s="153" t="s">
        <v>5</v>
      </c>
      <c r="Q282" s="153"/>
      <c r="R282" s="162">
        <v>45913</v>
      </c>
      <c r="S282" s="163">
        <v>45918</v>
      </c>
      <c r="T282" s="164">
        <f t="shared" si="4"/>
        <v>5</v>
      </c>
      <c r="U282" s="153">
        <v>1</v>
      </c>
      <c r="V282" s="153">
        <v>1</v>
      </c>
      <c r="W282" s="153">
        <v>0</v>
      </c>
      <c r="X282" s="153">
        <v>1</v>
      </c>
      <c r="Y282" s="153">
        <v>0</v>
      </c>
      <c r="Z282" s="153">
        <v>0</v>
      </c>
      <c r="AA282" s="153">
        <v>1</v>
      </c>
      <c r="AB282" s="153"/>
      <c r="AC282" s="155">
        <v>45913</v>
      </c>
      <c r="AD282" s="156">
        <v>0.59027777778101154</v>
      </c>
      <c r="AE282" s="153" t="s">
        <v>547</v>
      </c>
      <c r="AF282" s="155">
        <v>45918</v>
      </c>
      <c r="AG282" s="156">
        <v>0.68402777778101154</v>
      </c>
      <c r="AH282" s="153" t="s">
        <v>274</v>
      </c>
      <c r="AI282" s="153" t="s">
        <v>3021</v>
      </c>
      <c r="AJ282" s="153" t="s">
        <v>64</v>
      </c>
      <c r="AK282" s="153" t="s">
        <v>64</v>
      </c>
      <c r="AL282" s="153" t="s">
        <v>2306</v>
      </c>
      <c r="AM282" s="149" t="s">
        <v>65</v>
      </c>
      <c r="AN282" s="158"/>
      <c r="AO282" s="159"/>
      <c r="AQ282"/>
      <c r="AR282"/>
      <c r="AS282"/>
      <c r="AT282"/>
      <c r="AU282"/>
    </row>
    <row r="283" spans="1:47" s="151" customFormat="1" ht="14.25" customHeight="1">
      <c r="A283" s="139"/>
      <c r="B283" s="139"/>
      <c r="C283" s="152" t="str">
        <f>IF($X283=1,COUNTIF($C$10:C282,"&gt;0")+1,"")</f>
        <v/>
      </c>
      <c r="D283" s="323"/>
      <c r="E283" s="153" t="s">
        <v>3014</v>
      </c>
      <c r="F283" s="154" t="s">
        <v>3286</v>
      </c>
      <c r="G283" s="153" t="s">
        <v>3282</v>
      </c>
      <c r="H283" s="153" t="s">
        <v>3287</v>
      </c>
      <c r="I283" s="153" t="s">
        <v>3288</v>
      </c>
      <c r="J283" s="153" t="s">
        <v>68</v>
      </c>
      <c r="K283" s="153" t="s">
        <v>59</v>
      </c>
      <c r="L283" s="155">
        <v>18308</v>
      </c>
      <c r="M283" s="153">
        <v>75</v>
      </c>
      <c r="N283" s="153" t="s">
        <v>3289</v>
      </c>
      <c r="O283" s="155">
        <v>46591</v>
      </c>
      <c r="P283" s="153" t="s">
        <v>5</v>
      </c>
      <c r="Q283" s="153"/>
      <c r="R283" s="162">
        <v>45913</v>
      </c>
      <c r="S283" s="163">
        <v>45918</v>
      </c>
      <c r="T283" s="164">
        <f t="shared" si="4"/>
        <v>5</v>
      </c>
      <c r="U283" s="153">
        <v>1</v>
      </c>
      <c r="V283" s="153">
        <v>1</v>
      </c>
      <c r="W283" s="153">
        <v>0</v>
      </c>
      <c r="X283" s="153">
        <v>0</v>
      </c>
      <c r="Y283" s="153">
        <v>0</v>
      </c>
      <c r="Z283" s="153">
        <v>0</v>
      </c>
      <c r="AA283" s="153">
        <v>0</v>
      </c>
      <c r="AB283" s="153"/>
      <c r="AC283" s="155">
        <v>45913</v>
      </c>
      <c r="AD283" s="156">
        <v>0.59027777778101154</v>
      </c>
      <c r="AE283" s="153" t="s">
        <v>547</v>
      </c>
      <c r="AF283" s="155">
        <v>45918</v>
      </c>
      <c r="AG283" s="156">
        <v>0.68402777778101154</v>
      </c>
      <c r="AH283" s="153" t="s">
        <v>274</v>
      </c>
      <c r="AI283" s="153" t="s">
        <v>3021</v>
      </c>
      <c r="AJ283" s="153" t="s">
        <v>64</v>
      </c>
      <c r="AK283" s="153" t="s">
        <v>64</v>
      </c>
      <c r="AL283" s="153" t="s">
        <v>2306</v>
      </c>
      <c r="AM283" s="149" t="s">
        <v>65</v>
      </c>
      <c r="AN283" s="158"/>
      <c r="AO283" s="159"/>
      <c r="AQ283"/>
      <c r="AR283"/>
      <c r="AS283"/>
      <c r="AT283"/>
      <c r="AU283"/>
    </row>
    <row r="284" spans="1:47" s="151" customFormat="1" ht="14.25" customHeight="1">
      <c r="A284" s="139"/>
      <c r="B284" s="139"/>
      <c r="C284" s="152">
        <f>IF($X284=1,COUNTIF($C$10:C283,"&gt;0")+1,"")</f>
        <v>134</v>
      </c>
      <c r="D284" s="322">
        <v>75987905</v>
      </c>
      <c r="E284" s="153" t="s">
        <v>3014</v>
      </c>
      <c r="F284" s="154" t="s">
        <v>3290</v>
      </c>
      <c r="G284" s="153" t="s">
        <v>3290</v>
      </c>
      <c r="H284" s="153" t="s">
        <v>3291</v>
      </c>
      <c r="I284" s="153" t="s">
        <v>3292</v>
      </c>
      <c r="J284" s="153" t="s">
        <v>58</v>
      </c>
      <c r="K284" s="153" t="s">
        <v>59</v>
      </c>
      <c r="L284" s="155">
        <v>25059</v>
      </c>
      <c r="M284" s="153">
        <v>57</v>
      </c>
      <c r="N284" s="153" t="s">
        <v>3293</v>
      </c>
      <c r="O284" s="155">
        <v>46943</v>
      </c>
      <c r="P284" s="153" t="s">
        <v>4</v>
      </c>
      <c r="Q284" s="153"/>
      <c r="R284" s="162">
        <v>45913</v>
      </c>
      <c r="S284" s="163">
        <v>45918</v>
      </c>
      <c r="T284" s="164">
        <f t="shared" si="4"/>
        <v>5</v>
      </c>
      <c r="U284" s="153">
        <v>1</v>
      </c>
      <c r="V284" s="153">
        <v>1</v>
      </c>
      <c r="W284" s="153">
        <v>0</v>
      </c>
      <c r="X284" s="153">
        <v>1</v>
      </c>
      <c r="Y284" s="153">
        <v>0</v>
      </c>
      <c r="Z284" s="153">
        <v>1</v>
      </c>
      <c r="AA284" s="153">
        <v>0</v>
      </c>
      <c r="AB284" s="153"/>
      <c r="AC284" s="155" t="s">
        <v>64</v>
      </c>
      <c r="AD284" s="156" t="s">
        <v>64</v>
      </c>
      <c r="AE284" s="153" t="s">
        <v>64</v>
      </c>
      <c r="AF284" s="155" t="s">
        <v>64</v>
      </c>
      <c r="AG284" s="156" t="s">
        <v>64</v>
      </c>
      <c r="AH284" s="153" t="s">
        <v>64</v>
      </c>
      <c r="AI284" s="153" t="s">
        <v>3021</v>
      </c>
      <c r="AJ284" s="153" t="s">
        <v>64</v>
      </c>
      <c r="AK284" s="153" t="s">
        <v>64</v>
      </c>
      <c r="AL284" s="153" t="s">
        <v>2306</v>
      </c>
      <c r="AM284" s="149" t="s">
        <v>65</v>
      </c>
      <c r="AN284" s="158"/>
      <c r="AO284" s="159"/>
      <c r="AQ284"/>
      <c r="AR284"/>
      <c r="AS284"/>
      <c r="AT284"/>
      <c r="AU284"/>
    </row>
    <row r="285" spans="1:47" s="151" customFormat="1" ht="14.25" customHeight="1">
      <c r="A285" s="139"/>
      <c r="B285" s="139"/>
      <c r="C285" s="152" t="str">
        <f>IF($X285=1,COUNTIF($C$10:C284,"&gt;0")+1,"")</f>
        <v/>
      </c>
      <c r="D285" s="323"/>
      <c r="E285" s="153" t="s">
        <v>3014</v>
      </c>
      <c r="F285" s="154" t="s">
        <v>3294</v>
      </c>
      <c r="G285" s="153" t="s">
        <v>3290</v>
      </c>
      <c r="H285" s="153" t="s">
        <v>3295</v>
      </c>
      <c r="I285" s="153" t="s">
        <v>3296</v>
      </c>
      <c r="J285" s="153" t="s">
        <v>58</v>
      </c>
      <c r="K285" s="153" t="s">
        <v>59</v>
      </c>
      <c r="L285" s="155">
        <v>28638</v>
      </c>
      <c r="M285" s="153">
        <v>47</v>
      </c>
      <c r="N285" s="153" t="s">
        <v>3297</v>
      </c>
      <c r="O285" s="155">
        <v>46483</v>
      </c>
      <c r="P285" s="153" t="s">
        <v>4</v>
      </c>
      <c r="Q285" s="153"/>
      <c r="R285" s="162">
        <v>45913</v>
      </c>
      <c r="S285" s="163">
        <v>45918</v>
      </c>
      <c r="T285" s="164">
        <f t="shared" si="4"/>
        <v>5</v>
      </c>
      <c r="U285" s="153">
        <v>1</v>
      </c>
      <c r="V285" s="153">
        <v>1</v>
      </c>
      <c r="W285" s="153">
        <v>0</v>
      </c>
      <c r="X285" s="153">
        <v>0</v>
      </c>
      <c r="Y285" s="153">
        <v>0</v>
      </c>
      <c r="Z285" s="153">
        <v>0</v>
      </c>
      <c r="AA285" s="153">
        <v>0</v>
      </c>
      <c r="AB285" s="153"/>
      <c r="AC285" s="155">
        <v>45913</v>
      </c>
      <c r="AD285" s="156">
        <v>0.68402777778101154</v>
      </c>
      <c r="AE285" s="153" t="s">
        <v>688</v>
      </c>
      <c r="AF285" s="155" t="s">
        <v>64</v>
      </c>
      <c r="AG285" s="156" t="s">
        <v>64</v>
      </c>
      <c r="AH285" s="153" t="s">
        <v>64</v>
      </c>
      <c r="AI285" s="153" t="s">
        <v>3021</v>
      </c>
      <c r="AJ285" s="153" t="s">
        <v>64</v>
      </c>
      <c r="AK285" s="153" t="s">
        <v>64</v>
      </c>
      <c r="AL285" s="153" t="s">
        <v>2306</v>
      </c>
      <c r="AM285" s="149" t="s">
        <v>65</v>
      </c>
      <c r="AN285" s="158"/>
      <c r="AO285" s="159"/>
      <c r="AQ285"/>
      <c r="AR285"/>
      <c r="AS285"/>
      <c r="AT285"/>
      <c r="AU285"/>
    </row>
    <row r="286" spans="1:47" s="151" customFormat="1" ht="14.25" customHeight="1">
      <c r="A286" s="139"/>
      <c r="B286" s="139"/>
      <c r="C286" s="152">
        <f>IF($X286=1,COUNTIF($C$10:C285,"&gt;0")+1,"")</f>
        <v>135</v>
      </c>
      <c r="D286" s="322">
        <v>75987924</v>
      </c>
      <c r="E286" s="153" t="s">
        <v>3014</v>
      </c>
      <c r="F286" s="154" t="s">
        <v>3298</v>
      </c>
      <c r="G286" s="153" t="s">
        <v>3298</v>
      </c>
      <c r="H286" s="153" t="s">
        <v>3299</v>
      </c>
      <c r="I286" s="153" t="s">
        <v>3300</v>
      </c>
      <c r="J286" s="153" t="s">
        <v>68</v>
      </c>
      <c r="K286" s="153" t="s">
        <v>59</v>
      </c>
      <c r="L286" s="155">
        <v>19992</v>
      </c>
      <c r="M286" s="153">
        <v>70</v>
      </c>
      <c r="N286" s="153" t="s">
        <v>3301</v>
      </c>
      <c r="O286" s="155">
        <v>46833</v>
      </c>
      <c r="P286" s="153" t="s">
        <v>5</v>
      </c>
      <c r="Q286" s="153"/>
      <c r="R286" s="162">
        <v>45913</v>
      </c>
      <c r="S286" s="163">
        <v>45918</v>
      </c>
      <c r="T286" s="164">
        <f t="shared" si="4"/>
        <v>5</v>
      </c>
      <c r="U286" s="153">
        <v>1</v>
      </c>
      <c r="V286" s="153">
        <v>1</v>
      </c>
      <c r="W286" s="153">
        <v>0</v>
      </c>
      <c r="X286" s="153">
        <v>1</v>
      </c>
      <c r="Y286" s="153">
        <v>0</v>
      </c>
      <c r="Z286" s="153">
        <v>0</v>
      </c>
      <c r="AA286" s="153">
        <v>1</v>
      </c>
      <c r="AB286" s="153"/>
      <c r="AC286" s="155">
        <v>45913</v>
      </c>
      <c r="AD286" s="156">
        <v>0.59027777778101154</v>
      </c>
      <c r="AE286" s="153" t="s">
        <v>547</v>
      </c>
      <c r="AF286" s="155">
        <v>45918</v>
      </c>
      <c r="AG286" s="156">
        <v>0.68402777778101154</v>
      </c>
      <c r="AH286" s="153" t="s">
        <v>274</v>
      </c>
      <c r="AI286" s="153" t="s">
        <v>3021</v>
      </c>
      <c r="AJ286" s="153" t="s">
        <v>64</v>
      </c>
      <c r="AK286" s="153" t="s">
        <v>64</v>
      </c>
      <c r="AL286" s="153" t="s">
        <v>2306</v>
      </c>
      <c r="AM286" s="149" t="s">
        <v>65</v>
      </c>
      <c r="AN286" s="158"/>
      <c r="AO286" s="159"/>
      <c r="AQ286"/>
      <c r="AR286"/>
      <c r="AS286"/>
      <c r="AT286"/>
      <c r="AU286"/>
    </row>
    <row r="287" spans="1:47" s="151" customFormat="1" ht="14.25" customHeight="1">
      <c r="A287" s="139"/>
      <c r="B287" s="139"/>
      <c r="C287" s="152" t="str">
        <f>IF($X287=1,COUNTIF($C$10:C286,"&gt;0")+1,"")</f>
        <v/>
      </c>
      <c r="D287" s="323"/>
      <c r="E287" s="153" t="s">
        <v>3014</v>
      </c>
      <c r="F287" s="154" t="s">
        <v>3302</v>
      </c>
      <c r="G287" s="153" t="s">
        <v>3298</v>
      </c>
      <c r="H287" s="153" t="s">
        <v>3303</v>
      </c>
      <c r="I287" s="153" t="s">
        <v>3304</v>
      </c>
      <c r="J287" s="153" t="s">
        <v>68</v>
      </c>
      <c r="K287" s="153" t="s">
        <v>59</v>
      </c>
      <c r="L287" s="155">
        <v>21165</v>
      </c>
      <c r="M287" s="153">
        <v>67</v>
      </c>
      <c r="N287" s="153" t="s">
        <v>3305</v>
      </c>
      <c r="O287" s="155">
        <v>47212</v>
      </c>
      <c r="P287" s="153" t="s">
        <v>5</v>
      </c>
      <c r="Q287" s="153"/>
      <c r="R287" s="162">
        <v>45913</v>
      </c>
      <c r="S287" s="163">
        <v>45918</v>
      </c>
      <c r="T287" s="164">
        <f t="shared" si="4"/>
        <v>5</v>
      </c>
      <c r="U287" s="153">
        <v>1</v>
      </c>
      <c r="V287" s="153">
        <v>1</v>
      </c>
      <c r="W287" s="153">
        <v>0</v>
      </c>
      <c r="X287" s="153">
        <v>0</v>
      </c>
      <c r="Y287" s="153">
        <v>0</v>
      </c>
      <c r="Z287" s="153">
        <v>0</v>
      </c>
      <c r="AA287" s="153">
        <v>0</v>
      </c>
      <c r="AB287" s="153"/>
      <c r="AC287" s="155">
        <v>45913</v>
      </c>
      <c r="AD287" s="156">
        <v>0.59027777778101154</v>
      </c>
      <c r="AE287" s="153" t="s">
        <v>547</v>
      </c>
      <c r="AF287" s="155">
        <v>45918</v>
      </c>
      <c r="AG287" s="156">
        <v>0.68402777778101154</v>
      </c>
      <c r="AH287" s="153" t="s">
        <v>274</v>
      </c>
      <c r="AI287" s="153" t="s">
        <v>3021</v>
      </c>
      <c r="AJ287" s="153" t="s">
        <v>64</v>
      </c>
      <c r="AK287" s="153" t="s">
        <v>64</v>
      </c>
      <c r="AL287" s="153" t="s">
        <v>2306</v>
      </c>
      <c r="AM287" s="149" t="s">
        <v>65</v>
      </c>
      <c r="AN287" s="158"/>
      <c r="AO287" s="159"/>
      <c r="AQ287"/>
      <c r="AR287"/>
      <c r="AS287"/>
      <c r="AT287"/>
      <c r="AU287"/>
    </row>
    <row r="288" spans="1:47" s="151" customFormat="1" ht="14.25" customHeight="1">
      <c r="A288" s="139"/>
      <c r="B288" s="139"/>
      <c r="C288" s="152">
        <f>IF($X288=1,COUNTIF($C$10:C287,"&gt;0")+1,"")</f>
        <v>136</v>
      </c>
      <c r="D288" s="322">
        <v>75987936</v>
      </c>
      <c r="E288" s="153" t="s">
        <v>3014</v>
      </c>
      <c r="F288" s="154" t="s">
        <v>3306</v>
      </c>
      <c r="G288" s="153" t="s">
        <v>3306</v>
      </c>
      <c r="H288" s="153" t="s">
        <v>3307</v>
      </c>
      <c r="I288" s="153" t="s">
        <v>3308</v>
      </c>
      <c r="J288" s="153" t="s">
        <v>68</v>
      </c>
      <c r="K288" s="153" t="s">
        <v>3309</v>
      </c>
      <c r="L288" s="155">
        <v>20186</v>
      </c>
      <c r="M288" s="153">
        <v>70</v>
      </c>
      <c r="N288" s="153" t="s">
        <v>3310</v>
      </c>
      <c r="O288" s="155">
        <v>48366</v>
      </c>
      <c r="P288" s="153" t="s">
        <v>4</v>
      </c>
      <c r="Q288" s="153"/>
      <c r="R288" s="162">
        <v>45913</v>
      </c>
      <c r="S288" s="163">
        <v>45918</v>
      </c>
      <c r="T288" s="164">
        <f t="shared" si="4"/>
        <v>5</v>
      </c>
      <c r="U288" s="153">
        <v>1</v>
      </c>
      <c r="V288" s="153">
        <v>1</v>
      </c>
      <c r="W288" s="153">
        <v>0</v>
      </c>
      <c r="X288" s="153">
        <v>1</v>
      </c>
      <c r="Y288" s="153">
        <v>0</v>
      </c>
      <c r="Z288" s="153">
        <v>1</v>
      </c>
      <c r="AA288" s="153">
        <v>0</v>
      </c>
      <c r="AB288" s="153"/>
      <c r="AC288" s="155">
        <v>45913</v>
      </c>
      <c r="AD288" s="156">
        <v>0.59027777778101154</v>
      </c>
      <c r="AE288" s="153" t="s">
        <v>547</v>
      </c>
      <c r="AF288" s="155">
        <v>45919</v>
      </c>
      <c r="AG288" s="156">
        <v>0.77777777778101154</v>
      </c>
      <c r="AH288" s="153" t="s">
        <v>330</v>
      </c>
      <c r="AI288" s="153" t="s">
        <v>3021</v>
      </c>
      <c r="AJ288" s="153" t="s">
        <v>64</v>
      </c>
      <c r="AK288" s="153" t="s">
        <v>64</v>
      </c>
      <c r="AL288" s="153" t="s">
        <v>2306</v>
      </c>
      <c r="AM288" s="149" t="s">
        <v>65</v>
      </c>
      <c r="AN288" s="158"/>
      <c r="AO288" s="159"/>
      <c r="AQ288"/>
      <c r="AR288"/>
      <c r="AS288"/>
      <c r="AT288"/>
      <c r="AU288"/>
    </row>
    <row r="289" spans="1:47" s="151" customFormat="1" ht="14.25" customHeight="1">
      <c r="A289" s="139"/>
      <c r="B289" s="139"/>
      <c r="C289" s="152" t="str">
        <f>IF($X289=1,COUNTIF($C$10:C288,"&gt;0")+1,"")</f>
        <v/>
      </c>
      <c r="D289" s="323"/>
      <c r="E289" s="153" t="s">
        <v>3014</v>
      </c>
      <c r="F289" s="154" t="s">
        <v>3311</v>
      </c>
      <c r="G289" s="153" t="s">
        <v>3306</v>
      </c>
      <c r="H289" s="153" t="s">
        <v>3312</v>
      </c>
      <c r="I289" s="153" t="s">
        <v>3308</v>
      </c>
      <c r="J289" s="153" t="s">
        <v>58</v>
      </c>
      <c r="K289" s="153" t="s">
        <v>59</v>
      </c>
      <c r="L289" s="155">
        <v>22363</v>
      </c>
      <c r="M289" s="153">
        <v>64</v>
      </c>
      <c r="N289" s="153" t="s">
        <v>3313</v>
      </c>
      <c r="O289" s="155">
        <v>47601</v>
      </c>
      <c r="P289" s="153" t="s">
        <v>4</v>
      </c>
      <c r="Q289" s="153"/>
      <c r="R289" s="162">
        <v>45913</v>
      </c>
      <c r="S289" s="163">
        <v>45918</v>
      </c>
      <c r="T289" s="164">
        <f t="shared" si="4"/>
        <v>5</v>
      </c>
      <c r="U289" s="153">
        <v>1</v>
      </c>
      <c r="V289" s="153">
        <v>1</v>
      </c>
      <c r="W289" s="153">
        <v>0</v>
      </c>
      <c r="X289" s="153">
        <v>0</v>
      </c>
      <c r="Y289" s="153">
        <v>0</v>
      </c>
      <c r="Z289" s="153">
        <v>0</v>
      </c>
      <c r="AA289" s="153">
        <v>0</v>
      </c>
      <c r="AB289" s="153"/>
      <c r="AC289" s="155">
        <v>45913</v>
      </c>
      <c r="AD289" s="156">
        <v>0.59027777778101154</v>
      </c>
      <c r="AE289" s="153" t="s">
        <v>547</v>
      </c>
      <c r="AF289" s="155">
        <v>45919</v>
      </c>
      <c r="AG289" s="156">
        <v>0.77777777778101154</v>
      </c>
      <c r="AH289" s="153" t="s">
        <v>330</v>
      </c>
      <c r="AI289" s="153" t="s">
        <v>3021</v>
      </c>
      <c r="AJ289" s="153" t="s">
        <v>64</v>
      </c>
      <c r="AK289" s="153" t="s">
        <v>64</v>
      </c>
      <c r="AL289" s="153" t="s">
        <v>2306</v>
      </c>
      <c r="AM289" s="149" t="s">
        <v>65</v>
      </c>
      <c r="AN289" s="158"/>
      <c r="AO289" s="159"/>
      <c r="AQ289"/>
      <c r="AR289"/>
      <c r="AS289"/>
      <c r="AT289"/>
      <c r="AU289"/>
    </row>
    <row r="290" spans="1:47" s="151" customFormat="1" ht="14.25" customHeight="1">
      <c r="A290" s="139"/>
      <c r="B290" s="139"/>
      <c r="C290" s="152">
        <f>IF($X290=1,COUNTIF($C$10:C289,"&gt;0")+1,"")</f>
        <v>137</v>
      </c>
      <c r="D290" s="322">
        <v>75987943</v>
      </c>
      <c r="E290" s="153" t="s">
        <v>3014</v>
      </c>
      <c r="F290" s="154" t="s">
        <v>3314</v>
      </c>
      <c r="G290" s="153" t="s">
        <v>3306</v>
      </c>
      <c r="H290" s="153" t="s">
        <v>3315</v>
      </c>
      <c r="I290" s="153" t="s">
        <v>3316</v>
      </c>
      <c r="J290" s="153" t="s">
        <v>58</v>
      </c>
      <c r="K290" s="153" t="s">
        <v>3309</v>
      </c>
      <c r="L290" s="155">
        <v>21706</v>
      </c>
      <c r="M290" s="153">
        <v>66</v>
      </c>
      <c r="N290" s="153" t="s">
        <v>3317</v>
      </c>
      <c r="O290" s="155">
        <v>48505</v>
      </c>
      <c r="P290" s="153" t="s">
        <v>4</v>
      </c>
      <c r="Q290" s="153"/>
      <c r="R290" s="162">
        <v>45913</v>
      </c>
      <c r="S290" s="163">
        <v>45918</v>
      </c>
      <c r="T290" s="164">
        <f t="shared" si="4"/>
        <v>5</v>
      </c>
      <c r="U290" s="153">
        <v>1</v>
      </c>
      <c r="V290" s="153">
        <v>1</v>
      </c>
      <c r="W290" s="153">
        <v>0</v>
      </c>
      <c r="X290" s="153">
        <v>1</v>
      </c>
      <c r="Y290" s="153">
        <v>0</v>
      </c>
      <c r="Z290" s="153">
        <v>1</v>
      </c>
      <c r="AA290" s="153">
        <v>0</v>
      </c>
      <c r="AB290" s="153"/>
      <c r="AC290" s="155">
        <v>45913</v>
      </c>
      <c r="AD290" s="156">
        <v>0.59027777778101154</v>
      </c>
      <c r="AE290" s="153" t="s">
        <v>547</v>
      </c>
      <c r="AF290" s="155">
        <v>45919</v>
      </c>
      <c r="AG290" s="156">
        <v>0.77777777778101154</v>
      </c>
      <c r="AH290" s="153" t="s">
        <v>330</v>
      </c>
      <c r="AI290" s="153" t="s">
        <v>3021</v>
      </c>
      <c r="AJ290" s="153" t="s">
        <v>64</v>
      </c>
      <c r="AK290" s="153" t="s">
        <v>64</v>
      </c>
      <c r="AL290" s="153" t="s">
        <v>2306</v>
      </c>
      <c r="AM290" s="149" t="s">
        <v>65</v>
      </c>
      <c r="AN290" s="158"/>
      <c r="AO290" s="159"/>
      <c r="AQ290"/>
      <c r="AR290"/>
      <c r="AS290"/>
      <c r="AT290"/>
      <c r="AU290"/>
    </row>
    <row r="291" spans="1:47" s="151" customFormat="1" ht="14.25" customHeight="1">
      <c r="A291" s="139"/>
      <c r="B291" s="139"/>
      <c r="C291" s="152" t="str">
        <f>IF($X291=1,COUNTIF($C$10:C290,"&gt;0")+1,"")</f>
        <v/>
      </c>
      <c r="D291" s="323"/>
      <c r="E291" s="153" t="s">
        <v>3014</v>
      </c>
      <c r="F291" s="154" t="s">
        <v>3318</v>
      </c>
      <c r="G291" s="153" t="s">
        <v>3306</v>
      </c>
      <c r="H291" s="153" t="s">
        <v>1035</v>
      </c>
      <c r="I291" s="153" t="s">
        <v>3316</v>
      </c>
      <c r="J291" s="153" t="s">
        <v>68</v>
      </c>
      <c r="K291" s="153" t="s">
        <v>3309</v>
      </c>
      <c r="L291" s="155">
        <v>23372</v>
      </c>
      <c r="M291" s="153">
        <v>61</v>
      </c>
      <c r="N291" s="153" t="s">
        <v>3319</v>
      </c>
      <c r="O291" s="155">
        <v>46150</v>
      </c>
      <c r="P291" s="153" t="s">
        <v>4</v>
      </c>
      <c r="Q291" s="153"/>
      <c r="R291" s="162">
        <v>45913</v>
      </c>
      <c r="S291" s="163">
        <v>45918</v>
      </c>
      <c r="T291" s="164">
        <f t="shared" si="4"/>
        <v>5</v>
      </c>
      <c r="U291" s="153">
        <v>1</v>
      </c>
      <c r="V291" s="153">
        <v>1</v>
      </c>
      <c r="W291" s="153">
        <v>0</v>
      </c>
      <c r="X291" s="153">
        <v>0</v>
      </c>
      <c r="Y291" s="153">
        <v>0</v>
      </c>
      <c r="Z291" s="153">
        <v>0</v>
      </c>
      <c r="AA291" s="153">
        <v>0</v>
      </c>
      <c r="AB291" s="153"/>
      <c r="AC291" s="155">
        <v>45913</v>
      </c>
      <c r="AD291" s="156">
        <v>0.59027777778101154</v>
      </c>
      <c r="AE291" s="153" t="s">
        <v>547</v>
      </c>
      <c r="AF291" s="155">
        <v>45919</v>
      </c>
      <c r="AG291" s="156">
        <v>0.77777777778101154</v>
      </c>
      <c r="AH291" s="153" t="s">
        <v>330</v>
      </c>
      <c r="AI291" s="153" t="s">
        <v>3021</v>
      </c>
      <c r="AJ291" s="153" t="s">
        <v>64</v>
      </c>
      <c r="AK291" s="153" t="s">
        <v>64</v>
      </c>
      <c r="AL291" s="153" t="s">
        <v>2306</v>
      </c>
      <c r="AM291" s="149" t="s">
        <v>65</v>
      </c>
      <c r="AN291" s="158"/>
      <c r="AO291" s="159"/>
      <c r="AQ291"/>
      <c r="AR291"/>
      <c r="AS291"/>
      <c r="AT291"/>
      <c r="AU291"/>
    </row>
    <row r="292" spans="1:47" s="151" customFormat="1" ht="14.25" customHeight="1">
      <c r="A292" s="139"/>
      <c r="B292" s="139"/>
      <c r="C292" s="152">
        <f>IF($X292=1,COUNTIF($C$10:C291,"&gt;0")+1,"")</f>
        <v>138</v>
      </c>
      <c r="D292" s="322">
        <v>75987953</v>
      </c>
      <c r="E292" s="153" t="s">
        <v>3014</v>
      </c>
      <c r="F292" s="154" t="s">
        <v>3320</v>
      </c>
      <c r="G292" s="153" t="s">
        <v>3320</v>
      </c>
      <c r="H292" s="153" t="s">
        <v>3321</v>
      </c>
      <c r="I292" s="153" t="s">
        <v>3322</v>
      </c>
      <c r="J292" s="153" t="s">
        <v>58</v>
      </c>
      <c r="K292" s="153" t="s">
        <v>59</v>
      </c>
      <c r="L292" s="155">
        <v>18536</v>
      </c>
      <c r="M292" s="153">
        <v>74</v>
      </c>
      <c r="N292" s="153" t="s">
        <v>3323</v>
      </c>
      <c r="O292" s="155">
        <v>49070</v>
      </c>
      <c r="P292" s="153" t="s">
        <v>4</v>
      </c>
      <c r="Q292" s="153"/>
      <c r="R292" s="162">
        <v>45913</v>
      </c>
      <c r="S292" s="163">
        <v>45918</v>
      </c>
      <c r="T292" s="164">
        <f t="shared" si="4"/>
        <v>5</v>
      </c>
      <c r="U292" s="153">
        <v>1</v>
      </c>
      <c r="V292" s="153">
        <v>1</v>
      </c>
      <c r="W292" s="153">
        <v>0</v>
      </c>
      <c r="X292" s="153">
        <v>1</v>
      </c>
      <c r="Y292" s="153">
        <v>0</v>
      </c>
      <c r="Z292" s="153">
        <v>1</v>
      </c>
      <c r="AA292" s="153">
        <v>0</v>
      </c>
      <c r="AB292" s="153"/>
      <c r="AC292" s="155">
        <v>45913</v>
      </c>
      <c r="AD292" s="156">
        <v>0.59027777778101154</v>
      </c>
      <c r="AE292" s="153" t="s">
        <v>547</v>
      </c>
      <c r="AF292" s="155">
        <v>45918</v>
      </c>
      <c r="AG292" s="156">
        <v>0.68402777778101154</v>
      </c>
      <c r="AH292" s="153" t="s">
        <v>274</v>
      </c>
      <c r="AI292" s="153" t="s">
        <v>3021</v>
      </c>
      <c r="AJ292" s="153" t="s">
        <v>64</v>
      </c>
      <c r="AK292" s="153" t="s">
        <v>64</v>
      </c>
      <c r="AL292" s="153" t="s">
        <v>2306</v>
      </c>
      <c r="AM292" s="149" t="s">
        <v>65</v>
      </c>
      <c r="AN292" s="158"/>
      <c r="AO292" s="159"/>
      <c r="AQ292"/>
      <c r="AR292"/>
      <c r="AS292"/>
      <c r="AT292"/>
      <c r="AU292"/>
    </row>
    <row r="293" spans="1:47" s="151" customFormat="1" ht="14.25" customHeight="1">
      <c r="A293" s="139"/>
      <c r="B293" s="139"/>
      <c r="C293" s="152" t="str">
        <f>IF($X293=1,COUNTIF($C$10:C292,"&gt;0")+1,"")</f>
        <v/>
      </c>
      <c r="D293" s="323"/>
      <c r="E293" s="153" t="s">
        <v>3014</v>
      </c>
      <c r="F293" s="154" t="s">
        <v>3324</v>
      </c>
      <c r="G293" s="153" t="s">
        <v>3320</v>
      </c>
      <c r="H293" s="153" t="s">
        <v>3325</v>
      </c>
      <c r="I293" s="153" t="s">
        <v>3322</v>
      </c>
      <c r="J293" s="153" t="s">
        <v>68</v>
      </c>
      <c r="K293" s="153" t="s">
        <v>59</v>
      </c>
      <c r="L293" s="155">
        <v>29348</v>
      </c>
      <c r="M293" s="153">
        <v>45</v>
      </c>
      <c r="N293" s="153" t="s">
        <v>3326</v>
      </c>
      <c r="O293" s="155">
        <v>49070</v>
      </c>
      <c r="P293" s="153" t="s">
        <v>4</v>
      </c>
      <c r="Q293" s="153"/>
      <c r="R293" s="162">
        <v>45913</v>
      </c>
      <c r="S293" s="163">
        <v>45918</v>
      </c>
      <c r="T293" s="164">
        <f t="shared" si="4"/>
        <v>5</v>
      </c>
      <c r="U293" s="153">
        <v>1</v>
      </c>
      <c r="V293" s="153">
        <v>1</v>
      </c>
      <c r="W293" s="153">
        <v>0</v>
      </c>
      <c r="X293" s="153">
        <v>0</v>
      </c>
      <c r="Y293" s="153">
        <v>0</v>
      </c>
      <c r="Z293" s="153">
        <v>0</v>
      </c>
      <c r="AA293" s="153">
        <v>0</v>
      </c>
      <c r="AB293" s="153"/>
      <c r="AC293" s="155">
        <v>45913</v>
      </c>
      <c r="AD293" s="156">
        <v>0.59027777778101154</v>
      </c>
      <c r="AE293" s="153" t="s">
        <v>547</v>
      </c>
      <c r="AF293" s="155">
        <v>45918</v>
      </c>
      <c r="AG293" s="156">
        <v>0.68402777778101154</v>
      </c>
      <c r="AH293" s="153" t="s">
        <v>274</v>
      </c>
      <c r="AI293" s="153" t="s">
        <v>3021</v>
      </c>
      <c r="AJ293" s="153" t="s">
        <v>64</v>
      </c>
      <c r="AK293" s="153" t="s">
        <v>64</v>
      </c>
      <c r="AL293" s="153" t="s">
        <v>2306</v>
      </c>
      <c r="AM293" s="149" t="s">
        <v>65</v>
      </c>
      <c r="AN293" s="158"/>
      <c r="AO293" s="159"/>
      <c r="AQ293"/>
      <c r="AR293"/>
      <c r="AS293"/>
      <c r="AT293"/>
      <c r="AU293"/>
    </row>
    <row r="294" spans="1:47" s="151" customFormat="1" ht="14.25" customHeight="1">
      <c r="A294" s="139"/>
      <c r="B294" s="139"/>
      <c r="C294" s="152">
        <f>IF($X294=1,COUNTIF($C$10:C293,"&gt;0")+1,"")</f>
        <v>139</v>
      </c>
      <c r="D294" s="322">
        <v>75987963</v>
      </c>
      <c r="E294" s="153" t="s">
        <v>3014</v>
      </c>
      <c r="F294" s="154" t="s">
        <v>3327</v>
      </c>
      <c r="G294" s="153" t="s">
        <v>3327</v>
      </c>
      <c r="H294" s="153" t="s">
        <v>3328</v>
      </c>
      <c r="I294" s="153" t="s">
        <v>3329</v>
      </c>
      <c r="J294" s="153" t="s">
        <v>68</v>
      </c>
      <c r="K294" s="153" t="s">
        <v>3330</v>
      </c>
      <c r="L294" s="155">
        <v>22831</v>
      </c>
      <c r="M294" s="153">
        <v>63</v>
      </c>
      <c r="N294" s="153" t="s">
        <v>3331</v>
      </c>
      <c r="O294" s="155">
        <v>49029</v>
      </c>
      <c r="P294" s="153" t="s">
        <v>5</v>
      </c>
      <c r="Q294" s="153"/>
      <c r="R294" s="162">
        <v>45913</v>
      </c>
      <c r="S294" s="163">
        <v>45918</v>
      </c>
      <c r="T294" s="164">
        <f t="shared" si="4"/>
        <v>5</v>
      </c>
      <c r="U294" s="153">
        <v>1</v>
      </c>
      <c r="V294" s="153">
        <v>1</v>
      </c>
      <c r="W294" s="153">
        <v>0</v>
      </c>
      <c r="X294" s="153">
        <v>1</v>
      </c>
      <c r="Y294" s="153">
        <v>0</v>
      </c>
      <c r="Z294" s="153">
        <v>0</v>
      </c>
      <c r="AA294" s="153">
        <v>1</v>
      </c>
      <c r="AB294" s="153"/>
      <c r="AC294" s="155">
        <v>45913</v>
      </c>
      <c r="AD294" s="156">
        <v>0.59027777778101154</v>
      </c>
      <c r="AE294" s="153" t="s">
        <v>547</v>
      </c>
      <c r="AF294" s="155">
        <v>45918</v>
      </c>
      <c r="AG294" s="156">
        <v>0.68402777778101154</v>
      </c>
      <c r="AH294" s="153" t="s">
        <v>274</v>
      </c>
      <c r="AI294" s="153" t="s">
        <v>3021</v>
      </c>
      <c r="AJ294" s="153" t="s">
        <v>64</v>
      </c>
      <c r="AK294" s="153" t="s">
        <v>64</v>
      </c>
      <c r="AL294" s="153" t="s">
        <v>2306</v>
      </c>
      <c r="AM294" s="149" t="s">
        <v>65</v>
      </c>
      <c r="AN294" s="158"/>
      <c r="AO294" s="159"/>
      <c r="AQ294"/>
      <c r="AR294"/>
      <c r="AS294"/>
      <c r="AT294"/>
      <c r="AU294"/>
    </row>
    <row r="295" spans="1:47" s="151" customFormat="1" ht="14.25" customHeight="1">
      <c r="A295" s="139"/>
      <c r="B295" s="139"/>
      <c r="C295" s="152" t="str">
        <f>IF($X295=1,COUNTIF($C$10:C294,"&gt;0")+1,"")</f>
        <v/>
      </c>
      <c r="D295" s="323"/>
      <c r="E295" s="153" t="s">
        <v>3014</v>
      </c>
      <c r="F295" s="154" t="s">
        <v>3332</v>
      </c>
      <c r="G295" s="153" t="s">
        <v>3327</v>
      </c>
      <c r="H295" s="153" t="s">
        <v>3333</v>
      </c>
      <c r="I295" s="153" t="s">
        <v>3334</v>
      </c>
      <c r="J295" s="153" t="s">
        <v>68</v>
      </c>
      <c r="K295" s="153" t="s">
        <v>3309</v>
      </c>
      <c r="L295" s="155">
        <v>20800</v>
      </c>
      <c r="M295" s="153">
        <v>68</v>
      </c>
      <c r="N295" s="153" t="s">
        <v>3335</v>
      </c>
      <c r="O295" s="155">
        <v>48157</v>
      </c>
      <c r="P295" s="153" t="s">
        <v>5</v>
      </c>
      <c r="Q295" s="153"/>
      <c r="R295" s="162">
        <v>45913</v>
      </c>
      <c r="S295" s="163">
        <v>45918</v>
      </c>
      <c r="T295" s="164">
        <f t="shared" si="4"/>
        <v>5</v>
      </c>
      <c r="U295" s="153">
        <v>1</v>
      </c>
      <c r="V295" s="153">
        <v>1</v>
      </c>
      <c r="W295" s="153">
        <v>0</v>
      </c>
      <c r="X295" s="153">
        <v>0</v>
      </c>
      <c r="Y295" s="153">
        <v>0</v>
      </c>
      <c r="Z295" s="153">
        <v>0</v>
      </c>
      <c r="AA295" s="153">
        <v>0</v>
      </c>
      <c r="AB295" s="153"/>
      <c r="AC295" s="155">
        <v>45913</v>
      </c>
      <c r="AD295" s="156">
        <v>0.59027777778101154</v>
      </c>
      <c r="AE295" s="153" t="s">
        <v>547</v>
      </c>
      <c r="AF295" s="155">
        <v>45918</v>
      </c>
      <c r="AG295" s="156">
        <v>0.68402777778101154</v>
      </c>
      <c r="AH295" s="153" t="s">
        <v>274</v>
      </c>
      <c r="AI295" s="153" t="s">
        <v>3021</v>
      </c>
      <c r="AJ295" s="153" t="s">
        <v>64</v>
      </c>
      <c r="AK295" s="153" t="s">
        <v>64</v>
      </c>
      <c r="AL295" s="153" t="s">
        <v>2306</v>
      </c>
      <c r="AM295" s="149" t="s">
        <v>65</v>
      </c>
      <c r="AN295" s="158"/>
      <c r="AO295" s="159"/>
      <c r="AQ295"/>
      <c r="AR295"/>
      <c r="AS295"/>
      <c r="AT295"/>
      <c r="AU295"/>
    </row>
    <row r="296" spans="1:47" s="151" customFormat="1" ht="14.25" customHeight="1">
      <c r="A296" s="139"/>
      <c r="B296" s="139"/>
      <c r="C296" s="152">
        <f>IF($X296=1,COUNTIF($C$10:C295,"&gt;0")+1,"")</f>
        <v>140</v>
      </c>
      <c r="D296" s="322">
        <v>75987979</v>
      </c>
      <c r="E296" s="153" t="s">
        <v>3014</v>
      </c>
      <c r="F296" s="154" t="s">
        <v>3336</v>
      </c>
      <c r="G296" s="153" t="s">
        <v>3336</v>
      </c>
      <c r="H296" s="153" t="s">
        <v>3337</v>
      </c>
      <c r="I296" s="153" t="s">
        <v>3312</v>
      </c>
      <c r="J296" s="153" t="s">
        <v>68</v>
      </c>
      <c r="K296" s="153" t="s">
        <v>59</v>
      </c>
      <c r="L296" s="155">
        <v>18958</v>
      </c>
      <c r="M296" s="153">
        <v>73</v>
      </c>
      <c r="N296" s="153" t="s">
        <v>3338</v>
      </c>
      <c r="O296" s="155">
        <v>46202</v>
      </c>
      <c r="P296" s="153" t="s">
        <v>5</v>
      </c>
      <c r="Q296" s="153"/>
      <c r="R296" s="162">
        <v>45913</v>
      </c>
      <c r="S296" s="163">
        <v>45918</v>
      </c>
      <c r="T296" s="164">
        <f t="shared" si="4"/>
        <v>5</v>
      </c>
      <c r="U296" s="153">
        <v>1</v>
      </c>
      <c r="V296" s="153">
        <v>1</v>
      </c>
      <c r="W296" s="153">
        <v>0</v>
      </c>
      <c r="X296" s="153">
        <v>1</v>
      </c>
      <c r="Y296" s="153">
        <v>0</v>
      </c>
      <c r="Z296" s="153">
        <v>0</v>
      </c>
      <c r="AA296" s="153">
        <v>1</v>
      </c>
      <c r="AB296" s="153"/>
      <c r="AC296" s="155">
        <v>45913</v>
      </c>
      <c r="AD296" s="156">
        <v>0.64583333333575865</v>
      </c>
      <c r="AE296" s="153" t="s">
        <v>312</v>
      </c>
      <c r="AF296" s="155">
        <v>45918</v>
      </c>
      <c r="AG296" s="156">
        <v>0.72569444444525288</v>
      </c>
      <c r="AH296" s="153" t="s">
        <v>313</v>
      </c>
      <c r="AI296" s="153" t="s">
        <v>3021</v>
      </c>
      <c r="AJ296" s="153" t="s">
        <v>64</v>
      </c>
      <c r="AK296" s="153" t="s">
        <v>64</v>
      </c>
      <c r="AL296" s="153" t="s">
        <v>2306</v>
      </c>
      <c r="AM296" s="149" t="s">
        <v>65</v>
      </c>
      <c r="AN296" s="158"/>
      <c r="AO296" s="159"/>
      <c r="AQ296"/>
      <c r="AR296"/>
      <c r="AS296"/>
      <c r="AT296"/>
      <c r="AU296"/>
    </row>
    <row r="297" spans="1:47" s="151" customFormat="1" ht="14.25" customHeight="1">
      <c r="A297" s="139"/>
      <c r="B297" s="139"/>
      <c r="C297" s="152" t="str">
        <f>IF($X297=1,COUNTIF($C$10:C296,"&gt;0")+1,"")</f>
        <v/>
      </c>
      <c r="D297" s="323"/>
      <c r="E297" s="153" t="s">
        <v>3014</v>
      </c>
      <c r="F297" s="154" t="s">
        <v>3339</v>
      </c>
      <c r="G297" s="153" t="s">
        <v>3336</v>
      </c>
      <c r="H297" s="153" t="s">
        <v>3340</v>
      </c>
      <c r="I297" s="153" t="s">
        <v>3341</v>
      </c>
      <c r="J297" s="153" t="s">
        <v>68</v>
      </c>
      <c r="K297" s="153" t="s">
        <v>59</v>
      </c>
      <c r="L297" s="155">
        <v>23176</v>
      </c>
      <c r="M297" s="153">
        <v>62</v>
      </c>
      <c r="N297" s="153" t="s">
        <v>3342</v>
      </c>
      <c r="O297" s="155">
        <v>48166</v>
      </c>
      <c r="P297" s="153" t="s">
        <v>5</v>
      </c>
      <c r="Q297" s="153"/>
      <c r="R297" s="162">
        <v>45913</v>
      </c>
      <c r="S297" s="163">
        <v>45918</v>
      </c>
      <c r="T297" s="164">
        <f t="shared" si="4"/>
        <v>5</v>
      </c>
      <c r="U297" s="153">
        <v>1</v>
      </c>
      <c r="V297" s="153">
        <v>1</v>
      </c>
      <c r="W297" s="153">
        <v>0</v>
      </c>
      <c r="X297" s="153">
        <v>0</v>
      </c>
      <c r="Y297" s="153">
        <v>0</v>
      </c>
      <c r="Z297" s="153">
        <v>0</v>
      </c>
      <c r="AA297" s="153">
        <v>0</v>
      </c>
      <c r="AB297" s="153"/>
      <c r="AC297" s="155">
        <v>45913</v>
      </c>
      <c r="AD297" s="156">
        <v>0.64583333333575865</v>
      </c>
      <c r="AE297" s="153" t="s">
        <v>312</v>
      </c>
      <c r="AF297" s="155">
        <v>45918</v>
      </c>
      <c r="AG297" s="156">
        <v>0.72569444444525288</v>
      </c>
      <c r="AH297" s="153" t="s">
        <v>313</v>
      </c>
      <c r="AI297" s="153" t="s">
        <v>3021</v>
      </c>
      <c r="AJ297" s="153" t="s">
        <v>64</v>
      </c>
      <c r="AK297" s="153" t="s">
        <v>64</v>
      </c>
      <c r="AL297" s="153" t="s">
        <v>2306</v>
      </c>
      <c r="AM297" s="149" t="s">
        <v>65</v>
      </c>
      <c r="AN297" s="158"/>
      <c r="AO297" s="159"/>
      <c r="AQ297"/>
      <c r="AR297"/>
      <c r="AS297"/>
      <c r="AT297"/>
      <c r="AU297"/>
    </row>
    <row r="298" spans="1:47" s="151" customFormat="1" ht="14.25" customHeight="1">
      <c r="A298" s="139"/>
      <c r="B298" s="139"/>
      <c r="C298" s="152">
        <f>IF($X298=1,COUNTIF($C$10:C297,"&gt;0")+1,"")</f>
        <v>141</v>
      </c>
      <c r="D298" s="322">
        <v>75988000</v>
      </c>
      <c r="E298" s="153" t="s">
        <v>3014</v>
      </c>
      <c r="F298" s="154" t="s">
        <v>3343</v>
      </c>
      <c r="G298" s="153" t="s">
        <v>3343</v>
      </c>
      <c r="H298" s="153" t="s">
        <v>3344</v>
      </c>
      <c r="I298" s="153" t="s">
        <v>3345</v>
      </c>
      <c r="J298" s="153" t="s">
        <v>68</v>
      </c>
      <c r="K298" s="153" t="s">
        <v>59</v>
      </c>
      <c r="L298" s="155">
        <v>19472</v>
      </c>
      <c r="M298" s="153">
        <v>72</v>
      </c>
      <c r="N298" s="153" t="s">
        <v>3346</v>
      </c>
      <c r="O298" s="155">
        <v>48293</v>
      </c>
      <c r="P298" s="153" t="s">
        <v>5</v>
      </c>
      <c r="Q298" s="153"/>
      <c r="R298" s="162">
        <v>45913</v>
      </c>
      <c r="S298" s="163">
        <v>45918</v>
      </c>
      <c r="T298" s="164">
        <f t="shared" si="4"/>
        <v>5</v>
      </c>
      <c r="U298" s="153">
        <v>1</v>
      </c>
      <c r="V298" s="153">
        <v>1</v>
      </c>
      <c r="W298" s="153">
        <v>0</v>
      </c>
      <c r="X298" s="153">
        <v>1</v>
      </c>
      <c r="Y298" s="153">
        <v>0</v>
      </c>
      <c r="Z298" s="153">
        <v>0</v>
      </c>
      <c r="AA298" s="153">
        <v>1</v>
      </c>
      <c r="AB298" s="153"/>
      <c r="AC298" s="155">
        <v>45913</v>
      </c>
      <c r="AD298" s="156">
        <v>0.64583333333575865</v>
      </c>
      <c r="AE298" s="153" t="s">
        <v>312</v>
      </c>
      <c r="AF298" s="155">
        <v>45918</v>
      </c>
      <c r="AG298" s="156">
        <v>0.72569444444525288</v>
      </c>
      <c r="AH298" s="153" t="s">
        <v>313</v>
      </c>
      <c r="AI298" s="153" t="s">
        <v>3021</v>
      </c>
      <c r="AJ298" s="182"/>
      <c r="AK298" s="161" t="s">
        <v>3347</v>
      </c>
      <c r="AL298" s="153" t="s">
        <v>2306</v>
      </c>
      <c r="AM298" s="149" t="s">
        <v>65</v>
      </c>
      <c r="AN298" s="158"/>
      <c r="AO298" s="159"/>
      <c r="AQ298"/>
      <c r="AR298"/>
      <c r="AS298"/>
      <c r="AT298"/>
      <c r="AU298"/>
    </row>
    <row r="299" spans="1:47" s="151" customFormat="1" ht="14.25" customHeight="1">
      <c r="A299" s="139"/>
      <c r="B299" s="139"/>
      <c r="C299" s="152" t="str">
        <f>IF($X299=1,COUNTIF($C$10:C298,"&gt;0")+1,"")</f>
        <v/>
      </c>
      <c r="D299" s="323"/>
      <c r="E299" s="153" t="s">
        <v>3014</v>
      </c>
      <c r="F299" s="154" t="s">
        <v>3348</v>
      </c>
      <c r="G299" s="153" t="s">
        <v>3343</v>
      </c>
      <c r="H299" s="153" t="s">
        <v>3349</v>
      </c>
      <c r="I299" s="153" t="s">
        <v>3345</v>
      </c>
      <c r="J299" s="153" t="s">
        <v>58</v>
      </c>
      <c r="K299" s="153" t="s">
        <v>59</v>
      </c>
      <c r="L299" s="155">
        <v>39405</v>
      </c>
      <c r="M299" s="153">
        <v>17</v>
      </c>
      <c r="N299" s="153" t="s">
        <v>3350</v>
      </c>
      <c r="O299" s="155">
        <v>49067</v>
      </c>
      <c r="P299" s="153" t="s">
        <v>5</v>
      </c>
      <c r="Q299" s="153"/>
      <c r="R299" s="162">
        <v>45913</v>
      </c>
      <c r="S299" s="163">
        <v>45918</v>
      </c>
      <c r="T299" s="164">
        <f t="shared" si="4"/>
        <v>5</v>
      </c>
      <c r="U299" s="153">
        <v>1</v>
      </c>
      <c r="V299" s="153">
        <v>1</v>
      </c>
      <c r="W299" s="153">
        <v>0</v>
      </c>
      <c r="X299" s="153">
        <v>0</v>
      </c>
      <c r="Y299" s="153">
        <v>0</v>
      </c>
      <c r="Z299" s="153">
        <v>0</v>
      </c>
      <c r="AA299" s="153">
        <v>0</v>
      </c>
      <c r="AB299" s="153"/>
      <c r="AC299" s="155">
        <v>45913</v>
      </c>
      <c r="AD299" s="156">
        <v>0.64583333333575865</v>
      </c>
      <c r="AE299" s="153" t="s">
        <v>312</v>
      </c>
      <c r="AF299" s="155">
        <v>45918</v>
      </c>
      <c r="AG299" s="156">
        <v>0.72569444444525288</v>
      </c>
      <c r="AH299" s="153" t="s">
        <v>313</v>
      </c>
      <c r="AI299" s="153" t="s">
        <v>3021</v>
      </c>
      <c r="AJ299" s="182" t="s">
        <v>64</v>
      </c>
      <c r="AK299" s="161" t="s">
        <v>3347</v>
      </c>
      <c r="AL299" s="153" t="s">
        <v>2306</v>
      </c>
      <c r="AM299" s="149" t="s">
        <v>65</v>
      </c>
      <c r="AN299" s="158"/>
      <c r="AO299" s="159"/>
      <c r="AQ299"/>
      <c r="AR299"/>
      <c r="AS299"/>
      <c r="AT299"/>
      <c r="AU299"/>
    </row>
    <row r="300" spans="1:47" s="151" customFormat="1" ht="14.25" customHeight="1">
      <c r="A300" s="139"/>
      <c r="B300" s="139"/>
      <c r="C300" s="152">
        <f>IF($X300=1,COUNTIF($C$10:C299,"&gt;0")+1,"")</f>
        <v>142</v>
      </c>
      <c r="D300" s="322">
        <v>75988026</v>
      </c>
      <c r="E300" s="153" t="s">
        <v>3014</v>
      </c>
      <c r="F300" s="154" t="s">
        <v>3351</v>
      </c>
      <c r="G300" s="153" t="s">
        <v>3351</v>
      </c>
      <c r="H300" s="153" t="s">
        <v>3352</v>
      </c>
      <c r="I300" s="153" t="s">
        <v>3345</v>
      </c>
      <c r="J300" s="153" t="s">
        <v>68</v>
      </c>
      <c r="K300" s="153" t="s">
        <v>59</v>
      </c>
      <c r="L300" s="155">
        <v>29890</v>
      </c>
      <c r="M300" s="153">
        <v>43</v>
      </c>
      <c r="N300" s="153" t="s">
        <v>3353</v>
      </c>
      <c r="O300" s="155">
        <v>49058</v>
      </c>
      <c r="P300" s="153" t="s">
        <v>4</v>
      </c>
      <c r="Q300" s="153"/>
      <c r="R300" s="162">
        <v>45913</v>
      </c>
      <c r="S300" s="163">
        <v>45918</v>
      </c>
      <c r="T300" s="164">
        <f t="shared" si="4"/>
        <v>5</v>
      </c>
      <c r="U300" s="153">
        <v>1</v>
      </c>
      <c r="V300" s="153">
        <v>1</v>
      </c>
      <c r="W300" s="153">
        <v>0</v>
      </c>
      <c r="X300" s="153">
        <v>1</v>
      </c>
      <c r="Y300" s="153">
        <v>0</v>
      </c>
      <c r="Z300" s="153">
        <v>1</v>
      </c>
      <c r="AA300" s="153">
        <v>0</v>
      </c>
      <c r="AB300" s="153"/>
      <c r="AC300" s="155">
        <v>45913</v>
      </c>
      <c r="AD300" s="156">
        <v>0.64583333333575865</v>
      </c>
      <c r="AE300" s="153" t="s">
        <v>312</v>
      </c>
      <c r="AF300" s="155">
        <v>45918</v>
      </c>
      <c r="AG300" s="156">
        <v>0.72569444444525288</v>
      </c>
      <c r="AH300" s="153" t="s">
        <v>313</v>
      </c>
      <c r="AI300" s="153" t="s">
        <v>3021</v>
      </c>
      <c r="AJ300" s="182" t="s">
        <v>64</v>
      </c>
      <c r="AK300" s="161" t="s">
        <v>3347</v>
      </c>
      <c r="AL300" s="153" t="s">
        <v>2306</v>
      </c>
      <c r="AM300" s="149" t="s">
        <v>65</v>
      </c>
      <c r="AN300" s="158"/>
      <c r="AO300" s="159"/>
      <c r="AQ300"/>
      <c r="AR300"/>
      <c r="AS300"/>
      <c r="AT300"/>
      <c r="AU300"/>
    </row>
    <row r="301" spans="1:47" s="151" customFormat="1" ht="14.25" customHeight="1">
      <c r="A301" s="139"/>
      <c r="B301" s="139"/>
      <c r="C301" s="152" t="str">
        <f>IF($X301=1,COUNTIF($C$10:C300,"&gt;0")+1,"")</f>
        <v/>
      </c>
      <c r="D301" s="323"/>
      <c r="E301" s="153" t="s">
        <v>3014</v>
      </c>
      <c r="F301" s="154" t="s">
        <v>3354</v>
      </c>
      <c r="G301" s="153" t="s">
        <v>3351</v>
      </c>
      <c r="H301" s="153" t="s">
        <v>3355</v>
      </c>
      <c r="I301" s="153" t="s">
        <v>3356</v>
      </c>
      <c r="J301" s="153" t="s">
        <v>68</v>
      </c>
      <c r="K301" s="153" t="s">
        <v>59</v>
      </c>
      <c r="L301" s="155">
        <v>21960</v>
      </c>
      <c r="M301" s="153">
        <v>65</v>
      </c>
      <c r="N301" s="153" t="s">
        <v>3357</v>
      </c>
      <c r="O301" s="155">
        <v>46193</v>
      </c>
      <c r="P301" s="153" t="s">
        <v>4</v>
      </c>
      <c r="Q301" s="153"/>
      <c r="R301" s="162">
        <v>45913</v>
      </c>
      <c r="S301" s="163">
        <v>45918</v>
      </c>
      <c r="T301" s="164">
        <f t="shared" si="4"/>
        <v>5</v>
      </c>
      <c r="U301" s="153">
        <v>1</v>
      </c>
      <c r="V301" s="153">
        <v>1</v>
      </c>
      <c r="W301" s="153">
        <v>0</v>
      </c>
      <c r="X301" s="153">
        <v>0</v>
      </c>
      <c r="Y301" s="153">
        <v>0</v>
      </c>
      <c r="Z301" s="153">
        <v>0</v>
      </c>
      <c r="AA301" s="153">
        <v>0</v>
      </c>
      <c r="AB301" s="153"/>
      <c r="AC301" s="155">
        <v>45913</v>
      </c>
      <c r="AD301" s="156">
        <v>0.64583333333575865</v>
      </c>
      <c r="AE301" s="153" t="s">
        <v>312</v>
      </c>
      <c r="AF301" s="155">
        <v>45918</v>
      </c>
      <c r="AG301" s="156">
        <v>0.72569444444525288</v>
      </c>
      <c r="AH301" s="153" t="s">
        <v>313</v>
      </c>
      <c r="AI301" s="153" t="s">
        <v>3021</v>
      </c>
      <c r="AJ301" s="182" t="s">
        <v>64</v>
      </c>
      <c r="AK301" s="161" t="s">
        <v>3347</v>
      </c>
      <c r="AL301" s="153" t="s">
        <v>2306</v>
      </c>
      <c r="AM301" s="149" t="s">
        <v>65</v>
      </c>
      <c r="AN301" s="158"/>
      <c r="AO301" s="159"/>
      <c r="AQ301"/>
      <c r="AR301"/>
      <c r="AS301"/>
      <c r="AT301"/>
      <c r="AU301"/>
    </row>
    <row r="302" spans="1:47" s="151" customFormat="1" ht="14.25" customHeight="1">
      <c r="A302" s="139"/>
      <c r="B302" s="139"/>
      <c r="C302" s="152">
        <f>IF($X302=1,COUNTIF($C$10:C301,"&gt;0")+1,"")</f>
        <v>143</v>
      </c>
      <c r="D302" s="322">
        <v>75988049</v>
      </c>
      <c r="E302" s="153" t="s">
        <v>3014</v>
      </c>
      <c r="F302" s="154" t="s">
        <v>3358</v>
      </c>
      <c r="G302" s="153" t="s">
        <v>3351</v>
      </c>
      <c r="H302" s="153" t="s">
        <v>3359</v>
      </c>
      <c r="I302" s="153" t="s">
        <v>1216</v>
      </c>
      <c r="J302" s="153" t="s">
        <v>68</v>
      </c>
      <c r="K302" s="153" t="s">
        <v>59</v>
      </c>
      <c r="L302" s="155">
        <v>21597</v>
      </c>
      <c r="M302" s="153">
        <v>66</v>
      </c>
      <c r="N302" s="153" t="s">
        <v>3360</v>
      </c>
      <c r="O302" s="155">
        <v>46450</v>
      </c>
      <c r="P302" s="153" t="s">
        <v>4</v>
      </c>
      <c r="Q302" s="153"/>
      <c r="R302" s="162">
        <v>45913</v>
      </c>
      <c r="S302" s="163">
        <v>45918</v>
      </c>
      <c r="T302" s="164">
        <f t="shared" si="4"/>
        <v>5</v>
      </c>
      <c r="U302" s="153">
        <v>1</v>
      </c>
      <c r="V302" s="153">
        <v>1</v>
      </c>
      <c r="W302" s="153">
        <v>0</v>
      </c>
      <c r="X302" s="153">
        <v>1</v>
      </c>
      <c r="Y302" s="153">
        <v>0</v>
      </c>
      <c r="Z302" s="153">
        <v>1</v>
      </c>
      <c r="AA302" s="153">
        <v>0</v>
      </c>
      <c r="AB302" s="153"/>
      <c r="AC302" s="155">
        <v>45913</v>
      </c>
      <c r="AD302" s="156">
        <v>0.64583333333575865</v>
      </c>
      <c r="AE302" s="153" t="s">
        <v>312</v>
      </c>
      <c r="AF302" s="155">
        <v>45918</v>
      </c>
      <c r="AG302" s="156">
        <v>0.72569444444525288</v>
      </c>
      <c r="AH302" s="153" t="s">
        <v>313</v>
      </c>
      <c r="AI302" s="153" t="s">
        <v>3021</v>
      </c>
      <c r="AJ302" s="182" t="s">
        <v>64</v>
      </c>
      <c r="AK302" s="161" t="s">
        <v>3347</v>
      </c>
      <c r="AL302" s="153" t="s">
        <v>2306</v>
      </c>
      <c r="AM302" s="149" t="s">
        <v>65</v>
      </c>
      <c r="AN302" s="158"/>
      <c r="AO302" s="159"/>
      <c r="AQ302"/>
      <c r="AR302"/>
      <c r="AS302"/>
      <c r="AT302"/>
      <c r="AU302"/>
    </row>
    <row r="303" spans="1:47" s="151" customFormat="1" ht="14.25" customHeight="1">
      <c r="A303" s="139"/>
      <c r="B303" s="139"/>
      <c r="C303" s="152" t="str">
        <f>IF($X303=1,COUNTIF($C$10:C302,"&gt;0")+1,"")</f>
        <v/>
      </c>
      <c r="D303" s="323"/>
      <c r="E303" s="153" t="s">
        <v>3014</v>
      </c>
      <c r="F303" s="154" t="s">
        <v>3361</v>
      </c>
      <c r="G303" s="153" t="s">
        <v>3351</v>
      </c>
      <c r="H303" s="153" t="s">
        <v>3362</v>
      </c>
      <c r="I303" s="153" t="s">
        <v>3363</v>
      </c>
      <c r="J303" s="153" t="s">
        <v>68</v>
      </c>
      <c r="K303" s="153" t="s">
        <v>59</v>
      </c>
      <c r="L303" s="155">
        <v>40000</v>
      </c>
      <c r="M303" s="153">
        <v>16</v>
      </c>
      <c r="N303" s="153" t="s">
        <v>3364</v>
      </c>
      <c r="O303" s="155">
        <v>46361</v>
      </c>
      <c r="P303" s="153" t="s">
        <v>4</v>
      </c>
      <c r="Q303" s="153"/>
      <c r="R303" s="162">
        <v>45913</v>
      </c>
      <c r="S303" s="163">
        <v>45918</v>
      </c>
      <c r="T303" s="164">
        <f t="shared" si="4"/>
        <v>5</v>
      </c>
      <c r="U303" s="153">
        <v>1</v>
      </c>
      <c r="V303" s="153">
        <v>1</v>
      </c>
      <c r="W303" s="153">
        <v>0</v>
      </c>
      <c r="X303" s="153">
        <v>0</v>
      </c>
      <c r="Y303" s="153">
        <v>0</v>
      </c>
      <c r="Z303" s="153">
        <v>0</v>
      </c>
      <c r="AA303" s="153">
        <v>0</v>
      </c>
      <c r="AB303" s="153"/>
      <c r="AC303" s="155">
        <v>45913</v>
      </c>
      <c r="AD303" s="156">
        <v>0.64583333333575865</v>
      </c>
      <c r="AE303" s="153" t="s">
        <v>312</v>
      </c>
      <c r="AF303" s="155">
        <v>45918</v>
      </c>
      <c r="AG303" s="156">
        <v>0.72569444444525288</v>
      </c>
      <c r="AH303" s="153" t="s">
        <v>313</v>
      </c>
      <c r="AI303" s="153" t="s">
        <v>3021</v>
      </c>
      <c r="AJ303" s="182" t="s">
        <v>64</v>
      </c>
      <c r="AK303" s="161" t="s">
        <v>3347</v>
      </c>
      <c r="AL303" s="153" t="s">
        <v>2306</v>
      </c>
      <c r="AM303" s="149" t="s">
        <v>65</v>
      </c>
      <c r="AN303" s="158"/>
      <c r="AO303" s="159"/>
      <c r="AQ303"/>
      <c r="AR303"/>
      <c r="AS303"/>
      <c r="AT303"/>
      <c r="AU303"/>
    </row>
    <row r="304" spans="1:47" s="151" customFormat="1" ht="14.25" customHeight="1">
      <c r="A304" s="139"/>
      <c r="B304" s="139"/>
      <c r="C304" s="152">
        <f>IF($X304=1,COUNTIF($C$10:C303,"&gt;0")+1,"")</f>
        <v>144</v>
      </c>
      <c r="D304" s="322">
        <v>75988078</v>
      </c>
      <c r="E304" s="153" t="s">
        <v>3014</v>
      </c>
      <c r="F304" s="154" t="s">
        <v>3365</v>
      </c>
      <c r="G304" s="153" t="s">
        <v>3351</v>
      </c>
      <c r="H304" s="153" t="s">
        <v>3366</v>
      </c>
      <c r="I304" s="153" t="s">
        <v>3345</v>
      </c>
      <c r="J304" s="153" t="s">
        <v>58</v>
      </c>
      <c r="K304" s="153" t="s">
        <v>59</v>
      </c>
      <c r="L304" s="155">
        <v>29218</v>
      </c>
      <c r="M304" s="153">
        <v>45</v>
      </c>
      <c r="N304" s="153" t="s">
        <v>3367</v>
      </c>
      <c r="O304" s="155">
        <v>49342</v>
      </c>
      <c r="P304" s="153" t="s">
        <v>5</v>
      </c>
      <c r="Q304" s="153"/>
      <c r="R304" s="162">
        <v>45913</v>
      </c>
      <c r="S304" s="163">
        <v>45918</v>
      </c>
      <c r="T304" s="164">
        <f t="shared" si="4"/>
        <v>5</v>
      </c>
      <c r="U304" s="153">
        <v>1</v>
      </c>
      <c r="V304" s="153">
        <v>1</v>
      </c>
      <c r="W304" s="153">
        <v>0</v>
      </c>
      <c r="X304" s="153">
        <v>1</v>
      </c>
      <c r="Y304" s="153">
        <v>0</v>
      </c>
      <c r="Z304" s="153">
        <v>0</v>
      </c>
      <c r="AA304" s="153">
        <v>1</v>
      </c>
      <c r="AB304" s="153"/>
      <c r="AC304" s="155">
        <v>45913</v>
      </c>
      <c r="AD304" s="156">
        <v>0.64583333333575865</v>
      </c>
      <c r="AE304" s="153" t="s">
        <v>312</v>
      </c>
      <c r="AF304" s="155">
        <v>45918</v>
      </c>
      <c r="AG304" s="156">
        <v>0.72569444444525288</v>
      </c>
      <c r="AH304" s="153" t="s">
        <v>313</v>
      </c>
      <c r="AI304" s="153" t="s">
        <v>3021</v>
      </c>
      <c r="AJ304" s="182" t="s">
        <v>64</v>
      </c>
      <c r="AK304" s="161" t="s">
        <v>3347</v>
      </c>
      <c r="AL304" s="153" t="s">
        <v>2306</v>
      </c>
      <c r="AM304" s="149" t="s">
        <v>65</v>
      </c>
      <c r="AN304" s="158"/>
      <c r="AO304" s="159"/>
      <c r="AQ304"/>
      <c r="AR304"/>
      <c r="AS304"/>
      <c r="AT304"/>
      <c r="AU304"/>
    </row>
    <row r="305" spans="1:47" s="151" customFormat="1" ht="14.25" customHeight="1">
      <c r="A305" s="139"/>
      <c r="B305" s="139"/>
      <c r="C305" s="152" t="str">
        <f>IF($X305=1,COUNTIF($C$10:C304,"&gt;0")+1,"")</f>
        <v/>
      </c>
      <c r="D305" s="323"/>
      <c r="E305" s="153" t="s">
        <v>3014</v>
      </c>
      <c r="F305" s="154" t="s">
        <v>3368</v>
      </c>
      <c r="G305" s="153" t="s">
        <v>3351</v>
      </c>
      <c r="H305" s="153" t="s">
        <v>3369</v>
      </c>
      <c r="I305" s="153" t="s">
        <v>3345</v>
      </c>
      <c r="J305" s="153" t="s">
        <v>68</v>
      </c>
      <c r="K305" s="153" t="s">
        <v>59</v>
      </c>
      <c r="L305" s="155">
        <v>41389</v>
      </c>
      <c r="M305" s="153">
        <v>12</v>
      </c>
      <c r="N305" s="153" t="s">
        <v>3370</v>
      </c>
      <c r="O305" s="155">
        <v>47317</v>
      </c>
      <c r="P305" s="153" t="s">
        <v>5</v>
      </c>
      <c r="Q305" s="153"/>
      <c r="R305" s="162">
        <v>45913</v>
      </c>
      <c r="S305" s="163">
        <v>45918</v>
      </c>
      <c r="T305" s="164">
        <f t="shared" si="4"/>
        <v>5</v>
      </c>
      <c r="U305" s="153">
        <v>1</v>
      </c>
      <c r="V305" s="153">
        <v>1</v>
      </c>
      <c r="W305" s="153">
        <v>0</v>
      </c>
      <c r="X305" s="153">
        <v>0</v>
      </c>
      <c r="Y305" s="153">
        <v>0</v>
      </c>
      <c r="Z305" s="153">
        <v>0</v>
      </c>
      <c r="AA305" s="153">
        <v>0</v>
      </c>
      <c r="AB305" s="153"/>
      <c r="AC305" s="155">
        <v>45913</v>
      </c>
      <c r="AD305" s="156">
        <v>0.64583333333575865</v>
      </c>
      <c r="AE305" s="153" t="s">
        <v>312</v>
      </c>
      <c r="AF305" s="155">
        <v>45918</v>
      </c>
      <c r="AG305" s="156">
        <v>0.72569444444525288</v>
      </c>
      <c r="AH305" s="153" t="s">
        <v>313</v>
      </c>
      <c r="AI305" s="153" t="s">
        <v>3021</v>
      </c>
      <c r="AJ305" s="182" t="s">
        <v>64</v>
      </c>
      <c r="AK305" s="161" t="s">
        <v>3347</v>
      </c>
      <c r="AL305" s="153" t="s">
        <v>2306</v>
      </c>
      <c r="AM305" s="149" t="s">
        <v>65</v>
      </c>
      <c r="AN305" s="158"/>
      <c r="AO305" s="159"/>
      <c r="AQ305"/>
      <c r="AR305"/>
      <c r="AS305"/>
      <c r="AT305"/>
      <c r="AU305"/>
    </row>
    <row r="306" spans="1:47" s="151" customFormat="1" ht="14.25" customHeight="1">
      <c r="A306" s="139"/>
      <c r="B306" s="139"/>
      <c r="C306" s="152">
        <f>IF($X306=1,COUNTIF($C$10:C305,"&gt;0")+1,"")</f>
        <v>145</v>
      </c>
      <c r="D306" s="322">
        <v>75988116</v>
      </c>
      <c r="E306" s="153" t="s">
        <v>3014</v>
      </c>
      <c r="F306" s="154" t="s">
        <v>3371</v>
      </c>
      <c r="G306" s="153" t="s">
        <v>3371</v>
      </c>
      <c r="H306" s="153" t="s">
        <v>3372</v>
      </c>
      <c r="I306" s="153" t="s">
        <v>3373</v>
      </c>
      <c r="J306" s="153" t="s">
        <v>68</v>
      </c>
      <c r="K306" s="153" t="s">
        <v>59</v>
      </c>
      <c r="L306" s="155">
        <v>20560</v>
      </c>
      <c r="M306" s="153">
        <v>69</v>
      </c>
      <c r="N306" s="153" t="s">
        <v>3374</v>
      </c>
      <c r="O306" s="155">
        <v>46519</v>
      </c>
      <c r="P306" s="153" t="s">
        <v>5</v>
      </c>
      <c r="Q306" s="153"/>
      <c r="R306" s="162">
        <v>45913</v>
      </c>
      <c r="S306" s="163">
        <v>45918</v>
      </c>
      <c r="T306" s="164">
        <f t="shared" si="4"/>
        <v>5</v>
      </c>
      <c r="U306" s="153">
        <v>1</v>
      </c>
      <c r="V306" s="153">
        <v>1</v>
      </c>
      <c r="W306" s="153">
        <v>0</v>
      </c>
      <c r="X306" s="153">
        <v>1</v>
      </c>
      <c r="Y306" s="153">
        <v>0</v>
      </c>
      <c r="Z306" s="153">
        <v>0</v>
      </c>
      <c r="AA306" s="153">
        <v>1</v>
      </c>
      <c r="AB306" s="153"/>
      <c r="AC306" s="155">
        <v>45913</v>
      </c>
      <c r="AD306" s="156">
        <v>0.64583333333575865</v>
      </c>
      <c r="AE306" s="153" t="s">
        <v>312</v>
      </c>
      <c r="AF306" s="155">
        <v>45918</v>
      </c>
      <c r="AG306" s="156">
        <v>0.72569444444525288</v>
      </c>
      <c r="AH306" s="153" t="s">
        <v>313</v>
      </c>
      <c r="AI306" s="153" t="s">
        <v>3021</v>
      </c>
      <c r="AJ306" s="153" t="s">
        <v>64</v>
      </c>
      <c r="AK306" s="153" t="s">
        <v>64</v>
      </c>
      <c r="AL306" s="153" t="s">
        <v>2306</v>
      </c>
      <c r="AM306" s="149" t="s">
        <v>65</v>
      </c>
      <c r="AN306" s="158"/>
      <c r="AO306" s="159"/>
      <c r="AQ306"/>
      <c r="AR306"/>
      <c r="AS306"/>
      <c r="AT306"/>
      <c r="AU306"/>
    </row>
    <row r="307" spans="1:47" s="151" customFormat="1" ht="14.25" customHeight="1">
      <c r="A307" s="139"/>
      <c r="B307" s="139"/>
      <c r="C307" s="152" t="str">
        <f>IF($X307=1,COUNTIF($C$10:C306,"&gt;0")+1,"")</f>
        <v/>
      </c>
      <c r="D307" s="324"/>
      <c r="E307" s="153" t="s">
        <v>3014</v>
      </c>
      <c r="F307" s="154" t="s">
        <v>3375</v>
      </c>
      <c r="G307" s="153" t="s">
        <v>3371</v>
      </c>
      <c r="H307" s="153" t="s">
        <v>3376</v>
      </c>
      <c r="I307" s="153" t="s">
        <v>3377</v>
      </c>
      <c r="J307" s="153" t="s">
        <v>68</v>
      </c>
      <c r="K307" s="153" t="s">
        <v>59</v>
      </c>
      <c r="L307" s="155">
        <v>21004</v>
      </c>
      <c r="M307" s="153">
        <v>68</v>
      </c>
      <c r="N307" s="153" t="s">
        <v>3378</v>
      </c>
      <c r="O307" s="155">
        <v>46567</v>
      </c>
      <c r="P307" s="153" t="s">
        <v>5</v>
      </c>
      <c r="Q307" s="153"/>
      <c r="R307" s="162">
        <v>45913</v>
      </c>
      <c r="S307" s="163">
        <v>45918</v>
      </c>
      <c r="T307" s="164">
        <f t="shared" si="4"/>
        <v>5</v>
      </c>
      <c r="U307" s="153">
        <v>1</v>
      </c>
      <c r="V307" s="153">
        <v>1</v>
      </c>
      <c r="W307" s="153">
        <v>0</v>
      </c>
      <c r="X307" s="153">
        <v>0</v>
      </c>
      <c r="Y307" s="153">
        <v>0</v>
      </c>
      <c r="Z307" s="153">
        <v>0</v>
      </c>
      <c r="AA307" s="153">
        <v>0</v>
      </c>
      <c r="AB307" s="153"/>
      <c r="AC307" s="155">
        <v>45913</v>
      </c>
      <c r="AD307" s="156">
        <v>0.64583333333575865</v>
      </c>
      <c r="AE307" s="153" t="s">
        <v>312</v>
      </c>
      <c r="AF307" s="155">
        <v>45918</v>
      </c>
      <c r="AG307" s="156">
        <v>0.72569444444525288</v>
      </c>
      <c r="AH307" s="153" t="s">
        <v>313</v>
      </c>
      <c r="AI307" s="153" t="s">
        <v>3021</v>
      </c>
      <c r="AJ307" s="153" t="s">
        <v>64</v>
      </c>
      <c r="AK307" s="153" t="s">
        <v>64</v>
      </c>
      <c r="AL307" s="153" t="s">
        <v>2306</v>
      </c>
      <c r="AM307" s="149" t="s">
        <v>65</v>
      </c>
      <c r="AN307" s="158"/>
      <c r="AO307" s="159"/>
      <c r="AQ307"/>
      <c r="AR307"/>
      <c r="AS307"/>
      <c r="AT307"/>
      <c r="AU307"/>
    </row>
    <row r="308" spans="1:47" s="151" customFormat="1" ht="14.25" customHeight="1">
      <c r="A308" s="139"/>
      <c r="B308" s="139"/>
      <c r="C308" s="152" t="str">
        <f>IF($X308=1,COUNTIF($C$10:C307,"&gt;0")+1,"")</f>
        <v/>
      </c>
      <c r="D308" s="323"/>
      <c r="E308" s="153" t="s">
        <v>3014</v>
      </c>
      <c r="F308" s="154" t="s">
        <v>3379</v>
      </c>
      <c r="G308" s="153" t="s">
        <v>3371</v>
      </c>
      <c r="H308" s="153" t="s">
        <v>3380</v>
      </c>
      <c r="I308" s="153" t="s">
        <v>3381</v>
      </c>
      <c r="J308" s="153" t="s">
        <v>68</v>
      </c>
      <c r="K308" s="153" t="s">
        <v>59</v>
      </c>
      <c r="L308" s="155">
        <v>41578</v>
      </c>
      <c r="M308" s="153">
        <v>11</v>
      </c>
      <c r="N308" s="153" t="s">
        <v>3382</v>
      </c>
      <c r="O308" s="155">
        <v>46939</v>
      </c>
      <c r="P308" s="153" t="s">
        <v>5</v>
      </c>
      <c r="Q308" s="153"/>
      <c r="R308" s="162">
        <v>45913</v>
      </c>
      <c r="S308" s="163">
        <v>45918</v>
      </c>
      <c r="T308" s="164">
        <f t="shared" si="4"/>
        <v>5</v>
      </c>
      <c r="U308" s="153">
        <v>1</v>
      </c>
      <c r="V308" s="153">
        <v>0</v>
      </c>
      <c r="W308" s="153">
        <v>1</v>
      </c>
      <c r="X308" s="153">
        <v>0</v>
      </c>
      <c r="Y308" s="153">
        <v>0</v>
      </c>
      <c r="Z308" s="153">
        <v>0</v>
      </c>
      <c r="AA308" s="153">
        <v>0</v>
      </c>
      <c r="AB308" s="153"/>
      <c r="AC308" s="155">
        <v>45913</v>
      </c>
      <c r="AD308" s="156">
        <v>0.64583333333575865</v>
      </c>
      <c r="AE308" s="153" t="s">
        <v>312</v>
      </c>
      <c r="AF308" s="155">
        <v>45918</v>
      </c>
      <c r="AG308" s="156">
        <v>0.72569444444525288</v>
      </c>
      <c r="AH308" s="153" t="s">
        <v>313</v>
      </c>
      <c r="AI308" s="153" t="s">
        <v>3021</v>
      </c>
      <c r="AJ308" s="153" t="s">
        <v>64</v>
      </c>
      <c r="AK308" s="153" t="s">
        <v>64</v>
      </c>
      <c r="AL308" s="153" t="s">
        <v>2306</v>
      </c>
      <c r="AM308" s="149" t="s">
        <v>65</v>
      </c>
      <c r="AN308" s="158"/>
      <c r="AO308" s="159"/>
      <c r="AQ308"/>
      <c r="AR308"/>
      <c r="AS308"/>
      <c r="AT308"/>
      <c r="AU308"/>
    </row>
    <row r="309" spans="1:47" s="151" customFormat="1" ht="14.25" customHeight="1">
      <c r="A309" s="139"/>
      <c r="B309" s="139"/>
      <c r="C309" s="152">
        <f>IF($X309=1,COUNTIF($C$10:C308,"&gt;0")+1,"")</f>
        <v>146</v>
      </c>
      <c r="D309" s="153">
        <v>75988163</v>
      </c>
      <c r="E309" s="153" t="s">
        <v>3014</v>
      </c>
      <c r="F309" s="154" t="s">
        <v>3383</v>
      </c>
      <c r="G309" s="153" t="s">
        <v>3383</v>
      </c>
      <c r="H309" s="153" t="s">
        <v>3384</v>
      </c>
      <c r="I309" s="153" t="s">
        <v>3385</v>
      </c>
      <c r="J309" s="153" t="s">
        <v>58</v>
      </c>
      <c r="K309" s="153" t="s">
        <v>59</v>
      </c>
      <c r="L309" s="155">
        <v>27038</v>
      </c>
      <c r="M309" s="153">
        <v>51</v>
      </c>
      <c r="N309" s="153" t="s">
        <v>3386</v>
      </c>
      <c r="O309" s="155">
        <v>46280</v>
      </c>
      <c r="P309" s="153" t="s">
        <v>3</v>
      </c>
      <c r="Q309" s="153"/>
      <c r="R309" s="162">
        <v>45913</v>
      </c>
      <c r="S309" s="163">
        <v>45918</v>
      </c>
      <c r="T309" s="164">
        <f t="shared" si="4"/>
        <v>5</v>
      </c>
      <c r="U309" s="153">
        <v>1</v>
      </c>
      <c r="V309" s="153">
        <v>1</v>
      </c>
      <c r="W309" s="153">
        <v>0</v>
      </c>
      <c r="X309" s="153">
        <v>1</v>
      </c>
      <c r="Y309" s="153">
        <v>1</v>
      </c>
      <c r="Z309" s="153">
        <v>0</v>
      </c>
      <c r="AA309" s="153">
        <v>0</v>
      </c>
      <c r="AB309" s="153"/>
      <c r="AC309" s="155">
        <v>45913</v>
      </c>
      <c r="AD309" s="156">
        <v>0.64583333333575865</v>
      </c>
      <c r="AE309" s="153" t="s">
        <v>312</v>
      </c>
      <c r="AF309" s="155">
        <v>45924</v>
      </c>
      <c r="AG309" s="156">
        <v>0.72569444444525288</v>
      </c>
      <c r="AH309" s="153" t="s">
        <v>313</v>
      </c>
      <c r="AI309" s="153" t="s">
        <v>3021</v>
      </c>
      <c r="AJ309" s="153" t="s">
        <v>64</v>
      </c>
      <c r="AK309" s="153"/>
      <c r="AL309" s="153" t="s">
        <v>2306</v>
      </c>
      <c r="AM309" s="149" t="s">
        <v>65</v>
      </c>
      <c r="AN309" s="158"/>
      <c r="AO309" s="159"/>
      <c r="AQ309"/>
      <c r="AR309"/>
      <c r="AS309"/>
      <c r="AT309"/>
      <c r="AU309"/>
    </row>
    <row r="310" spans="1:47" s="151" customFormat="1" ht="14.25" customHeight="1">
      <c r="A310" s="139"/>
      <c r="B310" s="139"/>
      <c r="C310" s="152">
        <f>IF($X310=1,COUNTIF($C$10:C309,"&gt;0")+1,"")</f>
        <v>147</v>
      </c>
      <c r="D310" s="153">
        <v>75988193</v>
      </c>
      <c r="E310" s="153" t="s">
        <v>3014</v>
      </c>
      <c r="F310" s="154" t="s">
        <v>3387</v>
      </c>
      <c r="G310" s="153" t="s">
        <v>3387</v>
      </c>
      <c r="H310" s="153" t="s">
        <v>3388</v>
      </c>
      <c r="I310" s="153" t="s">
        <v>3389</v>
      </c>
      <c r="J310" s="153" t="s">
        <v>58</v>
      </c>
      <c r="K310" s="153" t="s">
        <v>59</v>
      </c>
      <c r="L310" s="155">
        <v>30029</v>
      </c>
      <c r="M310" s="153">
        <v>43</v>
      </c>
      <c r="N310" s="153" t="s">
        <v>3390</v>
      </c>
      <c r="O310" s="155">
        <v>47043</v>
      </c>
      <c r="P310" s="153" t="s">
        <v>3</v>
      </c>
      <c r="Q310" s="153"/>
      <c r="R310" s="162">
        <v>45913</v>
      </c>
      <c r="S310" s="163">
        <v>45918</v>
      </c>
      <c r="T310" s="164">
        <f t="shared" si="4"/>
        <v>5</v>
      </c>
      <c r="U310" s="153">
        <v>1</v>
      </c>
      <c r="V310" s="153">
        <v>1</v>
      </c>
      <c r="W310" s="153">
        <v>0</v>
      </c>
      <c r="X310" s="153">
        <v>1</v>
      </c>
      <c r="Y310" s="153">
        <v>1</v>
      </c>
      <c r="Z310" s="153">
        <v>0</v>
      </c>
      <c r="AA310" s="153">
        <v>0</v>
      </c>
      <c r="AB310" s="153"/>
      <c r="AC310" s="155">
        <v>45912</v>
      </c>
      <c r="AD310" s="156">
        <v>0.64583333333575865</v>
      </c>
      <c r="AE310" s="153" t="s">
        <v>312</v>
      </c>
      <c r="AF310" s="155">
        <v>45918</v>
      </c>
      <c r="AG310" s="156">
        <v>0.72569444444525288</v>
      </c>
      <c r="AH310" s="153" t="s">
        <v>313</v>
      </c>
      <c r="AI310" s="153" t="s">
        <v>3021</v>
      </c>
      <c r="AJ310" s="153" t="s">
        <v>64</v>
      </c>
      <c r="AK310" s="153" t="s">
        <v>64</v>
      </c>
      <c r="AL310" s="153" t="s">
        <v>2306</v>
      </c>
      <c r="AM310" s="149" t="s">
        <v>65</v>
      </c>
      <c r="AN310" s="158"/>
      <c r="AO310" s="159"/>
      <c r="AQ310"/>
      <c r="AR310"/>
      <c r="AS310"/>
      <c r="AT310"/>
      <c r="AU310"/>
    </row>
    <row r="311" spans="1:47" s="151" customFormat="1" ht="14.25" customHeight="1">
      <c r="A311" s="139"/>
      <c r="B311" s="139"/>
      <c r="C311" s="152">
        <f>IF($X311=1,COUNTIF($C$10:C310,"&gt;0")+1,"")</f>
        <v>148</v>
      </c>
      <c r="D311" s="153">
        <v>75988219</v>
      </c>
      <c r="E311" s="153" t="s">
        <v>3014</v>
      </c>
      <c r="F311" s="154" t="s">
        <v>3391</v>
      </c>
      <c r="G311" s="153" t="s">
        <v>3391</v>
      </c>
      <c r="H311" s="153" t="s">
        <v>3392</v>
      </c>
      <c r="I311" s="153" t="s">
        <v>3393</v>
      </c>
      <c r="J311" s="153" t="s">
        <v>68</v>
      </c>
      <c r="K311" s="153" t="s">
        <v>59</v>
      </c>
      <c r="L311" s="155">
        <v>34505</v>
      </c>
      <c r="M311" s="153">
        <v>31</v>
      </c>
      <c r="N311" s="153" t="s">
        <v>3394</v>
      </c>
      <c r="O311" s="155">
        <v>48864</v>
      </c>
      <c r="P311" s="153" t="s">
        <v>3</v>
      </c>
      <c r="Q311" s="153"/>
      <c r="R311" s="162">
        <v>45913</v>
      </c>
      <c r="S311" s="163">
        <v>45918</v>
      </c>
      <c r="T311" s="164">
        <f t="shared" si="4"/>
        <v>5</v>
      </c>
      <c r="U311" s="153">
        <v>1</v>
      </c>
      <c r="V311" s="153">
        <v>1</v>
      </c>
      <c r="W311" s="153">
        <v>0</v>
      </c>
      <c r="X311" s="153">
        <v>1</v>
      </c>
      <c r="Y311" s="153">
        <v>1</v>
      </c>
      <c r="Z311" s="153">
        <v>0</v>
      </c>
      <c r="AA311" s="153">
        <v>0</v>
      </c>
      <c r="AB311" s="153"/>
      <c r="AC311" s="155">
        <v>45913</v>
      </c>
      <c r="AD311" s="156">
        <v>0.64583333333575865</v>
      </c>
      <c r="AE311" s="153" t="s">
        <v>312</v>
      </c>
      <c r="AF311" s="155">
        <v>45918</v>
      </c>
      <c r="AG311" s="156">
        <v>0.72569444444525288</v>
      </c>
      <c r="AH311" s="153" t="s">
        <v>313</v>
      </c>
      <c r="AI311" s="153" t="s">
        <v>3021</v>
      </c>
      <c r="AJ311" s="153" t="s">
        <v>64</v>
      </c>
      <c r="AK311" s="153" t="s">
        <v>64</v>
      </c>
      <c r="AL311" s="153" t="s">
        <v>2306</v>
      </c>
      <c r="AM311" s="149" t="s">
        <v>65</v>
      </c>
      <c r="AN311" s="158"/>
      <c r="AO311" s="159"/>
      <c r="AQ311"/>
      <c r="AR311"/>
      <c r="AS311"/>
      <c r="AT311"/>
      <c r="AU311"/>
    </row>
    <row r="312" spans="1:47" s="151" customFormat="1" ht="14.25" customHeight="1">
      <c r="A312" s="139"/>
      <c r="B312" s="139"/>
      <c r="C312" s="152">
        <f>IF($X312=1,COUNTIF($C$10:C311,"&gt;0")+1,"")</f>
        <v>149</v>
      </c>
      <c r="D312" s="153">
        <v>75988244</v>
      </c>
      <c r="E312" s="153" t="s">
        <v>3014</v>
      </c>
      <c r="F312" s="154" t="s">
        <v>3395</v>
      </c>
      <c r="G312" s="153" t="s">
        <v>3395</v>
      </c>
      <c r="H312" s="153" t="s">
        <v>3396</v>
      </c>
      <c r="I312" s="153" t="s">
        <v>3397</v>
      </c>
      <c r="J312" s="153" t="s">
        <v>58</v>
      </c>
      <c r="K312" s="153" t="s">
        <v>59</v>
      </c>
      <c r="L312" s="155">
        <v>31905</v>
      </c>
      <c r="M312" s="153">
        <v>38</v>
      </c>
      <c r="N312" s="153" t="s">
        <v>3398</v>
      </c>
      <c r="O312" s="155">
        <v>48988</v>
      </c>
      <c r="P312" s="153" t="s">
        <v>3</v>
      </c>
      <c r="Q312" s="153"/>
      <c r="R312" s="162">
        <v>45913</v>
      </c>
      <c r="S312" s="163">
        <v>45918</v>
      </c>
      <c r="T312" s="164">
        <f t="shared" si="4"/>
        <v>5</v>
      </c>
      <c r="U312" s="153">
        <v>1</v>
      </c>
      <c r="V312" s="153">
        <v>1</v>
      </c>
      <c r="W312" s="153">
        <v>0</v>
      </c>
      <c r="X312" s="153">
        <v>1</v>
      </c>
      <c r="Y312" s="153">
        <v>1</v>
      </c>
      <c r="Z312" s="153">
        <v>0</v>
      </c>
      <c r="AA312" s="153">
        <v>0</v>
      </c>
      <c r="AB312" s="153"/>
      <c r="AC312" s="155">
        <v>45913</v>
      </c>
      <c r="AD312" s="156">
        <v>0.64583333333575865</v>
      </c>
      <c r="AE312" s="153" t="s">
        <v>312</v>
      </c>
      <c r="AF312" s="155">
        <v>45918</v>
      </c>
      <c r="AG312" s="156">
        <v>0.72569444444525288</v>
      </c>
      <c r="AH312" s="153" t="s">
        <v>313</v>
      </c>
      <c r="AI312" s="153" t="s">
        <v>3021</v>
      </c>
      <c r="AJ312" s="153" t="s">
        <v>64</v>
      </c>
      <c r="AK312" s="153" t="s">
        <v>64</v>
      </c>
      <c r="AL312" s="153" t="s">
        <v>2306</v>
      </c>
      <c r="AM312" s="149" t="s">
        <v>65</v>
      </c>
      <c r="AN312" s="158"/>
      <c r="AO312" s="159"/>
      <c r="AQ312"/>
      <c r="AR312"/>
      <c r="AS312"/>
      <c r="AT312"/>
      <c r="AU312"/>
    </row>
    <row r="313" spans="1:47" s="151" customFormat="1" ht="14.25" customHeight="1">
      <c r="A313" s="139"/>
      <c r="B313" s="139"/>
      <c r="C313" s="152">
        <f>IF($X313=1,COUNTIF($C$10:C312,"&gt;0")+1,"")</f>
        <v>150</v>
      </c>
      <c r="D313" s="322">
        <v>75988278</v>
      </c>
      <c r="E313" s="153" t="s">
        <v>3014</v>
      </c>
      <c r="F313" s="154" t="s">
        <v>3399</v>
      </c>
      <c r="G313" s="153" t="s">
        <v>3399</v>
      </c>
      <c r="H313" s="153" t="s">
        <v>3400</v>
      </c>
      <c r="I313" s="153" t="s">
        <v>3401</v>
      </c>
      <c r="J313" s="153" t="s">
        <v>58</v>
      </c>
      <c r="K313" s="153" t="s">
        <v>59</v>
      </c>
      <c r="L313" s="155">
        <v>27491</v>
      </c>
      <c r="M313" s="153">
        <v>50</v>
      </c>
      <c r="N313" s="153" t="s">
        <v>3402</v>
      </c>
      <c r="O313" s="155">
        <v>48636</v>
      </c>
      <c r="P313" s="153" t="s">
        <v>4</v>
      </c>
      <c r="Q313" s="153"/>
      <c r="R313" s="162">
        <v>45913</v>
      </c>
      <c r="S313" s="163">
        <v>45918</v>
      </c>
      <c r="T313" s="164">
        <f t="shared" si="4"/>
        <v>5</v>
      </c>
      <c r="U313" s="153">
        <v>1</v>
      </c>
      <c r="V313" s="153">
        <v>1</v>
      </c>
      <c r="W313" s="153">
        <v>0</v>
      </c>
      <c r="X313" s="153">
        <v>1</v>
      </c>
      <c r="Y313" s="153">
        <v>0</v>
      </c>
      <c r="Z313" s="153">
        <v>1</v>
      </c>
      <c r="AA313" s="153">
        <v>0</v>
      </c>
      <c r="AB313" s="153"/>
      <c r="AC313" s="155">
        <v>45913</v>
      </c>
      <c r="AD313" s="156">
        <v>0.64583333333575865</v>
      </c>
      <c r="AE313" s="153" t="s">
        <v>312</v>
      </c>
      <c r="AF313" s="155" t="s">
        <v>64</v>
      </c>
      <c r="AG313" s="156" t="s">
        <v>64</v>
      </c>
      <c r="AH313" s="153" t="s">
        <v>1058</v>
      </c>
      <c r="AI313" s="153" t="s">
        <v>3021</v>
      </c>
      <c r="AJ313" s="153" t="s">
        <v>64</v>
      </c>
      <c r="AK313" s="153" t="s">
        <v>64</v>
      </c>
      <c r="AL313" s="153" t="s">
        <v>2306</v>
      </c>
      <c r="AM313" s="149" t="s">
        <v>65</v>
      </c>
      <c r="AN313" s="158"/>
      <c r="AO313" s="159"/>
      <c r="AQ313"/>
      <c r="AR313"/>
      <c r="AS313"/>
      <c r="AT313"/>
      <c r="AU313"/>
    </row>
    <row r="314" spans="1:47" s="151" customFormat="1" ht="14.25" customHeight="1">
      <c r="A314" s="139"/>
      <c r="B314" s="139"/>
      <c r="C314" s="152" t="str">
        <f>IF($X314=1,COUNTIF($C$10:C313,"&gt;0")+1,"")</f>
        <v/>
      </c>
      <c r="D314" s="323"/>
      <c r="E314" s="153" t="s">
        <v>3014</v>
      </c>
      <c r="F314" s="154" t="s">
        <v>3403</v>
      </c>
      <c r="G314" s="153" t="s">
        <v>3399</v>
      </c>
      <c r="H314" s="153" t="s">
        <v>3404</v>
      </c>
      <c r="I314" s="153" t="s">
        <v>3405</v>
      </c>
      <c r="J314" s="153" t="s">
        <v>58</v>
      </c>
      <c r="K314" s="153" t="s">
        <v>59</v>
      </c>
      <c r="L314" s="155">
        <v>23273</v>
      </c>
      <c r="M314" s="153">
        <v>61</v>
      </c>
      <c r="N314" s="153" t="s">
        <v>3406</v>
      </c>
      <c r="O314" s="155">
        <v>46481</v>
      </c>
      <c r="P314" s="153" t="s">
        <v>4</v>
      </c>
      <c r="Q314" s="153"/>
      <c r="R314" s="162">
        <v>45913</v>
      </c>
      <c r="S314" s="163">
        <v>45918</v>
      </c>
      <c r="T314" s="164">
        <f t="shared" si="4"/>
        <v>5</v>
      </c>
      <c r="U314" s="153">
        <v>1</v>
      </c>
      <c r="V314" s="153">
        <v>1</v>
      </c>
      <c r="W314" s="153">
        <v>0</v>
      </c>
      <c r="X314" s="153">
        <v>0</v>
      </c>
      <c r="Y314" s="153">
        <v>0</v>
      </c>
      <c r="Z314" s="153">
        <v>0</v>
      </c>
      <c r="AA314" s="153">
        <v>0</v>
      </c>
      <c r="AB314" s="153"/>
      <c r="AC314" s="155">
        <v>45913</v>
      </c>
      <c r="AD314" s="156">
        <v>0.64583333333575865</v>
      </c>
      <c r="AE314" s="153" t="s">
        <v>312</v>
      </c>
      <c r="AF314" s="155" t="s">
        <v>64</v>
      </c>
      <c r="AG314" s="156" t="s">
        <v>64</v>
      </c>
      <c r="AH314" s="153" t="s">
        <v>1058</v>
      </c>
      <c r="AI314" s="153" t="s">
        <v>3021</v>
      </c>
      <c r="AJ314" s="153" t="s">
        <v>64</v>
      </c>
      <c r="AK314" s="153" t="s">
        <v>64</v>
      </c>
      <c r="AL314" s="153" t="s">
        <v>2306</v>
      </c>
      <c r="AM314" s="149" t="s">
        <v>65</v>
      </c>
      <c r="AN314" s="158"/>
      <c r="AO314" s="159"/>
      <c r="AQ314"/>
      <c r="AR314"/>
      <c r="AS314"/>
      <c r="AT314"/>
      <c r="AU314"/>
    </row>
    <row r="315" spans="1:47" s="151" customFormat="1" ht="14.25" customHeight="1">
      <c r="A315" s="139"/>
      <c r="B315" s="139"/>
      <c r="C315" s="152">
        <f>IF($X315=1,COUNTIF($C$10:C314,"&gt;0")+1,"")</f>
        <v>151</v>
      </c>
      <c r="D315" s="322">
        <v>75988298</v>
      </c>
      <c r="E315" s="153" t="s">
        <v>3014</v>
      </c>
      <c r="F315" s="154" t="s">
        <v>3407</v>
      </c>
      <c r="G315" s="153" t="s">
        <v>3407</v>
      </c>
      <c r="H315" s="153" t="s">
        <v>3408</v>
      </c>
      <c r="I315" s="153" t="s">
        <v>2326</v>
      </c>
      <c r="J315" s="153" t="s">
        <v>68</v>
      </c>
      <c r="K315" s="153" t="s">
        <v>59</v>
      </c>
      <c r="L315" s="155">
        <v>24386</v>
      </c>
      <c r="M315" s="153">
        <v>58</v>
      </c>
      <c r="N315" s="153" t="s">
        <v>3409</v>
      </c>
      <c r="O315" s="155">
        <v>48850</v>
      </c>
      <c r="P315" s="153" t="s">
        <v>4</v>
      </c>
      <c r="Q315" s="153"/>
      <c r="R315" s="162">
        <v>45913</v>
      </c>
      <c r="S315" s="163">
        <v>45918</v>
      </c>
      <c r="T315" s="164">
        <f t="shared" si="4"/>
        <v>5</v>
      </c>
      <c r="U315" s="153">
        <v>1</v>
      </c>
      <c r="V315" s="153">
        <v>1</v>
      </c>
      <c r="W315" s="153">
        <v>0</v>
      </c>
      <c r="X315" s="153">
        <v>1</v>
      </c>
      <c r="Y315" s="153">
        <v>0</v>
      </c>
      <c r="Z315" s="153">
        <v>1</v>
      </c>
      <c r="AA315" s="153">
        <v>0</v>
      </c>
      <c r="AB315" s="153"/>
      <c r="AC315" s="155">
        <v>45913</v>
      </c>
      <c r="AD315" s="156">
        <v>0.65972222221898846</v>
      </c>
      <c r="AE315" s="153" t="s">
        <v>101</v>
      </c>
      <c r="AF315" s="155">
        <v>45918</v>
      </c>
      <c r="AG315" s="156">
        <v>0.70138888889050577</v>
      </c>
      <c r="AH315" s="153" t="s">
        <v>96</v>
      </c>
      <c r="AI315" s="153" t="s">
        <v>3021</v>
      </c>
      <c r="AJ315" s="153" t="s">
        <v>3410</v>
      </c>
      <c r="AK315" s="161" t="s">
        <v>3411</v>
      </c>
      <c r="AL315" s="153" t="s">
        <v>2306</v>
      </c>
      <c r="AM315" s="149" t="s">
        <v>65</v>
      </c>
      <c r="AN315" s="158"/>
      <c r="AO315" s="159"/>
      <c r="AQ315"/>
      <c r="AR315"/>
      <c r="AS315"/>
      <c r="AT315"/>
      <c r="AU315"/>
    </row>
    <row r="316" spans="1:47" s="151" customFormat="1" ht="14.25" customHeight="1">
      <c r="A316" s="139"/>
      <c r="B316" s="139"/>
      <c r="C316" s="152" t="str">
        <f>IF($X316=1,COUNTIF($C$10:C315,"&gt;0")+1,"")</f>
        <v/>
      </c>
      <c r="D316" s="323"/>
      <c r="E316" s="153" t="s">
        <v>3014</v>
      </c>
      <c r="F316" s="154" t="s">
        <v>3412</v>
      </c>
      <c r="G316" s="153" t="s">
        <v>3407</v>
      </c>
      <c r="H316" s="153" t="s">
        <v>3413</v>
      </c>
      <c r="I316" s="153" t="s">
        <v>3414</v>
      </c>
      <c r="J316" s="153" t="s">
        <v>58</v>
      </c>
      <c r="K316" s="153" t="s">
        <v>59</v>
      </c>
      <c r="L316" s="155">
        <v>24088</v>
      </c>
      <c r="M316" s="153">
        <v>59</v>
      </c>
      <c r="N316" s="153" t="s">
        <v>3415</v>
      </c>
      <c r="O316" s="155">
        <v>48850</v>
      </c>
      <c r="P316" s="153" t="s">
        <v>4</v>
      </c>
      <c r="Q316" s="153"/>
      <c r="R316" s="162">
        <v>45913</v>
      </c>
      <c r="S316" s="163">
        <v>45918</v>
      </c>
      <c r="T316" s="164">
        <f t="shared" si="4"/>
        <v>5</v>
      </c>
      <c r="U316" s="153">
        <v>1</v>
      </c>
      <c r="V316" s="153">
        <v>1</v>
      </c>
      <c r="W316" s="153">
        <v>0</v>
      </c>
      <c r="X316" s="153">
        <v>0</v>
      </c>
      <c r="Y316" s="153">
        <v>0</v>
      </c>
      <c r="Z316" s="153">
        <v>0</v>
      </c>
      <c r="AA316" s="153">
        <v>0</v>
      </c>
      <c r="AB316" s="153"/>
      <c r="AC316" s="155">
        <v>45913</v>
      </c>
      <c r="AD316" s="156">
        <v>0.65972222221898846</v>
      </c>
      <c r="AE316" s="153" t="s">
        <v>101</v>
      </c>
      <c r="AF316" s="155">
        <v>45918</v>
      </c>
      <c r="AG316" s="156">
        <v>0.70138888889050577</v>
      </c>
      <c r="AH316" s="153" t="s">
        <v>96</v>
      </c>
      <c r="AI316" s="153" t="s">
        <v>3021</v>
      </c>
      <c r="AJ316" s="153" t="s">
        <v>64</v>
      </c>
      <c r="AK316" s="161" t="s">
        <v>64</v>
      </c>
      <c r="AL316" s="153" t="s">
        <v>2306</v>
      </c>
      <c r="AM316" s="149" t="s">
        <v>65</v>
      </c>
      <c r="AN316" s="158"/>
      <c r="AO316" s="159"/>
      <c r="AQ316"/>
      <c r="AR316"/>
      <c r="AS316"/>
      <c r="AT316"/>
      <c r="AU316"/>
    </row>
    <row r="317" spans="1:47" s="151" customFormat="1" ht="14.25" customHeight="1">
      <c r="A317" s="139"/>
      <c r="B317" s="139"/>
      <c r="C317" s="152">
        <f>IF($X317=1,COUNTIF($C$10:C316,"&gt;0")+1,"")</f>
        <v>152</v>
      </c>
      <c r="D317" s="153">
        <v>75988313</v>
      </c>
      <c r="E317" s="153" t="s">
        <v>3014</v>
      </c>
      <c r="F317" s="154" t="s">
        <v>3416</v>
      </c>
      <c r="G317" s="153" t="s">
        <v>3407</v>
      </c>
      <c r="H317" s="153" t="s">
        <v>3417</v>
      </c>
      <c r="I317" s="153" t="s">
        <v>3418</v>
      </c>
      <c r="J317" s="153" t="s">
        <v>68</v>
      </c>
      <c r="K317" s="153" t="s">
        <v>3419</v>
      </c>
      <c r="L317" s="155">
        <v>16710</v>
      </c>
      <c r="M317" s="153">
        <v>79</v>
      </c>
      <c r="N317" s="153" t="s">
        <v>3420</v>
      </c>
      <c r="O317" s="155">
        <v>47062</v>
      </c>
      <c r="P317" s="153" t="s">
        <v>3</v>
      </c>
      <c r="Q317" s="153"/>
      <c r="R317" s="162">
        <v>45913</v>
      </c>
      <c r="S317" s="163">
        <v>45918</v>
      </c>
      <c r="T317" s="164">
        <f t="shared" si="4"/>
        <v>5</v>
      </c>
      <c r="U317" s="153">
        <v>1</v>
      </c>
      <c r="V317" s="153">
        <v>1</v>
      </c>
      <c r="W317" s="153">
        <v>0</v>
      </c>
      <c r="X317" s="153">
        <v>1</v>
      </c>
      <c r="Y317" s="153">
        <v>1</v>
      </c>
      <c r="Z317" s="153">
        <v>0</v>
      </c>
      <c r="AA317" s="153">
        <v>0</v>
      </c>
      <c r="AB317" s="153"/>
      <c r="AC317" s="155">
        <v>45913</v>
      </c>
      <c r="AD317" s="156">
        <v>0.65972222221898846</v>
      </c>
      <c r="AE317" s="153" t="s">
        <v>101</v>
      </c>
      <c r="AF317" s="155">
        <v>45918</v>
      </c>
      <c r="AG317" s="156">
        <v>0.70138888889050577</v>
      </c>
      <c r="AH317" s="153" t="s">
        <v>96</v>
      </c>
      <c r="AI317" s="153" t="s">
        <v>3021</v>
      </c>
      <c r="AJ317" s="153" t="s">
        <v>64</v>
      </c>
      <c r="AK317" s="161" t="s">
        <v>3421</v>
      </c>
      <c r="AL317" s="153" t="s">
        <v>2306</v>
      </c>
      <c r="AM317" s="149" t="s">
        <v>65</v>
      </c>
      <c r="AN317" s="158"/>
      <c r="AO317" s="159"/>
      <c r="AQ317"/>
      <c r="AR317"/>
      <c r="AS317"/>
      <c r="AT317"/>
      <c r="AU317"/>
    </row>
    <row r="318" spans="1:47" s="151" customFormat="1" ht="14.25" customHeight="1">
      <c r="A318" s="139"/>
      <c r="B318" s="139"/>
      <c r="C318" s="152">
        <f>IF($X318=1,COUNTIF($C$10:C317,"&gt;0")+1,"")</f>
        <v>153</v>
      </c>
      <c r="D318" s="322">
        <v>75988364</v>
      </c>
      <c r="E318" s="153" t="s">
        <v>3014</v>
      </c>
      <c r="F318" s="154" t="s">
        <v>3422</v>
      </c>
      <c r="G318" s="153" t="s">
        <v>3422</v>
      </c>
      <c r="H318" s="153" t="s">
        <v>3423</v>
      </c>
      <c r="I318" s="153" t="s">
        <v>3424</v>
      </c>
      <c r="J318" s="153" t="s">
        <v>68</v>
      </c>
      <c r="K318" s="153" t="s">
        <v>59</v>
      </c>
      <c r="L318" s="155">
        <v>26280</v>
      </c>
      <c r="M318" s="153">
        <v>53</v>
      </c>
      <c r="N318" s="153" t="s">
        <v>3425</v>
      </c>
      <c r="O318" s="155">
        <v>48373</v>
      </c>
      <c r="P318" s="153" t="s">
        <v>4</v>
      </c>
      <c r="Q318" s="153"/>
      <c r="R318" s="162">
        <v>45913</v>
      </c>
      <c r="S318" s="163">
        <v>45918</v>
      </c>
      <c r="T318" s="164">
        <f t="shared" si="4"/>
        <v>5</v>
      </c>
      <c r="U318" s="153">
        <v>1</v>
      </c>
      <c r="V318" s="153">
        <v>1</v>
      </c>
      <c r="W318" s="153">
        <v>0</v>
      </c>
      <c r="X318" s="153">
        <v>1</v>
      </c>
      <c r="Y318" s="153">
        <v>0</v>
      </c>
      <c r="Z318" s="153">
        <v>1</v>
      </c>
      <c r="AA318" s="153">
        <v>0</v>
      </c>
      <c r="AB318" s="153"/>
      <c r="AC318" s="155">
        <v>45913</v>
      </c>
      <c r="AD318" s="156">
        <v>0.72222222221898846</v>
      </c>
      <c r="AE318" s="153" t="s">
        <v>164</v>
      </c>
      <c r="AF318" s="155">
        <v>45918</v>
      </c>
      <c r="AG318" s="156">
        <v>0.87847222221898846</v>
      </c>
      <c r="AH318" s="153" t="s">
        <v>3426</v>
      </c>
      <c r="AI318" s="153" t="s">
        <v>3021</v>
      </c>
      <c r="AJ318" s="153" t="s">
        <v>64</v>
      </c>
      <c r="AK318" s="153" t="s">
        <v>64</v>
      </c>
      <c r="AL318" s="153" t="s">
        <v>2306</v>
      </c>
      <c r="AM318" s="149" t="s">
        <v>65</v>
      </c>
      <c r="AN318" s="158"/>
      <c r="AO318" s="159"/>
      <c r="AQ318"/>
      <c r="AR318"/>
      <c r="AS318"/>
      <c r="AT318"/>
      <c r="AU318"/>
    </row>
    <row r="319" spans="1:47" s="151" customFormat="1" ht="14.25" customHeight="1">
      <c r="A319" s="139"/>
      <c r="B319" s="139"/>
      <c r="C319" s="152" t="str">
        <f>IF($X319=1,COUNTIF($C$10:C318,"&gt;0")+1,"")</f>
        <v/>
      </c>
      <c r="D319" s="324"/>
      <c r="E319" s="153" t="s">
        <v>3014</v>
      </c>
      <c r="F319" s="154" t="s">
        <v>3427</v>
      </c>
      <c r="G319" s="153" t="s">
        <v>3422</v>
      </c>
      <c r="H319" s="153" t="s">
        <v>3428</v>
      </c>
      <c r="I319" s="153" t="s">
        <v>3429</v>
      </c>
      <c r="J319" s="153" t="s">
        <v>58</v>
      </c>
      <c r="K319" s="153" t="s">
        <v>59</v>
      </c>
      <c r="L319" s="155">
        <v>26280</v>
      </c>
      <c r="M319" s="153">
        <v>53</v>
      </c>
      <c r="N319" s="153" t="s">
        <v>3430</v>
      </c>
      <c r="O319" s="155">
        <v>49237</v>
      </c>
      <c r="P319" s="153" t="s">
        <v>4</v>
      </c>
      <c r="Q319" s="153"/>
      <c r="R319" s="162">
        <v>45913</v>
      </c>
      <c r="S319" s="163">
        <v>45918</v>
      </c>
      <c r="T319" s="164">
        <f t="shared" si="4"/>
        <v>5</v>
      </c>
      <c r="U319" s="153">
        <v>1</v>
      </c>
      <c r="V319" s="153">
        <v>1</v>
      </c>
      <c r="W319" s="153">
        <v>0</v>
      </c>
      <c r="X319" s="153">
        <v>0</v>
      </c>
      <c r="Y319" s="153">
        <v>0</v>
      </c>
      <c r="Z319" s="153">
        <v>0</v>
      </c>
      <c r="AA319" s="153">
        <v>0</v>
      </c>
      <c r="AB319" s="153"/>
      <c r="AC319" s="155">
        <v>45913</v>
      </c>
      <c r="AD319" s="156">
        <v>0.72222222221898846</v>
      </c>
      <c r="AE319" s="153" t="s">
        <v>164</v>
      </c>
      <c r="AF319" s="155">
        <v>45918</v>
      </c>
      <c r="AG319" s="156">
        <v>0.87847222221898846</v>
      </c>
      <c r="AH319" s="153" t="s">
        <v>3426</v>
      </c>
      <c r="AI319" s="153" t="s">
        <v>3021</v>
      </c>
      <c r="AJ319" s="153" t="s">
        <v>64</v>
      </c>
      <c r="AK319" s="153" t="s">
        <v>64</v>
      </c>
      <c r="AL319" s="153" t="s">
        <v>2306</v>
      </c>
      <c r="AM319" s="149" t="s">
        <v>65</v>
      </c>
      <c r="AN319" s="158"/>
      <c r="AO319" s="159"/>
      <c r="AQ319"/>
      <c r="AR319"/>
      <c r="AS319"/>
      <c r="AT319"/>
      <c r="AU319"/>
    </row>
    <row r="320" spans="1:47" s="151" customFormat="1" ht="14.25" customHeight="1">
      <c r="A320" s="139"/>
      <c r="B320" s="139"/>
      <c r="C320" s="152" t="str">
        <f>IF($X320=1,COUNTIF($C$10:C319,"&gt;0")+1,"")</f>
        <v/>
      </c>
      <c r="D320" s="323"/>
      <c r="E320" s="153" t="s">
        <v>3014</v>
      </c>
      <c r="F320" s="154" t="s">
        <v>3431</v>
      </c>
      <c r="G320" s="153" t="s">
        <v>3422</v>
      </c>
      <c r="H320" s="153" t="s">
        <v>3432</v>
      </c>
      <c r="I320" s="153" t="s">
        <v>3429</v>
      </c>
      <c r="J320" s="153" t="s">
        <v>58</v>
      </c>
      <c r="K320" s="153" t="s">
        <v>59</v>
      </c>
      <c r="L320" s="155">
        <v>41555</v>
      </c>
      <c r="M320" s="153">
        <v>11</v>
      </c>
      <c r="N320" s="153" t="s">
        <v>3433</v>
      </c>
      <c r="O320" s="155">
        <v>46541</v>
      </c>
      <c r="P320" s="153" t="s">
        <v>4</v>
      </c>
      <c r="Q320" s="153"/>
      <c r="R320" s="162">
        <v>45913</v>
      </c>
      <c r="S320" s="163">
        <v>45918</v>
      </c>
      <c r="T320" s="164">
        <f t="shared" si="4"/>
        <v>5</v>
      </c>
      <c r="U320" s="153">
        <v>1</v>
      </c>
      <c r="V320" s="153">
        <v>0</v>
      </c>
      <c r="W320" s="153">
        <v>1</v>
      </c>
      <c r="X320" s="153">
        <v>0</v>
      </c>
      <c r="Y320" s="153">
        <v>0</v>
      </c>
      <c r="Z320" s="153">
        <v>0</v>
      </c>
      <c r="AA320" s="153">
        <v>0</v>
      </c>
      <c r="AB320" s="153"/>
      <c r="AC320" s="155">
        <v>45913</v>
      </c>
      <c r="AD320" s="156">
        <v>0.72222222221898846</v>
      </c>
      <c r="AE320" s="153" t="s">
        <v>164</v>
      </c>
      <c r="AF320" s="155">
        <v>45918</v>
      </c>
      <c r="AG320" s="156">
        <v>0.87847222221898846</v>
      </c>
      <c r="AH320" s="153" t="s">
        <v>3426</v>
      </c>
      <c r="AI320" s="153" t="s">
        <v>3021</v>
      </c>
      <c r="AJ320" s="153" t="s">
        <v>64</v>
      </c>
      <c r="AK320" s="153" t="s">
        <v>64</v>
      </c>
      <c r="AL320" s="153" t="s">
        <v>2306</v>
      </c>
      <c r="AM320" s="149" t="s">
        <v>65</v>
      </c>
      <c r="AN320" s="158"/>
      <c r="AO320" s="159"/>
      <c r="AQ320"/>
      <c r="AR320"/>
      <c r="AS320"/>
      <c r="AT320"/>
      <c r="AU320"/>
    </row>
    <row r="321" spans="1:47" s="151" customFormat="1" ht="14.25" customHeight="1">
      <c r="A321" s="139"/>
      <c r="B321" s="139"/>
      <c r="C321" s="152">
        <f>IF($X321=1,COUNTIF($C$10:C320,"&gt;0")+1,"")</f>
        <v>154</v>
      </c>
      <c r="D321" s="183">
        <v>75988366</v>
      </c>
      <c r="E321" s="153" t="s">
        <v>3014</v>
      </c>
      <c r="F321" s="154" t="s">
        <v>3434</v>
      </c>
      <c r="G321" s="153" t="s">
        <v>3434</v>
      </c>
      <c r="H321" s="153" t="s">
        <v>3435</v>
      </c>
      <c r="I321" s="153" t="s">
        <v>3436</v>
      </c>
      <c r="J321" s="153" t="s">
        <v>68</v>
      </c>
      <c r="K321" s="153" t="s">
        <v>460</v>
      </c>
      <c r="L321" s="155">
        <v>25774</v>
      </c>
      <c r="M321" s="153">
        <v>55</v>
      </c>
      <c r="N321" s="153" t="s">
        <v>3437</v>
      </c>
      <c r="O321" s="155">
        <v>46315</v>
      </c>
      <c r="P321" s="153" t="s">
        <v>3</v>
      </c>
      <c r="Q321" s="153"/>
      <c r="R321" s="162">
        <v>45913</v>
      </c>
      <c r="S321" s="163">
        <v>45918</v>
      </c>
      <c r="T321" s="164">
        <f t="shared" si="4"/>
        <v>5</v>
      </c>
      <c r="U321" s="153">
        <v>1</v>
      </c>
      <c r="V321" s="153">
        <v>1</v>
      </c>
      <c r="W321" s="153">
        <v>0</v>
      </c>
      <c r="X321" s="153">
        <v>1</v>
      </c>
      <c r="Y321" s="153">
        <v>1</v>
      </c>
      <c r="Z321" s="153">
        <v>0</v>
      </c>
      <c r="AA321" s="153">
        <v>0</v>
      </c>
      <c r="AB321" s="153"/>
      <c r="AC321" s="155">
        <v>45913</v>
      </c>
      <c r="AD321" s="156">
        <v>0.17361111110949423</v>
      </c>
      <c r="AE321" s="153" t="s">
        <v>3438</v>
      </c>
      <c r="AF321" s="155">
        <v>45918</v>
      </c>
      <c r="AG321" s="156">
        <v>0.79513888889050577</v>
      </c>
      <c r="AH321" s="153" t="s">
        <v>359</v>
      </c>
      <c r="AI321" s="153" t="s">
        <v>3021</v>
      </c>
      <c r="AJ321" s="153" t="s">
        <v>64</v>
      </c>
      <c r="AK321" s="153" t="s">
        <v>64</v>
      </c>
      <c r="AL321" s="153" t="s">
        <v>2306</v>
      </c>
      <c r="AM321" s="149" t="s">
        <v>65</v>
      </c>
      <c r="AN321" s="158"/>
      <c r="AO321" s="159"/>
      <c r="AQ321"/>
      <c r="AR321"/>
      <c r="AS321"/>
      <c r="AT321"/>
      <c r="AU321"/>
    </row>
    <row r="322" spans="1:47" s="151" customFormat="1" ht="14.25" customHeight="1">
      <c r="A322" s="139"/>
      <c r="B322" s="139"/>
      <c r="C322" s="152">
        <f>IF($X322=1,COUNTIF($C$10:C321,"&gt;0")+1,"")</f>
        <v>155</v>
      </c>
      <c r="D322" s="314">
        <v>75988396</v>
      </c>
      <c r="E322" s="153" t="s">
        <v>3014</v>
      </c>
      <c r="F322" s="154" t="s">
        <v>3439</v>
      </c>
      <c r="G322" s="153" t="s">
        <v>3439</v>
      </c>
      <c r="H322" s="153" t="s">
        <v>3440</v>
      </c>
      <c r="I322" s="153" t="s">
        <v>455</v>
      </c>
      <c r="J322" s="153" t="s">
        <v>68</v>
      </c>
      <c r="K322" s="153" t="s">
        <v>59</v>
      </c>
      <c r="L322" s="155">
        <v>20751</v>
      </c>
      <c r="M322" s="153">
        <v>68</v>
      </c>
      <c r="N322" s="153" t="s">
        <v>3441</v>
      </c>
      <c r="O322" s="155">
        <v>48250</v>
      </c>
      <c r="P322" s="153" t="s">
        <v>5</v>
      </c>
      <c r="Q322" s="153"/>
      <c r="R322" s="162">
        <v>45913</v>
      </c>
      <c r="S322" s="163">
        <v>45918</v>
      </c>
      <c r="T322" s="164">
        <f t="shared" si="4"/>
        <v>5</v>
      </c>
      <c r="U322" s="153">
        <v>1</v>
      </c>
      <c r="V322" s="153">
        <v>1</v>
      </c>
      <c r="W322" s="153">
        <v>0</v>
      </c>
      <c r="X322" s="153">
        <v>1</v>
      </c>
      <c r="Y322" s="153">
        <v>0</v>
      </c>
      <c r="Z322" s="153">
        <v>0</v>
      </c>
      <c r="AA322" s="153">
        <v>1</v>
      </c>
      <c r="AB322" s="153"/>
      <c r="AC322" s="155">
        <v>45913</v>
      </c>
      <c r="AD322" s="156">
        <v>0.18055555555474712</v>
      </c>
      <c r="AE322" s="153" t="s">
        <v>95</v>
      </c>
      <c r="AF322" s="155">
        <v>45918</v>
      </c>
      <c r="AG322" s="156">
        <v>0.47916666666424135</v>
      </c>
      <c r="AH322" s="153" t="s">
        <v>189</v>
      </c>
      <c r="AI322" s="153" t="s">
        <v>3021</v>
      </c>
      <c r="AJ322" s="153" t="s">
        <v>64</v>
      </c>
      <c r="AK322" s="153" t="s">
        <v>64</v>
      </c>
      <c r="AL322" s="153" t="s">
        <v>2306</v>
      </c>
      <c r="AM322" s="149" t="s">
        <v>65</v>
      </c>
      <c r="AN322" s="158"/>
      <c r="AO322" s="159"/>
      <c r="AQ322"/>
      <c r="AR322"/>
      <c r="AS322"/>
      <c r="AT322"/>
      <c r="AU322"/>
    </row>
    <row r="323" spans="1:47" s="151" customFormat="1" ht="14.25" customHeight="1">
      <c r="A323" s="139"/>
      <c r="B323" s="139"/>
      <c r="C323" s="152" t="str">
        <f>IF($X323=1,COUNTIF($C$10:C322,"&gt;0")+1,"")</f>
        <v/>
      </c>
      <c r="D323" s="315"/>
      <c r="E323" s="153" t="s">
        <v>3014</v>
      </c>
      <c r="F323" s="154" t="s">
        <v>3442</v>
      </c>
      <c r="G323" s="153" t="s">
        <v>3439</v>
      </c>
      <c r="H323" s="153" t="s">
        <v>3443</v>
      </c>
      <c r="I323" s="153" t="s">
        <v>1823</v>
      </c>
      <c r="J323" s="153" t="s">
        <v>68</v>
      </c>
      <c r="K323" s="153" t="s">
        <v>59</v>
      </c>
      <c r="L323" s="155">
        <v>25236</v>
      </c>
      <c r="M323" s="153">
        <v>56</v>
      </c>
      <c r="N323" s="153" t="s">
        <v>3444</v>
      </c>
      <c r="O323" s="155">
        <v>46276</v>
      </c>
      <c r="P323" s="153" t="s">
        <v>5</v>
      </c>
      <c r="Q323" s="153"/>
      <c r="R323" s="162">
        <v>45913</v>
      </c>
      <c r="S323" s="163">
        <v>45918</v>
      </c>
      <c r="T323" s="164">
        <f t="shared" si="4"/>
        <v>5</v>
      </c>
      <c r="U323" s="153">
        <v>1</v>
      </c>
      <c r="V323" s="153">
        <v>1</v>
      </c>
      <c r="W323" s="153">
        <v>0</v>
      </c>
      <c r="X323" s="153">
        <v>0</v>
      </c>
      <c r="Y323" s="153">
        <v>0</v>
      </c>
      <c r="Z323" s="153">
        <v>0</v>
      </c>
      <c r="AA323" s="153">
        <v>0</v>
      </c>
      <c r="AB323" s="153"/>
      <c r="AC323" s="155">
        <v>45913</v>
      </c>
      <c r="AD323" s="156">
        <v>0.18055555555474712</v>
      </c>
      <c r="AE323" s="153" t="s">
        <v>95</v>
      </c>
      <c r="AF323" s="155">
        <v>45918</v>
      </c>
      <c r="AG323" s="156">
        <v>0.47916666666424135</v>
      </c>
      <c r="AH323" s="153" t="s">
        <v>189</v>
      </c>
      <c r="AI323" s="153" t="s">
        <v>3021</v>
      </c>
      <c r="AJ323" s="153" t="s">
        <v>64</v>
      </c>
      <c r="AK323" s="153" t="s">
        <v>64</v>
      </c>
      <c r="AL323" s="153" t="s">
        <v>2306</v>
      </c>
      <c r="AM323" s="149" t="s">
        <v>65</v>
      </c>
      <c r="AN323" s="158"/>
      <c r="AO323" s="159"/>
      <c r="AQ323"/>
      <c r="AR323"/>
      <c r="AS323"/>
      <c r="AT323"/>
      <c r="AU323"/>
    </row>
    <row r="324" spans="1:47" s="151" customFormat="1" ht="14.25" customHeight="1">
      <c r="A324" s="139"/>
      <c r="B324" s="139"/>
      <c r="C324" s="152">
        <f>IF($X324=1,COUNTIF($C$10:C323,"&gt;0")+1,"")</f>
        <v>156</v>
      </c>
      <c r="D324" s="314">
        <v>75988405</v>
      </c>
      <c r="E324" s="153" t="s">
        <v>3014</v>
      </c>
      <c r="F324" s="154" t="s">
        <v>3445</v>
      </c>
      <c r="G324" s="153" t="s">
        <v>3445</v>
      </c>
      <c r="H324" s="153" t="s">
        <v>3446</v>
      </c>
      <c r="I324" s="153" t="s">
        <v>759</v>
      </c>
      <c r="J324" s="153" t="s">
        <v>58</v>
      </c>
      <c r="K324" s="153" t="s">
        <v>59</v>
      </c>
      <c r="L324" s="155">
        <v>30068</v>
      </c>
      <c r="M324" s="153">
        <v>43</v>
      </c>
      <c r="N324" s="153" t="s">
        <v>3447</v>
      </c>
      <c r="O324" s="155">
        <v>48909</v>
      </c>
      <c r="P324" s="153" t="s">
        <v>5</v>
      </c>
      <c r="Q324" s="153"/>
      <c r="R324" s="162">
        <v>45913</v>
      </c>
      <c r="S324" s="163">
        <v>45918</v>
      </c>
      <c r="T324" s="164">
        <f t="shared" si="4"/>
        <v>5</v>
      </c>
      <c r="U324" s="153">
        <v>1</v>
      </c>
      <c r="V324" s="153">
        <v>1</v>
      </c>
      <c r="W324" s="153">
        <v>0</v>
      </c>
      <c r="X324" s="153">
        <v>1</v>
      </c>
      <c r="Y324" s="153">
        <v>0</v>
      </c>
      <c r="Z324" s="153">
        <v>0</v>
      </c>
      <c r="AA324" s="153">
        <v>1</v>
      </c>
      <c r="AB324" s="153"/>
      <c r="AC324" s="155">
        <v>45913</v>
      </c>
      <c r="AD324" s="156">
        <v>0.40277777778101154</v>
      </c>
      <c r="AE324" s="153" t="s">
        <v>358</v>
      </c>
      <c r="AF324" s="155">
        <v>45918</v>
      </c>
      <c r="AG324" s="156">
        <v>0.44097222221898846</v>
      </c>
      <c r="AH324" s="153" t="s">
        <v>1846</v>
      </c>
      <c r="AI324" s="153" t="s">
        <v>3021</v>
      </c>
      <c r="AJ324" s="153" t="s">
        <v>64</v>
      </c>
      <c r="AK324" s="153" t="s">
        <v>64</v>
      </c>
      <c r="AL324" s="153" t="s">
        <v>2306</v>
      </c>
      <c r="AM324" s="149" t="s">
        <v>65</v>
      </c>
      <c r="AN324" s="158"/>
      <c r="AO324" s="159"/>
      <c r="AQ324"/>
      <c r="AR324"/>
      <c r="AS324"/>
      <c r="AT324"/>
      <c r="AU324"/>
    </row>
    <row r="325" spans="1:47" s="151" customFormat="1" ht="14.25" customHeight="1">
      <c r="A325" s="139"/>
      <c r="B325" s="139"/>
      <c r="C325" s="152" t="str">
        <f>IF($X325=1,COUNTIF($C$10:C324,"&gt;0")+1,"")</f>
        <v/>
      </c>
      <c r="D325" s="315"/>
      <c r="E325" s="153" t="s">
        <v>3014</v>
      </c>
      <c r="F325" s="154" t="s">
        <v>3448</v>
      </c>
      <c r="G325" s="153" t="s">
        <v>3445</v>
      </c>
      <c r="H325" s="153" t="s">
        <v>3449</v>
      </c>
      <c r="I325" s="153" t="s">
        <v>759</v>
      </c>
      <c r="J325" s="153" t="s">
        <v>58</v>
      </c>
      <c r="K325" s="153" t="s">
        <v>59</v>
      </c>
      <c r="L325" s="155">
        <v>19313</v>
      </c>
      <c r="M325" s="153">
        <v>72</v>
      </c>
      <c r="N325" s="153" t="s">
        <v>3450</v>
      </c>
      <c r="O325" s="155">
        <v>49438</v>
      </c>
      <c r="P325" s="153" t="s">
        <v>5</v>
      </c>
      <c r="Q325" s="153"/>
      <c r="R325" s="162">
        <v>45913</v>
      </c>
      <c r="S325" s="163">
        <v>45918</v>
      </c>
      <c r="T325" s="164">
        <f t="shared" si="4"/>
        <v>5</v>
      </c>
      <c r="U325" s="153">
        <v>1</v>
      </c>
      <c r="V325" s="153">
        <v>1</v>
      </c>
      <c r="W325" s="153">
        <v>0</v>
      </c>
      <c r="X325" s="153">
        <v>0</v>
      </c>
      <c r="Y325" s="153">
        <v>0</v>
      </c>
      <c r="Z325" s="153">
        <v>0</v>
      </c>
      <c r="AA325" s="153">
        <v>0</v>
      </c>
      <c r="AB325" s="153"/>
      <c r="AC325" s="155">
        <v>45913</v>
      </c>
      <c r="AD325" s="156">
        <v>0.40277777778101154</v>
      </c>
      <c r="AE325" s="153" t="s">
        <v>358</v>
      </c>
      <c r="AF325" s="155">
        <v>45918</v>
      </c>
      <c r="AG325" s="156">
        <v>0.44097222221898846</v>
      </c>
      <c r="AH325" s="153" t="s">
        <v>1846</v>
      </c>
      <c r="AI325" s="153" t="s">
        <v>3021</v>
      </c>
      <c r="AJ325" s="153" t="s">
        <v>64</v>
      </c>
      <c r="AK325" s="153" t="s">
        <v>64</v>
      </c>
      <c r="AL325" s="153" t="s">
        <v>2306</v>
      </c>
      <c r="AM325" s="149" t="s">
        <v>65</v>
      </c>
      <c r="AN325" s="158"/>
      <c r="AO325" s="159"/>
      <c r="AQ325"/>
      <c r="AR325"/>
      <c r="AS325"/>
      <c r="AT325"/>
      <c r="AU325"/>
    </row>
    <row r="326" spans="1:47" s="151" customFormat="1" ht="14.25" customHeight="1">
      <c r="A326" s="139"/>
      <c r="B326" s="139"/>
      <c r="C326" s="152">
        <f>IF($X326=1,COUNTIF($C$10:C325,"&gt;0")+1,"")</f>
        <v>157</v>
      </c>
      <c r="D326" s="314">
        <v>75988437</v>
      </c>
      <c r="E326" s="153" t="s">
        <v>3014</v>
      </c>
      <c r="F326" s="154" t="s">
        <v>3451</v>
      </c>
      <c r="G326" s="153" t="s">
        <v>3451</v>
      </c>
      <c r="H326" s="153" t="s">
        <v>3452</v>
      </c>
      <c r="I326" s="153" t="s">
        <v>3453</v>
      </c>
      <c r="J326" s="153" t="s">
        <v>58</v>
      </c>
      <c r="K326" s="153" t="s">
        <v>59</v>
      </c>
      <c r="L326" s="155">
        <v>26322</v>
      </c>
      <c r="M326" s="153">
        <v>53</v>
      </c>
      <c r="N326" s="153" t="s">
        <v>3454</v>
      </c>
      <c r="O326" s="155">
        <v>48833</v>
      </c>
      <c r="P326" s="153" t="s">
        <v>5</v>
      </c>
      <c r="Q326" s="153"/>
      <c r="R326" s="162">
        <v>45913</v>
      </c>
      <c r="S326" s="163">
        <v>45918</v>
      </c>
      <c r="T326" s="164">
        <f t="shared" si="4"/>
        <v>5</v>
      </c>
      <c r="U326" s="153">
        <v>1</v>
      </c>
      <c r="V326" s="153">
        <v>1</v>
      </c>
      <c r="W326" s="153">
        <v>0</v>
      </c>
      <c r="X326" s="153">
        <v>1</v>
      </c>
      <c r="Y326" s="153">
        <v>0</v>
      </c>
      <c r="Z326" s="153">
        <v>0</v>
      </c>
      <c r="AA326" s="153">
        <v>1</v>
      </c>
      <c r="AB326" s="153"/>
      <c r="AC326" s="155">
        <v>45913</v>
      </c>
      <c r="AD326" s="156">
        <v>0.18055555555474712</v>
      </c>
      <c r="AE326" s="153" t="s">
        <v>95</v>
      </c>
      <c r="AF326" s="155">
        <v>45918</v>
      </c>
      <c r="AG326" s="156">
        <v>0.47916666666424135</v>
      </c>
      <c r="AH326" s="153" t="s">
        <v>189</v>
      </c>
      <c r="AI326" s="153" t="s">
        <v>3021</v>
      </c>
      <c r="AJ326" s="153" t="s">
        <v>64</v>
      </c>
      <c r="AK326" s="153" t="s">
        <v>64</v>
      </c>
      <c r="AL326" s="153" t="s">
        <v>2306</v>
      </c>
      <c r="AM326" s="149" t="s">
        <v>65</v>
      </c>
      <c r="AN326" s="158"/>
      <c r="AO326" s="159"/>
      <c r="AQ326"/>
      <c r="AR326"/>
      <c r="AS326"/>
      <c r="AT326"/>
      <c r="AU326"/>
    </row>
    <row r="327" spans="1:47" s="151" customFormat="1" ht="14.25" customHeight="1">
      <c r="A327" s="139"/>
      <c r="B327" s="139"/>
      <c r="C327" s="152" t="str">
        <f>IF($X327=1,COUNTIF($C$10:C326,"&gt;0")+1,"")</f>
        <v/>
      </c>
      <c r="D327" s="315"/>
      <c r="E327" s="153" t="s">
        <v>3014</v>
      </c>
      <c r="F327" s="154" t="s">
        <v>3455</v>
      </c>
      <c r="G327" s="153" t="s">
        <v>3451</v>
      </c>
      <c r="H327" s="153" t="s">
        <v>3456</v>
      </c>
      <c r="I327" s="153" t="s">
        <v>759</v>
      </c>
      <c r="J327" s="153" t="s">
        <v>68</v>
      </c>
      <c r="K327" s="153" t="s">
        <v>59</v>
      </c>
      <c r="L327" s="155">
        <v>26365</v>
      </c>
      <c r="M327" s="153">
        <v>53</v>
      </c>
      <c r="N327" s="153" t="s">
        <v>3457</v>
      </c>
      <c r="O327" s="155">
        <v>46844</v>
      </c>
      <c r="P327" s="153" t="s">
        <v>5</v>
      </c>
      <c r="Q327" s="153"/>
      <c r="R327" s="162">
        <v>45913</v>
      </c>
      <c r="S327" s="163">
        <v>45918</v>
      </c>
      <c r="T327" s="164">
        <f t="shared" si="4"/>
        <v>5</v>
      </c>
      <c r="U327" s="153">
        <v>1</v>
      </c>
      <c r="V327" s="153">
        <v>1</v>
      </c>
      <c r="W327" s="153">
        <v>0</v>
      </c>
      <c r="X327" s="153">
        <v>0</v>
      </c>
      <c r="Y327" s="153">
        <v>0</v>
      </c>
      <c r="Z327" s="153">
        <v>0</v>
      </c>
      <c r="AA327" s="153">
        <v>0</v>
      </c>
      <c r="AB327" s="153"/>
      <c r="AC327" s="155">
        <v>45913</v>
      </c>
      <c r="AD327" s="156">
        <v>0.18055555555474712</v>
      </c>
      <c r="AE327" s="153" t="s">
        <v>95</v>
      </c>
      <c r="AF327" s="155">
        <v>45918</v>
      </c>
      <c r="AG327" s="156">
        <v>0.47916666666424135</v>
      </c>
      <c r="AH327" s="153" t="s">
        <v>189</v>
      </c>
      <c r="AI327" s="153" t="s">
        <v>3021</v>
      </c>
      <c r="AJ327" s="153" t="s">
        <v>64</v>
      </c>
      <c r="AK327" s="153" t="s">
        <v>64</v>
      </c>
      <c r="AL327" s="153" t="s">
        <v>2306</v>
      </c>
      <c r="AM327" s="149" t="s">
        <v>65</v>
      </c>
      <c r="AN327" s="158"/>
      <c r="AO327" s="159"/>
      <c r="AQ327"/>
      <c r="AR327"/>
      <c r="AS327"/>
      <c r="AT327"/>
      <c r="AU327"/>
    </row>
    <row r="328" spans="1:47" s="151" customFormat="1" ht="14.25" customHeight="1">
      <c r="A328" s="139"/>
      <c r="B328" s="139"/>
      <c r="C328" s="152">
        <f>IF($X328=1,COUNTIF($C$10:C327,"&gt;0")+1,"")</f>
        <v>158</v>
      </c>
      <c r="D328" s="314">
        <v>75988454</v>
      </c>
      <c r="E328" s="153" t="s">
        <v>3014</v>
      </c>
      <c r="F328" s="154" t="s">
        <v>3458</v>
      </c>
      <c r="G328" s="153" t="s">
        <v>3458</v>
      </c>
      <c r="H328" s="153" t="s">
        <v>3459</v>
      </c>
      <c r="I328" s="153" t="s">
        <v>759</v>
      </c>
      <c r="J328" s="153" t="s">
        <v>58</v>
      </c>
      <c r="K328" s="153" t="s">
        <v>59</v>
      </c>
      <c r="L328" s="155">
        <v>27598</v>
      </c>
      <c r="M328" s="153">
        <v>50</v>
      </c>
      <c r="N328" s="153" t="s">
        <v>3460</v>
      </c>
      <c r="O328" s="155">
        <v>48664</v>
      </c>
      <c r="P328" s="153" t="s">
        <v>4</v>
      </c>
      <c r="Q328" s="153"/>
      <c r="R328" s="162">
        <v>45913</v>
      </c>
      <c r="S328" s="163">
        <v>45918</v>
      </c>
      <c r="T328" s="164">
        <f t="shared" si="4"/>
        <v>5</v>
      </c>
      <c r="U328" s="153">
        <v>1</v>
      </c>
      <c r="V328" s="153">
        <v>1</v>
      </c>
      <c r="W328" s="153">
        <v>0</v>
      </c>
      <c r="X328" s="153">
        <v>1</v>
      </c>
      <c r="Y328" s="153">
        <v>0</v>
      </c>
      <c r="Z328" s="153">
        <v>1</v>
      </c>
      <c r="AA328" s="153">
        <v>0</v>
      </c>
      <c r="AB328" s="153"/>
      <c r="AC328" s="155">
        <v>45913</v>
      </c>
      <c r="AD328" s="156">
        <v>0.64583333333575865</v>
      </c>
      <c r="AE328" s="153" t="s">
        <v>312</v>
      </c>
      <c r="AF328" s="155">
        <v>45918</v>
      </c>
      <c r="AG328" s="156">
        <v>0.55208333333575865</v>
      </c>
      <c r="AH328" s="153" t="s">
        <v>3461</v>
      </c>
      <c r="AI328" s="153" t="s">
        <v>3021</v>
      </c>
      <c r="AJ328" s="153" t="s">
        <v>64</v>
      </c>
      <c r="AK328" s="153" t="s">
        <v>64</v>
      </c>
      <c r="AL328" s="153" t="s">
        <v>2306</v>
      </c>
      <c r="AM328" s="149" t="s">
        <v>65</v>
      </c>
      <c r="AN328" s="158"/>
      <c r="AO328" s="159"/>
      <c r="AQ328"/>
      <c r="AR328"/>
      <c r="AS328"/>
      <c r="AT328"/>
      <c r="AU328"/>
    </row>
    <row r="329" spans="1:47" s="151" customFormat="1" ht="14.25" customHeight="1">
      <c r="A329" s="139"/>
      <c r="B329" s="139"/>
      <c r="C329" s="152" t="str">
        <f>IF($X329=1,COUNTIF($C$10:C328,"&gt;0")+1,"")</f>
        <v/>
      </c>
      <c r="D329" s="321"/>
      <c r="E329" s="153" t="s">
        <v>3014</v>
      </c>
      <c r="F329" s="154" t="s">
        <v>3462</v>
      </c>
      <c r="G329" s="153" t="s">
        <v>3458</v>
      </c>
      <c r="H329" s="153" t="s">
        <v>3463</v>
      </c>
      <c r="I329" s="153" t="s">
        <v>82</v>
      </c>
      <c r="J329" s="153" t="s">
        <v>68</v>
      </c>
      <c r="K329" s="153" t="s">
        <v>64</v>
      </c>
      <c r="L329" s="155" t="s">
        <v>64</v>
      </c>
      <c r="M329" s="153" t="s">
        <v>64</v>
      </c>
      <c r="N329" s="153" t="s">
        <v>64</v>
      </c>
      <c r="O329" s="155" t="s">
        <v>64</v>
      </c>
      <c r="P329" s="153" t="s">
        <v>4</v>
      </c>
      <c r="Q329" s="153"/>
      <c r="R329" s="162">
        <v>45913</v>
      </c>
      <c r="S329" s="163">
        <v>45918</v>
      </c>
      <c r="T329" s="164">
        <f t="shared" si="4"/>
        <v>5</v>
      </c>
      <c r="U329" s="153">
        <v>1</v>
      </c>
      <c r="V329" s="153">
        <v>1</v>
      </c>
      <c r="W329" s="153">
        <v>0</v>
      </c>
      <c r="X329" s="153">
        <v>0</v>
      </c>
      <c r="Y329" s="153">
        <v>0</v>
      </c>
      <c r="Z329" s="153">
        <v>0</v>
      </c>
      <c r="AA329" s="153">
        <v>0</v>
      </c>
      <c r="AB329" s="153"/>
      <c r="AC329" s="155">
        <v>45913</v>
      </c>
      <c r="AD329" s="156">
        <v>0.64583333333575865</v>
      </c>
      <c r="AE329" s="153" t="s">
        <v>312</v>
      </c>
      <c r="AF329" s="155">
        <v>45918</v>
      </c>
      <c r="AG329" s="156">
        <v>0.55208333333575865</v>
      </c>
      <c r="AH329" s="153" t="s">
        <v>3461</v>
      </c>
      <c r="AI329" s="153" t="s">
        <v>3021</v>
      </c>
      <c r="AJ329" s="153" t="s">
        <v>64</v>
      </c>
      <c r="AK329" s="153" t="s">
        <v>64</v>
      </c>
      <c r="AL329" s="153" t="s">
        <v>2306</v>
      </c>
      <c r="AM329" s="149" t="s">
        <v>65</v>
      </c>
      <c r="AN329" s="158"/>
      <c r="AO329" s="159"/>
      <c r="AQ329"/>
      <c r="AR329"/>
      <c r="AS329"/>
      <c r="AT329"/>
      <c r="AU329"/>
    </row>
    <row r="330" spans="1:47" s="151" customFormat="1" ht="14.25" customHeight="1">
      <c r="A330" s="139"/>
      <c r="B330" s="139"/>
      <c r="C330" s="152" t="str">
        <f>IF($X330=1,COUNTIF($C$10:C329,"&gt;0")+1,"")</f>
        <v/>
      </c>
      <c r="D330" s="315"/>
      <c r="E330" s="153" t="s">
        <v>3014</v>
      </c>
      <c r="F330" s="154" t="s">
        <v>3464</v>
      </c>
      <c r="G330" s="153" t="s">
        <v>3458</v>
      </c>
      <c r="H330" s="153" t="s">
        <v>3465</v>
      </c>
      <c r="I330" s="153" t="s">
        <v>3453</v>
      </c>
      <c r="J330" s="153" t="s">
        <v>68</v>
      </c>
      <c r="K330" s="153" t="s">
        <v>59</v>
      </c>
      <c r="L330" s="155">
        <v>42144</v>
      </c>
      <c r="M330" s="153">
        <v>10</v>
      </c>
      <c r="N330" s="153" t="s">
        <v>3466</v>
      </c>
      <c r="O330" s="155">
        <v>46181</v>
      </c>
      <c r="P330" s="153" t="s">
        <v>4</v>
      </c>
      <c r="Q330" s="153"/>
      <c r="R330" s="162">
        <v>45913</v>
      </c>
      <c r="S330" s="163">
        <v>45918</v>
      </c>
      <c r="T330" s="164">
        <f t="shared" ref="T330:T393" si="5">S330-R330</f>
        <v>5</v>
      </c>
      <c r="U330" s="153">
        <v>1</v>
      </c>
      <c r="V330" s="153">
        <v>0</v>
      </c>
      <c r="W330" s="153">
        <v>1</v>
      </c>
      <c r="X330" s="153">
        <v>0</v>
      </c>
      <c r="Y330" s="153">
        <v>0</v>
      </c>
      <c r="Z330" s="153">
        <v>0</v>
      </c>
      <c r="AA330" s="153">
        <v>0</v>
      </c>
      <c r="AB330" s="153"/>
      <c r="AC330" s="155">
        <v>45913</v>
      </c>
      <c r="AD330" s="156">
        <v>0.64583333333575865</v>
      </c>
      <c r="AE330" s="153" t="s">
        <v>312</v>
      </c>
      <c r="AF330" s="155">
        <v>45918</v>
      </c>
      <c r="AG330" s="156">
        <v>0.55208333333575865</v>
      </c>
      <c r="AH330" s="153" t="s">
        <v>3461</v>
      </c>
      <c r="AI330" s="153" t="s">
        <v>3021</v>
      </c>
      <c r="AJ330" s="153" t="s">
        <v>64</v>
      </c>
      <c r="AK330" s="153" t="s">
        <v>64</v>
      </c>
      <c r="AL330" s="153" t="s">
        <v>2306</v>
      </c>
      <c r="AM330" s="149" t="s">
        <v>65</v>
      </c>
      <c r="AN330" s="158"/>
      <c r="AO330" s="159"/>
      <c r="AQ330"/>
      <c r="AR330"/>
      <c r="AS330"/>
      <c r="AT330"/>
      <c r="AU330"/>
    </row>
    <row r="331" spans="1:47" s="151" customFormat="1" ht="14.25" customHeight="1">
      <c r="A331" s="139"/>
      <c r="B331" s="139"/>
      <c r="C331" s="152">
        <f>IF($X331=1,COUNTIF($C$10:C330,"&gt;0")+1,"")</f>
        <v>159</v>
      </c>
      <c r="D331" s="314">
        <v>75988461</v>
      </c>
      <c r="E331" s="153" t="s">
        <v>3014</v>
      </c>
      <c r="F331" s="154" t="s">
        <v>3467</v>
      </c>
      <c r="G331" s="153" t="s">
        <v>3467</v>
      </c>
      <c r="H331" s="153" t="s">
        <v>3468</v>
      </c>
      <c r="I331" s="153" t="s">
        <v>3469</v>
      </c>
      <c r="J331" s="153" t="s">
        <v>58</v>
      </c>
      <c r="K331" s="153" t="s">
        <v>59</v>
      </c>
      <c r="L331" s="155">
        <v>28491</v>
      </c>
      <c r="M331" s="153">
        <v>47</v>
      </c>
      <c r="N331" s="153" t="s">
        <v>3470</v>
      </c>
      <c r="O331" s="155">
        <v>47468</v>
      </c>
      <c r="P331" s="153" t="s">
        <v>4</v>
      </c>
      <c r="Q331" s="153"/>
      <c r="R331" s="162">
        <v>45913</v>
      </c>
      <c r="S331" s="163">
        <v>45918</v>
      </c>
      <c r="T331" s="164">
        <f t="shared" si="5"/>
        <v>5</v>
      </c>
      <c r="U331" s="153">
        <v>1</v>
      </c>
      <c r="V331" s="153">
        <v>1</v>
      </c>
      <c r="W331" s="153">
        <v>0</v>
      </c>
      <c r="X331" s="153">
        <v>1</v>
      </c>
      <c r="Y331" s="153">
        <v>0</v>
      </c>
      <c r="Z331" s="153">
        <v>1</v>
      </c>
      <c r="AA331" s="153">
        <v>0</v>
      </c>
      <c r="AB331" s="153"/>
      <c r="AC331" s="155">
        <v>45913</v>
      </c>
      <c r="AD331" s="156">
        <v>0.50694444444525288</v>
      </c>
      <c r="AE331" s="153" t="s">
        <v>182</v>
      </c>
      <c r="AF331" s="155">
        <v>45918</v>
      </c>
      <c r="AG331" s="156">
        <v>0.70138888889050577</v>
      </c>
      <c r="AH331" s="153" t="s">
        <v>96</v>
      </c>
      <c r="AI331" s="153" t="s">
        <v>3021</v>
      </c>
      <c r="AJ331" s="153" t="s">
        <v>64</v>
      </c>
      <c r="AK331" s="153" t="s">
        <v>64</v>
      </c>
      <c r="AL331" s="153" t="s">
        <v>2306</v>
      </c>
      <c r="AM331" s="149" t="s">
        <v>65</v>
      </c>
      <c r="AN331" s="158"/>
      <c r="AO331" s="159"/>
      <c r="AQ331"/>
      <c r="AR331"/>
      <c r="AS331"/>
      <c r="AT331"/>
      <c r="AU331"/>
    </row>
    <row r="332" spans="1:47" s="151" customFormat="1" ht="14.25" customHeight="1">
      <c r="A332" s="139"/>
      <c r="B332" s="139"/>
      <c r="C332" s="152" t="str">
        <f>IF($X332=1,COUNTIF($C$10:C331,"&gt;0")+1,"")</f>
        <v/>
      </c>
      <c r="D332" s="315"/>
      <c r="E332" s="153" t="s">
        <v>3014</v>
      </c>
      <c r="F332" s="154" t="s">
        <v>3471</v>
      </c>
      <c r="G332" s="153" t="s">
        <v>3467</v>
      </c>
      <c r="H332" s="153" t="s">
        <v>3472</v>
      </c>
      <c r="I332" s="153" t="s">
        <v>3473</v>
      </c>
      <c r="J332" s="153" t="s">
        <v>68</v>
      </c>
      <c r="K332" s="153" t="s">
        <v>59</v>
      </c>
      <c r="L332" s="155">
        <v>29278</v>
      </c>
      <c r="M332" s="153">
        <v>45</v>
      </c>
      <c r="N332" s="153" t="s">
        <v>3474</v>
      </c>
      <c r="O332" s="155">
        <v>48520</v>
      </c>
      <c r="P332" s="153" t="s">
        <v>4</v>
      </c>
      <c r="Q332" s="153"/>
      <c r="R332" s="162">
        <v>45913</v>
      </c>
      <c r="S332" s="163">
        <v>45918</v>
      </c>
      <c r="T332" s="164">
        <f t="shared" si="5"/>
        <v>5</v>
      </c>
      <c r="U332" s="153">
        <v>1</v>
      </c>
      <c r="V332" s="153">
        <v>1</v>
      </c>
      <c r="W332" s="153">
        <v>0</v>
      </c>
      <c r="X332" s="153">
        <v>0</v>
      </c>
      <c r="Y332" s="153">
        <v>0</v>
      </c>
      <c r="Z332" s="153">
        <v>0</v>
      </c>
      <c r="AA332" s="153">
        <v>0</v>
      </c>
      <c r="AB332" s="153"/>
      <c r="AC332" s="155">
        <v>45913</v>
      </c>
      <c r="AD332" s="156">
        <v>0.50694444444525288</v>
      </c>
      <c r="AE332" s="153" t="s">
        <v>182</v>
      </c>
      <c r="AF332" s="155">
        <v>45918</v>
      </c>
      <c r="AG332" s="156">
        <v>0.70138888889050577</v>
      </c>
      <c r="AH332" s="153" t="s">
        <v>96</v>
      </c>
      <c r="AI332" s="153" t="s">
        <v>3021</v>
      </c>
      <c r="AJ332" s="153" t="s">
        <v>64</v>
      </c>
      <c r="AK332" s="153" t="s">
        <v>64</v>
      </c>
      <c r="AL332" s="153" t="s">
        <v>2306</v>
      </c>
      <c r="AM332" s="149" t="s">
        <v>65</v>
      </c>
      <c r="AN332" s="158"/>
      <c r="AO332" s="159"/>
      <c r="AQ332"/>
      <c r="AR332"/>
      <c r="AS332"/>
      <c r="AT332"/>
      <c r="AU332"/>
    </row>
    <row r="333" spans="1:47" s="151" customFormat="1" ht="14.25" customHeight="1">
      <c r="A333" s="139"/>
      <c r="B333" s="139"/>
      <c r="C333" s="152">
        <f>IF($X333=1,COUNTIF($C$10:C332,"&gt;0")+1,"")</f>
        <v>160</v>
      </c>
      <c r="D333" s="314">
        <v>75988476</v>
      </c>
      <c r="E333" s="153" t="s">
        <v>3014</v>
      </c>
      <c r="F333" s="154" t="s">
        <v>3475</v>
      </c>
      <c r="G333" s="153" t="s">
        <v>3475</v>
      </c>
      <c r="H333" s="153" t="s">
        <v>2255</v>
      </c>
      <c r="I333" s="153" t="s">
        <v>3476</v>
      </c>
      <c r="J333" s="153" t="s">
        <v>68</v>
      </c>
      <c r="K333" s="153" t="s">
        <v>59</v>
      </c>
      <c r="L333" s="155">
        <v>22800</v>
      </c>
      <c r="M333" s="153">
        <v>63</v>
      </c>
      <c r="N333" s="153" t="s">
        <v>3477</v>
      </c>
      <c r="O333" s="155">
        <v>47093</v>
      </c>
      <c r="P333" s="153" t="s">
        <v>5</v>
      </c>
      <c r="Q333" s="153"/>
      <c r="R333" s="162">
        <v>45913</v>
      </c>
      <c r="S333" s="163">
        <v>45918</v>
      </c>
      <c r="T333" s="164">
        <f t="shared" si="5"/>
        <v>5</v>
      </c>
      <c r="U333" s="153">
        <v>1</v>
      </c>
      <c r="V333" s="153">
        <v>1</v>
      </c>
      <c r="W333" s="153">
        <v>0</v>
      </c>
      <c r="X333" s="153">
        <v>1</v>
      </c>
      <c r="Y333" s="153">
        <v>0</v>
      </c>
      <c r="Z333" s="153">
        <v>0</v>
      </c>
      <c r="AA333" s="153">
        <v>1</v>
      </c>
      <c r="AB333" s="153"/>
      <c r="AC333" s="155">
        <v>45911</v>
      </c>
      <c r="AD333" s="156">
        <v>0.625</v>
      </c>
      <c r="AE333" s="153" t="s">
        <v>74</v>
      </c>
      <c r="AF333" s="155">
        <v>45918</v>
      </c>
      <c r="AG333" s="156">
        <v>0.70138888889050577</v>
      </c>
      <c r="AH333" s="153" t="s">
        <v>96</v>
      </c>
      <c r="AI333" s="153" t="s">
        <v>3021</v>
      </c>
      <c r="AJ333" s="153" t="s">
        <v>64</v>
      </c>
      <c r="AK333" s="153" t="s">
        <v>64</v>
      </c>
      <c r="AL333" s="153" t="s">
        <v>2306</v>
      </c>
      <c r="AM333" s="149" t="s">
        <v>65</v>
      </c>
      <c r="AN333" s="158"/>
      <c r="AO333" s="159"/>
      <c r="AQ333"/>
      <c r="AR333"/>
      <c r="AS333"/>
      <c r="AT333"/>
      <c r="AU333"/>
    </row>
    <row r="334" spans="1:47" s="151" customFormat="1" ht="14.25" customHeight="1">
      <c r="A334" s="139"/>
      <c r="B334" s="139"/>
      <c r="C334" s="152" t="str">
        <f>IF($X334=1,COUNTIF($C$10:C333,"&gt;0")+1,"")</f>
        <v/>
      </c>
      <c r="D334" s="315"/>
      <c r="E334" s="153" t="s">
        <v>3014</v>
      </c>
      <c r="F334" s="154" t="s">
        <v>3478</v>
      </c>
      <c r="G334" s="153" t="s">
        <v>3475</v>
      </c>
      <c r="H334" s="153" t="s">
        <v>3479</v>
      </c>
      <c r="I334" s="153" t="s">
        <v>1376</v>
      </c>
      <c r="J334" s="153" t="s">
        <v>68</v>
      </c>
      <c r="K334" s="153" t="s">
        <v>59</v>
      </c>
      <c r="L334" s="155">
        <v>24259</v>
      </c>
      <c r="M334" s="153">
        <v>59</v>
      </c>
      <c r="N334" s="153" t="s">
        <v>3480</v>
      </c>
      <c r="O334" s="155">
        <v>48654</v>
      </c>
      <c r="P334" s="153" t="s">
        <v>5</v>
      </c>
      <c r="Q334" s="153"/>
      <c r="R334" s="162">
        <v>45913</v>
      </c>
      <c r="S334" s="163">
        <v>45918</v>
      </c>
      <c r="T334" s="164">
        <f t="shared" si="5"/>
        <v>5</v>
      </c>
      <c r="U334" s="153">
        <v>1</v>
      </c>
      <c r="V334" s="153">
        <v>1</v>
      </c>
      <c r="W334" s="153">
        <v>0</v>
      </c>
      <c r="X334" s="153">
        <v>0</v>
      </c>
      <c r="Y334" s="153">
        <v>0</v>
      </c>
      <c r="Z334" s="153">
        <v>0</v>
      </c>
      <c r="AA334" s="153">
        <v>0</v>
      </c>
      <c r="AB334" s="153"/>
      <c r="AC334" s="155">
        <v>45911</v>
      </c>
      <c r="AD334" s="156">
        <v>0.625</v>
      </c>
      <c r="AE334" s="153" t="s">
        <v>74</v>
      </c>
      <c r="AF334" s="155">
        <v>45918</v>
      </c>
      <c r="AG334" s="156">
        <v>0.70138888889050577</v>
      </c>
      <c r="AH334" s="153" t="s">
        <v>96</v>
      </c>
      <c r="AI334" s="153" t="s">
        <v>3021</v>
      </c>
      <c r="AJ334" s="153" t="s">
        <v>64</v>
      </c>
      <c r="AK334" s="153" t="s">
        <v>64</v>
      </c>
      <c r="AL334" s="153" t="s">
        <v>2306</v>
      </c>
      <c r="AM334" s="149" t="s">
        <v>65</v>
      </c>
      <c r="AN334" s="158"/>
      <c r="AO334" s="159"/>
      <c r="AQ334"/>
      <c r="AR334"/>
      <c r="AS334"/>
      <c r="AT334"/>
      <c r="AU334"/>
    </row>
    <row r="335" spans="1:47" s="151" customFormat="1" ht="14.25" customHeight="1">
      <c r="A335" s="139"/>
      <c r="B335" s="139"/>
      <c r="C335" s="152">
        <f>IF($X335=1,COUNTIF($C$10:C334,"&gt;0")+1,"")</f>
        <v>161</v>
      </c>
      <c r="D335" s="314">
        <v>75988500</v>
      </c>
      <c r="E335" s="153" t="s">
        <v>3014</v>
      </c>
      <c r="F335" s="154" t="s">
        <v>3481</v>
      </c>
      <c r="G335" s="153" t="s">
        <v>3481</v>
      </c>
      <c r="H335" s="153" t="s">
        <v>3482</v>
      </c>
      <c r="I335" s="153" t="s">
        <v>3483</v>
      </c>
      <c r="J335" s="153" t="s">
        <v>68</v>
      </c>
      <c r="K335" s="153" t="s">
        <v>59</v>
      </c>
      <c r="L335" s="155">
        <v>22571</v>
      </c>
      <c r="M335" s="153">
        <v>63</v>
      </c>
      <c r="N335" s="153" t="s">
        <v>3484</v>
      </c>
      <c r="O335" s="155">
        <v>48673</v>
      </c>
      <c r="P335" s="153" t="s">
        <v>5</v>
      </c>
      <c r="Q335" s="153"/>
      <c r="R335" s="162">
        <v>45913</v>
      </c>
      <c r="S335" s="163">
        <v>45918</v>
      </c>
      <c r="T335" s="164">
        <f t="shared" si="5"/>
        <v>5</v>
      </c>
      <c r="U335" s="153">
        <v>1</v>
      </c>
      <c r="V335" s="153">
        <v>1</v>
      </c>
      <c r="W335" s="153">
        <v>0</v>
      </c>
      <c r="X335" s="153">
        <v>1</v>
      </c>
      <c r="Y335" s="153">
        <v>0</v>
      </c>
      <c r="Z335" s="153">
        <v>0</v>
      </c>
      <c r="AA335" s="153">
        <v>1</v>
      </c>
      <c r="AB335" s="153"/>
      <c r="AC335" s="155">
        <v>45910</v>
      </c>
      <c r="AD335" s="156">
        <v>0.625</v>
      </c>
      <c r="AE335" s="153" t="s">
        <v>74</v>
      </c>
      <c r="AF335" s="155">
        <v>45918</v>
      </c>
      <c r="AG335" s="156">
        <v>0.70138888889050577</v>
      </c>
      <c r="AH335" s="153" t="s">
        <v>96</v>
      </c>
      <c r="AI335" s="153" t="s">
        <v>3021</v>
      </c>
      <c r="AJ335" s="153" t="s">
        <v>64</v>
      </c>
      <c r="AK335" s="153" t="s">
        <v>64</v>
      </c>
      <c r="AL335" s="153" t="s">
        <v>2306</v>
      </c>
      <c r="AM335" s="149" t="s">
        <v>65</v>
      </c>
      <c r="AN335" s="158"/>
      <c r="AO335" s="159"/>
      <c r="AQ335"/>
      <c r="AR335"/>
      <c r="AS335"/>
      <c r="AT335"/>
      <c r="AU335"/>
    </row>
    <row r="336" spans="1:47" s="151" customFormat="1" ht="14.25" customHeight="1">
      <c r="A336" s="139"/>
      <c r="B336" s="139"/>
      <c r="C336" s="152" t="str">
        <f>IF($X336=1,COUNTIF($C$10:C335,"&gt;0")+1,"")</f>
        <v/>
      </c>
      <c r="D336" s="321"/>
      <c r="E336" s="153" t="s">
        <v>3014</v>
      </c>
      <c r="F336" s="154" t="s">
        <v>3485</v>
      </c>
      <c r="G336" s="153" t="s">
        <v>3481</v>
      </c>
      <c r="H336" s="153" t="s">
        <v>3486</v>
      </c>
      <c r="I336" s="153" t="s">
        <v>3487</v>
      </c>
      <c r="J336" s="153" t="s">
        <v>68</v>
      </c>
      <c r="K336" s="153" t="s">
        <v>59</v>
      </c>
      <c r="L336" s="155">
        <v>37175</v>
      </c>
      <c r="M336" s="153">
        <v>23</v>
      </c>
      <c r="N336" s="153" t="s">
        <v>3488</v>
      </c>
      <c r="O336" s="155">
        <v>47676</v>
      </c>
      <c r="P336" s="153" t="s">
        <v>5</v>
      </c>
      <c r="Q336" s="153"/>
      <c r="R336" s="162">
        <v>45913</v>
      </c>
      <c r="S336" s="163">
        <v>45918</v>
      </c>
      <c r="T336" s="164">
        <f t="shared" si="5"/>
        <v>5</v>
      </c>
      <c r="U336" s="153">
        <v>1</v>
      </c>
      <c r="V336" s="153">
        <v>1</v>
      </c>
      <c r="W336" s="153">
        <v>0</v>
      </c>
      <c r="X336" s="153">
        <v>0</v>
      </c>
      <c r="Y336" s="153">
        <v>0</v>
      </c>
      <c r="Z336" s="153">
        <v>0</v>
      </c>
      <c r="AA336" s="153">
        <v>0</v>
      </c>
      <c r="AB336" s="153"/>
      <c r="AC336" s="155">
        <v>45913</v>
      </c>
      <c r="AD336" s="156">
        <v>0.58680555555474712</v>
      </c>
      <c r="AE336" s="153" t="s">
        <v>61</v>
      </c>
      <c r="AF336" s="155">
        <v>45925</v>
      </c>
      <c r="AG336" s="156">
        <v>0.56944444444525288</v>
      </c>
      <c r="AH336" s="153" t="s">
        <v>492</v>
      </c>
      <c r="AI336" s="153" t="s">
        <v>3021</v>
      </c>
      <c r="AJ336" s="153" t="s">
        <v>64</v>
      </c>
      <c r="AK336" s="153" t="s">
        <v>64</v>
      </c>
      <c r="AL336" s="153" t="s">
        <v>2306</v>
      </c>
      <c r="AM336" s="149" t="s">
        <v>65</v>
      </c>
      <c r="AN336" s="158"/>
      <c r="AO336" s="159"/>
      <c r="AQ336"/>
      <c r="AR336"/>
      <c r="AS336"/>
      <c r="AT336"/>
      <c r="AU336"/>
    </row>
    <row r="337" spans="1:47" s="151" customFormat="1" ht="14.25" customHeight="1">
      <c r="A337" s="139"/>
      <c r="B337" s="139"/>
      <c r="C337" s="152" t="str">
        <f>IF($X337=1,COUNTIF($C$10:C336,"&gt;0")+1,"")</f>
        <v/>
      </c>
      <c r="D337" s="315"/>
      <c r="E337" s="153" t="s">
        <v>3014</v>
      </c>
      <c r="F337" s="154" t="s">
        <v>3489</v>
      </c>
      <c r="G337" s="153" t="s">
        <v>3481</v>
      </c>
      <c r="H337" s="153" t="s">
        <v>1724</v>
      </c>
      <c r="I337" s="153" t="s">
        <v>2185</v>
      </c>
      <c r="J337" s="153" t="s">
        <v>68</v>
      </c>
      <c r="K337" s="153" t="s">
        <v>59</v>
      </c>
      <c r="L337" s="155">
        <v>42720</v>
      </c>
      <c r="M337" s="153">
        <v>8</v>
      </c>
      <c r="N337" s="153" t="s">
        <v>3490</v>
      </c>
      <c r="O337" s="155">
        <v>46587</v>
      </c>
      <c r="P337" s="153" t="s">
        <v>5</v>
      </c>
      <c r="Q337" s="153"/>
      <c r="R337" s="162">
        <v>45913</v>
      </c>
      <c r="S337" s="163">
        <v>45918</v>
      </c>
      <c r="T337" s="164">
        <f t="shared" si="5"/>
        <v>5</v>
      </c>
      <c r="U337" s="153">
        <v>1</v>
      </c>
      <c r="V337" s="153">
        <v>0</v>
      </c>
      <c r="W337" s="153">
        <v>1</v>
      </c>
      <c r="X337" s="153">
        <v>0</v>
      </c>
      <c r="Y337" s="153">
        <v>0</v>
      </c>
      <c r="Z337" s="153">
        <v>0</v>
      </c>
      <c r="AA337" s="153">
        <v>0</v>
      </c>
      <c r="AB337" s="153"/>
      <c r="AC337" s="155">
        <v>45911</v>
      </c>
      <c r="AD337" s="156">
        <v>0.625</v>
      </c>
      <c r="AE337" s="153" t="s">
        <v>74</v>
      </c>
      <c r="AF337" s="155">
        <v>45918</v>
      </c>
      <c r="AG337" s="156">
        <v>0.70138888889050577</v>
      </c>
      <c r="AH337" s="153" t="s">
        <v>96</v>
      </c>
      <c r="AI337" s="153" t="s">
        <v>3021</v>
      </c>
      <c r="AJ337" s="153" t="s">
        <v>64</v>
      </c>
      <c r="AK337" s="153" t="s">
        <v>64</v>
      </c>
      <c r="AL337" s="153" t="s">
        <v>2306</v>
      </c>
      <c r="AM337" s="149" t="s">
        <v>65</v>
      </c>
      <c r="AN337" s="158"/>
      <c r="AO337" s="159"/>
      <c r="AQ337"/>
      <c r="AR337"/>
      <c r="AS337"/>
      <c r="AT337"/>
      <c r="AU337"/>
    </row>
    <row r="338" spans="1:47" s="151" customFormat="1" ht="14.25" customHeight="1">
      <c r="A338" s="139"/>
      <c r="B338" s="139"/>
      <c r="C338" s="152">
        <f>IF($X338=1,COUNTIF($C$10:C337,"&gt;0")+1,"")</f>
        <v>162</v>
      </c>
      <c r="D338" s="314">
        <v>75988515</v>
      </c>
      <c r="E338" s="153" t="s">
        <v>3014</v>
      </c>
      <c r="F338" s="154" t="s">
        <v>3491</v>
      </c>
      <c r="G338" s="153" t="s">
        <v>3481</v>
      </c>
      <c r="H338" s="153" t="s">
        <v>3492</v>
      </c>
      <c r="I338" s="153" t="s">
        <v>3487</v>
      </c>
      <c r="J338" s="153" t="s">
        <v>58</v>
      </c>
      <c r="K338" s="153" t="s">
        <v>59</v>
      </c>
      <c r="L338" s="155">
        <v>24250</v>
      </c>
      <c r="M338" s="153">
        <v>59</v>
      </c>
      <c r="N338" s="153" t="s">
        <v>3493</v>
      </c>
      <c r="O338" s="155">
        <v>47537</v>
      </c>
      <c r="P338" s="153" t="s">
        <v>5</v>
      </c>
      <c r="Q338" s="153"/>
      <c r="R338" s="162">
        <v>45913</v>
      </c>
      <c r="S338" s="163">
        <v>45918</v>
      </c>
      <c r="T338" s="164">
        <f t="shared" si="5"/>
        <v>5</v>
      </c>
      <c r="U338" s="153">
        <v>1</v>
      </c>
      <c r="V338" s="153">
        <v>1</v>
      </c>
      <c r="W338" s="153">
        <v>0</v>
      </c>
      <c r="X338" s="153">
        <v>1</v>
      </c>
      <c r="Y338" s="153">
        <v>0</v>
      </c>
      <c r="Z338" s="153">
        <v>0</v>
      </c>
      <c r="AA338" s="153">
        <v>1</v>
      </c>
      <c r="AB338" s="153"/>
      <c r="AC338" s="155">
        <v>45910</v>
      </c>
      <c r="AD338" s="156">
        <v>0.625</v>
      </c>
      <c r="AE338" s="153" t="s">
        <v>74</v>
      </c>
      <c r="AF338" s="155">
        <v>45925</v>
      </c>
      <c r="AG338" s="156">
        <v>0.70138888889050577</v>
      </c>
      <c r="AH338" s="153" t="s">
        <v>96</v>
      </c>
      <c r="AI338" s="153" t="s">
        <v>3021</v>
      </c>
      <c r="AJ338" s="153" t="s">
        <v>64</v>
      </c>
      <c r="AK338" s="153" t="s">
        <v>64</v>
      </c>
      <c r="AL338" s="153" t="s">
        <v>2306</v>
      </c>
      <c r="AM338" s="149" t="s">
        <v>65</v>
      </c>
      <c r="AN338" s="158"/>
      <c r="AO338" s="159"/>
      <c r="AQ338"/>
      <c r="AR338"/>
      <c r="AS338"/>
      <c r="AT338"/>
      <c r="AU338"/>
    </row>
    <row r="339" spans="1:47" s="151" customFormat="1" ht="14.25" customHeight="1">
      <c r="A339" s="139"/>
      <c r="B339" s="139"/>
      <c r="C339" s="152" t="str">
        <f>IF($X339=1,COUNTIF($C$10:C338,"&gt;0")+1,"")</f>
        <v/>
      </c>
      <c r="D339" s="321"/>
      <c r="E339" s="153" t="s">
        <v>3014</v>
      </c>
      <c r="F339" s="154" t="s">
        <v>3494</v>
      </c>
      <c r="G339" s="153" t="s">
        <v>3481</v>
      </c>
      <c r="H339" s="153" t="s">
        <v>3495</v>
      </c>
      <c r="I339" s="153" t="s">
        <v>3487</v>
      </c>
      <c r="J339" s="153" t="s">
        <v>58</v>
      </c>
      <c r="K339" s="153" t="s">
        <v>59</v>
      </c>
      <c r="L339" s="155">
        <v>38586</v>
      </c>
      <c r="M339" s="153">
        <v>20</v>
      </c>
      <c r="N339" s="153" t="s">
        <v>3496</v>
      </c>
      <c r="O339" s="155">
        <v>48611</v>
      </c>
      <c r="P339" s="153" t="s">
        <v>5</v>
      </c>
      <c r="Q339" s="153"/>
      <c r="R339" s="162">
        <v>45913</v>
      </c>
      <c r="S339" s="163">
        <v>45918</v>
      </c>
      <c r="T339" s="164">
        <f t="shared" si="5"/>
        <v>5</v>
      </c>
      <c r="U339" s="153">
        <v>1</v>
      </c>
      <c r="V339" s="153">
        <v>1</v>
      </c>
      <c r="W339" s="153">
        <v>0</v>
      </c>
      <c r="X339" s="153">
        <v>0</v>
      </c>
      <c r="Y339" s="153">
        <v>0</v>
      </c>
      <c r="Z339" s="153">
        <v>0</v>
      </c>
      <c r="AA339" s="153">
        <v>0</v>
      </c>
      <c r="AB339" s="153"/>
      <c r="AC339" s="155">
        <v>45910</v>
      </c>
      <c r="AD339" s="156">
        <v>0.625</v>
      </c>
      <c r="AE339" s="153" t="s">
        <v>74</v>
      </c>
      <c r="AF339" s="155">
        <v>45918</v>
      </c>
      <c r="AG339" s="156">
        <v>0.70138888889050577</v>
      </c>
      <c r="AH339" s="153" t="s">
        <v>96</v>
      </c>
      <c r="AI339" s="153" t="s">
        <v>3021</v>
      </c>
      <c r="AJ339" s="153" t="s">
        <v>64</v>
      </c>
      <c r="AK339" s="153" t="s">
        <v>64</v>
      </c>
      <c r="AL339" s="153" t="s">
        <v>2306</v>
      </c>
      <c r="AM339" s="149" t="s">
        <v>65</v>
      </c>
      <c r="AN339" s="158"/>
      <c r="AO339" s="159"/>
      <c r="AQ339"/>
      <c r="AR339"/>
      <c r="AS339"/>
      <c r="AT339"/>
      <c r="AU339"/>
    </row>
    <row r="340" spans="1:47" s="151" customFormat="1" ht="14.25" customHeight="1">
      <c r="A340" s="139"/>
      <c r="B340" s="139"/>
      <c r="C340" s="152" t="str">
        <f>IF($X340=1,COUNTIF($C$10:C339,"&gt;0")+1,"")</f>
        <v/>
      </c>
      <c r="D340" s="315"/>
      <c r="E340" s="153" t="s">
        <v>3014</v>
      </c>
      <c r="F340" s="154" t="s">
        <v>3497</v>
      </c>
      <c r="G340" s="153" t="s">
        <v>3481</v>
      </c>
      <c r="H340" s="153" t="s">
        <v>3498</v>
      </c>
      <c r="I340" s="153" t="s">
        <v>390</v>
      </c>
      <c r="J340" s="153" t="s">
        <v>68</v>
      </c>
      <c r="K340" s="153" t="s">
        <v>59</v>
      </c>
      <c r="L340" s="155">
        <v>42352</v>
      </c>
      <c r="M340" s="153">
        <v>9</v>
      </c>
      <c r="N340" s="153" t="s">
        <v>3499</v>
      </c>
      <c r="O340" s="155">
        <v>46754</v>
      </c>
      <c r="P340" s="153" t="s">
        <v>5</v>
      </c>
      <c r="Q340" s="153"/>
      <c r="R340" s="162">
        <v>45913</v>
      </c>
      <c r="S340" s="163">
        <v>45918</v>
      </c>
      <c r="T340" s="164">
        <f t="shared" si="5"/>
        <v>5</v>
      </c>
      <c r="U340" s="153">
        <v>1</v>
      </c>
      <c r="V340" s="153">
        <v>0</v>
      </c>
      <c r="W340" s="153">
        <v>1</v>
      </c>
      <c r="X340" s="153">
        <v>0</v>
      </c>
      <c r="Y340" s="153">
        <v>0</v>
      </c>
      <c r="Z340" s="153">
        <v>0</v>
      </c>
      <c r="AA340" s="153">
        <v>0</v>
      </c>
      <c r="AB340" s="153"/>
      <c r="AC340" s="155">
        <v>45911</v>
      </c>
      <c r="AD340" s="156">
        <v>0.625</v>
      </c>
      <c r="AE340" s="153" t="s">
        <v>74</v>
      </c>
      <c r="AF340" s="155">
        <v>45918</v>
      </c>
      <c r="AG340" s="156">
        <v>0.70138888889050577</v>
      </c>
      <c r="AH340" s="153" t="s">
        <v>96</v>
      </c>
      <c r="AI340" s="153" t="s">
        <v>3021</v>
      </c>
      <c r="AJ340" s="153" t="s">
        <v>64</v>
      </c>
      <c r="AK340" s="153" t="s">
        <v>64</v>
      </c>
      <c r="AL340" s="153" t="s">
        <v>2306</v>
      </c>
      <c r="AM340" s="149" t="s">
        <v>65</v>
      </c>
      <c r="AN340" s="158"/>
      <c r="AO340" s="159"/>
      <c r="AQ340"/>
      <c r="AR340"/>
      <c r="AS340"/>
      <c r="AT340"/>
      <c r="AU340"/>
    </row>
    <row r="341" spans="1:47" s="151" customFormat="1" ht="14.25" customHeight="1">
      <c r="A341" s="139"/>
      <c r="B341" s="139"/>
      <c r="C341" s="152">
        <f>IF($X341=1,COUNTIF($C$10:C340,"&gt;0")+1,"")</f>
        <v>163</v>
      </c>
      <c r="D341" s="314">
        <v>75988531</v>
      </c>
      <c r="E341" s="153" t="s">
        <v>3014</v>
      </c>
      <c r="F341" s="154" t="s">
        <v>3500</v>
      </c>
      <c r="G341" s="182" t="s">
        <v>3500</v>
      </c>
      <c r="H341" s="153" t="s">
        <v>3501</v>
      </c>
      <c r="I341" s="153" t="s">
        <v>390</v>
      </c>
      <c r="J341" s="153" t="s">
        <v>68</v>
      </c>
      <c r="K341" s="153" t="s">
        <v>59</v>
      </c>
      <c r="L341" s="155">
        <v>31778</v>
      </c>
      <c r="M341" s="153">
        <v>38</v>
      </c>
      <c r="N341" s="153" t="s">
        <v>3502</v>
      </c>
      <c r="O341" s="155">
        <v>45425</v>
      </c>
      <c r="P341" s="153" t="s">
        <v>4</v>
      </c>
      <c r="Q341" s="153"/>
      <c r="R341" s="162">
        <v>45913</v>
      </c>
      <c r="S341" s="163">
        <v>45918</v>
      </c>
      <c r="T341" s="164">
        <f t="shared" si="5"/>
        <v>5</v>
      </c>
      <c r="U341" s="153">
        <v>1</v>
      </c>
      <c r="V341" s="153">
        <v>1</v>
      </c>
      <c r="W341" s="153">
        <v>0</v>
      </c>
      <c r="X341" s="153">
        <v>1</v>
      </c>
      <c r="Y341" s="153">
        <v>0</v>
      </c>
      <c r="Z341" s="153">
        <v>1</v>
      </c>
      <c r="AA341" s="153">
        <v>0</v>
      </c>
      <c r="AB341" s="153"/>
      <c r="AC341" s="155">
        <v>45911</v>
      </c>
      <c r="AD341" s="156">
        <v>0.625</v>
      </c>
      <c r="AE341" s="153" t="s">
        <v>74</v>
      </c>
      <c r="AF341" s="155">
        <v>45918</v>
      </c>
      <c r="AG341" s="156">
        <v>0.70138888889050577</v>
      </c>
      <c r="AH341" s="153" t="s">
        <v>96</v>
      </c>
      <c r="AI341" s="153" t="s">
        <v>3021</v>
      </c>
      <c r="AJ341" s="153" t="s">
        <v>64</v>
      </c>
      <c r="AK341" s="153" t="s">
        <v>64</v>
      </c>
      <c r="AL341" s="153" t="s">
        <v>2306</v>
      </c>
      <c r="AM341" s="149" t="s">
        <v>65</v>
      </c>
      <c r="AN341" s="158"/>
      <c r="AO341" s="159"/>
      <c r="AQ341"/>
      <c r="AR341"/>
      <c r="AS341"/>
      <c r="AT341"/>
      <c r="AU341"/>
    </row>
    <row r="342" spans="1:47" s="151" customFormat="1" ht="14.25" customHeight="1">
      <c r="A342" s="139"/>
      <c r="B342" s="139"/>
      <c r="C342" s="152" t="str">
        <f>IF($X342=1,COUNTIF($C$10:C341,"&gt;0")+1,"")</f>
        <v/>
      </c>
      <c r="D342" s="321"/>
      <c r="E342" s="153" t="s">
        <v>3014</v>
      </c>
      <c r="F342" s="154" t="s">
        <v>3503</v>
      </c>
      <c r="G342" s="153" t="s">
        <v>3500</v>
      </c>
      <c r="H342" s="153" t="s">
        <v>3504</v>
      </c>
      <c r="I342" s="153" t="s">
        <v>2185</v>
      </c>
      <c r="J342" s="153" t="s">
        <v>58</v>
      </c>
      <c r="K342" s="153" t="s">
        <v>59</v>
      </c>
      <c r="L342" s="155">
        <v>32097</v>
      </c>
      <c r="M342" s="153">
        <v>37</v>
      </c>
      <c r="N342" s="153" t="s">
        <v>3505</v>
      </c>
      <c r="O342" s="155">
        <v>48100</v>
      </c>
      <c r="P342" s="153" t="s">
        <v>4</v>
      </c>
      <c r="Q342" s="153"/>
      <c r="R342" s="162">
        <v>45913</v>
      </c>
      <c r="S342" s="163">
        <v>45918</v>
      </c>
      <c r="T342" s="164">
        <f t="shared" si="5"/>
        <v>5</v>
      </c>
      <c r="U342" s="153">
        <v>1</v>
      </c>
      <c r="V342" s="153">
        <v>1</v>
      </c>
      <c r="W342" s="153">
        <v>0</v>
      </c>
      <c r="X342" s="153">
        <v>0</v>
      </c>
      <c r="Y342" s="153">
        <v>0</v>
      </c>
      <c r="Z342" s="153">
        <v>0</v>
      </c>
      <c r="AA342" s="153">
        <v>0</v>
      </c>
      <c r="AB342" s="153"/>
      <c r="AC342" s="155">
        <v>45911</v>
      </c>
      <c r="AD342" s="156">
        <v>0.625</v>
      </c>
      <c r="AE342" s="153" t="s">
        <v>74</v>
      </c>
      <c r="AF342" s="155">
        <v>45918</v>
      </c>
      <c r="AG342" s="156">
        <v>0.70138888889050577</v>
      </c>
      <c r="AH342" s="153" t="s">
        <v>96</v>
      </c>
      <c r="AI342" s="153" t="s">
        <v>3021</v>
      </c>
      <c r="AJ342" s="153" t="s">
        <v>64</v>
      </c>
      <c r="AK342" s="153" t="s">
        <v>64</v>
      </c>
      <c r="AL342" s="153" t="s">
        <v>2306</v>
      </c>
      <c r="AM342" s="149" t="s">
        <v>65</v>
      </c>
      <c r="AN342" s="158"/>
      <c r="AO342" s="159"/>
      <c r="AQ342"/>
      <c r="AR342"/>
      <c r="AS342"/>
      <c r="AT342"/>
      <c r="AU342"/>
    </row>
    <row r="343" spans="1:47" s="151" customFormat="1" ht="14.25" customHeight="1">
      <c r="A343" s="139"/>
      <c r="B343" s="139"/>
      <c r="C343" s="152" t="str">
        <f>IF($X343=1,COUNTIF($C$10:C342,"&gt;0")+1,"")</f>
        <v/>
      </c>
      <c r="D343" s="315"/>
      <c r="E343" s="153" t="s">
        <v>3014</v>
      </c>
      <c r="F343" s="154" t="s">
        <v>3506</v>
      </c>
      <c r="G343" s="153" t="s">
        <v>3500</v>
      </c>
      <c r="H343" s="153" t="s">
        <v>3507</v>
      </c>
      <c r="I343" s="153" t="s">
        <v>2185</v>
      </c>
      <c r="J343" s="153" t="s">
        <v>58</v>
      </c>
      <c r="K343" s="153" t="s">
        <v>59</v>
      </c>
      <c r="L343" s="155">
        <v>43344</v>
      </c>
      <c r="M343" s="153">
        <v>7</v>
      </c>
      <c r="N343" s="153" t="s">
        <v>3508</v>
      </c>
      <c r="O343" s="155">
        <v>46182</v>
      </c>
      <c r="P343" s="153" t="s">
        <v>4</v>
      </c>
      <c r="Q343" s="153"/>
      <c r="R343" s="162">
        <v>45913</v>
      </c>
      <c r="S343" s="163">
        <v>45918</v>
      </c>
      <c r="T343" s="164">
        <f t="shared" si="5"/>
        <v>5</v>
      </c>
      <c r="U343" s="153">
        <v>1</v>
      </c>
      <c r="V343" s="153">
        <v>0</v>
      </c>
      <c r="W343" s="153">
        <v>1</v>
      </c>
      <c r="X343" s="153">
        <v>0</v>
      </c>
      <c r="Y343" s="153">
        <v>0</v>
      </c>
      <c r="Z343" s="153">
        <v>0</v>
      </c>
      <c r="AA343" s="153">
        <v>0</v>
      </c>
      <c r="AB343" s="153"/>
      <c r="AC343" s="155">
        <v>45911</v>
      </c>
      <c r="AD343" s="156">
        <v>0.625</v>
      </c>
      <c r="AE343" s="153" t="s">
        <v>74</v>
      </c>
      <c r="AF343" s="155">
        <v>45918</v>
      </c>
      <c r="AG343" s="156">
        <v>0.70138888889050577</v>
      </c>
      <c r="AH343" s="153" t="s">
        <v>96</v>
      </c>
      <c r="AI343" s="153" t="s">
        <v>3021</v>
      </c>
      <c r="AJ343" s="153" t="s">
        <v>64</v>
      </c>
      <c r="AK343" s="153" t="s">
        <v>64</v>
      </c>
      <c r="AL343" s="153" t="s">
        <v>2306</v>
      </c>
      <c r="AM343" s="149" t="s">
        <v>65</v>
      </c>
      <c r="AN343" s="158"/>
      <c r="AO343" s="159"/>
      <c r="AQ343"/>
      <c r="AR343"/>
      <c r="AS343"/>
      <c r="AT343"/>
      <c r="AU343"/>
    </row>
    <row r="344" spans="1:47" s="151" customFormat="1" ht="14.25" customHeight="1">
      <c r="A344" s="139"/>
      <c r="B344" s="139"/>
      <c r="C344" s="152">
        <f>IF($X344=1,COUNTIF($C$10:C343,"&gt;0")+1,"")</f>
        <v>164</v>
      </c>
      <c r="D344" s="314">
        <v>75988610</v>
      </c>
      <c r="E344" s="153" t="s">
        <v>3014</v>
      </c>
      <c r="F344" s="154" t="s">
        <v>3509</v>
      </c>
      <c r="G344" s="153" t="s">
        <v>3509</v>
      </c>
      <c r="H344" s="153" t="s">
        <v>3510</v>
      </c>
      <c r="I344" s="153" t="s">
        <v>175</v>
      </c>
      <c r="J344" s="153" t="s">
        <v>68</v>
      </c>
      <c r="K344" s="153" t="s">
        <v>59</v>
      </c>
      <c r="L344" s="155">
        <v>27380</v>
      </c>
      <c r="M344" s="153">
        <v>50</v>
      </c>
      <c r="N344" s="153" t="s">
        <v>3511</v>
      </c>
      <c r="O344" s="155">
        <v>48303</v>
      </c>
      <c r="P344" s="153" t="s">
        <v>4</v>
      </c>
      <c r="Q344" s="153"/>
      <c r="R344" s="162">
        <v>45913</v>
      </c>
      <c r="S344" s="163">
        <v>45918</v>
      </c>
      <c r="T344" s="164">
        <f t="shared" si="5"/>
        <v>5</v>
      </c>
      <c r="U344" s="153">
        <v>1</v>
      </c>
      <c r="V344" s="153">
        <v>1</v>
      </c>
      <c r="W344" s="153">
        <v>0</v>
      </c>
      <c r="X344" s="153">
        <v>1</v>
      </c>
      <c r="Y344" s="153">
        <v>0</v>
      </c>
      <c r="Z344" s="153">
        <v>1</v>
      </c>
      <c r="AA344" s="153">
        <v>0</v>
      </c>
      <c r="AB344" s="153"/>
      <c r="AC344" s="155">
        <v>45913</v>
      </c>
      <c r="AD344" s="156">
        <v>0.18055555555474712</v>
      </c>
      <c r="AE344" s="153" t="s">
        <v>95</v>
      </c>
      <c r="AF344" s="155">
        <v>45918</v>
      </c>
      <c r="AG344" s="156">
        <v>0.70138888889050577</v>
      </c>
      <c r="AH344" s="153" t="s">
        <v>96</v>
      </c>
      <c r="AI344" s="153" t="s">
        <v>3021</v>
      </c>
      <c r="AJ344" s="153" t="s">
        <v>64</v>
      </c>
      <c r="AK344" s="153" t="s">
        <v>64</v>
      </c>
      <c r="AL344" s="153" t="s">
        <v>2306</v>
      </c>
      <c r="AM344" s="149" t="s">
        <v>65</v>
      </c>
      <c r="AN344" s="158"/>
      <c r="AO344" s="159"/>
      <c r="AQ344"/>
      <c r="AR344"/>
      <c r="AS344"/>
      <c r="AT344"/>
      <c r="AU344"/>
    </row>
    <row r="345" spans="1:47" s="151" customFormat="1" ht="14.25" customHeight="1">
      <c r="A345" s="139"/>
      <c r="B345" s="139"/>
      <c r="C345" s="152" t="str">
        <f>IF($X345=1,COUNTIF($C$10:C344,"&gt;0")+1,"")</f>
        <v/>
      </c>
      <c r="D345" s="315"/>
      <c r="E345" s="153" t="s">
        <v>3014</v>
      </c>
      <c r="F345" s="154" t="s">
        <v>3512</v>
      </c>
      <c r="G345" s="153" t="s">
        <v>3509</v>
      </c>
      <c r="H345" s="153" t="s">
        <v>3513</v>
      </c>
      <c r="I345" s="153" t="s">
        <v>175</v>
      </c>
      <c r="J345" s="153" t="s">
        <v>58</v>
      </c>
      <c r="K345" s="153" t="s">
        <v>59</v>
      </c>
      <c r="L345" s="155">
        <v>26604</v>
      </c>
      <c r="M345" s="153">
        <v>52</v>
      </c>
      <c r="N345" s="153" t="s">
        <v>3514</v>
      </c>
      <c r="O345" s="155">
        <v>48303</v>
      </c>
      <c r="P345" s="153" t="s">
        <v>4</v>
      </c>
      <c r="Q345" s="153"/>
      <c r="R345" s="162">
        <v>45913</v>
      </c>
      <c r="S345" s="163">
        <v>45918</v>
      </c>
      <c r="T345" s="164">
        <f t="shared" si="5"/>
        <v>5</v>
      </c>
      <c r="U345" s="153">
        <v>1</v>
      </c>
      <c r="V345" s="153">
        <v>1</v>
      </c>
      <c r="W345" s="153">
        <v>0</v>
      </c>
      <c r="X345" s="153">
        <v>0</v>
      </c>
      <c r="Y345" s="153">
        <v>0</v>
      </c>
      <c r="Z345" s="153">
        <v>0</v>
      </c>
      <c r="AA345" s="153">
        <v>0</v>
      </c>
      <c r="AB345" s="153"/>
      <c r="AC345" s="155">
        <v>45913</v>
      </c>
      <c r="AD345" s="156">
        <v>0.18055555555474712</v>
      </c>
      <c r="AE345" s="153" t="s">
        <v>95</v>
      </c>
      <c r="AF345" s="155">
        <v>45918</v>
      </c>
      <c r="AG345" s="156">
        <v>0.70138888889050577</v>
      </c>
      <c r="AH345" s="153" t="s">
        <v>96</v>
      </c>
      <c r="AI345" s="153" t="s">
        <v>3021</v>
      </c>
      <c r="AJ345" s="153" t="s">
        <v>64</v>
      </c>
      <c r="AK345" s="153" t="s">
        <v>64</v>
      </c>
      <c r="AL345" s="153" t="s">
        <v>2306</v>
      </c>
      <c r="AM345" s="149" t="s">
        <v>65</v>
      </c>
      <c r="AN345" s="158"/>
      <c r="AO345" s="159"/>
      <c r="AQ345"/>
      <c r="AR345"/>
      <c r="AS345"/>
      <c r="AT345"/>
      <c r="AU345"/>
    </row>
    <row r="346" spans="1:47" s="151" customFormat="1" ht="14.25" customHeight="1">
      <c r="A346" s="139"/>
      <c r="B346" s="139"/>
      <c r="C346" s="152">
        <f>IF($X346=1,COUNTIF($C$10:C345,"&gt;0")+1,"")</f>
        <v>165</v>
      </c>
      <c r="D346" s="314">
        <v>75988641</v>
      </c>
      <c r="E346" s="153" t="s">
        <v>3014</v>
      </c>
      <c r="F346" s="154" t="s">
        <v>3515</v>
      </c>
      <c r="G346" s="153" t="s">
        <v>3515</v>
      </c>
      <c r="H346" s="168" t="s">
        <v>3516</v>
      </c>
      <c r="I346" s="168" t="s">
        <v>390</v>
      </c>
      <c r="J346" s="168" t="s">
        <v>58</v>
      </c>
      <c r="K346" s="168" t="s">
        <v>59</v>
      </c>
      <c r="L346" s="169">
        <v>30214</v>
      </c>
      <c r="M346" s="168">
        <v>42</v>
      </c>
      <c r="N346" s="168" t="s">
        <v>3517</v>
      </c>
      <c r="O346" s="169">
        <v>47261</v>
      </c>
      <c r="P346" s="168" t="s">
        <v>4</v>
      </c>
      <c r="Q346" s="153"/>
      <c r="R346" s="162">
        <v>45913</v>
      </c>
      <c r="S346" s="163">
        <v>45918</v>
      </c>
      <c r="T346" s="164">
        <f t="shared" si="5"/>
        <v>5</v>
      </c>
      <c r="U346" s="153">
        <v>1</v>
      </c>
      <c r="V346" s="153">
        <v>1</v>
      </c>
      <c r="W346" s="153">
        <v>0</v>
      </c>
      <c r="X346" s="153">
        <v>1</v>
      </c>
      <c r="Y346" s="153">
        <v>0</v>
      </c>
      <c r="Z346" s="153">
        <v>1</v>
      </c>
      <c r="AA346" s="153">
        <v>0</v>
      </c>
      <c r="AB346" s="153"/>
      <c r="AC346" s="155">
        <v>45911</v>
      </c>
      <c r="AD346" s="156">
        <v>0.625</v>
      </c>
      <c r="AE346" s="153" t="s">
        <v>74</v>
      </c>
      <c r="AF346" s="155">
        <v>45918</v>
      </c>
      <c r="AG346" s="156">
        <v>0.70138888889050577</v>
      </c>
      <c r="AH346" s="153" t="s">
        <v>96</v>
      </c>
      <c r="AI346" s="153" t="s">
        <v>3021</v>
      </c>
      <c r="AJ346" s="153" t="s">
        <v>64</v>
      </c>
      <c r="AK346" s="153" t="s">
        <v>2696</v>
      </c>
      <c r="AL346" s="153" t="s">
        <v>2306</v>
      </c>
      <c r="AM346" s="149" t="s">
        <v>65</v>
      </c>
      <c r="AN346" s="158"/>
      <c r="AO346" s="171" t="s">
        <v>3518</v>
      </c>
      <c r="AQ346"/>
      <c r="AR346"/>
      <c r="AS346"/>
      <c r="AT346"/>
      <c r="AU346"/>
    </row>
    <row r="347" spans="1:47" s="151" customFormat="1" ht="14.25" customHeight="1">
      <c r="A347" s="139"/>
      <c r="B347" s="139"/>
      <c r="C347" s="152" t="str">
        <f>IF($X347=1,COUNTIF($C$10:C346,"&gt;0")+1,"")</f>
        <v/>
      </c>
      <c r="D347" s="321"/>
      <c r="E347" s="153" t="s">
        <v>3014</v>
      </c>
      <c r="F347" s="154" t="s">
        <v>3519</v>
      </c>
      <c r="G347" s="153" t="s">
        <v>3515</v>
      </c>
      <c r="H347" s="168" t="s">
        <v>3520</v>
      </c>
      <c r="I347" s="168" t="s">
        <v>1818</v>
      </c>
      <c r="J347" s="168" t="s">
        <v>68</v>
      </c>
      <c r="K347" s="168" t="s">
        <v>64</v>
      </c>
      <c r="L347" s="169" t="s">
        <v>64</v>
      </c>
      <c r="M347" s="168" t="s">
        <v>64</v>
      </c>
      <c r="N347" s="168" t="s">
        <v>64</v>
      </c>
      <c r="O347" s="169" t="s">
        <v>64</v>
      </c>
      <c r="P347" s="168" t="s">
        <v>4</v>
      </c>
      <c r="Q347" s="153"/>
      <c r="R347" s="162">
        <v>45913</v>
      </c>
      <c r="S347" s="163">
        <v>45918</v>
      </c>
      <c r="T347" s="164">
        <f t="shared" si="5"/>
        <v>5</v>
      </c>
      <c r="U347" s="153">
        <v>1</v>
      </c>
      <c r="V347" s="153">
        <v>1</v>
      </c>
      <c r="W347" s="153">
        <v>0</v>
      </c>
      <c r="X347" s="153">
        <v>0</v>
      </c>
      <c r="Y347" s="153">
        <v>0</v>
      </c>
      <c r="Z347" s="153">
        <v>0</v>
      </c>
      <c r="AA347" s="153">
        <v>0</v>
      </c>
      <c r="AB347" s="153"/>
      <c r="AC347" s="155">
        <v>45911</v>
      </c>
      <c r="AD347" s="156">
        <v>0.625</v>
      </c>
      <c r="AE347" s="153" t="s">
        <v>74</v>
      </c>
      <c r="AF347" s="155">
        <v>45918</v>
      </c>
      <c r="AG347" s="156">
        <v>0.70138888889050577</v>
      </c>
      <c r="AH347" s="153" t="s">
        <v>96</v>
      </c>
      <c r="AI347" s="153" t="s">
        <v>3021</v>
      </c>
      <c r="AJ347" s="153" t="s">
        <v>64</v>
      </c>
      <c r="AK347" s="153" t="s">
        <v>64</v>
      </c>
      <c r="AL347" s="153" t="s">
        <v>2306</v>
      </c>
      <c r="AM347" s="149" t="s">
        <v>65</v>
      </c>
      <c r="AN347" s="158"/>
      <c r="AO347" s="171" t="s">
        <v>3518</v>
      </c>
      <c r="AQ347"/>
      <c r="AR347"/>
      <c r="AS347"/>
      <c r="AT347"/>
      <c r="AU347"/>
    </row>
    <row r="348" spans="1:47" s="151" customFormat="1" ht="14.25" customHeight="1">
      <c r="A348" s="139"/>
      <c r="B348" s="139"/>
      <c r="C348" s="152" t="str">
        <f>IF($X348=1,COUNTIF($C$10:C347,"&gt;0")+1,"")</f>
        <v/>
      </c>
      <c r="D348" s="315"/>
      <c r="E348" s="153" t="s">
        <v>3014</v>
      </c>
      <c r="F348" s="154" t="s">
        <v>3521</v>
      </c>
      <c r="G348" s="153" t="s">
        <v>3515</v>
      </c>
      <c r="H348" s="168" t="s">
        <v>3522</v>
      </c>
      <c r="I348" s="168" t="s">
        <v>390</v>
      </c>
      <c r="J348" s="168" t="s">
        <v>58</v>
      </c>
      <c r="K348" s="168" t="s">
        <v>59</v>
      </c>
      <c r="L348" s="169">
        <v>43619</v>
      </c>
      <c r="M348" s="168">
        <v>6</v>
      </c>
      <c r="N348" s="168" t="s">
        <v>3523</v>
      </c>
      <c r="O348" s="169">
        <v>47007</v>
      </c>
      <c r="P348" s="168" t="s">
        <v>4</v>
      </c>
      <c r="Q348" s="153"/>
      <c r="R348" s="162">
        <v>45913</v>
      </c>
      <c r="S348" s="163">
        <v>45918</v>
      </c>
      <c r="T348" s="164">
        <f t="shared" si="5"/>
        <v>5</v>
      </c>
      <c r="U348" s="153">
        <v>1</v>
      </c>
      <c r="V348" s="153">
        <v>0</v>
      </c>
      <c r="W348" s="153">
        <v>1</v>
      </c>
      <c r="X348" s="153">
        <v>0</v>
      </c>
      <c r="Y348" s="153">
        <v>0</v>
      </c>
      <c r="Z348" s="153">
        <v>0</v>
      </c>
      <c r="AA348" s="153">
        <v>0</v>
      </c>
      <c r="AB348" s="153"/>
      <c r="AC348" s="155">
        <v>45911</v>
      </c>
      <c r="AD348" s="156">
        <v>0.625</v>
      </c>
      <c r="AE348" s="153" t="s">
        <v>74</v>
      </c>
      <c r="AF348" s="155">
        <v>45918</v>
      </c>
      <c r="AG348" s="156">
        <v>0.70138888889050577</v>
      </c>
      <c r="AH348" s="153" t="s">
        <v>96</v>
      </c>
      <c r="AI348" s="153" t="s">
        <v>3021</v>
      </c>
      <c r="AJ348" s="153" t="s">
        <v>64</v>
      </c>
      <c r="AK348" s="153" t="s">
        <v>64</v>
      </c>
      <c r="AL348" s="153" t="s">
        <v>2306</v>
      </c>
      <c r="AM348" s="149" t="s">
        <v>65</v>
      </c>
      <c r="AN348" s="158"/>
      <c r="AO348" s="171" t="s">
        <v>3518</v>
      </c>
      <c r="AQ348"/>
      <c r="AR348"/>
      <c r="AS348"/>
      <c r="AT348"/>
      <c r="AU348"/>
    </row>
    <row r="349" spans="1:47" s="151" customFormat="1" ht="14.25" customHeight="1">
      <c r="A349" s="139"/>
      <c r="B349" s="139"/>
      <c r="C349" s="152">
        <f>IF($X349=1,COUNTIF($C$10:C348,"&gt;0")+1,"")</f>
        <v>166</v>
      </c>
      <c r="D349" s="314">
        <v>75988651</v>
      </c>
      <c r="E349" s="153" t="s">
        <v>3014</v>
      </c>
      <c r="F349" s="154" t="s">
        <v>3524</v>
      </c>
      <c r="G349" s="153" t="s">
        <v>3524</v>
      </c>
      <c r="H349" s="153" t="s">
        <v>3525</v>
      </c>
      <c r="I349" s="153" t="s">
        <v>455</v>
      </c>
      <c r="J349" s="153" t="s">
        <v>68</v>
      </c>
      <c r="K349" s="153" t="s">
        <v>748</v>
      </c>
      <c r="L349" s="155">
        <v>34489</v>
      </c>
      <c r="M349" s="153">
        <v>31</v>
      </c>
      <c r="N349" s="153" t="s">
        <v>3526</v>
      </c>
      <c r="O349" s="155">
        <v>49479</v>
      </c>
      <c r="P349" s="153" t="s">
        <v>4</v>
      </c>
      <c r="Q349" s="153"/>
      <c r="R349" s="162">
        <v>45913</v>
      </c>
      <c r="S349" s="163">
        <v>45918</v>
      </c>
      <c r="T349" s="164">
        <f t="shared" si="5"/>
        <v>5</v>
      </c>
      <c r="U349" s="153">
        <v>1</v>
      </c>
      <c r="V349" s="153">
        <v>1</v>
      </c>
      <c r="W349" s="153">
        <v>0</v>
      </c>
      <c r="X349" s="153">
        <v>1</v>
      </c>
      <c r="Y349" s="153">
        <v>0</v>
      </c>
      <c r="Z349" s="153">
        <v>1</v>
      </c>
      <c r="AA349" s="153">
        <v>0</v>
      </c>
      <c r="AB349" s="153"/>
      <c r="AC349" s="155">
        <v>45911</v>
      </c>
      <c r="AD349" s="156">
        <v>0.625</v>
      </c>
      <c r="AE349" s="153" t="s">
        <v>74</v>
      </c>
      <c r="AF349" s="155">
        <v>45918</v>
      </c>
      <c r="AG349" s="156">
        <v>0.70138888889050577</v>
      </c>
      <c r="AH349" s="153" t="s">
        <v>96</v>
      </c>
      <c r="AI349" s="153" t="s">
        <v>3021</v>
      </c>
      <c r="AJ349" s="153" t="s">
        <v>64</v>
      </c>
      <c r="AK349" s="153" t="s">
        <v>64</v>
      </c>
      <c r="AL349" s="153" t="s">
        <v>2306</v>
      </c>
      <c r="AM349" s="149" t="s">
        <v>65</v>
      </c>
      <c r="AN349" s="158"/>
      <c r="AO349" s="159"/>
      <c r="AQ349"/>
      <c r="AR349"/>
      <c r="AS349"/>
      <c r="AT349"/>
      <c r="AU349"/>
    </row>
    <row r="350" spans="1:47" s="151" customFormat="1" ht="14.25" customHeight="1">
      <c r="A350" s="139"/>
      <c r="B350" s="139"/>
      <c r="C350" s="152" t="str">
        <f>IF($X350=1,COUNTIF($C$10:C349,"&gt;0")+1,"")</f>
        <v/>
      </c>
      <c r="D350" s="315"/>
      <c r="E350" s="153" t="s">
        <v>3014</v>
      </c>
      <c r="F350" s="154" t="s">
        <v>3527</v>
      </c>
      <c r="G350" s="153" t="s">
        <v>3524</v>
      </c>
      <c r="H350" s="153" t="s">
        <v>3528</v>
      </c>
      <c r="I350" s="153" t="s">
        <v>3529</v>
      </c>
      <c r="J350" s="153" t="s">
        <v>68</v>
      </c>
      <c r="K350" s="153" t="s">
        <v>64</v>
      </c>
      <c r="L350" s="155" t="s">
        <v>64</v>
      </c>
      <c r="M350" s="153" t="s">
        <v>64</v>
      </c>
      <c r="N350" s="153" t="s">
        <v>64</v>
      </c>
      <c r="O350" s="155" t="s">
        <v>64</v>
      </c>
      <c r="P350" s="153" t="s">
        <v>4</v>
      </c>
      <c r="Q350" s="153"/>
      <c r="R350" s="162">
        <v>45913</v>
      </c>
      <c r="S350" s="163">
        <v>45918</v>
      </c>
      <c r="T350" s="164">
        <f t="shared" si="5"/>
        <v>5</v>
      </c>
      <c r="U350" s="153">
        <v>1</v>
      </c>
      <c r="V350" s="153">
        <v>1</v>
      </c>
      <c r="W350" s="153">
        <v>0</v>
      </c>
      <c r="X350" s="153">
        <v>0</v>
      </c>
      <c r="Y350" s="153">
        <v>0</v>
      </c>
      <c r="Z350" s="153">
        <v>0</v>
      </c>
      <c r="AA350" s="153">
        <v>0</v>
      </c>
      <c r="AB350" s="153"/>
      <c r="AC350" s="155">
        <v>45911</v>
      </c>
      <c r="AD350" s="156">
        <v>0.625</v>
      </c>
      <c r="AE350" s="153" t="s">
        <v>74</v>
      </c>
      <c r="AF350" s="155">
        <v>45918</v>
      </c>
      <c r="AG350" s="156">
        <v>0.70138888889050577</v>
      </c>
      <c r="AH350" s="153" t="s">
        <v>96</v>
      </c>
      <c r="AI350" s="153" t="s">
        <v>3021</v>
      </c>
      <c r="AJ350" s="153" t="s">
        <v>64</v>
      </c>
      <c r="AK350" s="153" t="s">
        <v>64</v>
      </c>
      <c r="AL350" s="153" t="s">
        <v>2306</v>
      </c>
      <c r="AM350" s="149" t="s">
        <v>65</v>
      </c>
      <c r="AN350" s="158"/>
      <c r="AO350" s="159"/>
      <c r="AQ350"/>
      <c r="AR350"/>
      <c r="AS350"/>
      <c r="AT350"/>
      <c r="AU350"/>
    </row>
    <row r="351" spans="1:47" s="151" customFormat="1" ht="14.25" customHeight="1">
      <c r="A351" s="139"/>
      <c r="B351" s="139"/>
      <c r="C351" s="152">
        <f>IF($X351=1,COUNTIF($C$10:C350,"&gt;0")+1,"")</f>
        <v>167</v>
      </c>
      <c r="D351" s="314">
        <v>75988680</v>
      </c>
      <c r="E351" s="153" t="s">
        <v>3530</v>
      </c>
      <c r="F351" s="154" t="s">
        <v>3531</v>
      </c>
      <c r="G351" s="153" t="s">
        <v>3531</v>
      </c>
      <c r="H351" s="153" t="s">
        <v>3532</v>
      </c>
      <c r="I351" s="153" t="s">
        <v>3533</v>
      </c>
      <c r="J351" s="153" t="s">
        <v>58</v>
      </c>
      <c r="K351" s="153" t="s">
        <v>59</v>
      </c>
      <c r="L351" s="155">
        <v>21410</v>
      </c>
      <c r="M351" s="153">
        <v>67</v>
      </c>
      <c r="N351" s="153" t="s">
        <v>3534</v>
      </c>
      <c r="O351" s="155">
        <v>46685</v>
      </c>
      <c r="P351" s="153" t="s">
        <v>4</v>
      </c>
      <c r="Q351" s="153"/>
      <c r="R351" s="162">
        <v>45913</v>
      </c>
      <c r="S351" s="163">
        <v>45918</v>
      </c>
      <c r="T351" s="164">
        <f t="shared" si="5"/>
        <v>5</v>
      </c>
      <c r="U351" s="153">
        <v>1</v>
      </c>
      <c r="V351" s="153">
        <v>1</v>
      </c>
      <c r="W351" s="153">
        <v>0</v>
      </c>
      <c r="X351" s="153">
        <v>1</v>
      </c>
      <c r="Y351" s="153">
        <v>0</v>
      </c>
      <c r="Z351" s="153">
        <v>1</v>
      </c>
      <c r="AA351" s="153">
        <v>0</v>
      </c>
      <c r="AB351" s="153"/>
      <c r="AC351" s="155">
        <v>45913</v>
      </c>
      <c r="AD351" s="156">
        <v>0.72222222221898846</v>
      </c>
      <c r="AE351" s="153" t="s">
        <v>3535</v>
      </c>
      <c r="AF351" s="155">
        <v>45918</v>
      </c>
      <c r="AG351" s="156">
        <v>0.42361111110949423</v>
      </c>
      <c r="AH351" s="153" t="s">
        <v>2113</v>
      </c>
      <c r="AI351" s="153" t="s">
        <v>3536</v>
      </c>
      <c r="AJ351" s="153" t="s">
        <v>598</v>
      </c>
      <c r="AK351" s="153"/>
      <c r="AL351" s="153" t="s">
        <v>2306</v>
      </c>
      <c r="AM351" s="149" t="s">
        <v>65</v>
      </c>
      <c r="AN351" s="158"/>
      <c r="AO351" s="159"/>
      <c r="AQ351"/>
      <c r="AR351"/>
      <c r="AS351"/>
      <c r="AT351"/>
      <c r="AU351"/>
    </row>
    <row r="352" spans="1:47" s="151" customFormat="1" ht="14.25" customHeight="1">
      <c r="A352" s="139"/>
      <c r="B352" s="139"/>
      <c r="C352" s="152" t="str">
        <f>IF($X352=1,COUNTIF($C$10:C351,"&gt;0")+1,"")</f>
        <v/>
      </c>
      <c r="D352" s="315"/>
      <c r="E352" s="153" t="s">
        <v>3530</v>
      </c>
      <c r="F352" s="154" t="s">
        <v>3537</v>
      </c>
      <c r="G352" s="153" t="s">
        <v>3531</v>
      </c>
      <c r="H352" s="153" t="s">
        <v>3538</v>
      </c>
      <c r="I352" s="153" t="s">
        <v>755</v>
      </c>
      <c r="J352" s="153" t="s">
        <v>68</v>
      </c>
      <c r="K352" s="153" t="s">
        <v>748</v>
      </c>
      <c r="L352" s="155">
        <v>28747</v>
      </c>
      <c r="M352" s="153">
        <v>47</v>
      </c>
      <c r="N352" s="153" t="s">
        <v>3539</v>
      </c>
      <c r="O352" s="155">
        <v>49017</v>
      </c>
      <c r="P352" s="153" t="s">
        <v>4</v>
      </c>
      <c r="Q352" s="153"/>
      <c r="R352" s="162">
        <v>45913</v>
      </c>
      <c r="S352" s="163">
        <v>45918</v>
      </c>
      <c r="T352" s="164">
        <f t="shared" si="5"/>
        <v>5</v>
      </c>
      <c r="U352" s="153">
        <v>1</v>
      </c>
      <c r="V352" s="153">
        <v>1</v>
      </c>
      <c r="W352" s="153">
        <v>0</v>
      </c>
      <c r="X352" s="153">
        <v>0</v>
      </c>
      <c r="Y352" s="153">
        <v>0</v>
      </c>
      <c r="Z352" s="153">
        <v>0</v>
      </c>
      <c r="AA352" s="153">
        <v>0</v>
      </c>
      <c r="AB352" s="153"/>
      <c r="AC352" s="155">
        <v>45913</v>
      </c>
      <c r="AD352" s="156">
        <v>0.72222222221898846</v>
      </c>
      <c r="AE352" s="153" t="s">
        <v>3535</v>
      </c>
      <c r="AF352" s="155">
        <v>45918</v>
      </c>
      <c r="AG352" s="156">
        <v>0.42361111110949423</v>
      </c>
      <c r="AH352" s="153" t="s">
        <v>2113</v>
      </c>
      <c r="AI352" s="153" t="s">
        <v>3536</v>
      </c>
      <c r="AJ352" s="153" t="s">
        <v>64</v>
      </c>
      <c r="AK352" s="153"/>
      <c r="AL352" s="153" t="s">
        <v>2306</v>
      </c>
      <c r="AM352" s="149" t="s">
        <v>65</v>
      </c>
      <c r="AN352" s="158"/>
      <c r="AO352" s="159"/>
      <c r="AQ352"/>
      <c r="AR352"/>
      <c r="AS352"/>
      <c r="AT352"/>
      <c r="AU352"/>
    </row>
    <row r="353" spans="1:47" s="151" customFormat="1" ht="14.25" customHeight="1">
      <c r="A353" s="139"/>
      <c r="B353" s="139"/>
      <c r="C353" s="152">
        <f>IF($X353=1,COUNTIF($C$10:C352,"&gt;0")+1,"")</f>
        <v>168</v>
      </c>
      <c r="D353" s="314">
        <v>75988768</v>
      </c>
      <c r="E353" s="153" t="s">
        <v>3530</v>
      </c>
      <c r="F353" s="154" t="s">
        <v>3540</v>
      </c>
      <c r="G353" s="153" t="s">
        <v>3540</v>
      </c>
      <c r="H353" s="153" t="s">
        <v>3541</v>
      </c>
      <c r="I353" s="153" t="s">
        <v>3542</v>
      </c>
      <c r="J353" s="153" t="s">
        <v>58</v>
      </c>
      <c r="K353" s="153" t="s">
        <v>59</v>
      </c>
      <c r="L353" s="155">
        <v>26490</v>
      </c>
      <c r="M353" s="153">
        <v>53</v>
      </c>
      <c r="N353" s="153" t="s">
        <v>3543</v>
      </c>
      <c r="O353" s="155">
        <v>48287</v>
      </c>
      <c r="P353" s="153" t="s">
        <v>4</v>
      </c>
      <c r="Q353" s="153"/>
      <c r="R353" s="162">
        <v>45913</v>
      </c>
      <c r="S353" s="163">
        <v>45918</v>
      </c>
      <c r="T353" s="164">
        <f t="shared" si="5"/>
        <v>5</v>
      </c>
      <c r="U353" s="153">
        <v>1</v>
      </c>
      <c r="V353" s="153">
        <v>1</v>
      </c>
      <c r="W353" s="153">
        <v>0</v>
      </c>
      <c r="X353" s="153">
        <v>1</v>
      </c>
      <c r="Y353" s="153">
        <v>0</v>
      </c>
      <c r="Z353" s="153">
        <v>1</v>
      </c>
      <c r="AA353" s="153">
        <v>0</v>
      </c>
      <c r="AB353" s="153"/>
      <c r="AC353" s="155">
        <v>45913</v>
      </c>
      <c r="AD353" s="156">
        <v>0.20833333333575865</v>
      </c>
      <c r="AE353" s="153" t="s">
        <v>1325</v>
      </c>
      <c r="AF353" s="155">
        <v>45918</v>
      </c>
      <c r="AG353" s="156">
        <v>0.61458333333575865</v>
      </c>
      <c r="AH353" s="153" t="s">
        <v>3544</v>
      </c>
      <c r="AI353" s="153" t="s">
        <v>3536</v>
      </c>
      <c r="AJ353" s="153" t="s">
        <v>64</v>
      </c>
      <c r="AK353" s="153" t="s">
        <v>64</v>
      </c>
      <c r="AL353" s="153" t="s">
        <v>2306</v>
      </c>
      <c r="AM353" s="149" t="s">
        <v>65</v>
      </c>
      <c r="AN353" s="158"/>
      <c r="AO353" s="159"/>
      <c r="AQ353"/>
      <c r="AR353"/>
      <c r="AS353"/>
      <c r="AT353"/>
      <c r="AU353"/>
    </row>
    <row r="354" spans="1:47" s="151" customFormat="1" ht="14.25" customHeight="1">
      <c r="A354" s="139"/>
      <c r="B354" s="139"/>
      <c r="C354" s="152" t="str">
        <f>IF($X354=1,COUNTIF($C$10:C353,"&gt;0")+1,"")</f>
        <v/>
      </c>
      <c r="D354" s="315"/>
      <c r="E354" s="153" t="s">
        <v>3530</v>
      </c>
      <c r="F354" s="154" t="s">
        <v>3545</v>
      </c>
      <c r="G354" s="153" t="s">
        <v>3540</v>
      </c>
      <c r="H354" s="153" t="s">
        <v>3546</v>
      </c>
      <c r="I354" s="153" t="s">
        <v>3547</v>
      </c>
      <c r="J354" s="153" t="s">
        <v>68</v>
      </c>
      <c r="K354" s="153" t="s">
        <v>59</v>
      </c>
      <c r="L354" s="155">
        <v>29168</v>
      </c>
      <c r="M354" s="153">
        <v>45</v>
      </c>
      <c r="N354" s="153" t="s">
        <v>3548</v>
      </c>
      <c r="O354" s="155">
        <v>48375</v>
      </c>
      <c r="P354" s="153" t="s">
        <v>4</v>
      </c>
      <c r="Q354" s="153"/>
      <c r="R354" s="162">
        <v>45913</v>
      </c>
      <c r="S354" s="163">
        <v>45918</v>
      </c>
      <c r="T354" s="164">
        <f t="shared" si="5"/>
        <v>5</v>
      </c>
      <c r="U354" s="153">
        <v>1</v>
      </c>
      <c r="V354" s="153">
        <v>1</v>
      </c>
      <c r="W354" s="153">
        <v>0</v>
      </c>
      <c r="X354" s="153">
        <v>0</v>
      </c>
      <c r="Y354" s="153">
        <v>0</v>
      </c>
      <c r="Z354" s="153">
        <v>0</v>
      </c>
      <c r="AA354" s="153">
        <v>0</v>
      </c>
      <c r="AB354" s="153"/>
      <c r="AC354" s="155">
        <v>45913</v>
      </c>
      <c r="AD354" s="156">
        <v>0.20833333333575865</v>
      </c>
      <c r="AE354" s="153" t="s">
        <v>1325</v>
      </c>
      <c r="AF354" s="155">
        <v>45918</v>
      </c>
      <c r="AG354" s="156">
        <v>0.61458333333575865</v>
      </c>
      <c r="AH354" s="153" t="s">
        <v>3544</v>
      </c>
      <c r="AI354" s="153" t="s">
        <v>3536</v>
      </c>
      <c r="AJ354" s="153" t="s">
        <v>64</v>
      </c>
      <c r="AK354" s="153" t="s">
        <v>64</v>
      </c>
      <c r="AL354" s="153" t="s">
        <v>2306</v>
      </c>
      <c r="AM354" s="149" t="s">
        <v>65</v>
      </c>
      <c r="AN354" s="158"/>
      <c r="AO354" s="159"/>
      <c r="AQ354"/>
      <c r="AR354"/>
      <c r="AS354"/>
      <c r="AT354"/>
      <c r="AU354"/>
    </row>
    <row r="355" spans="1:47" s="151" customFormat="1" ht="14.25" customHeight="1">
      <c r="A355" s="139"/>
      <c r="B355" s="139"/>
      <c r="C355" s="152">
        <f>IF($X355=1,COUNTIF($C$10:C354,"&gt;0")+1,"")</f>
        <v>169</v>
      </c>
      <c r="D355" s="314">
        <v>75988809</v>
      </c>
      <c r="E355" s="153" t="s">
        <v>3530</v>
      </c>
      <c r="F355" s="154" t="s">
        <v>3549</v>
      </c>
      <c r="G355" s="153" t="s">
        <v>3549</v>
      </c>
      <c r="H355" s="153" t="s">
        <v>445</v>
      </c>
      <c r="I355" s="153" t="s">
        <v>252</v>
      </c>
      <c r="J355" s="153" t="s">
        <v>68</v>
      </c>
      <c r="K355" s="153" t="s">
        <v>59</v>
      </c>
      <c r="L355" s="155">
        <v>29222</v>
      </c>
      <c r="M355" s="153">
        <v>45</v>
      </c>
      <c r="N355" s="153" t="s">
        <v>3550</v>
      </c>
      <c r="O355" s="155">
        <v>49140</v>
      </c>
      <c r="P355" s="153" t="s">
        <v>4</v>
      </c>
      <c r="Q355" s="153"/>
      <c r="R355" s="162">
        <v>45913</v>
      </c>
      <c r="S355" s="163">
        <v>45918</v>
      </c>
      <c r="T355" s="164">
        <f t="shared" si="5"/>
        <v>5</v>
      </c>
      <c r="U355" s="153">
        <v>1</v>
      </c>
      <c r="V355" s="153">
        <v>1</v>
      </c>
      <c r="W355" s="153">
        <v>0</v>
      </c>
      <c r="X355" s="153">
        <v>1</v>
      </c>
      <c r="Y355" s="153">
        <v>0</v>
      </c>
      <c r="Z355" s="153">
        <v>1</v>
      </c>
      <c r="AA355" s="153">
        <v>0</v>
      </c>
      <c r="AB355" s="153"/>
      <c r="AC355" s="155">
        <v>45913</v>
      </c>
      <c r="AD355" s="156">
        <v>0.62152777778101154</v>
      </c>
      <c r="AE355" s="153" t="s">
        <v>268</v>
      </c>
      <c r="AF355" s="155">
        <v>45918</v>
      </c>
      <c r="AG355" s="156">
        <v>0.85069444444525288</v>
      </c>
      <c r="AH355" s="153" t="s">
        <v>1334</v>
      </c>
      <c r="AI355" s="153" t="s">
        <v>3536</v>
      </c>
      <c r="AJ355" s="153" t="s">
        <v>64</v>
      </c>
      <c r="AK355" s="153" t="s">
        <v>64</v>
      </c>
      <c r="AL355" s="153" t="s">
        <v>2306</v>
      </c>
      <c r="AM355" s="149" t="s">
        <v>65</v>
      </c>
      <c r="AN355" s="158"/>
      <c r="AO355" s="159"/>
      <c r="AQ355"/>
      <c r="AR355"/>
      <c r="AS355"/>
      <c r="AT355"/>
      <c r="AU355"/>
    </row>
    <row r="356" spans="1:47" s="151" customFormat="1" ht="14.25" customHeight="1">
      <c r="A356" s="139"/>
      <c r="B356" s="139"/>
      <c r="C356" s="152" t="str">
        <f>IF($X356=1,COUNTIF($C$10:C355,"&gt;0")+1,"")</f>
        <v/>
      </c>
      <c r="D356" s="315"/>
      <c r="E356" s="153" t="s">
        <v>3530</v>
      </c>
      <c r="F356" s="154" t="s">
        <v>3551</v>
      </c>
      <c r="G356" s="153" t="s">
        <v>3549</v>
      </c>
      <c r="H356" s="153" t="s">
        <v>3552</v>
      </c>
      <c r="I356" s="153" t="s">
        <v>252</v>
      </c>
      <c r="J356" s="153" t="s">
        <v>58</v>
      </c>
      <c r="K356" s="153" t="s">
        <v>59</v>
      </c>
      <c r="L356" s="155">
        <v>28996</v>
      </c>
      <c r="M356" s="153">
        <v>46</v>
      </c>
      <c r="N356" s="153" t="s">
        <v>3553</v>
      </c>
      <c r="O356" s="155">
        <v>48159</v>
      </c>
      <c r="P356" s="153" t="s">
        <v>4</v>
      </c>
      <c r="Q356" s="153"/>
      <c r="R356" s="162">
        <v>45913</v>
      </c>
      <c r="S356" s="163">
        <v>45918</v>
      </c>
      <c r="T356" s="164">
        <f t="shared" si="5"/>
        <v>5</v>
      </c>
      <c r="U356" s="153">
        <v>1</v>
      </c>
      <c r="V356" s="153">
        <v>1</v>
      </c>
      <c r="W356" s="153">
        <v>0</v>
      </c>
      <c r="X356" s="153">
        <v>0</v>
      </c>
      <c r="Y356" s="153">
        <v>0</v>
      </c>
      <c r="Z356" s="153">
        <v>0</v>
      </c>
      <c r="AA356" s="153">
        <v>0</v>
      </c>
      <c r="AB356" s="153"/>
      <c r="AC356" s="155">
        <v>45913</v>
      </c>
      <c r="AD356" s="156">
        <v>0.62152777778101154</v>
      </c>
      <c r="AE356" s="153" t="s">
        <v>268</v>
      </c>
      <c r="AF356" s="155">
        <v>45918</v>
      </c>
      <c r="AG356" s="156">
        <v>0.85069444444525288</v>
      </c>
      <c r="AH356" s="153" t="s">
        <v>1334</v>
      </c>
      <c r="AI356" s="153" t="s">
        <v>3536</v>
      </c>
      <c r="AJ356" s="153" t="s">
        <v>64</v>
      </c>
      <c r="AK356" s="153" t="s">
        <v>64</v>
      </c>
      <c r="AL356" s="153" t="s">
        <v>2306</v>
      </c>
      <c r="AM356" s="149" t="s">
        <v>65</v>
      </c>
      <c r="AN356" s="158"/>
      <c r="AO356" s="159"/>
      <c r="AQ356"/>
      <c r="AR356"/>
      <c r="AS356"/>
      <c r="AT356"/>
      <c r="AU356"/>
    </row>
    <row r="357" spans="1:47" s="151" customFormat="1" ht="14.25" customHeight="1">
      <c r="A357" s="139"/>
      <c r="B357" s="139"/>
      <c r="C357" s="152">
        <f>IF($X357=1,COUNTIF($C$10:C356,"&gt;0")+1,"")</f>
        <v>170</v>
      </c>
      <c r="D357" s="314">
        <v>75988831</v>
      </c>
      <c r="E357" s="153" t="s">
        <v>3530</v>
      </c>
      <c r="F357" s="154" t="s">
        <v>3554</v>
      </c>
      <c r="G357" s="153" t="s">
        <v>3554</v>
      </c>
      <c r="H357" s="153" t="s">
        <v>3555</v>
      </c>
      <c r="I357" s="153" t="s">
        <v>3556</v>
      </c>
      <c r="J357" s="153" t="s">
        <v>68</v>
      </c>
      <c r="K357" s="153" t="s">
        <v>59</v>
      </c>
      <c r="L357" s="155">
        <v>28649</v>
      </c>
      <c r="M357" s="153">
        <v>47</v>
      </c>
      <c r="N357" s="153" t="s">
        <v>3557</v>
      </c>
      <c r="O357" s="155">
        <v>46774</v>
      </c>
      <c r="P357" s="153" t="s">
        <v>4</v>
      </c>
      <c r="Q357" s="153"/>
      <c r="R357" s="162">
        <v>45913</v>
      </c>
      <c r="S357" s="163">
        <v>45918</v>
      </c>
      <c r="T357" s="164">
        <f t="shared" si="5"/>
        <v>5</v>
      </c>
      <c r="U357" s="153">
        <v>1</v>
      </c>
      <c r="V357" s="153">
        <v>1</v>
      </c>
      <c r="W357" s="153">
        <v>0</v>
      </c>
      <c r="X357" s="153">
        <v>1</v>
      </c>
      <c r="Y357" s="153">
        <v>0</v>
      </c>
      <c r="Z357" s="153">
        <v>1</v>
      </c>
      <c r="AA357" s="153">
        <v>0</v>
      </c>
      <c r="AB357" s="153"/>
      <c r="AC357" s="155">
        <v>45913</v>
      </c>
      <c r="AD357" s="156">
        <v>0.65625</v>
      </c>
      <c r="AE357" s="153" t="s">
        <v>1385</v>
      </c>
      <c r="AF357" s="155">
        <v>45918</v>
      </c>
      <c r="AG357" s="156">
        <v>0.53125</v>
      </c>
      <c r="AH357" s="153" t="s">
        <v>269</v>
      </c>
      <c r="AI357" s="153" t="s">
        <v>3536</v>
      </c>
      <c r="AJ357" s="153" t="s">
        <v>64</v>
      </c>
      <c r="AK357" s="153" t="s">
        <v>64</v>
      </c>
      <c r="AL357" s="153" t="s">
        <v>2306</v>
      </c>
      <c r="AM357" s="149" t="s">
        <v>65</v>
      </c>
      <c r="AN357" s="158"/>
      <c r="AO357" s="159"/>
      <c r="AQ357"/>
      <c r="AR357"/>
      <c r="AS357"/>
      <c r="AT357"/>
      <c r="AU357"/>
    </row>
    <row r="358" spans="1:47" s="151" customFormat="1" ht="14.25" customHeight="1">
      <c r="A358" s="139"/>
      <c r="B358" s="139"/>
      <c r="C358" s="152" t="str">
        <f>IF($X358=1,COUNTIF($C$10:C357,"&gt;0")+1,"")</f>
        <v/>
      </c>
      <c r="D358" s="315"/>
      <c r="E358" s="153" t="s">
        <v>3530</v>
      </c>
      <c r="F358" s="154" t="s">
        <v>3558</v>
      </c>
      <c r="G358" s="153" t="s">
        <v>3554</v>
      </c>
      <c r="H358" s="153" t="s">
        <v>1794</v>
      </c>
      <c r="I358" s="153" t="s">
        <v>3556</v>
      </c>
      <c r="J358" s="153" t="s">
        <v>58</v>
      </c>
      <c r="K358" s="153" t="s">
        <v>59</v>
      </c>
      <c r="L358" s="155">
        <v>28385</v>
      </c>
      <c r="M358" s="153">
        <v>48</v>
      </c>
      <c r="N358" s="153" t="s">
        <v>3559</v>
      </c>
      <c r="O358" s="155">
        <v>46774</v>
      </c>
      <c r="P358" s="153" t="s">
        <v>4</v>
      </c>
      <c r="Q358" s="153"/>
      <c r="R358" s="162">
        <v>45913</v>
      </c>
      <c r="S358" s="163">
        <v>45918</v>
      </c>
      <c r="T358" s="164">
        <f t="shared" si="5"/>
        <v>5</v>
      </c>
      <c r="U358" s="153">
        <v>1</v>
      </c>
      <c r="V358" s="153">
        <v>1</v>
      </c>
      <c r="W358" s="153">
        <v>0</v>
      </c>
      <c r="X358" s="153">
        <v>0</v>
      </c>
      <c r="Y358" s="153">
        <v>0</v>
      </c>
      <c r="Z358" s="153">
        <v>0</v>
      </c>
      <c r="AA358" s="153">
        <v>0</v>
      </c>
      <c r="AB358" s="153"/>
      <c r="AC358" s="155">
        <v>45913</v>
      </c>
      <c r="AD358" s="156">
        <v>0.65625</v>
      </c>
      <c r="AE358" s="153" t="s">
        <v>1385</v>
      </c>
      <c r="AF358" s="155">
        <v>45918</v>
      </c>
      <c r="AG358" s="156">
        <v>0.53125</v>
      </c>
      <c r="AH358" s="153" t="s">
        <v>269</v>
      </c>
      <c r="AI358" s="153" t="s">
        <v>3536</v>
      </c>
      <c r="AJ358" s="153" t="s">
        <v>64</v>
      </c>
      <c r="AK358" s="153" t="s">
        <v>64</v>
      </c>
      <c r="AL358" s="153" t="s">
        <v>2306</v>
      </c>
      <c r="AM358" s="149" t="s">
        <v>65</v>
      </c>
      <c r="AN358" s="158"/>
      <c r="AO358" s="159"/>
      <c r="AQ358"/>
      <c r="AR358"/>
      <c r="AS358"/>
      <c r="AT358"/>
      <c r="AU358"/>
    </row>
    <row r="359" spans="1:47" s="151" customFormat="1" ht="14.25" customHeight="1">
      <c r="A359" s="139"/>
      <c r="B359" s="139"/>
      <c r="C359" s="152">
        <f>IF($X359=1,COUNTIF($C$10:C358,"&gt;0")+1,"")</f>
        <v>171</v>
      </c>
      <c r="D359" s="314">
        <v>75988874</v>
      </c>
      <c r="E359" s="153" t="s">
        <v>3530</v>
      </c>
      <c r="F359" s="154" t="s">
        <v>3560</v>
      </c>
      <c r="G359" s="153" t="s">
        <v>3560</v>
      </c>
      <c r="H359" s="153" t="s">
        <v>3561</v>
      </c>
      <c r="I359" s="153" t="s">
        <v>3562</v>
      </c>
      <c r="J359" s="153" t="s">
        <v>58</v>
      </c>
      <c r="K359" s="153" t="s">
        <v>59</v>
      </c>
      <c r="L359" s="155">
        <v>28290</v>
      </c>
      <c r="M359" s="153">
        <v>48</v>
      </c>
      <c r="N359" s="153" t="s">
        <v>3563</v>
      </c>
      <c r="O359" s="155">
        <v>46175</v>
      </c>
      <c r="P359" s="153" t="s">
        <v>4</v>
      </c>
      <c r="Q359" s="153"/>
      <c r="R359" s="162">
        <v>45913</v>
      </c>
      <c r="S359" s="163">
        <v>45918</v>
      </c>
      <c r="T359" s="164">
        <f t="shared" si="5"/>
        <v>5</v>
      </c>
      <c r="U359" s="153">
        <v>1</v>
      </c>
      <c r="V359" s="153">
        <v>1</v>
      </c>
      <c r="W359" s="153">
        <v>0</v>
      </c>
      <c r="X359" s="153">
        <v>1</v>
      </c>
      <c r="Y359" s="153">
        <v>0</v>
      </c>
      <c r="Z359" s="153">
        <v>1</v>
      </c>
      <c r="AA359" s="153">
        <v>0</v>
      </c>
      <c r="AB359" s="153"/>
      <c r="AC359" s="155">
        <v>45913</v>
      </c>
      <c r="AD359" s="156">
        <v>0.625</v>
      </c>
      <c r="AE359" s="153" t="s">
        <v>74</v>
      </c>
      <c r="AF359" s="155">
        <v>45918</v>
      </c>
      <c r="AG359" s="156">
        <v>0.53819444444525288</v>
      </c>
      <c r="AH359" s="153" t="s">
        <v>738</v>
      </c>
      <c r="AI359" s="153" t="s">
        <v>3536</v>
      </c>
      <c r="AJ359" s="153" t="s">
        <v>64</v>
      </c>
      <c r="AK359" s="153" t="s">
        <v>64</v>
      </c>
      <c r="AL359" s="153" t="s">
        <v>2306</v>
      </c>
      <c r="AM359" s="149" t="s">
        <v>65</v>
      </c>
      <c r="AN359" s="158"/>
      <c r="AO359" s="159"/>
      <c r="AQ359"/>
      <c r="AR359"/>
      <c r="AS359"/>
      <c r="AT359"/>
      <c r="AU359"/>
    </row>
    <row r="360" spans="1:47" s="151" customFormat="1" ht="14.25" customHeight="1">
      <c r="A360" s="139"/>
      <c r="B360" s="139"/>
      <c r="C360" s="152" t="str">
        <f>IF($X360=1,COUNTIF($C$10:C359,"&gt;0")+1,"")</f>
        <v/>
      </c>
      <c r="D360" s="315"/>
      <c r="E360" s="153" t="s">
        <v>3530</v>
      </c>
      <c r="F360" s="154" t="s">
        <v>3564</v>
      </c>
      <c r="G360" s="153" t="s">
        <v>3560</v>
      </c>
      <c r="H360" s="153" t="s">
        <v>3565</v>
      </c>
      <c r="I360" s="153" t="s">
        <v>3562</v>
      </c>
      <c r="J360" s="153" t="s">
        <v>68</v>
      </c>
      <c r="K360" s="153" t="s">
        <v>59</v>
      </c>
      <c r="L360" s="155">
        <v>26404</v>
      </c>
      <c r="M360" s="153">
        <v>53</v>
      </c>
      <c r="N360" s="153" t="s">
        <v>3566</v>
      </c>
      <c r="O360" s="155">
        <v>47225</v>
      </c>
      <c r="P360" s="153" t="s">
        <v>4</v>
      </c>
      <c r="Q360" s="153"/>
      <c r="R360" s="162">
        <v>45913</v>
      </c>
      <c r="S360" s="163">
        <v>45918</v>
      </c>
      <c r="T360" s="164">
        <f t="shared" si="5"/>
        <v>5</v>
      </c>
      <c r="U360" s="153">
        <v>1</v>
      </c>
      <c r="V360" s="153">
        <v>1</v>
      </c>
      <c r="W360" s="153">
        <v>0</v>
      </c>
      <c r="X360" s="153">
        <v>0</v>
      </c>
      <c r="Y360" s="153">
        <v>0</v>
      </c>
      <c r="Z360" s="153">
        <v>0</v>
      </c>
      <c r="AA360" s="153">
        <v>0</v>
      </c>
      <c r="AB360" s="153"/>
      <c r="AC360" s="155">
        <v>45913</v>
      </c>
      <c r="AD360" s="156">
        <v>0.625</v>
      </c>
      <c r="AE360" s="153" t="s">
        <v>74</v>
      </c>
      <c r="AF360" s="155">
        <v>45918</v>
      </c>
      <c r="AG360" s="156">
        <v>0.53819444444525288</v>
      </c>
      <c r="AH360" s="153" t="s">
        <v>738</v>
      </c>
      <c r="AI360" s="153" t="s">
        <v>3536</v>
      </c>
      <c r="AJ360" s="153" t="s">
        <v>64</v>
      </c>
      <c r="AK360" s="153" t="s">
        <v>64</v>
      </c>
      <c r="AL360" s="153" t="s">
        <v>2306</v>
      </c>
      <c r="AM360" s="149" t="s">
        <v>65</v>
      </c>
      <c r="AN360" s="158"/>
      <c r="AO360" s="159"/>
      <c r="AQ360"/>
      <c r="AR360"/>
      <c r="AS360"/>
      <c r="AT360"/>
      <c r="AU360"/>
    </row>
    <row r="361" spans="1:47" s="151" customFormat="1" ht="14.25" customHeight="1">
      <c r="A361" s="139"/>
      <c r="B361" s="139"/>
      <c r="C361" s="152">
        <f>IF($X361=1,COUNTIF($C$10:C360,"&gt;0")+1,"")</f>
        <v>172</v>
      </c>
      <c r="D361" s="183">
        <v>75988909</v>
      </c>
      <c r="E361" s="153" t="s">
        <v>3530</v>
      </c>
      <c r="F361" s="154" t="s">
        <v>3567</v>
      </c>
      <c r="G361" s="153" t="s">
        <v>3567</v>
      </c>
      <c r="H361" s="153" t="s">
        <v>3568</v>
      </c>
      <c r="I361" s="153" t="s">
        <v>3562</v>
      </c>
      <c r="J361" s="153" t="s">
        <v>68</v>
      </c>
      <c r="K361" s="153" t="s">
        <v>59</v>
      </c>
      <c r="L361" s="155">
        <v>27182</v>
      </c>
      <c r="M361" s="153">
        <v>51</v>
      </c>
      <c r="N361" s="153" t="s">
        <v>3569</v>
      </c>
      <c r="O361" s="155">
        <v>47252</v>
      </c>
      <c r="P361" s="153" t="s">
        <v>3</v>
      </c>
      <c r="Q361" s="153"/>
      <c r="R361" s="162">
        <v>45913</v>
      </c>
      <c r="S361" s="163">
        <v>45918</v>
      </c>
      <c r="T361" s="164">
        <f t="shared" si="5"/>
        <v>5</v>
      </c>
      <c r="U361" s="153">
        <v>1</v>
      </c>
      <c r="V361" s="153">
        <v>1</v>
      </c>
      <c r="W361" s="153">
        <v>0</v>
      </c>
      <c r="X361" s="153">
        <v>1</v>
      </c>
      <c r="Y361" s="153">
        <v>1</v>
      </c>
      <c r="Z361" s="153">
        <v>0</v>
      </c>
      <c r="AA361" s="153">
        <v>0</v>
      </c>
      <c r="AB361" s="153"/>
      <c r="AC361" s="155">
        <v>45913</v>
      </c>
      <c r="AD361" s="156">
        <v>0.625</v>
      </c>
      <c r="AE361" s="153" t="s">
        <v>74</v>
      </c>
      <c r="AF361" s="155">
        <v>45918</v>
      </c>
      <c r="AG361" s="156">
        <v>0.53819444444525288</v>
      </c>
      <c r="AH361" s="153" t="s">
        <v>738</v>
      </c>
      <c r="AI361" s="153" t="s">
        <v>3536</v>
      </c>
      <c r="AJ361" s="153" t="s">
        <v>64</v>
      </c>
      <c r="AK361" s="153" t="s">
        <v>64</v>
      </c>
      <c r="AL361" s="153" t="s">
        <v>2306</v>
      </c>
      <c r="AM361" s="149" t="s">
        <v>65</v>
      </c>
      <c r="AN361" s="158"/>
      <c r="AO361" s="159"/>
      <c r="AQ361"/>
      <c r="AR361"/>
      <c r="AS361"/>
      <c r="AT361"/>
      <c r="AU361"/>
    </row>
    <row r="362" spans="1:47" s="151" customFormat="1" ht="14.25" customHeight="1">
      <c r="A362" s="139"/>
      <c r="B362" s="139"/>
      <c r="C362" s="152">
        <f>IF($X362=1,COUNTIF($C$10:C361,"&gt;0")+1,"")</f>
        <v>173</v>
      </c>
      <c r="D362" s="314">
        <v>75988932</v>
      </c>
      <c r="E362" s="153" t="s">
        <v>3530</v>
      </c>
      <c r="F362" s="154" t="s">
        <v>3570</v>
      </c>
      <c r="G362" s="153" t="s">
        <v>3570</v>
      </c>
      <c r="H362" s="153" t="s">
        <v>3571</v>
      </c>
      <c r="I362" s="153" t="s">
        <v>3572</v>
      </c>
      <c r="J362" s="153" t="s">
        <v>68</v>
      </c>
      <c r="K362" s="153" t="s">
        <v>59</v>
      </c>
      <c r="L362" s="155">
        <v>32541</v>
      </c>
      <c r="M362" s="153">
        <v>36</v>
      </c>
      <c r="N362" s="153" t="s">
        <v>3573</v>
      </c>
      <c r="O362" s="155">
        <v>48441</v>
      </c>
      <c r="P362" s="153" t="s">
        <v>4</v>
      </c>
      <c r="Q362" s="153"/>
      <c r="R362" s="162">
        <v>45913</v>
      </c>
      <c r="S362" s="163">
        <v>45918</v>
      </c>
      <c r="T362" s="164">
        <f t="shared" si="5"/>
        <v>5</v>
      </c>
      <c r="U362" s="153">
        <v>1</v>
      </c>
      <c r="V362" s="153">
        <v>1</v>
      </c>
      <c r="W362" s="153">
        <v>0</v>
      </c>
      <c r="X362" s="153">
        <v>1</v>
      </c>
      <c r="Y362" s="153">
        <v>0</v>
      </c>
      <c r="Z362" s="153">
        <v>1</v>
      </c>
      <c r="AA362" s="153">
        <v>0</v>
      </c>
      <c r="AB362" s="153"/>
      <c r="AC362" s="155">
        <v>45913</v>
      </c>
      <c r="AD362" s="156">
        <v>0.67013888889050577</v>
      </c>
      <c r="AE362" s="153" t="s">
        <v>234</v>
      </c>
      <c r="AF362" s="155">
        <v>45918</v>
      </c>
      <c r="AG362" s="156">
        <v>0.53819444444525288</v>
      </c>
      <c r="AH362" s="153" t="s">
        <v>738</v>
      </c>
      <c r="AI362" s="153" t="s">
        <v>3536</v>
      </c>
      <c r="AJ362" s="153" t="s">
        <v>64</v>
      </c>
      <c r="AK362" s="153" t="s">
        <v>64</v>
      </c>
      <c r="AL362" s="153" t="s">
        <v>2306</v>
      </c>
      <c r="AM362" s="149" t="s">
        <v>65</v>
      </c>
      <c r="AN362" s="158"/>
      <c r="AO362" s="159"/>
      <c r="AQ362"/>
      <c r="AR362"/>
      <c r="AS362"/>
      <c r="AT362"/>
      <c r="AU362"/>
    </row>
    <row r="363" spans="1:47" s="151" customFormat="1" ht="14.25" customHeight="1">
      <c r="A363" s="139"/>
      <c r="B363" s="139"/>
      <c r="C363" s="152" t="str">
        <f>IF($X363=1,COUNTIF($C$10:C362,"&gt;0")+1,"")</f>
        <v/>
      </c>
      <c r="D363" s="315"/>
      <c r="E363" s="153" t="s">
        <v>3530</v>
      </c>
      <c r="F363" s="154" t="s">
        <v>3574</v>
      </c>
      <c r="G363" s="153" t="s">
        <v>3570</v>
      </c>
      <c r="H363" s="153" t="s">
        <v>340</v>
      </c>
      <c r="I363" s="153" t="s">
        <v>3572</v>
      </c>
      <c r="J363" s="153" t="s">
        <v>58</v>
      </c>
      <c r="K363" s="153" t="s">
        <v>2003</v>
      </c>
      <c r="L363" s="155">
        <v>32541</v>
      </c>
      <c r="M363" s="153">
        <v>36</v>
      </c>
      <c r="N363" s="153" t="s">
        <v>3573</v>
      </c>
      <c r="O363" s="155">
        <v>48441</v>
      </c>
      <c r="P363" s="153" t="s">
        <v>4</v>
      </c>
      <c r="Q363" s="153"/>
      <c r="R363" s="162">
        <v>45913</v>
      </c>
      <c r="S363" s="163">
        <v>45918</v>
      </c>
      <c r="T363" s="164">
        <f t="shared" si="5"/>
        <v>5</v>
      </c>
      <c r="U363" s="153">
        <v>1</v>
      </c>
      <c r="V363" s="153">
        <v>1</v>
      </c>
      <c r="W363" s="153">
        <v>0</v>
      </c>
      <c r="X363" s="153">
        <v>0</v>
      </c>
      <c r="Y363" s="153">
        <v>0</v>
      </c>
      <c r="Z363" s="153">
        <v>0</v>
      </c>
      <c r="AA363" s="153">
        <v>0</v>
      </c>
      <c r="AB363" s="153"/>
      <c r="AC363" s="155">
        <v>45913</v>
      </c>
      <c r="AD363" s="156">
        <v>0.67013888889050577</v>
      </c>
      <c r="AE363" s="153" t="s">
        <v>234</v>
      </c>
      <c r="AF363" s="155">
        <v>45918</v>
      </c>
      <c r="AG363" s="156">
        <v>0.53819444444525288</v>
      </c>
      <c r="AH363" s="153" t="s">
        <v>738</v>
      </c>
      <c r="AI363" s="153" t="s">
        <v>3536</v>
      </c>
      <c r="AJ363" s="153" t="s">
        <v>64</v>
      </c>
      <c r="AK363" s="153" t="s">
        <v>64</v>
      </c>
      <c r="AL363" s="153" t="s">
        <v>2306</v>
      </c>
      <c r="AM363" s="149" t="s">
        <v>65</v>
      </c>
      <c r="AN363" s="158"/>
      <c r="AO363" s="159"/>
      <c r="AQ363"/>
      <c r="AR363"/>
      <c r="AS363"/>
      <c r="AT363"/>
      <c r="AU363"/>
    </row>
    <row r="364" spans="1:47" s="151" customFormat="1" ht="14.25" customHeight="1">
      <c r="A364" s="139"/>
      <c r="B364" s="139"/>
      <c r="C364" s="152">
        <f>IF($X364=1,COUNTIF($C$10:C363,"&gt;0")+1,"")</f>
        <v>174</v>
      </c>
      <c r="D364" s="314">
        <v>75988936</v>
      </c>
      <c r="E364" s="153" t="s">
        <v>3530</v>
      </c>
      <c r="F364" s="154" t="s">
        <v>3575</v>
      </c>
      <c r="G364" s="153" t="s">
        <v>3575</v>
      </c>
      <c r="H364" s="153" t="s">
        <v>3576</v>
      </c>
      <c r="I364" s="153" t="s">
        <v>3240</v>
      </c>
      <c r="J364" s="153" t="s">
        <v>58</v>
      </c>
      <c r="K364" s="153" t="s">
        <v>59</v>
      </c>
      <c r="L364" s="155">
        <v>28622</v>
      </c>
      <c r="M364" s="153">
        <v>47</v>
      </c>
      <c r="N364" s="153" t="s">
        <v>3577</v>
      </c>
      <c r="O364" s="155">
        <v>47827</v>
      </c>
      <c r="P364" s="153" t="s">
        <v>5</v>
      </c>
      <c r="Q364" s="153"/>
      <c r="R364" s="162">
        <v>45913</v>
      </c>
      <c r="S364" s="163">
        <v>45918</v>
      </c>
      <c r="T364" s="164">
        <f t="shared" si="5"/>
        <v>5</v>
      </c>
      <c r="U364" s="153">
        <v>1</v>
      </c>
      <c r="V364" s="153">
        <v>1</v>
      </c>
      <c r="W364" s="153">
        <v>0</v>
      </c>
      <c r="X364" s="153">
        <v>1</v>
      </c>
      <c r="Y364" s="153">
        <v>0</v>
      </c>
      <c r="Z364" s="153">
        <v>0</v>
      </c>
      <c r="AA364" s="153">
        <v>1</v>
      </c>
      <c r="AB364" s="153"/>
      <c r="AC364" s="155" t="s">
        <v>64</v>
      </c>
      <c r="AD364" s="156" t="s">
        <v>64</v>
      </c>
      <c r="AE364" s="153" t="s">
        <v>1058</v>
      </c>
      <c r="AF364" s="155">
        <v>45918</v>
      </c>
      <c r="AG364" s="156">
        <v>0.56944444444525288</v>
      </c>
      <c r="AH364" s="153" t="s">
        <v>492</v>
      </c>
      <c r="AI364" s="153" t="s">
        <v>3536</v>
      </c>
      <c r="AJ364" s="153" t="s">
        <v>64</v>
      </c>
      <c r="AK364" s="153"/>
      <c r="AL364" s="153" t="s">
        <v>2306</v>
      </c>
      <c r="AM364" s="149" t="s">
        <v>65</v>
      </c>
      <c r="AN364" s="158"/>
      <c r="AO364" s="159"/>
      <c r="AQ364"/>
      <c r="AR364"/>
      <c r="AS364"/>
      <c r="AT364"/>
      <c r="AU364"/>
    </row>
    <row r="365" spans="1:47" s="151" customFormat="1" ht="14.25" customHeight="1">
      <c r="A365" s="139"/>
      <c r="B365" s="139"/>
      <c r="C365" s="152" t="str">
        <f>IF($X365=1,COUNTIF($C$10:C364,"&gt;0")+1,"")</f>
        <v/>
      </c>
      <c r="D365" s="321"/>
      <c r="E365" s="153" t="s">
        <v>3530</v>
      </c>
      <c r="F365" s="154" t="s">
        <v>3578</v>
      </c>
      <c r="G365" s="153" t="s">
        <v>3575</v>
      </c>
      <c r="H365" s="153" t="s">
        <v>3579</v>
      </c>
      <c r="I365" s="153" t="s">
        <v>3580</v>
      </c>
      <c r="J365" s="153" t="s">
        <v>68</v>
      </c>
      <c r="K365" s="153" t="s">
        <v>59</v>
      </c>
      <c r="L365" s="155">
        <v>17807</v>
      </c>
      <c r="M365" s="153">
        <v>76</v>
      </c>
      <c r="N365" s="153" t="s">
        <v>3581</v>
      </c>
      <c r="O365" s="155">
        <v>47301</v>
      </c>
      <c r="P365" s="153" t="s">
        <v>5</v>
      </c>
      <c r="Q365" s="153"/>
      <c r="R365" s="162">
        <v>45913</v>
      </c>
      <c r="S365" s="163">
        <v>45918</v>
      </c>
      <c r="T365" s="164">
        <f t="shared" si="5"/>
        <v>5</v>
      </c>
      <c r="U365" s="153">
        <v>1</v>
      </c>
      <c r="V365" s="153">
        <v>1</v>
      </c>
      <c r="W365" s="153">
        <v>0</v>
      </c>
      <c r="X365" s="153">
        <v>0</v>
      </c>
      <c r="Y365" s="153">
        <v>0</v>
      </c>
      <c r="Z365" s="153">
        <v>0</v>
      </c>
      <c r="AA365" s="153">
        <v>0</v>
      </c>
      <c r="AB365" s="153"/>
      <c r="AC365" s="155" t="s">
        <v>64</v>
      </c>
      <c r="AD365" s="156" t="s">
        <v>64</v>
      </c>
      <c r="AE365" s="153" t="s">
        <v>1058</v>
      </c>
      <c r="AF365" s="155">
        <v>45918</v>
      </c>
      <c r="AG365" s="156">
        <v>0.56944444444525288</v>
      </c>
      <c r="AH365" s="153" t="s">
        <v>492</v>
      </c>
      <c r="AI365" s="153" t="s">
        <v>3536</v>
      </c>
      <c r="AJ365" s="153" t="s">
        <v>64</v>
      </c>
      <c r="AK365" s="153"/>
      <c r="AL365" s="153" t="s">
        <v>2306</v>
      </c>
      <c r="AM365" s="149" t="s">
        <v>65</v>
      </c>
      <c r="AN365" s="158"/>
      <c r="AO365" s="159"/>
      <c r="AQ365"/>
      <c r="AR365"/>
      <c r="AS365"/>
      <c r="AT365"/>
      <c r="AU365"/>
    </row>
    <row r="366" spans="1:47" s="151" customFormat="1" ht="14.25" customHeight="1">
      <c r="A366" s="139"/>
      <c r="B366" s="139"/>
      <c r="C366" s="152" t="str">
        <f>IF($X366=1,COUNTIF($C$10:C365,"&gt;0")+1,"")</f>
        <v/>
      </c>
      <c r="D366" s="315"/>
      <c r="E366" s="153" t="s">
        <v>3530</v>
      </c>
      <c r="F366" s="154" t="s">
        <v>3582</v>
      </c>
      <c r="G366" s="153" t="s">
        <v>3575</v>
      </c>
      <c r="H366" s="153" t="s">
        <v>3583</v>
      </c>
      <c r="I366" s="153" t="s">
        <v>3240</v>
      </c>
      <c r="J366" s="153" t="s">
        <v>58</v>
      </c>
      <c r="K366" s="153" t="s">
        <v>59</v>
      </c>
      <c r="L366" s="155">
        <v>42529</v>
      </c>
      <c r="M366" s="153">
        <v>9</v>
      </c>
      <c r="N366" s="153" t="s">
        <v>3584</v>
      </c>
      <c r="O366" s="155">
        <v>46709</v>
      </c>
      <c r="P366" s="153" t="s">
        <v>5</v>
      </c>
      <c r="Q366" s="153"/>
      <c r="R366" s="162">
        <v>45913</v>
      </c>
      <c r="S366" s="163">
        <v>45918</v>
      </c>
      <c r="T366" s="164">
        <f t="shared" si="5"/>
        <v>5</v>
      </c>
      <c r="U366" s="153">
        <v>1</v>
      </c>
      <c r="V366" s="153">
        <v>0</v>
      </c>
      <c r="W366" s="153">
        <v>1</v>
      </c>
      <c r="X366" s="153">
        <v>0</v>
      </c>
      <c r="Y366" s="153">
        <v>0</v>
      </c>
      <c r="Z366" s="153">
        <v>0</v>
      </c>
      <c r="AA366" s="153">
        <v>0</v>
      </c>
      <c r="AB366" s="153"/>
      <c r="AC366" s="155" t="s">
        <v>64</v>
      </c>
      <c r="AD366" s="156" t="s">
        <v>64</v>
      </c>
      <c r="AE366" s="153" t="s">
        <v>1058</v>
      </c>
      <c r="AF366" s="155">
        <v>45918</v>
      </c>
      <c r="AG366" s="156">
        <v>0.56944444444525288</v>
      </c>
      <c r="AH366" s="153" t="s">
        <v>492</v>
      </c>
      <c r="AI366" s="153" t="s">
        <v>3536</v>
      </c>
      <c r="AJ366" s="153" t="s">
        <v>64</v>
      </c>
      <c r="AK366" s="153"/>
      <c r="AL366" s="153" t="s">
        <v>2306</v>
      </c>
      <c r="AM366" s="149" t="s">
        <v>65</v>
      </c>
      <c r="AN366" s="158"/>
      <c r="AO366" s="159"/>
      <c r="AQ366"/>
      <c r="AR366"/>
      <c r="AS366"/>
      <c r="AT366"/>
      <c r="AU366"/>
    </row>
    <row r="367" spans="1:47" s="151" customFormat="1" ht="14.25" customHeight="1">
      <c r="A367" s="139"/>
      <c r="B367" s="139"/>
      <c r="C367" s="152">
        <f>IF($X367=1,COUNTIF($C$10:C366,"&gt;0")+1,"")</f>
        <v>175</v>
      </c>
      <c r="D367" s="314">
        <v>75988956</v>
      </c>
      <c r="E367" s="153" t="s">
        <v>3530</v>
      </c>
      <c r="F367" s="154" t="s">
        <v>3585</v>
      </c>
      <c r="G367" s="153" t="s">
        <v>3585</v>
      </c>
      <c r="H367" s="153" t="s">
        <v>3586</v>
      </c>
      <c r="I367" s="153" t="s">
        <v>3587</v>
      </c>
      <c r="J367" s="153" t="s">
        <v>68</v>
      </c>
      <c r="K367" s="153" t="s">
        <v>59</v>
      </c>
      <c r="L367" s="155">
        <v>22035</v>
      </c>
      <c r="M367" s="153">
        <v>65</v>
      </c>
      <c r="N367" s="153" t="s">
        <v>3588</v>
      </c>
      <c r="O367" s="155" t="s">
        <v>64</v>
      </c>
      <c r="P367" s="153" t="s">
        <v>4</v>
      </c>
      <c r="Q367" s="153"/>
      <c r="R367" s="162">
        <v>45913</v>
      </c>
      <c r="S367" s="163">
        <v>45918</v>
      </c>
      <c r="T367" s="164">
        <f t="shared" si="5"/>
        <v>5</v>
      </c>
      <c r="U367" s="153">
        <v>1</v>
      </c>
      <c r="V367" s="153">
        <v>1</v>
      </c>
      <c r="W367" s="153">
        <v>0</v>
      </c>
      <c r="X367" s="153">
        <v>1</v>
      </c>
      <c r="Y367" s="153">
        <v>0</v>
      </c>
      <c r="Z367" s="153">
        <v>1</v>
      </c>
      <c r="AA367" s="153">
        <v>0</v>
      </c>
      <c r="AB367" s="153"/>
      <c r="AC367" s="155">
        <v>45913</v>
      </c>
      <c r="AD367" s="156">
        <v>0.73958333333575865</v>
      </c>
      <c r="AE367" s="153" t="s">
        <v>2391</v>
      </c>
      <c r="AF367" s="155">
        <v>45918</v>
      </c>
      <c r="AG367" s="156">
        <v>0.42361111110949423</v>
      </c>
      <c r="AH367" s="153" t="s">
        <v>3589</v>
      </c>
      <c r="AI367" s="153" t="s">
        <v>3536</v>
      </c>
      <c r="AJ367" s="153" t="s">
        <v>64</v>
      </c>
      <c r="AK367" s="153" t="s">
        <v>64</v>
      </c>
      <c r="AL367" s="153" t="s">
        <v>2306</v>
      </c>
      <c r="AM367" s="149" t="s">
        <v>65</v>
      </c>
      <c r="AN367" s="158"/>
      <c r="AO367" s="159"/>
      <c r="AQ367"/>
      <c r="AR367"/>
      <c r="AS367"/>
      <c r="AT367"/>
      <c r="AU367"/>
    </row>
    <row r="368" spans="1:47" s="151" customFormat="1" ht="14.25" customHeight="1">
      <c r="A368" s="139"/>
      <c r="B368" s="139"/>
      <c r="C368" s="152" t="str">
        <f>IF($X368=1,COUNTIF($C$10:C367,"&gt;0")+1,"")</f>
        <v/>
      </c>
      <c r="D368" s="315"/>
      <c r="E368" s="153" t="s">
        <v>3530</v>
      </c>
      <c r="F368" s="154" t="s">
        <v>3590</v>
      </c>
      <c r="G368" s="153" t="s">
        <v>3585</v>
      </c>
      <c r="H368" s="153" t="s">
        <v>3591</v>
      </c>
      <c r="I368" s="153" t="s">
        <v>3592</v>
      </c>
      <c r="J368" s="153" t="s">
        <v>58</v>
      </c>
      <c r="K368" s="153" t="s">
        <v>59</v>
      </c>
      <c r="L368" s="155">
        <v>21359</v>
      </c>
      <c r="M368" s="153">
        <v>67</v>
      </c>
      <c r="N368" s="153" t="s">
        <v>3593</v>
      </c>
      <c r="O368" s="155">
        <v>47427</v>
      </c>
      <c r="P368" s="153" t="s">
        <v>4</v>
      </c>
      <c r="Q368" s="153"/>
      <c r="R368" s="162">
        <v>45913</v>
      </c>
      <c r="S368" s="163">
        <v>45918</v>
      </c>
      <c r="T368" s="164">
        <f t="shared" si="5"/>
        <v>5</v>
      </c>
      <c r="U368" s="153">
        <v>1</v>
      </c>
      <c r="V368" s="153">
        <v>1</v>
      </c>
      <c r="W368" s="153">
        <v>0</v>
      </c>
      <c r="X368" s="153">
        <v>0</v>
      </c>
      <c r="Y368" s="153">
        <v>0</v>
      </c>
      <c r="Z368" s="153">
        <v>0</v>
      </c>
      <c r="AA368" s="153">
        <v>0</v>
      </c>
      <c r="AB368" s="153"/>
      <c r="AC368" s="155">
        <v>45913</v>
      </c>
      <c r="AD368" s="156">
        <v>0.73958333333575865</v>
      </c>
      <c r="AE368" s="153" t="s">
        <v>2391</v>
      </c>
      <c r="AF368" s="155">
        <v>45918</v>
      </c>
      <c r="AG368" s="156">
        <v>0.42361111110949423</v>
      </c>
      <c r="AH368" s="153" t="s">
        <v>3589</v>
      </c>
      <c r="AI368" s="153" t="s">
        <v>3536</v>
      </c>
      <c r="AJ368" s="153" t="s">
        <v>64</v>
      </c>
      <c r="AK368" s="153" t="s">
        <v>64</v>
      </c>
      <c r="AL368" s="153" t="s">
        <v>2306</v>
      </c>
      <c r="AM368" s="149" t="s">
        <v>65</v>
      </c>
      <c r="AN368" s="158"/>
      <c r="AO368" s="159"/>
      <c r="AQ368"/>
      <c r="AR368"/>
      <c r="AS368"/>
      <c r="AT368"/>
      <c r="AU368"/>
    </row>
    <row r="369" spans="1:47" s="151" customFormat="1" ht="14.25" customHeight="1">
      <c r="A369" s="139"/>
      <c r="B369" s="139"/>
      <c r="C369" s="152">
        <f>IF($X369=1,COUNTIF($C$10:C368,"&gt;0")+1,"")</f>
        <v>176</v>
      </c>
      <c r="D369" s="314">
        <v>75988973</v>
      </c>
      <c r="E369" s="153" t="s">
        <v>3530</v>
      </c>
      <c r="F369" s="154" t="s">
        <v>3594</v>
      </c>
      <c r="G369" s="153" t="s">
        <v>3594</v>
      </c>
      <c r="H369" s="153" t="s">
        <v>3595</v>
      </c>
      <c r="I369" s="153" t="s">
        <v>3596</v>
      </c>
      <c r="J369" s="153" t="s">
        <v>58</v>
      </c>
      <c r="K369" s="153" t="s">
        <v>59</v>
      </c>
      <c r="L369" s="155">
        <v>22633</v>
      </c>
      <c r="M369" s="153">
        <v>63</v>
      </c>
      <c r="N369" s="153" t="s">
        <v>3597</v>
      </c>
      <c r="O369" s="155">
        <v>49375</v>
      </c>
      <c r="P369" s="153" t="s">
        <v>4</v>
      </c>
      <c r="Q369" s="153"/>
      <c r="R369" s="162">
        <v>45913</v>
      </c>
      <c r="S369" s="163">
        <v>45918</v>
      </c>
      <c r="T369" s="164">
        <f t="shared" si="5"/>
        <v>5</v>
      </c>
      <c r="U369" s="153">
        <v>1</v>
      </c>
      <c r="V369" s="153">
        <v>1</v>
      </c>
      <c r="W369" s="153">
        <v>0</v>
      </c>
      <c r="X369" s="153">
        <v>1</v>
      </c>
      <c r="Y369" s="153">
        <v>0</v>
      </c>
      <c r="Z369" s="153">
        <v>1</v>
      </c>
      <c r="AA369" s="153">
        <v>0</v>
      </c>
      <c r="AB369" s="153"/>
      <c r="AC369" s="155">
        <v>45913</v>
      </c>
      <c r="AD369" s="156">
        <v>0.73958333333575865</v>
      </c>
      <c r="AE369" s="153" t="s">
        <v>2391</v>
      </c>
      <c r="AF369" s="155">
        <v>45918</v>
      </c>
      <c r="AG369" s="156">
        <v>0.42361111110949423</v>
      </c>
      <c r="AH369" s="153" t="s">
        <v>3589</v>
      </c>
      <c r="AI369" s="153" t="s">
        <v>3536</v>
      </c>
      <c r="AJ369" s="153" t="s">
        <v>64</v>
      </c>
      <c r="AK369" s="153" t="s">
        <v>64</v>
      </c>
      <c r="AL369" s="153" t="s">
        <v>2306</v>
      </c>
      <c r="AM369" s="149" t="s">
        <v>65</v>
      </c>
      <c r="AN369" s="158"/>
      <c r="AO369" s="159"/>
      <c r="AQ369"/>
      <c r="AR369"/>
      <c r="AS369"/>
      <c r="AT369"/>
      <c r="AU369"/>
    </row>
    <row r="370" spans="1:47" s="151" customFormat="1" ht="14.25" customHeight="1">
      <c r="A370" s="139"/>
      <c r="B370" s="139"/>
      <c r="C370" s="152" t="str">
        <f>IF($X370=1,COUNTIF($C$10:C369,"&gt;0")+1,"")</f>
        <v/>
      </c>
      <c r="D370" s="315"/>
      <c r="E370" s="153" t="s">
        <v>3530</v>
      </c>
      <c r="F370" s="154" t="s">
        <v>3598</v>
      </c>
      <c r="G370" s="153" t="s">
        <v>3594</v>
      </c>
      <c r="H370" s="153" t="s">
        <v>3599</v>
      </c>
      <c r="I370" s="153" t="s">
        <v>3600</v>
      </c>
      <c r="J370" s="153" t="s">
        <v>68</v>
      </c>
      <c r="K370" s="153" t="s">
        <v>59</v>
      </c>
      <c r="L370" s="155">
        <v>27713</v>
      </c>
      <c r="M370" s="153">
        <v>49</v>
      </c>
      <c r="N370" s="153" t="s">
        <v>3601</v>
      </c>
      <c r="O370" s="155">
        <v>46656</v>
      </c>
      <c r="P370" s="153" t="s">
        <v>4</v>
      </c>
      <c r="Q370" s="153"/>
      <c r="R370" s="162">
        <v>45913</v>
      </c>
      <c r="S370" s="163">
        <v>45918</v>
      </c>
      <c r="T370" s="164">
        <f t="shared" si="5"/>
        <v>5</v>
      </c>
      <c r="U370" s="153">
        <v>1</v>
      </c>
      <c r="V370" s="153">
        <v>1</v>
      </c>
      <c r="W370" s="153">
        <v>0</v>
      </c>
      <c r="X370" s="153">
        <v>0</v>
      </c>
      <c r="Y370" s="153">
        <v>0</v>
      </c>
      <c r="Z370" s="153">
        <v>0</v>
      </c>
      <c r="AA370" s="153">
        <v>0</v>
      </c>
      <c r="AB370" s="153"/>
      <c r="AC370" s="155">
        <v>45913</v>
      </c>
      <c r="AD370" s="156">
        <v>0.73958333333575865</v>
      </c>
      <c r="AE370" s="153" t="s">
        <v>2391</v>
      </c>
      <c r="AF370" s="155">
        <v>45918</v>
      </c>
      <c r="AG370" s="156">
        <v>0.42361111110949423</v>
      </c>
      <c r="AH370" s="153" t="s">
        <v>3589</v>
      </c>
      <c r="AI370" s="153" t="s">
        <v>3536</v>
      </c>
      <c r="AJ370" s="153" t="s">
        <v>64</v>
      </c>
      <c r="AK370" s="153" t="s">
        <v>64</v>
      </c>
      <c r="AL370" s="153" t="s">
        <v>2306</v>
      </c>
      <c r="AM370" s="149" t="s">
        <v>65</v>
      </c>
      <c r="AN370" s="158"/>
      <c r="AO370" s="159"/>
      <c r="AQ370"/>
      <c r="AR370"/>
      <c r="AS370"/>
      <c r="AT370"/>
      <c r="AU370"/>
    </row>
    <row r="371" spans="1:47" s="151" customFormat="1" ht="14.25" customHeight="1">
      <c r="A371" s="139"/>
      <c r="B371" s="139"/>
      <c r="C371" s="152">
        <f>IF($X371=1,COUNTIF($C$10:C370,"&gt;0")+1,"")</f>
        <v>177</v>
      </c>
      <c r="D371" s="314">
        <v>75989011</v>
      </c>
      <c r="E371" s="153" t="s">
        <v>3602</v>
      </c>
      <c r="F371" s="154" t="s">
        <v>3603</v>
      </c>
      <c r="G371" s="153" t="s">
        <v>3603</v>
      </c>
      <c r="H371" s="153" t="s">
        <v>3604</v>
      </c>
      <c r="I371" s="153" t="s">
        <v>1869</v>
      </c>
      <c r="J371" s="153" t="s">
        <v>58</v>
      </c>
      <c r="K371" s="153" t="s">
        <v>59</v>
      </c>
      <c r="L371" s="155">
        <v>22895</v>
      </c>
      <c r="M371" s="153">
        <v>63</v>
      </c>
      <c r="N371" s="153" t="s">
        <v>3605</v>
      </c>
      <c r="O371" s="155">
        <v>49449</v>
      </c>
      <c r="P371" s="153" t="s">
        <v>5</v>
      </c>
      <c r="Q371" s="153"/>
      <c r="R371" s="162">
        <v>45913</v>
      </c>
      <c r="S371" s="163">
        <v>45918</v>
      </c>
      <c r="T371" s="164">
        <f t="shared" si="5"/>
        <v>5</v>
      </c>
      <c r="U371" s="153">
        <v>1</v>
      </c>
      <c r="V371" s="153">
        <v>1</v>
      </c>
      <c r="W371" s="153">
        <v>0</v>
      </c>
      <c r="X371" s="153">
        <v>1</v>
      </c>
      <c r="Y371" s="153">
        <v>0</v>
      </c>
      <c r="Z371" s="153">
        <v>0</v>
      </c>
      <c r="AA371" s="153">
        <v>1</v>
      </c>
      <c r="AB371" s="153"/>
      <c r="AC371" s="155">
        <v>45913</v>
      </c>
      <c r="AD371" s="156">
        <v>0.29861111110949423</v>
      </c>
      <c r="AE371" s="153" t="s">
        <v>3606</v>
      </c>
      <c r="AF371" s="155">
        <v>45918</v>
      </c>
      <c r="AG371" s="156">
        <v>0.76388888889050577</v>
      </c>
      <c r="AH371" s="153" t="s">
        <v>2514</v>
      </c>
      <c r="AI371" s="153" t="s">
        <v>3607</v>
      </c>
      <c r="AJ371" s="153" t="s">
        <v>598</v>
      </c>
      <c r="AK371" s="153" t="s">
        <v>64</v>
      </c>
      <c r="AL371" s="153" t="s">
        <v>2306</v>
      </c>
      <c r="AM371" s="149" t="s">
        <v>65</v>
      </c>
      <c r="AN371" s="158"/>
      <c r="AO371" s="159"/>
      <c r="AQ371"/>
      <c r="AR371"/>
      <c r="AS371"/>
      <c r="AT371"/>
      <c r="AU371"/>
    </row>
    <row r="372" spans="1:47" s="151" customFormat="1" ht="14.25" customHeight="1">
      <c r="A372" s="139"/>
      <c r="B372" s="139"/>
      <c r="C372" s="152" t="str">
        <f>IF($X372=1,COUNTIF($C$10:C371,"&gt;0")+1,"")</f>
        <v/>
      </c>
      <c r="D372" s="315"/>
      <c r="E372" s="153" t="s">
        <v>3602</v>
      </c>
      <c r="F372" s="154" t="s">
        <v>3608</v>
      </c>
      <c r="G372" s="153" t="s">
        <v>3603</v>
      </c>
      <c r="H372" s="153" t="s">
        <v>3609</v>
      </c>
      <c r="I372" s="153" t="s">
        <v>1869</v>
      </c>
      <c r="J372" s="153" t="s">
        <v>68</v>
      </c>
      <c r="K372" s="153" t="s">
        <v>59</v>
      </c>
      <c r="L372" s="155">
        <v>24186</v>
      </c>
      <c r="M372" s="153">
        <v>59</v>
      </c>
      <c r="N372" s="153" t="s">
        <v>3610</v>
      </c>
      <c r="O372" s="155">
        <v>48947</v>
      </c>
      <c r="P372" s="153" t="s">
        <v>5</v>
      </c>
      <c r="Q372" s="153"/>
      <c r="R372" s="162">
        <v>45913</v>
      </c>
      <c r="S372" s="163">
        <v>45918</v>
      </c>
      <c r="T372" s="164">
        <f t="shared" si="5"/>
        <v>5</v>
      </c>
      <c r="U372" s="153">
        <v>1</v>
      </c>
      <c r="V372" s="153">
        <v>1</v>
      </c>
      <c r="W372" s="153">
        <v>0</v>
      </c>
      <c r="X372" s="153">
        <v>0</v>
      </c>
      <c r="Y372" s="153">
        <v>0</v>
      </c>
      <c r="Z372" s="153">
        <v>0</v>
      </c>
      <c r="AA372" s="153">
        <v>0</v>
      </c>
      <c r="AB372" s="153"/>
      <c r="AC372" s="155">
        <v>45913</v>
      </c>
      <c r="AD372" s="156">
        <v>0.29861111110949423</v>
      </c>
      <c r="AE372" s="153" t="s">
        <v>3606</v>
      </c>
      <c r="AF372" s="155">
        <v>45918</v>
      </c>
      <c r="AG372" s="156">
        <v>0.76388888889050577</v>
      </c>
      <c r="AH372" s="153" t="s">
        <v>2514</v>
      </c>
      <c r="AI372" s="153" t="s">
        <v>3607</v>
      </c>
      <c r="AJ372" s="153" t="s">
        <v>64</v>
      </c>
      <c r="AK372" s="153" t="s">
        <v>64</v>
      </c>
      <c r="AL372" s="153" t="s">
        <v>2306</v>
      </c>
      <c r="AM372" s="149" t="s">
        <v>65</v>
      </c>
      <c r="AN372" s="158"/>
      <c r="AO372" s="159"/>
      <c r="AQ372"/>
      <c r="AR372"/>
      <c r="AS372"/>
      <c r="AT372"/>
      <c r="AU372"/>
    </row>
    <row r="373" spans="1:47" s="151" customFormat="1" ht="14.25" customHeight="1">
      <c r="A373" s="139"/>
      <c r="B373" s="139"/>
      <c r="C373" s="152">
        <f>IF($X373=1,COUNTIF($C$10:C372,"&gt;0")+1,"")</f>
        <v>178</v>
      </c>
      <c r="D373" s="183">
        <v>75989037</v>
      </c>
      <c r="E373" s="153" t="s">
        <v>3611</v>
      </c>
      <c r="F373" s="154" t="s">
        <v>3612</v>
      </c>
      <c r="G373" s="153" t="s">
        <v>3612</v>
      </c>
      <c r="H373" s="153" t="s">
        <v>3613</v>
      </c>
      <c r="I373" s="153" t="s">
        <v>3614</v>
      </c>
      <c r="J373" s="153" t="s">
        <v>68</v>
      </c>
      <c r="K373" s="153" t="s">
        <v>59</v>
      </c>
      <c r="L373" s="155">
        <v>27836</v>
      </c>
      <c r="M373" s="153">
        <v>49</v>
      </c>
      <c r="N373" s="153" t="s">
        <v>3615</v>
      </c>
      <c r="O373" s="155">
        <v>47508</v>
      </c>
      <c r="P373" s="153" t="s">
        <v>3</v>
      </c>
      <c r="Q373" s="153"/>
      <c r="R373" s="162">
        <v>45913</v>
      </c>
      <c r="S373" s="163">
        <v>45918</v>
      </c>
      <c r="T373" s="164">
        <f t="shared" si="5"/>
        <v>5</v>
      </c>
      <c r="U373" s="153">
        <v>1</v>
      </c>
      <c r="V373" s="153">
        <v>1</v>
      </c>
      <c r="W373" s="153">
        <v>0</v>
      </c>
      <c r="X373" s="153">
        <v>1</v>
      </c>
      <c r="Y373" s="153">
        <v>1</v>
      </c>
      <c r="Z373" s="153">
        <v>0</v>
      </c>
      <c r="AA373" s="153">
        <v>0</v>
      </c>
      <c r="AB373" s="153"/>
      <c r="AC373" s="155">
        <v>45913</v>
      </c>
      <c r="AD373" s="156">
        <v>0.45833333333575865</v>
      </c>
      <c r="AE373" s="153" t="s">
        <v>3616</v>
      </c>
      <c r="AF373" s="155">
        <v>45918</v>
      </c>
      <c r="AG373" s="156">
        <v>0.87152777778101154</v>
      </c>
      <c r="AH373" s="153" t="s">
        <v>102</v>
      </c>
      <c r="AI373" s="153" t="s">
        <v>3617</v>
      </c>
      <c r="AJ373" s="153" t="s">
        <v>64</v>
      </c>
      <c r="AK373" s="153" t="s">
        <v>64</v>
      </c>
      <c r="AL373" s="153" t="s">
        <v>2306</v>
      </c>
      <c r="AM373" s="149" t="s">
        <v>65</v>
      </c>
      <c r="AN373" s="158"/>
      <c r="AO373" s="159"/>
      <c r="AQ373"/>
      <c r="AR373"/>
      <c r="AS373"/>
      <c r="AT373"/>
      <c r="AU373"/>
    </row>
    <row r="374" spans="1:47" s="151" customFormat="1" ht="14.25" customHeight="1">
      <c r="A374" s="139"/>
      <c r="B374" s="139"/>
      <c r="C374" s="152">
        <f>IF($X374=1,COUNTIF($C$10:C373,"&gt;0")+1,"")</f>
        <v>179</v>
      </c>
      <c r="D374" s="314">
        <v>75989070</v>
      </c>
      <c r="E374" s="153" t="s">
        <v>3611</v>
      </c>
      <c r="F374" s="154" t="s">
        <v>3618</v>
      </c>
      <c r="G374" s="153" t="s">
        <v>3618</v>
      </c>
      <c r="H374" s="153" t="s">
        <v>3619</v>
      </c>
      <c r="I374" s="153" t="s">
        <v>3620</v>
      </c>
      <c r="J374" s="153" t="s">
        <v>68</v>
      </c>
      <c r="K374" s="153" t="s">
        <v>59</v>
      </c>
      <c r="L374" s="155">
        <v>28775</v>
      </c>
      <c r="M374" s="153">
        <v>46</v>
      </c>
      <c r="N374" s="153" t="s">
        <v>3621</v>
      </c>
      <c r="O374" s="155">
        <v>47348</v>
      </c>
      <c r="P374" s="153" t="s">
        <v>4</v>
      </c>
      <c r="Q374" s="153"/>
      <c r="R374" s="162">
        <v>45913</v>
      </c>
      <c r="S374" s="163">
        <v>45918</v>
      </c>
      <c r="T374" s="164">
        <f t="shared" si="5"/>
        <v>5</v>
      </c>
      <c r="U374" s="153">
        <v>1</v>
      </c>
      <c r="V374" s="153">
        <v>1</v>
      </c>
      <c r="W374" s="153">
        <v>0</v>
      </c>
      <c r="X374" s="153">
        <v>1</v>
      </c>
      <c r="Y374" s="153">
        <v>0</v>
      </c>
      <c r="Z374" s="153">
        <v>1</v>
      </c>
      <c r="AA374" s="153">
        <v>0</v>
      </c>
      <c r="AB374" s="153"/>
      <c r="AC374" s="155">
        <v>45913</v>
      </c>
      <c r="AD374" s="156">
        <v>0.45833333333575865</v>
      </c>
      <c r="AE374" s="153" t="s">
        <v>3616</v>
      </c>
      <c r="AF374" s="155">
        <v>45919</v>
      </c>
      <c r="AG374" s="156">
        <v>0.87152777778101154</v>
      </c>
      <c r="AH374" s="153" t="s">
        <v>102</v>
      </c>
      <c r="AI374" s="153" t="s">
        <v>3617</v>
      </c>
      <c r="AJ374" s="153" t="s">
        <v>598</v>
      </c>
      <c r="AK374" s="153" t="s">
        <v>64</v>
      </c>
      <c r="AL374" s="153" t="s">
        <v>2306</v>
      </c>
      <c r="AM374" s="149" t="s">
        <v>65</v>
      </c>
      <c r="AN374" s="158"/>
      <c r="AO374" s="159"/>
      <c r="AQ374"/>
      <c r="AR374"/>
      <c r="AS374"/>
      <c r="AT374"/>
      <c r="AU374"/>
    </row>
    <row r="375" spans="1:47" s="151" customFormat="1" ht="14.25" customHeight="1">
      <c r="A375" s="139"/>
      <c r="B375" s="139"/>
      <c r="C375" s="152" t="str">
        <f>IF($X375=1,COUNTIF($C$10:C374,"&gt;0")+1,"")</f>
        <v/>
      </c>
      <c r="D375" s="315"/>
      <c r="E375" s="153" t="s">
        <v>3611</v>
      </c>
      <c r="F375" s="154" t="s">
        <v>3622</v>
      </c>
      <c r="G375" s="153" t="s">
        <v>3618</v>
      </c>
      <c r="H375" s="153" t="s">
        <v>3623</v>
      </c>
      <c r="I375" s="153" t="s">
        <v>3624</v>
      </c>
      <c r="J375" s="153" t="s">
        <v>58</v>
      </c>
      <c r="K375" s="153" t="s">
        <v>59</v>
      </c>
      <c r="L375" s="155">
        <v>25898</v>
      </c>
      <c r="M375" s="153">
        <v>54</v>
      </c>
      <c r="N375" s="153" t="s">
        <v>3625</v>
      </c>
      <c r="O375" s="155">
        <v>47212</v>
      </c>
      <c r="P375" s="153" t="s">
        <v>4</v>
      </c>
      <c r="Q375" s="153"/>
      <c r="R375" s="162">
        <v>45913</v>
      </c>
      <c r="S375" s="163">
        <v>45918</v>
      </c>
      <c r="T375" s="164">
        <f t="shared" si="5"/>
        <v>5</v>
      </c>
      <c r="U375" s="153">
        <v>1</v>
      </c>
      <c r="V375" s="153">
        <v>1</v>
      </c>
      <c r="W375" s="153">
        <v>0</v>
      </c>
      <c r="X375" s="153">
        <v>0</v>
      </c>
      <c r="Y375" s="153">
        <v>0</v>
      </c>
      <c r="Z375" s="153">
        <v>0</v>
      </c>
      <c r="AA375" s="153">
        <v>0</v>
      </c>
      <c r="AB375" s="153"/>
      <c r="AC375" s="155">
        <v>45913</v>
      </c>
      <c r="AD375" s="156">
        <v>0.45833333333575865</v>
      </c>
      <c r="AE375" s="153" t="s">
        <v>3616</v>
      </c>
      <c r="AF375" s="155">
        <v>45919</v>
      </c>
      <c r="AG375" s="156">
        <v>0.87152777778101154</v>
      </c>
      <c r="AH375" s="153" t="s">
        <v>102</v>
      </c>
      <c r="AI375" s="153" t="s">
        <v>3617</v>
      </c>
      <c r="AJ375" s="153" t="s">
        <v>64</v>
      </c>
      <c r="AK375" s="153" t="s">
        <v>64</v>
      </c>
      <c r="AL375" s="153" t="s">
        <v>2306</v>
      </c>
      <c r="AM375" s="149" t="s">
        <v>65</v>
      </c>
      <c r="AN375" s="158"/>
      <c r="AO375" s="159"/>
      <c r="AQ375"/>
      <c r="AR375"/>
      <c r="AS375"/>
      <c r="AT375"/>
      <c r="AU375"/>
    </row>
    <row r="376" spans="1:47" s="151" customFormat="1" ht="14.25" customHeight="1">
      <c r="A376" s="139"/>
      <c r="B376" s="139"/>
      <c r="C376" s="152">
        <f>IF($X376=1,COUNTIF($C$10:C375,"&gt;0")+1,"")</f>
        <v>180</v>
      </c>
      <c r="D376" s="183">
        <v>75989082</v>
      </c>
      <c r="E376" s="153" t="s">
        <v>3611</v>
      </c>
      <c r="F376" s="154" t="s">
        <v>3626</v>
      </c>
      <c r="G376" s="153" t="s">
        <v>3626</v>
      </c>
      <c r="H376" s="153" t="s">
        <v>3627</v>
      </c>
      <c r="I376" s="153" t="s">
        <v>3628</v>
      </c>
      <c r="J376" s="153" t="s">
        <v>58</v>
      </c>
      <c r="K376" s="153" t="s">
        <v>59</v>
      </c>
      <c r="L376" s="155">
        <v>33834</v>
      </c>
      <c r="M376" s="153">
        <v>33</v>
      </c>
      <c r="N376" s="153" t="s">
        <v>3629</v>
      </c>
      <c r="O376" s="155">
        <v>48138</v>
      </c>
      <c r="P376" s="153" t="s">
        <v>3</v>
      </c>
      <c r="Q376" s="153"/>
      <c r="R376" s="162">
        <v>45913</v>
      </c>
      <c r="S376" s="163">
        <v>45918</v>
      </c>
      <c r="T376" s="164">
        <f t="shared" si="5"/>
        <v>5</v>
      </c>
      <c r="U376" s="153">
        <v>1</v>
      </c>
      <c r="V376" s="153">
        <v>1</v>
      </c>
      <c r="W376" s="153">
        <v>0</v>
      </c>
      <c r="X376" s="153">
        <v>1</v>
      </c>
      <c r="Y376" s="153">
        <v>1</v>
      </c>
      <c r="Z376" s="153">
        <v>0</v>
      </c>
      <c r="AA376" s="153">
        <v>0</v>
      </c>
      <c r="AB376" s="153"/>
      <c r="AC376" s="155">
        <v>45913</v>
      </c>
      <c r="AD376" s="156">
        <v>0.52777777778101154</v>
      </c>
      <c r="AE376" s="153" t="s">
        <v>3630</v>
      </c>
      <c r="AF376" s="155">
        <v>45918</v>
      </c>
      <c r="AG376" s="156">
        <v>0.87152777778101154</v>
      </c>
      <c r="AH376" s="153" t="s">
        <v>102</v>
      </c>
      <c r="AI376" s="153" t="s">
        <v>3617</v>
      </c>
      <c r="AJ376" s="153" t="s">
        <v>64</v>
      </c>
      <c r="AK376" s="153" t="s">
        <v>64</v>
      </c>
      <c r="AL376" s="153" t="s">
        <v>2306</v>
      </c>
      <c r="AM376" s="149" t="s">
        <v>65</v>
      </c>
      <c r="AN376" s="158"/>
      <c r="AO376" s="159"/>
      <c r="AQ376"/>
      <c r="AR376"/>
      <c r="AS376"/>
      <c r="AT376"/>
      <c r="AU376"/>
    </row>
    <row r="377" spans="1:47" s="151" customFormat="1" ht="14.25" customHeight="1">
      <c r="A377" s="139"/>
      <c r="B377" s="139"/>
      <c r="C377" s="152">
        <f>IF($X377=1,COUNTIF($C$10:C376,"&gt;0")+1,"")</f>
        <v>181</v>
      </c>
      <c r="D377" s="314">
        <v>75989102</v>
      </c>
      <c r="E377" s="153" t="s">
        <v>3611</v>
      </c>
      <c r="F377" s="154" t="s">
        <v>3631</v>
      </c>
      <c r="G377" s="153" t="s">
        <v>3631</v>
      </c>
      <c r="H377" s="153" t="s">
        <v>3632</v>
      </c>
      <c r="I377" s="153" t="s">
        <v>3633</v>
      </c>
      <c r="J377" s="153" t="s">
        <v>68</v>
      </c>
      <c r="K377" s="153" t="s">
        <v>59</v>
      </c>
      <c r="L377" s="155">
        <v>22673</v>
      </c>
      <c r="M377" s="153">
        <v>63</v>
      </c>
      <c r="N377" s="153" t="s">
        <v>3634</v>
      </c>
      <c r="O377" s="155">
        <v>49020</v>
      </c>
      <c r="P377" s="153" t="s">
        <v>4</v>
      </c>
      <c r="Q377" s="153"/>
      <c r="R377" s="162">
        <v>45913</v>
      </c>
      <c r="S377" s="163">
        <v>45918</v>
      </c>
      <c r="T377" s="164">
        <f t="shared" si="5"/>
        <v>5</v>
      </c>
      <c r="U377" s="153">
        <v>1</v>
      </c>
      <c r="V377" s="153">
        <v>1</v>
      </c>
      <c r="W377" s="153">
        <v>0</v>
      </c>
      <c r="X377" s="153">
        <v>1</v>
      </c>
      <c r="Y377" s="153">
        <v>0</v>
      </c>
      <c r="Z377" s="153">
        <v>1</v>
      </c>
      <c r="AA377" s="153">
        <v>0</v>
      </c>
      <c r="AB377" s="153"/>
      <c r="AC377" s="155">
        <v>45913</v>
      </c>
      <c r="AD377" s="156">
        <v>0.65972222221898846</v>
      </c>
      <c r="AE377" s="153" t="s">
        <v>101</v>
      </c>
      <c r="AF377" s="155">
        <v>45918</v>
      </c>
      <c r="AG377" s="156">
        <v>0.70138888889050577</v>
      </c>
      <c r="AH377" s="153" t="s">
        <v>96</v>
      </c>
      <c r="AI377" s="153" t="s">
        <v>3617</v>
      </c>
      <c r="AJ377" s="153" t="s">
        <v>64</v>
      </c>
      <c r="AK377" s="153" t="s">
        <v>64</v>
      </c>
      <c r="AL377" s="153" t="s">
        <v>2306</v>
      </c>
      <c r="AM377" s="149" t="s">
        <v>65</v>
      </c>
      <c r="AN377" s="158"/>
      <c r="AO377" s="159"/>
      <c r="AQ377"/>
      <c r="AR377"/>
      <c r="AS377"/>
      <c r="AT377"/>
      <c r="AU377"/>
    </row>
    <row r="378" spans="1:47" s="151" customFormat="1" ht="14.25" customHeight="1">
      <c r="A378" s="139"/>
      <c r="B378" s="139"/>
      <c r="C378" s="152" t="str">
        <f>IF($X378=1,COUNTIF($C$10:C377,"&gt;0")+1,"")</f>
        <v/>
      </c>
      <c r="D378" s="315"/>
      <c r="E378" s="153" t="s">
        <v>3611</v>
      </c>
      <c r="F378" s="154" t="s">
        <v>3635</v>
      </c>
      <c r="G378" s="153" t="s">
        <v>3631</v>
      </c>
      <c r="H378" s="153" t="s">
        <v>3636</v>
      </c>
      <c r="I378" s="153" t="s">
        <v>3637</v>
      </c>
      <c r="J378" s="153" t="s">
        <v>58</v>
      </c>
      <c r="K378" s="153" t="s">
        <v>59</v>
      </c>
      <c r="L378" s="155">
        <v>22614</v>
      </c>
      <c r="M378" s="153">
        <v>63</v>
      </c>
      <c r="N378" s="153" t="s">
        <v>3638</v>
      </c>
      <c r="O378" s="155">
        <v>46185</v>
      </c>
      <c r="P378" s="153" t="s">
        <v>4</v>
      </c>
      <c r="Q378" s="153"/>
      <c r="R378" s="162">
        <v>45913</v>
      </c>
      <c r="S378" s="163">
        <v>45918</v>
      </c>
      <c r="T378" s="164">
        <f t="shared" si="5"/>
        <v>5</v>
      </c>
      <c r="U378" s="153">
        <v>1</v>
      </c>
      <c r="V378" s="153">
        <v>1</v>
      </c>
      <c r="W378" s="153">
        <v>0</v>
      </c>
      <c r="X378" s="153">
        <v>0</v>
      </c>
      <c r="Y378" s="153">
        <v>0</v>
      </c>
      <c r="Z378" s="153">
        <v>0</v>
      </c>
      <c r="AA378" s="153">
        <v>0</v>
      </c>
      <c r="AB378" s="153"/>
      <c r="AC378" s="155">
        <v>45913</v>
      </c>
      <c r="AD378" s="156">
        <v>0.65972222221898846</v>
      </c>
      <c r="AE378" s="153" t="s">
        <v>101</v>
      </c>
      <c r="AF378" s="155">
        <v>45918</v>
      </c>
      <c r="AG378" s="156">
        <v>0.70138888889050577</v>
      </c>
      <c r="AH378" s="153" t="s">
        <v>96</v>
      </c>
      <c r="AI378" s="153" t="s">
        <v>3617</v>
      </c>
      <c r="AJ378" s="153" t="s">
        <v>64</v>
      </c>
      <c r="AK378" s="153" t="s">
        <v>64</v>
      </c>
      <c r="AL378" s="153" t="s">
        <v>2306</v>
      </c>
      <c r="AM378" s="149" t="s">
        <v>65</v>
      </c>
      <c r="AN378" s="158"/>
      <c r="AO378" s="159"/>
      <c r="AQ378"/>
      <c r="AR378"/>
      <c r="AS378"/>
      <c r="AT378"/>
      <c r="AU378"/>
    </row>
    <row r="379" spans="1:47" s="151" customFormat="1" ht="14.25" customHeight="1">
      <c r="A379" s="139"/>
      <c r="B379" s="139"/>
      <c r="C379" s="152">
        <f>IF($X379=1,COUNTIF($C$10:C378,"&gt;0")+1,"")</f>
        <v>182</v>
      </c>
      <c r="D379" s="314">
        <v>75989117</v>
      </c>
      <c r="E379" s="153" t="s">
        <v>3611</v>
      </c>
      <c r="F379" s="154" t="s">
        <v>3639</v>
      </c>
      <c r="G379" s="153" t="s">
        <v>3639</v>
      </c>
      <c r="H379" s="153" t="s">
        <v>3640</v>
      </c>
      <c r="I379" s="153" t="s">
        <v>3641</v>
      </c>
      <c r="J379" s="153" t="s">
        <v>68</v>
      </c>
      <c r="K379" s="153" t="s">
        <v>59</v>
      </c>
      <c r="L379" s="155">
        <v>31890</v>
      </c>
      <c r="M379" s="153">
        <v>38</v>
      </c>
      <c r="N379" s="153" t="s">
        <v>3642</v>
      </c>
      <c r="O379" s="155">
        <v>49518</v>
      </c>
      <c r="P379" s="153" t="s">
        <v>4</v>
      </c>
      <c r="Q379" s="153"/>
      <c r="R379" s="162">
        <v>45913</v>
      </c>
      <c r="S379" s="163">
        <v>45918</v>
      </c>
      <c r="T379" s="164">
        <f t="shared" si="5"/>
        <v>5</v>
      </c>
      <c r="U379" s="153">
        <v>1</v>
      </c>
      <c r="V379" s="153">
        <v>1</v>
      </c>
      <c r="W379" s="153">
        <v>0</v>
      </c>
      <c r="X379" s="153">
        <v>1</v>
      </c>
      <c r="Y379" s="153">
        <v>0</v>
      </c>
      <c r="Z379" s="153">
        <v>1</v>
      </c>
      <c r="AA379" s="153">
        <v>0</v>
      </c>
      <c r="AB379" s="153"/>
      <c r="AC379" s="155">
        <v>45913</v>
      </c>
      <c r="AD379" s="156">
        <v>0.45833333333575865</v>
      </c>
      <c r="AE379" s="153" t="s">
        <v>3616</v>
      </c>
      <c r="AF379" s="155">
        <v>45918</v>
      </c>
      <c r="AG379" s="156">
        <v>0.87152777778101154</v>
      </c>
      <c r="AH379" s="153" t="s">
        <v>102</v>
      </c>
      <c r="AI379" s="153" t="s">
        <v>3617</v>
      </c>
      <c r="AJ379" s="153" t="s">
        <v>64</v>
      </c>
      <c r="AK379" s="153" t="s">
        <v>64</v>
      </c>
      <c r="AL379" s="153" t="s">
        <v>2306</v>
      </c>
      <c r="AM379" s="149" t="s">
        <v>65</v>
      </c>
      <c r="AN379" s="158"/>
      <c r="AO379" s="159"/>
      <c r="AQ379"/>
      <c r="AR379"/>
      <c r="AS379"/>
      <c r="AT379"/>
      <c r="AU379"/>
    </row>
    <row r="380" spans="1:47" s="151" customFormat="1" ht="14.25" customHeight="1">
      <c r="A380" s="139"/>
      <c r="B380" s="139"/>
      <c r="C380" s="152" t="str">
        <f>IF($X380=1,COUNTIF($C$10:C379,"&gt;0")+1,"")</f>
        <v/>
      </c>
      <c r="D380" s="315"/>
      <c r="E380" s="153" t="s">
        <v>3611</v>
      </c>
      <c r="F380" s="154" t="s">
        <v>3643</v>
      </c>
      <c r="G380" s="153" t="s">
        <v>3639</v>
      </c>
      <c r="H380" s="153" t="s">
        <v>3644</v>
      </c>
      <c r="I380" s="153" t="s">
        <v>3645</v>
      </c>
      <c r="J380" s="153" t="s">
        <v>58</v>
      </c>
      <c r="K380" s="153" t="s">
        <v>59</v>
      </c>
      <c r="L380" s="155">
        <v>30533</v>
      </c>
      <c r="M380" s="153">
        <v>42</v>
      </c>
      <c r="N380" s="153" t="s">
        <v>3646</v>
      </c>
      <c r="O380" s="155">
        <v>47345</v>
      </c>
      <c r="P380" s="153" t="s">
        <v>4</v>
      </c>
      <c r="Q380" s="153"/>
      <c r="R380" s="162">
        <v>45913</v>
      </c>
      <c r="S380" s="163">
        <v>45918</v>
      </c>
      <c r="T380" s="164">
        <f t="shared" si="5"/>
        <v>5</v>
      </c>
      <c r="U380" s="153">
        <v>1</v>
      </c>
      <c r="V380" s="153">
        <v>1</v>
      </c>
      <c r="W380" s="153">
        <v>0</v>
      </c>
      <c r="X380" s="153">
        <v>0</v>
      </c>
      <c r="Y380" s="153">
        <v>0</v>
      </c>
      <c r="Z380" s="153">
        <v>0</v>
      </c>
      <c r="AA380" s="153">
        <v>0</v>
      </c>
      <c r="AB380" s="153"/>
      <c r="AC380" s="155">
        <v>45913</v>
      </c>
      <c r="AD380" s="156">
        <v>0.45833333333575865</v>
      </c>
      <c r="AE380" s="153" t="s">
        <v>3616</v>
      </c>
      <c r="AF380" s="155">
        <v>45918</v>
      </c>
      <c r="AG380" s="156">
        <v>0.87152777778101154</v>
      </c>
      <c r="AH380" s="153" t="s">
        <v>102</v>
      </c>
      <c r="AI380" s="153" t="s">
        <v>3617</v>
      </c>
      <c r="AJ380" s="153" t="s">
        <v>64</v>
      </c>
      <c r="AK380" s="153" t="s">
        <v>64</v>
      </c>
      <c r="AL380" s="153" t="s">
        <v>2306</v>
      </c>
      <c r="AM380" s="149" t="s">
        <v>65</v>
      </c>
      <c r="AN380" s="158"/>
      <c r="AO380" s="159"/>
      <c r="AQ380"/>
      <c r="AR380"/>
      <c r="AS380"/>
      <c r="AT380"/>
      <c r="AU380"/>
    </row>
    <row r="381" spans="1:47" s="151" customFormat="1" ht="14.25" customHeight="1">
      <c r="A381" s="139"/>
      <c r="B381" s="139"/>
      <c r="C381" s="152">
        <f>IF($X381=1,COUNTIF($C$10:C380,"&gt;0")+1,"")</f>
        <v>183</v>
      </c>
      <c r="D381" s="183">
        <v>75989141</v>
      </c>
      <c r="E381" s="153" t="s">
        <v>3611</v>
      </c>
      <c r="F381" s="154" t="s">
        <v>3647</v>
      </c>
      <c r="G381" s="153" t="s">
        <v>3647</v>
      </c>
      <c r="H381" s="153" t="s">
        <v>3648</v>
      </c>
      <c r="I381" s="153" t="s">
        <v>1397</v>
      </c>
      <c r="J381" s="153" t="s">
        <v>58</v>
      </c>
      <c r="K381" s="153" t="s">
        <v>59</v>
      </c>
      <c r="L381" s="155">
        <v>24161</v>
      </c>
      <c r="M381" s="153">
        <v>59</v>
      </c>
      <c r="N381" s="153" t="s">
        <v>3649</v>
      </c>
      <c r="O381" s="155">
        <v>49392</v>
      </c>
      <c r="P381" s="153" t="s">
        <v>3</v>
      </c>
      <c r="Q381" s="153"/>
      <c r="R381" s="162">
        <v>45913</v>
      </c>
      <c r="S381" s="163">
        <v>45918</v>
      </c>
      <c r="T381" s="164">
        <f t="shared" si="5"/>
        <v>5</v>
      </c>
      <c r="U381" s="153">
        <v>1</v>
      </c>
      <c r="V381" s="153">
        <v>1</v>
      </c>
      <c r="W381" s="153">
        <v>0</v>
      </c>
      <c r="X381" s="153">
        <v>1</v>
      </c>
      <c r="Y381" s="153">
        <v>1</v>
      </c>
      <c r="Z381" s="153">
        <v>0</v>
      </c>
      <c r="AA381" s="153">
        <v>0</v>
      </c>
      <c r="AB381" s="153"/>
      <c r="AC381" s="155">
        <v>45913</v>
      </c>
      <c r="AD381" s="156">
        <v>0.48611111110949423</v>
      </c>
      <c r="AE381" s="153" t="s">
        <v>3650</v>
      </c>
      <c r="AF381" s="155">
        <v>45922</v>
      </c>
      <c r="AG381" s="156">
        <v>0.66666666666424135</v>
      </c>
      <c r="AH381" s="153" t="s">
        <v>165</v>
      </c>
      <c r="AI381" s="153" t="s">
        <v>3617</v>
      </c>
      <c r="AJ381" s="153" t="s">
        <v>64</v>
      </c>
      <c r="AK381" s="153" t="s">
        <v>64</v>
      </c>
      <c r="AL381" s="153" t="s">
        <v>2306</v>
      </c>
      <c r="AM381" s="149" t="s">
        <v>65</v>
      </c>
      <c r="AN381" s="158"/>
      <c r="AO381" s="159"/>
      <c r="AQ381"/>
      <c r="AR381"/>
      <c r="AS381"/>
      <c r="AT381"/>
      <c r="AU381"/>
    </row>
    <row r="382" spans="1:47" s="151" customFormat="1" ht="14.25" customHeight="1">
      <c r="A382" s="139"/>
      <c r="B382" s="139"/>
      <c r="C382" s="152">
        <f>IF($X382=1,COUNTIF($C$10:C381,"&gt;0")+1,"")</f>
        <v>184</v>
      </c>
      <c r="D382" s="314">
        <v>75989172</v>
      </c>
      <c r="E382" s="153" t="s">
        <v>3651</v>
      </c>
      <c r="F382" s="154" t="s">
        <v>3652</v>
      </c>
      <c r="G382" s="153" t="s">
        <v>3652</v>
      </c>
      <c r="H382" s="153" t="s">
        <v>3653</v>
      </c>
      <c r="I382" s="153" t="s">
        <v>3654</v>
      </c>
      <c r="J382" s="153" t="s">
        <v>68</v>
      </c>
      <c r="K382" s="153" t="s">
        <v>59</v>
      </c>
      <c r="L382" s="155">
        <v>27833</v>
      </c>
      <c r="M382" s="153">
        <v>49</v>
      </c>
      <c r="N382" s="153" t="s">
        <v>3655</v>
      </c>
      <c r="O382" s="155">
        <v>48145</v>
      </c>
      <c r="P382" s="153" t="s">
        <v>5</v>
      </c>
      <c r="Q382" s="153"/>
      <c r="R382" s="162">
        <v>45913</v>
      </c>
      <c r="S382" s="163">
        <v>45918</v>
      </c>
      <c r="T382" s="164">
        <f t="shared" si="5"/>
        <v>5</v>
      </c>
      <c r="U382" s="153">
        <v>1</v>
      </c>
      <c r="V382" s="153">
        <v>1</v>
      </c>
      <c r="W382" s="153">
        <v>0</v>
      </c>
      <c r="X382" s="153">
        <v>1</v>
      </c>
      <c r="Y382" s="153">
        <v>0</v>
      </c>
      <c r="Z382" s="153">
        <v>0</v>
      </c>
      <c r="AA382" s="153">
        <v>1</v>
      </c>
      <c r="AB382" s="153"/>
      <c r="AC382" s="155">
        <v>45913</v>
      </c>
      <c r="AD382" s="156">
        <v>0.69444444444525288</v>
      </c>
      <c r="AE382" s="153" t="s">
        <v>995</v>
      </c>
      <c r="AF382" s="155" t="s">
        <v>64</v>
      </c>
      <c r="AG382" s="156" t="s">
        <v>64</v>
      </c>
      <c r="AH382" s="153" t="s">
        <v>64</v>
      </c>
      <c r="AI382" s="153" t="s">
        <v>3656</v>
      </c>
      <c r="AJ382" s="153" t="s">
        <v>64</v>
      </c>
      <c r="AK382" s="153" t="s">
        <v>64</v>
      </c>
      <c r="AL382" s="153" t="s">
        <v>2306</v>
      </c>
      <c r="AM382" s="149" t="s">
        <v>65</v>
      </c>
      <c r="AN382" s="158"/>
      <c r="AO382" s="159"/>
      <c r="AQ382"/>
      <c r="AR382"/>
      <c r="AS382"/>
      <c r="AT382"/>
      <c r="AU382"/>
    </row>
    <row r="383" spans="1:47" s="151" customFormat="1" ht="14.25" customHeight="1">
      <c r="A383" s="139"/>
      <c r="B383" s="139"/>
      <c r="C383" s="152" t="str">
        <f>IF($X383=1,COUNTIF($C$10:C382,"&gt;0")+1,"")</f>
        <v/>
      </c>
      <c r="D383" s="315"/>
      <c r="E383" s="153" t="s">
        <v>3651</v>
      </c>
      <c r="F383" s="154" t="s">
        <v>3657</v>
      </c>
      <c r="G383" s="153" t="s">
        <v>3652</v>
      </c>
      <c r="H383" s="153" t="s">
        <v>3658</v>
      </c>
      <c r="I383" s="153" t="s">
        <v>3659</v>
      </c>
      <c r="J383" s="153" t="s">
        <v>68</v>
      </c>
      <c r="K383" s="153" t="s">
        <v>64</v>
      </c>
      <c r="L383" s="155" t="s">
        <v>64</v>
      </c>
      <c r="M383" s="153" t="s">
        <v>64</v>
      </c>
      <c r="N383" s="153" t="s">
        <v>64</v>
      </c>
      <c r="O383" s="155" t="s">
        <v>64</v>
      </c>
      <c r="P383" s="153" t="s">
        <v>5</v>
      </c>
      <c r="Q383" s="153"/>
      <c r="R383" s="162">
        <v>45913</v>
      </c>
      <c r="S383" s="163">
        <v>45918</v>
      </c>
      <c r="T383" s="164">
        <f t="shared" si="5"/>
        <v>5</v>
      </c>
      <c r="U383" s="153">
        <v>1</v>
      </c>
      <c r="V383" s="153">
        <v>1</v>
      </c>
      <c r="W383" s="153">
        <v>0</v>
      </c>
      <c r="X383" s="153">
        <v>0</v>
      </c>
      <c r="Y383" s="153">
        <v>0</v>
      </c>
      <c r="Z383" s="153">
        <v>0</v>
      </c>
      <c r="AA383" s="153">
        <v>0</v>
      </c>
      <c r="AB383" s="153"/>
      <c r="AC383" s="155" t="s">
        <v>64</v>
      </c>
      <c r="AD383" s="156" t="s">
        <v>64</v>
      </c>
      <c r="AE383" s="153" t="s">
        <v>64</v>
      </c>
      <c r="AF383" s="155" t="s">
        <v>64</v>
      </c>
      <c r="AG383" s="156" t="s">
        <v>64</v>
      </c>
      <c r="AH383" s="153" t="s">
        <v>64</v>
      </c>
      <c r="AI383" s="153" t="s">
        <v>3656</v>
      </c>
      <c r="AJ383" s="153" t="s">
        <v>64</v>
      </c>
      <c r="AK383" s="153" t="s">
        <v>64</v>
      </c>
      <c r="AL383" s="153" t="s">
        <v>2306</v>
      </c>
      <c r="AM383" s="149" t="s">
        <v>65</v>
      </c>
      <c r="AN383" s="158"/>
      <c r="AO383" s="159"/>
      <c r="AQ383"/>
      <c r="AR383"/>
      <c r="AS383"/>
      <c r="AT383"/>
      <c r="AU383"/>
    </row>
    <row r="384" spans="1:47" s="151" customFormat="1" ht="14.25" customHeight="1">
      <c r="A384" s="139"/>
      <c r="B384" s="139"/>
      <c r="C384" s="152">
        <f>IF($X384=1,COUNTIF($C$10:C383,"&gt;0")+1,"")</f>
        <v>185</v>
      </c>
      <c r="D384" s="314">
        <v>75989206</v>
      </c>
      <c r="E384" s="153" t="s">
        <v>3660</v>
      </c>
      <c r="F384" s="154" t="s">
        <v>3661</v>
      </c>
      <c r="G384" s="153" t="s">
        <v>3661</v>
      </c>
      <c r="H384" s="153" t="s">
        <v>1626</v>
      </c>
      <c r="I384" s="153" t="s">
        <v>999</v>
      </c>
      <c r="J384" s="153" t="s">
        <v>58</v>
      </c>
      <c r="K384" s="153" t="s">
        <v>59</v>
      </c>
      <c r="L384" s="155">
        <v>22003</v>
      </c>
      <c r="M384" s="153">
        <v>65</v>
      </c>
      <c r="N384" s="153" t="s">
        <v>3662</v>
      </c>
      <c r="O384" s="155">
        <v>49342</v>
      </c>
      <c r="P384" s="153" t="s">
        <v>4</v>
      </c>
      <c r="Q384" s="153"/>
      <c r="R384" s="162">
        <v>45913</v>
      </c>
      <c r="S384" s="163">
        <v>45918</v>
      </c>
      <c r="T384" s="164">
        <f t="shared" si="5"/>
        <v>5</v>
      </c>
      <c r="U384" s="153">
        <v>1</v>
      </c>
      <c r="V384" s="153">
        <v>1</v>
      </c>
      <c r="W384" s="153">
        <v>0</v>
      </c>
      <c r="X384" s="153">
        <v>1</v>
      </c>
      <c r="Y384" s="153">
        <v>0</v>
      </c>
      <c r="Z384" s="153">
        <v>1</v>
      </c>
      <c r="AA384" s="153">
        <v>0</v>
      </c>
      <c r="AB384" s="153"/>
      <c r="AC384" s="155">
        <v>45913</v>
      </c>
      <c r="AD384" s="156">
        <v>0.59722222221898846</v>
      </c>
      <c r="AE384" s="153" t="s">
        <v>3663</v>
      </c>
      <c r="AF384" s="155">
        <v>45919</v>
      </c>
      <c r="AG384" s="156">
        <v>0.53125</v>
      </c>
      <c r="AH384" s="153" t="s">
        <v>3664</v>
      </c>
      <c r="AI384" s="153" t="s">
        <v>3665</v>
      </c>
      <c r="AJ384" s="153" t="s">
        <v>598</v>
      </c>
      <c r="AK384" s="153" t="s">
        <v>64</v>
      </c>
      <c r="AL384" s="153" t="s">
        <v>2306</v>
      </c>
      <c r="AM384" s="149" t="s">
        <v>65</v>
      </c>
      <c r="AN384" s="158"/>
      <c r="AO384" s="159"/>
      <c r="AQ384"/>
      <c r="AR384"/>
      <c r="AS384"/>
      <c r="AT384"/>
      <c r="AU384"/>
    </row>
    <row r="385" spans="1:47" s="151" customFormat="1" ht="14.25" customHeight="1">
      <c r="A385" s="139"/>
      <c r="B385" s="139"/>
      <c r="C385" s="152" t="str">
        <f>IF($X385=1,COUNTIF($C$10:C384,"&gt;0")+1,"")</f>
        <v/>
      </c>
      <c r="D385" s="315"/>
      <c r="E385" s="153" t="s">
        <v>3660</v>
      </c>
      <c r="F385" s="154" t="s">
        <v>3666</v>
      </c>
      <c r="G385" s="153" t="s">
        <v>3661</v>
      </c>
      <c r="H385" s="153" t="s">
        <v>3667</v>
      </c>
      <c r="I385" s="153" t="s">
        <v>999</v>
      </c>
      <c r="J385" s="153" t="s">
        <v>68</v>
      </c>
      <c r="K385" s="153" t="s">
        <v>59</v>
      </c>
      <c r="L385" s="155">
        <v>23186</v>
      </c>
      <c r="M385" s="153">
        <v>62</v>
      </c>
      <c r="N385" s="153" t="s">
        <v>3668</v>
      </c>
      <c r="O385" s="155">
        <v>46017</v>
      </c>
      <c r="P385" s="153" t="s">
        <v>4</v>
      </c>
      <c r="Q385" s="153"/>
      <c r="R385" s="162">
        <v>45913</v>
      </c>
      <c r="S385" s="163">
        <v>45918</v>
      </c>
      <c r="T385" s="164">
        <f t="shared" si="5"/>
        <v>5</v>
      </c>
      <c r="U385" s="153">
        <v>1</v>
      </c>
      <c r="V385" s="153">
        <v>1</v>
      </c>
      <c r="W385" s="153">
        <v>0</v>
      </c>
      <c r="X385" s="153">
        <v>0</v>
      </c>
      <c r="Y385" s="153">
        <v>0</v>
      </c>
      <c r="Z385" s="153">
        <v>0</v>
      </c>
      <c r="AA385" s="153">
        <v>0</v>
      </c>
      <c r="AB385" s="153"/>
      <c r="AC385" s="155">
        <v>45913</v>
      </c>
      <c r="AD385" s="156">
        <v>0.59722222221898846</v>
      </c>
      <c r="AE385" s="153" t="s">
        <v>3663</v>
      </c>
      <c r="AF385" s="155">
        <v>45919</v>
      </c>
      <c r="AG385" s="156">
        <v>0.53125</v>
      </c>
      <c r="AH385" s="153" t="s">
        <v>3664</v>
      </c>
      <c r="AI385" s="153" t="s">
        <v>3665</v>
      </c>
      <c r="AJ385" s="153" t="s">
        <v>64</v>
      </c>
      <c r="AK385" s="153" t="s">
        <v>64</v>
      </c>
      <c r="AL385" s="153" t="s">
        <v>2306</v>
      </c>
      <c r="AM385" s="149" t="s">
        <v>65</v>
      </c>
      <c r="AN385" s="158"/>
      <c r="AO385" s="159"/>
      <c r="AQ385"/>
      <c r="AR385"/>
      <c r="AS385"/>
      <c r="AT385"/>
      <c r="AU385"/>
    </row>
    <row r="386" spans="1:47" s="151" customFormat="1" ht="14.25" customHeight="1">
      <c r="A386" s="139"/>
      <c r="B386" s="139"/>
      <c r="C386" s="152">
        <f>IF($X386=1,COUNTIF($C$10:C385,"&gt;0")+1,"")</f>
        <v>186</v>
      </c>
      <c r="D386" s="314">
        <v>75989243</v>
      </c>
      <c r="E386" s="153" t="s">
        <v>3669</v>
      </c>
      <c r="F386" s="154" t="s">
        <v>3670</v>
      </c>
      <c r="G386" s="153" t="s">
        <v>3670</v>
      </c>
      <c r="H386" s="153" t="s">
        <v>3671</v>
      </c>
      <c r="I386" s="153" t="s">
        <v>82</v>
      </c>
      <c r="J386" s="153" t="s">
        <v>68</v>
      </c>
      <c r="K386" s="153" t="s">
        <v>59</v>
      </c>
      <c r="L386" s="155">
        <v>25609</v>
      </c>
      <c r="M386" s="153">
        <v>55</v>
      </c>
      <c r="N386" s="153" t="s">
        <v>3672</v>
      </c>
      <c r="O386" s="155">
        <v>48610</v>
      </c>
      <c r="P386" s="153" t="s">
        <v>4</v>
      </c>
      <c r="Q386" s="153"/>
      <c r="R386" s="162">
        <v>45913</v>
      </c>
      <c r="S386" s="163">
        <v>45918</v>
      </c>
      <c r="T386" s="164">
        <f t="shared" si="5"/>
        <v>5</v>
      </c>
      <c r="U386" s="153">
        <v>1</v>
      </c>
      <c r="V386" s="153">
        <v>1</v>
      </c>
      <c r="W386" s="153">
        <v>0</v>
      </c>
      <c r="X386" s="153">
        <v>1</v>
      </c>
      <c r="Y386" s="153">
        <v>0</v>
      </c>
      <c r="Z386" s="153">
        <v>1</v>
      </c>
      <c r="AA386" s="153">
        <v>0</v>
      </c>
      <c r="AB386" s="153"/>
      <c r="AC386" s="155">
        <v>45913</v>
      </c>
      <c r="AD386" s="156">
        <v>0.30902777778101154</v>
      </c>
      <c r="AE386" s="153" t="s">
        <v>3673</v>
      </c>
      <c r="AF386" s="155">
        <v>45918</v>
      </c>
      <c r="AG386" s="156">
        <v>0.39583333333575865</v>
      </c>
      <c r="AH386" s="153" t="s">
        <v>3674</v>
      </c>
      <c r="AI386" s="153" t="s">
        <v>3675</v>
      </c>
      <c r="AJ386" s="153" t="s">
        <v>64</v>
      </c>
      <c r="AK386" s="153" t="s">
        <v>64</v>
      </c>
      <c r="AL386" s="153" t="s">
        <v>2306</v>
      </c>
      <c r="AM386" s="149" t="s">
        <v>65</v>
      </c>
      <c r="AN386" s="158"/>
      <c r="AO386" s="159"/>
      <c r="AQ386"/>
      <c r="AR386"/>
      <c r="AS386"/>
      <c r="AT386"/>
      <c r="AU386"/>
    </row>
    <row r="387" spans="1:47" s="151" customFormat="1" ht="14.25" customHeight="1">
      <c r="A387" s="139"/>
      <c r="B387" s="139"/>
      <c r="C387" s="152" t="str">
        <f>IF($X387=1,COUNTIF($C$10:C386,"&gt;0")+1,"")</f>
        <v/>
      </c>
      <c r="D387" s="315"/>
      <c r="E387" s="153" t="s">
        <v>3669</v>
      </c>
      <c r="F387" s="154" t="s">
        <v>3676</v>
      </c>
      <c r="G387" s="153" t="s">
        <v>3670</v>
      </c>
      <c r="H387" s="153" t="s">
        <v>3677</v>
      </c>
      <c r="I387" s="153" t="s">
        <v>759</v>
      </c>
      <c r="J387" s="153" t="s">
        <v>68</v>
      </c>
      <c r="K387" s="153" t="s">
        <v>59</v>
      </c>
      <c r="L387" s="155">
        <v>38132</v>
      </c>
      <c r="M387" s="153">
        <v>21</v>
      </c>
      <c r="N387" s="153" t="s">
        <v>3678</v>
      </c>
      <c r="O387" s="155">
        <v>48196</v>
      </c>
      <c r="P387" s="153" t="s">
        <v>4</v>
      </c>
      <c r="Q387" s="153"/>
      <c r="R387" s="162">
        <v>45913</v>
      </c>
      <c r="S387" s="163">
        <v>45918</v>
      </c>
      <c r="T387" s="164">
        <f t="shared" si="5"/>
        <v>5</v>
      </c>
      <c r="U387" s="153">
        <v>1</v>
      </c>
      <c r="V387" s="153">
        <v>1</v>
      </c>
      <c r="W387" s="153">
        <v>0</v>
      </c>
      <c r="X387" s="153">
        <v>0</v>
      </c>
      <c r="Y387" s="153">
        <v>0</v>
      </c>
      <c r="Z387" s="153">
        <v>0</v>
      </c>
      <c r="AA387" s="153">
        <v>0</v>
      </c>
      <c r="AB387" s="153"/>
      <c r="AC387" s="155">
        <v>45913</v>
      </c>
      <c r="AD387" s="156">
        <v>0.30902777778101154</v>
      </c>
      <c r="AE387" s="153" t="s">
        <v>3673</v>
      </c>
      <c r="AF387" s="155">
        <v>45918</v>
      </c>
      <c r="AG387" s="156">
        <v>0.39583333333575865</v>
      </c>
      <c r="AH387" s="153" t="s">
        <v>3674</v>
      </c>
      <c r="AI387" s="153" t="s">
        <v>3675</v>
      </c>
      <c r="AJ387" s="153" t="s">
        <v>64</v>
      </c>
      <c r="AK387" s="153" t="s">
        <v>64</v>
      </c>
      <c r="AL387" s="153" t="s">
        <v>2306</v>
      </c>
      <c r="AM387" s="149" t="s">
        <v>65</v>
      </c>
      <c r="AN387" s="158"/>
      <c r="AO387" s="159"/>
      <c r="AQ387"/>
      <c r="AR387"/>
      <c r="AS387"/>
      <c r="AT387"/>
      <c r="AU387"/>
    </row>
    <row r="388" spans="1:47" s="151" customFormat="1" ht="14.25" customHeight="1">
      <c r="A388" s="139"/>
      <c r="B388" s="139"/>
      <c r="C388" s="152">
        <f>IF($X388=1,COUNTIF($C$10:C387,"&gt;0")+1,"")</f>
        <v>187</v>
      </c>
      <c r="D388" s="314">
        <v>75989259</v>
      </c>
      <c r="E388" s="153" t="s">
        <v>3669</v>
      </c>
      <c r="F388" s="154" t="s">
        <v>3679</v>
      </c>
      <c r="G388" s="153" t="s">
        <v>3679</v>
      </c>
      <c r="H388" s="153" t="s">
        <v>3680</v>
      </c>
      <c r="I388" s="153" t="s">
        <v>1535</v>
      </c>
      <c r="J388" s="153" t="s">
        <v>68</v>
      </c>
      <c r="K388" s="153" t="s">
        <v>59</v>
      </c>
      <c r="L388" s="155">
        <v>25828</v>
      </c>
      <c r="M388" s="153">
        <v>55</v>
      </c>
      <c r="N388" s="153" t="s">
        <v>3681</v>
      </c>
      <c r="O388" s="155">
        <v>48940</v>
      </c>
      <c r="P388" s="153" t="s">
        <v>5</v>
      </c>
      <c r="Q388" s="153"/>
      <c r="R388" s="162">
        <v>45913</v>
      </c>
      <c r="S388" s="163">
        <v>45918</v>
      </c>
      <c r="T388" s="164">
        <f t="shared" si="5"/>
        <v>5</v>
      </c>
      <c r="U388" s="153">
        <v>1</v>
      </c>
      <c r="V388" s="153">
        <v>1</v>
      </c>
      <c r="W388" s="153">
        <v>0</v>
      </c>
      <c r="X388" s="153">
        <v>1</v>
      </c>
      <c r="Y388" s="153">
        <v>0</v>
      </c>
      <c r="Z388" s="153">
        <v>0</v>
      </c>
      <c r="AA388" s="153">
        <v>1</v>
      </c>
      <c r="AB388" s="153"/>
      <c r="AC388" s="155">
        <v>45913</v>
      </c>
      <c r="AD388" s="156">
        <v>0.72569444444525288</v>
      </c>
      <c r="AE388" s="153" t="s">
        <v>3682</v>
      </c>
      <c r="AF388" s="155">
        <v>45918</v>
      </c>
      <c r="AG388" s="156">
        <v>0.39583333333575865</v>
      </c>
      <c r="AH388" s="153" t="s">
        <v>3683</v>
      </c>
      <c r="AI388" s="153" t="s">
        <v>3675</v>
      </c>
      <c r="AJ388" s="153" t="s">
        <v>64</v>
      </c>
      <c r="AK388" s="153" t="s">
        <v>64</v>
      </c>
      <c r="AL388" s="153" t="s">
        <v>2306</v>
      </c>
      <c r="AM388" s="149" t="s">
        <v>65</v>
      </c>
      <c r="AN388" s="158"/>
      <c r="AO388" s="159"/>
      <c r="AQ388"/>
      <c r="AR388"/>
      <c r="AS388"/>
      <c r="AT388"/>
      <c r="AU388"/>
    </row>
    <row r="389" spans="1:47" s="151" customFormat="1" ht="14.25" customHeight="1">
      <c r="A389" s="139"/>
      <c r="B389" s="139"/>
      <c r="C389" s="152" t="str">
        <f>IF($X389=1,COUNTIF($C$10:C388,"&gt;0")+1,"")</f>
        <v/>
      </c>
      <c r="D389" s="315"/>
      <c r="E389" s="153" t="s">
        <v>3669</v>
      </c>
      <c r="F389" s="154" t="s">
        <v>3684</v>
      </c>
      <c r="G389" s="153" t="s">
        <v>3679</v>
      </c>
      <c r="H389" s="153" t="s">
        <v>3685</v>
      </c>
      <c r="I389" s="153" t="s">
        <v>3686</v>
      </c>
      <c r="J389" s="153" t="s">
        <v>68</v>
      </c>
      <c r="K389" s="153" t="s">
        <v>59</v>
      </c>
      <c r="L389" s="155">
        <v>32623</v>
      </c>
      <c r="M389" s="153">
        <v>36</v>
      </c>
      <c r="N389" s="153" t="s">
        <v>3687</v>
      </c>
      <c r="O389" s="155">
        <v>47698</v>
      </c>
      <c r="P389" s="153" t="s">
        <v>5</v>
      </c>
      <c r="Q389" s="153"/>
      <c r="R389" s="162">
        <v>45913</v>
      </c>
      <c r="S389" s="163">
        <v>45918</v>
      </c>
      <c r="T389" s="164">
        <f t="shared" si="5"/>
        <v>5</v>
      </c>
      <c r="U389" s="153">
        <v>1</v>
      </c>
      <c r="V389" s="153">
        <v>1</v>
      </c>
      <c r="W389" s="153">
        <v>0</v>
      </c>
      <c r="X389" s="153">
        <v>0</v>
      </c>
      <c r="Y389" s="153">
        <v>0</v>
      </c>
      <c r="Z389" s="153">
        <v>0</v>
      </c>
      <c r="AA389" s="153">
        <v>0</v>
      </c>
      <c r="AB389" s="153"/>
      <c r="AC389" s="155">
        <v>45913</v>
      </c>
      <c r="AD389" s="156">
        <v>0.72569444444525288</v>
      </c>
      <c r="AE389" s="153" t="s">
        <v>3682</v>
      </c>
      <c r="AF389" s="155">
        <v>45918</v>
      </c>
      <c r="AG389" s="156">
        <v>0.39583333333575865</v>
      </c>
      <c r="AH389" s="153" t="s">
        <v>3683</v>
      </c>
      <c r="AI389" s="153" t="s">
        <v>3675</v>
      </c>
      <c r="AJ389" s="153" t="s">
        <v>64</v>
      </c>
      <c r="AK389" s="153" t="s">
        <v>64</v>
      </c>
      <c r="AL389" s="153" t="s">
        <v>2306</v>
      </c>
      <c r="AM389" s="149" t="s">
        <v>65</v>
      </c>
      <c r="AN389" s="158"/>
      <c r="AO389" s="159"/>
      <c r="AQ389"/>
      <c r="AR389"/>
      <c r="AS389"/>
      <c r="AT389"/>
      <c r="AU389"/>
    </row>
    <row r="390" spans="1:47" s="151" customFormat="1" ht="14.25" customHeight="1">
      <c r="A390" s="139"/>
      <c r="B390" s="139"/>
      <c r="C390" s="152">
        <f>IF($X390=1,COUNTIF($C$10:C389,"&gt;0")+1,"")</f>
        <v>188</v>
      </c>
      <c r="D390" s="314">
        <v>75989278</v>
      </c>
      <c r="E390" s="153" t="s">
        <v>3669</v>
      </c>
      <c r="F390" s="154" t="s">
        <v>3688</v>
      </c>
      <c r="G390" s="153" t="s">
        <v>3688</v>
      </c>
      <c r="H390" s="153" t="s">
        <v>3689</v>
      </c>
      <c r="I390" s="153" t="s">
        <v>2185</v>
      </c>
      <c r="J390" s="153" t="s">
        <v>68</v>
      </c>
      <c r="K390" s="153" t="s">
        <v>59</v>
      </c>
      <c r="L390" s="155">
        <v>27639</v>
      </c>
      <c r="M390" s="153">
        <v>50</v>
      </c>
      <c r="N390" s="153" t="s">
        <v>3690</v>
      </c>
      <c r="O390" s="155">
        <v>47515</v>
      </c>
      <c r="P390" s="153" t="s">
        <v>5</v>
      </c>
      <c r="Q390" s="153"/>
      <c r="R390" s="162">
        <v>45913</v>
      </c>
      <c r="S390" s="163">
        <v>45918</v>
      </c>
      <c r="T390" s="164">
        <f t="shared" si="5"/>
        <v>5</v>
      </c>
      <c r="U390" s="153">
        <v>1</v>
      </c>
      <c r="V390" s="153">
        <v>1</v>
      </c>
      <c r="W390" s="153">
        <v>0</v>
      </c>
      <c r="X390" s="153">
        <v>1</v>
      </c>
      <c r="Y390" s="153">
        <v>0</v>
      </c>
      <c r="Z390" s="153">
        <v>0</v>
      </c>
      <c r="AA390" s="153">
        <v>1</v>
      </c>
      <c r="AB390" s="153"/>
      <c r="AC390" s="155">
        <v>45913</v>
      </c>
      <c r="AD390" s="156">
        <v>0.72569444444525288</v>
      </c>
      <c r="AE390" s="153" t="s">
        <v>3682</v>
      </c>
      <c r="AF390" s="155">
        <v>45918</v>
      </c>
      <c r="AG390" s="156">
        <v>0.39583333333575865</v>
      </c>
      <c r="AH390" s="153" t="s">
        <v>3683</v>
      </c>
      <c r="AI390" s="153" t="s">
        <v>3675</v>
      </c>
      <c r="AJ390" s="153" t="s">
        <v>64</v>
      </c>
      <c r="AK390" s="153" t="s">
        <v>64</v>
      </c>
      <c r="AL390" s="153" t="s">
        <v>2306</v>
      </c>
      <c r="AM390" s="149" t="s">
        <v>65</v>
      </c>
      <c r="AN390" s="158"/>
      <c r="AO390" s="159"/>
      <c r="AQ390"/>
      <c r="AR390"/>
      <c r="AS390"/>
      <c r="AT390"/>
      <c r="AU390"/>
    </row>
    <row r="391" spans="1:47" s="151" customFormat="1" ht="14.25" customHeight="1">
      <c r="A391" s="139"/>
      <c r="B391" s="139"/>
      <c r="C391" s="152" t="str">
        <f>IF($X391=1,COUNTIF($C$10:C390,"&gt;0")+1,"")</f>
        <v/>
      </c>
      <c r="D391" s="315"/>
      <c r="E391" s="153" t="s">
        <v>3669</v>
      </c>
      <c r="F391" s="154" t="s">
        <v>3691</v>
      </c>
      <c r="G391" s="153" t="s">
        <v>3688</v>
      </c>
      <c r="H391" s="153" t="s">
        <v>3692</v>
      </c>
      <c r="I391" s="153" t="s">
        <v>82</v>
      </c>
      <c r="J391" s="153" t="s">
        <v>68</v>
      </c>
      <c r="K391" s="153" t="s">
        <v>59</v>
      </c>
      <c r="L391" s="155">
        <v>30626</v>
      </c>
      <c r="M391" s="153">
        <v>41</v>
      </c>
      <c r="N391" s="153" t="s">
        <v>3693</v>
      </c>
      <c r="O391" s="155">
        <v>47734</v>
      </c>
      <c r="P391" s="153" t="s">
        <v>5</v>
      </c>
      <c r="Q391" s="153"/>
      <c r="R391" s="162">
        <v>45913</v>
      </c>
      <c r="S391" s="163">
        <v>45918</v>
      </c>
      <c r="T391" s="164">
        <f t="shared" si="5"/>
        <v>5</v>
      </c>
      <c r="U391" s="153">
        <v>1</v>
      </c>
      <c r="V391" s="153">
        <v>1</v>
      </c>
      <c r="W391" s="153">
        <v>0</v>
      </c>
      <c r="X391" s="153">
        <v>0</v>
      </c>
      <c r="Y391" s="153">
        <v>0</v>
      </c>
      <c r="Z391" s="153">
        <v>0</v>
      </c>
      <c r="AA391" s="153">
        <v>0</v>
      </c>
      <c r="AB391" s="153"/>
      <c r="AC391" s="155">
        <v>45913</v>
      </c>
      <c r="AD391" s="156">
        <v>0.72569444444525288</v>
      </c>
      <c r="AE391" s="153" t="s">
        <v>3682</v>
      </c>
      <c r="AF391" s="155">
        <v>45918</v>
      </c>
      <c r="AG391" s="156">
        <v>0.39583333333575865</v>
      </c>
      <c r="AH391" s="153" t="s">
        <v>3683</v>
      </c>
      <c r="AI391" s="153" t="s">
        <v>3675</v>
      </c>
      <c r="AJ391" s="153" t="s">
        <v>64</v>
      </c>
      <c r="AK391" s="153" t="s">
        <v>64</v>
      </c>
      <c r="AL391" s="153" t="s">
        <v>2306</v>
      </c>
      <c r="AM391" s="149" t="s">
        <v>65</v>
      </c>
      <c r="AN391" s="158"/>
      <c r="AO391" s="159"/>
      <c r="AQ391"/>
      <c r="AR391"/>
      <c r="AS391"/>
      <c r="AT391"/>
      <c r="AU391"/>
    </row>
    <row r="392" spans="1:47" s="151" customFormat="1" ht="14.25" customHeight="1">
      <c r="A392" s="139"/>
      <c r="B392" s="139"/>
      <c r="C392" s="152">
        <f>IF($X392=1,COUNTIF($C$10:C391,"&gt;0")+1,"")</f>
        <v>189</v>
      </c>
      <c r="D392" s="314">
        <v>75989300</v>
      </c>
      <c r="E392" s="153" t="s">
        <v>3669</v>
      </c>
      <c r="F392" s="154" t="s">
        <v>3694</v>
      </c>
      <c r="G392" s="153" t="s">
        <v>3694</v>
      </c>
      <c r="H392" s="153" t="s">
        <v>3695</v>
      </c>
      <c r="I392" s="153" t="s">
        <v>3696</v>
      </c>
      <c r="J392" s="153" t="s">
        <v>68</v>
      </c>
      <c r="K392" s="153" t="s">
        <v>59</v>
      </c>
      <c r="L392" s="155">
        <v>26809</v>
      </c>
      <c r="M392" s="153">
        <v>52</v>
      </c>
      <c r="N392" s="153" t="s">
        <v>3697</v>
      </c>
      <c r="O392" s="155">
        <v>49056</v>
      </c>
      <c r="P392" s="153" t="s">
        <v>4</v>
      </c>
      <c r="Q392" s="153"/>
      <c r="R392" s="162">
        <v>45913</v>
      </c>
      <c r="S392" s="163">
        <v>45918</v>
      </c>
      <c r="T392" s="164">
        <f t="shared" si="5"/>
        <v>5</v>
      </c>
      <c r="U392" s="153">
        <v>1</v>
      </c>
      <c r="V392" s="153">
        <v>1</v>
      </c>
      <c r="W392" s="153">
        <v>0</v>
      </c>
      <c r="X392" s="153">
        <v>1</v>
      </c>
      <c r="Y392" s="153">
        <v>0</v>
      </c>
      <c r="Z392" s="153">
        <v>1</v>
      </c>
      <c r="AA392" s="153">
        <v>0</v>
      </c>
      <c r="AB392" s="153"/>
      <c r="AC392" s="155">
        <v>45913</v>
      </c>
      <c r="AD392" s="156">
        <v>0.72916666666424135</v>
      </c>
      <c r="AE392" s="153" t="s">
        <v>3698</v>
      </c>
      <c r="AF392" s="155">
        <v>45918</v>
      </c>
      <c r="AG392" s="156">
        <v>0.58680555555474712</v>
      </c>
      <c r="AH392" s="153" t="s">
        <v>255</v>
      </c>
      <c r="AI392" s="153" t="s">
        <v>3675</v>
      </c>
      <c r="AJ392" s="153" t="s">
        <v>64</v>
      </c>
      <c r="AK392" s="153" t="s">
        <v>64</v>
      </c>
      <c r="AL392" s="153" t="s">
        <v>2306</v>
      </c>
      <c r="AM392" s="149" t="s">
        <v>65</v>
      </c>
      <c r="AN392" s="158"/>
      <c r="AO392" s="159"/>
      <c r="AQ392"/>
      <c r="AR392"/>
      <c r="AS392"/>
      <c r="AT392"/>
      <c r="AU392"/>
    </row>
    <row r="393" spans="1:47" s="151" customFormat="1" ht="14.25" customHeight="1">
      <c r="A393" s="139"/>
      <c r="B393" s="139"/>
      <c r="C393" s="152" t="str">
        <f>IF($X393=1,COUNTIF($C$10:C392,"&gt;0")+1,"")</f>
        <v/>
      </c>
      <c r="D393" s="315"/>
      <c r="E393" s="153" t="s">
        <v>3669</v>
      </c>
      <c r="F393" s="154" t="s">
        <v>3699</v>
      </c>
      <c r="G393" s="153" t="s">
        <v>3694</v>
      </c>
      <c r="H393" s="153" t="s">
        <v>3700</v>
      </c>
      <c r="I393" s="153" t="s">
        <v>3696</v>
      </c>
      <c r="J393" s="153" t="s">
        <v>68</v>
      </c>
      <c r="K393" s="153" t="s">
        <v>59</v>
      </c>
      <c r="L393" s="155">
        <v>34565</v>
      </c>
      <c r="M393" s="153">
        <v>31</v>
      </c>
      <c r="N393" s="153" t="s">
        <v>3701</v>
      </c>
      <c r="O393" s="155">
        <v>49041</v>
      </c>
      <c r="P393" s="153" t="s">
        <v>4</v>
      </c>
      <c r="Q393" s="153"/>
      <c r="R393" s="162">
        <v>45913</v>
      </c>
      <c r="S393" s="163">
        <v>45918</v>
      </c>
      <c r="T393" s="164">
        <f t="shared" si="5"/>
        <v>5</v>
      </c>
      <c r="U393" s="153">
        <v>1</v>
      </c>
      <c r="V393" s="153">
        <v>1</v>
      </c>
      <c r="W393" s="153">
        <v>0</v>
      </c>
      <c r="X393" s="153">
        <v>0</v>
      </c>
      <c r="Y393" s="153">
        <v>0</v>
      </c>
      <c r="Z393" s="153">
        <v>0</v>
      </c>
      <c r="AA393" s="153">
        <v>0</v>
      </c>
      <c r="AB393" s="153"/>
      <c r="AC393" s="155">
        <v>45913</v>
      </c>
      <c r="AD393" s="156">
        <v>0.72916666666424135</v>
      </c>
      <c r="AE393" s="153" t="s">
        <v>3698</v>
      </c>
      <c r="AF393" s="155">
        <v>45918</v>
      </c>
      <c r="AG393" s="156">
        <v>0.58680555555474712</v>
      </c>
      <c r="AH393" s="153" t="s">
        <v>255</v>
      </c>
      <c r="AI393" s="153" t="s">
        <v>3675</v>
      </c>
      <c r="AJ393" s="153" t="s">
        <v>64</v>
      </c>
      <c r="AK393" s="153" t="s">
        <v>64</v>
      </c>
      <c r="AL393" s="153" t="s">
        <v>2306</v>
      </c>
      <c r="AM393" s="149" t="s">
        <v>65</v>
      </c>
      <c r="AN393" s="158"/>
      <c r="AO393" s="159"/>
      <c r="AQ393"/>
      <c r="AR393"/>
      <c r="AS393"/>
      <c r="AT393"/>
      <c r="AU393"/>
    </row>
    <row r="394" spans="1:47" s="151" customFormat="1" ht="14.25" customHeight="1">
      <c r="A394" s="139"/>
      <c r="B394" s="139"/>
      <c r="C394" s="152">
        <f>IF($X394=1,COUNTIF($C$10:C393,"&gt;0")+1,"")</f>
        <v>190</v>
      </c>
      <c r="D394" s="314">
        <v>75989321</v>
      </c>
      <c r="E394" s="153" t="s">
        <v>3669</v>
      </c>
      <c r="F394" s="154" t="s">
        <v>3702</v>
      </c>
      <c r="G394" s="153" t="s">
        <v>3702</v>
      </c>
      <c r="H394" s="153" t="s">
        <v>3703</v>
      </c>
      <c r="I394" s="153" t="s">
        <v>3704</v>
      </c>
      <c r="J394" s="153" t="s">
        <v>68</v>
      </c>
      <c r="K394" s="153" t="s">
        <v>59</v>
      </c>
      <c r="L394" s="155">
        <v>24894</v>
      </c>
      <c r="M394" s="153">
        <v>57</v>
      </c>
      <c r="N394" s="153" t="s">
        <v>3705</v>
      </c>
      <c r="O394" s="155">
        <v>46563</v>
      </c>
      <c r="P394" s="153" t="s">
        <v>4</v>
      </c>
      <c r="Q394" s="153"/>
      <c r="R394" s="162">
        <v>45913</v>
      </c>
      <c r="S394" s="163">
        <v>45918</v>
      </c>
      <c r="T394" s="164">
        <f t="shared" ref="T394:T429" si="6">S394-R394</f>
        <v>5</v>
      </c>
      <c r="U394" s="153">
        <v>1</v>
      </c>
      <c r="V394" s="153">
        <v>1</v>
      </c>
      <c r="W394" s="153">
        <v>0</v>
      </c>
      <c r="X394" s="153">
        <v>1</v>
      </c>
      <c r="Y394" s="153">
        <v>0</v>
      </c>
      <c r="Z394" s="153">
        <v>1</v>
      </c>
      <c r="AA394" s="153">
        <v>0</v>
      </c>
      <c r="AB394" s="153"/>
      <c r="AC394" s="155">
        <v>45913</v>
      </c>
      <c r="AD394" s="156">
        <v>0.64583333333575865</v>
      </c>
      <c r="AE394" s="153" t="s">
        <v>312</v>
      </c>
      <c r="AF394" s="155">
        <v>45918</v>
      </c>
      <c r="AG394" s="156">
        <v>0.72569444444525288</v>
      </c>
      <c r="AH394" s="153" t="s">
        <v>313</v>
      </c>
      <c r="AI394" s="153" t="s">
        <v>3675</v>
      </c>
      <c r="AJ394" s="153" t="s">
        <v>64</v>
      </c>
      <c r="AK394" s="153" t="s">
        <v>64</v>
      </c>
      <c r="AL394" s="153" t="s">
        <v>2306</v>
      </c>
      <c r="AM394" s="149" t="s">
        <v>65</v>
      </c>
      <c r="AN394" s="158"/>
      <c r="AO394" s="159"/>
      <c r="AQ394"/>
      <c r="AR394"/>
      <c r="AS394"/>
      <c r="AT394"/>
      <c r="AU394"/>
    </row>
    <row r="395" spans="1:47" s="151" customFormat="1" ht="14.25" customHeight="1">
      <c r="A395" s="139"/>
      <c r="B395" s="139"/>
      <c r="C395" s="152" t="str">
        <f>IF($X395=1,COUNTIF($C$10:C394,"&gt;0")+1,"")</f>
        <v/>
      </c>
      <c r="D395" s="315"/>
      <c r="E395" s="153" t="s">
        <v>3669</v>
      </c>
      <c r="F395" s="154" t="s">
        <v>3706</v>
      </c>
      <c r="G395" s="153" t="s">
        <v>3702</v>
      </c>
      <c r="H395" s="153" t="s">
        <v>3707</v>
      </c>
      <c r="I395" s="153" t="s">
        <v>3708</v>
      </c>
      <c r="J395" s="153" t="s">
        <v>68</v>
      </c>
      <c r="K395" s="153" t="s">
        <v>59</v>
      </c>
      <c r="L395" s="155">
        <v>23084</v>
      </c>
      <c r="M395" s="153">
        <v>62</v>
      </c>
      <c r="N395" s="153" t="s">
        <v>3709</v>
      </c>
      <c r="O395" s="155">
        <v>49318</v>
      </c>
      <c r="P395" s="153" t="s">
        <v>4</v>
      </c>
      <c r="Q395" s="153"/>
      <c r="R395" s="162">
        <v>45913</v>
      </c>
      <c r="S395" s="163">
        <v>45918</v>
      </c>
      <c r="T395" s="164">
        <f t="shared" si="6"/>
        <v>5</v>
      </c>
      <c r="U395" s="153">
        <v>1</v>
      </c>
      <c r="V395" s="153">
        <v>1</v>
      </c>
      <c r="W395" s="153">
        <v>0</v>
      </c>
      <c r="X395" s="153">
        <v>0</v>
      </c>
      <c r="Y395" s="153">
        <v>0</v>
      </c>
      <c r="Z395" s="153">
        <v>0</v>
      </c>
      <c r="AA395" s="153">
        <v>0</v>
      </c>
      <c r="AB395" s="153"/>
      <c r="AC395" s="155">
        <v>45913</v>
      </c>
      <c r="AD395" s="156">
        <v>0.64583333333575865</v>
      </c>
      <c r="AE395" s="153" t="s">
        <v>312</v>
      </c>
      <c r="AF395" s="155">
        <v>45918</v>
      </c>
      <c r="AG395" s="156">
        <v>0.72569444444525288</v>
      </c>
      <c r="AH395" s="153" t="s">
        <v>313</v>
      </c>
      <c r="AI395" s="153" t="s">
        <v>3675</v>
      </c>
      <c r="AJ395" s="153" t="s">
        <v>64</v>
      </c>
      <c r="AK395" s="153" t="s">
        <v>64</v>
      </c>
      <c r="AL395" s="153" t="s">
        <v>2306</v>
      </c>
      <c r="AM395" s="149" t="s">
        <v>65</v>
      </c>
      <c r="AN395" s="158"/>
      <c r="AO395" s="159"/>
      <c r="AQ395"/>
      <c r="AR395"/>
      <c r="AS395"/>
      <c r="AT395"/>
      <c r="AU395"/>
    </row>
    <row r="396" spans="1:47" s="151" customFormat="1" ht="14.25" customHeight="1">
      <c r="A396" s="139"/>
      <c r="B396" s="139"/>
      <c r="C396" s="152">
        <f>IF($X396=1,COUNTIF($C$10:C395,"&gt;0")+1,"")</f>
        <v>191</v>
      </c>
      <c r="D396" s="314">
        <v>75989342</v>
      </c>
      <c r="E396" s="153" t="s">
        <v>3669</v>
      </c>
      <c r="F396" s="154" t="s">
        <v>3710</v>
      </c>
      <c r="G396" s="153" t="s">
        <v>3710</v>
      </c>
      <c r="H396" s="153" t="s">
        <v>2364</v>
      </c>
      <c r="I396" s="153" t="s">
        <v>3711</v>
      </c>
      <c r="J396" s="153" t="s">
        <v>68</v>
      </c>
      <c r="K396" s="153" t="s">
        <v>59</v>
      </c>
      <c r="L396" s="155">
        <v>22513</v>
      </c>
      <c r="M396" s="153">
        <v>64</v>
      </c>
      <c r="N396" s="153" t="s">
        <v>3712</v>
      </c>
      <c r="O396" s="155">
        <v>47408</v>
      </c>
      <c r="P396" s="153" t="s">
        <v>4</v>
      </c>
      <c r="Q396" s="153"/>
      <c r="R396" s="162">
        <v>45913</v>
      </c>
      <c r="S396" s="163">
        <v>45918</v>
      </c>
      <c r="T396" s="164">
        <f t="shared" si="6"/>
        <v>5</v>
      </c>
      <c r="U396" s="153">
        <v>1</v>
      </c>
      <c r="V396" s="153">
        <v>1</v>
      </c>
      <c r="W396" s="153">
        <v>0</v>
      </c>
      <c r="X396" s="153">
        <v>1</v>
      </c>
      <c r="Y396" s="153">
        <v>0</v>
      </c>
      <c r="Z396" s="153">
        <v>1</v>
      </c>
      <c r="AA396" s="153">
        <v>0</v>
      </c>
      <c r="AB396" s="153"/>
      <c r="AC396" s="155">
        <v>45913</v>
      </c>
      <c r="AD396" s="156">
        <v>0.64583333333575865</v>
      </c>
      <c r="AE396" s="153" t="s">
        <v>312</v>
      </c>
      <c r="AF396" s="155">
        <v>45918</v>
      </c>
      <c r="AG396" s="156">
        <v>0.72569444444525288</v>
      </c>
      <c r="AH396" s="153" t="s">
        <v>313</v>
      </c>
      <c r="AI396" s="153" t="s">
        <v>3675</v>
      </c>
      <c r="AJ396" s="153" t="s">
        <v>64</v>
      </c>
      <c r="AK396" s="153" t="s">
        <v>64</v>
      </c>
      <c r="AL396" s="153" t="s">
        <v>2306</v>
      </c>
      <c r="AM396" s="149" t="s">
        <v>65</v>
      </c>
      <c r="AN396" s="158"/>
      <c r="AO396" s="159"/>
      <c r="AQ396"/>
      <c r="AR396"/>
      <c r="AS396"/>
      <c r="AT396"/>
      <c r="AU396"/>
    </row>
    <row r="397" spans="1:47" s="151" customFormat="1" ht="14.25" customHeight="1">
      <c r="A397" s="139"/>
      <c r="B397" s="139"/>
      <c r="C397" s="152" t="str">
        <f>IF($X397=1,COUNTIF($C$10:C396,"&gt;0")+1,"")</f>
        <v/>
      </c>
      <c r="D397" s="315"/>
      <c r="E397" s="153" t="s">
        <v>3669</v>
      </c>
      <c r="F397" s="154" t="s">
        <v>3713</v>
      </c>
      <c r="G397" s="153" t="s">
        <v>3710</v>
      </c>
      <c r="H397" s="153" t="s">
        <v>3714</v>
      </c>
      <c r="I397" s="153" t="s">
        <v>3715</v>
      </c>
      <c r="J397" s="153" t="s">
        <v>58</v>
      </c>
      <c r="K397" s="153" t="s">
        <v>59</v>
      </c>
      <c r="L397" s="155">
        <v>21140</v>
      </c>
      <c r="M397" s="153">
        <v>67</v>
      </c>
      <c r="N397" s="153" t="s">
        <v>3716</v>
      </c>
      <c r="O397" s="155">
        <v>48885</v>
      </c>
      <c r="P397" s="153" t="s">
        <v>4</v>
      </c>
      <c r="Q397" s="153"/>
      <c r="R397" s="162">
        <v>45913</v>
      </c>
      <c r="S397" s="163">
        <v>45918</v>
      </c>
      <c r="T397" s="164">
        <f t="shared" si="6"/>
        <v>5</v>
      </c>
      <c r="U397" s="153">
        <v>1</v>
      </c>
      <c r="V397" s="153">
        <v>1</v>
      </c>
      <c r="W397" s="153">
        <v>0</v>
      </c>
      <c r="X397" s="153">
        <v>0</v>
      </c>
      <c r="Y397" s="153">
        <v>0</v>
      </c>
      <c r="Z397" s="153">
        <v>0</v>
      </c>
      <c r="AA397" s="153">
        <v>0</v>
      </c>
      <c r="AB397" s="153"/>
      <c r="AC397" s="155">
        <v>45913</v>
      </c>
      <c r="AD397" s="156">
        <v>0.64583333333575865</v>
      </c>
      <c r="AE397" s="153" t="s">
        <v>312</v>
      </c>
      <c r="AF397" s="155">
        <v>45918</v>
      </c>
      <c r="AG397" s="156">
        <v>0.72569444444525288</v>
      </c>
      <c r="AH397" s="153" t="s">
        <v>313</v>
      </c>
      <c r="AI397" s="153" t="s">
        <v>3675</v>
      </c>
      <c r="AJ397" s="153" t="s">
        <v>64</v>
      </c>
      <c r="AK397" s="153" t="s">
        <v>64</v>
      </c>
      <c r="AL397" s="153" t="s">
        <v>2306</v>
      </c>
      <c r="AM397" s="149" t="s">
        <v>65</v>
      </c>
      <c r="AN397" s="158"/>
      <c r="AO397" s="159"/>
      <c r="AQ397"/>
      <c r="AR397"/>
      <c r="AS397"/>
      <c r="AT397"/>
      <c r="AU397"/>
    </row>
    <row r="398" spans="1:47" s="151" customFormat="1" ht="14.25" customHeight="1">
      <c r="A398" s="139"/>
      <c r="B398" s="139"/>
      <c r="C398" s="152">
        <f>IF($X398=1,COUNTIF($C$10:C397,"&gt;0")+1,"")</f>
        <v>192</v>
      </c>
      <c r="D398" s="314">
        <v>75989362</v>
      </c>
      <c r="E398" s="153" t="s">
        <v>3669</v>
      </c>
      <c r="F398" s="154" t="s">
        <v>3717</v>
      </c>
      <c r="G398" s="153" t="s">
        <v>3717</v>
      </c>
      <c r="H398" s="153" t="s">
        <v>3718</v>
      </c>
      <c r="I398" s="153" t="s">
        <v>82</v>
      </c>
      <c r="J398" s="153" t="s">
        <v>58</v>
      </c>
      <c r="K398" s="153" t="s">
        <v>59</v>
      </c>
      <c r="L398" s="155">
        <v>21941</v>
      </c>
      <c r="M398" s="153">
        <v>65</v>
      </c>
      <c r="N398" s="153" t="s">
        <v>3719</v>
      </c>
      <c r="O398" s="155">
        <v>46187</v>
      </c>
      <c r="P398" s="153" t="s">
        <v>4</v>
      </c>
      <c r="Q398" s="153"/>
      <c r="R398" s="162">
        <v>45913</v>
      </c>
      <c r="S398" s="163">
        <v>45918</v>
      </c>
      <c r="T398" s="164">
        <f t="shared" si="6"/>
        <v>5</v>
      </c>
      <c r="U398" s="153">
        <v>1</v>
      </c>
      <c r="V398" s="153">
        <v>1</v>
      </c>
      <c r="W398" s="153">
        <v>0</v>
      </c>
      <c r="X398" s="153">
        <v>1</v>
      </c>
      <c r="Y398" s="153">
        <v>0</v>
      </c>
      <c r="Z398" s="153">
        <v>1</v>
      </c>
      <c r="AA398" s="153">
        <v>0</v>
      </c>
      <c r="AB398" s="153"/>
      <c r="AC398" s="155">
        <v>45913</v>
      </c>
      <c r="AD398" s="156">
        <v>0.59027777778101154</v>
      </c>
      <c r="AE398" s="153" t="s">
        <v>547</v>
      </c>
      <c r="AF398" s="155">
        <v>45918</v>
      </c>
      <c r="AG398" s="156">
        <v>0.39930555555474712</v>
      </c>
      <c r="AH398" s="153" t="s">
        <v>1931</v>
      </c>
      <c r="AI398" s="153" t="s">
        <v>3675</v>
      </c>
      <c r="AJ398" s="153" t="s">
        <v>64</v>
      </c>
      <c r="AK398" s="153" t="s">
        <v>64</v>
      </c>
      <c r="AL398" s="153" t="s">
        <v>2306</v>
      </c>
      <c r="AM398" s="149" t="s">
        <v>65</v>
      </c>
      <c r="AN398" s="158"/>
      <c r="AO398" s="159"/>
      <c r="AQ398"/>
      <c r="AR398"/>
      <c r="AS398"/>
      <c r="AT398"/>
      <c r="AU398"/>
    </row>
    <row r="399" spans="1:47" s="151" customFormat="1" ht="14.25" customHeight="1">
      <c r="A399" s="139"/>
      <c r="B399" s="139"/>
      <c r="C399" s="152" t="str">
        <f>IF($X399=1,COUNTIF($C$10:C398,"&gt;0")+1,"")</f>
        <v/>
      </c>
      <c r="D399" s="315"/>
      <c r="E399" s="153" t="s">
        <v>3669</v>
      </c>
      <c r="F399" s="154" t="s">
        <v>3720</v>
      </c>
      <c r="G399" s="153" t="s">
        <v>3717</v>
      </c>
      <c r="H399" s="153" t="s">
        <v>3721</v>
      </c>
      <c r="I399" s="153" t="s">
        <v>82</v>
      </c>
      <c r="J399" s="153" t="s">
        <v>68</v>
      </c>
      <c r="K399" s="153" t="s">
        <v>59</v>
      </c>
      <c r="L399" s="155">
        <v>29581</v>
      </c>
      <c r="M399" s="153">
        <v>44</v>
      </c>
      <c r="N399" s="153" t="s">
        <v>3722</v>
      </c>
      <c r="O399" s="155">
        <v>47935</v>
      </c>
      <c r="P399" s="153" t="s">
        <v>4</v>
      </c>
      <c r="Q399" s="153"/>
      <c r="R399" s="162">
        <v>45913</v>
      </c>
      <c r="S399" s="163">
        <v>45918</v>
      </c>
      <c r="T399" s="164">
        <f t="shared" si="6"/>
        <v>5</v>
      </c>
      <c r="U399" s="153">
        <v>1</v>
      </c>
      <c r="V399" s="153">
        <v>1</v>
      </c>
      <c r="W399" s="153">
        <v>0</v>
      </c>
      <c r="X399" s="153">
        <v>0</v>
      </c>
      <c r="Y399" s="153">
        <v>0</v>
      </c>
      <c r="Z399" s="153">
        <v>0</v>
      </c>
      <c r="AA399" s="153">
        <v>0</v>
      </c>
      <c r="AB399" s="153"/>
      <c r="AC399" s="155">
        <v>45913</v>
      </c>
      <c r="AD399" s="156">
        <v>0.59027777778101154</v>
      </c>
      <c r="AE399" s="153" t="s">
        <v>547</v>
      </c>
      <c r="AF399" s="155">
        <v>45918</v>
      </c>
      <c r="AG399" s="156">
        <v>0.39930555555474712</v>
      </c>
      <c r="AH399" s="153" t="s">
        <v>1931</v>
      </c>
      <c r="AI399" s="153" t="s">
        <v>3675</v>
      </c>
      <c r="AJ399" s="153" t="s">
        <v>64</v>
      </c>
      <c r="AK399" s="153" t="s">
        <v>64</v>
      </c>
      <c r="AL399" s="153" t="s">
        <v>2306</v>
      </c>
      <c r="AM399" s="149" t="s">
        <v>65</v>
      </c>
      <c r="AN399" s="158"/>
      <c r="AO399" s="159"/>
      <c r="AQ399"/>
      <c r="AR399"/>
      <c r="AS399"/>
      <c r="AT399"/>
      <c r="AU399"/>
    </row>
    <row r="400" spans="1:47" s="151" customFormat="1" ht="14.25" customHeight="1">
      <c r="A400" s="139"/>
      <c r="B400" s="139"/>
      <c r="C400" s="152">
        <f>IF($X400=1,COUNTIF($C$10:C399,"&gt;0")+1,"")</f>
        <v>193</v>
      </c>
      <c r="D400" s="314">
        <v>75989393</v>
      </c>
      <c r="E400" s="153" t="s">
        <v>3669</v>
      </c>
      <c r="F400" s="154" t="s">
        <v>3723</v>
      </c>
      <c r="G400" s="153" t="s">
        <v>3723</v>
      </c>
      <c r="H400" s="153" t="s">
        <v>3724</v>
      </c>
      <c r="I400" s="153" t="s">
        <v>82</v>
      </c>
      <c r="J400" s="153" t="s">
        <v>58</v>
      </c>
      <c r="K400" s="153" t="s">
        <v>59</v>
      </c>
      <c r="L400" s="155">
        <v>27502</v>
      </c>
      <c r="M400" s="153">
        <v>50</v>
      </c>
      <c r="N400" s="153" t="s">
        <v>3725</v>
      </c>
      <c r="O400" s="155">
        <v>46518</v>
      </c>
      <c r="P400" s="153" t="s">
        <v>4</v>
      </c>
      <c r="Q400" s="153"/>
      <c r="R400" s="162">
        <v>45913</v>
      </c>
      <c r="S400" s="163">
        <v>45918</v>
      </c>
      <c r="T400" s="164">
        <f t="shared" si="6"/>
        <v>5</v>
      </c>
      <c r="U400" s="153">
        <v>1</v>
      </c>
      <c r="V400" s="153">
        <v>1</v>
      </c>
      <c r="W400" s="153">
        <v>0</v>
      </c>
      <c r="X400" s="153">
        <v>1</v>
      </c>
      <c r="Y400" s="153">
        <v>0</v>
      </c>
      <c r="Z400" s="153">
        <v>1</v>
      </c>
      <c r="AA400" s="153">
        <v>0</v>
      </c>
      <c r="AB400" s="153"/>
      <c r="AC400" s="155">
        <v>45913</v>
      </c>
      <c r="AD400" s="156">
        <v>0.18055555555474712</v>
      </c>
      <c r="AE400" s="153" t="s">
        <v>95</v>
      </c>
      <c r="AF400" s="155">
        <v>45921</v>
      </c>
      <c r="AG400" s="156">
        <v>0.70138888889050577</v>
      </c>
      <c r="AH400" s="153" t="s">
        <v>96</v>
      </c>
      <c r="AI400" s="153" t="s">
        <v>3675</v>
      </c>
      <c r="AJ400" s="153" t="s">
        <v>64</v>
      </c>
      <c r="AK400" s="153" t="s">
        <v>64</v>
      </c>
      <c r="AL400" s="153" t="s">
        <v>2306</v>
      </c>
      <c r="AM400" s="149" t="s">
        <v>65</v>
      </c>
      <c r="AN400" s="158"/>
      <c r="AO400" s="159"/>
      <c r="AQ400"/>
      <c r="AR400"/>
      <c r="AS400"/>
      <c r="AT400"/>
      <c r="AU400"/>
    </row>
    <row r="401" spans="1:47" s="151" customFormat="1" ht="14.25" customHeight="1">
      <c r="A401" s="139"/>
      <c r="B401" s="139"/>
      <c r="C401" s="152" t="str">
        <f>IF($X401=1,COUNTIF($C$10:C400,"&gt;0")+1,"")</f>
        <v/>
      </c>
      <c r="D401" s="315"/>
      <c r="E401" s="153" t="s">
        <v>3669</v>
      </c>
      <c r="F401" s="154" t="s">
        <v>3726</v>
      </c>
      <c r="G401" s="153" t="s">
        <v>3723</v>
      </c>
      <c r="H401" s="153" t="s">
        <v>3727</v>
      </c>
      <c r="I401" s="153" t="s">
        <v>759</v>
      </c>
      <c r="J401" s="153" t="s">
        <v>68</v>
      </c>
      <c r="K401" s="153" t="s">
        <v>59</v>
      </c>
      <c r="L401" s="155">
        <v>28224</v>
      </c>
      <c r="M401" s="153">
        <v>48</v>
      </c>
      <c r="N401" s="153" t="s">
        <v>3728</v>
      </c>
      <c r="O401" s="155">
        <v>46518</v>
      </c>
      <c r="P401" s="153" t="s">
        <v>4</v>
      </c>
      <c r="Q401" s="153"/>
      <c r="R401" s="162">
        <v>45913</v>
      </c>
      <c r="S401" s="163">
        <v>45918</v>
      </c>
      <c r="T401" s="164">
        <f t="shared" si="6"/>
        <v>5</v>
      </c>
      <c r="U401" s="153">
        <v>1</v>
      </c>
      <c r="V401" s="153">
        <v>1</v>
      </c>
      <c r="W401" s="153">
        <v>0</v>
      </c>
      <c r="X401" s="153">
        <v>0</v>
      </c>
      <c r="Y401" s="153">
        <v>0</v>
      </c>
      <c r="Z401" s="153">
        <v>0</v>
      </c>
      <c r="AA401" s="153">
        <v>0</v>
      </c>
      <c r="AB401" s="153"/>
      <c r="AC401" s="155">
        <v>45913</v>
      </c>
      <c r="AD401" s="156">
        <v>0.18055555555474712</v>
      </c>
      <c r="AE401" s="153" t="s">
        <v>95</v>
      </c>
      <c r="AF401" s="155">
        <v>45921</v>
      </c>
      <c r="AG401" s="156">
        <v>0.70138888889050577</v>
      </c>
      <c r="AH401" s="153" t="s">
        <v>96</v>
      </c>
      <c r="AI401" s="153" t="s">
        <v>3675</v>
      </c>
      <c r="AJ401" s="153" t="s">
        <v>64</v>
      </c>
      <c r="AK401" s="153" t="s">
        <v>64</v>
      </c>
      <c r="AL401" s="153" t="s">
        <v>2306</v>
      </c>
      <c r="AM401" s="149" t="s">
        <v>65</v>
      </c>
      <c r="AN401" s="158"/>
      <c r="AO401" s="159"/>
      <c r="AQ401"/>
      <c r="AR401"/>
      <c r="AS401"/>
      <c r="AT401"/>
      <c r="AU401"/>
    </row>
    <row r="402" spans="1:47" s="151" customFormat="1" ht="14.25" customHeight="1">
      <c r="A402" s="139"/>
      <c r="B402" s="139"/>
      <c r="C402" s="152">
        <f>IF($X402=1,COUNTIF($C$10:C401,"&gt;0")+1,"")</f>
        <v>194</v>
      </c>
      <c r="D402" s="314">
        <v>75989417</v>
      </c>
      <c r="E402" s="153" t="s">
        <v>3669</v>
      </c>
      <c r="F402" s="154" t="s">
        <v>3729</v>
      </c>
      <c r="G402" s="153" t="s">
        <v>3729</v>
      </c>
      <c r="H402" s="153" t="s">
        <v>799</v>
      </c>
      <c r="I402" s="153" t="s">
        <v>3730</v>
      </c>
      <c r="J402" s="153" t="s">
        <v>68</v>
      </c>
      <c r="K402" s="153" t="s">
        <v>59</v>
      </c>
      <c r="L402" s="155">
        <v>26544</v>
      </c>
      <c r="M402" s="153">
        <v>53</v>
      </c>
      <c r="N402" s="153" t="s">
        <v>3731</v>
      </c>
      <c r="O402" s="155">
        <v>46820</v>
      </c>
      <c r="P402" s="153" t="s">
        <v>4</v>
      </c>
      <c r="Q402" s="153"/>
      <c r="R402" s="162">
        <v>45913</v>
      </c>
      <c r="S402" s="163">
        <v>45918</v>
      </c>
      <c r="T402" s="164">
        <f t="shared" si="6"/>
        <v>5</v>
      </c>
      <c r="U402" s="153">
        <v>1</v>
      </c>
      <c r="V402" s="153">
        <v>1</v>
      </c>
      <c r="W402" s="153">
        <v>0</v>
      </c>
      <c r="X402" s="153">
        <v>1</v>
      </c>
      <c r="Y402" s="153">
        <v>0</v>
      </c>
      <c r="Z402" s="153">
        <v>1</v>
      </c>
      <c r="AA402" s="153">
        <v>0</v>
      </c>
      <c r="AB402" s="153"/>
      <c r="AC402" s="155">
        <v>45913</v>
      </c>
      <c r="AD402" s="156">
        <v>0.18055555555474712</v>
      </c>
      <c r="AE402" s="153" t="s">
        <v>95</v>
      </c>
      <c r="AF402" s="155">
        <v>45921</v>
      </c>
      <c r="AG402" s="156">
        <v>0.70138888889050577</v>
      </c>
      <c r="AH402" s="153" t="s">
        <v>96</v>
      </c>
      <c r="AI402" s="153" t="s">
        <v>3675</v>
      </c>
      <c r="AJ402" s="153" t="s">
        <v>64</v>
      </c>
      <c r="AK402" s="153" t="s">
        <v>64</v>
      </c>
      <c r="AL402" s="153" t="s">
        <v>2306</v>
      </c>
      <c r="AM402" s="149" t="s">
        <v>65</v>
      </c>
      <c r="AN402" s="158"/>
      <c r="AO402" s="159"/>
      <c r="AQ402"/>
      <c r="AR402"/>
      <c r="AS402"/>
      <c r="AT402"/>
      <c r="AU402"/>
    </row>
    <row r="403" spans="1:47" s="151" customFormat="1" ht="14.25" customHeight="1">
      <c r="A403" s="139"/>
      <c r="B403" s="139"/>
      <c r="C403" s="152" t="str">
        <f>IF($X403=1,COUNTIF($C$10:C402,"&gt;0")+1,"")</f>
        <v/>
      </c>
      <c r="D403" s="315"/>
      <c r="E403" s="153" t="s">
        <v>3669</v>
      </c>
      <c r="F403" s="154" t="s">
        <v>3732</v>
      </c>
      <c r="G403" s="153" t="s">
        <v>3729</v>
      </c>
      <c r="H403" s="153" t="s">
        <v>3733</v>
      </c>
      <c r="I403" s="153" t="s">
        <v>3734</v>
      </c>
      <c r="J403" s="153" t="s">
        <v>58</v>
      </c>
      <c r="K403" s="153" t="s">
        <v>59</v>
      </c>
      <c r="L403" s="155">
        <v>26875</v>
      </c>
      <c r="M403" s="153">
        <v>52</v>
      </c>
      <c r="N403" s="153" t="s">
        <v>3735</v>
      </c>
      <c r="O403" s="155">
        <v>48437</v>
      </c>
      <c r="P403" s="153" t="s">
        <v>4</v>
      </c>
      <c r="Q403" s="153"/>
      <c r="R403" s="162">
        <v>45913</v>
      </c>
      <c r="S403" s="163">
        <v>45918</v>
      </c>
      <c r="T403" s="164">
        <f t="shared" si="6"/>
        <v>5</v>
      </c>
      <c r="U403" s="153">
        <v>1</v>
      </c>
      <c r="V403" s="153">
        <v>1</v>
      </c>
      <c r="W403" s="153">
        <v>0</v>
      </c>
      <c r="X403" s="153">
        <v>0</v>
      </c>
      <c r="Y403" s="153">
        <v>0</v>
      </c>
      <c r="Z403" s="153">
        <v>0</v>
      </c>
      <c r="AA403" s="153">
        <v>0</v>
      </c>
      <c r="AB403" s="153"/>
      <c r="AC403" s="155">
        <v>45913</v>
      </c>
      <c r="AD403" s="156">
        <v>0.18055555555474712</v>
      </c>
      <c r="AE403" s="153" t="s">
        <v>95</v>
      </c>
      <c r="AF403" s="155">
        <v>45921</v>
      </c>
      <c r="AG403" s="156">
        <v>0.70138888889050577</v>
      </c>
      <c r="AH403" s="153" t="s">
        <v>96</v>
      </c>
      <c r="AI403" s="153" t="s">
        <v>3675</v>
      </c>
      <c r="AJ403" s="153" t="s">
        <v>64</v>
      </c>
      <c r="AK403" s="153" t="s">
        <v>64</v>
      </c>
      <c r="AL403" s="153" t="s">
        <v>2306</v>
      </c>
      <c r="AM403" s="149" t="s">
        <v>65</v>
      </c>
      <c r="AN403" s="158"/>
      <c r="AO403" s="159"/>
      <c r="AQ403"/>
      <c r="AR403"/>
      <c r="AS403"/>
      <c r="AT403"/>
      <c r="AU403"/>
    </row>
    <row r="404" spans="1:47" s="151" customFormat="1" ht="14.25" customHeight="1">
      <c r="A404" s="139"/>
      <c r="B404" s="139"/>
      <c r="C404" s="152">
        <f>IF($X404=1,COUNTIF($C$10:C403,"&gt;0")+1,"")</f>
        <v>195</v>
      </c>
      <c r="D404" s="314">
        <v>94662849</v>
      </c>
      <c r="E404" s="153" t="s">
        <v>3736</v>
      </c>
      <c r="F404" s="154" t="s">
        <v>3737</v>
      </c>
      <c r="G404" s="153" t="s">
        <v>3737</v>
      </c>
      <c r="H404" s="153" t="s">
        <v>3738</v>
      </c>
      <c r="I404" s="153" t="s">
        <v>438</v>
      </c>
      <c r="J404" s="153" t="s">
        <v>58</v>
      </c>
      <c r="K404" s="153" t="s">
        <v>59</v>
      </c>
      <c r="L404" s="155">
        <v>31868</v>
      </c>
      <c r="M404" s="153">
        <v>38</v>
      </c>
      <c r="N404" s="153" t="s">
        <v>3739</v>
      </c>
      <c r="O404" s="155">
        <v>47498</v>
      </c>
      <c r="P404" s="153" t="s">
        <v>4</v>
      </c>
      <c r="Q404" s="153"/>
      <c r="R404" s="162">
        <v>45913</v>
      </c>
      <c r="S404" s="163">
        <v>45918</v>
      </c>
      <c r="T404" s="164">
        <f t="shared" si="6"/>
        <v>5</v>
      </c>
      <c r="U404" s="153">
        <v>1</v>
      </c>
      <c r="V404" s="153">
        <v>1</v>
      </c>
      <c r="W404" s="153">
        <v>0</v>
      </c>
      <c r="X404" s="153">
        <v>1</v>
      </c>
      <c r="Y404" s="153">
        <v>0</v>
      </c>
      <c r="Z404" s="153">
        <v>1</v>
      </c>
      <c r="AA404" s="153">
        <v>0</v>
      </c>
      <c r="AB404" s="153"/>
      <c r="AC404" s="155">
        <v>45913</v>
      </c>
      <c r="AD404" s="156">
        <v>0.48958333333575865</v>
      </c>
      <c r="AE404" s="153" t="s">
        <v>2075</v>
      </c>
      <c r="AF404" s="155">
        <v>45924</v>
      </c>
      <c r="AG404" s="156">
        <v>0.66666666666424135</v>
      </c>
      <c r="AH404" s="153" t="s">
        <v>165</v>
      </c>
      <c r="AI404" s="153" t="s">
        <v>3740</v>
      </c>
      <c r="AJ404" s="153" t="s">
        <v>3410</v>
      </c>
      <c r="AK404" s="161" t="s">
        <v>3741</v>
      </c>
      <c r="AL404" s="153" t="s">
        <v>2306</v>
      </c>
      <c r="AM404" s="185" t="s">
        <v>3742</v>
      </c>
      <c r="AN404" s="185"/>
      <c r="AO404" s="159"/>
      <c r="AQ404"/>
      <c r="AR404"/>
      <c r="AS404"/>
      <c r="AT404"/>
      <c r="AU404"/>
    </row>
    <row r="405" spans="1:47" s="151" customFormat="1" ht="14.25" customHeight="1">
      <c r="A405" s="139"/>
      <c r="B405" s="139"/>
      <c r="C405" s="152" t="str">
        <f>IF($X405=1,COUNTIF($C$10:C404,"&gt;0")+1,"")</f>
        <v/>
      </c>
      <c r="D405" s="321"/>
      <c r="E405" s="153" t="s">
        <v>3736</v>
      </c>
      <c r="F405" s="154" t="s">
        <v>3743</v>
      </c>
      <c r="G405" s="153" t="s">
        <v>3737</v>
      </c>
      <c r="H405" s="153" t="s">
        <v>3744</v>
      </c>
      <c r="I405" s="153" t="s">
        <v>82</v>
      </c>
      <c r="J405" s="153" t="s">
        <v>68</v>
      </c>
      <c r="K405" s="153" t="s">
        <v>59</v>
      </c>
      <c r="L405" s="155">
        <v>32094</v>
      </c>
      <c r="M405" s="153">
        <v>37</v>
      </c>
      <c r="N405" s="153" t="s">
        <v>3745</v>
      </c>
      <c r="O405" s="155">
        <v>48513</v>
      </c>
      <c r="P405" s="153" t="s">
        <v>4</v>
      </c>
      <c r="Q405" s="153"/>
      <c r="R405" s="162">
        <v>45913</v>
      </c>
      <c r="S405" s="163">
        <v>45918</v>
      </c>
      <c r="T405" s="164">
        <f t="shared" si="6"/>
        <v>5</v>
      </c>
      <c r="U405" s="153">
        <v>1</v>
      </c>
      <c r="V405" s="153">
        <v>1</v>
      </c>
      <c r="W405" s="153">
        <v>0</v>
      </c>
      <c r="X405" s="153">
        <v>0</v>
      </c>
      <c r="Y405" s="153">
        <v>0</v>
      </c>
      <c r="Z405" s="153">
        <v>0</v>
      </c>
      <c r="AA405" s="153">
        <v>0</v>
      </c>
      <c r="AB405" s="153"/>
      <c r="AC405" s="155">
        <v>45913</v>
      </c>
      <c r="AD405" s="156">
        <v>0.48958333333575865</v>
      </c>
      <c r="AE405" s="153" t="s">
        <v>2075</v>
      </c>
      <c r="AF405" s="155">
        <v>45924</v>
      </c>
      <c r="AG405" s="156">
        <v>0.66666666666424135</v>
      </c>
      <c r="AH405" s="153" t="s">
        <v>165</v>
      </c>
      <c r="AI405" s="153" t="s">
        <v>3740</v>
      </c>
      <c r="AJ405" s="153" t="s">
        <v>3410</v>
      </c>
      <c r="AK405" s="161"/>
      <c r="AL405" s="153" t="s">
        <v>2306</v>
      </c>
      <c r="AM405" s="185" t="s">
        <v>3742</v>
      </c>
      <c r="AN405" s="185"/>
      <c r="AO405" s="159"/>
      <c r="AQ405"/>
      <c r="AR405"/>
      <c r="AS405"/>
      <c r="AT405"/>
      <c r="AU405"/>
    </row>
    <row r="406" spans="1:47" s="151" customFormat="1" ht="14.25" customHeight="1">
      <c r="A406" s="139"/>
      <c r="B406" s="139"/>
      <c r="C406" s="152" t="str">
        <f>IF($X406=1,COUNTIF($C$10:C405,"&gt;0")+1,"")</f>
        <v/>
      </c>
      <c r="D406" s="315"/>
      <c r="E406" s="153" t="s">
        <v>3736</v>
      </c>
      <c r="F406" s="154" t="s">
        <v>3746</v>
      </c>
      <c r="G406" s="153" t="s">
        <v>3737</v>
      </c>
      <c r="H406" s="153" t="s">
        <v>3747</v>
      </c>
      <c r="I406" s="153" t="s">
        <v>438</v>
      </c>
      <c r="J406" s="153" t="s">
        <v>58</v>
      </c>
      <c r="K406" s="153" t="s">
        <v>59</v>
      </c>
      <c r="L406" s="155">
        <v>45469</v>
      </c>
      <c r="M406" s="153">
        <v>1</v>
      </c>
      <c r="N406" s="153" t="s">
        <v>3748</v>
      </c>
      <c r="O406" s="155">
        <v>47328</v>
      </c>
      <c r="P406" s="153" t="s">
        <v>4</v>
      </c>
      <c r="Q406" s="153"/>
      <c r="R406" s="162">
        <v>45913</v>
      </c>
      <c r="S406" s="163">
        <v>45918</v>
      </c>
      <c r="T406" s="164">
        <f t="shared" si="6"/>
        <v>5</v>
      </c>
      <c r="U406" s="153">
        <v>0</v>
      </c>
      <c r="V406" s="153">
        <v>0</v>
      </c>
      <c r="W406" s="153">
        <v>0</v>
      </c>
      <c r="X406" s="153">
        <v>0</v>
      </c>
      <c r="Y406" s="153">
        <v>0</v>
      </c>
      <c r="Z406" s="153">
        <v>0</v>
      </c>
      <c r="AA406" s="153">
        <v>0</v>
      </c>
      <c r="AB406" s="153"/>
      <c r="AC406" s="155">
        <v>45913</v>
      </c>
      <c r="AD406" s="156">
        <v>0.48958333333575865</v>
      </c>
      <c r="AE406" s="153" t="s">
        <v>2075</v>
      </c>
      <c r="AF406" s="155">
        <v>45924</v>
      </c>
      <c r="AG406" s="156">
        <v>0.66666666666424135</v>
      </c>
      <c r="AH406" s="153" t="s">
        <v>165</v>
      </c>
      <c r="AI406" s="153" t="s">
        <v>3740</v>
      </c>
      <c r="AJ406" s="153" t="s">
        <v>3410</v>
      </c>
      <c r="AK406" s="161" t="s">
        <v>64</v>
      </c>
      <c r="AL406" s="153" t="s">
        <v>2306</v>
      </c>
      <c r="AM406" s="185" t="s">
        <v>3742</v>
      </c>
      <c r="AN406" s="185"/>
      <c r="AO406" s="159"/>
      <c r="AQ406"/>
      <c r="AR406"/>
      <c r="AS406"/>
      <c r="AT406"/>
      <c r="AU406"/>
    </row>
    <row r="407" spans="1:47" s="151" customFormat="1" ht="14.25" customHeight="1">
      <c r="A407" s="139"/>
      <c r="B407" s="139"/>
      <c r="C407" s="152">
        <f>IF($X407=1,COUNTIF($C$10:C406,"&gt;0")+1,"")</f>
        <v>196</v>
      </c>
      <c r="D407" s="314">
        <v>94662833</v>
      </c>
      <c r="E407" s="153" t="s">
        <v>3736</v>
      </c>
      <c r="F407" s="154" t="s">
        <v>3749</v>
      </c>
      <c r="G407" s="153" t="s">
        <v>3737</v>
      </c>
      <c r="H407" s="153" t="s">
        <v>3750</v>
      </c>
      <c r="I407" s="153" t="s">
        <v>82</v>
      </c>
      <c r="J407" s="153" t="s">
        <v>58</v>
      </c>
      <c r="K407" s="153" t="s">
        <v>59</v>
      </c>
      <c r="L407" s="155">
        <v>17942</v>
      </c>
      <c r="M407" s="153">
        <v>76</v>
      </c>
      <c r="N407" s="153" t="s">
        <v>3751</v>
      </c>
      <c r="O407" s="155">
        <v>48988</v>
      </c>
      <c r="P407" s="153" t="s">
        <v>4</v>
      </c>
      <c r="Q407" s="153"/>
      <c r="R407" s="162">
        <v>45913</v>
      </c>
      <c r="S407" s="163">
        <v>45918</v>
      </c>
      <c r="T407" s="164">
        <f t="shared" si="6"/>
        <v>5</v>
      </c>
      <c r="U407" s="153">
        <v>1</v>
      </c>
      <c r="V407" s="153">
        <v>1</v>
      </c>
      <c r="W407" s="153">
        <v>0</v>
      </c>
      <c r="X407" s="153">
        <v>1</v>
      </c>
      <c r="Y407" s="153">
        <v>0</v>
      </c>
      <c r="Z407" s="153">
        <v>1</v>
      </c>
      <c r="AA407" s="153">
        <v>0</v>
      </c>
      <c r="AB407" s="153"/>
      <c r="AC407" s="155">
        <v>45913</v>
      </c>
      <c r="AD407" s="156">
        <v>0.48958333333575865</v>
      </c>
      <c r="AE407" s="153" t="s">
        <v>2075</v>
      </c>
      <c r="AF407" s="155">
        <v>45924</v>
      </c>
      <c r="AG407" s="156">
        <v>0.70138888889050577</v>
      </c>
      <c r="AH407" s="153" t="s">
        <v>3752</v>
      </c>
      <c r="AI407" s="153" t="s">
        <v>3740</v>
      </c>
      <c r="AJ407" s="153" t="s">
        <v>3410</v>
      </c>
      <c r="AK407" s="161" t="s">
        <v>3753</v>
      </c>
      <c r="AL407" s="153" t="s">
        <v>2306</v>
      </c>
      <c r="AM407" s="185" t="s">
        <v>3742</v>
      </c>
      <c r="AN407" s="185"/>
      <c r="AO407" s="159"/>
      <c r="AQ407"/>
      <c r="AR407"/>
      <c r="AS407"/>
      <c r="AT407"/>
      <c r="AU407"/>
    </row>
    <row r="408" spans="1:47" s="151" customFormat="1" ht="14.25" customHeight="1">
      <c r="A408" s="139"/>
      <c r="B408" s="139"/>
      <c r="C408" s="152" t="str">
        <f>IF($X408=1,COUNTIF($C$10:C407,"&gt;0")+1,"")</f>
        <v/>
      </c>
      <c r="D408" s="315"/>
      <c r="E408" s="153" t="s">
        <v>3736</v>
      </c>
      <c r="F408" s="154" t="s">
        <v>3754</v>
      </c>
      <c r="G408" s="153" t="s">
        <v>3737</v>
      </c>
      <c r="H408" s="153" t="s">
        <v>3755</v>
      </c>
      <c r="I408" s="153" t="s">
        <v>82</v>
      </c>
      <c r="J408" s="153" t="s">
        <v>68</v>
      </c>
      <c r="K408" s="153" t="s">
        <v>59</v>
      </c>
      <c r="L408" s="155">
        <v>18497</v>
      </c>
      <c r="M408" s="153">
        <v>75</v>
      </c>
      <c r="N408" s="153" t="s">
        <v>3756</v>
      </c>
      <c r="O408" s="155">
        <v>48658</v>
      </c>
      <c r="P408" s="153" t="s">
        <v>4</v>
      </c>
      <c r="Q408" s="153"/>
      <c r="R408" s="162">
        <v>45913</v>
      </c>
      <c r="S408" s="163">
        <v>45918</v>
      </c>
      <c r="T408" s="164">
        <f t="shared" si="6"/>
        <v>5</v>
      </c>
      <c r="U408" s="153">
        <v>1</v>
      </c>
      <c r="V408" s="153">
        <v>1</v>
      </c>
      <c r="W408" s="153">
        <v>0</v>
      </c>
      <c r="X408" s="153">
        <v>0</v>
      </c>
      <c r="Y408" s="153">
        <v>0</v>
      </c>
      <c r="Z408" s="153">
        <v>0</v>
      </c>
      <c r="AA408" s="153">
        <v>0</v>
      </c>
      <c r="AB408" s="153"/>
      <c r="AC408" s="155">
        <v>45913</v>
      </c>
      <c r="AD408" s="156">
        <v>0.48958333333575865</v>
      </c>
      <c r="AE408" s="153" t="s">
        <v>2075</v>
      </c>
      <c r="AF408" s="155">
        <v>45924</v>
      </c>
      <c r="AG408" s="156">
        <v>0.70138888889050577</v>
      </c>
      <c r="AH408" s="153" t="s">
        <v>3752</v>
      </c>
      <c r="AI408" s="153" t="s">
        <v>3740</v>
      </c>
      <c r="AJ408" s="153" t="s">
        <v>3410</v>
      </c>
      <c r="AK408" s="161" t="s">
        <v>64</v>
      </c>
      <c r="AL408" s="153" t="s">
        <v>2306</v>
      </c>
      <c r="AM408" s="185" t="s">
        <v>3742</v>
      </c>
      <c r="AN408" s="185"/>
      <c r="AO408" s="159"/>
      <c r="AQ408"/>
      <c r="AR408"/>
      <c r="AS408"/>
      <c r="AT408"/>
      <c r="AU408"/>
    </row>
    <row r="409" spans="1:47" s="151" customFormat="1" ht="14.25" customHeight="1">
      <c r="A409" s="139"/>
      <c r="B409" s="139"/>
      <c r="C409" s="152">
        <f>IF($X409=1,COUNTIF($C$10:C408,"&gt;0")+1,"")</f>
        <v>197</v>
      </c>
      <c r="D409" s="314">
        <v>94662858</v>
      </c>
      <c r="E409" s="153" t="s">
        <v>3736</v>
      </c>
      <c r="F409" s="154" t="s">
        <v>3757</v>
      </c>
      <c r="G409" s="153" t="s">
        <v>3737</v>
      </c>
      <c r="H409" s="168" t="s">
        <v>3758</v>
      </c>
      <c r="I409" s="168" t="s">
        <v>438</v>
      </c>
      <c r="J409" s="168" t="s">
        <v>58</v>
      </c>
      <c r="K409" s="168" t="s">
        <v>59</v>
      </c>
      <c r="L409" s="169">
        <v>41914</v>
      </c>
      <c r="M409" s="168">
        <v>10</v>
      </c>
      <c r="N409" s="168" t="s">
        <v>3759</v>
      </c>
      <c r="O409" s="169">
        <v>45512</v>
      </c>
      <c r="P409" s="168" t="s">
        <v>4</v>
      </c>
      <c r="Q409" s="153"/>
      <c r="R409" s="162">
        <v>45913</v>
      </c>
      <c r="S409" s="163">
        <v>45918</v>
      </c>
      <c r="T409" s="164">
        <f t="shared" si="6"/>
        <v>5</v>
      </c>
      <c r="U409" s="153">
        <v>1</v>
      </c>
      <c r="V409" s="153">
        <v>1</v>
      </c>
      <c r="W409" s="153">
        <v>0</v>
      </c>
      <c r="X409" s="168">
        <v>1</v>
      </c>
      <c r="Y409" s="168">
        <v>0</v>
      </c>
      <c r="Z409" s="168">
        <v>1</v>
      </c>
      <c r="AA409" s="168">
        <v>0</v>
      </c>
      <c r="AB409" s="153"/>
      <c r="AC409" s="155">
        <v>45913</v>
      </c>
      <c r="AD409" s="156">
        <v>0.48958333333575865</v>
      </c>
      <c r="AE409" s="153" t="s">
        <v>2075</v>
      </c>
      <c r="AF409" s="155">
        <v>45924</v>
      </c>
      <c r="AG409" s="156">
        <v>0.66666666666424135</v>
      </c>
      <c r="AH409" s="153" t="s">
        <v>165</v>
      </c>
      <c r="AI409" s="153" t="s">
        <v>3740</v>
      </c>
      <c r="AJ409" s="153" t="s">
        <v>3410</v>
      </c>
      <c r="AK409" s="161" t="s">
        <v>3760</v>
      </c>
      <c r="AL409" s="153" t="s">
        <v>2306</v>
      </c>
      <c r="AM409" s="185" t="s">
        <v>3742</v>
      </c>
      <c r="AN409" s="185"/>
      <c r="AO409" s="171" t="s">
        <v>3518</v>
      </c>
      <c r="AQ409"/>
      <c r="AR409"/>
      <c r="AS409"/>
      <c r="AT409"/>
      <c r="AU409"/>
    </row>
    <row r="410" spans="1:47" s="151" customFormat="1" ht="14.25" customHeight="1">
      <c r="A410" s="139"/>
      <c r="B410" s="139"/>
      <c r="C410" s="152" t="str">
        <f>IF($X410=1,COUNTIF($C$10:C409,"&gt;0")+1,"")</f>
        <v/>
      </c>
      <c r="D410" s="315"/>
      <c r="E410" s="153" t="s">
        <v>3736</v>
      </c>
      <c r="F410" s="154" t="s">
        <v>3761</v>
      </c>
      <c r="G410" s="153" t="s">
        <v>3737</v>
      </c>
      <c r="H410" s="168" t="s">
        <v>1375</v>
      </c>
      <c r="I410" s="168" t="s">
        <v>399</v>
      </c>
      <c r="J410" s="168" t="s">
        <v>68</v>
      </c>
      <c r="K410" s="168" t="s">
        <v>59</v>
      </c>
      <c r="L410" s="169">
        <v>31879</v>
      </c>
      <c r="M410" s="168">
        <v>38</v>
      </c>
      <c r="N410" s="168" t="s">
        <v>3762</v>
      </c>
      <c r="O410" s="169">
        <v>46921</v>
      </c>
      <c r="P410" s="168" t="s">
        <v>4</v>
      </c>
      <c r="Q410" s="153"/>
      <c r="R410" s="162">
        <v>45913</v>
      </c>
      <c r="S410" s="163">
        <v>45918</v>
      </c>
      <c r="T410" s="164">
        <f t="shared" si="6"/>
        <v>5</v>
      </c>
      <c r="U410" s="153">
        <v>1</v>
      </c>
      <c r="V410" s="153">
        <v>1</v>
      </c>
      <c r="W410" s="153">
        <v>0</v>
      </c>
      <c r="X410" s="168">
        <v>0</v>
      </c>
      <c r="Y410" s="168">
        <v>0</v>
      </c>
      <c r="Z410" s="168">
        <v>0</v>
      </c>
      <c r="AA410" s="168">
        <v>0</v>
      </c>
      <c r="AB410" s="153"/>
      <c r="AC410" s="155">
        <v>45913</v>
      </c>
      <c r="AD410" s="156">
        <v>0.48958333333575865</v>
      </c>
      <c r="AE410" s="153" t="s">
        <v>2075</v>
      </c>
      <c r="AF410" s="155">
        <v>45924</v>
      </c>
      <c r="AG410" s="156">
        <v>0.60416666666424135</v>
      </c>
      <c r="AH410" s="153" t="s">
        <v>3763</v>
      </c>
      <c r="AI410" s="153" t="s">
        <v>3740</v>
      </c>
      <c r="AJ410" s="153" t="s">
        <v>41</v>
      </c>
      <c r="AK410" s="161" t="s">
        <v>64</v>
      </c>
      <c r="AL410" s="153" t="s">
        <v>2306</v>
      </c>
      <c r="AM410" s="185" t="s">
        <v>3742</v>
      </c>
      <c r="AN410" s="185"/>
      <c r="AO410" s="171" t="s">
        <v>3518</v>
      </c>
      <c r="AQ410"/>
      <c r="AR410"/>
      <c r="AS410"/>
      <c r="AT410"/>
      <c r="AU410"/>
    </row>
    <row r="411" spans="1:47" s="151" customFormat="1" ht="14.25" customHeight="1">
      <c r="A411" s="139"/>
      <c r="B411" s="139"/>
      <c r="C411" s="152">
        <f>IF($X411=1,COUNTIF($C$10:C410,"&gt;0")+1,"")</f>
        <v>198</v>
      </c>
      <c r="D411" s="183">
        <v>94662867</v>
      </c>
      <c r="E411" s="153" t="s">
        <v>3736</v>
      </c>
      <c r="F411" s="154" t="s">
        <v>3764</v>
      </c>
      <c r="G411" s="153" t="s">
        <v>3764</v>
      </c>
      <c r="H411" s="153" t="s">
        <v>3765</v>
      </c>
      <c r="I411" s="153" t="s">
        <v>390</v>
      </c>
      <c r="J411" s="153" t="s">
        <v>68</v>
      </c>
      <c r="K411" s="153" t="s">
        <v>59</v>
      </c>
      <c r="L411" s="155">
        <v>21465</v>
      </c>
      <c r="M411" s="153">
        <v>66</v>
      </c>
      <c r="N411" s="153" t="s">
        <v>3766</v>
      </c>
      <c r="O411" s="155">
        <v>46083</v>
      </c>
      <c r="P411" s="153" t="s">
        <v>3</v>
      </c>
      <c r="Q411" s="153"/>
      <c r="R411" s="162">
        <v>45913</v>
      </c>
      <c r="S411" s="163">
        <v>45918</v>
      </c>
      <c r="T411" s="164">
        <f t="shared" si="6"/>
        <v>5</v>
      </c>
      <c r="U411" s="153">
        <v>1</v>
      </c>
      <c r="V411" s="153">
        <v>1</v>
      </c>
      <c r="W411" s="153">
        <v>0</v>
      </c>
      <c r="X411" s="153">
        <v>1</v>
      </c>
      <c r="Y411" s="153">
        <v>1</v>
      </c>
      <c r="Z411" s="153">
        <v>0</v>
      </c>
      <c r="AA411" s="153">
        <v>0</v>
      </c>
      <c r="AB411" s="153"/>
      <c r="AC411" s="155">
        <v>45913</v>
      </c>
      <c r="AD411" s="156">
        <v>0.48958333333575865</v>
      </c>
      <c r="AE411" s="153" t="s">
        <v>2075</v>
      </c>
      <c r="AF411" s="155">
        <v>45924</v>
      </c>
      <c r="AG411" s="156">
        <v>0.66666666666424135</v>
      </c>
      <c r="AH411" s="153" t="s">
        <v>165</v>
      </c>
      <c r="AI411" s="153" t="s">
        <v>3740</v>
      </c>
      <c r="AJ411" s="153" t="s">
        <v>3410</v>
      </c>
      <c r="AK411" s="161" t="s">
        <v>3767</v>
      </c>
      <c r="AL411" s="153" t="s">
        <v>2306</v>
      </c>
      <c r="AM411" s="185" t="s">
        <v>3742</v>
      </c>
      <c r="AN411" s="185"/>
      <c r="AO411" s="159"/>
      <c r="AQ411"/>
      <c r="AR411"/>
      <c r="AS411"/>
      <c r="AT411"/>
      <c r="AU411"/>
    </row>
    <row r="412" spans="1:47" s="151" customFormat="1" ht="14.25" customHeight="1">
      <c r="A412" s="139"/>
      <c r="B412" s="139"/>
      <c r="C412" s="152">
        <f>IF($X412=1,COUNTIF($C$10:C411,"&gt;0")+1,"")</f>
        <v>199</v>
      </c>
      <c r="D412" s="314">
        <v>94662883</v>
      </c>
      <c r="E412" s="153" t="s">
        <v>3736</v>
      </c>
      <c r="F412" s="154" t="s">
        <v>3768</v>
      </c>
      <c r="G412" s="153" t="s">
        <v>3768</v>
      </c>
      <c r="H412" s="153" t="s">
        <v>3769</v>
      </c>
      <c r="I412" s="153" t="s">
        <v>3770</v>
      </c>
      <c r="J412" s="153" t="s">
        <v>58</v>
      </c>
      <c r="K412" s="153" t="s">
        <v>59</v>
      </c>
      <c r="L412" s="155">
        <v>24682</v>
      </c>
      <c r="M412" s="153">
        <v>58</v>
      </c>
      <c r="N412" s="153" t="s">
        <v>3771</v>
      </c>
      <c r="O412" s="155">
        <v>46856</v>
      </c>
      <c r="P412" s="153" t="s">
        <v>4</v>
      </c>
      <c r="Q412" s="153"/>
      <c r="R412" s="186">
        <v>45915</v>
      </c>
      <c r="S412" s="187">
        <v>45922</v>
      </c>
      <c r="T412" s="188">
        <f t="shared" si="6"/>
        <v>7</v>
      </c>
      <c r="U412" s="153">
        <v>1</v>
      </c>
      <c r="V412" s="153">
        <v>1</v>
      </c>
      <c r="W412" s="153">
        <v>0</v>
      </c>
      <c r="X412" s="153">
        <v>1</v>
      </c>
      <c r="Y412" s="153">
        <v>0</v>
      </c>
      <c r="Z412" s="153">
        <v>1</v>
      </c>
      <c r="AA412" s="153">
        <v>0</v>
      </c>
      <c r="AB412" s="153"/>
      <c r="AC412" s="155">
        <v>45915</v>
      </c>
      <c r="AD412" s="156">
        <v>0.64583333333575865</v>
      </c>
      <c r="AE412" s="153" t="s">
        <v>312</v>
      </c>
      <c r="AF412" s="155">
        <v>45922</v>
      </c>
      <c r="AG412" s="156">
        <v>0.55902777778101154</v>
      </c>
      <c r="AH412" s="153" t="s">
        <v>3772</v>
      </c>
      <c r="AI412" s="153" t="s">
        <v>3740</v>
      </c>
      <c r="AJ412" s="153" t="s">
        <v>3410</v>
      </c>
      <c r="AK412" s="153" t="s">
        <v>3773</v>
      </c>
      <c r="AL412" s="153" t="s">
        <v>2306</v>
      </c>
      <c r="AM412" s="185" t="s">
        <v>3742</v>
      </c>
      <c r="AN412" s="185"/>
      <c r="AO412" s="159"/>
      <c r="AQ412"/>
      <c r="AR412"/>
      <c r="AS412"/>
      <c r="AT412"/>
      <c r="AU412"/>
    </row>
    <row r="413" spans="1:47" s="151" customFormat="1" ht="14.25" customHeight="1">
      <c r="A413" s="139"/>
      <c r="B413" s="139"/>
      <c r="C413" s="152" t="str">
        <f>IF($X413=1,COUNTIF($C$10:C412,"&gt;0")+1,"")</f>
        <v/>
      </c>
      <c r="D413" s="315"/>
      <c r="E413" s="153" t="s">
        <v>3736</v>
      </c>
      <c r="F413" s="154" t="s">
        <v>3774</v>
      </c>
      <c r="G413" s="153" t="s">
        <v>3768</v>
      </c>
      <c r="H413" s="153" t="s">
        <v>3775</v>
      </c>
      <c r="I413" s="153" t="s">
        <v>3770</v>
      </c>
      <c r="J413" s="153" t="s">
        <v>68</v>
      </c>
      <c r="K413" s="153" t="s">
        <v>59</v>
      </c>
      <c r="L413" s="155">
        <v>26324</v>
      </c>
      <c r="M413" s="153">
        <v>53</v>
      </c>
      <c r="N413" s="153" t="s">
        <v>3776</v>
      </c>
      <c r="O413" s="155">
        <v>46306</v>
      </c>
      <c r="P413" s="153" t="s">
        <v>4</v>
      </c>
      <c r="Q413" s="153"/>
      <c r="R413" s="186">
        <v>45915</v>
      </c>
      <c r="S413" s="187">
        <v>45922</v>
      </c>
      <c r="T413" s="188">
        <f t="shared" si="6"/>
        <v>7</v>
      </c>
      <c r="U413" s="153">
        <v>1</v>
      </c>
      <c r="V413" s="153">
        <v>1</v>
      </c>
      <c r="W413" s="153">
        <v>0</v>
      </c>
      <c r="X413" s="153">
        <v>0</v>
      </c>
      <c r="Y413" s="153">
        <v>0</v>
      </c>
      <c r="Z413" s="153">
        <v>0</v>
      </c>
      <c r="AA413" s="153">
        <v>0</v>
      </c>
      <c r="AB413" s="153"/>
      <c r="AC413" s="155">
        <v>45915</v>
      </c>
      <c r="AD413" s="156">
        <v>0.64583333333575865</v>
      </c>
      <c r="AE413" s="153" t="s">
        <v>312</v>
      </c>
      <c r="AF413" s="155">
        <v>45922</v>
      </c>
      <c r="AG413" s="156">
        <v>0.55902777778101154</v>
      </c>
      <c r="AH413" s="153" t="s">
        <v>3772</v>
      </c>
      <c r="AI413" s="153" t="s">
        <v>3740</v>
      </c>
      <c r="AJ413" s="153" t="s">
        <v>3410</v>
      </c>
      <c r="AK413" s="153" t="s">
        <v>64</v>
      </c>
      <c r="AL413" s="153" t="s">
        <v>2306</v>
      </c>
      <c r="AM413" s="185" t="s">
        <v>3742</v>
      </c>
      <c r="AN413" s="185"/>
      <c r="AO413" s="159"/>
      <c r="AQ413"/>
      <c r="AR413"/>
      <c r="AS413"/>
      <c r="AT413"/>
      <c r="AU413"/>
    </row>
    <row r="414" spans="1:47" s="151" customFormat="1" ht="14.25" customHeight="1">
      <c r="A414" s="139"/>
      <c r="B414" s="139"/>
      <c r="C414" s="152">
        <f>IF($X414=1,COUNTIF($C$10:C413,"&gt;0")+1,"")</f>
        <v>200</v>
      </c>
      <c r="D414" s="314">
        <v>94662910</v>
      </c>
      <c r="E414" s="153" t="s">
        <v>3736</v>
      </c>
      <c r="F414" s="154" t="s">
        <v>3777</v>
      </c>
      <c r="G414" s="153" t="s">
        <v>3777</v>
      </c>
      <c r="H414" s="153" t="s">
        <v>3778</v>
      </c>
      <c r="I414" s="153" t="s">
        <v>3779</v>
      </c>
      <c r="J414" s="153" t="s">
        <v>58</v>
      </c>
      <c r="K414" s="153" t="s">
        <v>59</v>
      </c>
      <c r="L414" s="155">
        <v>20644</v>
      </c>
      <c r="M414" s="153">
        <v>69</v>
      </c>
      <c r="N414" s="153" t="s">
        <v>3780</v>
      </c>
      <c r="O414" s="155">
        <v>49223</v>
      </c>
      <c r="P414" s="153" t="s">
        <v>4</v>
      </c>
      <c r="Q414" s="153"/>
      <c r="R414" s="186">
        <v>45916</v>
      </c>
      <c r="S414" s="187">
        <v>45921</v>
      </c>
      <c r="T414" s="188">
        <f t="shared" si="6"/>
        <v>5</v>
      </c>
      <c r="U414" s="153">
        <v>1</v>
      </c>
      <c r="V414" s="153">
        <v>1</v>
      </c>
      <c r="W414" s="153">
        <v>0</v>
      </c>
      <c r="X414" s="153">
        <v>1</v>
      </c>
      <c r="Y414" s="153">
        <v>0</v>
      </c>
      <c r="Z414" s="153">
        <v>1</v>
      </c>
      <c r="AA414" s="153">
        <v>0</v>
      </c>
      <c r="AB414" s="153"/>
      <c r="AC414" s="155">
        <v>45916</v>
      </c>
      <c r="AD414" s="156">
        <v>0.67708333333575865</v>
      </c>
      <c r="AE414" s="153" t="s">
        <v>3781</v>
      </c>
      <c r="AF414" s="155">
        <v>45921</v>
      </c>
      <c r="AG414" s="156">
        <v>0.70138888889050577</v>
      </c>
      <c r="AH414" s="153" t="s">
        <v>96</v>
      </c>
      <c r="AI414" s="153" t="s">
        <v>3740</v>
      </c>
      <c r="AJ414" s="153" t="s">
        <v>3410</v>
      </c>
      <c r="AK414" s="153" t="s">
        <v>3782</v>
      </c>
      <c r="AL414" s="153" t="s">
        <v>2306</v>
      </c>
      <c r="AM414" s="185" t="s">
        <v>3742</v>
      </c>
      <c r="AN414" s="185"/>
      <c r="AO414" s="159"/>
      <c r="AQ414"/>
      <c r="AR414"/>
      <c r="AS414"/>
      <c r="AT414"/>
      <c r="AU414"/>
    </row>
    <row r="415" spans="1:47" s="151" customFormat="1" ht="14.25" customHeight="1">
      <c r="A415" s="139"/>
      <c r="B415" s="139"/>
      <c r="C415" s="152" t="str">
        <f>IF($X415=1,COUNTIF($C$10:C414,"&gt;0")+1,"")</f>
        <v/>
      </c>
      <c r="D415" s="315"/>
      <c r="E415" s="153" t="s">
        <v>3736</v>
      </c>
      <c r="F415" s="154" t="s">
        <v>3783</v>
      </c>
      <c r="G415" s="153" t="s">
        <v>3777</v>
      </c>
      <c r="H415" s="153" t="s">
        <v>3784</v>
      </c>
      <c r="I415" s="153" t="s">
        <v>3785</v>
      </c>
      <c r="J415" s="153" t="s">
        <v>68</v>
      </c>
      <c r="K415" s="153" t="s">
        <v>59</v>
      </c>
      <c r="L415" s="155">
        <v>25888</v>
      </c>
      <c r="M415" s="153">
        <v>54</v>
      </c>
      <c r="N415" s="153" t="s">
        <v>3786</v>
      </c>
      <c r="O415" s="155">
        <v>46636</v>
      </c>
      <c r="P415" s="153" t="s">
        <v>4</v>
      </c>
      <c r="Q415" s="153"/>
      <c r="R415" s="186">
        <v>45916</v>
      </c>
      <c r="S415" s="187">
        <v>45921</v>
      </c>
      <c r="T415" s="188">
        <f t="shared" si="6"/>
        <v>5</v>
      </c>
      <c r="U415" s="153">
        <v>1</v>
      </c>
      <c r="V415" s="153">
        <v>1</v>
      </c>
      <c r="W415" s="153">
        <v>0</v>
      </c>
      <c r="X415" s="153">
        <v>0</v>
      </c>
      <c r="Y415" s="153">
        <v>0</v>
      </c>
      <c r="Z415" s="153">
        <v>0</v>
      </c>
      <c r="AA415" s="153">
        <v>0</v>
      </c>
      <c r="AB415" s="153"/>
      <c r="AC415" s="155">
        <v>45916</v>
      </c>
      <c r="AD415" s="156">
        <v>0.67708333333575865</v>
      </c>
      <c r="AE415" s="153" t="s">
        <v>3781</v>
      </c>
      <c r="AF415" s="155">
        <v>45921</v>
      </c>
      <c r="AG415" s="156">
        <v>0.70138888889050577</v>
      </c>
      <c r="AH415" s="153" t="s">
        <v>96</v>
      </c>
      <c r="AI415" s="153" t="s">
        <v>3740</v>
      </c>
      <c r="AJ415" s="153" t="s">
        <v>3410</v>
      </c>
      <c r="AK415" s="153"/>
      <c r="AL415" s="153" t="s">
        <v>2306</v>
      </c>
      <c r="AM415" s="185" t="s">
        <v>3742</v>
      </c>
      <c r="AN415" s="185"/>
      <c r="AO415" s="159"/>
      <c r="AQ415"/>
      <c r="AR415"/>
      <c r="AS415"/>
      <c r="AT415"/>
      <c r="AU415"/>
    </row>
    <row r="416" spans="1:47" s="151" customFormat="1" ht="14.25" customHeight="1">
      <c r="A416" s="139"/>
      <c r="B416" s="139"/>
      <c r="C416" s="152">
        <f>IF($X416=1,COUNTIF($C$10:C415,"&gt;0")+1,"")</f>
        <v>201</v>
      </c>
      <c r="D416" s="314">
        <v>92952919</v>
      </c>
      <c r="E416" s="153" t="s">
        <v>3736</v>
      </c>
      <c r="F416" s="154" t="s">
        <v>3787</v>
      </c>
      <c r="G416" s="153" t="s">
        <v>3787</v>
      </c>
      <c r="H416" s="153" t="s">
        <v>3788</v>
      </c>
      <c r="I416" s="153" t="s">
        <v>3789</v>
      </c>
      <c r="J416" s="153" t="s">
        <v>58</v>
      </c>
      <c r="K416" s="153" t="s">
        <v>460</v>
      </c>
      <c r="L416" s="155">
        <v>22505</v>
      </c>
      <c r="M416" s="153">
        <v>64</v>
      </c>
      <c r="N416" s="153" t="s">
        <v>3790</v>
      </c>
      <c r="O416" s="155">
        <v>46649</v>
      </c>
      <c r="P416" s="153" t="s">
        <v>4</v>
      </c>
      <c r="Q416" s="153"/>
      <c r="R416" s="186">
        <v>45915</v>
      </c>
      <c r="S416" s="187">
        <v>45922</v>
      </c>
      <c r="T416" s="188">
        <f t="shared" si="6"/>
        <v>7</v>
      </c>
      <c r="U416" s="153">
        <v>1</v>
      </c>
      <c r="V416" s="153">
        <v>1</v>
      </c>
      <c r="W416" s="153">
        <v>0</v>
      </c>
      <c r="X416" s="153">
        <v>1</v>
      </c>
      <c r="Y416" s="153">
        <v>0</v>
      </c>
      <c r="Z416" s="153">
        <v>1</v>
      </c>
      <c r="AA416" s="153">
        <v>0</v>
      </c>
      <c r="AB416" s="153"/>
      <c r="AC416" s="155">
        <v>45915</v>
      </c>
      <c r="AD416" s="166">
        <v>0.78125</v>
      </c>
      <c r="AE416" s="167" t="s">
        <v>462</v>
      </c>
      <c r="AF416" s="155">
        <v>45922</v>
      </c>
      <c r="AG416" s="156">
        <v>0.73958333333575865</v>
      </c>
      <c r="AH416" s="153" t="s">
        <v>1117</v>
      </c>
      <c r="AI416" s="153" t="s">
        <v>3740</v>
      </c>
      <c r="AJ416" s="153" t="s">
        <v>3410</v>
      </c>
      <c r="AK416" s="153"/>
      <c r="AL416" s="153" t="s">
        <v>2306</v>
      </c>
      <c r="AM416" s="185" t="s">
        <v>3742</v>
      </c>
      <c r="AN416" s="185"/>
      <c r="AO416" s="159"/>
      <c r="AQ416"/>
      <c r="AR416"/>
      <c r="AS416"/>
      <c r="AT416"/>
      <c r="AU416"/>
    </row>
    <row r="417" spans="1:47" s="151" customFormat="1" ht="14.25" customHeight="1">
      <c r="A417" s="139"/>
      <c r="B417" s="139"/>
      <c r="C417" s="152" t="str">
        <f>IF($X417=1,COUNTIF($C$10:C416,"&gt;0")+1,"")</f>
        <v/>
      </c>
      <c r="D417" s="315"/>
      <c r="E417" s="153" t="s">
        <v>3736</v>
      </c>
      <c r="F417" s="154" t="s">
        <v>3791</v>
      </c>
      <c r="G417" s="153" t="s">
        <v>3787</v>
      </c>
      <c r="H417" s="153" t="s">
        <v>3792</v>
      </c>
      <c r="I417" s="153" t="s">
        <v>3789</v>
      </c>
      <c r="J417" s="153" t="s">
        <v>68</v>
      </c>
      <c r="K417" s="153" t="s">
        <v>460</v>
      </c>
      <c r="L417" s="155">
        <v>23687</v>
      </c>
      <c r="M417" s="153">
        <v>60</v>
      </c>
      <c r="N417" s="153" t="s">
        <v>3793</v>
      </c>
      <c r="O417" s="155">
        <v>46685</v>
      </c>
      <c r="P417" s="153" t="s">
        <v>4</v>
      </c>
      <c r="Q417" s="153"/>
      <c r="R417" s="186">
        <v>45915</v>
      </c>
      <c r="S417" s="187">
        <v>45922</v>
      </c>
      <c r="T417" s="188">
        <f t="shared" si="6"/>
        <v>7</v>
      </c>
      <c r="U417" s="153">
        <v>1</v>
      </c>
      <c r="V417" s="153">
        <v>1</v>
      </c>
      <c r="W417" s="153">
        <v>0</v>
      </c>
      <c r="X417" s="153">
        <v>0</v>
      </c>
      <c r="Y417" s="153">
        <v>0</v>
      </c>
      <c r="Z417" s="153">
        <v>0</v>
      </c>
      <c r="AA417" s="153">
        <v>0</v>
      </c>
      <c r="AB417" s="153"/>
      <c r="AC417" s="155">
        <v>45915</v>
      </c>
      <c r="AD417" s="166">
        <v>0.78125</v>
      </c>
      <c r="AE417" s="167" t="s">
        <v>462</v>
      </c>
      <c r="AF417" s="155">
        <v>45922</v>
      </c>
      <c r="AG417" s="156">
        <v>0.73958333333575865</v>
      </c>
      <c r="AH417" s="153" t="s">
        <v>1117</v>
      </c>
      <c r="AI417" s="153" t="s">
        <v>3740</v>
      </c>
      <c r="AJ417" s="153" t="s">
        <v>3410</v>
      </c>
      <c r="AK417" s="153" t="s">
        <v>64</v>
      </c>
      <c r="AL417" s="153" t="s">
        <v>2306</v>
      </c>
      <c r="AM417" s="185" t="s">
        <v>3742</v>
      </c>
      <c r="AN417" s="185"/>
      <c r="AO417" s="159"/>
      <c r="AQ417"/>
      <c r="AR417"/>
      <c r="AS417"/>
      <c r="AT417"/>
      <c r="AU417"/>
    </row>
    <row r="418" spans="1:47" s="151" customFormat="1" ht="14.25" customHeight="1">
      <c r="A418" s="139"/>
      <c r="B418" s="139"/>
      <c r="C418" s="152">
        <f>IF($X418=1,COUNTIF($C$10:C417,"&gt;0")+1,"")</f>
        <v>202</v>
      </c>
      <c r="D418" s="183">
        <v>94662915</v>
      </c>
      <c r="E418" s="153" t="s">
        <v>3736</v>
      </c>
      <c r="F418" s="154" t="s">
        <v>3794</v>
      </c>
      <c r="G418" s="153" t="s">
        <v>3794</v>
      </c>
      <c r="H418" s="153" t="s">
        <v>3795</v>
      </c>
      <c r="I418" s="153" t="s">
        <v>3796</v>
      </c>
      <c r="J418" s="153" t="s">
        <v>68</v>
      </c>
      <c r="K418" s="153" t="s">
        <v>59</v>
      </c>
      <c r="L418" s="155">
        <v>20789</v>
      </c>
      <c r="M418" s="153">
        <v>68</v>
      </c>
      <c r="N418" s="153" t="s">
        <v>3797</v>
      </c>
      <c r="O418" s="155">
        <v>49478</v>
      </c>
      <c r="P418" s="153" t="s">
        <v>3</v>
      </c>
      <c r="Q418" s="153"/>
      <c r="R418" s="162">
        <v>45913</v>
      </c>
      <c r="S418" s="163">
        <v>45918</v>
      </c>
      <c r="T418" s="164">
        <f t="shared" si="6"/>
        <v>5</v>
      </c>
      <c r="U418" s="153">
        <v>1</v>
      </c>
      <c r="V418" s="153">
        <v>1</v>
      </c>
      <c r="W418" s="153">
        <v>0</v>
      </c>
      <c r="X418" s="153">
        <v>1</v>
      </c>
      <c r="Y418" s="153">
        <v>1</v>
      </c>
      <c r="Z418" s="153">
        <v>0</v>
      </c>
      <c r="AA418" s="153">
        <v>0</v>
      </c>
      <c r="AB418" s="153"/>
      <c r="AC418" s="155">
        <v>45913</v>
      </c>
      <c r="AD418" s="156">
        <v>0.65972222221898846</v>
      </c>
      <c r="AE418" s="153" t="s">
        <v>101</v>
      </c>
      <c r="AF418" s="155">
        <v>45922</v>
      </c>
      <c r="AG418" s="156">
        <v>0.81944444444525288</v>
      </c>
      <c r="AH418" s="153" t="s">
        <v>770</v>
      </c>
      <c r="AI418" s="153" t="s">
        <v>3740</v>
      </c>
      <c r="AJ418" s="153" t="s">
        <v>3410</v>
      </c>
      <c r="AK418" s="153" t="s">
        <v>2696</v>
      </c>
      <c r="AL418" s="153" t="s">
        <v>2306</v>
      </c>
      <c r="AM418" s="185" t="s">
        <v>3742</v>
      </c>
      <c r="AN418" s="185"/>
      <c r="AO418" s="159"/>
      <c r="AQ418"/>
      <c r="AR418"/>
      <c r="AS418"/>
      <c r="AT418"/>
      <c r="AU418"/>
    </row>
    <row r="419" spans="1:47" s="151" customFormat="1" ht="14.25" customHeight="1">
      <c r="A419" s="139"/>
      <c r="B419" s="139"/>
      <c r="C419" s="152">
        <f>IF($X419=1,COUNTIF($C$10:C418,"&gt;0")+1,"")</f>
        <v>203</v>
      </c>
      <c r="D419" s="314">
        <v>75989453</v>
      </c>
      <c r="E419" s="153" t="s">
        <v>3530</v>
      </c>
      <c r="F419" s="154" t="s">
        <v>3798</v>
      </c>
      <c r="G419" s="153" t="s">
        <v>3798</v>
      </c>
      <c r="H419" s="153" t="s">
        <v>3799</v>
      </c>
      <c r="I419" s="153" t="s">
        <v>333</v>
      </c>
      <c r="J419" s="153" t="s">
        <v>58</v>
      </c>
      <c r="K419" s="153" t="s">
        <v>59</v>
      </c>
      <c r="L419" s="155">
        <v>29020</v>
      </c>
      <c r="M419" s="153">
        <v>46</v>
      </c>
      <c r="N419" s="153" t="s">
        <v>3800</v>
      </c>
      <c r="O419" s="155">
        <v>49167</v>
      </c>
      <c r="P419" s="153" t="s">
        <v>4</v>
      </c>
      <c r="Q419" s="153"/>
      <c r="R419" s="162">
        <v>45913</v>
      </c>
      <c r="S419" s="163">
        <v>45918</v>
      </c>
      <c r="T419" s="164">
        <f t="shared" si="6"/>
        <v>5</v>
      </c>
      <c r="U419" s="153">
        <v>1</v>
      </c>
      <c r="V419" s="153">
        <v>1</v>
      </c>
      <c r="W419" s="153">
        <v>0</v>
      </c>
      <c r="X419" s="153">
        <v>1</v>
      </c>
      <c r="Y419" s="153">
        <v>0</v>
      </c>
      <c r="Z419" s="153">
        <v>1</v>
      </c>
      <c r="AA419" s="153">
        <v>0</v>
      </c>
      <c r="AB419" s="153"/>
      <c r="AC419" s="155">
        <v>45913</v>
      </c>
      <c r="AD419" s="156">
        <v>0.18055555555474712</v>
      </c>
      <c r="AE419" s="153" t="s">
        <v>408</v>
      </c>
      <c r="AF419" s="155">
        <v>45918</v>
      </c>
      <c r="AG419" s="156">
        <v>0.38541666666666669</v>
      </c>
      <c r="AH419" s="153" t="s">
        <v>221</v>
      </c>
      <c r="AI419" s="153" t="s">
        <v>3536</v>
      </c>
      <c r="AJ419" s="153" t="s">
        <v>64</v>
      </c>
      <c r="AK419" s="153" t="s">
        <v>64</v>
      </c>
      <c r="AL419" s="153" t="s">
        <v>2306</v>
      </c>
      <c r="AM419" s="149" t="s">
        <v>65</v>
      </c>
      <c r="AN419" s="158"/>
      <c r="AO419" s="159"/>
      <c r="AQ419"/>
      <c r="AR419"/>
      <c r="AS419"/>
      <c r="AT419"/>
      <c r="AU419"/>
    </row>
    <row r="420" spans="1:47" s="151" customFormat="1" ht="14.25" customHeight="1">
      <c r="A420" s="139"/>
      <c r="B420" s="139"/>
      <c r="C420" s="189" t="str">
        <f>IF($X420=1,COUNTIF($C$10:C419,"&gt;0")+1,"")</f>
        <v/>
      </c>
      <c r="D420" s="316"/>
      <c r="E420" s="160" t="s">
        <v>3530</v>
      </c>
      <c r="F420" s="184" t="s">
        <v>3801</v>
      </c>
      <c r="G420" s="160" t="s">
        <v>3798</v>
      </c>
      <c r="H420" s="160" t="s">
        <v>3802</v>
      </c>
      <c r="I420" s="160" t="s">
        <v>333</v>
      </c>
      <c r="J420" s="160" t="s">
        <v>68</v>
      </c>
      <c r="K420" s="160" t="s">
        <v>59</v>
      </c>
      <c r="L420" s="190">
        <v>30150</v>
      </c>
      <c r="M420" s="160">
        <v>43</v>
      </c>
      <c r="N420" s="160" t="s">
        <v>3803</v>
      </c>
      <c r="O420" s="190">
        <v>49451</v>
      </c>
      <c r="P420" s="160" t="s">
        <v>4</v>
      </c>
      <c r="Q420" s="160"/>
      <c r="R420" s="191">
        <v>45913</v>
      </c>
      <c r="S420" s="192">
        <v>45918</v>
      </c>
      <c r="T420" s="193">
        <f t="shared" si="6"/>
        <v>5</v>
      </c>
      <c r="U420" s="160">
        <v>1</v>
      </c>
      <c r="V420" s="160">
        <v>1</v>
      </c>
      <c r="W420" s="160">
        <v>0</v>
      </c>
      <c r="X420" s="160">
        <v>0</v>
      </c>
      <c r="Y420" s="160">
        <v>0</v>
      </c>
      <c r="Z420" s="160">
        <v>0</v>
      </c>
      <c r="AA420" s="160">
        <v>0</v>
      </c>
      <c r="AB420" s="160"/>
      <c r="AC420" s="155">
        <v>45913</v>
      </c>
      <c r="AD420" s="156">
        <v>0.18055555555474712</v>
      </c>
      <c r="AE420" s="160" t="s">
        <v>408</v>
      </c>
      <c r="AF420" s="155">
        <v>45918</v>
      </c>
      <c r="AG420" s="156">
        <v>0.38541666666666669</v>
      </c>
      <c r="AH420" s="160" t="s">
        <v>221</v>
      </c>
      <c r="AI420" s="160" t="s">
        <v>3536</v>
      </c>
      <c r="AJ420" s="160" t="s">
        <v>64</v>
      </c>
      <c r="AK420" s="160" t="s">
        <v>64</v>
      </c>
      <c r="AL420" s="160" t="s">
        <v>2306</v>
      </c>
      <c r="AM420" s="194" t="s">
        <v>65</v>
      </c>
      <c r="AN420" s="195"/>
      <c r="AO420" s="196"/>
      <c r="AQ420"/>
      <c r="AR420"/>
      <c r="AS420"/>
      <c r="AT420"/>
      <c r="AU420"/>
    </row>
    <row r="421" spans="1:47" s="151" customFormat="1" ht="14.25" customHeight="1">
      <c r="A421" s="139"/>
      <c r="B421" s="139"/>
      <c r="C421" s="152">
        <f>IF($X421=1,COUNTIF($C$10:C420,"&gt;0")+1,"")</f>
        <v>204</v>
      </c>
      <c r="D421" s="197">
        <v>81952928</v>
      </c>
      <c r="E421" s="153" t="s">
        <v>3530</v>
      </c>
      <c r="F421" s="198" t="s">
        <v>3804</v>
      </c>
      <c r="G421" s="198" t="s">
        <v>3804</v>
      </c>
      <c r="H421" s="199" t="s">
        <v>3805</v>
      </c>
      <c r="I421" s="199" t="s">
        <v>3356</v>
      </c>
      <c r="J421" s="199" t="s">
        <v>68</v>
      </c>
      <c r="K421" s="199" t="s">
        <v>59</v>
      </c>
      <c r="L421" s="200">
        <v>35317</v>
      </c>
      <c r="M421" s="199">
        <v>29</v>
      </c>
      <c r="N421" s="199" t="s">
        <v>3806</v>
      </c>
      <c r="O421" s="200">
        <v>48569</v>
      </c>
      <c r="P421" s="201" t="s">
        <v>5</v>
      </c>
      <c r="Q421" s="201"/>
      <c r="R421" s="202">
        <v>45913</v>
      </c>
      <c r="S421" s="203">
        <v>45918</v>
      </c>
      <c r="T421" s="201">
        <f t="shared" si="6"/>
        <v>5</v>
      </c>
      <c r="U421" s="201">
        <v>1</v>
      </c>
      <c r="V421" s="201">
        <v>1</v>
      </c>
      <c r="W421" s="201">
        <v>0</v>
      </c>
      <c r="X421" s="201">
        <v>1</v>
      </c>
      <c r="Y421" s="201">
        <v>0</v>
      </c>
      <c r="Z421" s="201">
        <v>0</v>
      </c>
      <c r="AA421" s="201">
        <v>1</v>
      </c>
      <c r="AB421" s="204"/>
      <c r="AC421" s="205">
        <v>45913</v>
      </c>
      <c r="AD421" s="206">
        <v>0.18055555555555555</v>
      </c>
      <c r="AE421" s="207" t="s">
        <v>95</v>
      </c>
      <c r="AF421" s="205">
        <v>45918</v>
      </c>
      <c r="AG421" s="206">
        <v>0.47916666666666669</v>
      </c>
      <c r="AH421" s="208" t="s">
        <v>189</v>
      </c>
      <c r="AI421" s="207" t="s">
        <v>2315</v>
      </c>
      <c r="AJ421" s="209"/>
      <c r="AK421" s="209"/>
      <c r="AL421" s="153" t="s">
        <v>2306</v>
      </c>
      <c r="AM421" s="149" t="s">
        <v>65</v>
      </c>
      <c r="AN421" s="210"/>
      <c r="AO421" s="211" t="s">
        <v>1675</v>
      </c>
      <c r="AQ421"/>
      <c r="AR421"/>
      <c r="AS421"/>
      <c r="AT421"/>
      <c r="AU421"/>
    </row>
    <row r="422" spans="1:47" s="151" customFormat="1" ht="14.25" customHeight="1">
      <c r="A422" s="139"/>
      <c r="B422" s="139"/>
      <c r="C422" s="212"/>
      <c r="D422" s="213"/>
      <c r="E422" s="160" t="s">
        <v>3530</v>
      </c>
      <c r="F422" s="198" t="s">
        <v>3807</v>
      </c>
      <c r="G422" s="198" t="s">
        <v>3804</v>
      </c>
      <c r="H422" s="199" t="s">
        <v>3808</v>
      </c>
      <c r="I422" s="199" t="s">
        <v>3809</v>
      </c>
      <c r="J422" s="199" t="s">
        <v>68</v>
      </c>
      <c r="K422" s="199" t="s">
        <v>59</v>
      </c>
      <c r="L422" s="200">
        <v>22830</v>
      </c>
      <c r="M422" s="199">
        <v>63</v>
      </c>
      <c r="N422" s="199">
        <v>647481260</v>
      </c>
      <c r="O422" s="200">
        <v>47251</v>
      </c>
      <c r="P422" s="201" t="s">
        <v>5</v>
      </c>
      <c r="Q422" s="201"/>
      <c r="R422" s="202">
        <v>45913</v>
      </c>
      <c r="S422" s="203">
        <v>45918</v>
      </c>
      <c r="T422" s="201">
        <f t="shared" si="6"/>
        <v>5</v>
      </c>
      <c r="U422" s="201">
        <v>1</v>
      </c>
      <c r="V422" s="201">
        <v>1</v>
      </c>
      <c r="W422" s="201">
        <v>0</v>
      </c>
      <c r="X422" s="201">
        <v>0</v>
      </c>
      <c r="Y422" s="201">
        <v>0</v>
      </c>
      <c r="Z422" s="201">
        <v>0</v>
      </c>
      <c r="AA422" s="201">
        <v>0</v>
      </c>
      <c r="AB422" s="204"/>
      <c r="AC422" s="205">
        <v>45913</v>
      </c>
      <c r="AD422" s="206">
        <v>0.18055555555555555</v>
      </c>
      <c r="AE422" s="207" t="s">
        <v>95</v>
      </c>
      <c r="AF422" s="205">
        <v>45918</v>
      </c>
      <c r="AG422" s="206">
        <v>0.47916666666666669</v>
      </c>
      <c r="AH422" s="208" t="s">
        <v>189</v>
      </c>
      <c r="AI422" s="207" t="s">
        <v>2315</v>
      </c>
      <c r="AJ422" s="209"/>
      <c r="AK422" s="209"/>
      <c r="AL422" s="160" t="s">
        <v>2306</v>
      </c>
      <c r="AM422" s="194" t="s">
        <v>65</v>
      </c>
      <c r="AN422" s="210"/>
      <c r="AO422" s="211" t="s">
        <v>1675</v>
      </c>
      <c r="AQ422"/>
      <c r="AR422"/>
      <c r="AS422"/>
      <c r="AT422"/>
      <c r="AU422"/>
    </row>
    <row r="423" spans="1:47" ht="14.25" customHeight="1">
      <c r="C423" s="152">
        <f>IF($X423=1,COUNTIF($C$10:C422,"&gt;0")+1,"")</f>
        <v>205</v>
      </c>
      <c r="D423" s="214">
        <v>97666370</v>
      </c>
      <c r="E423" s="207"/>
      <c r="F423" s="198"/>
      <c r="G423" s="215"/>
      <c r="H423" s="204" t="s">
        <v>3810</v>
      </c>
      <c r="I423" s="204" t="s">
        <v>1376</v>
      </c>
      <c r="J423" s="216" t="s">
        <v>68</v>
      </c>
      <c r="K423" s="204" t="s">
        <v>748</v>
      </c>
      <c r="L423" s="209"/>
      <c r="M423" s="209"/>
      <c r="N423" s="209"/>
      <c r="O423" s="209"/>
      <c r="P423" s="204" t="s">
        <v>5</v>
      </c>
      <c r="Q423" s="204"/>
      <c r="R423" s="217">
        <v>45913</v>
      </c>
      <c r="S423" s="218">
        <v>45918</v>
      </c>
      <c r="T423" s="219">
        <f t="shared" si="6"/>
        <v>5</v>
      </c>
      <c r="U423" s="204">
        <v>1</v>
      </c>
      <c r="V423" s="204">
        <v>1</v>
      </c>
      <c r="W423" s="204">
        <v>0</v>
      </c>
      <c r="X423" s="204">
        <v>1</v>
      </c>
      <c r="Y423" s="204">
        <v>0</v>
      </c>
      <c r="Z423" s="204">
        <v>0</v>
      </c>
      <c r="AA423" s="204">
        <v>1</v>
      </c>
      <c r="AB423" s="204"/>
      <c r="AC423" s="204"/>
      <c r="AD423" s="209"/>
      <c r="AE423" s="209"/>
      <c r="AF423" s="204"/>
      <c r="AG423" s="204"/>
      <c r="AH423" s="220"/>
      <c r="AI423" s="209"/>
      <c r="AJ423" s="209"/>
      <c r="AK423" s="209" t="s">
        <v>3811</v>
      </c>
      <c r="AL423" s="153" t="s">
        <v>2306</v>
      </c>
      <c r="AM423" s="149" t="s">
        <v>65</v>
      </c>
      <c r="AN423" s="210"/>
      <c r="AO423" s="31"/>
    </row>
    <row r="424" spans="1:47" ht="14.25" customHeight="1">
      <c r="C424" s="221"/>
      <c r="D424" s="222"/>
      <c r="E424" s="207"/>
      <c r="F424" s="198"/>
      <c r="G424" s="215"/>
      <c r="H424" s="204" t="s">
        <v>3812</v>
      </c>
      <c r="I424" s="204" t="s">
        <v>82</v>
      </c>
      <c r="J424" s="216" t="s">
        <v>68</v>
      </c>
      <c r="K424" s="204" t="s">
        <v>748</v>
      </c>
      <c r="L424" s="209"/>
      <c r="M424" s="209"/>
      <c r="N424" s="209"/>
      <c r="O424" s="209"/>
      <c r="P424" s="204" t="s">
        <v>5</v>
      </c>
      <c r="Q424" s="204"/>
      <c r="R424" s="217">
        <v>45913</v>
      </c>
      <c r="S424" s="218">
        <v>45918</v>
      </c>
      <c r="T424" s="219">
        <f t="shared" si="6"/>
        <v>5</v>
      </c>
      <c r="U424" s="204">
        <v>1</v>
      </c>
      <c r="V424" s="204">
        <v>1</v>
      </c>
      <c r="W424" s="204">
        <v>0</v>
      </c>
      <c r="X424" s="204">
        <v>0</v>
      </c>
      <c r="Y424" s="204">
        <v>0</v>
      </c>
      <c r="Z424" s="204">
        <v>0</v>
      </c>
      <c r="AA424" s="204">
        <v>0</v>
      </c>
      <c r="AB424" s="204"/>
      <c r="AC424" s="204"/>
      <c r="AD424" s="209"/>
      <c r="AE424" s="209"/>
      <c r="AF424" s="204"/>
      <c r="AG424" s="204"/>
      <c r="AH424" s="220"/>
      <c r="AI424" s="209"/>
      <c r="AJ424" s="209"/>
      <c r="AK424" s="209" t="s">
        <v>3811</v>
      </c>
      <c r="AL424" s="160" t="s">
        <v>2306</v>
      </c>
      <c r="AM424" s="194" t="s">
        <v>65</v>
      </c>
      <c r="AN424" s="210"/>
      <c r="AO424" s="31"/>
    </row>
    <row r="425" spans="1:47" ht="14.25" customHeight="1">
      <c r="C425" s="152">
        <f>IF($X425=1,COUNTIF($C$10:C424,"&gt;0")+1,"")</f>
        <v>206</v>
      </c>
      <c r="D425" s="317">
        <v>92964205</v>
      </c>
      <c r="E425" s="207"/>
      <c r="F425" s="207" t="s">
        <v>3813</v>
      </c>
      <c r="G425" s="207" t="s">
        <v>3813</v>
      </c>
      <c r="H425" s="77" t="s">
        <v>3814</v>
      </c>
      <c r="I425" s="77" t="s">
        <v>3815</v>
      </c>
      <c r="J425" s="77" t="s">
        <v>68</v>
      </c>
      <c r="K425" s="77" t="s">
        <v>59</v>
      </c>
      <c r="L425" s="58">
        <v>35207</v>
      </c>
      <c r="M425" s="56">
        <v>29</v>
      </c>
      <c r="N425" s="56" t="s">
        <v>3816</v>
      </c>
      <c r="O425" s="58">
        <v>49289</v>
      </c>
      <c r="P425" s="204" t="s">
        <v>4</v>
      </c>
      <c r="Q425" s="204"/>
      <c r="R425" s="223">
        <v>45915</v>
      </c>
      <c r="S425" s="224">
        <v>45918</v>
      </c>
      <c r="T425" s="225">
        <f t="shared" si="6"/>
        <v>3</v>
      </c>
      <c r="U425" s="204">
        <v>1</v>
      </c>
      <c r="V425" s="204">
        <v>1</v>
      </c>
      <c r="W425" s="204">
        <v>0</v>
      </c>
      <c r="X425" s="204">
        <v>1</v>
      </c>
      <c r="Y425" s="204">
        <v>0</v>
      </c>
      <c r="Z425" s="204">
        <v>1</v>
      </c>
      <c r="AA425" s="204">
        <v>0</v>
      </c>
      <c r="AB425" s="204"/>
      <c r="AC425" s="204"/>
      <c r="AD425" s="209"/>
      <c r="AE425" s="209"/>
      <c r="AF425" s="204"/>
      <c r="AG425" s="204"/>
      <c r="AH425" s="220"/>
      <c r="AI425" s="209"/>
      <c r="AJ425" s="209"/>
      <c r="AK425" s="209" t="s">
        <v>3817</v>
      </c>
      <c r="AL425" s="153" t="s">
        <v>2306</v>
      </c>
      <c r="AM425" s="149" t="s">
        <v>65</v>
      </c>
      <c r="AN425" s="210"/>
      <c r="AO425" s="211" t="s">
        <v>504</v>
      </c>
    </row>
    <row r="426" spans="1:47" ht="14.25" customHeight="1">
      <c r="C426" s="212"/>
      <c r="D426" s="318"/>
      <c r="E426" s="207"/>
      <c r="F426" s="198" t="s">
        <v>3818</v>
      </c>
      <c r="G426" s="207" t="s">
        <v>3813</v>
      </c>
      <c r="H426" s="82" t="s">
        <v>3819</v>
      </c>
      <c r="I426" s="82" t="s">
        <v>3815</v>
      </c>
      <c r="J426" s="82" t="s">
        <v>58</v>
      </c>
      <c r="K426" s="82" t="s">
        <v>59</v>
      </c>
      <c r="L426" s="63">
        <v>34625</v>
      </c>
      <c r="M426" s="62">
        <v>30</v>
      </c>
      <c r="N426" s="62" t="s">
        <v>3820</v>
      </c>
      <c r="O426" s="63">
        <v>49287</v>
      </c>
      <c r="P426" s="226" t="s">
        <v>4</v>
      </c>
      <c r="Q426" s="204"/>
      <c r="R426" s="223">
        <v>45915</v>
      </c>
      <c r="S426" s="224">
        <v>45918</v>
      </c>
      <c r="T426" s="225">
        <f t="shared" si="6"/>
        <v>3</v>
      </c>
      <c r="U426" s="204">
        <v>1</v>
      </c>
      <c r="V426" s="204">
        <v>1</v>
      </c>
      <c r="W426" s="204">
        <v>0</v>
      </c>
      <c r="X426" s="204">
        <v>0</v>
      </c>
      <c r="Y426" s="204">
        <v>0</v>
      </c>
      <c r="Z426" s="204">
        <v>0</v>
      </c>
      <c r="AA426" s="204">
        <v>0</v>
      </c>
      <c r="AB426" s="204"/>
      <c r="AC426" s="204"/>
      <c r="AD426" s="209"/>
      <c r="AE426" s="209"/>
      <c r="AF426" s="204"/>
      <c r="AG426" s="204"/>
      <c r="AH426" s="220"/>
      <c r="AI426" s="209"/>
      <c r="AJ426" s="209"/>
      <c r="AK426" s="209" t="s">
        <v>3817</v>
      </c>
      <c r="AL426" s="160" t="s">
        <v>2306</v>
      </c>
      <c r="AM426" s="194" t="s">
        <v>65</v>
      </c>
      <c r="AN426" s="210"/>
      <c r="AO426" s="211" t="s">
        <v>504</v>
      </c>
    </row>
    <row r="427" spans="1:47" ht="14.25" customHeight="1">
      <c r="C427" s="152">
        <f>IF($X427=1,COUNTIF($C$10:C426,"&gt;0")+1,"")</f>
        <v>207</v>
      </c>
      <c r="D427" s="227">
        <v>70655327</v>
      </c>
      <c r="E427" s="207"/>
      <c r="F427" s="57" t="s">
        <v>3821</v>
      </c>
      <c r="G427" s="56" t="s">
        <v>3821</v>
      </c>
      <c r="H427" s="82" t="s">
        <v>799</v>
      </c>
      <c r="I427" s="82" t="s">
        <v>1376</v>
      </c>
      <c r="J427" s="82" t="s">
        <v>68</v>
      </c>
      <c r="K427" s="82" t="s">
        <v>59</v>
      </c>
      <c r="L427" s="63">
        <v>32738</v>
      </c>
      <c r="M427" s="62">
        <v>36</v>
      </c>
      <c r="N427" s="62" t="s">
        <v>3822</v>
      </c>
      <c r="O427" s="63">
        <v>46103</v>
      </c>
      <c r="P427" s="226" t="s">
        <v>3</v>
      </c>
      <c r="Q427" s="204"/>
      <c r="R427" s="223">
        <v>45915</v>
      </c>
      <c r="S427" s="224">
        <v>45918</v>
      </c>
      <c r="T427" s="225">
        <f t="shared" si="6"/>
        <v>3</v>
      </c>
      <c r="U427" s="204">
        <v>1</v>
      </c>
      <c r="V427" s="204">
        <v>1</v>
      </c>
      <c r="W427" s="204">
        <v>0</v>
      </c>
      <c r="X427" s="204">
        <v>1</v>
      </c>
      <c r="Y427" s="204">
        <v>1</v>
      </c>
      <c r="Z427" s="204">
        <v>0</v>
      </c>
      <c r="AA427" s="204">
        <v>0</v>
      </c>
      <c r="AB427" s="204"/>
      <c r="AC427" s="204"/>
      <c r="AD427" s="209"/>
      <c r="AE427" s="209"/>
      <c r="AF427" s="204"/>
      <c r="AG427" s="204"/>
      <c r="AH427" s="220"/>
      <c r="AI427" s="209"/>
      <c r="AJ427" s="209"/>
      <c r="AK427" s="209" t="s">
        <v>3823</v>
      </c>
      <c r="AL427" s="160" t="s">
        <v>2306</v>
      </c>
      <c r="AM427" s="194" t="s">
        <v>65</v>
      </c>
      <c r="AN427" s="210"/>
      <c r="AO427" s="211" t="s">
        <v>1675</v>
      </c>
    </row>
    <row r="428" spans="1:47" ht="14.25" customHeight="1">
      <c r="C428" s="152">
        <f>IF($X428=1,COUNTIF($C$10:C427,"&gt;0")+1,"")</f>
        <v>208</v>
      </c>
      <c r="D428" s="319">
        <v>79357218</v>
      </c>
      <c r="E428" s="207"/>
      <c r="F428" s="198"/>
      <c r="G428" s="215"/>
      <c r="H428" s="199" t="s">
        <v>3824</v>
      </c>
      <c r="I428" s="199" t="s">
        <v>1392</v>
      </c>
      <c r="J428" s="199" t="s">
        <v>68</v>
      </c>
      <c r="K428" s="199" t="s">
        <v>3825</v>
      </c>
      <c r="L428" s="200"/>
      <c r="M428" s="199"/>
      <c r="N428" s="199"/>
      <c r="O428" s="200"/>
      <c r="P428" s="201" t="s">
        <v>5</v>
      </c>
      <c r="Q428" s="201"/>
      <c r="R428" s="202">
        <v>45913</v>
      </c>
      <c r="S428" s="203">
        <v>45918</v>
      </c>
      <c r="T428" s="201">
        <f t="shared" si="6"/>
        <v>5</v>
      </c>
      <c r="U428" s="201">
        <v>1</v>
      </c>
      <c r="V428" s="201">
        <v>1</v>
      </c>
      <c r="W428" s="201">
        <v>0</v>
      </c>
      <c r="X428" s="201">
        <v>1</v>
      </c>
      <c r="Y428" s="201">
        <v>0</v>
      </c>
      <c r="Z428" s="201">
        <v>0</v>
      </c>
      <c r="AA428" s="201">
        <v>1</v>
      </c>
      <c r="AB428" s="204"/>
      <c r="AC428" s="204"/>
      <c r="AD428" s="209"/>
      <c r="AE428" s="209"/>
      <c r="AF428" s="204"/>
      <c r="AG428" s="204"/>
      <c r="AH428" s="220"/>
      <c r="AI428" s="209"/>
      <c r="AJ428" s="209"/>
      <c r="AK428" s="209" t="s">
        <v>3826</v>
      </c>
      <c r="AL428" s="153" t="s">
        <v>2306</v>
      </c>
      <c r="AM428" s="149" t="s">
        <v>65</v>
      </c>
      <c r="AN428" s="210"/>
      <c r="AO428" s="211" t="s">
        <v>1675</v>
      </c>
    </row>
    <row r="429" spans="1:47" ht="14.25" customHeight="1">
      <c r="C429" s="212"/>
      <c r="D429" s="320"/>
      <c r="E429" s="207"/>
      <c r="F429" s="198"/>
      <c r="G429" s="215"/>
      <c r="H429" s="199" t="s">
        <v>3312</v>
      </c>
      <c r="I429" s="199" t="s">
        <v>3827</v>
      </c>
      <c r="J429" s="199" t="s">
        <v>58</v>
      </c>
      <c r="K429" s="199" t="s">
        <v>3825</v>
      </c>
      <c r="L429" s="200"/>
      <c r="M429" s="199"/>
      <c r="N429" s="199"/>
      <c r="O429" s="200"/>
      <c r="P429" s="201" t="s">
        <v>5</v>
      </c>
      <c r="Q429" s="201"/>
      <c r="R429" s="202">
        <v>45913</v>
      </c>
      <c r="S429" s="203">
        <v>45918</v>
      </c>
      <c r="T429" s="201">
        <f t="shared" si="6"/>
        <v>5</v>
      </c>
      <c r="U429" s="201">
        <v>1</v>
      </c>
      <c r="V429" s="201">
        <v>1</v>
      </c>
      <c r="W429" s="201">
        <v>0</v>
      </c>
      <c r="X429" s="201">
        <v>0</v>
      </c>
      <c r="Y429" s="201">
        <v>0</v>
      </c>
      <c r="Z429" s="201">
        <v>0</v>
      </c>
      <c r="AA429" s="201">
        <v>0</v>
      </c>
      <c r="AB429" s="204"/>
      <c r="AC429" s="204"/>
      <c r="AD429" s="209"/>
      <c r="AE429" s="209"/>
      <c r="AF429" s="204"/>
      <c r="AG429" s="204"/>
      <c r="AH429" s="220"/>
      <c r="AI429" s="209"/>
      <c r="AJ429" s="209"/>
      <c r="AK429" s="209" t="s">
        <v>3826</v>
      </c>
      <c r="AL429" s="160" t="s">
        <v>2306</v>
      </c>
      <c r="AM429" s="194" t="s">
        <v>65</v>
      </c>
      <c r="AN429" s="210"/>
      <c r="AO429" s="211" t="s">
        <v>1675</v>
      </c>
    </row>
    <row r="430" spans="1:47" ht="14.25" customHeight="1">
      <c r="C430" s="228"/>
      <c r="D430" s="229"/>
      <c r="E430" s="230"/>
      <c r="F430" s="231"/>
      <c r="G430" s="232"/>
      <c r="H430" s="233"/>
      <c r="I430" s="233"/>
      <c r="J430" s="233"/>
      <c r="K430" s="233"/>
      <c r="L430" s="234"/>
      <c r="M430" s="233"/>
      <c r="N430" s="233"/>
      <c r="O430" s="234"/>
      <c r="P430" s="235"/>
      <c r="Q430" s="235"/>
      <c r="R430" s="236"/>
      <c r="S430" s="237"/>
      <c r="T430" s="235"/>
      <c r="U430" s="235"/>
      <c r="V430" s="235"/>
      <c r="W430" s="235"/>
      <c r="X430" s="235"/>
      <c r="Y430" s="235"/>
      <c r="Z430" s="235"/>
      <c r="AA430" s="235"/>
      <c r="AB430" s="238"/>
      <c r="AC430" s="238"/>
      <c r="AD430" s="239"/>
      <c r="AE430" s="239"/>
      <c r="AF430" s="238"/>
      <c r="AG430" s="238"/>
      <c r="AH430" s="240"/>
      <c r="AI430" s="239"/>
      <c r="AJ430" s="239"/>
      <c r="AK430" s="239"/>
      <c r="AL430" s="182"/>
      <c r="AM430" s="241"/>
      <c r="AN430" s="242"/>
      <c r="AO430" s="243"/>
    </row>
    <row r="431" spans="1:47" ht="14.25" customHeight="1">
      <c r="C431" s="132"/>
      <c r="D431" s="244"/>
      <c r="E431" s="85"/>
      <c r="F431" s="133"/>
      <c r="G431" s="134"/>
      <c r="H431" s="245"/>
      <c r="I431" s="245"/>
      <c r="J431" s="245"/>
      <c r="K431" s="245"/>
      <c r="L431" s="246"/>
      <c r="M431" s="245"/>
      <c r="N431" s="245"/>
      <c r="O431" s="246"/>
      <c r="P431" s="247"/>
      <c r="Q431" s="247"/>
      <c r="R431" s="248"/>
      <c r="S431" s="249"/>
      <c r="T431" s="247"/>
      <c r="U431" s="247"/>
      <c r="V431" s="247"/>
      <c r="W431" s="247"/>
      <c r="X431" s="247"/>
      <c r="Y431" s="247"/>
      <c r="Z431" s="247"/>
      <c r="AA431" s="247"/>
      <c r="AB431" s="250"/>
      <c r="AC431" s="250"/>
      <c r="AD431" s="251"/>
      <c r="AE431" s="251"/>
      <c r="AF431" s="250"/>
      <c r="AG431" s="250"/>
      <c r="AH431" s="252"/>
      <c r="AI431" s="251"/>
      <c r="AJ431" s="251"/>
      <c r="AK431" s="251"/>
      <c r="AL431" s="253"/>
      <c r="AM431" s="253"/>
      <c r="AN431" s="254"/>
      <c r="AO431" s="255"/>
    </row>
  </sheetData>
  <autoFilter ref="C8:AO429" xr:uid="{00000000-0001-0000-0100-000000000000}">
    <filterColumn colId="11" showButton="0"/>
    <filterColumn colId="26" showButton="0"/>
    <filterColumn colId="27" showButton="0"/>
    <filterColumn colId="29" showButton="0"/>
    <filterColumn colId="30" showButton="0"/>
  </autoFilter>
  <mergeCells count="208">
    <mergeCell ref="C8:C9"/>
    <mergeCell ref="D8:D9"/>
    <mergeCell ref="E8:E9"/>
    <mergeCell ref="F8:F9"/>
    <mergeCell ref="G8:G9"/>
    <mergeCell ref="H8:H9"/>
    <mergeCell ref="I8:I9"/>
    <mergeCell ref="J8:J9"/>
    <mergeCell ref="K8:K9"/>
    <mergeCell ref="L8:L9"/>
    <mergeCell ref="M8:M9"/>
    <mergeCell ref="N8:O8"/>
    <mergeCell ref="P8:P9"/>
    <mergeCell ref="D2:S2"/>
    <mergeCell ref="AC6:AE6"/>
    <mergeCell ref="AF6:AH6"/>
    <mergeCell ref="D22:D24"/>
    <mergeCell ref="D26:D27"/>
    <mergeCell ref="D28:D29"/>
    <mergeCell ref="D30:D31"/>
    <mergeCell ref="D32:D33"/>
    <mergeCell ref="D34:D35"/>
    <mergeCell ref="AO8:AO9"/>
    <mergeCell ref="D10:D12"/>
    <mergeCell ref="D13:D15"/>
    <mergeCell ref="D16:D17"/>
    <mergeCell ref="D18:D19"/>
    <mergeCell ref="D20:D21"/>
    <mergeCell ref="AI8:AI9"/>
    <mergeCell ref="AJ8:AJ9"/>
    <mergeCell ref="AK8:AK9"/>
    <mergeCell ref="AL8:AL9"/>
    <mergeCell ref="AM8:AM9"/>
    <mergeCell ref="AN8:AN9"/>
    <mergeCell ref="Q8:Q9"/>
    <mergeCell ref="R8:R9"/>
    <mergeCell ref="S8:S9"/>
    <mergeCell ref="T8:T9"/>
    <mergeCell ref="AC8:AE8"/>
    <mergeCell ref="AF8:AH8"/>
    <mergeCell ref="D56:D57"/>
    <mergeCell ref="D58:D59"/>
    <mergeCell ref="D61:D62"/>
    <mergeCell ref="D63:D64"/>
    <mergeCell ref="D65:D67"/>
    <mergeCell ref="D68:D69"/>
    <mergeCell ref="D36:D38"/>
    <mergeCell ref="D40:D42"/>
    <mergeCell ref="D43:D44"/>
    <mergeCell ref="D47:D49"/>
    <mergeCell ref="D50:D52"/>
    <mergeCell ref="D53:D55"/>
    <mergeCell ref="D83:D84"/>
    <mergeCell ref="D85:D86"/>
    <mergeCell ref="D87:D88"/>
    <mergeCell ref="D89:D90"/>
    <mergeCell ref="D91:D92"/>
    <mergeCell ref="D93:D94"/>
    <mergeCell ref="D70:D71"/>
    <mergeCell ref="D72:D73"/>
    <mergeCell ref="D74:D75"/>
    <mergeCell ref="D76:D77"/>
    <mergeCell ref="D78:D79"/>
    <mergeCell ref="D81:D82"/>
    <mergeCell ref="D109:D110"/>
    <mergeCell ref="D111:D112"/>
    <mergeCell ref="D113:D114"/>
    <mergeCell ref="D115:D116"/>
    <mergeCell ref="D117:D118"/>
    <mergeCell ref="D119:D121"/>
    <mergeCell ref="D95:D96"/>
    <mergeCell ref="D98:D99"/>
    <mergeCell ref="D101:D102"/>
    <mergeCell ref="D103:D104"/>
    <mergeCell ref="D105:D106"/>
    <mergeCell ref="D107:D108"/>
    <mergeCell ref="D135:D136"/>
    <mergeCell ref="D137:D138"/>
    <mergeCell ref="D139:D141"/>
    <mergeCell ref="D142:D143"/>
    <mergeCell ref="D144:D145"/>
    <mergeCell ref="D146:D147"/>
    <mergeCell ref="D122:D123"/>
    <mergeCell ref="D124:D125"/>
    <mergeCell ref="D126:D127"/>
    <mergeCell ref="D128:D129"/>
    <mergeCell ref="D130:D131"/>
    <mergeCell ref="D132:D134"/>
    <mergeCell ref="D160:D162"/>
    <mergeCell ref="D163:D164"/>
    <mergeCell ref="D165:D166"/>
    <mergeCell ref="D167:D168"/>
    <mergeCell ref="D169:D170"/>
    <mergeCell ref="D171:D172"/>
    <mergeCell ref="D148:D149"/>
    <mergeCell ref="D150:D151"/>
    <mergeCell ref="D152:D153"/>
    <mergeCell ref="D154:D155"/>
    <mergeCell ref="D156:D157"/>
    <mergeCell ref="D158:D159"/>
    <mergeCell ref="D186:D187"/>
    <mergeCell ref="D188:D189"/>
    <mergeCell ref="D190:D191"/>
    <mergeCell ref="D192:D193"/>
    <mergeCell ref="D194:D195"/>
    <mergeCell ref="D196:D197"/>
    <mergeCell ref="D173:D174"/>
    <mergeCell ref="D175:D176"/>
    <mergeCell ref="D177:D178"/>
    <mergeCell ref="D179:D180"/>
    <mergeCell ref="D181:D182"/>
    <mergeCell ref="D183:D184"/>
    <mergeCell ref="D216:D217"/>
    <mergeCell ref="D218:D219"/>
    <mergeCell ref="D220:D221"/>
    <mergeCell ref="D223:D224"/>
    <mergeCell ref="D225:D226"/>
    <mergeCell ref="D227:D229"/>
    <mergeCell ref="D198:D199"/>
    <mergeCell ref="D200:D202"/>
    <mergeCell ref="D203:D205"/>
    <mergeCell ref="D206:D207"/>
    <mergeCell ref="D209:D211"/>
    <mergeCell ref="D212:D214"/>
    <mergeCell ref="D244:D245"/>
    <mergeCell ref="D246:D248"/>
    <mergeCell ref="D249:D250"/>
    <mergeCell ref="D251:D252"/>
    <mergeCell ref="D253:D254"/>
    <mergeCell ref="D255:D257"/>
    <mergeCell ref="D230:D231"/>
    <mergeCell ref="D233:D234"/>
    <mergeCell ref="D235:D236"/>
    <mergeCell ref="D237:D238"/>
    <mergeCell ref="D239:D241"/>
    <mergeCell ref="D242:D243"/>
    <mergeCell ref="D271:D272"/>
    <mergeCell ref="D273:D274"/>
    <mergeCell ref="D276:D277"/>
    <mergeCell ref="D278:D279"/>
    <mergeCell ref="D280:D281"/>
    <mergeCell ref="D282:D283"/>
    <mergeCell ref="D258:D260"/>
    <mergeCell ref="D261:D262"/>
    <mergeCell ref="D263:D264"/>
    <mergeCell ref="D265:D266"/>
    <mergeCell ref="D267:D268"/>
    <mergeCell ref="D269:D270"/>
    <mergeCell ref="D296:D297"/>
    <mergeCell ref="D298:D299"/>
    <mergeCell ref="D300:D301"/>
    <mergeCell ref="D302:D303"/>
    <mergeCell ref="D304:D305"/>
    <mergeCell ref="D306:D308"/>
    <mergeCell ref="D284:D285"/>
    <mergeCell ref="D286:D287"/>
    <mergeCell ref="D288:D289"/>
    <mergeCell ref="D290:D291"/>
    <mergeCell ref="D292:D293"/>
    <mergeCell ref="D294:D295"/>
    <mergeCell ref="D328:D330"/>
    <mergeCell ref="D331:D332"/>
    <mergeCell ref="D333:D334"/>
    <mergeCell ref="D335:D337"/>
    <mergeCell ref="D338:D340"/>
    <mergeCell ref="D341:D343"/>
    <mergeCell ref="D313:D314"/>
    <mergeCell ref="D315:D316"/>
    <mergeCell ref="D318:D320"/>
    <mergeCell ref="D322:D323"/>
    <mergeCell ref="D324:D325"/>
    <mergeCell ref="D326:D327"/>
    <mergeCell ref="D357:D358"/>
    <mergeCell ref="D359:D360"/>
    <mergeCell ref="D362:D363"/>
    <mergeCell ref="D364:D366"/>
    <mergeCell ref="D367:D368"/>
    <mergeCell ref="D369:D370"/>
    <mergeCell ref="D344:D345"/>
    <mergeCell ref="D346:D348"/>
    <mergeCell ref="D349:D350"/>
    <mergeCell ref="D351:D352"/>
    <mergeCell ref="D353:D354"/>
    <mergeCell ref="D355:D356"/>
    <mergeCell ref="D386:D387"/>
    <mergeCell ref="D388:D389"/>
    <mergeCell ref="D390:D391"/>
    <mergeCell ref="D392:D393"/>
    <mergeCell ref="D394:D395"/>
    <mergeCell ref="D396:D397"/>
    <mergeCell ref="D371:D372"/>
    <mergeCell ref="D374:D375"/>
    <mergeCell ref="D377:D378"/>
    <mergeCell ref="D379:D380"/>
    <mergeCell ref="D382:D383"/>
    <mergeCell ref="D384:D385"/>
    <mergeCell ref="D412:D413"/>
    <mergeCell ref="D414:D415"/>
    <mergeCell ref="D416:D417"/>
    <mergeCell ref="D419:D420"/>
    <mergeCell ref="D425:D426"/>
    <mergeCell ref="D428:D429"/>
    <mergeCell ref="D398:D399"/>
    <mergeCell ref="D400:D401"/>
    <mergeCell ref="D402:D403"/>
    <mergeCell ref="D404:D406"/>
    <mergeCell ref="D407:D408"/>
    <mergeCell ref="D409:D410"/>
  </mergeCells>
  <conditionalFormatting sqref="C10:AM450">
    <cfRule type="expression" dxfId="6" priority="1" stopIfTrue="1">
      <formula>$C10&lt;&gt;""</formula>
    </cfRule>
  </conditionalFormatting>
  <pageMargins left="0.25" right="0.25" top="0.75" bottom="0.75" header="0.3" footer="0.3"/>
  <pageSetup scale="60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D5E0E-FCDD-EE4C-ABEB-1B68B72EEB09}">
  <sheetPr>
    <tabColor rgb="FFFFC000"/>
  </sheetPr>
  <dimension ref="A1:AW317"/>
  <sheetViews>
    <sheetView showGridLines="0" zoomScale="125" zoomScaleNormal="125" workbookViewId="0">
      <pane xSplit="9" ySplit="9" topLeftCell="AO10" activePane="bottomRight" state="frozen"/>
      <selection pane="topRight" activeCell="J1" sqref="J1"/>
      <selection pane="bottomLeft" activeCell="A10" sqref="A10"/>
      <selection pane="bottomRight" activeCell="F23" sqref="F23"/>
    </sheetView>
  </sheetViews>
  <sheetFormatPr baseColWidth="10" defaultColWidth="9.1640625" defaultRowHeight="14.25" customHeight="1"/>
  <cols>
    <col min="1" max="1" width="1.5" style="1" customWidth="1"/>
    <col min="2" max="2" width="1.1640625" style="1" customWidth="1"/>
    <col min="3" max="3" width="6" style="2" customWidth="1"/>
    <col min="4" max="4" width="21.83203125" style="94" bestFit="1" customWidth="1"/>
    <col min="5" max="5" width="8.83203125" style="94" customWidth="1"/>
    <col min="6" max="6" width="16.33203125" style="95" customWidth="1"/>
    <col min="7" max="7" width="16.1640625" style="1" customWidth="1"/>
    <col min="8" max="8" width="15.1640625" style="4" bestFit="1" customWidth="1"/>
    <col min="9" max="9" width="11.83203125" style="4" customWidth="1"/>
    <col min="10" max="10" width="8.6640625" style="4" customWidth="1"/>
    <col min="11" max="11" width="14.1640625" style="4" customWidth="1"/>
    <col min="12" max="12" width="11.5" style="4" customWidth="1"/>
    <col min="13" max="13" width="8.6640625" style="4" customWidth="1"/>
    <col min="14" max="14" width="13.5" style="4" customWidth="1"/>
    <col min="15" max="15" width="13.6640625" style="4" customWidth="1"/>
    <col min="16" max="16" width="11.83203125" style="5" customWidth="1"/>
    <col min="17" max="17" width="17.83203125" style="5" customWidth="1"/>
    <col min="18" max="18" width="8.5" style="5" customWidth="1"/>
    <col min="19" max="19" width="8.33203125" style="5" customWidth="1"/>
    <col min="20" max="20" width="8" style="5" customWidth="1"/>
    <col min="21" max="24" width="7.83203125" style="4" customWidth="1"/>
    <col min="25" max="25" width="4.5" style="4" customWidth="1"/>
    <col min="26" max="26" width="4.83203125" style="4" customWidth="1"/>
    <col min="27" max="27" width="6.1640625" style="5" customWidth="1"/>
    <col min="28" max="28" width="7.83203125" style="5" customWidth="1"/>
    <col min="29" max="29" width="10.33203125" style="5" bestFit="1" customWidth="1"/>
    <col min="30" max="30" width="9.1640625" style="4" customWidth="1"/>
    <col min="31" max="31" width="11.1640625" style="4" customWidth="1"/>
    <col min="32" max="32" width="9.5" style="5" customWidth="1"/>
    <col min="33" max="33" width="9.6640625" style="5" customWidth="1"/>
    <col min="34" max="34" width="8.83203125" style="6" customWidth="1"/>
    <col min="35" max="36" width="16" style="4" customWidth="1"/>
    <col min="37" max="37" width="21.83203125" style="4" customWidth="1"/>
    <col min="38" max="38" width="10.5" style="5" customWidth="1"/>
    <col min="39" max="39" width="9.6640625" style="5" customWidth="1"/>
    <col min="40" max="40" width="10.6640625" style="5" customWidth="1"/>
    <col min="41" max="41" width="15.1640625" style="5" bestFit="1" customWidth="1"/>
    <col min="42" max="42" width="24.6640625" style="4" customWidth="1"/>
    <col min="44" max="44" width="10.33203125" bestFit="1" customWidth="1"/>
    <col min="46" max="46" width="11.1640625" customWidth="1"/>
    <col min="47" max="47" width="9.5" customWidth="1"/>
    <col min="48" max="48" width="9.6640625" customWidth="1"/>
    <col min="49" max="49" width="8.83203125" customWidth="1"/>
    <col min="50" max="16384" width="9.1640625" style="4"/>
  </cols>
  <sheetData>
    <row r="1" spans="1:49" ht="15">
      <c r="D1" s="3"/>
      <c r="E1" s="3"/>
      <c r="F1" s="1"/>
      <c r="AJ1" s="5"/>
      <c r="AK1" s="5"/>
    </row>
    <row r="2" spans="1:49" ht="21">
      <c r="D2" s="304" t="s">
        <v>3828</v>
      </c>
      <c r="E2" s="304"/>
      <c r="F2" s="304"/>
      <c r="G2" s="304"/>
      <c r="H2" s="304"/>
      <c r="I2" s="304"/>
      <c r="J2" s="304"/>
      <c r="K2" s="304"/>
      <c r="L2" s="304"/>
      <c r="M2" s="304"/>
      <c r="N2" s="304"/>
      <c r="O2" s="304"/>
      <c r="P2" s="304"/>
      <c r="Q2" s="304"/>
      <c r="R2" s="304"/>
      <c r="S2" s="304"/>
      <c r="T2" s="7"/>
      <c r="AC2" s="7"/>
      <c r="AD2" s="7"/>
      <c r="AE2" s="7"/>
      <c r="AF2" s="7"/>
      <c r="AG2" s="7"/>
      <c r="AI2" s="7"/>
      <c r="AJ2" s="5"/>
      <c r="AK2" s="5"/>
    </row>
    <row r="3" spans="1:49" ht="15">
      <c r="C3" s="8"/>
      <c r="D3" s="9"/>
      <c r="E3" s="9"/>
      <c r="F3" s="10"/>
      <c r="G3" s="11"/>
      <c r="AD3" s="7"/>
      <c r="AE3" s="7"/>
      <c r="AF3" s="7"/>
      <c r="AG3" s="7"/>
      <c r="AI3" s="7"/>
      <c r="AJ3" s="5"/>
      <c r="AK3" s="5"/>
    </row>
    <row r="4" spans="1:49" s="23" customFormat="1" ht="37" customHeight="1">
      <c r="A4" s="12"/>
      <c r="B4" s="12"/>
      <c r="C4" s="13"/>
      <c r="D4" s="9"/>
      <c r="E4" s="9"/>
      <c r="F4" s="10"/>
      <c r="G4" s="11"/>
      <c r="H4" s="14" t="s">
        <v>3829</v>
      </c>
      <c r="I4" s="14" t="s">
        <v>2</v>
      </c>
      <c r="J4" s="14" t="s">
        <v>3</v>
      </c>
      <c r="K4" s="14" t="s">
        <v>4</v>
      </c>
      <c r="L4" s="14" t="s">
        <v>5</v>
      </c>
      <c r="M4" s="14" t="s">
        <v>6</v>
      </c>
      <c r="N4" s="14" t="s">
        <v>7</v>
      </c>
      <c r="O4" s="15" t="s">
        <v>8</v>
      </c>
      <c r="P4" s="15" t="s">
        <v>9</v>
      </c>
      <c r="Q4" s="15" t="s">
        <v>1541</v>
      </c>
      <c r="R4" s="16"/>
      <c r="S4" s="16"/>
      <c r="T4" s="16"/>
      <c r="U4" s="16"/>
      <c r="V4" s="17"/>
      <c r="W4" s="17"/>
      <c r="X4" s="17"/>
      <c r="Y4" s="17"/>
      <c r="Z4" s="17"/>
      <c r="AA4" s="17"/>
      <c r="AB4" s="17"/>
      <c r="AC4" s="18"/>
      <c r="AD4" s="19"/>
      <c r="AE4" s="19"/>
      <c r="AF4" s="20"/>
      <c r="AG4" s="20"/>
      <c r="AH4" s="21"/>
      <c r="AI4" s="22"/>
      <c r="AJ4" s="17"/>
      <c r="AK4" s="18"/>
      <c r="AL4" s="18"/>
      <c r="AM4" s="18"/>
      <c r="AN4" s="18"/>
      <c r="AO4" s="18"/>
      <c r="AQ4"/>
      <c r="AR4"/>
      <c r="AS4"/>
      <c r="AT4"/>
      <c r="AU4"/>
      <c r="AV4"/>
      <c r="AW4"/>
    </row>
    <row r="5" spans="1:49" ht="15">
      <c r="C5" s="24"/>
      <c r="D5" s="9"/>
      <c r="E5" s="9"/>
      <c r="F5" s="10"/>
      <c r="G5" s="11"/>
      <c r="H5" s="25" t="s">
        <v>3829</v>
      </c>
      <c r="I5" s="26">
        <f>SUM(J5:L5)</f>
        <v>152</v>
      </c>
      <c r="J5" s="26">
        <f>SUM(Y10:Y328)</f>
        <v>7</v>
      </c>
      <c r="K5" s="26">
        <f>SUM(Z10:Z328)</f>
        <v>91</v>
      </c>
      <c r="L5" s="26">
        <f>SUM(AA10:AA328)</f>
        <v>54</v>
      </c>
      <c r="M5" s="26">
        <v>0</v>
      </c>
      <c r="N5" s="26">
        <v>2</v>
      </c>
      <c r="O5" s="25">
        <f>SUM(P5:Q5)</f>
        <v>304</v>
      </c>
      <c r="P5" s="26">
        <f>SUM(V10:V328)</f>
        <v>297</v>
      </c>
      <c r="Q5" s="26">
        <f>COUNTIFS(M10:M328,"&gt;3",M10:M328,"&lt;12")</f>
        <v>7</v>
      </c>
      <c r="R5" s="27"/>
      <c r="S5" s="27"/>
      <c r="T5" s="27"/>
      <c r="U5" s="28"/>
      <c r="V5" s="28"/>
      <c r="W5" s="28"/>
      <c r="X5" s="28"/>
      <c r="Y5" s="28"/>
      <c r="Z5" s="28"/>
      <c r="AA5" s="29"/>
      <c r="AB5" s="29"/>
      <c r="AC5" s="27"/>
      <c r="AD5" s="7"/>
      <c r="AE5" s="7"/>
      <c r="AF5" s="7"/>
      <c r="AG5" s="7"/>
      <c r="AI5" s="28"/>
      <c r="AJ5" s="29"/>
      <c r="AK5" s="30"/>
      <c r="AL5" s="30"/>
      <c r="AM5" s="30"/>
      <c r="AN5" s="30"/>
      <c r="AO5" s="30"/>
    </row>
    <row r="6" spans="1:49" ht="15">
      <c r="C6" s="24"/>
      <c r="D6" s="9" t="s">
        <v>11</v>
      </c>
      <c r="E6" s="9"/>
      <c r="F6" s="10"/>
      <c r="G6" s="11"/>
      <c r="H6" s="26"/>
      <c r="I6" s="25"/>
      <c r="J6" s="31"/>
      <c r="K6" s="26"/>
      <c r="L6" s="26"/>
      <c r="M6" s="25"/>
      <c r="N6" s="25"/>
      <c r="O6" s="25"/>
      <c r="P6" s="25"/>
      <c r="Q6" s="25"/>
      <c r="R6" s="27"/>
      <c r="S6" s="27"/>
      <c r="T6" s="27"/>
      <c r="U6" s="32" t="s">
        <v>12</v>
      </c>
      <c r="V6" s="28"/>
      <c r="W6" s="28"/>
      <c r="X6" s="32" t="s">
        <v>13</v>
      </c>
      <c r="Y6" s="28"/>
      <c r="Z6" s="28"/>
      <c r="AA6" s="29"/>
      <c r="AB6" s="29"/>
      <c r="AC6" s="305" t="s">
        <v>14</v>
      </c>
      <c r="AD6" s="305"/>
      <c r="AE6" s="305"/>
      <c r="AF6" s="305" t="s">
        <v>14</v>
      </c>
      <c r="AG6" s="305"/>
      <c r="AH6" s="305"/>
      <c r="AI6" s="28"/>
      <c r="AJ6" s="29"/>
      <c r="AK6" s="27"/>
      <c r="AL6" s="27"/>
      <c r="AM6" s="27"/>
      <c r="AN6" s="27"/>
      <c r="AO6" s="27"/>
    </row>
    <row r="7" spans="1:49" ht="15">
      <c r="C7" s="24"/>
      <c r="D7" s="9"/>
      <c r="E7" s="9"/>
      <c r="F7" s="10"/>
      <c r="G7" s="11"/>
      <c r="W7" s="28"/>
      <c r="X7" s="28"/>
      <c r="Y7" s="28"/>
      <c r="Z7" s="28"/>
      <c r="AA7" s="29"/>
      <c r="AB7" s="29"/>
      <c r="AD7" s="7"/>
      <c r="AE7" s="7"/>
      <c r="AF7" s="7"/>
      <c r="AG7" s="7"/>
      <c r="AI7" s="28"/>
      <c r="AJ7" s="29"/>
      <c r="AK7" s="5"/>
    </row>
    <row r="8" spans="1:49" ht="28.5" customHeight="1">
      <c r="C8" s="306" t="s">
        <v>15</v>
      </c>
      <c r="D8" s="308" t="s">
        <v>16</v>
      </c>
      <c r="E8" s="293" t="s">
        <v>17</v>
      </c>
      <c r="F8" s="293" t="s">
        <v>18</v>
      </c>
      <c r="G8" s="293" t="s">
        <v>19</v>
      </c>
      <c r="H8" s="293" t="s">
        <v>20</v>
      </c>
      <c r="I8" s="293" t="s">
        <v>21</v>
      </c>
      <c r="J8" s="293" t="s">
        <v>22</v>
      </c>
      <c r="K8" s="295" t="s">
        <v>23</v>
      </c>
      <c r="L8" s="295" t="s">
        <v>24</v>
      </c>
      <c r="M8" s="295" t="s">
        <v>25</v>
      </c>
      <c r="N8" s="303" t="s">
        <v>26</v>
      </c>
      <c r="O8" s="303"/>
      <c r="P8" s="295" t="s">
        <v>27</v>
      </c>
      <c r="Q8" s="297" t="s">
        <v>28</v>
      </c>
      <c r="R8" s="301" t="s">
        <v>29</v>
      </c>
      <c r="S8" s="301" t="s">
        <v>30</v>
      </c>
      <c r="T8" s="301" t="s">
        <v>31</v>
      </c>
      <c r="U8" s="33" t="s">
        <v>32</v>
      </c>
      <c r="V8" s="34" t="s">
        <v>33</v>
      </c>
      <c r="W8" s="35" t="s">
        <v>34</v>
      </c>
      <c r="X8" s="36" t="s">
        <v>35</v>
      </c>
      <c r="Y8" s="37" t="s">
        <v>36</v>
      </c>
      <c r="Z8" s="38" t="s">
        <v>37</v>
      </c>
      <c r="AA8" s="36" t="s">
        <v>5</v>
      </c>
      <c r="AB8" s="39" t="s">
        <v>6</v>
      </c>
      <c r="AC8" s="295" t="s">
        <v>38</v>
      </c>
      <c r="AD8" s="295"/>
      <c r="AE8" s="295"/>
      <c r="AF8" s="295" t="s">
        <v>39</v>
      </c>
      <c r="AG8" s="295"/>
      <c r="AH8" s="295"/>
      <c r="AI8" s="293" t="s">
        <v>40</v>
      </c>
      <c r="AJ8" s="295" t="s">
        <v>41</v>
      </c>
      <c r="AK8" s="297" t="s">
        <v>42</v>
      </c>
      <c r="AL8" s="297" t="s">
        <v>43</v>
      </c>
      <c r="AM8" s="299" t="s">
        <v>44</v>
      </c>
      <c r="AN8" s="327" t="s">
        <v>3830</v>
      </c>
      <c r="AO8" s="327" t="s">
        <v>45</v>
      </c>
      <c r="AP8" s="289" t="s">
        <v>46</v>
      </c>
    </row>
    <row r="9" spans="1:49" ht="29" customHeight="1">
      <c r="C9" s="335"/>
      <c r="D9" s="336"/>
      <c r="E9" s="330"/>
      <c r="F9" s="330"/>
      <c r="G9" s="330"/>
      <c r="H9" s="330"/>
      <c r="I9" s="330"/>
      <c r="J9" s="330"/>
      <c r="K9" s="331"/>
      <c r="L9" s="331"/>
      <c r="M9" s="331"/>
      <c r="N9" s="256" t="s">
        <v>47</v>
      </c>
      <c r="O9" s="257" t="s">
        <v>48</v>
      </c>
      <c r="P9" s="331"/>
      <c r="Q9" s="332"/>
      <c r="R9" s="334"/>
      <c r="S9" s="334"/>
      <c r="T9" s="334"/>
      <c r="U9" s="258"/>
      <c r="V9" s="259"/>
      <c r="W9" s="258"/>
      <c r="X9" s="260"/>
      <c r="Y9" s="258"/>
      <c r="Z9" s="260"/>
      <c r="AA9" s="260"/>
      <c r="AB9" s="258"/>
      <c r="AC9" s="261" t="s">
        <v>49</v>
      </c>
      <c r="AD9" s="261" t="s">
        <v>50</v>
      </c>
      <c r="AE9" s="261" t="s">
        <v>51</v>
      </c>
      <c r="AF9" s="261" t="s">
        <v>52</v>
      </c>
      <c r="AG9" s="261" t="s">
        <v>53</v>
      </c>
      <c r="AH9" s="261" t="s">
        <v>51</v>
      </c>
      <c r="AI9" s="330"/>
      <c r="AJ9" s="331"/>
      <c r="AK9" s="332"/>
      <c r="AL9" s="332"/>
      <c r="AM9" s="333"/>
      <c r="AN9" s="328"/>
      <c r="AO9" s="328"/>
      <c r="AP9" s="329"/>
    </row>
    <row r="10" spans="1:49" ht="14.25" customHeight="1">
      <c r="C10" s="262">
        <v>1</v>
      </c>
      <c r="D10" s="56">
        <v>15262305</v>
      </c>
      <c r="E10" s="56" t="s">
        <v>3831</v>
      </c>
      <c r="F10" s="57" t="s">
        <v>3832</v>
      </c>
      <c r="G10" s="56" t="s">
        <v>3832</v>
      </c>
      <c r="H10" s="56" t="s">
        <v>3833</v>
      </c>
      <c r="I10" s="56" t="s">
        <v>3834</v>
      </c>
      <c r="J10" s="56" t="s">
        <v>58</v>
      </c>
      <c r="K10" s="56" t="s">
        <v>460</v>
      </c>
      <c r="L10" s="58">
        <v>25483</v>
      </c>
      <c r="M10" s="56">
        <v>55</v>
      </c>
      <c r="N10" s="56" t="s">
        <v>3835</v>
      </c>
      <c r="O10" s="58">
        <v>46001</v>
      </c>
      <c r="P10" s="56" t="s">
        <v>3</v>
      </c>
      <c r="Q10" s="56"/>
      <c r="R10" s="162">
        <v>45913</v>
      </c>
      <c r="S10" s="163">
        <v>45918</v>
      </c>
      <c r="T10" s="164">
        <f t="shared" ref="T10:T73" si="0">S10-R10</f>
        <v>5</v>
      </c>
      <c r="U10" s="56">
        <v>1</v>
      </c>
      <c r="V10" s="56">
        <v>1</v>
      </c>
      <c r="W10" s="56">
        <v>0</v>
      </c>
      <c r="X10" s="56">
        <v>1</v>
      </c>
      <c r="Y10" s="56">
        <v>1</v>
      </c>
      <c r="Z10" s="56">
        <v>0</v>
      </c>
      <c r="AA10" s="56">
        <v>0</v>
      </c>
      <c r="AB10" s="56"/>
      <c r="AC10" s="58">
        <v>45913</v>
      </c>
      <c r="AD10" s="59">
        <v>0.78125</v>
      </c>
      <c r="AE10" s="56" t="s">
        <v>462</v>
      </c>
      <c r="AF10" s="58">
        <v>45918</v>
      </c>
      <c r="AG10" s="59">
        <v>0.86458333333575865</v>
      </c>
      <c r="AH10" s="56" t="s">
        <v>463</v>
      </c>
      <c r="AI10" s="56" t="s">
        <v>3836</v>
      </c>
      <c r="AJ10" s="56" t="s">
        <v>598</v>
      </c>
      <c r="AK10" s="56" t="s">
        <v>3837</v>
      </c>
      <c r="AL10" s="56" t="s">
        <v>3838</v>
      </c>
      <c r="AM10" s="60" t="s">
        <v>65</v>
      </c>
      <c r="AN10" s="60" t="s">
        <v>3839</v>
      </c>
      <c r="AO10" s="60" t="s">
        <v>331</v>
      </c>
      <c r="AP10" s="61"/>
    </row>
    <row r="11" spans="1:49" ht="14.25" customHeight="1">
      <c r="C11" s="55">
        <f>IF($X11=1,COUNTIF($C$10:C10,"&gt;0")+1,"")</f>
        <v>2</v>
      </c>
      <c r="D11" s="56">
        <v>15262306</v>
      </c>
      <c r="E11" s="56" t="s">
        <v>3831</v>
      </c>
      <c r="F11" s="57" t="s">
        <v>3840</v>
      </c>
      <c r="G11" s="56" t="s">
        <v>3840</v>
      </c>
      <c r="H11" s="56" t="s">
        <v>3841</v>
      </c>
      <c r="I11" s="56" t="s">
        <v>3842</v>
      </c>
      <c r="J11" s="56" t="s">
        <v>58</v>
      </c>
      <c r="K11" s="56" t="s">
        <v>59</v>
      </c>
      <c r="L11" s="58">
        <v>25482</v>
      </c>
      <c r="M11" s="56">
        <v>55</v>
      </c>
      <c r="N11" s="56" t="s">
        <v>3843</v>
      </c>
      <c r="O11" s="58">
        <v>48639</v>
      </c>
      <c r="P11" s="56" t="s">
        <v>4</v>
      </c>
      <c r="Q11" s="56"/>
      <c r="R11" s="162">
        <v>45913</v>
      </c>
      <c r="S11" s="163">
        <v>45918</v>
      </c>
      <c r="T11" s="164">
        <f t="shared" si="0"/>
        <v>5</v>
      </c>
      <c r="U11" s="56">
        <v>1</v>
      </c>
      <c r="V11" s="56">
        <v>1</v>
      </c>
      <c r="W11" s="56">
        <v>0</v>
      </c>
      <c r="X11" s="56">
        <v>1</v>
      </c>
      <c r="Y11" s="56">
        <v>0</v>
      </c>
      <c r="Z11" s="56">
        <v>1</v>
      </c>
      <c r="AA11" s="56">
        <v>0</v>
      </c>
      <c r="AB11" s="56"/>
      <c r="AC11" s="58">
        <v>45913</v>
      </c>
      <c r="AD11" s="59">
        <v>0.59027777778101154</v>
      </c>
      <c r="AE11" s="56" t="s">
        <v>547</v>
      </c>
      <c r="AF11" s="58">
        <v>45918</v>
      </c>
      <c r="AG11" s="59">
        <v>0.68402777778101154</v>
      </c>
      <c r="AH11" s="56" t="s">
        <v>274</v>
      </c>
      <c r="AI11" s="56" t="s">
        <v>3836</v>
      </c>
      <c r="AJ11" s="56" t="s">
        <v>64</v>
      </c>
      <c r="AK11" s="56" t="s">
        <v>64</v>
      </c>
      <c r="AL11" s="56" t="s">
        <v>3838</v>
      </c>
      <c r="AM11" s="60" t="s">
        <v>65</v>
      </c>
      <c r="AN11" s="60" t="s">
        <v>3844</v>
      </c>
      <c r="AO11" s="60"/>
      <c r="AP11" s="61"/>
    </row>
    <row r="12" spans="1:49" ht="14.25" customHeight="1">
      <c r="C12" s="55" t="str">
        <f>IF($X12=1,COUNTIF($C$10:C11,"&gt;0")+1,"")</f>
        <v/>
      </c>
      <c r="D12" s="56"/>
      <c r="E12" s="56" t="s">
        <v>3831</v>
      </c>
      <c r="F12" s="57" t="s">
        <v>3845</v>
      </c>
      <c r="G12" s="56" t="s">
        <v>3840</v>
      </c>
      <c r="H12" s="56" t="s">
        <v>3846</v>
      </c>
      <c r="I12" s="56" t="s">
        <v>1216</v>
      </c>
      <c r="J12" s="56" t="s">
        <v>68</v>
      </c>
      <c r="K12" s="56" t="s">
        <v>59</v>
      </c>
      <c r="L12" s="58">
        <v>25764</v>
      </c>
      <c r="M12" s="56">
        <v>55</v>
      </c>
      <c r="N12" s="56" t="s">
        <v>3847</v>
      </c>
      <c r="O12" s="58">
        <v>48639</v>
      </c>
      <c r="P12" s="56" t="s">
        <v>4</v>
      </c>
      <c r="Q12" s="56"/>
      <c r="R12" s="162">
        <v>45913</v>
      </c>
      <c r="S12" s="163">
        <v>45918</v>
      </c>
      <c r="T12" s="164">
        <f t="shared" si="0"/>
        <v>5</v>
      </c>
      <c r="U12" s="56">
        <v>1</v>
      </c>
      <c r="V12" s="56">
        <v>1</v>
      </c>
      <c r="W12" s="56">
        <v>0</v>
      </c>
      <c r="X12" s="56">
        <v>0</v>
      </c>
      <c r="Y12" s="56">
        <v>0</v>
      </c>
      <c r="Z12" s="56">
        <v>0</v>
      </c>
      <c r="AA12" s="56">
        <v>0</v>
      </c>
      <c r="AB12" s="56"/>
      <c r="AC12" s="58">
        <v>45913</v>
      </c>
      <c r="AD12" s="59">
        <v>0.59027777778101154</v>
      </c>
      <c r="AE12" s="56" t="s">
        <v>547</v>
      </c>
      <c r="AF12" s="58">
        <v>45918</v>
      </c>
      <c r="AG12" s="59">
        <v>0.68402777778101154</v>
      </c>
      <c r="AH12" s="56" t="s">
        <v>274</v>
      </c>
      <c r="AI12" s="56" t="s">
        <v>3836</v>
      </c>
      <c r="AJ12" s="56" t="s">
        <v>64</v>
      </c>
      <c r="AK12" s="56" t="s">
        <v>64</v>
      </c>
      <c r="AL12" s="56" t="s">
        <v>3838</v>
      </c>
      <c r="AM12" s="60" t="s">
        <v>65</v>
      </c>
      <c r="AN12" s="60" t="s">
        <v>3844</v>
      </c>
      <c r="AO12" s="60"/>
      <c r="AP12" s="61"/>
    </row>
    <row r="13" spans="1:49" ht="14.25" customHeight="1">
      <c r="C13" s="55">
        <f>IF($X13=1,COUNTIF($C$10:C12,"&gt;0")+1,"")</f>
        <v>3</v>
      </c>
      <c r="D13" s="56">
        <v>15262307</v>
      </c>
      <c r="E13" s="56" t="s">
        <v>3831</v>
      </c>
      <c r="F13" s="57" t="s">
        <v>3848</v>
      </c>
      <c r="G13" s="56" t="s">
        <v>3848</v>
      </c>
      <c r="H13" s="56" t="s">
        <v>3849</v>
      </c>
      <c r="I13" s="56" t="s">
        <v>3850</v>
      </c>
      <c r="J13" s="56" t="s">
        <v>68</v>
      </c>
      <c r="K13" s="56" t="s">
        <v>59</v>
      </c>
      <c r="L13" s="58">
        <v>26366</v>
      </c>
      <c r="M13" s="56">
        <v>53</v>
      </c>
      <c r="N13" s="56" t="s">
        <v>3851</v>
      </c>
      <c r="O13" s="58">
        <v>48195</v>
      </c>
      <c r="P13" s="56" t="s">
        <v>4</v>
      </c>
      <c r="Q13" s="56"/>
      <c r="R13" s="162">
        <v>45913</v>
      </c>
      <c r="S13" s="163">
        <v>45918</v>
      </c>
      <c r="T13" s="164">
        <f t="shared" si="0"/>
        <v>5</v>
      </c>
      <c r="U13" s="56">
        <v>1</v>
      </c>
      <c r="V13" s="56">
        <v>1</v>
      </c>
      <c r="W13" s="56">
        <v>0</v>
      </c>
      <c r="X13" s="56">
        <v>1</v>
      </c>
      <c r="Y13" s="56">
        <v>0</v>
      </c>
      <c r="Z13" s="56">
        <v>1</v>
      </c>
      <c r="AA13" s="56">
        <v>0</v>
      </c>
      <c r="AB13" s="56"/>
      <c r="AC13" s="58">
        <v>45913</v>
      </c>
      <c r="AD13" s="59">
        <v>0.72222222221898846</v>
      </c>
      <c r="AE13" s="56" t="s">
        <v>1321</v>
      </c>
      <c r="AF13" s="58">
        <v>45918</v>
      </c>
      <c r="AG13" s="59">
        <v>0.81944444444525288</v>
      </c>
      <c r="AH13" s="56" t="s">
        <v>770</v>
      </c>
      <c r="AI13" s="56" t="s">
        <v>3836</v>
      </c>
      <c r="AJ13" s="56" t="s">
        <v>64</v>
      </c>
      <c r="AK13" s="56" t="s">
        <v>64</v>
      </c>
      <c r="AL13" s="56" t="s">
        <v>3838</v>
      </c>
      <c r="AM13" s="60" t="s">
        <v>65</v>
      </c>
      <c r="AN13" s="60" t="s">
        <v>3844</v>
      </c>
      <c r="AO13" s="60"/>
      <c r="AP13" s="61"/>
    </row>
    <row r="14" spans="1:49" ht="14.25" customHeight="1">
      <c r="C14" s="55" t="str">
        <f>IF($X14=1,COUNTIF($C$10:C13,"&gt;0")+1,"")</f>
        <v/>
      </c>
      <c r="D14" s="56"/>
      <c r="E14" s="56" t="s">
        <v>3831</v>
      </c>
      <c r="F14" s="57" t="s">
        <v>3852</v>
      </c>
      <c r="G14" s="56" t="s">
        <v>3848</v>
      </c>
      <c r="H14" s="56" t="s">
        <v>3853</v>
      </c>
      <c r="I14" s="56" t="s">
        <v>3854</v>
      </c>
      <c r="J14" s="56" t="s">
        <v>68</v>
      </c>
      <c r="K14" s="56" t="s">
        <v>59</v>
      </c>
      <c r="L14" s="58">
        <v>21956</v>
      </c>
      <c r="M14" s="56">
        <v>65</v>
      </c>
      <c r="N14" s="56" t="s">
        <v>3855</v>
      </c>
      <c r="O14" s="58">
        <v>48195</v>
      </c>
      <c r="P14" s="56" t="s">
        <v>4</v>
      </c>
      <c r="Q14" s="56"/>
      <c r="R14" s="162">
        <v>45913</v>
      </c>
      <c r="S14" s="163">
        <v>45918</v>
      </c>
      <c r="T14" s="164">
        <f t="shared" si="0"/>
        <v>5</v>
      </c>
      <c r="U14" s="56">
        <v>1</v>
      </c>
      <c r="V14" s="56">
        <v>1</v>
      </c>
      <c r="W14" s="56">
        <v>0</v>
      </c>
      <c r="X14" s="56">
        <v>0</v>
      </c>
      <c r="Y14" s="56">
        <v>0</v>
      </c>
      <c r="Z14" s="56">
        <v>0</v>
      </c>
      <c r="AA14" s="56">
        <v>0</v>
      </c>
      <c r="AB14" s="56"/>
      <c r="AC14" s="58">
        <v>45913</v>
      </c>
      <c r="AD14" s="59">
        <v>0.72222222221898846</v>
      </c>
      <c r="AE14" s="56" t="s">
        <v>1321</v>
      </c>
      <c r="AF14" s="58">
        <v>45918</v>
      </c>
      <c r="AG14" s="59">
        <v>0.81944444444525288</v>
      </c>
      <c r="AH14" s="56" t="s">
        <v>770</v>
      </c>
      <c r="AI14" s="56" t="s">
        <v>3836</v>
      </c>
      <c r="AJ14" s="56" t="s">
        <v>64</v>
      </c>
      <c r="AK14" s="56" t="s">
        <v>64</v>
      </c>
      <c r="AL14" s="56" t="s">
        <v>3838</v>
      </c>
      <c r="AM14" s="60" t="s">
        <v>65</v>
      </c>
      <c r="AN14" s="60" t="s">
        <v>3844</v>
      </c>
      <c r="AO14" s="60"/>
      <c r="AP14" s="61"/>
    </row>
    <row r="15" spans="1:49" ht="14.25" customHeight="1">
      <c r="C15" s="55">
        <f>IF($X15=1,COUNTIF($C$10:C14,"&gt;0")+1,"")</f>
        <v>4</v>
      </c>
      <c r="D15" s="56">
        <v>15262308</v>
      </c>
      <c r="E15" s="56" t="s">
        <v>3831</v>
      </c>
      <c r="F15" s="57" t="s">
        <v>3856</v>
      </c>
      <c r="G15" s="56" t="s">
        <v>3856</v>
      </c>
      <c r="H15" s="56" t="s">
        <v>3857</v>
      </c>
      <c r="I15" s="56" t="s">
        <v>3858</v>
      </c>
      <c r="J15" s="56" t="s">
        <v>58</v>
      </c>
      <c r="K15" s="56" t="s">
        <v>460</v>
      </c>
      <c r="L15" s="58">
        <v>28813</v>
      </c>
      <c r="M15" s="56">
        <v>46</v>
      </c>
      <c r="N15" s="56" t="s">
        <v>3859</v>
      </c>
      <c r="O15" s="58">
        <v>48077</v>
      </c>
      <c r="P15" s="56" t="s">
        <v>5</v>
      </c>
      <c r="Q15" s="56"/>
      <c r="R15" s="162">
        <v>45913</v>
      </c>
      <c r="S15" s="163">
        <v>45918</v>
      </c>
      <c r="T15" s="164">
        <f t="shared" si="0"/>
        <v>5</v>
      </c>
      <c r="U15" s="56">
        <v>1</v>
      </c>
      <c r="V15" s="56">
        <v>1</v>
      </c>
      <c r="W15" s="56">
        <v>0</v>
      </c>
      <c r="X15" s="56">
        <v>1</v>
      </c>
      <c r="Y15" s="56">
        <v>0</v>
      </c>
      <c r="Z15" s="56">
        <v>0</v>
      </c>
      <c r="AA15" s="56">
        <v>1</v>
      </c>
      <c r="AB15" s="56"/>
      <c r="AC15" s="58">
        <v>45913</v>
      </c>
      <c r="AD15" s="59">
        <v>0.78125</v>
      </c>
      <c r="AE15" s="56" t="s">
        <v>462</v>
      </c>
      <c r="AF15" s="58">
        <v>45918</v>
      </c>
      <c r="AG15" s="59">
        <v>0.73958333333575865</v>
      </c>
      <c r="AH15" s="56" t="s">
        <v>1117</v>
      </c>
      <c r="AI15" s="56" t="s">
        <v>3836</v>
      </c>
      <c r="AJ15" s="56" t="s">
        <v>64</v>
      </c>
      <c r="AK15" s="56" t="s">
        <v>64</v>
      </c>
      <c r="AL15" s="56" t="s">
        <v>3838</v>
      </c>
      <c r="AM15" s="60" t="s">
        <v>65</v>
      </c>
      <c r="AN15" s="60" t="s">
        <v>3860</v>
      </c>
      <c r="AO15" s="60" t="s">
        <v>331</v>
      </c>
      <c r="AP15" s="61"/>
    </row>
    <row r="16" spans="1:49" ht="14.25" customHeight="1">
      <c r="C16" s="55" t="str">
        <f>IF($X16=1,COUNTIF($C$10:C15,"&gt;0")+1,"")</f>
        <v/>
      </c>
      <c r="D16" s="56"/>
      <c r="E16" s="56" t="s">
        <v>3831</v>
      </c>
      <c r="F16" s="57" t="s">
        <v>3861</v>
      </c>
      <c r="G16" s="56" t="s">
        <v>3856</v>
      </c>
      <c r="H16" s="56" t="s">
        <v>3862</v>
      </c>
      <c r="I16" s="56" t="s">
        <v>3863</v>
      </c>
      <c r="J16" s="56" t="s">
        <v>58</v>
      </c>
      <c r="K16" s="56" t="s">
        <v>460</v>
      </c>
      <c r="L16" s="58">
        <v>29690</v>
      </c>
      <c r="M16" s="56">
        <v>44</v>
      </c>
      <c r="N16" s="56" t="s">
        <v>3864</v>
      </c>
      <c r="O16" s="58">
        <v>48501</v>
      </c>
      <c r="P16" s="56" t="s">
        <v>5</v>
      </c>
      <c r="Q16" s="56"/>
      <c r="R16" s="162">
        <v>45913</v>
      </c>
      <c r="S16" s="163">
        <v>45918</v>
      </c>
      <c r="T16" s="164">
        <f t="shared" si="0"/>
        <v>5</v>
      </c>
      <c r="U16" s="56">
        <v>1</v>
      </c>
      <c r="V16" s="56">
        <v>1</v>
      </c>
      <c r="W16" s="56">
        <v>0</v>
      </c>
      <c r="X16" s="56">
        <v>0</v>
      </c>
      <c r="Y16" s="56">
        <v>0</v>
      </c>
      <c r="Z16" s="56">
        <v>0</v>
      </c>
      <c r="AA16" s="56">
        <v>0</v>
      </c>
      <c r="AB16" s="56"/>
      <c r="AC16" s="58">
        <v>45912</v>
      </c>
      <c r="AD16" s="59">
        <v>0.72916666666424135</v>
      </c>
      <c r="AE16" s="56" t="s">
        <v>575</v>
      </c>
      <c r="AF16" s="58">
        <v>45918</v>
      </c>
      <c r="AG16" s="59">
        <v>0.85416666666424135</v>
      </c>
      <c r="AH16" s="56" t="s">
        <v>1460</v>
      </c>
      <c r="AI16" s="56" t="s">
        <v>3836</v>
      </c>
      <c r="AJ16" s="56" t="s">
        <v>64</v>
      </c>
      <c r="AK16" s="56" t="s">
        <v>64</v>
      </c>
      <c r="AL16" s="56" t="s">
        <v>3838</v>
      </c>
      <c r="AM16" s="60" t="s">
        <v>65</v>
      </c>
      <c r="AN16" s="60" t="s">
        <v>3860</v>
      </c>
      <c r="AO16" s="60"/>
      <c r="AP16" s="61"/>
    </row>
    <row r="17" spans="3:42" ht="14.25" customHeight="1">
      <c r="C17" s="55">
        <f>IF($X17=1,COUNTIF($C$10:C16,"&gt;0")+1,"")</f>
        <v>5</v>
      </c>
      <c r="D17" s="56">
        <v>15262309</v>
      </c>
      <c r="E17" s="56" t="s">
        <v>3831</v>
      </c>
      <c r="F17" s="57" t="s">
        <v>3865</v>
      </c>
      <c r="G17" s="56" t="s">
        <v>3865</v>
      </c>
      <c r="H17" s="56" t="s">
        <v>3866</v>
      </c>
      <c r="I17" s="56" t="s">
        <v>3867</v>
      </c>
      <c r="J17" s="56" t="s">
        <v>58</v>
      </c>
      <c r="K17" s="56" t="s">
        <v>460</v>
      </c>
      <c r="L17" s="58">
        <v>31511</v>
      </c>
      <c r="M17" s="56">
        <v>39</v>
      </c>
      <c r="N17" s="56" t="s">
        <v>3868</v>
      </c>
      <c r="O17" s="58">
        <v>48708</v>
      </c>
      <c r="P17" s="56" t="s">
        <v>4</v>
      </c>
      <c r="Q17" s="56"/>
      <c r="R17" s="162">
        <v>45913</v>
      </c>
      <c r="S17" s="163">
        <v>45918</v>
      </c>
      <c r="T17" s="164">
        <f t="shared" si="0"/>
        <v>5</v>
      </c>
      <c r="U17" s="56">
        <v>1</v>
      </c>
      <c r="V17" s="56">
        <v>1</v>
      </c>
      <c r="W17" s="56">
        <v>0</v>
      </c>
      <c r="X17" s="56">
        <v>1</v>
      </c>
      <c r="Y17" s="56">
        <v>0</v>
      </c>
      <c r="Z17" s="56">
        <v>1</v>
      </c>
      <c r="AA17" s="56">
        <v>0</v>
      </c>
      <c r="AB17" s="56"/>
      <c r="AC17" s="58">
        <v>45913</v>
      </c>
      <c r="AD17" s="59">
        <v>0.78125</v>
      </c>
      <c r="AE17" s="56" t="s">
        <v>462</v>
      </c>
      <c r="AF17" s="58">
        <v>45918</v>
      </c>
      <c r="AG17" s="59">
        <v>0.73958333333575865</v>
      </c>
      <c r="AH17" s="56" t="s">
        <v>1117</v>
      </c>
      <c r="AI17" s="56" t="s">
        <v>3836</v>
      </c>
      <c r="AJ17" s="56" t="s">
        <v>64</v>
      </c>
      <c r="AK17" s="56" t="s">
        <v>64</v>
      </c>
      <c r="AL17" s="56" t="s">
        <v>3838</v>
      </c>
      <c r="AM17" s="60" t="s">
        <v>65</v>
      </c>
      <c r="AN17" s="60" t="s">
        <v>3844</v>
      </c>
      <c r="AO17" s="60" t="s">
        <v>331</v>
      </c>
      <c r="AP17" s="61"/>
    </row>
    <row r="18" spans="3:42" ht="14.25" customHeight="1">
      <c r="C18" s="55" t="str">
        <f>IF($X18=1,COUNTIF($C$10:C17,"&gt;0")+1,"")</f>
        <v/>
      </c>
      <c r="D18" s="56"/>
      <c r="E18" s="56" t="s">
        <v>3831</v>
      </c>
      <c r="F18" s="57" t="s">
        <v>3869</v>
      </c>
      <c r="G18" s="56" t="s">
        <v>3865</v>
      </c>
      <c r="H18" s="56" t="s">
        <v>3870</v>
      </c>
      <c r="I18" s="56" t="s">
        <v>3871</v>
      </c>
      <c r="J18" s="56" t="s">
        <v>58</v>
      </c>
      <c r="K18" s="56" t="s">
        <v>460</v>
      </c>
      <c r="L18" s="58">
        <v>29067</v>
      </c>
      <c r="M18" s="56">
        <v>46</v>
      </c>
      <c r="N18" s="56" t="s">
        <v>3872</v>
      </c>
      <c r="O18" s="58">
        <v>49036</v>
      </c>
      <c r="P18" s="56" t="s">
        <v>4</v>
      </c>
      <c r="Q18" s="56"/>
      <c r="R18" s="162">
        <v>45913</v>
      </c>
      <c r="S18" s="163">
        <v>45918</v>
      </c>
      <c r="T18" s="164">
        <f t="shared" si="0"/>
        <v>5</v>
      </c>
      <c r="U18" s="56">
        <v>1</v>
      </c>
      <c r="V18" s="56">
        <v>1</v>
      </c>
      <c r="W18" s="56">
        <v>0</v>
      </c>
      <c r="X18" s="56">
        <v>0</v>
      </c>
      <c r="Y18" s="56">
        <v>0</v>
      </c>
      <c r="Z18" s="56">
        <v>0</v>
      </c>
      <c r="AA18" s="56">
        <v>0</v>
      </c>
      <c r="AB18" s="56"/>
      <c r="AC18" s="58">
        <v>45912</v>
      </c>
      <c r="AD18" s="59">
        <v>0.78125</v>
      </c>
      <c r="AE18" s="56" t="s">
        <v>462</v>
      </c>
      <c r="AF18" s="58">
        <v>45918</v>
      </c>
      <c r="AG18" s="59">
        <v>0.73958333333575865</v>
      </c>
      <c r="AH18" s="56" t="s">
        <v>1117</v>
      </c>
      <c r="AI18" s="56" t="s">
        <v>3836</v>
      </c>
      <c r="AJ18" s="56" t="s">
        <v>64</v>
      </c>
      <c r="AK18" s="56" t="s">
        <v>64</v>
      </c>
      <c r="AL18" s="56" t="s">
        <v>3838</v>
      </c>
      <c r="AM18" s="60" t="s">
        <v>65</v>
      </c>
      <c r="AN18" s="60" t="s">
        <v>3844</v>
      </c>
      <c r="AO18" s="60"/>
      <c r="AP18" s="61"/>
    </row>
    <row r="19" spans="3:42" ht="14.25" customHeight="1">
      <c r="C19" s="55">
        <f>IF($X19=1,COUNTIF($C$10:C18,"&gt;0")+1,"")</f>
        <v>6</v>
      </c>
      <c r="D19" s="56">
        <v>15262310</v>
      </c>
      <c r="E19" s="56" t="s">
        <v>3831</v>
      </c>
      <c r="F19" s="57" t="s">
        <v>3873</v>
      </c>
      <c r="G19" s="56" t="s">
        <v>3873</v>
      </c>
      <c r="H19" s="56" t="s">
        <v>3874</v>
      </c>
      <c r="I19" s="56" t="s">
        <v>3875</v>
      </c>
      <c r="J19" s="56" t="s">
        <v>68</v>
      </c>
      <c r="K19" s="56" t="s">
        <v>460</v>
      </c>
      <c r="L19" s="58">
        <v>24256</v>
      </c>
      <c r="M19" s="56">
        <v>59</v>
      </c>
      <c r="N19" s="56" t="s">
        <v>3876</v>
      </c>
      <c r="O19" s="58">
        <v>46855</v>
      </c>
      <c r="P19" s="56" t="s">
        <v>4</v>
      </c>
      <c r="Q19" s="56"/>
      <c r="R19" s="162">
        <v>45913</v>
      </c>
      <c r="S19" s="163">
        <v>45918</v>
      </c>
      <c r="T19" s="164">
        <f t="shared" si="0"/>
        <v>5</v>
      </c>
      <c r="U19" s="56">
        <v>1</v>
      </c>
      <c r="V19" s="56">
        <v>1</v>
      </c>
      <c r="W19" s="56">
        <v>0</v>
      </c>
      <c r="X19" s="56">
        <v>1</v>
      </c>
      <c r="Y19" s="56">
        <v>0</v>
      </c>
      <c r="Z19" s="56">
        <v>1</v>
      </c>
      <c r="AA19" s="56">
        <v>0</v>
      </c>
      <c r="AB19" s="56"/>
      <c r="AC19" s="69">
        <v>45913</v>
      </c>
      <c r="AD19" s="59">
        <v>0.72916666666424135</v>
      </c>
      <c r="AE19" s="56" t="s">
        <v>575</v>
      </c>
      <c r="AF19" s="58">
        <v>45918</v>
      </c>
      <c r="AG19" s="59">
        <v>0.79513888889050577</v>
      </c>
      <c r="AH19" s="56" t="s">
        <v>359</v>
      </c>
      <c r="AI19" s="56" t="s">
        <v>3836</v>
      </c>
      <c r="AJ19" s="56" t="s">
        <v>64</v>
      </c>
      <c r="AK19" s="56" t="s">
        <v>64</v>
      </c>
      <c r="AL19" s="56" t="s">
        <v>3838</v>
      </c>
      <c r="AM19" s="60" t="s">
        <v>65</v>
      </c>
      <c r="AN19" s="60" t="s">
        <v>3844</v>
      </c>
      <c r="AO19" s="60"/>
      <c r="AP19" s="61"/>
    </row>
    <row r="20" spans="3:42" ht="14.25" customHeight="1">
      <c r="C20" s="55" t="str">
        <f>IF($X20=1,COUNTIF($C$10:C19,"&gt;0")+1,"")</f>
        <v/>
      </c>
      <c r="D20" s="56"/>
      <c r="E20" s="56" t="s">
        <v>3831</v>
      </c>
      <c r="F20" s="57" t="s">
        <v>3877</v>
      </c>
      <c r="G20" s="56" t="s">
        <v>3873</v>
      </c>
      <c r="H20" s="56" t="s">
        <v>3878</v>
      </c>
      <c r="I20" s="56" t="s">
        <v>3879</v>
      </c>
      <c r="J20" s="56" t="s">
        <v>68</v>
      </c>
      <c r="K20" s="56" t="s">
        <v>59</v>
      </c>
      <c r="L20" s="58">
        <v>26083</v>
      </c>
      <c r="M20" s="56">
        <v>54</v>
      </c>
      <c r="N20" s="56" t="s">
        <v>3880</v>
      </c>
      <c r="O20" s="58">
        <v>48191</v>
      </c>
      <c r="P20" s="56" t="s">
        <v>4</v>
      </c>
      <c r="Q20" s="56"/>
      <c r="R20" s="162">
        <v>45913</v>
      </c>
      <c r="S20" s="163">
        <v>45918</v>
      </c>
      <c r="T20" s="164">
        <f t="shared" si="0"/>
        <v>5</v>
      </c>
      <c r="U20" s="56">
        <v>1</v>
      </c>
      <c r="V20" s="56">
        <v>1</v>
      </c>
      <c r="W20" s="56">
        <v>0</v>
      </c>
      <c r="X20" s="56">
        <v>0</v>
      </c>
      <c r="Y20" s="56">
        <v>0</v>
      </c>
      <c r="Z20" s="56">
        <v>0</v>
      </c>
      <c r="AA20" s="56">
        <v>0</v>
      </c>
      <c r="AB20" s="56"/>
      <c r="AC20" s="58">
        <v>45913</v>
      </c>
      <c r="AD20" s="59">
        <v>0.67013888889050577</v>
      </c>
      <c r="AE20" s="56" t="s">
        <v>234</v>
      </c>
      <c r="AF20" s="58">
        <v>45918</v>
      </c>
      <c r="AG20" s="59">
        <v>0.73958333333575865</v>
      </c>
      <c r="AH20" s="56" t="s">
        <v>1117</v>
      </c>
      <c r="AI20" s="56" t="s">
        <v>3836</v>
      </c>
      <c r="AJ20" s="56" t="s">
        <v>64</v>
      </c>
      <c r="AK20" s="56" t="s">
        <v>64</v>
      </c>
      <c r="AL20" s="56" t="s">
        <v>3838</v>
      </c>
      <c r="AM20" s="60" t="s">
        <v>65</v>
      </c>
      <c r="AN20" s="60" t="s">
        <v>3844</v>
      </c>
      <c r="AO20" s="60"/>
      <c r="AP20" s="61"/>
    </row>
    <row r="21" spans="3:42" ht="14.25" customHeight="1">
      <c r="C21" s="55">
        <f>IF($X21=1,COUNTIF($C$10:C20,"&gt;0")+1,"")</f>
        <v>7</v>
      </c>
      <c r="D21" s="56">
        <v>15262311</v>
      </c>
      <c r="E21" s="56" t="s">
        <v>3831</v>
      </c>
      <c r="F21" s="57" t="s">
        <v>3881</v>
      </c>
      <c r="G21" s="56" t="s">
        <v>3881</v>
      </c>
      <c r="H21" s="56" t="s">
        <v>3882</v>
      </c>
      <c r="I21" s="56" t="s">
        <v>3883</v>
      </c>
      <c r="J21" s="56" t="s">
        <v>58</v>
      </c>
      <c r="K21" s="56" t="s">
        <v>460</v>
      </c>
      <c r="L21" s="58">
        <v>32976</v>
      </c>
      <c r="M21" s="56">
        <v>35</v>
      </c>
      <c r="N21" s="56" t="s">
        <v>3884</v>
      </c>
      <c r="O21" s="58">
        <v>48651</v>
      </c>
      <c r="P21" s="56" t="s">
        <v>4</v>
      </c>
      <c r="Q21" s="56"/>
      <c r="R21" s="162">
        <v>45913</v>
      </c>
      <c r="S21" s="163">
        <v>45918</v>
      </c>
      <c r="T21" s="164">
        <f t="shared" si="0"/>
        <v>5</v>
      </c>
      <c r="U21" s="56">
        <v>1</v>
      </c>
      <c r="V21" s="56">
        <v>1</v>
      </c>
      <c r="W21" s="56">
        <v>0</v>
      </c>
      <c r="X21" s="56">
        <v>1</v>
      </c>
      <c r="Y21" s="56">
        <v>0</v>
      </c>
      <c r="Z21" s="56">
        <v>1</v>
      </c>
      <c r="AA21" s="56">
        <v>0</v>
      </c>
      <c r="AB21" s="56"/>
      <c r="AC21" s="58">
        <v>45912</v>
      </c>
      <c r="AD21" s="59">
        <v>0.72222222221898846</v>
      </c>
      <c r="AE21" s="56" t="s">
        <v>3885</v>
      </c>
      <c r="AF21" s="58">
        <v>45918</v>
      </c>
      <c r="AG21" s="59">
        <v>0.78125</v>
      </c>
      <c r="AH21" s="56" t="s">
        <v>1094</v>
      </c>
      <c r="AI21" s="56" t="s">
        <v>3836</v>
      </c>
      <c r="AJ21" s="56" t="s">
        <v>64</v>
      </c>
      <c r="AK21" s="56" t="s">
        <v>64</v>
      </c>
      <c r="AL21" s="56" t="s">
        <v>3838</v>
      </c>
      <c r="AM21" s="60" t="s">
        <v>65</v>
      </c>
      <c r="AN21" s="60" t="s">
        <v>3844</v>
      </c>
      <c r="AO21" s="60"/>
      <c r="AP21" s="61"/>
    </row>
    <row r="22" spans="3:42" ht="14.25" customHeight="1">
      <c r="C22" s="55" t="str">
        <f>IF($X22=1,COUNTIF($C$10:C21,"&gt;0")+1,"")</f>
        <v/>
      </c>
      <c r="D22" s="56"/>
      <c r="E22" s="56" t="s">
        <v>3831</v>
      </c>
      <c r="F22" s="57" t="s">
        <v>3886</v>
      </c>
      <c r="G22" s="56" t="s">
        <v>3881</v>
      </c>
      <c r="H22" s="56" t="s">
        <v>3887</v>
      </c>
      <c r="I22" s="56" t="s">
        <v>3883</v>
      </c>
      <c r="J22" s="56" t="s">
        <v>68</v>
      </c>
      <c r="K22" s="56" t="s">
        <v>3888</v>
      </c>
      <c r="L22" s="58">
        <v>34481</v>
      </c>
      <c r="M22" s="56">
        <v>31</v>
      </c>
      <c r="N22" s="56" t="s">
        <v>3889</v>
      </c>
      <c r="O22" s="58">
        <v>49324</v>
      </c>
      <c r="P22" s="56" t="s">
        <v>4</v>
      </c>
      <c r="Q22" s="56"/>
      <c r="R22" s="162">
        <v>45913</v>
      </c>
      <c r="S22" s="163">
        <v>45918</v>
      </c>
      <c r="T22" s="164">
        <f t="shared" si="0"/>
        <v>5</v>
      </c>
      <c r="U22" s="56">
        <v>1</v>
      </c>
      <c r="V22" s="56">
        <v>1</v>
      </c>
      <c r="W22" s="56">
        <v>0</v>
      </c>
      <c r="X22" s="56">
        <v>0</v>
      </c>
      <c r="Y22" s="56">
        <v>0</v>
      </c>
      <c r="Z22" s="56">
        <v>0</v>
      </c>
      <c r="AA22" s="56">
        <v>0</v>
      </c>
      <c r="AB22" s="56"/>
      <c r="AC22" s="58">
        <v>45912</v>
      </c>
      <c r="AD22" s="59">
        <v>0.72222222221898846</v>
      </c>
      <c r="AE22" s="56" t="s">
        <v>3885</v>
      </c>
      <c r="AF22" s="58">
        <v>45918</v>
      </c>
      <c r="AG22" s="59">
        <v>0.78125</v>
      </c>
      <c r="AH22" s="56" t="s">
        <v>1094</v>
      </c>
      <c r="AI22" s="56" t="s">
        <v>3836</v>
      </c>
      <c r="AJ22" s="56" t="s">
        <v>64</v>
      </c>
      <c r="AK22" s="56" t="s">
        <v>64</v>
      </c>
      <c r="AL22" s="56" t="s">
        <v>3838</v>
      </c>
      <c r="AM22" s="60" t="s">
        <v>65</v>
      </c>
      <c r="AN22" s="60" t="s">
        <v>3844</v>
      </c>
      <c r="AO22" s="60"/>
      <c r="AP22" s="61"/>
    </row>
    <row r="23" spans="3:42" ht="14.25" customHeight="1">
      <c r="C23" s="55" t="str">
        <f>IF($X23=1,COUNTIF($C$10:C22,"&gt;0")+1,"")</f>
        <v/>
      </c>
      <c r="D23" s="56"/>
      <c r="E23" s="56" t="s">
        <v>3831</v>
      </c>
      <c r="F23" s="57" t="s">
        <v>3890</v>
      </c>
      <c r="G23" s="56" t="s">
        <v>3881</v>
      </c>
      <c r="H23" s="56" t="s">
        <v>3891</v>
      </c>
      <c r="I23" s="56" t="s">
        <v>3883</v>
      </c>
      <c r="J23" s="56" t="s">
        <v>58</v>
      </c>
      <c r="K23" s="56" t="s">
        <v>460</v>
      </c>
      <c r="L23" s="58">
        <v>45522</v>
      </c>
      <c r="M23" s="56">
        <v>1</v>
      </c>
      <c r="N23" s="56" t="s">
        <v>3892</v>
      </c>
      <c r="O23" s="58">
        <v>47479</v>
      </c>
      <c r="P23" s="56" t="s">
        <v>4</v>
      </c>
      <c r="Q23" s="56"/>
      <c r="R23" s="162">
        <v>45913</v>
      </c>
      <c r="S23" s="163">
        <v>45918</v>
      </c>
      <c r="T23" s="164">
        <f t="shared" si="0"/>
        <v>5</v>
      </c>
      <c r="U23" s="56">
        <v>0</v>
      </c>
      <c r="V23" s="56">
        <v>0</v>
      </c>
      <c r="W23" s="56">
        <v>0</v>
      </c>
      <c r="X23" s="56">
        <v>0</v>
      </c>
      <c r="Y23" s="56">
        <v>0</v>
      </c>
      <c r="Z23" s="56">
        <v>0</v>
      </c>
      <c r="AA23" s="56">
        <v>0</v>
      </c>
      <c r="AB23" s="56"/>
      <c r="AC23" s="58">
        <v>45912</v>
      </c>
      <c r="AD23" s="59">
        <v>0.72222222221898846</v>
      </c>
      <c r="AE23" s="56" t="s">
        <v>3885</v>
      </c>
      <c r="AF23" s="58">
        <v>45918</v>
      </c>
      <c r="AG23" s="59">
        <v>0.78125</v>
      </c>
      <c r="AH23" s="56" t="s">
        <v>1094</v>
      </c>
      <c r="AI23" s="56" t="s">
        <v>3836</v>
      </c>
      <c r="AJ23" s="56" t="s">
        <v>64</v>
      </c>
      <c r="AK23" s="56" t="s">
        <v>64</v>
      </c>
      <c r="AL23" s="56" t="s">
        <v>3838</v>
      </c>
      <c r="AM23" s="60" t="s">
        <v>65</v>
      </c>
      <c r="AN23" s="60" t="s">
        <v>3844</v>
      </c>
      <c r="AO23" s="60"/>
      <c r="AP23" s="61"/>
    </row>
    <row r="24" spans="3:42" ht="14.25" customHeight="1">
      <c r="C24" s="55">
        <f>IF($X24=1,COUNTIF($C$10:C23,"&gt;0")+1,"")</f>
        <v>8</v>
      </c>
      <c r="D24" s="56">
        <v>15262312</v>
      </c>
      <c r="E24" s="56" t="s">
        <v>3831</v>
      </c>
      <c r="F24" s="57" t="s">
        <v>3893</v>
      </c>
      <c r="G24" s="56" t="s">
        <v>3893</v>
      </c>
      <c r="H24" s="56" t="s">
        <v>3894</v>
      </c>
      <c r="I24" s="56" t="s">
        <v>3895</v>
      </c>
      <c r="J24" s="56" t="s">
        <v>58</v>
      </c>
      <c r="K24" s="56" t="s">
        <v>460</v>
      </c>
      <c r="L24" s="58">
        <v>35054</v>
      </c>
      <c r="M24" s="56">
        <v>29</v>
      </c>
      <c r="N24" s="56" t="s">
        <v>3896</v>
      </c>
      <c r="O24" s="58">
        <v>48841</v>
      </c>
      <c r="P24" s="56" t="s">
        <v>5</v>
      </c>
      <c r="Q24" s="56"/>
      <c r="R24" s="162">
        <v>45913</v>
      </c>
      <c r="S24" s="163">
        <v>45918</v>
      </c>
      <c r="T24" s="164">
        <f t="shared" si="0"/>
        <v>5</v>
      </c>
      <c r="U24" s="56">
        <v>1</v>
      </c>
      <c r="V24" s="56">
        <v>1</v>
      </c>
      <c r="W24" s="56">
        <v>0</v>
      </c>
      <c r="X24" s="56">
        <v>1</v>
      </c>
      <c r="Y24" s="56">
        <v>0</v>
      </c>
      <c r="Z24" s="56">
        <v>0</v>
      </c>
      <c r="AA24" s="56">
        <v>1</v>
      </c>
      <c r="AB24" s="56"/>
      <c r="AC24" s="58">
        <v>45913</v>
      </c>
      <c r="AD24" s="59">
        <v>0.78125</v>
      </c>
      <c r="AE24" s="56" t="s">
        <v>462</v>
      </c>
      <c r="AF24" s="58">
        <v>45918</v>
      </c>
      <c r="AG24" s="59">
        <v>0.5</v>
      </c>
      <c r="AH24" s="56" t="s">
        <v>2915</v>
      </c>
      <c r="AI24" s="56" t="s">
        <v>3836</v>
      </c>
      <c r="AJ24" s="56" t="s">
        <v>64</v>
      </c>
      <c r="AK24" s="56" t="s">
        <v>64</v>
      </c>
      <c r="AL24" s="56" t="s">
        <v>3838</v>
      </c>
      <c r="AM24" s="60" t="s">
        <v>65</v>
      </c>
      <c r="AN24" s="60" t="s">
        <v>3860</v>
      </c>
      <c r="AO24" s="60" t="s">
        <v>331</v>
      </c>
      <c r="AP24" s="61"/>
    </row>
    <row r="25" spans="3:42" ht="14.25" customHeight="1">
      <c r="C25" s="55" t="str">
        <f>IF($X25=1,COUNTIF($C$10:C24,"&gt;0")+1,"")</f>
        <v/>
      </c>
      <c r="D25" s="56"/>
      <c r="E25" s="56" t="s">
        <v>3831</v>
      </c>
      <c r="F25" s="57" t="s">
        <v>3897</v>
      </c>
      <c r="G25" s="56" t="s">
        <v>3893</v>
      </c>
      <c r="H25" s="56" t="s">
        <v>3898</v>
      </c>
      <c r="I25" s="56" t="s">
        <v>3899</v>
      </c>
      <c r="J25" s="56" t="s">
        <v>58</v>
      </c>
      <c r="K25" s="56" t="s">
        <v>3888</v>
      </c>
      <c r="L25" s="58">
        <v>34621</v>
      </c>
      <c r="M25" s="56">
        <v>30</v>
      </c>
      <c r="N25" s="56" t="s">
        <v>3900</v>
      </c>
      <c r="O25" s="58">
        <v>46501</v>
      </c>
      <c r="P25" s="56" t="s">
        <v>5</v>
      </c>
      <c r="Q25" s="56"/>
      <c r="R25" s="162">
        <v>45913</v>
      </c>
      <c r="S25" s="163">
        <v>45918</v>
      </c>
      <c r="T25" s="164">
        <f t="shared" si="0"/>
        <v>5</v>
      </c>
      <c r="U25" s="56">
        <v>1</v>
      </c>
      <c r="V25" s="56">
        <v>1</v>
      </c>
      <c r="W25" s="56">
        <v>0</v>
      </c>
      <c r="X25" s="56">
        <v>0</v>
      </c>
      <c r="Y25" s="56">
        <v>0</v>
      </c>
      <c r="Z25" s="56">
        <v>0</v>
      </c>
      <c r="AA25" s="56">
        <v>0</v>
      </c>
      <c r="AB25" s="56"/>
      <c r="AC25" s="58">
        <v>45913</v>
      </c>
      <c r="AD25" s="59">
        <v>0.78125</v>
      </c>
      <c r="AE25" s="56" t="s">
        <v>462</v>
      </c>
      <c r="AF25" s="58">
        <v>45918</v>
      </c>
      <c r="AG25" s="59">
        <v>0.86458333333575865</v>
      </c>
      <c r="AH25" s="56" t="s">
        <v>463</v>
      </c>
      <c r="AI25" s="56" t="s">
        <v>3836</v>
      </c>
      <c r="AJ25" s="56" t="s">
        <v>64</v>
      </c>
      <c r="AK25" s="56" t="s">
        <v>64</v>
      </c>
      <c r="AL25" s="56" t="s">
        <v>3838</v>
      </c>
      <c r="AM25" s="60" t="s">
        <v>65</v>
      </c>
      <c r="AN25" s="60" t="s">
        <v>3860</v>
      </c>
      <c r="AO25" s="60" t="s">
        <v>331</v>
      </c>
      <c r="AP25" s="61"/>
    </row>
    <row r="26" spans="3:42" ht="14.25" customHeight="1">
      <c r="C26" s="55">
        <f>IF($X26=1,COUNTIF($C$10:C25,"&gt;0")+1,"")</f>
        <v>9</v>
      </c>
      <c r="D26" s="56">
        <v>15262313</v>
      </c>
      <c r="E26" s="56" t="s">
        <v>3831</v>
      </c>
      <c r="F26" s="57" t="s">
        <v>3901</v>
      </c>
      <c r="G26" s="56" t="s">
        <v>3901</v>
      </c>
      <c r="H26" s="56" t="s">
        <v>3902</v>
      </c>
      <c r="I26" s="56" t="s">
        <v>3903</v>
      </c>
      <c r="J26" s="56" t="s">
        <v>58</v>
      </c>
      <c r="K26" s="56" t="s">
        <v>460</v>
      </c>
      <c r="L26" s="58">
        <v>25615</v>
      </c>
      <c r="M26" s="56">
        <v>55</v>
      </c>
      <c r="N26" s="56" t="s">
        <v>3904</v>
      </c>
      <c r="O26" s="58">
        <v>46137</v>
      </c>
      <c r="P26" s="56" t="s">
        <v>4</v>
      </c>
      <c r="Q26" s="56"/>
      <c r="R26" s="162">
        <v>45913</v>
      </c>
      <c r="S26" s="163">
        <v>45918</v>
      </c>
      <c r="T26" s="164">
        <f t="shared" si="0"/>
        <v>5</v>
      </c>
      <c r="U26" s="56">
        <v>1</v>
      </c>
      <c r="V26" s="56">
        <v>1</v>
      </c>
      <c r="W26" s="56">
        <v>0</v>
      </c>
      <c r="X26" s="56">
        <v>1</v>
      </c>
      <c r="Y26" s="56">
        <v>0</v>
      </c>
      <c r="Z26" s="56">
        <v>1</v>
      </c>
      <c r="AA26" s="56">
        <v>0</v>
      </c>
      <c r="AB26" s="56"/>
      <c r="AC26" s="58">
        <v>45913</v>
      </c>
      <c r="AD26" s="59">
        <v>0.78125</v>
      </c>
      <c r="AE26" s="56" t="s">
        <v>462</v>
      </c>
      <c r="AF26" s="58">
        <v>45918</v>
      </c>
      <c r="AG26" s="59">
        <v>0.86458333333575865</v>
      </c>
      <c r="AH26" s="56" t="s">
        <v>463</v>
      </c>
      <c r="AI26" s="56" t="s">
        <v>3836</v>
      </c>
      <c r="AJ26" s="56" t="s">
        <v>64</v>
      </c>
      <c r="AK26" s="56" t="s">
        <v>64</v>
      </c>
      <c r="AL26" s="56" t="s">
        <v>3838</v>
      </c>
      <c r="AM26" s="60" t="s">
        <v>65</v>
      </c>
      <c r="AN26" s="60" t="s">
        <v>3844</v>
      </c>
      <c r="AO26" s="60" t="s">
        <v>331</v>
      </c>
      <c r="AP26" s="61"/>
    </row>
    <row r="27" spans="3:42" ht="14.25" customHeight="1">
      <c r="C27" s="55" t="str">
        <f>IF($X27=1,COUNTIF($C$10:C26,"&gt;0")+1,"")</f>
        <v/>
      </c>
      <c r="D27" s="56"/>
      <c r="E27" s="56" t="s">
        <v>3831</v>
      </c>
      <c r="F27" s="57" t="s">
        <v>3905</v>
      </c>
      <c r="G27" s="56" t="s">
        <v>3901</v>
      </c>
      <c r="H27" s="56" t="s">
        <v>3906</v>
      </c>
      <c r="I27" s="56" t="s">
        <v>3903</v>
      </c>
      <c r="J27" s="56" t="s">
        <v>68</v>
      </c>
      <c r="K27" s="56" t="s">
        <v>460</v>
      </c>
      <c r="L27" s="58">
        <v>28461</v>
      </c>
      <c r="M27" s="56">
        <v>47</v>
      </c>
      <c r="N27" s="56" t="s">
        <v>3907</v>
      </c>
      <c r="O27" s="58">
        <v>46427</v>
      </c>
      <c r="P27" s="56" t="s">
        <v>4</v>
      </c>
      <c r="Q27" s="56"/>
      <c r="R27" s="162">
        <v>45913</v>
      </c>
      <c r="S27" s="163">
        <v>45918</v>
      </c>
      <c r="T27" s="164">
        <f t="shared" si="0"/>
        <v>5</v>
      </c>
      <c r="U27" s="56">
        <v>1</v>
      </c>
      <c r="V27" s="56">
        <v>1</v>
      </c>
      <c r="W27" s="56">
        <v>0</v>
      </c>
      <c r="X27" s="56">
        <v>0</v>
      </c>
      <c r="Y27" s="56">
        <v>0</v>
      </c>
      <c r="Z27" s="56">
        <v>0</v>
      </c>
      <c r="AA27" s="56">
        <v>0</v>
      </c>
      <c r="AB27" s="56"/>
      <c r="AC27" s="58">
        <v>45913</v>
      </c>
      <c r="AD27" s="59">
        <v>0.78125</v>
      </c>
      <c r="AE27" s="56" t="s">
        <v>462</v>
      </c>
      <c r="AF27" s="58">
        <v>45918</v>
      </c>
      <c r="AG27" s="59">
        <v>0.86458333333575865</v>
      </c>
      <c r="AH27" s="56" t="s">
        <v>463</v>
      </c>
      <c r="AI27" s="56" t="s">
        <v>3836</v>
      </c>
      <c r="AJ27" s="56" t="s">
        <v>64</v>
      </c>
      <c r="AK27" s="56" t="s">
        <v>64</v>
      </c>
      <c r="AL27" s="56" t="s">
        <v>3838</v>
      </c>
      <c r="AM27" s="60" t="s">
        <v>65</v>
      </c>
      <c r="AN27" s="60" t="s">
        <v>3844</v>
      </c>
      <c r="AO27" s="60" t="s">
        <v>331</v>
      </c>
      <c r="AP27" s="61"/>
    </row>
    <row r="28" spans="3:42" ht="14.25" customHeight="1">
      <c r="C28" s="55">
        <f>IF($X28=1,COUNTIF($C$10:C27,"&gt;0")+1,"")</f>
        <v>10</v>
      </c>
      <c r="D28" s="56">
        <v>15262314</v>
      </c>
      <c r="E28" s="56" t="s">
        <v>3831</v>
      </c>
      <c r="F28" s="57" t="s">
        <v>3908</v>
      </c>
      <c r="G28" s="56" t="s">
        <v>3908</v>
      </c>
      <c r="H28" s="56" t="s">
        <v>3909</v>
      </c>
      <c r="I28" s="56" t="s">
        <v>3910</v>
      </c>
      <c r="J28" s="56" t="s">
        <v>68</v>
      </c>
      <c r="K28" s="56" t="s">
        <v>59</v>
      </c>
      <c r="L28" s="58">
        <v>22368</v>
      </c>
      <c r="M28" s="56">
        <v>64</v>
      </c>
      <c r="N28" s="56" t="s">
        <v>3911</v>
      </c>
      <c r="O28" s="58">
        <v>46804</v>
      </c>
      <c r="P28" s="56" t="s">
        <v>4</v>
      </c>
      <c r="Q28" s="56"/>
      <c r="R28" s="162">
        <v>45913</v>
      </c>
      <c r="S28" s="163">
        <v>45918</v>
      </c>
      <c r="T28" s="164">
        <f t="shared" si="0"/>
        <v>5</v>
      </c>
      <c r="U28" s="56">
        <v>1</v>
      </c>
      <c r="V28" s="56">
        <v>1</v>
      </c>
      <c r="W28" s="56">
        <v>0</v>
      </c>
      <c r="X28" s="56">
        <v>1</v>
      </c>
      <c r="Y28" s="56">
        <v>0</v>
      </c>
      <c r="Z28" s="56">
        <v>1</v>
      </c>
      <c r="AA28" s="56">
        <v>0</v>
      </c>
      <c r="AB28" s="56"/>
      <c r="AC28" s="58">
        <v>45913</v>
      </c>
      <c r="AD28" s="59">
        <v>0.59027777778101154</v>
      </c>
      <c r="AE28" s="56" t="s">
        <v>547</v>
      </c>
      <c r="AF28" s="58">
        <v>45921</v>
      </c>
      <c r="AG28" s="59">
        <v>0.68402777778101154</v>
      </c>
      <c r="AH28" s="56" t="s">
        <v>274</v>
      </c>
      <c r="AI28" s="56" t="s">
        <v>3836</v>
      </c>
      <c r="AJ28" s="56" t="s">
        <v>64</v>
      </c>
      <c r="AK28" s="56" t="s">
        <v>64</v>
      </c>
      <c r="AL28" s="56" t="s">
        <v>3838</v>
      </c>
      <c r="AM28" s="60" t="s">
        <v>65</v>
      </c>
      <c r="AN28" s="60" t="s">
        <v>3844</v>
      </c>
      <c r="AO28" s="60"/>
      <c r="AP28" s="61"/>
    </row>
    <row r="29" spans="3:42" ht="14.25" customHeight="1">
      <c r="C29" s="55" t="str">
        <f>IF($X29=1,COUNTIF($C$10:C28,"&gt;0")+1,"")</f>
        <v/>
      </c>
      <c r="D29" s="56"/>
      <c r="E29" s="56" t="s">
        <v>3831</v>
      </c>
      <c r="F29" s="57" t="s">
        <v>3912</v>
      </c>
      <c r="G29" s="56" t="s">
        <v>3908</v>
      </c>
      <c r="H29" s="56" t="s">
        <v>3913</v>
      </c>
      <c r="I29" s="56" t="s">
        <v>3910</v>
      </c>
      <c r="J29" s="56" t="s">
        <v>58</v>
      </c>
      <c r="K29" s="56" t="s">
        <v>59</v>
      </c>
      <c r="L29" s="58">
        <v>20584</v>
      </c>
      <c r="M29" s="56">
        <v>69</v>
      </c>
      <c r="N29" s="56" t="s">
        <v>3914</v>
      </c>
      <c r="O29" s="58">
        <v>46837</v>
      </c>
      <c r="P29" s="56" t="s">
        <v>4</v>
      </c>
      <c r="Q29" s="56"/>
      <c r="R29" s="162">
        <v>45913</v>
      </c>
      <c r="S29" s="163">
        <v>45918</v>
      </c>
      <c r="T29" s="164">
        <f t="shared" si="0"/>
        <v>5</v>
      </c>
      <c r="U29" s="56">
        <v>1</v>
      </c>
      <c r="V29" s="56">
        <v>1</v>
      </c>
      <c r="W29" s="56">
        <v>0</v>
      </c>
      <c r="X29" s="56">
        <v>0</v>
      </c>
      <c r="Y29" s="56">
        <v>0</v>
      </c>
      <c r="Z29" s="56">
        <v>0</v>
      </c>
      <c r="AA29" s="56">
        <v>0</v>
      </c>
      <c r="AB29" s="56"/>
      <c r="AC29" s="58">
        <v>45913</v>
      </c>
      <c r="AD29" s="59">
        <v>0.59027777778101154</v>
      </c>
      <c r="AE29" s="56" t="s">
        <v>547</v>
      </c>
      <c r="AF29" s="58">
        <v>45921</v>
      </c>
      <c r="AG29" s="59">
        <v>0.68402777778101154</v>
      </c>
      <c r="AH29" s="56" t="s">
        <v>274</v>
      </c>
      <c r="AI29" s="56" t="s">
        <v>3836</v>
      </c>
      <c r="AJ29" s="56" t="s">
        <v>64</v>
      </c>
      <c r="AK29" s="56" t="s">
        <v>64</v>
      </c>
      <c r="AL29" s="56" t="s">
        <v>3838</v>
      </c>
      <c r="AM29" s="60" t="s">
        <v>65</v>
      </c>
      <c r="AN29" s="60" t="s">
        <v>3844</v>
      </c>
      <c r="AO29" s="60"/>
      <c r="AP29" s="61"/>
    </row>
    <row r="30" spans="3:42" ht="14.25" customHeight="1">
      <c r="C30" s="55">
        <f>IF($X30=1,COUNTIF($C$10:C29,"&gt;0")+1,"")</f>
        <v>11</v>
      </c>
      <c r="D30" s="56">
        <v>15262315</v>
      </c>
      <c r="E30" s="56" t="s">
        <v>3831</v>
      </c>
      <c r="F30" s="57" t="s">
        <v>3915</v>
      </c>
      <c r="G30" s="56" t="s">
        <v>3908</v>
      </c>
      <c r="H30" s="56" t="s">
        <v>3916</v>
      </c>
      <c r="I30" s="56" t="s">
        <v>3917</v>
      </c>
      <c r="J30" s="56" t="s">
        <v>58</v>
      </c>
      <c r="K30" s="56" t="s">
        <v>59</v>
      </c>
      <c r="L30" s="58">
        <v>27084</v>
      </c>
      <c r="M30" s="56">
        <v>51</v>
      </c>
      <c r="N30" s="56" t="s">
        <v>3918</v>
      </c>
      <c r="O30" s="58">
        <v>46980</v>
      </c>
      <c r="P30" s="56" t="s">
        <v>4</v>
      </c>
      <c r="Q30" s="56"/>
      <c r="R30" s="162">
        <v>45913</v>
      </c>
      <c r="S30" s="163">
        <v>45918</v>
      </c>
      <c r="T30" s="164">
        <f t="shared" si="0"/>
        <v>5</v>
      </c>
      <c r="U30" s="56">
        <v>1</v>
      </c>
      <c r="V30" s="56">
        <v>1</v>
      </c>
      <c r="W30" s="56">
        <v>0</v>
      </c>
      <c r="X30" s="56">
        <v>1</v>
      </c>
      <c r="Y30" s="56">
        <v>0</v>
      </c>
      <c r="Z30" s="56">
        <v>1</v>
      </c>
      <c r="AA30" s="56">
        <v>0</v>
      </c>
      <c r="AB30" s="56"/>
      <c r="AC30" s="58">
        <v>45913</v>
      </c>
      <c r="AD30" s="59">
        <v>0.625</v>
      </c>
      <c r="AE30" s="56" t="s">
        <v>74</v>
      </c>
      <c r="AF30" s="58">
        <v>45921</v>
      </c>
      <c r="AG30" s="59">
        <v>0.47916666666424135</v>
      </c>
      <c r="AH30" s="56" t="s">
        <v>189</v>
      </c>
      <c r="AI30" s="56" t="s">
        <v>3836</v>
      </c>
      <c r="AJ30" s="56" t="s">
        <v>64</v>
      </c>
      <c r="AK30" s="56" t="s">
        <v>64</v>
      </c>
      <c r="AL30" s="56" t="s">
        <v>3838</v>
      </c>
      <c r="AM30" s="60" t="s">
        <v>65</v>
      </c>
      <c r="AN30" s="60" t="s">
        <v>3844</v>
      </c>
      <c r="AO30" s="60"/>
      <c r="AP30" s="61"/>
    </row>
    <row r="31" spans="3:42" ht="14.25" customHeight="1">
      <c r="C31" s="55" t="str">
        <f>IF($X31=1,COUNTIF($C$10:C30,"&gt;0")+1,"")</f>
        <v/>
      </c>
      <c r="D31" s="56"/>
      <c r="E31" s="56" t="s">
        <v>3831</v>
      </c>
      <c r="F31" s="57" t="s">
        <v>3919</v>
      </c>
      <c r="G31" s="56" t="s">
        <v>3908</v>
      </c>
      <c r="H31" s="56" t="s">
        <v>3920</v>
      </c>
      <c r="I31" s="56" t="s">
        <v>3921</v>
      </c>
      <c r="J31" s="56" t="s">
        <v>68</v>
      </c>
      <c r="K31" s="56" t="s">
        <v>59</v>
      </c>
      <c r="L31" s="58">
        <v>27875</v>
      </c>
      <c r="M31" s="56">
        <v>49</v>
      </c>
      <c r="N31" s="56" t="s">
        <v>3922</v>
      </c>
      <c r="O31" s="58">
        <v>46980</v>
      </c>
      <c r="P31" s="56" t="s">
        <v>4</v>
      </c>
      <c r="Q31" s="56"/>
      <c r="R31" s="162">
        <v>45913</v>
      </c>
      <c r="S31" s="163">
        <v>45918</v>
      </c>
      <c r="T31" s="164">
        <f t="shared" si="0"/>
        <v>5</v>
      </c>
      <c r="U31" s="56">
        <v>1</v>
      </c>
      <c r="V31" s="56">
        <v>1</v>
      </c>
      <c r="W31" s="56">
        <v>0</v>
      </c>
      <c r="X31" s="56">
        <v>0</v>
      </c>
      <c r="Y31" s="56">
        <v>0</v>
      </c>
      <c r="Z31" s="56">
        <v>0</v>
      </c>
      <c r="AA31" s="56">
        <v>0</v>
      </c>
      <c r="AB31" s="56"/>
      <c r="AC31" s="58">
        <v>45913</v>
      </c>
      <c r="AD31" s="59">
        <v>0.625</v>
      </c>
      <c r="AE31" s="56" t="s">
        <v>74</v>
      </c>
      <c r="AF31" s="58">
        <v>45921</v>
      </c>
      <c r="AG31" s="59">
        <v>0.47916666666424135</v>
      </c>
      <c r="AH31" s="56" t="s">
        <v>189</v>
      </c>
      <c r="AI31" s="56" t="s">
        <v>3836</v>
      </c>
      <c r="AJ31" s="56" t="s">
        <v>64</v>
      </c>
      <c r="AK31" s="56" t="s">
        <v>64</v>
      </c>
      <c r="AL31" s="56" t="s">
        <v>3838</v>
      </c>
      <c r="AM31" s="60" t="s">
        <v>65</v>
      </c>
      <c r="AN31" s="60" t="s">
        <v>3844</v>
      </c>
      <c r="AO31" s="60"/>
      <c r="AP31" s="61"/>
    </row>
    <row r="32" spans="3:42" ht="14.25" customHeight="1">
      <c r="C32" s="55">
        <f>IF($X32=1,COUNTIF($C$10:C31,"&gt;0")+1,"")</f>
        <v>12</v>
      </c>
      <c r="D32" s="56">
        <v>15262316</v>
      </c>
      <c r="E32" s="56" t="s">
        <v>3831</v>
      </c>
      <c r="F32" s="57" t="s">
        <v>3923</v>
      </c>
      <c r="G32" s="56" t="s">
        <v>3908</v>
      </c>
      <c r="H32" s="56" t="s">
        <v>3924</v>
      </c>
      <c r="I32" s="56" t="s">
        <v>3925</v>
      </c>
      <c r="J32" s="56" t="s">
        <v>68</v>
      </c>
      <c r="K32" s="56" t="s">
        <v>59</v>
      </c>
      <c r="L32" s="58">
        <v>23105</v>
      </c>
      <c r="M32" s="56">
        <v>62</v>
      </c>
      <c r="N32" s="56" t="s">
        <v>3926</v>
      </c>
      <c r="O32" s="58">
        <v>47253</v>
      </c>
      <c r="P32" s="56" t="s">
        <v>5</v>
      </c>
      <c r="Q32" s="56"/>
      <c r="R32" s="162">
        <v>45913</v>
      </c>
      <c r="S32" s="163">
        <v>45918</v>
      </c>
      <c r="T32" s="164">
        <f t="shared" si="0"/>
        <v>5</v>
      </c>
      <c r="U32" s="56">
        <v>1</v>
      </c>
      <c r="V32" s="56">
        <v>1</v>
      </c>
      <c r="W32" s="56">
        <v>0</v>
      </c>
      <c r="X32" s="56">
        <v>1</v>
      </c>
      <c r="Y32" s="56">
        <v>0</v>
      </c>
      <c r="Z32" s="56">
        <v>0</v>
      </c>
      <c r="AA32" s="56">
        <v>1</v>
      </c>
      <c r="AB32" s="56"/>
      <c r="AC32" s="58">
        <v>45913</v>
      </c>
      <c r="AD32" s="59">
        <v>0.625</v>
      </c>
      <c r="AE32" s="56" t="s">
        <v>74</v>
      </c>
      <c r="AF32" s="58">
        <v>45921</v>
      </c>
      <c r="AG32" s="59">
        <v>0.47916666666424135</v>
      </c>
      <c r="AH32" s="56" t="s">
        <v>189</v>
      </c>
      <c r="AI32" s="56" t="s">
        <v>3836</v>
      </c>
      <c r="AJ32" s="56" t="s">
        <v>64</v>
      </c>
      <c r="AK32" s="56" t="s">
        <v>64</v>
      </c>
      <c r="AL32" s="56" t="s">
        <v>3838</v>
      </c>
      <c r="AM32" s="60" t="s">
        <v>65</v>
      </c>
      <c r="AN32" s="60" t="s">
        <v>3860</v>
      </c>
      <c r="AO32" s="60"/>
      <c r="AP32" s="61"/>
    </row>
    <row r="33" spans="3:42" ht="14.25" customHeight="1">
      <c r="C33" s="55" t="str">
        <f>IF($X33=1,COUNTIF($C$10:C32,"&gt;0")+1,"")</f>
        <v/>
      </c>
      <c r="D33" s="56"/>
      <c r="E33" s="56" t="s">
        <v>3831</v>
      </c>
      <c r="F33" s="57" t="s">
        <v>3927</v>
      </c>
      <c r="G33" s="56" t="s">
        <v>3908</v>
      </c>
      <c r="H33" s="56" t="s">
        <v>3928</v>
      </c>
      <c r="I33" s="56" t="s">
        <v>3929</v>
      </c>
      <c r="J33" s="56" t="s">
        <v>68</v>
      </c>
      <c r="K33" s="56" t="s">
        <v>59</v>
      </c>
      <c r="L33" s="58">
        <v>25799</v>
      </c>
      <c r="M33" s="56">
        <v>55</v>
      </c>
      <c r="N33" s="56" t="s">
        <v>3930</v>
      </c>
      <c r="O33" s="58">
        <v>46826</v>
      </c>
      <c r="P33" s="56" t="s">
        <v>5</v>
      </c>
      <c r="Q33" s="56"/>
      <c r="R33" s="162">
        <v>45913</v>
      </c>
      <c r="S33" s="163">
        <v>45918</v>
      </c>
      <c r="T33" s="164">
        <f t="shared" si="0"/>
        <v>5</v>
      </c>
      <c r="U33" s="56">
        <v>1</v>
      </c>
      <c r="V33" s="56">
        <v>1</v>
      </c>
      <c r="W33" s="56">
        <v>0</v>
      </c>
      <c r="X33" s="56">
        <v>0</v>
      </c>
      <c r="Y33" s="56">
        <v>0</v>
      </c>
      <c r="Z33" s="56">
        <v>0</v>
      </c>
      <c r="AA33" s="56">
        <v>0</v>
      </c>
      <c r="AB33" s="56"/>
      <c r="AC33" s="58">
        <v>45913</v>
      </c>
      <c r="AD33" s="59">
        <v>0.72222222221898846</v>
      </c>
      <c r="AE33" s="56" t="s">
        <v>164</v>
      </c>
      <c r="AF33" s="58">
        <v>45921</v>
      </c>
      <c r="AG33" s="59">
        <v>0.66666666666424135</v>
      </c>
      <c r="AH33" s="56" t="s">
        <v>165</v>
      </c>
      <c r="AI33" s="56" t="s">
        <v>3836</v>
      </c>
      <c r="AJ33" s="56" t="s">
        <v>64</v>
      </c>
      <c r="AK33" s="56" t="s">
        <v>64</v>
      </c>
      <c r="AL33" s="56" t="s">
        <v>3838</v>
      </c>
      <c r="AM33" s="60" t="s">
        <v>65</v>
      </c>
      <c r="AN33" s="60" t="s">
        <v>3860</v>
      </c>
      <c r="AO33" s="60"/>
      <c r="AP33" s="61"/>
    </row>
    <row r="34" spans="3:42" ht="14.25" customHeight="1">
      <c r="C34" s="55">
        <f>IF($X34=1,COUNTIF($C$10:C33,"&gt;0")+1,"")</f>
        <v>13</v>
      </c>
      <c r="D34" s="56">
        <v>15262317</v>
      </c>
      <c r="E34" s="56" t="s">
        <v>3831</v>
      </c>
      <c r="F34" s="57" t="s">
        <v>3931</v>
      </c>
      <c r="G34" s="56" t="s">
        <v>3931</v>
      </c>
      <c r="H34" s="56" t="s">
        <v>3932</v>
      </c>
      <c r="I34" s="56" t="s">
        <v>3933</v>
      </c>
      <c r="J34" s="56" t="s">
        <v>68</v>
      </c>
      <c r="K34" s="56" t="s">
        <v>460</v>
      </c>
      <c r="L34" s="58">
        <v>26104</v>
      </c>
      <c r="M34" s="56">
        <v>54</v>
      </c>
      <c r="N34" s="56" t="s">
        <v>3934</v>
      </c>
      <c r="O34" s="58">
        <v>49362</v>
      </c>
      <c r="P34" s="56" t="s">
        <v>4</v>
      </c>
      <c r="Q34" s="56"/>
      <c r="R34" s="162">
        <v>45913</v>
      </c>
      <c r="S34" s="163">
        <v>45918</v>
      </c>
      <c r="T34" s="164">
        <f t="shared" si="0"/>
        <v>5</v>
      </c>
      <c r="U34" s="56">
        <v>1</v>
      </c>
      <c r="V34" s="56">
        <v>1</v>
      </c>
      <c r="W34" s="56">
        <v>0</v>
      </c>
      <c r="X34" s="56">
        <v>1</v>
      </c>
      <c r="Y34" s="56">
        <v>0</v>
      </c>
      <c r="Z34" s="56">
        <v>1</v>
      </c>
      <c r="AA34" s="56">
        <v>0</v>
      </c>
      <c r="AB34" s="56"/>
      <c r="AC34" s="58">
        <v>45913</v>
      </c>
      <c r="AD34" s="59">
        <v>0.67013888889050577</v>
      </c>
      <c r="AE34" s="56" t="s">
        <v>234</v>
      </c>
      <c r="AF34" s="58">
        <v>45918</v>
      </c>
      <c r="AG34" s="59">
        <v>0.73958333333575865</v>
      </c>
      <c r="AH34" s="56" t="s">
        <v>1117</v>
      </c>
      <c r="AI34" s="56" t="s">
        <v>3836</v>
      </c>
      <c r="AJ34" s="56" t="s">
        <v>64</v>
      </c>
      <c r="AK34" s="56" t="s">
        <v>64</v>
      </c>
      <c r="AL34" s="56" t="s">
        <v>3838</v>
      </c>
      <c r="AM34" s="60" t="s">
        <v>65</v>
      </c>
      <c r="AN34" s="60" t="s">
        <v>3844</v>
      </c>
      <c r="AO34" s="60"/>
      <c r="AP34" s="61"/>
    </row>
    <row r="35" spans="3:42" ht="14.25" customHeight="1">
      <c r="C35" s="55" t="str">
        <f>IF($X35=1,COUNTIF($C$10:C34,"&gt;0")+1,"")</f>
        <v/>
      </c>
      <c r="D35" s="56"/>
      <c r="E35" s="56" t="s">
        <v>3831</v>
      </c>
      <c r="F35" s="57" t="s">
        <v>3935</v>
      </c>
      <c r="G35" s="56" t="s">
        <v>3931</v>
      </c>
      <c r="H35" s="56" t="s">
        <v>3936</v>
      </c>
      <c r="I35" s="56" t="s">
        <v>3933</v>
      </c>
      <c r="J35" s="56" t="s">
        <v>58</v>
      </c>
      <c r="K35" s="56" t="s">
        <v>460</v>
      </c>
      <c r="L35" s="58">
        <v>25225</v>
      </c>
      <c r="M35" s="56">
        <v>56</v>
      </c>
      <c r="N35" s="56" t="s">
        <v>3937</v>
      </c>
      <c r="O35" s="58">
        <v>49362</v>
      </c>
      <c r="P35" s="56" t="s">
        <v>4</v>
      </c>
      <c r="Q35" s="56"/>
      <c r="R35" s="162">
        <v>45913</v>
      </c>
      <c r="S35" s="163">
        <v>45918</v>
      </c>
      <c r="T35" s="164">
        <f t="shared" si="0"/>
        <v>5</v>
      </c>
      <c r="U35" s="56">
        <v>1</v>
      </c>
      <c r="V35" s="56">
        <v>1</v>
      </c>
      <c r="W35" s="56">
        <v>0</v>
      </c>
      <c r="X35" s="56">
        <v>0</v>
      </c>
      <c r="Y35" s="56">
        <v>0</v>
      </c>
      <c r="Z35" s="56">
        <v>0</v>
      </c>
      <c r="AA35" s="56">
        <v>0</v>
      </c>
      <c r="AB35" s="56"/>
      <c r="AC35" s="58">
        <v>45913</v>
      </c>
      <c r="AD35" s="59">
        <v>0.67013888889050577</v>
      </c>
      <c r="AE35" s="56" t="s">
        <v>234</v>
      </c>
      <c r="AF35" s="58">
        <v>45918</v>
      </c>
      <c r="AG35" s="59">
        <v>0.73958333333575865</v>
      </c>
      <c r="AH35" s="56" t="s">
        <v>1117</v>
      </c>
      <c r="AI35" s="56" t="s">
        <v>3836</v>
      </c>
      <c r="AJ35" s="56" t="s">
        <v>64</v>
      </c>
      <c r="AK35" s="56" t="s">
        <v>64</v>
      </c>
      <c r="AL35" s="56" t="s">
        <v>3838</v>
      </c>
      <c r="AM35" s="60" t="s">
        <v>65</v>
      </c>
      <c r="AN35" s="60" t="s">
        <v>3844</v>
      </c>
      <c r="AO35" s="60"/>
      <c r="AP35" s="61"/>
    </row>
    <row r="36" spans="3:42" ht="14.25" customHeight="1">
      <c r="C36" s="55">
        <f>IF($X36=1,COUNTIF($C$10:C35,"&gt;0")+1,"")</f>
        <v>14</v>
      </c>
      <c r="D36" s="56">
        <v>15262318</v>
      </c>
      <c r="E36" s="56" t="s">
        <v>3831</v>
      </c>
      <c r="F36" s="57" t="s">
        <v>3938</v>
      </c>
      <c r="G36" s="56" t="s">
        <v>3938</v>
      </c>
      <c r="H36" s="56" t="s">
        <v>3939</v>
      </c>
      <c r="I36" s="56" t="s">
        <v>3940</v>
      </c>
      <c r="J36" s="56" t="s">
        <v>58</v>
      </c>
      <c r="K36" s="56" t="s">
        <v>460</v>
      </c>
      <c r="L36" s="58">
        <v>21595</v>
      </c>
      <c r="M36" s="56">
        <v>66</v>
      </c>
      <c r="N36" s="56" t="s">
        <v>3941</v>
      </c>
      <c r="O36" s="58">
        <v>46404</v>
      </c>
      <c r="P36" s="56" t="s">
        <v>4</v>
      </c>
      <c r="Q36" s="56"/>
      <c r="R36" s="162">
        <v>45913</v>
      </c>
      <c r="S36" s="163">
        <v>45918</v>
      </c>
      <c r="T36" s="164">
        <f t="shared" si="0"/>
        <v>5</v>
      </c>
      <c r="U36" s="56">
        <v>1</v>
      </c>
      <c r="V36" s="56">
        <v>1</v>
      </c>
      <c r="W36" s="56">
        <v>0</v>
      </c>
      <c r="X36" s="56">
        <v>1</v>
      </c>
      <c r="Y36" s="56">
        <v>0</v>
      </c>
      <c r="Z36" s="56">
        <v>1</v>
      </c>
      <c r="AA36" s="56">
        <v>0</v>
      </c>
      <c r="AB36" s="56"/>
      <c r="AC36" s="58">
        <v>45913</v>
      </c>
      <c r="AD36" s="59">
        <v>0.72916666666424135</v>
      </c>
      <c r="AE36" s="56" t="s">
        <v>575</v>
      </c>
      <c r="AF36" s="58">
        <v>45918</v>
      </c>
      <c r="AG36" s="59">
        <v>0.79513888889050577</v>
      </c>
      <c r="AH36" s="56" t="s">
        <v>359</v>
      </c>
      <c r="AI36" s="56" t="s">
        <v>3836</v>
      </c>
      <c r="AJ36" s="56" t="s">
        <v>64</v>
      </c>
      <c r="AK36" s="56" t="s">
        <v>64</v>
      </c>
      <c r="AL36" s="56" t="s">
        <v>3838</v>
      </c>
      <c r="AM36" s="60" t="s">
        <v>65</v>
      </c>
      <c r="AN36" s="60" t="s">
        <v>3844</v>
      </c>
      <c r="AO36" s="60"/>
      <c r="AP36" s="61"/>
    </row>
    <row r="37" spans="3:42" ht="14.25" customHeight="1">
      <c r="C37" s="55" t="str">
        <f>IF($X37=1,COUNTIF($C$10:C36,"&gt;0")+1,"")</f>
        <v/>
      </c>
      <c r="D37" s="56"/>
      <c r="E37" s="56" t="s">
        <v>3831</v>
      </c>
      <c r="F37" s="57" t="s">
        <v>3942</v>
      </c>
      <c r="G37" s="56" t="s">
        <v>3938</v>
      </c>
      <c r="H37" s="56" t="s">
        <v>3943</v>
      </c>
      <c r="I37" s="56" t="s">
        <v>3940</v>
      </c>
      <c r="J37" s="56" t="s">
        <v>68</v>
      </c>
      <c r="K37" s="56" t="s">
        <v>460</v>
      </c>
      <c r="L37" s="58">
        <v>22772</v>
      </c>
      <c r="M37" s="56">
        <v>63</v>
      </c>
      <c r="N37" s="56" t="s">
        <v>3944</v>
      </c>
      <c r="O37" s="58">
        <v>46404</v>
      </c>
      <c r="P37" s="56" t="s">
        <v>4</v>
      </c>
      <c r="Q37" s="56"/>
      <c r="R37" s="162">
        <v>45913</v>
      </c>
      <c r="S37" s="163">
        <v>45918</v>
      </c>
      <c r="T37" s="164">
        <f t="shared" si="0"/>
        <v>5</v>
      </c>
      <c r="U37" s="56">
        <v>1</v>
      </c>
      <c r="V37" s="56">
        <v>1</v>
      </c>
      <c r="W37" s="56">
        <v>0</v>
      </c>
      <c r="X37" s="56">
        <v>0</v>
      </c>
      <c r="Y37" s="56">
        <v>0</v>
      </c>
      <c r="Z37" s="56">
        <v>0</v>
      </c>
      <c r="AA37" s="56">
        <v>0</v>
      </c>
      <c r="AB37" s="56"/>
      <c r="AC37" s="58">
        <v>45913</v>
      </c>
      <c r="AD37" s="59">
        <v>0.72916666666424135</v>
      </c>
      <c r="AE37" s="56" t="s">
        <v>575</v>
      </c>
      <c r="AF37" s="58">
        <v>45918</v>
      </c>
      <c r="AG37" s="59">
        <v>0.79513888889050577</v>
      </c>
      <c r="AH37" s="56" t="s">
        <v>359</v>
      </c>
      <c r="AI37" s="56" t="s">
        <v>3836</v>
      </c>
      <c r="AJ37" s="56" t="s">
        <v>64</v>
      </c>
      <c r="AK37" s="56" t="s">
        <v>64</v>
      </c>
      <c r="AL37" s="56" t="s">
        <v>3838</v>
      </c>
      <c r="AM37" s="60" t="s">
        <v>65</v>
      </c>
      <c r="AN37" s="60" t="s">
        <v>3844</v>
      </c>
      <c r="AO37" s="60"/>
      <c r="AP37" s="61"/>
    </row>
    <row r="38" spans="3:42" ht="14.25" customHeight="1">
      <c r="C38" s="55">
        <f>IF($X38=1,COUNTIF($C$10:C37,"&gt;0")+1,"")</f>
        <v>15</v>
      </c>
      <c r="D38" s="56">
        <v>15262319</v>
      </c>
      <c r="E38" s="56" t="s">
        <v>3831</v>
      </c>
      <c r="F38" s="57" t="s">
        <v>3945</v>
      </c>
      <c r="G38" s="56" t="s">
        <v>3945</v>
      </c>
      <c r="H38" s="56" t="s">
        <v>3946</v>
      </c>
      <c r="I38" s="56" t="s">
        <v>3947</v>
      </c>
      <c r="J38" s="56" t="s">
        <v>68</v>
      </c>
      <c r="K38" s="56" t="s">
        <v>59</v>
      </c>
      <c r="L38" s="58">
        <v>30198</v>
      </c>
      <c r="M38" s="56">
        <v>43</v>
      </c>
      <c r="N38" s="56" t="s">
        <v>3948</v>
      </c>
      <c r="O38" s="58">
        <v>48686</v>
      </c>
      <c r="P38" s="56" t="s">
        <v>5</v>
      </c>
      <c r="Q38" s="56"/>
      <c r="R38" s="162">
        <v>45913</v>
      </c>
      <c r="S38" s="163">
        <v>45918</v>
      </c>
      <c r="T38" s="164">
        <f t="shared" si="0"/>
        <v>5</v>
      </c>
      <c r="U38" s="56">
        <v>1</v>
      </c>
      <c r="V38" s="56">
        <v>1</v>
      </c>
      <c r="W38" s="56">
        <v>0</v>
      </c>
      <c r="X38" s="56">
        <v>1</v>
      </c>
      <c r="Y38" s="56">
        <v>0</v>
      </c>
      <c r="Z38" s="56">
        <v>0</v>
      </c>
      <c r="AA38" s="56">
        <v>1</v>
      </c>
      <c r="AB38" s="56"/>
      <c r="AC38" s="58">
        <v>45913</v>
      </c>
      <c r="AD38" s="59">
        <v>0.59027777778101154</v>
      </c>
      <c r="AE38" s="56" t="s">
        <v>547</v>
      </c>
      <c r="AF38" s="58">
        <v>45921</v>
      </c>
      <c r="AG38" s="59">
        <v>0.68402777778101154</v>
      </c>
      <c r="AH38" s="56" t="s">
        <v>274</v>
      </c>
      <c r="AI38" s="56" t="s">
        <v>3836</v>
      </c>
      <c r="AJ38" s="56" t="s">
        <v>64</v>
      </c>
      <c r="AK38" s="56" t="s">
        <v>64</v>
      </c>
      <c r="AL38" s="56" t="s">
        <v>3838</v>
      </c>
      <c r="AM38" s="60" t="s">
        <v>65</v>
      </c>
      <c r="AN38" s="60" t="s">
        <v>3860</v>
      </c>
      <c r="AO38" s="60"/>
      <c r="AP38" s="61"/>
    </row>
    <row r="39" spans="3:42" ht="14.25" customHeight="1">
      <c r="C39" s="55" t="str">
        <f>IF($X39=1,COUNTIF($C$10:C38,"&gt;0")+1,"")</f>
        <v/>
      </c>
      <c r="D39" s="56"/>
      <c r="E39" s="56" t="s">
        <v>3831</v>
      </c>
      <c r="F39" s="57" t="s">
        <v>3949</v>
      </c>
      <c r="G39" s="56" t="s">
        <v>3945</v>
      </c>
      <c r="H39" s="56" t="s">
        <v>3950</v>
      </c>
      <c r="I39" s="56" t="s">
        <v>3951</v>
      </c>
      <c r="J39" s="56" t="s">
        <v>68</v>
      </c>
      <c r="K39" s="56" t="s">
        <v>460</v>
      </c>
      <c r="L39" s="58">
        <v>27179</v>
      </c>
      <c r="M39" s="56">
        <v>51</v>
      </c>
      <c r="N39" s="56" t="s">
        <v>3952</v>
      </c>
      <c r="O39" s="58">
        <v>46433</v>
      </c>
      <c r="P39" s="56" t="s">
        <v>5</v>
      </c>
      <c r="Q39" s="56"/>
      <c r="R39" s="162">
        <v>45913</v>
      </c>
      <c r="S39" s="163">
        <v>45918</v>
      </c>
      <c r="T39" s="164">
        <f t="shared" si="0"/>
        <v>5</v>
      </c>
      <c r="U39" s="56">
        <v>1</v>
      </c>
      <c r="V39" s="56">
        <v>1</v>
      </c>
      <c r="W39" s="56">
        <v>0</v>
      </c>
      <c r="X39" s="56">
        <v>0</v>
      </c>
      <c r="Y39" s="56">
        <v>0</v>
      </c>
      <c r="Z39" s="56">
        <v>0</v>
      </c>
      <c r="AA39" s="56">
        <v>0</v>
      </c>
      <c r="AB39" s="56"/>
      <c r="AC39" s="58">
        <v>45913</v>
      </c>
      <c r="AD39" s="59">
        <v>0.78125</v>
      </c>
      <c r="AE39" s="56" t="s">
        <v>462</v>
      </c>
      <c r="AF39" s="58">
        <v>45918</v>
      </c>
      <c r="AG39" s="59">
        <v>0.73958333333575865</v>
      </c>
      <c r="AH39" s="56" t="s">
        <v>1117</v>
      </c>
      <c r="AI39" s="56" t="s">
        <v>3836</v>
      </c>
      <c r="AJ39" s="56" t="s">
        <v>64</v>
      </c>
      <c r="AK39" s="56" t="s">
        <v>64</v>
      </c>
      <c r="AL39" s="56" t="s">
        <v>3838</v>
      </c>
      <c r="AM39" s="60" t="s">
        <v>65</v>
      </c>
      <c r="AN39" s="60" t="s">
        <v>3860</v>
      </c>
      <c r="AO39" s="60" t="s">
        <v>331</v>
      </c>
      <c r="AP39" s="61"/>
    </row>
    <row r="40" spans="3:42" ht="14.25" customHeight="1">
      <c r="C40" s="55">
        <f>IF($X40=1,COUNTIF($C$10:C39,"&gt;0")+1,"")</f>
        <v>16</v>
      </c>
      <c r="D40" s="56">
        <v>15262320</v>
      </c>
      <c r="E40" s="56" t="s">
        <v>3831</v>
      </c>
      <c r="F40" s="57" t="s">
        <v>3953</v>
      </c>
      <c r="G40" s="56" t="s">
        <v>3953</v>
      </c>
      <c r="H40" s="56" t="s">
        <v>3954</v>
      </c>
      <c r="I40" s="56" t="s">
        <v>3955</v>
      </c>
      <c r="J40" s="56" t="s">
        <v>68</v>
      </c>
      <c r="K40" s="56" t="s">
        <v>460</v>
      </c>
      <c r="L40" s="58">
        <v>30400</v>
      </c>
      <c r="M40" s="56">
        <v>42</v>
      </c>
      <c r="N40" s="56" t="s">
        <v>3956</v>
      </c>
      <c r="O40" s="58">
        <v>49018</v>
      </c>
      <c r="P40" s="56" t="s">
        <v>5</v>
      </c>
      <c r="Q40" s="56"/>
      <c r="R40" s="162">
        <v>45913</v>
      </c>
      <c r="S40" s="163">
        <v>45918</v>
      </c>
      <c r="T40" s="164">
        <f t="shared" si="0"/>
        <v>5</v>
      </c>
      <c r="U40" s="56">
        <v>1</v>
      </c>
      <c r="V40" s="56">
        <v>1</v>
      </c>
      <c r="W40" s="56">
        <v>0</v>
      </c>
      <c r="X40" s="56">
        <v>1</v>
      </c>
      <c r="Y40" s="56">
        <v>0</v>
      </c>
      <c r="Z40" s="56">
        <v>0</v>
      </c>
      <c r="AA40" s="56">
        <v>1</v>
      </c>
      <c r="AB40" s="56"/>
      <c r="AC40" s="58">
        <v>45913</v>
      </c>
      <c r="AD40" s="59">
        <v>0.78125</v>
      </c>
      <c r="AE40" s="56" t="s">
        <v>462</v>
      </c>
      <c r="AF40" s="58">
        <v>45918</v>
      </c>
      <c r="AG40" s="59">
        <v>0.86458333333575865</v>
      </c>
      <c r="AH40" s="56" t="s">
        <v>463</v>
      </c>
      <c r="AI40" s="56" t="s">
        <v>3836</v>
      </c>
      <c r="AJ40" s="56" t="s">
        <v>64</v>
      </c>
      <c r="AK40" s="56" t="s">
        <v>64</v>
      </c>
      <c r="AL40" s="56" t="s">
        <v>3838</v>
      </c>
      <c r="AM40" s="60" t="s">
        <v>65</v>
      </c>
      <c r="AN40" s="60" t="s">
        <v>3860</v>
      </c>
      <c r="AO40" s="60" t="s">
        <v>331</v>
      </c>
      <c r="AP40" s="61"/>
    </row>
    <row r="41" spans="3:42" ht="14.25" customHeight="1">
      <c r="C41" s="55" t="str">
        <f>IF($X41=1,COUNTIF($C$10:C40,"&gt;0")+1,"")</f>
        <v/>
      </c>
      <c r="D41" s="56"/>
      <c r="E41" s="56" t="s">
        <v>3831</v>
      </c>
      <c r="F41" s="57" t="s">
        <v>3957</v>
      </c>
      <c r="G41" s="56" t="s">
        <v>3953</v>
      </c>
      <c r="H41" s="56" t="s">
        <v>3958</v>
      </c>
      <c r="I41" s="56" t="s">
        <v>3959</v>
      </c>
      <c r="J41" s="56" t="s">
        <v>68</v>
      </c>
      <c r="K41" s="56" t="s">
        <v>59</v>
      </c>
      <c r="L41" s="58">
        <v>30291</v>
      </c>
      <c r="M41" s="56">
        <v>42</v>
      </c>
      <c r="N41" s="56" t="s">
        <v>3960</v>
      </c>
      <c r="O41" s="58">
        <v>47917</v>
      </c>
      <c r="P41" s="56" t="s">
        <v>5</v>
      </c>
      <c r="Q41" s="56"/>
      <c r="R41" s="162">
        <v>45913</v>
      </c>
      <c r="S41" s="163">
        <v>45918</v>
      </c>
      <c r="T41" s="164">
        <f t="shared" si="0"/>
        <v>5</v>
      </c>
      <c r="U41" s="56">
        <v>1</v>
      </c>
      <c r="V41" s="56">
        <v>1</v>
      </c>
      <c r="W41" s="56">
        <v>0</v>
      </c>
      <c r="X41" s="56">
        <v>0</v>
      </c>
      <c r="Y41" s="56">
        <v>0</v>
      </c>
      <c r="Z41" s="56">
        <v>0</v>
      </c>
      <c r="AA41" s="56">
        <v>0</v>
      </c>
      <c r="AB41" s="56"/>
      <c r="AC41" s="58">
        <v>45913</v>
      </c>
      <c r="AD41" s="59">
        <v>0.64583333333575865</v>
      </c>
      <c r="AE41" s="56" t="s">
        <v>312</v>
      </c>
      <c r="AF41" s="58">
        <v>45918</v>
      </c>
      <c r="AG41" s="59">
        <v>0.72569444444525288</v>
      </c>
      <c r="AH41" s="56" t="s">
        <v>313</v>
      </c>
      <c r="AI41" s="56" t="s">
        <v>3836</v>
      </c>
      <c r="AJ41" s="56" t="s">
        <v>64</v>
      </c>
      <c r="AK41" s="56" t="s">
        <v>64</v>
      </c>
      <c r="AL41" s="56" t="s">
        <v>3838</v>
      </c>
      <c r="AM41" s="60" t="s">
        <v>65</v>
      </c>
      <c r="AN41" s="60" t="s">
        <v>3860</v>
      </c>
      <c r="AO41" s="60"/>
      <c r="AP41" s="61"/>
    </row>
    <row r="42" spans="3:42" ht="14.25" customHeight="1">
      <c r="C42" s="55">
        <f>IF($X42=1,COUNTIF($C$10:C41,"&gt;0")+1,"")</f>
        <v>17</v>
      </c>
      <c r="D42" s="56">
        <v>15262332</v>
      </c>
      <c r="E42" s="56" t="s">
        <v>3961</v>
      </c>
      <c r="F42" s="57" t="s">
        <v>3962</v>
      </c>
      <c r="G42" s="56" t="s">
        <v>3962</v>
      </c>
      <c r="H42" s="56" t="s">
        <v>3963</v>
      </c>
      <c r="I42" s="56" t="s">
        <v>3964</v>
      </c>
      <c r="J42" s="56" t="s">
        <v>68</v>
      </c>
      <c r="K42" s="56" t="s">
        <v>460</v>
      </c>
      <c r="L42" s="58">
        <v>23076</v>
      </c>
      <c r="M42" s="56">
        <v>62</v>
      </c>
      <c r="N42" s="56" t="s">
        <v>3965</v>
      </c>
      <c r="O42" s="58">
        <v>46831</v>
      </c>
      <c r="P42" s="56" t="s">
        <v>5</v>
      </c>
      <c r="Q42" s="56"/>
      <c r="R42" s="162">
        <v>45913</v>
      </c>
      <c r="S42" s="163">
        <v>45918</v>
      </c>
      <c r="T42" s="164">
        <f t="shared" si="0"/>
        <v>5</v>
      </c>
      <c r="U42" s="56">
        <v>1</v>
      </c>
      <c r="V42" s="56">
        <v>1</v>
      </c>
      <c r="W42" s="56">
        <v>0</v>
      </c>
      <c r="X42" s="56">
        <v>1</v>
      </c>
      <c r="Y42" s="56">
        <v>0</v>
      </c>
      <c r="Z42" s="56">
        <v>0</v>
      </c>
      <c r="AA42" s="56">
        <v>1</v>
      </c>
      <c r="AB42" s="56"/>
      <c r="AC42" s="58">
        <v>45913</v>
      </c>
      <c r="AD42" s="59">
        <v>0.72916666666424135</v>
      </c>
      <c r="AE42" s="56" t="s">
        <v>575</v>
      </c>
      <c r="AF42" s="58">
        <v>45918</v>
      </c>
      <c r="AG42" s="59">
        <v>0.79513888889050577</v>
      </c>
      <c r="AH42" s="56" t="s">
        <v>359</v>
      </c>
      <c r="AI42" s="56" t="s">
        <v>3966</v>
      </c>
      <c r="AJ42" s="56" t="s">
        <v>598</v>
      </c>
      <c r="AK42" s="56"/>
      <c r="AL42" s="56" t="s">
        <v>3838</v>
      </c>
      <c r="AM42" s="60" t="s">
        <v>65</v>
      </c>
      <c r="AN42" s="56" t="s">
        <v>3967</v>
      </c>
      <c r="AO42" s="60"/>
      <c r="AP42" s="61"/>
    </row>
    <row r="43" spans="3:42" ht="14.25" customHeight="1">
      <c r="C43" s="55" t="str">
        <f>IF($X43=1,COUNTIF($C$10:C42,"&gt;0")+1,"")</f>
        <v/>
      </c>
      <c r="D43" s="56"/>
      <c r="E43" s="56" t="s">
        <v>3961</v>
      </c>
      <c r="F43" s="57" t="s">
        <v>3968</v>
      </c>
      <c r="G43" s="56" t="s">
        <v>3962</v>
      </c>
      <c r="H43" s="56" t="s">
        <v>3337</v>
      </c>
      <c r="I43" s="56" t="s">
        <v>3969</v>
      </c>
      <c r="J43" s="56" t="s">
        <v>68</v>
      </c>
      <c r="K43" s="56" t="s">
        <v>460</v>
      </c>
      <c r="L43" s="58">
        <v>34931</v>
      </c>
      <c r="M43" s="56">
        <v>30</v>
      </c>
      <c r="N43" s="56" t="s">
        <v>3970</v>
      </c>
      <c r="O43" s="58">
        <v>49466</v>
      </c>
      <c r="P43" s="56" t="s">
        <v>5</v>
      </c>
      <c r="Q43" s="56"/>
      <c r="R43" s="162">
        <v>45913</v>
      </c>
      <c r="S43" s="163">
        <v>45918</v>
      </c>
      <c r="T43" s="164">
        <f t="shared" si="0"/>
        <v>5</v>
      </c>
      <c r="U43" s="56">
        <v>1</v>
      </c>
      <c r="V43" s="56">
        <v>1</v>
      </c>
      <c r="W43" s="56">
        <v>0</v>
      </c>
      <c r="X43" s="56">
        <v>0</v>
      </c>
      <c r="Y43" s="56">
        <v>0</v>
      </c>
      <c r="Z43" s="56">
        <v>0</v>
      </c>
      <c r="AA43" s="56">
        <v>0</v>
      </c>
      <c r="AB43" s="56"/>
      <c r="AC43" s="58">
        <v>45913</v>
      </c>
      <c r="AD43" s="59">
        <v>0.72916666666424135</v>
      </c>
      <c r="AE43" s="56" t="s">
        <v>575</v>
      </c>
      <c r="AF43" s="58">
        <v>45918</v>
      </c>
      <c r="AG43" s="59">
        <v>0.79513888889050577</v>
      </c>
      <c r="AH43" s="56" t="s">
        <v>359</v>
      </c>
      <c r="AI43" s="56" t="s">
        <v>3966</v>
      </c>
      <c r="AJ43" s="56" t="s">
        <v>64</v>
      </c>
      <c r="AK43" s="56"/>
      <c r="AL43" s="56" t="s">
        <v>3838</v>
      </c>
      <c r="AM43" s="60" t="s">
        <v>65</v>
      </c>
      <c r="AN43" s="56" t="s">
        <v>3967</v>
      </c>
      <c r="AO43" s="60"/>
      <c r="AP43" s="61"/>
    </row>
    <row r="44" spans="3:42" ht="14.25" customHeight="1">
      <c r="C44" s="55">
        <f>IF($X44=1,COUNTIF($C$10:C43,"&gt;0")+1,"")</f>
        <v>18</v>
      </c>
      <c r="D44" s="56">
        <v>15262333</v>
      </c>
      <c r="E44" s="56" t="s">
        <v>3961</v>
      </c>
      <c r="F44" s="57" t="s">
        <v>3971</v>
      </c>
      <c r="G44" s="56" t="s">
        <v>3962</v>
      </c>
      <c r="H44" s="56" t="s">
        <v>3972</v>
      </c>
      <c r="I44" s="56" t="s">
        <v>3827</v>
      </c>
      <c r="J44" s="56" t="s">
        <v>68</v>
      </c>
      <c r="K44" s="56" t="s">
        <v>460</v>
      </c>
      <c r="L44" s="58">
        <v>31000</v>
      </c>
      <c r="M44" s="56">
        <v>40</v>
      </c>
      <c r="N44" s="56" t="s">
        <v>3973</v>
      </c>
      <c r="O44" s="58">
        <v>49085</v>
      </c>
      <c r="P44" s="56" t="s">
        <v>3</v>
      </c>
      <c r="Q44" s="56"/>
      <c r="R44" s="162">
        <v>45913</v>
      </c>
      <c r="S44" s="163">
        <v>45918</v>
      </c>
      <c r="T44" s="164">
        <f t="shared" si="0"/>
        <v>5</v>
      </c>
      <c r="U44" s="56">
        <v>1</v>
      </c>
      <c r="V44" s="56">
        <v>1</v>
      </c>
      <c r="W44" s="56">
        <v>0</v>
      </c>
      <c r="X44" s="56">
        <v>1</v>
      </c>
      <c r="Y44" s="56">
        <v>1</v>
      </c>
      <c r="Z44" s="56">
        <v>0</v>
      </c>
      <c r="AA44" s="56">
        <v>0</v>
      </c>
      <c r="AB44" s="56"/>
      <c r="AC44" s="58">
        <v>45913</v>
      </c>
      <c r="AD44" s="59">
        <v>0.72916666666424135</v>
      </c>
      <c r="AE44" s="56" t="s">
        <v>575</v>
      </c>
      <c r="AF44" s="58">
        <v>45918</v>
      </c>
      <c r="AG44" s="59">
        <v>0.79513888889050577</v>
      </c>
      <c r="AH44" s="56" t="s">
        <v>359</v>
      </c>
      <c r="AI44" s="56" t="s">
        <v>3966</v>
      </c>
      <c r="AJ44" s="56" t="s">
        <v>64</v>
      </c>
      <c r="AK44" s="56" t="s">
        <v>64</v>
      </c>
      <c r="AL44" s="56" t="s">
        <v>3838</v>
      </c>
      <c r="AM44" s="60" t="s">
        <v>65</v>
      </c>
      <c r="AN44" s="60" t="s">
        <v>3974</v>
      </c>
      <c r="AO44" s="60"/>
      <c r="AP44" s="61"/>
    </row>
    <row r="45" spans="3:42" ht="14.25" customHeight="1">
      <c r="C45" s="55" t="str">
        <f>IF($X45=1,COUNTIF($C$10:C44,"&gt;0")+1,"")</f>
        <v/>
      </c>
      <c r="D45" s="56"/>
      <c r="E45" s="56" t="s">
        <v>3961</v>
      </c>
      <c r="F45" s="57" t="s">
        <v>3975</v>
      </c>
      <c r="G45" s="56" t="s">
        <v>3962</v>
      </c>
      <c r="H45" s="56" t="s">
        <v>3976</v>
      </c>
      <c r="I45" s="56" t="s">
        <v>3827</v>
      </c>
      <c r="J45" s="56" t="s">
        <v>68</v>
      </c>
      <c r="K45" s="56" t="s">
        <v>460</v>
      </c>
      <c r="L45" s="58">
        <v>41587</v>
      </c>
      <c r="M45" s="56">
        <v>11</v>
      </c>
      <c r="N45" s="56" t="s">
        <v>3977</v>
      </c>
      <c r="O45" s="58">
        <v>47314</v>
      </c>
      <c r="P45" s="56" t="s">
        <v>3</v>
      </c>
      <c r="Q45" s="56"/>
      <c r="R45" s="162">
        <v>45913</v>
      </c>
      <c r="S45" s="163">
        <v>45918</v>
      </c>
      <c r="T45" s="164">
        <f t="shared" si="0"/>
        <v>5</v>
      </c>
      <c r="U45" s="56">
        <v>1</v>
      </c>
      <c r="V45" s="56">
        <v>0</v>
      </c>
      <c r="W45" s="56">
        <v>1</v>
      </c>
      <c r="X45" s="56">
        <v>0</v>
      </c>
      <c r="Y45" s="56">
        <v>0</v>
      </c>
      <c r="Z45" s="56">
        <v>0</v>
      </c>
      <c r="AA45" s="56">
        <v>0</v>
      </c>
      <c r="AB45" s="56"/>
      <c r="AC45" s="58">
        <v>45913</v>
      </c>
      <c r="AD45" s="59">
        <v>0.72916666666424135</v>
      </c>
      <c r="AE45" s="56" t="s">
        <v>575</v>
      </c>
      <c r="AF45" s="58">
        <v>45918</v>
      </c>
      <c r="AG45" s="59">
        <v>0.79513888889050577</v>
      </c>
      <c r="AH45" s="56" t="s">
        <v>359</v>
      </c>
      <c r="AI45" s="56" t="s">
        <v>3966</v>
      </c>
      <c r="AJ45" s="56" t="s">
        <v>64</v>
      </c>
      <c r="AK45" s="56" t="s">
        <v>64</v>
      </c>
      <c r="AL45" s="56" t="s">
        <v>3838</v>
      </c>
      <c r="AM45" s="60" t="s">
        <v>65</v>
      </c>
      <c r="AN45" s="60" t="s">
        <v>3974</v>
      </c>
      <c r="AO45" s="60"/>
      <c r="AP45" s="61"/>
    </row>
    <row r="46" spans="3:42" ht="14.25" customHeight="1">
      <c r="C46" s="55">
        <f>IF($X46=1,COUNTIF($C$10:C45,"&gt;0")+1,"")</f>
        <v>19</v>
      </c>
      <c r="D46" s="56">
        <v>15262334</v>
      </c>
      <c r="E46" s="56" t="s">
        <v>3978</v>
      </c>
      <c r="F46" s="57" t="s">
        <v>3979</v>
      </c>
      <c r="G46" s="56" t="s">
        <v>3979</v>
      </c>
      <c r="H46" s="56" t="s">
        <v>3980</v>
      </c>
      <c r="I46" s="56" t="s">
        <v>3981</v>
      </c>
      <c r="J46" s="56" t="s">
        <v>68</v>
      </c>
      <c r="K46" s="56" t="s">
        <v>59</v>
      </c>
      <c r="L46" s="58">
        <v>19794</v>
      </c>
      <c r="M46" s="56">
        <v>71</v>
      </c>
      <c r="N46" s="56" t="s">
        <v>3982</v>
      </c>
      <c r="O46" s="58">
        <v>49414</v>
      </c>
      <c r="P46" s="56" t="s">
        <v>4</v>
      </c>
      <c r="Q46" s="56"/>
      <c r="R46" s="162">
        <v>45913</v>
      </c>
      <c r="S46" s="163">
        <v>45918</v>
      </c>
      <c r="T46" s="164">
        <f t="shared" si="0"/>
        <v>5</v>
      </c>
      <c r="U46" s="56">
        <v>1</v>
      </c>
      <c r="V46" s="56">
        <v>1</v>
      </c>
      <c r="W46" s="56">
        <v>0</v>
      </c>
      <c r="X46" s="56">
        <v>1</v>
      </c>
      <c r="Y46" s="56">
        <v>0</v>
      </c>
      <c r="Z46" s="56">
        <v>1</v>
      </c>
      <c r="AA46" s="56">
        <v>0</v>
      </c>
      <c r="AB46" s="56"/>
      <c r="AC46" s="58">
        <v>45913</v>
      </c>
      <c r="AD46" s="59">
        <v>0.67708333333575865</v>
      </c>
      <c r="AE46" s="56" t="s">
        <v>3983</v>
      </c>
      <c r="AF46" s="58" t="s">
        <v>64</v>
      </c>
      <c r="AG46" s="59" t="s">
        <v>64</v>
      </c>
      <c r="AH46" s="56" t="s">
        <v>1058</v>
      </c>
      <c r="AI46" s="56" t="s">
        <v>3984</v>
      </c>
      <c r="AJ46" s="56" t="s">
        <v>598</v>
      </c>
      <c r="AK46" s="56" t="s">
        <v>64</v>
      </c>
      <c r="AL46" s="56" t="s">
        <v>3838</v>
      </c>
      <c r="AM46" s="60" t="s">
        <v>65</v>
      </c>
      <c r="AN46" s="60" t="s">
        <v>3974</v>
      </c>
      <c r="AO46" s="60"/>
      <c r="AP46" s="61"/>
    </row>
    <row r="47" spans="3:42" ht="14.25" customHeight="1">
      <c r="C47" s="55" t="str">
        <f>IF($X47=1,COUNTIF($C$10:C46,"&gt;0")+1,"")</f>
        <v/>
      </c>
      <c r="D47" s="56"/>
      <c r="E47" s="56" t="s">
        <v>3978</v>
      </c>
      <c r="F47" s="57" t="s">
        <v>3985</v>
      </c>
      <c r="G47" s="56" t="s">
        <v>3979</v>
      </c>
      <c r="H47" s="56" t="s">
        <v>3986</v>
      </c>
      <c r="I47" s="56" t="s">
        <v>3981</v>
      </c>
      <c r="J47" s="56" t="s">
        <v>58</v>
      </c>
      <c r="K47" s="56" t="s">
        <v>59</v>
      </c>
      <c r="L47" s="58">
        <v>18957</v>
      </c>
      <c r="M47" s="56">
        <v>73</v>
      </c>
      <c r="N47" s="56" t="s">
        <v>3987</v>
      </c>
      <c r="O47" s="58">
        <v>49414</v>
      </c>
      <c r="P47" s="56" t="s">
        <v>4</v>
      </c>
      <c r="Q47" s="56"/>
      <c r="R47" s="162">
        <v>45913</v>
      </c>
      <c r="S47" s="163">
        <v>45918</v>
      </c>
      <c r="T47" s="164">
        <f t="shared" si="0"/>
        <v>5</v>
      </c>
      <c r="U47" s="56">
        <v>1</v>
      </c>
      <c r="V47" s="56">
        <v>1</v>
      </c>
      <c r="W47" s="56">
        <v>0</v>
      </c>
      <c r="X47" s="56">
        <v>0</v>
      </c>
      <c r="Y47" s="56">
        <v>0</v>
      </c>
      <c r="Z47" s="56">
        <v>0</v>
      </c>
      <c r="AA47" s="56">
        <v>0</v>
      </c>
      <c r="AB47" s="56"/>
      <c r="AC47" s="58">
        <v>45913</v>
      </c>
      <c r="AD47" s="59">
        <v>0.67708333333575865</v>
      </c>
      <c r="AE47" s="56" t="s">
        <v>3983</v>
      </c>
      <c r="AF47" s="58" t="s">
        <v>64</v>
      </c>
      <c r="AG47" s="59" t="s">
        <v>64</v>
      </c>
      <c r="AH47" s="56" t="s">
        <v>1058</v>
      </c>
      <c r="AI47" s="56" t="s">
        <v>3984</v>
      </c>
      <c r="AJ47" s="56" t="s">
        <v>64</v>
      </c>
      <c r="AK47" s="56" t="s">
        <v>64</v>
      </c>
      <c r="AL47" s="56" t="s">
        <v>3838</v>
      </c>
      <c r="AM47" s="60" t="s">
        <v>65</v>
      </c>
      <c r="AN47" s="60" t="s">
        <v>3974</v>
      </c>
      <c r="AO47" s="60"/>
      <c r="AP47" s="61"/>
    </row>
    <row r="48" spans="3:42" ht="14.25" customHeight="1">
      <c r="C48" s="55">
        <f>IF($X48=1,COUNTIF($C$10:C47,"&gt;0")+1,"")</f>
        <v>20</v>
      </c>
      <c r="D48" s="56">
        <v>15262335</v>
      </c>
      <c r="E48" s="56" t="s">
        <v>3978</v>
      </c>
      <c r="F48" s="57" t="s">
        <v>3988</v>
      </c>
      <c r="G48" s="56" t="s">
        <v>3988</v>
      </c>
      <c r="H48" s="56" t="s">
        <v>3989</v>
      </c>
      <c r="I48" s="56" t="s">
        <v>1224</v>
      </c>
      <c r="J48" s="56" t="s">
        <v>58</v>
      </c>
      <c r="K48" s="56" t="s">
        <v>59</v>
      </c>
      <c r="L48" s="58">
        <v>20884</v>
      </c>
      <c r="M48" s="56">
        <v>68</v>
      </c>
      <c r="N48" s="56" t="s">
        <v>3990</v>
      </c>
      <c r="O48" s="58">
        <v>49373</v>
      </c>
      <c r="P48" s="56" t="s">
        <v>4</v>
      </c>
      <c r="Q48" s="56"/>
      <c r="R48" s="162">
        <v>45913</v>
      </c>
      <c r="S48" s="163">
        <v>45918</v>
      </c>
      <c r="T48" s="164">
        <f t="shared" si="0"/>
        <v>5</v>
      </c>
      <c r="U48" s="56">
        <v>1</v>
      </c>
      <c r="V48" s="56">
        <v>1</v>
      </c>
      <c r="W48" s="56">
        <v>0</v>
      </c>
      <c r="X48" s="56">
        <v>1</v>
      </c>
      <c r="Y48" s="56">
        <v>0</v>
      </c>
      <c r="Z48" s="56">
        <v>1</v>
      </c>
      <c r="AA48" s="56">
        <v>0</v>
      </c>
      <c r="AB48" s="56"/>
      <c r="AC48" s="58">
        <v>45913</v>
      </c>
      <c r="AD48" s="59">
        <v>0.63888888889050577</v>
      </c>
      <c r="AE48" s="56" t="s">
        <v>84</v>
      </c>
      <c r="AF48" s="58">
        <v>45918</v>
      </c>
      <c r="AG48" s="59">
        <v>0.72569444444525288</v>
      </c>
      <c r="AH48" s="56" t="s">
        <v>313</v>
      </c>
      <c r="AI48" s="56" t="s">
        <v>3984</v>
      </c>
      <c r="AJ48" s="56" t="s">
        <v>64</v>
      </c>
      <c r="AK48" s="56" t="s">
        <v>64</v>
      </c>
      <c r="AL48" s="56" t="s">
        <v>3838</v>
      </c>
      <c r="AM48" s="60" t="s">
        <v>65</v>
      </c>
      <c r="AN48" s="60" t="s">
        <v>3974</v>
      </c>
      <c r="AO48" s="60"/>
      <c r="AP48" s="61"/>
    </row>
    <row r="49" spans="3:42" ht="14.25" customHeight="1">
      <c r="C49" s="55" t="str">
        <f>IF($X49=1,COUNTIF($C$10:C48,"&gt;0")+1,"")</f>
        <v/>
      </c>
      <c r="D49" s="56"/>
      <c r="E49" s="56" t="s">
        <v>3978</v>
      </c>
      <c r="F49" s="57" t="s">
        <v>3991</v>
      </c>
      <c r="G49" s="56" t="s">
        <v>3988</v>
      </c>
      <c r="H49" s="56" t="s">
        <v>3992</v>
      </c>
      <c r="I49" s="56" t="s">
        <v>1224</v>
      </c>
      <c r="J49" s="56" t="s">
        <v>68</v>
      </c>
      <c r="K49" s="56" t="s">
        <v>59</v>
      </c>
      <c r="L49" s="58">
        <v>21761</v>
      </c>
      <c r="M49" s="56">
        <v>66</v>
      </c>
      <c r="N49" s="56" t="s">
        <v>3993</v>
      </c>
      <c r="O49" s="58">
        <v>49373</v>
      </c>
      <c r="P49" s="56" t="s">
        <v>4</v>
      </c>
      <c r="Q49" s="56"/>
      <c r="R49" s="162">
        <v>45913</v>
      </c>
      <c r="S49" s="163">
        <v>45918</v>
      </c>
      <c r="T49" s="164">
        <f t="shared" si="0"/>
        <v>5</v>
      </c>
      <c r="U49" s="56">
        <v>1</v>
      </c>
      <c r="V49" s="56">
        <v>1</v>
      </c>
      <c r="W49" s="56">
        <v>0</v>
      </c>
      <c r="X49" s="56">
        <v>0</v>
      </c>
      <c r="Y49" s="56">
        <v>0</v>
      </c>
      <c r="Z49" s="56">
        <v>0</v>
      </c>
      <c r="AA49" s="56">
        <v>0</v>
      </c>
      <c r="AB49" s="56"/>
      <c r="AC49" s="58">
        <v>45913</v>
      </c>
      <c r="AD49" s="59">
        <v>0.63888888889050577</v>
      </c>
      <c r="AE49" s="56" t="s">
        <v>84</v>
      </c>
      <c r="AF49" s="58">
        <v>45918</v>
      </c>
      <c r="AG49" s="59">
        <v>0.72569444444525288</v>
      </c>
      <c r="AH49" s="56" t="s">
        <v>313</v>
      </c>
      <c r="AI49" s="56" t="s">
        <v>3984</v>
      </c>
      <c r="AJ49" s="56" t="s">
        <v>64</v>
      </c>
      <c r="AK49" s="56" t="s">
        <v>64</v>
      </c>
      <c r="AL49" s="56" t="s">
        <v>3838</v>
      </c>
      <c r="AM49" s="60" t="s">
        <v>65</v>
      </c>
      <c r="AN49" s="60" t="s">
        <v>3974</v>
      </c>
      <c r="AO49" s="60"/>
      <c r="AP49" s="61"/>
    </row>
    <row r="50" spans="3:42" ht="14.25" customHeight="1">
      <c r="C50" s="55">
        <f>IF($X50=1,COUNTIF($C$10:C49,"&gt;0")+1,"")</f>
        <v>21</v>
      </c>
      <c r="D50" s="56">
        <v>15262336</v>
      </c>
      <c r="E50" s="56" t="s">
        <v>3978</v>
      </c>
      <c r="F50" s="57" t="s">
        <v>3994</v>
      </c>
      <c r="G50" s="56" t="s">
        <v>3994</v>
      </c>
      <c r="H50" s="56" t="s">
        <v>3995</v>
      </c>
      <c r="I50" s="56" t="s">
        <v>3996</v>
      </c>
      <c r="J50" s="56" t="s">
        <v>68</v>
      </c>
      <c r="K50" s="56" t="s">
        <v>59</v>
      </c>
      <c r="L50" s="58">
        <v>26604</v>
      </c>
      <c r="M50" s="56">
        <v>52</v>
      </c>
      <c r="N50" s="56" t="s">
        <v>3997</v>
      </c>
      <c r="O50" s="58">
        <v>46411</v>
      </c>
      <c r="P50" s="56" t="s">
        <v>4</v>
      </c>
      <c r="Q50" s="56"/>
      <c r="R50" s="162">
        <v>45913</v>
      </c>
      <c r="S50" s="163">
        <v>45918</v>
      </c>
      <c r="T50" s="164">
        <f t="shared" si="0"/>
        <v>5</v>
      </c>
      <c r="U50" s="56">
        <v>1</v>
      </c>
      <c r="V50" s="56">
        <v>1</v>
      </c>
      <c r="W50" s="56">
        <v>0</v>
      </c>
      <c r="X50" s="56">
        <v>1</v>
      </c>
      <c r="Y50" s="56">
        <v>0</v>
      </c>
      <c r="Z50" s="56">
        <v>1</v>
      </c>
      <c r="AA50" s="56">
        <v>0</v>
      </c>
      <c r="AB50" s="56"/>
      <c r="AC50" s="58">
        <v>45913</v>
      </c>
      <c r="AD50" s="59">
        <v>0.72569444444525288</v>
      </c>
      <c r="AE50" s="56" t="s">
        <v>3064</v>
      </c>
      <c r="AF50" s="58">
        <v>45918</v>
      </c>
      <c r="AG50" s="59">
        <v>0.78472222221898846</v>
      </c>
      <c r="AH50" s="56" t="s">
        <v>3020</v>
      </c>
      <c r="AI50" s="56" t="s">
        <v>3984</v>
      </c>
      <c r="AJ50" s="56" t="s">
        <v>64</v>
      </c>
      <c r="AK50" s="56" t="s">
        <v>64</v>
      </c>
      <c r="AL50" s="56" t="s">
        <v>3838</v>
      </c>
      <c r="AM50" s="60" t="s">
        <v>65</v>
      </c>
      <c r="AN50" s="60" t="s">
        <v>3974</v>
      </c>
      <c r="AO50" s="60"/>
      <c r="AP50" s="61"/>
    </row>
    <row r="51" spans="3:42" ht="14.25" customHeight="1">
      <c r="C51" s="55" t="str">
        <f>IF($X51=1,COUNTIF($C$10:C50,"&gt;0")+1,"")</f>
        <v/>
      </c>
      <c r="D51" s="56"/>
      <c r="E51" s="56" t="s">
        <v>3978</v>
      </c>
      <c r="F51" s="57" t="s">
        <v>3998</v>
      </c>
      <c r="G51" s="56" t="s">
        <v>3994</v>
      </c>
      <c r="H51" s="56" t="s">
        <v>3999</v>
      </c>
      <c r="I51" s="56" t="s">
        <v>3996</v>
      </c>
      <c r="J51" s="56" t="s">
        <v>58</v>
      </c>
      <c r="K51" s="56" t="s">
        <v>59</v>
      </c>
      <c r="L51" s="58">
        <v>26336</v>
      </c>
      <c r="M51" s="56">
        <v>53</v>
      </c>
      <c r="N51" s="56" t="s">
        <v>4000</v>
      </c>
      <c r="O51" s="58">
        <v>46411</v>
      </c>
      <c r="P51" s="56" t="s">
        <v>4</v>
      </c>
      <c r="Q51" s="56"/>
      <c r="R51" s="162">
        <v>45913</v>
      </c>
      <c r="S51" s="163">
        <v>45918</v>
      </c>
      <c r="T51" s="164">
        <f t="shared" si="0"/>
        <v>5</v>
      </c>
      <c r="U51" s="56">
        <v>1</v>
      </c>
      <c r="V51" s="56">
        <v>1</v>
      </c>
      <c r="W51" s="56">
        <v>0</v>
      </c>
      <c r="X51" s="56">
        <v>0</v>
      </c>
      <c r="Y51" s="56">
        <v>0</v>
      </c>
      <c r="Z51" s="56">
        <v>0</v>
      </c>
      <c r="AA51" s="56">
        <v>0</v>
      </c>
      <c r="AB51" s="56"/>
      <c r="AC51" s="58">
        <v>45913</v>
      </c>
      <c r="AD51" s="59">
        <v>0.72569444444525288</v>
      </c>
      <c r="AE51" s="56" t="s">
        <v>3064</v>
      </c>
      <c r="AF51" s="58">
        <v>45918</v>
      </c>
      <c r="AG51" s="59">
        <v>0.78472222221898846</v>
      </c>
      <c r="AH51" s="56" t="s">
        <v>3020</v>
      </c>
      <c r="AI51" s="56" t="s">
        <v>3984</v>
      </c>
      <c r="AJ51" s="56" t="s">
        <v>64</v>
      </c>
      <c r="AK51" s="56" t="s">
        <v>64</v>
      </c>
      <c r="AL51" s="56" t="s">
        <v>3838</v>
      </c>
      <c r="AM51" s="60" t="s">
        <v>65</v>
      </c>
      <c r="AN51" s="60" t="s">
        <v>3974</v>
      </c>
      <c r="AO51" s="60"/>
      <c r="AP51" s="61"/>
    </row>
    <row r="52" spans="3:42" ht="14.25" customHeight="1">
      <c r="C52" s="55">
        <f>IF($X52=1,COUNTIF($C$10:C51,"&gt;0")+1,"")</f>
        <v>22</v>
      </c>
      <c r="D52" s="56">
        <v>15262337</v>
      </c>
      <c r="E52" s="56" t="s">
        <v>4001</v>
      </c>
      <c r="F52" s="57" t="s">
        <v>4002</v>
      </c>
      <c r="G52" s="56" t="s">
        <v>4002</v>
      </c>
      <c r="H52" s="56" t="s">
        <v>4003</v>
      </c>
      <c r="I52" s="56" t="s">
        <v>4004</v>
      </c>
      <c r="J52" s="56" t="s">
        <v>68</v>
      </c>
      <c r="K52" s="56" t="s">
        <v>59</v>
      </c>
      <c r="L52" s="58">
        <v>27232</v>
      </c>
      <c r="M52" s="56">
        <v>51</v>
      </c>
      <c r="N52" s="56" t="s">
        <v>4005</v>
      </c>
      <c r="O52" s="58">
        <v>48692</v>
      </c>
      <c r="P52" s="56" t="s">
        <v>4</v>
      </c>
      <c r="Q52" s="56"/>
      <c r="R52" s="162">
        <v>45913</v>
      </c>
      <c r="S52" s="163">
        <v>45918</v>
      </c>
      <c r="T52" s="164">
        <f t="shared" si="0"/>
        <v>5</v>
      </c>
      <c r="U52" s="56">
        <v>1</v>
      </c>
      <c r="V52" s="56">
        <v>1</v>
      </c>
      <c r="W52" s="56">
        <v>0</v>
      </c>
      <c r="X52" s="56">
        <v>1</v>
      </c>
      <c r="Y52" s="56">
        <v>0</v>
      </c>
      <c r="Z52" s="56">
        <v>1</v>
      </c>
      <c r="AA52" s="56">
        <v>0</v>
      </c>
      <c r="AB52" s="56"/>
      <c r="AC52" s="58">
        <v>45913</v>
      </c>
      <c r="AD52" s="59">
        <v>0.65625</v>
      </c>
      <c r="AE52" s="56" t="s">
        <v>2338</v>
      </c>
      <c r="AF52" s="58">
        <v>45918</v>
      </c>
      <c r="AG52" s="59">
        <v>0.34722222221898846</v>
      </c>
      <c r="AH52" s="56" t="s">
        <v>4006</v>
      </c>
      <c r="AI52" s="56" t="s">
        <v>4007</v>
      </c>
      <c r="AJ52" s="56" t="s">
        <v>64</v>
      </c>
      <c r="AK52" s="56" t="s">
        <v>64</v>
      </c>
      <c r="AL52" s="56" t="s">
        <v>3838</v>
      </c>
      <c r="AM52" s="60" t="s">
        <v>65</v>
      </c>
      <c r="AN52" s="60" t="s">
        <v>3974</v>
      </c>
      <c r="AO52" s="60"/>
      <c r="AP52" s="61"/>
    </row>
    <row r="53" spans="3:42" ht="14.25" customHeight="1">
      <c r="C53" s="55" t="str">
        <f>IF($X53=1,COUNTIF($C$10:C52,"&gt;0")+1,"")</f>
        <v/>
      </c>
      <c r="D53" s="56"/>
      <c r="E53" s="56" t="s">
        <v>4001</v>
      </c>
      <c r="F53" s="57" t="s">
        <v>4008</v>
      </c>
      <c r="G53" s="56" t="s">
        <v>4002</v>
      </c>
      <c r="H53" s="56" t="s">
        <v>4009</v>
      </c>
      <c r="I53" s="56" t="s">
        <v>4004</v>
      </c>
      <c r="J53" s="56" t="s">
        <v>58</v>
      </c>
      <c r="K53" s="56" t="s">
        <v>59</v>
      </c>
      <c r="L53" s="58">
        <v>26824</v>
      </c>
      <c r="M53" s="56">
        <v>52</v>
      </c>
      <c r="N53" s="56" t="s">
        <v>4010</v>
      </c>
      <c r="O53" s="58">
        <v>47665</v>
      </c>
      <c r="P53" s="56" t="s">
        <v>4</v>
      </c>
      <c r="Q53" s="56"/>
      <c r="R53" s="162">
        <v>45913</v>
      </c>
      <c r="S53" s="163">
        <v>45918</v>
      </c>
      <c r="T53" s="164">
        <f t="shared" si="0"/>
        <v>5</v>
      </c>
      <c r="U53" s="56">
        <v>1</v>
      </c>
      <c r="V53" s="56">
        <v>1</v>
      </c>
      <c r="W53" s="56">
        <v>0</v>
      </c>
      <c r="X53" s="56">
        <v>0</v>
      </c>
      <c r="Y53" s="56">
        <v>0</v>
      </c>
      <c r="Z53" s="56">
        <v>0</v>
      </c>
      <c r="AA53" s="56">
        <v>0</v>
      </c>
      <c r="AB53" s="56"/>
      <c r="AC53" s="58">
        <v>45913</v>
      </c>
      <c r="AD53" s="59">
        <v>0.65625</v>
      </c>
      <c r="AE53" s="56" t="s">
        <v>2338</v>
      </c>
      <c r="AF53" s="58">
        <v>45918</v>
      </c>
      <c r="AG53" s="59">
        <v>0.34722222221898846</v>
      </c>
      <c r="AH53" s="56" t="s">
        <v>4006</v>
      </c>
      <c r="AI53" s="56" t="s">
        <v>4007</v>
      </c>
      <c r="AJ53" s="56" t="s">
        <v>64</v>
      </c>
      <c r="AK53" s="56" t="s">
        <v>64</v>
      </c>
      <c r="AL53" s="56" t="s">
        <v>3838</v>
      </c>
      <c r="AM53" s="60" t="s">
        <v>65</v>
      </c>
      <c r="AN53" s="60" t="s">
        <v>3974</v>
      </c>
      <c r="AO53" s="60"/>
      <c r="AP53" s="61"/>
    </row>
    <row r="54" spans="3:42" ht="14.25" customHeight="1">
      <c r="C54" s="55">
        <f>IF($X54=1,COUNTIF($C$10:C53,"&gt;0")+1,"")</f>
        <v>23</v>
      </c>
      <c r="D54" s="56">
        <v>15262338</v>
      </c>
      <c r="E54" s="56" t="s">
        <v>4001</v>
      </c>
      <c r="F54" s="57" t="s">
        <v>4011</v>
      </c>
      <c r="G54" s="56" t="s">
        <v>4011</v>
      </c>
      <c r="H54" s="56" t="s">
        <v>4012</v>
      </c>
      <c r="I54" s="56" t="s">
        <v>4013</v>
      </c>
      <c r="J54" s="56" t="s">
        <v>68</v>
      </c>
      <c r="K54" s="56" t="s">
        <v>59</v>
      </c>
      <c r="L54" s="58">
        <v>23353</v>
      </c>
      <c r="M54" s="56">
        <v>61</v>
      </c>
      <c r="N54" s="56" t="s">
        <v>4014</v>
      </c>
      <c r="O54" s="58">
        <v>47673</v>
      </c>
      <c r="P54" s="56" t="s">
        <v>4</v>
      </c>
      <c r="Q54" s="56"/>
      <c r="R54" s="162">
        <v>45913</v>
      </c>
      <c r="S54" s="163">
        <v>45918</v>
      </c>
      <c r="T54" s="164">
        <f t="shared" si="0"/>
        <v>5</v>
      </c>
      <c r="U54" s="56">
        <v>1</v>
      </c>
      <c r="V54" s="56">
        <v>1</v>
      </c>
      <c r="W54" s="56">
        <v>0</v>
      </c>
      <c r="X54" s="56">
        <v>1</v>
      </c>
      <c r="Y54" s="56">
        <v>0</v>
      </c>
      <c r="Z54" s="56">
        <v>1</v>
      </c>
      <c r="AA54" s="56">
        <v>0</v>
      </c>
      <c r="AB54" s="56"/>
      <c r="AC54" s="58">
        <v>45913</v>
      </c>
      <c r="AD54" s="59">
        <v>0.625</v>
      </c>
      <c r="AE54" s="56" t="s">
        <v>74</v>
      </c>
      <c r="AF54" s="58">
        <v>45918</v>
      </c>
      <c r="AG54" s="59">
        <v>0.47916666666424135</v>
      </c>
      <c r="AH54" s="56" t="s">
        <v>189</v>
      </c>
      <c r="AI54" s="56" t="s">
        <v>4007</v>
      </c>
      <c r="AJ54" s="56" t="s">
        <v>64</v>
      </c>
      <c r="AK54" s="56" t="s">
        <v>64</v>
      </c>
      <c r="AL54" s="56" t="s">
        <v>3838</v>
      </c>
      <c r="AM54" s="60" t="s">
        <v>65</v>
      </c>
      <c r="AN54" s="60" t="s">
        <v>3974</v>
      </c>
      <c r="AO54" s="60"/>
      <c r="AP54" s="61"/>
    </row>
    <row r="55" spans="3:42" ht="14.25" customHeight="1">
      <c r="C55" s="55" t="str">
        <f>IF($X55=1,COUNTIF($C$10:C54,"&gt;0")+1,"")</f>
        <v/>
      </c>
      <c r="D55" s="56"/>
      <c r="E55" s="56" t="s">
        <v>4001</v>
      </c>
      <c r="F55" s="57" t="s">
        <v>4015</v>
      </c>
      <c r="G55" s="56" t="s">
        <v>4011</v>
      </c>
      <c r="H55" s="56" t="s">
        <v>4016</v>
      </c>
      <c r="I55" s="56" t="s">
        <v>4017</v>
      </c>
      <c r="J55" s="56" t="s">
        <v>68</v>
      </c>
      <c r="K55" s="56" t="s">
        <v>59</v>
      </c>
      <c r="L55" s="58">
        <v>26097</v>
      </c>
      <c r="M55" s="56">
        <v>54</v>
      </c>
      <c r="N55" s="56" t="s">
        <v>4018</v>
      </c>
      <c r="O55" s="58">
        <v>47441</v>
      </c>
      <c r="P55" s="56" t="s">
        <v>4</v>
      </c>
      <c r="Q55" s="56"/>
      <c r="R55" s="162">
        <v>45913</v>
      </c>
      <c r="S55" s="163">
        <v>45918</v>
      </c>
      <c r="T55" s="164">
        <f t="shared" si="0"/>
        <v>5</v>
      </c>
      <c r="U55" s="56">
        <v>1</v>
      </c>
      <c r="V55" s="56">
        <v>1</v>
      </c>
      <c r="W55" s="56">
        <v>0</v>
      </c>
      <c r="X55" s="56">
        <v>0</v>
      </c>
      <c r="Y55" s="56">
        <v>0</v>
      </c>
      <c r="Z55" s="56">
        <v>0</v>
      </c>
      <c r="AA55" s="56">
        <v>0</v>
      </c>
      <c r="AB55" s="56"/>
      <c r="AC55" s="58">
        <v>45913</v>
      </c>
      <c r="AD55" s="59">
        <v>0.625</v>
      </c>
      <c r="AE55" s="56" t="s">
        <v>74</v>
      </c>
      <c r="AF55" s="58">
        <v>45918</v>
      </c>
      <c r="AG55" s="59">
        <v>0.47916666666424135</v>
      </c>
      <c r="AH55" s="56" t="s">
        <v>189</v>
      </c>
      <c r="AI55" s="56" t="s">
        <v>4007</v>
      </c>
      <c r="AJ55" s="56" t="s">
        <v>64</v>
      </c>
      <c r="AK55" s="56" t="s">
        <v>64</v>
      </c>
      <c r="AL55" s="56" t="s">
        <v>3838</v>
      </c>
      <c r="AM55" s="60" t="s">
        <v>65</v>
      </c>
      <c r="AN55" s="60" t="s">
        <v>3974</v>
      </c>
      <c r="AO55" s="60"/>
      <c r="AP55" s="61"/>
    </row>
    <row r="56" spans="3:42" ht="14.25" customHeight="1">
      <c r="C56" s="55">
        <f>IF($X56=1,COUNTIF($C$10:C55,"&gt;0")+1,"")</f>
        <v>24</v>
      </c>
      <c r="D56" s="56">
        <v>15262339</v>
      </c>
      <c r="E56" s="56" t="s">
        <v>4001</v>
      </c>
      <c r="F56" s="57" t="s">
        <v>4019</v>
      </c>
      <c r="G56" s="56" t="s">
        <v>4011</v>
      </c>
      <c r="H56" s="56" t="s">
        <v>4020</v>
      </c>
      <c r="I56" s="56" t="s">
        <v>4021</v>
      </c>
      <c r="J56" s="56" t="s">
        <v>58</v>
      </c>
      <c r="K56" s="56" t="s">
        <v>59</v>
      </c>
      <c r="L56" s="58">
        <v>26929</v>
      </c>
      <c r="M56" s="56">
        <v>51</v>
      </c>
      <c r="N56" s="56" t="s">
        <v>4022</v>
      </c>
      <c r="O56" s="58">
        <v>49245</v>
      </c>
      <c r="P56" s="56" t="s">
        <v>4</v>
      </c>
      <c r="Q56" s="56"/>
      <c r="R56" s="162">
        <v>45913</v>
      </c>
      <c r="S56" s="163">
        <v>45918</v>
      </c>
      <c r="T56" s="164">
        <f t="shared" si="0"/>
        <v>5</v>
      </c>
      <c r="U56" s="56">
        <v>1</v>
      </c>
      <c r="V56" s="56">
        <v>1</v>
      </c>
      <c r="W56" s="56">
        <v>0</v>
      </c>
      <c r="X56" s="56">
        <v>1</v>
      </c>
      <c r="Y56" s="56">
        <v>0</v>
      </c>
      <c r="Z56" s="56">
        <v>1</v>
      </c>
      <c r="AA56" s="56">
        <v>0</v>
      </c>
      <c r="AB56" s="56"/>
      <c r="AC56" s="58">
        <v>45913</v>
      </c>
      <c r="AD56" s="59">
        <v>0.625</v>
      </c>
      <c r="AE56" s="56" t="s">
        <v>74</v>
      </c>
      <c r="AF56" s="58">
        <v>45918</v>
      </c>
      <c r="AG56" s="59">
        <v>0.47916666666424135</v>
      </c>
      <c r="AH56" s="56" t="s">
        <v>189</v>
      </c>
      <c r="AI56" s="56" t="s">
        <v>4007</v>
      </c>
      <c r="AJ56" s="56" t="s">
        <v>64</v>
      </c>
      <c r="AK56" s="56" t="s">
        <v>64</v>
      </c>
      <c r="AL56" s="56" t="s">
        <v>3838</v>
      </c>
      <c r="AM56" s="60" t="s">
        <v>65</v>
      </c>
      <c r="AN56" s="60" t="s">
        <v>3974</v>
      </c>
      <c r="AO56" s="60"/>
      <c r="AP56" s="61"/>
    </row>
    <row r="57" spans="3:42" ht="14.25" customHeight="1">
      <c r="C57" s="55" t="str">
        <f>IF($X57=1,COUNTIF($C$10:C56,"&gt;0")+1,"")</f>
        <v/>
      </c>
      <c r="D57" s="56"/>
      <c r="E57" s="56" t="s">
        <v>4001</v>
      </c>
      <c r="F57" s="57" t="s">
        <v>4023</v>
      </c>
      <c r="G57" s="56" t="s">
        <v>4011</v>
      </c>
      <c r="H57" s="56" t="s">
        <v>4024</v>
      </c>
      <c r="I57" s="56" t="s">
        <v>4021</v>
      </c>
      <c r="J57" s="56" t="s">
        <v>68</v>
      </c>
      <c r="K57" s="56" t="s">
        <v>59</v>
      </c>
      <c r="L57" s="58">
        <v>27275</v>
      </c>
      <c r="M57" s="56">
        <v>51</v>
      </c>
      <c r="N57" s="56" t="s">
        <v>4025</v>
      </c>
      <c r="O57" s="58">
        <v>47158</v>
      </c>
      <c r="P57" s="56" t="s">
        <v>4</v>
      </c>
      <c r="Q57" s="56"/>
      <c r="R57" s="162">
        <v>45913</v>
      </c>
      <c r="S57" s="163">
        <v>45918</v>
      </c>
      <c r="T57" s="164">
        <f t="shared" si="0"/>
        <v>5</v>
      </c>
      <c r="U57" s="56">
        <v>1</v>
      </c>
      <c r="V57" s="56">
        <v>1</v>
      </c>
      <c r="W57" s="56">
        <v>0</v>
      </c>
      <c r="X57" s="56">
        <v>0</v>
      </c>
      <c r="Y57" s="56">
        <v>0</v>
      </c>
      <c r="Z57" s="56">
        <v>0</v>
      </c>
      <c r="AA57" s="56">
        <v>0</v>
      </c>
      <c r="AB57" s="56"/>
      <c r="AC57" s="58">
        <v>45913</v>
      </c>
      <c r="AD57" s="59">
        <v>0.625</v>
      </c>
      <c r="AE57" s="56" t="s">
        <v>74</v>
      </c>
      <c r="AF57" s="58">
        <v>45918</v>
      </c>
      <c r="AG57" s="59">
        <v>0.47916666666424135</v>
      </c>
      <c r="AH57" s="56" t="s">
        <v>189</v>
      </c>
      <c r="AI57" s="56" t="s">
        <v>4007</v>
      </c>
      <c r="AJ57" s="56" t="s">
        <v>64</v>
      </c>
      <c r="AK57" s="56" t="s">
        <v>64</v>
      </c>
      <c r="AL57" s="56" t="s">
        <v>3838</v>
      </c>
      <c r="AM57" s="60" t="s">
        <v>65</v>
      </c>
      <c r="AN57" s="60" t="s">
        <v>3974</v>
      </c>
      <c r="AO57" s="60"/>
      <c r="AP57" s="61"/>
    </row>
    <row r="58" spans="3:42" ht="14.25" customHeight="1">
      <c r="C58" s="55" t="str">
        <f>IF($X58=1,COUNTIF($C$10:C57,"&gt;0")+1,"")</f>
        <v/>
      </c>
      <c r="D58" s="56"/>
      <c r="E58" s="56" t="s">
        <v>4001</v>
      </c>
      <c r="F58" s="57" t="s">
        <v>4026</v>
      </c>
      <c r="G58" s="56" t="s">
        <v>4011</v>
      </c>
      <c r="H58" s="56" t="s">
        <v>4027</v>
      </c>
      <c r="I58" s="56" t="s">
        <v>4021</v>
      </c>
      <c r="J58" s="56" t="s">
        <v>58</v>
      </c>
      <c r="K58" s="56" t="s">
        <v>59</v>
      </c>
      <c r="L58" s="58">
        <v>42515</v>
      </c>
      <c r="M58" s="56">
        <v>9</v>
      </c>
      <c r="N58" s="56" t="s">
        <v>4028</v>
      </c>
      <c r="O58" s="58">
        <v>47144</v>
      </c>
      <c r="P58" s="56" t="s">
        <v>4</v>
      </c>
      <c r="Q58" s="56"/>
      <c r="R58" s="162">
        <v>45913</v>
      </c>
      <c r="S58" s="163">
        <v>45918</v>
      </c>
      <c r="T58" s="164">
        <f t="shared" si="0"/>
        <v>5</v>
      </c>
      <c r="U58" s="56">
        <v>1</v>
      </c>
      <c r="V58" s="56">
        <v>0</v>
      </c>
      <c r="W58" s="56">
        <v>1</v>
      </c>
      <c r="X58" s="56">
        <v>0</v>
      </c>
      <c r="Y58" s="56">
        <v>0</v>
      </c>
      <c r="Z58" s="56">
        <v>0</v>
      </c>
      <c r="AA58" s="56">
        <v>0</v>
      </c>
      <c r="AB58" s="56"/>
      <c r="AC58" s="58">
        <v>45913</v>
      </c>
      <c r="AD58" s="59">
        <v>0.625</v>
      </c>
      <c r="AE58" s="56" t="s">
        <v>74</v>
      </c>
      <c r="AF58" s="58">
        <v>45918</v>
      </c>
      <c r="AG58" s="59">
        <v>0.47916666666424135</v>
      </c>
      <c r="AH58" s="56" t="s">
        <v>189</v>
      </c>
      <c r="AI58" s="56" t="s">
        <v>4007</v>
      </c>
      <c r="AJ58" s="56" t="s">
        <v>64</v>
      </c>
      <c r="AK58" s="56" t="s">
        <v>64</v>
      </c>
      <c r="AL58" s="56" t="s">
        <v>3838</v>
      </c>
      <c r="AM58" s="60" t="s">
        <v>65</v>
      </c>
      <c r="AN58" s="60" t="s">
        <v>3974</v>
      </c>
      <c r="AO58" s="60"/>
      <c r="AP58" s="61"/>
    </row>
    <row r="59" spans="3:42" ht="14.25" customHeight="1">
      <c r="C59" s="55">
        <f>IF($X59=1,COUNTIF($C$10:C58,"&gt;0")+1,"")</f>
        <v>25</v>
      </c>
      <c r="D59" s="56">
        <v>15262340</v>
      </c>
      <c r="E59" s="56" t="s">
        <v>4001</v>
      </c>
      <c r="F59" s="57" t="s">
        <v>4029</v>
      </c>
      <c r="G59" s="56" t="s">
        <v>4029</v>
      </c>
      <c r="H59" s="56" t="s">
        <v>4030</v>
      </c>
      <c r="I59" s="56" t="s">
        <v>4031</v>
      </c>
      <c r="J59" s="56" t="s">
        <v>68</v>
      </c>
      <c r="K59" s="56" t="s">
        <v>59</v>
      </c>
      <c r="L59" s="58">
        <v>27135</v>
      </c>
      <c r="M59" s="56">
        <v>51</v>
      </c>
      <c r="N59" s="56" t="s">
        <v>4032</v>
      </c>
      <c r="O59" s="58">
        <v>48615</v>
      </c>
      <c r="P59" s="56" t="s">
        <v>4</v>
      </c>
      <c r="Q59" s="56"/>
      <c r="R59" s="162">
        <v>45913</v>
      </c>
      <c r="S59" s="163">
        <v>45918</v>
      </c>
      <c r="T59" s="164">
        <f t="shared" si="0"/>
        <v>5</v>
      </c>
      <c r="U59" s="56">
        <v>1</v>
      </c>
      <c r="V59" s="56">
        <v>1</v>
      </c>
      <c r="W59" s="56">
        <v>0</v>
      </c>
      <c r="X59" s="56">
        <v>1</v>
      </c>
      <c r="Y59" s="56">
        <v>0</v>
      </c>
      <c r="Z59" s="56">
        <v>1</v>
      </c>
      <c r="AA59" s="56">
        <v>0</v>
      </c>
      <c r="AB59" s="56"/>
      <c r="AC59" s="58">
        <v>45913</v>
      </c>
      <c r="AD59" s="59">
        <v>0.45833333333575865</v>
      </c>
      <c r="AE59" s="56" t="s">
        <v>244</v>
      </c>
      <c r="AF59" s="58">
        <v>45918</v>
      </c>
      <c r="AG59" s="59">
        <v>0.375</v>
      </c>
      <c r="AH59" s="56" t="s">
        <v>4033</v>
      </c>
      <c r="AI59" s="56" t="s">
        <v>4007</v>
      </c>
      <c r="AJ59" s="56" t="s">
        <v>64</v>
      </c>
      <c r="AK59" s="56" t="s">
        <v>64</v>
      </c>
      <c r="AL59" s="56" t="s">
        <v>3838</v>
      </c>
      <c r="AM59" s="60" t="s">
        <v>65</v>
      </c>
      <c r="AN59" s="60" t="s">
        <v>3974</v>
      </c>
      <c r="AO59" s="60"/>
      <c r="AP59" s="61"/>
    </row>
    <row r="60" spans="3:42" ht="14.25" customHeight="1">
      <c r="C60" s="55" t="str">
        <f>IF($X60=1,COUNTIF($C$10:C59,"&gt;0")+1,"")</f>
        <v/>
      </c>
      <c r="D60" s="56"/>
      <c r="E60" s="56" t="s">
        <v>4001</v>
      </c>
      <c r="F60" s="57" t="s">
        <v>4034</v>
      </c>
      <c r="G60" s="56" t="s">
        <v>4029</v>
      </c>
      <c r="H60" s="56" t="s">
        <v>4035</v>
      </c>
      <c r="I60" s="56" t="s">
        <v>4031</v>
      </c>
      <c r="J60" s="56" t="s">
        <v>58</v>
      </c>
      <c r="K60" s="56" t="s">
        <v>59</v>
      </c>
      <c r="L60" s="58">
        <v>26966</v>
      </c>
      <c r="M60" s="56">
        <v>51</v>
      </c>
      <c r="N60" s="56" t="s">
        <v>4036</v>
      </c>
      <c r="O60" s="58">
        <v>48843</v>
      </c>
      <c r="P60" s="56" t="s">
        <v>4</v>
      </c>
      <c r="Q60" s="56"/>
      <c r="R60" s="162">
        <v>45913</v>
      </c>
      <c r="S60" s="163">
        <v>45918</v>
      </c>
      <c r="T60" s="164">
        <f t="shared" si="0"/>
        <v>5</v>
      </c>
      <c r="U60" s="56">
        <v>1</v>
      </c>
      <c r="V60" s="56">
        <v>1</v>
      </c>
      <c r="W60" s="56">
        <v>0</v>
      </c>
      <c r="X60" s="56">
        <v>0</v>
      </c>
      <c r="Y60" s="56">
        <v>0</v>
      </c>
      <c r="Z60" s="56">
        <v>0</v>
      </c>
      <c r="AA60" s="56">
        <v>0</v>
      </c>
      <c r="AB60" s="56"/>
      <c r="AC60" s="58">
        <v>45913</v>
      </c>
      <c r="AD60" s="59">
        <v>0.45833333333575865</v>
      </c>
      <c r="AE60" s="56" t="s">
        <v>244</v>
      </c>
      <c r="AF60" s="58">
        <v>45918</v>
      </c>
      <c r="AG60" s="59">
        <v>0.375</v>
      </c>
      <c r="AH60" s="56" t="s">
        <v>4033</v>
      </c>
      <c r="AI60" s="56" t="s">
        <v>4007</v>
      </c>
      <c r="AJ60" s="56" t="s">
        <v>64</v>
      </c>
      <c r="AK60" s="56" t="s">
        <v>64</v>
      </c>
      <c r="AL60" s="56" t="s">
        <v>3838</v>
      </c>
      <c r="AM60" s="60" t="s">
        <v>65</v>
      </c>
      <c r="AN60" s="60" t="s">
        <v>3974</v>
      </c>
      <c r="AO60" s="60"/>
      <c r="AP60" s="61"/>
    </row>
    <row r="61" spans="3:42" ht="14.25" customHeight="1">
      <c r="C61" s="55">
        <f>IF($X61=1,COUNTIF($C$10:C60,"&gt;0")+1,"")</f>
        <v>26</v>
      </c>
      <c r="D61" s="56">
        <v>15262341</v>
      </c>
      <c r="E61" s="56" t="s">
        <v>4001</v>
      </c>
      <c r="F61" s="57" t="s">
        <v>4037</v>
      </c>
      <c r="G61" s="56" t="s">
        <v>4029</v>
      </c>
      <c r="H61" s="56" t="s">
        <v>4038</v>
      </c>
      <c r="I61" s="56" t="s">
        <v>4031</v>
      </c>
      <c r="J61" s="56" t="s">
        <v>68</v>
      </c>
      <c r="K61" s="56" t="s">
        <v>59</v>
      </c>
      <c r="L61" s="58">
        <v>40610</v>
      </c>
      <c r="M61" s="56">
        <v>14</v>
      </c>
      <c r="N61" s="56" t="s">
        <v>4039</v>
      </c>
      <c r="O61" s="58">
        <v>46461</v>
      </c>
      <c r="P61" s="56" t="s">
        <v>4</v>
      </c>
      <c r="Q61" s="56"/>
      <c r="R61" s="162">
        <v>45913</v>
      </c>
      <c r="S61" s="163">
        <v>45918</v>
      </c>
      <c r="T61" s="164">
        <f t="shared" si="0"/>
        <v>5</v>
      </c>
      <c r="U61" s="56">
        <v>1</v>
      </c>
      <c r="V61" s="56">
        <v>1</v>
      </c>
      <c r="W61" s="56">
        <v>0</v>
      </c>
      <c r="X61" s="56">
        <v>1</v>
      </c>
      <c r="Y61" s="56">
        <v>0</v>
      </c>
      <c r="Z61" s="56">
        <v>1</v>
      </c>
      <c r="AA61" s="56">
        <v>0</v>
      </c>
      <c r="AB61" s="56"/>
      <c r="AC61" s="58">
        <v>45913</v>
      </c>
      <c r="AD61" s="59">
        <v>0.45833333333575865</v>
      </c>
      <c r="AE61" s="56" t="s">
        <v>244</v>
      </c>
      <c r="AF61" s="58">
        <v>45918</v>
      </c>
      <c r="AG61" s="59">
        <v>0.375</v>
      </c>
      <c r="AH61" s="56" t="s">
        <v>4033</v>
      </c>
      <c r="AI61" s="56" t="s">
        <v>4007</v>
      </c>
      <c r="AJ61" s="56" t="s">
        <v>64</v>
      </c>
      <c r="AK61" s="56" t="s">
        <v>64</v>
      </c>
      <c r="AL61" s="56" t="s">
        <v>3838</v>
      </c>
      <c r="AM61" s="60" t="s">
        <v>65</v>
      </c>
      <c r="AN61" s="60" t="s">
        <v>3974</v>
      </c>
      <c r="AO61" s="60"/>
      <c r="AP61" s="61"/>
    </row>
    <row r="62" spans="3:42" ht="14.25" customHeight="1">
      <c r="C62" s="55" t="str">
        <f>IF($X62=1,COUNTIF($C$10:C61,"&gt;0")+1,"")</f>
        <v/>
      </c>
      <c r="D62" s="56"/>
      <c r="E62" s="56" t="s">
        <v>4001</v>
      </c>
      <c r="F62" s="57" t="s">
        <v>4040</v>
      </c>
      <c r="G62" s="56" t="s">
        <v>4029</v>
      </c>
      <c r="H62" s="56" t="s">
        <v>4041</v>
      </c>
      <c r="I62" s="56" t="s">
        <v>4042</v>
      </c>
      <c r="J62" s="56" t="s">
        <v>68</v>
      </c>
      <c r="K62" s="56" t="s">
        <v>180</v>
      </c>
      <c r="L62" s="58">
        <v>31024</v>
      </c>
      <c r="M62" s="56">
        <v>40</v>
      </c>
      <c r="N62" s="56" t="s">
        <v>4043</v>
      </c>
      <c r="O62" s="58">
        <v>47069</v>
      </c>
      <c r="P62" s="56" t="s">
        <v>4</v>
      </c>
      <c r="Q62" s="56"/>
      <c r="R62" s="162">
        <v>45913</v>
      </c>
      <c r="S62" s="163">
        <v>45918</v>
      </c>
      <c r="T62" s="164">
        <f t="shared" si="0"/>
        <v>5</v>
      </c>
      <c r="U62" s="56">
        <v>1</v>
      </c>
      <c r="V62" s="56">
        <v>1</v>
      </c>
      <c r="W62" s="56">
        <v>0</v>
      </c>
      <c r="X62" s="56">
        <v>0</v>
      </c>
      <c r="Y62" s="56">
        <v>0</v>
      </c>
      <c r="Z62" s="56">
        <v>0</v>
      </c>
      <c r="AA62" s="56">
        <v>0</v>
      </c>
      <c r="AB62" s="56"/>
      <c r="AC62" s="58">
        <v>45913</v>
      </c>
      <c r="AD62" s="59">
        <v>0.80555555555474712</v>
      </c>
      <c r="AE62" s="56" t="s">
        <v>808</v>
      </c>
      <c r="AF62" s="58">
        <v>45918</v>
      </c>
      <c r="AG62" s="59">
        <v>0.85416666666424135</v>
      </c>
      <c r="AH62" s="56" t="s">
        <v>183</v>
      </c>
      <c r="AI62" s="56" t="s">
        <v>4007</v>
      </c>
      <c r="AJ62" s="56" t="s">
        <v>64</v>
      </c>
      <c r="AK62" s="56" t="s">
        <v>64</v>
      </c>
      <c r="AL62" s="56" t="s">
        <v>3838</v>
      </c>
      <c r="AM62" s="60" t="s">
        <v>65</v>
      </c>
      <c r="AN62" s="60" t="s">
        <v>3974</v>
      </c>
      <c r="AO62" s="60" t="s">
        <v>331</v>
      </c>
      <c r="AP62" s="61"/>
    </row>
    <row r="63" spans="3:42" ht="14.25" customHeight="1">
      <c r="C63" s="55">
        <f>IF($X63=1,COUNTIF($C$10:C62,"&gt;0")+1,"")</f>
        <v>27</v>
      </c>
      <c r="D63" s="56">
        <v>15262343</v>
      </c>
      <c r="E63" s="56" t="s">
        <v>4001</v>
      </c>
      <c r="F63" s="57" t="s">
        <v>4044</v>
      </c>
      <c r="G63" s="56" t="s">
        <v>4044</v>
      </c>
      <c r="H63" s="56" t="s">
        <v>4045</v>
      </c>
      <c r="I63" s="56" t="s">
        <v>4046</v>
      </c>
      <c r="J63" s="56" t="s">
        <v>58</v>
      </c>
      <c r="K63" s="56" t="s">
        <v>59</v>
      </c>
      <c r="L63" s="58">
        <v>27039</v>
      </c>
      <c r="M63" s="56">
        <v>51</v>
      </c>
      <c r="N63" s="56" t="s">
        <v>4047</v>
      </c>
      <c r="O63" s="58">
        <v>49259</v>
      </c>
      <c r="P63" s="56" t="s">
        <v>4</v>
      </c>
      <c r="Q63" s="56"/>
      <c r="R63" s="162">
        <v>45913</v>
      </c>
      <c r="S63" s="163">
        <v>45918</v>
      </c>
      <c r="T63" s="164">
        <f t="shared" si="0"/>
        <v>5</v>
      </c>
      <c r="U63" s="56">
        <v>1</v>
      </c>
      <c r="V63" s="56">
        <v>1</v>
      </c>
      <c r="W63" s="56">
        <v>0</v>
      </c>
      <c r="X63" s="56">
        <v>1</v>
      </c>
      <c r="Y63" s="56">
        <v>0</v>
      </c>
      <c r="Z63" s="56">
        <v>1</v>
      </c>
      <c r="AA63" s="56">
        <v>0</v>
      </c>
      <c r="AB63" s="56"/>
      <c r="AC63" s="58">
        <v>45913</v>
      </c>
      <c r="AD63" s="59">
        <v>0.50694444444525288</v>
      </c>
      <c r="AE63" s="56" t="s">
        <v>182</v>
      </c>
      <c r="AF63" s="58">
        <v>45918</v>
      </c>
      <c r="AG63" s="59">
        <v>0.32986111110949423</v>
      </c>
      <c r="AH63" s="56" t="s">
        <v>4048</v>
      </c>
      <c r="AI63" s="56" t="s">
        <v>4007</v>
      </c>
      <c r="AJ63" s="56" t="s">
        <v>598</v>
      </c>
      <c r="AK63" s="56" t="s">
        <v>3837</v>
      </c>
      <c r="AL63" s="56" t="s">
        <v>3838</v>
      </c>
      <c r="AM63" s="60" t="s">
        <v>65</v>
      </c>
      <c r="AN63" s="60" t="s">
        <v>3974</v>
      </c>
      <c r="AO63" s="60"/>
      <c r="AP63" s="61"/>
    </row>
    <row r="64" spans="3:42" ht="14.25" customHeight="1">
      <c r="C64" s="55" t="str">
        <f>IF($X64=1,COUNTIF($C$10:C63,"&gt;0")+1,"")</f>
        <v/>
      </c>
      <c r="D64" s="56"/>
      <c r="E64" s="56" t="s">
        <v>4001</v>
      </c>
      <c r="F64" s="57" t="s">
        <v>4049</v>
      </c>
      <c r="G64" s="56" t="s">
        <v>4044</v>
      </c>
      <c r="H64" s="56" t="s">
        <v>4050</v>
      </c>
      <c r="I64" s="56" t="s">
        <v>4046</v>
      </c>
      <c r="J64" s="56" t="s">
        <v>68</v>
      </c>
      <c r="K64" s="56" t="s">
        <v>59</v>
      </c>
      <c r="L64" s="58">
        <v>26094</v>
      </c>
      <c r="M64" s="56">
        <v>54</v>
      </c>
      <c r="N64" s="56" t="s">
        <v>4051</v>
      </c>
      <c r="O64" s="58">
        <v>49259</v>
      </c>
      <c r="P64" s="56" t="s">
        <v>4</v>
      </c>
      <c r="Q64" s="56"/>
      <c r="R64" s="162">
        <v>45913</v>
      </c>
      <c r="S64" s="163">
        <v>45918</v>
      </c>
      <c r="T64" s="164">
        <f t="shared" si="0"/>
        <v>5</v>
      </c>
      <c r="U64" s="56">
        <v>1</v>
      </c>
      <c r="V64" s="56">
        <v>1</v>
      </c>
      <c r="W64" s="56">
        <v>0</v>
      </c>
      <c r="X64" s="56">
        <v>0</v>
      </c>
      <c r="Y64" s="56">
        <v>0</v>
      </c>
      <c r="Z64" s="56">
        <v>0</v>
      </c>
      <c r="AA64" s="56">
        <v>0</v>
      </c>
      <c r="AB64" s="56"/>
      <c r="AC64" s="58">
        <v>45913</v>
      </c>
      <c r="AD64" s="59">
        <v>0.50694444444525288</v>
      </c>
      <c r="AE64" s="56" t="s">
        <v>182</v>
      </c>
      <c r="AF64" s="58">
        <v>45918</v>
      </c>
      <c r="AG64" s="59">
        <v>0.32986111110949423</v>
      </c>
      <c r="AH64" s="56" t="s">
        <v>4048</v>
      </c>
      <c r="AI64" s="56" t="s">
        <v>4007</v>
      </c>
      <c r="AJ64" s="56" t="s">
        <v>64</v>
      </c>
      <c r="AK64" s="56" t="s">
        <v>64</v>
      </c>
      <c r="AL64" s="56" t="s">
        <v>3838</v>
      </c>
      <c r="AM64" s="60" t="s">
        <v>65</v>
      </c>
      <c r="AN64" s="60" t="s">
        <v>3839</v>
      </c>
      <c r="AO64" s="60"/>
      <c r="AP64" s="61"/>
    </row>
    <row r="65" spans="3:42" ht="14.25" customHeight="1">
      <c r="C65" s="55">
        <f>IF($X65=1,COUNTIF($C$10:C64,"&gt;0")+1,"")</f>
        <v>28</v>
      </c>
      <c r="D65" s="56">
        <v>15262344</v>
      </c>
      <c r="E65" s="56" t="s">
        <v>4001</v>
      </c>
      <c r="F65" s="57" t="s">
        <v>4052</v>
      </c>
      <c r="G65" s="56" t="s">
        <v>4044</v>
      </c>
      <c r="H65" s="56" t="s">
        <v>4053</v>
      </c>
      <c r="I65" s="56" t="s">
        <v>4046</v>
      </c>
      <c r="J65" s="56" t="s">
        <v>68</v>
      </c>
      <c r="K65" s="56" t="s">
        <v>59</v>
      </c>
      <c r="L65" s="58">
        <v>37792</v>
      </c>
      <c r="M65" s="56">
        <v>22</v>
      </c>
      <c r="N65" s="56" t="s">
        <v>4054</v>
      </c>
      <c r="O65" s="58">
        <v>49163</v>
      </c>
      <c r="P65" s="56" t="s">
        <v>4</v>
      </c>
      <c r="Q65" s="56"/>
      <c r="R65" s="162">
        <v>45913</v>
      </c>
      <c r="S65" s="163">
        <v>45918</v>
      </c>
      <c r="T65" s="164">
        <f t="shared" si="0"/>
        <v>5</v>
      </c>
      <c r="U65" s="56">
        <v>1</v>
      </c>
      <c r="V65" s="56">
        <v>1</v>
      </c>
      <c r="W65" s="56">
        <v>0</v>
      </c>
      <c r="X65" s="56">
        <v>1</v>
      </c>
      <c r="Y65" s="56">
        <v>0</v>
      </c>
      <c r="Z65" s="56">
        <v>1</v>
      </c>
      <c r="AA65" s="56">
        <v>0</v>
      </c>
      <c r="AB65" s="56"/>
      <c r="AC65" s="58">
        <v>45913</v>
      </c>
      <c r="AD65" s="59">
        <v>0.50694444444525288</v>
      </c>
      <c r="AE65" s="56" t="s">
        <v>182</v>
      </c>
      <c r="AF65" s="58">
        <v>45918</v>
      </c>
      <c r="AG65" s="59">
        <v>0.32986111110949423</v>
      </c>
      <c r="AH65" s="56" t="s">
        <v>4048</v>
      </c>
      <c r="AI65" s="56" t="s">
        <v>4007</v>
      </c>
      <c r="AJ65" s="56" t="s">
        <v>64</v>
      </c>
      <c r="AK65" s="56" t="s">
        <v>64</v>
      </c>
      <c r="AL65" s="56" t="s">
        <v>3838</v>
      </c>
      <c r="AM65" s="60" t="s">
        <v>65</v>
      </c>
      <c r="AN65" s="60" t="s">
        <v>3974</v>
      </c>
      <c r="AO65" s="60"/>
      <c r="AP65" s="61"/>
    </row>
    <row r="66" spans="3:42" ht="14.25" customHeight="1">
      <c r="C66" s="55" t="str">
        <f>IF($X66=1,COUNTIF($C$10:C65,"&gt;0")+1,"")</f>
        <v/>
      </c>
      <c r="D66" s="56"/>
      <c r="E66" s="56" t="s">
        <v>4001</v>
      </c>
      <c r="F66" s="57" t="s">
        <v>4055</v>
      </c>
      <c r="G66" s="56" t="s">
        <v>4044</v>
      </c>
      <c r="H66" s="56" t="s">
        <v>4056</v>
      </c>
      <c r="I66" s="56" t="s">
        <v>4046</v>
      </c>
      <c r="J66" s="56" t="s">
        <v>68</v>
      </c>
      <c r="K66" s="56" t="s">
        <v>59</v>
      </c>
      <c r="L66" s="58">
        <v>39507</v>
      </c>
      <c r="M66" s="56">
        <v>17</v>
      </c>
      <c r="N66" s="56" t="s">
        <v>4057</v>
      </c>
      <c r="O66" s="58">
        <v>46708</v>
      </c>
      <c r="P66" s="56" t="s">
        <v>4</v>
      </c>
      <c r="Q66" s="56"/>
      <c r="R66" s="162">
        <v>45913</v>
      </c>
      <c r="S66" s="163">
        <v>45918</v>
      </c>
      <c r="T66" s="164">
        <f t="shared" si="0"/>
        <v>5</v>
      </c>
      <c r="U66" s="56">
        <v>1</v>
      </c>
      <c r="V66" s="56">
        <v>1</v>
      </c>
      <c r="W66" s="56">
        <v>0</v>
      </c>
      <c r="X66" s="56">
        <v>0</v>
      </c>
      <c r="Y66" s="56">
        <v>0</v>
      </c>
      <c r="Z66" s="56">
        <v>0</v>
      </c>
      <c r="AA66" s="56">
        <v>0</v>
      </c>
      <c r="AB66" s="56"/>
      <c r="AC66" s="58">
        <v>45913</v>
      </c>
      <c r="AD66" s="59">
        <v>0.50694444444525288</v>
      </c>
      <c r="AE66" s="56" t="s">
        <v>182</v>
      </c>
      <c r="AF66" s="58">
        <v>45918</v>
      </c>
      <c r="AG66" s="59">
        <v>0.32986111110949423</v>
      </c>
      <c r="AH66" s="56" t="s">
        <v>4048</v>
      </c>
      <c r="AI66" s="56" t="s">
        <v>4007</v>
      </c>
      <c r="AJ66" s="56" t="s">
        <v>64</v>
      </c>
      <c r="AK66" s="56" t="s">
        <v>64</v>
      </c>
      <c r="AL66" s="56" t="s">
        <v>3838</v>
      </c>
      <c r="AM66" s="60" t="s">
        <v>65</v>
      </c>
      <c r="AN66" s="60" t="s">
        <v>3974</v>
      </c>
      <c r="AO66" s="60"/>
      <c r="AP66" s="61"/>
    </row>
    <row r="67" spans="3:42" ht="14.25" customHeight="1">
      <c r="C67" s="55">
        <f>IF($X67=1,COUNTIF($C$10:C66,"&gt;0")+1,"")</f>
        <v>29</v>
      </c>
      <c r="D67" s="56">
        <v>15262345</v>
      </c>
      <c r="E67" s="56" t="s">
        <v>4001</v>
      </c>
      <c r="F67" s="57" t="s">
        <v>4058</v>
      </c>
      <c r="G67" s="56" t="s">
        <v>4044</v>
      </c>
      <c r="H67" s="56" t="s">
        <v>4059</v>
      </c>
      <c r="I67" s="56" t="s">
        <v>4046</v>
      </c>
      <c r="J67" s="56" t="s">
        <v>58</v>
      </c>
      <c r="K67" s="56" t="s">
        <v>59</v>
      </c>
      <c r="L67" s="58">
        <v>40128</v>
      </c>
      <c r="M67" s="56">
        <v>15</v>
      </c>
      <c r="N67" s="56" t="s">
        <v>4060</v>
      </c>
      <c r="O67" s="58">
        <v>47355</v>
      </c>
      <c r="P67" s="56" t="s">
        <v>5</v>
      </c>
      <c r="Q67" s="56"/>
      <c r="R67" s="162">
        <v>45913</v>
      </c>
      <c r="S67" s="163">
        <v>45918</v>
      </c>
      <c r="T67" s="164">
        <f t="shared" si="0"/>
        <v>5</v>
      </c>
      <c r="U67" s="56">
        <v>1</v>
      </c>
      <c r="V67" s="56">
        <v>1</v>
      </c>
      <c r="W67" s="56">
        <v>0</v>
      </c>
      <c r="X67" s="56">
        <v>1</v>
      </c>
      <c r="Y67" s="56">
        <v>0</v>
      </c>
      <c r="Z67" s="56">
        <v>0</v>
      </c>
      <c r="AA67" s="56">
        <v>1</v>
      </c>
      <c r="AB67" s="56"/>
      <c r="AC67" s="58">
        <v>45913</v>
      </c>
      <c r="AD67" s="59">
        <v>0.50694444444525288</v>
      </c>
      <c r="AE67" s="56" t="s">
        <v>182</v>
      </c>
      <c r="AF67" s="58">
        <v>45918</v>
      </c>
      <c r="AG67" s="59">
        <v>0.32986111110949423</v>
      </c>
      <c r="AH67" s="56" t="s">
        <v>4048</v>
      </c>
      <c r="AI67" s="56" t="s">
        <v>4007</v>
      </c>
      <c r="AJ67" s="56" t="s">
        <v>64</v>
      </c>
      <c r="AK67" s="56" t="s">
        <v>64</v>
      </c>
      <c r="AL67" s="56" t="s">
        <v>3838</v>
      </c>
      <c r="AM67" s="60" t="s">
        <v>65</v>
      </c>
      <c r="AN67" s="60" t="s">
        <v>4061</v>
      </c>
      <c r="AO67" s="60"/>
      <c r="AP67" s="61"/>
    </row>
    <row r="68" spans="3:42" ht="14.25" customHeight="1">
      <c r="C68" s="55" t="str">
        <f>IF($X68=1,COUNTIF($C$10:C67,"&gt;0")+1,"")</f>
        <v/>
      </c>
      <c r="D68" s="56"/>
      <c r="E68" s="56" t="s">
        <v>4001</v>
      </c>
      <c r="F68" s="57" t="s">
        <v>4062</v>
      </c>
      <c r="G68" s="56" t="s">
        <v>4044</v>
      </c>
      <c r="H68" s="56" t="s">
        <v>4063</v>
      </c>
      <c r="I68" s="56" t="s">
        <v>4064</v>
      </c>
      <c r="J68" s="56" t="s">
        <v>68</v>
      </c>
      <c r="K68" s="56" t="s">
        <v>59</v>
      </c>
      <c r="L68" s="58">
        <v>29856</v>
      </c>
      <c r="M68" s="56">
        <v>43</v>
      </c>
      <c r="N68" s="56" t="s">
        <v>4065</v>
      </c>
      <c r="O68" s="58">
        <v>46531</v>
      </c>
      <c r="P68" s="56" t="s">
        <v>5</v>
      </c>
      <c r="Q68" s="56"/>
      <c r="R68" s="162">
        <v>45913</v>
      </c>
      <c r="S68" s="163">
        <v>45918</v>
      </c>
      <c r="T68" s="164">
        <f t="shared" si="0"/>
        <v>5</v>
      </c>
      <c r="U68" s="56">
        <v>1</v>
      </c>
      <c r="V68" s="56">
        <v>1</v>
      </c>
      <c r="W68" s="56">
        <v>0</v>
      </c>
      <c r="X68" s="56">
        <v>0</v>
      </c>
      <c r="Y68" s="56">
        <v>0</v>
      </c>
      <c r="Z68" s="56">
        <v>0</v>
      </c>
      <c r="AA68" s="56">
        <v>0</v>
      </c>
      <c r="AB68" s="56"/>
      <c r="AC68" s="58">
        <v>45913</v>
      </c>
      <c r="AD68" s="59">
        <v>0.65625</v>
      </c>
      <c r="AE68" s="56" t="s">
        <v>1385</v>
      </c>
      <c r="AF68" s="58">
        <v>45918</v>
      </c>
      <c r="AG68" s="59">
        <v>0.32986111110949423</v>
      </c>
      <c r="AH68" s="56" t="s">
        <v>4048</v>
      </c>
      <c r="AI68" s="56" t="s">
        <v>4007</v>
      </c>
      <c r="AJ68" s="56" t="s">
        <v>64</v>
      </c>
      <c r="AK68" s="56" t="s">
        <v>64</v>
      </c>
      <c r="AL68" s="56" t="s">
        <v>3838</v>
      </c>
      <c r="AM68" s="60" t="s">
        <v>65</v>
      </c>
      <c r="AN68" s="60" t="s">
        <v>4061</v>
      </c>
      <c r="AO68" s="60"/>
      <c r="AP68" s="61"/>
    </row>
    <row r="69" spans="3:42" ht="14.25" customHeight="1">
      <c r="C69" s="55">
        <f>IF($X69=1,COUNTIF($C$10:C68,"&gt;0")+1,"")</f>
        <v>30</v>
      </c>
      <c r="D69" s="56">
        <v>15262346</v>
      </c>
      <c r="E69" s="56" t="s">
        <v>4001</v>
      </c>
      <c r="F69" s="57" t="s">
        <v>4066</v>
      </c>
      <c r="G69" s="56" t="s">
        <v>4066</v>
      </c>
      <c r="H69" s="56" t="s">
        <v>4067</v>
      </c>
      <c r="I69" s="56" t="s">
        <v>4068</v>
      </c>
      <c r="J69" s="56" t="s">
        <v>58</v>
      </c>
      <c r="K69" s="56" t="s">
        <v>59</v>
      </c>
      <c r="L69" s="58">
        <v>27523</v>
      </c>
      <c r="M69" s="56">
        <v>50</v>
      </c>
      <c r="N69" s="56" t="s">
        <v>4069</v>
      </c>
      <c r="O69" s="58">
        <v>48227</v>
      </c>
      <c r="P69" s="56" t="s">
        <v>4</v>
      </c>
      <c r="Q69" s="56"/>
      <c r="R69" s="162">
        <v>45913</v>
      </c>
      <c r="S69" s="163">
        <v>45918</v>
      </c>
      <c r="T69" s="164">
        <f t="shared" si="0"/>
        <v>5</v>
      </c>
      <c r="U69" s="56">
        <v>1</v>
      </c>
      <c r="V69" s="56">
        <v>1</v>
      </c>
      <c r="W69" s="56">
        <v>0</v>
      </c>
      <c r="X69" s="56">
        <v>1</v>
      </c>
      <c r="Y69" s="56">
        <v>0</v>
      </c>
      <c r="Z69" s="56">
        <v>1</v>
      </c>
      <c r="AA69" s="56">
        <v>0</v>
      </c>
      <c r="AB69" s="56"/>
      <c r="AC69" s="58">
        <v>45913</v>
      </c>
      <c r="AD69" s="59">
        <v>0.50694444444525288</v>
      </c>
      <c r="AE69" s="56" t="s">
        <v>182</v>
      </c>
      <c r="AF69" s="58">
        <v>45918</v>
      </c>
      <c r="AG69" s="59">
        <v>0.79513888889050577</v>
      </c>
      <c r="AH69" s="56" t="s">
        <v>831</v>
      </c>
      <c r="AI69" s="56" t="s">
        <v>4007</v>
      </c>
      <c r="AJ69" s="56" t="s">
        <v>64</v>
      </c>
      <c r="AK69" s="56" t="s">
        <v>64</v>
      </c>
      <c r="AL69" s="56" t="s">
        <v>3838</v>
      </c>
      <c r="AM69" s="60" t="s">
        <v>65</v>
      </c>
      <c r="AN69" s="60" t="s">
        <v>3974</v>
      </c>
      <c r="AO69" s="60"/>
      <c r="AP69" s="61"/>
    </row>
    <row r="70" spans="3:42" ht="14.25" customHeight="1">
      <c r="C70" s="55" t="str">
        <f>IF($X70=1,COUNTIF($C$10:C69,"&gt;0")+1,"")</f>
        <v/>
      </c>
      <c r="D70" s="56"/>
      <c r="E70" s="56" t="s">
        <v>4001</v>
      </c>
      <c r="F70" s="57" t="s">
        <v>4070</v>
      </c>
      <c r="G70" s="56" t="s">
        <v>4066</v>
      </c>
      <c r="H70" s="56" t="s">
        <v>4071</v>
      </c>
      <c r="I70" s="56" t="s">
        <v>4068</v>
      </c>
      <c r="J70" s="56" t="s">
        <v>68</v>
      </c>
      <c r="K70" s="56" t="s">
        <v>64</v>
      </c>
      <c r="L70" s="58" t="s">
        <v>64</v>
      </c>
      <c r="M70" s="56" t="s">
        <v>64</v>
      </c>
      <c r="N70" s="56" t="s">
        <v>64</v>
      </c>
      <c r="O70" s="58" t="s">
        <v>64</v>
      </c>
      <c r="P70" s="56" t="s">
        <v>4</v>
      </c>
      <c r="Q70" s="56"/>
      <c r="R70" s="162">
        <v>45913</v>
      </c>
      <c r="S70" s="163">
        <v>45918</v>
      </c>
      <c r="T70" s="164">
        <f t="shared" si="0"/>
        <v>5</v>
      </c>
      <c r="U70" s="56">
        <v>1</v>
      </c>
      <c r="V70" s="56">
        <v>1</v>
      </c>
      <c r="W70" s="56">
        <v>0</v>
      </c>
      <c r="X70" s="56">
        <v>0</v>
      </c>
      <c r="Y70" s="56">
        <v>0</v>
      </c>
      <c r="Z70" s="56">
        <v>0</v>
      </c>
      <c r="AA70" s="56">
        <v>0</v>
      </c>
      <c r="AB70" s="56"/>
      <c r="AC70" s="58">
        <v>45913</v>
      </c>
      <c r="AD70" s="59">
        <v>0.50694444444525288</v>
      </c>
      <c r="AE70" s="56" t="s">
        <v>182</v>
      </c>
      <c r="AF70" s="58">
        <v>45918</v>
      </c>
      <c r="AG70" s="59">
        <v>0.79513888889050577</v>
      </c>
      <c r="AH70" s="56" t="s">
        <v>831</v>
      </c>
      <c r="AI70" s="56" t="s">
        <v>4007</v>
      </c>
      <c r="AJ70" s="56" t="s">
        <v>64</v>
      </c>
      <c r="AK70" s="56" t="s">
        <v>64</v>
      </c>
      <c r="AL70" s="56" t="s">
        <v>3838</v>
      </c>
      <c r="AM70" s="60" t="s">
        <v>65</v>
      </c>
      <c r="AN70" s="60" t="s">
        <v>3974</v>
      </c>
      <c r="AO70" s="60"/>
      <c r="AP70" s="61"/>
    </row>
    <row r="71" spans="3:42" ht="14.25" customHeight="1">
      <c r="C71" s="55">
        <f>IF($X71=1,COUNTIF($C$10:C70,"&gt;0")+1,"")</f>
        <v>31</v>
      </c>
      <c r="D71" s="56">
        <v>15262347</v>
      </c>
      <c r="E71" s="56" t="s">
        <v>4001</v>
      </c>
      <c r="F71" s="57" t="s">
        <v>4072</v>
      </c>
      <c r="G71" s="56" t="s">
        <v>4072</v>
      </c>
      <c r="H71" s="56" t="s">
        <v>4073</v>
      </c>
      <c r="I71" s="56" t="s">
        <v>4074</v>
      </c>
      <c r="J71" s="56" t="s">
        <v>68</v>
      </c>
      <c r="K71" s="56" t="s">
        <v>59</v>
      </c>
      <c r="L71" s="58">
        <v>17446</v>
      </c>
      <c r="M71" s="56">
        <v>77</v>
      </c>
      <c r="N71" s="56" t="s">
        <v>4075</v>
      </c>
      <c r="O71" s="58">
        <v>49112</v>
      </c>
      <c r="P71" s="56" t="s">
        <v>4</v>
      </c>
      <c r="Q71" s="56"/>
      <c r="R71" s="162">
        <v>45913</v>
      </c>
      <c r="S71" s="163">
        <v>45918</v>
      </c>
      <c r="T71" s="164">
        <f t="shared" si="0"/>
        <v>5</v>
      </c>
      <c r="U71" s="56">
        <v>1</v>
      </c>
      <c r="V71" s="56">
        <v>1</v>
      </c>
      <c r="W71" s="56">
        <v>0</v>
      </c>
      <c r="X71" s="56">
        <v>1</v>
      </c>
      <c r="Y71" s="56">
        <v>0</v>
      </c>
      <c r="Z71" s="56">
        <v>1</v>
      </c>
      <c r="AA71" s="56">
        <v>0</v>
      </c>
      <c r="AB71" s="56"/>
      <c r="AC71" s="58">
        <v>45912</v>
      </c>
      <c r="AD71" s="59">
        <v>0.65625</v>
      </c>
      <c r="AE71" s="56" t="s">
        <v>1385</v>
      </c>
      <c r="AF71" s="58">
        <v>45919</v>
      </c>
      <c r="AG71" s="59">
        <v>0.92013888889050577</v>
      </c>
      <c r="AH71" s="56" t="s">
        <v>2064</v>
      </c>
      <c r="AI71" s="56" t="s">
        <v>4007</v>
      </c>
      <c r="AJ71" s="56" t="s">
        <v>64</v>
      </c>
      <c r="AK71" s="56" t="s">
        <v>64</v>
      </c>
      <c r="AL71" s="56" t="s">
        <v>3838</v>
      </c>
      <c r="AM71" s="60" t="s">
        <v>65</v>
      </c>
      <c r="AN71" s="60" t="s">
        <v>3974</v>
      </c>
      <c r="AO71" s="60"/>
      <c r="AP71" s="61"/>
    </row>
    <row r="72" spans="3:42" ht="14.25" customHeight="1">
      <c r="C72" s="55" t="str">
        <f>IF($X72=1,COUNTIF($C$10:C71,"&gt;0")+1,"")</f>
        <v/>
      </c>
      <c r="D72" s="56"/>
      <c r="E72" s="56" t="s">
        <v>4001</v>
      </c>
      <c r="F72" s="57" t="s">
        <v>4076</v>
      </c>
      <c r="G72" s="56" t="s">
        <v>4072</v>
      </c>
      <c r="H72" s="56" t="s">
        <v>4077</v>
      </c>
      <c r="I72" s="56" t="s">
        <v>4078</v>
      </c>
      <c r="J72" s="56" t="s">
        <v>68</v>
      </c>
      <c r="K72" s="56" t="s">
        <v>59</v>
      </c>
      <c r="L72" s="58">
        <v>24225</v>
      </c>
      <c r="M72" s="56">
        <v>59</v>
      </c>
      <c r="N72" s="56" t="s">
        <v>4079</v>
      </c>
      <c r="O72" s="58">
        <v>47300</v>
      </c>
      <c r="P72" s="56" t="s">
        <v>4</v>
      </c>
      <c r="Q72" s="56"/>
      <c r="R72" s="162">
        <v>45913</v>
      </c>
      <c r="S72" s="163">
        <v>45918</v>
      </c>
      <c r="T72" s="164">
        <f t="shared" si="0"/>
        <v>5</v>
      </c>
      <c r="U72" s="56">
        <v>1</v>
      </c>
      <c r="V72" s="56">
        <v>1</v>
      </c>
      <c r="W72" s="56">
        <v>0</v>
      </c>
      <c r="X72" s="56">
        <v>0</v>
      </c>
      <c r="Y72" s="56">
        <v>0</v>
      </c>
      <c r="Z72" s="56">
        <v>0</v>
      </c>
      <c r="AA72" s="56">
        <v>0</v>
      </c>
      <c r="AB72" s="56"/>
      <c r="AC72" s="58">
        <v>45913</v>
      </c>
      <c r="AD72" s="59">
        <v>0.625</v>
      </c>
      <c r="AE72" s="56" t="s">
        <v>74</v>
      </c>
      <c r="AF72" s="58">
        <v>45918</v>
      </c>
      <c r="AG72" s="59">
        <v>0.65625</v>
      </c>
      <c r="AH72" s="56" t="s">
        <v>2215</v>
      </c>
      <c r="AI72" s="56" t="s">
        <v>4007</v>
      </c>
      <c r="AJ72" s="56" t="s">
        <v>64</v>
      </c>
      <c r="AK72" s="56" t="s">
        <v>64</v>
      </c>
      <c r="AL72" s="56" t="s">
        <v>3838</v>
      </c>
      <c r="AM72" s="60" t="s">
        <v>65</v>
      </c>
      <c r="AN72" s="60" t="s">
        <v>3974</v>
      </c>
      <c r="AO72" s="60"/>
      <c r="AP72" s="61"/>
    </row>
    <row r="73" spans="3:42" ht="14.25" customHeight="1">
      <c r="C73" s="55">
        <f>IF($X73=1,COUNTIF($C$10:C72,"&gt;0")+1,"")</f>
        <v>32</v>
      </c>
      <c r="D73" s="56">
        <v>15262348</v>
      </c>
      <c r="E73" s="56" t="s">
        <v>4001</v>
      </c>
      <c r="F73" s="57" t="s">
        <v>4080</v>
      </c>
      <c r="G73" s="56" t="s">
        <v>4072</v>
      </c>
      <c r="H73" s="56" t="s">
        <v>4081</v>
      </c>
      <c r="I73" s="56" t="s">
        <v>4082</v>
      </c>
      <c r="J73" s="56" t="s">
        <v>58</v>
      </c>
      <c r="K73" s="56" t="s">
        <v>59</v>
      </c>
      <c r="L73" s="58">
        <v>22601</v>
      </c>
      <c r="M73" s="56">
        <v>63</v>
      </c>
      <c r="N73" s="56" t="s">
        <v>4083</v>
      </c>
      <c r="O73" s="58">
        <v>47817</v>
      </c>
      <c r="P73" s="56" t="s">
        <v>4</v>
      </c>
      <c r="Q73" s="56"/>
      <c r="R73" s="162">
        <v>45913</v>
      </c>
      <c r="S73" s="163">
        <v>45918</v>
      </c>
      <c r="T73" s="164">
        <f t="shared" si="0"/>
        <v>5</v>
      </c>
      <c r="U73" s="56">
        <v>1</v>
      </c>
      <c r="V73" s="56">
        <v>1</v>
      </c>
      <c r="W73" s="56">
        <v>0</v>
      </c>
      <c r="X73" s="56">
        <v>1</v>
      </c>
      <c r="Y73" s="56">
        <v>0</v>
      </c>
      <c r="Z73" s="56">
        <v>1</v>
      </c>
      <c r="AA73" s="56">
        <v>0</v>
      </c>
      <c r="AB73" s="56"/>
      <c r="AC73" s="58">
        <v>45913</v>
      </c>
      <c r="AD73" s="59">
        <v>0.72569444444525288</v>
      </c>
      <c r="AE73" s="56" t="s">
        <v>3064</v>
      </c>
      <c r="AF73" s="58">
        <v>45918</v>
      </c>
      <c r="AG73" s="59">
        <v>0.78472222221898846</v>
      </c>
      <c r="AH73" s="56" t="s">
        <v>3020</v>
      </c>
      <c r="AI73" s="56" t="s">
        <v>4007</v>
      </c>
      <c r="AJ73" s="56" t="s">
        <v>64</v>
      </c>
      <c r="AK73" s="56" t="s">
        <v>64</v>
      </c>
      <c r="AL73" s="56" t="s">
        <v>3838</v>
      </c>
      <c r="AM73" s="60" t="s">
        <v>65</v>
      </c>
      <c r="AN73" s="60" t="s">
        <v>3974</v>
      </c>
      <c r="AO73" s="60"/>
      <c r="AP73" s="61"/>
    </row>
    <row r="74" spans="3:42" ht="14.25" customHeight="1">
      <c r="C74" s="55" t="str">
        <f>IF($X74=1,COUNTIF($C$10:C73,"&gt;0")+1,"")</f>
        <v/>
      </c>
      <c r="D74" s="56"/>
      <c r="E74" s="56" t="s">
        <v>4001</v>
      </c>
      <c r="F74" s="57" t="s">
        <v>4084</v>
      </c>
      <c r="G74" s="56" t="s">
        <v>4072</v>
      </c>
      <c r="H74" s="56" t="s">
        <v>4085</v>
      </c>
      <c r="I74" s="56" t="s">
        <v>4086</v>
      </c>
      <c r="J74" s="56" t="s">
        <v>68</v>
      </c>
      <c r="K74" s="56" t="s">
        <v>59</v>
      </c>
      <c r="L74" s="58">
        <v>19616</v>
      </c>
      <c r="M74" s="56">
        <v>72</v>
      </c>
      <c r="N74" s="56" t="s">
        <v>4087</v>
      </c>
      <c r="O74" s="58">
        <v>44993</v>
      </c>
      <c r="P74" s="56" t="s">
        <v>4</v>
      </c>
      <c r="Q74" s="56"/>
      <c r="R74" s="162">
        <v>45913</v>
      </c>
      <c r="S74" s="163">
        <v>45918</v>
      </c>
      <c r="T74" s="164">
        <f t="shared" ref="T74:T137" si="1">S74-R74</f>
        <v>5</v>
      </c>
      <c r="U74" s="56">
        <v>1</v>
      </c>
      <c r="V74" s="56">
        <v>1</v>
      </c>
      <c r="W74" s="56">
        <v>0</v>
      </c>
      <c r="X74" s="56">
        <v>0</v>
      </c>
      <c r="Y74" s="56">
        <v>0</v>
      </c>
      <c r="Z74" s="56">
        <v>0</v>
      </c>
      <c r="AA74" s="56">
        <v>0</v>
      </c>
      <c r="AB74" s="56"/>
      <c r="AC74" s="58">
        <v>45913</v>
      </c>
      <c r="AD74" s="59">
        <v>0.72569444444525288</v>
      </c>
      <c r="AE74" s="56" t="s">
        <v>3064</v>
      </c>
      <c r="AF74" s="58">
        <v>45918</v>
      </c>
      <c r="AG74" s="59">
        <v>0.78472222221898846</v>
      </c>
      <c r="AH74" s="56" t="s">
        <v>3020</v>
      </c>
      <c r="AI74" s="56" t="s">
        <v>4007</v>
      </c>
      <c r="AJ74" s="56" t="s">
        <v>64</v>
      </c>
      <c r="AK74" s="56" t="s">
        <v>64</v>
      </c>
      <c r="AL74" s="56" t="s">
        <v>3838</v>
      </c>
      <c r="AM74" s="60" t="s">
        <v>65</v>
      </c>
      <c r="AN74" s="60" t="s">
        <v>3974</v>
      </c>
      <c r="AO74" s="60"/>
      <c r="AP74" s="61"/>
    </row>
    <row r="75" spans="3:42" ht="14.25" customHeight="1">
      <c r="C75" s="55">
        <f>IF($X75=1,COUNTIF($C$10:C74,"&gt;0")+1,"")</f>
        <v>33</v>
      </c>
      <c r="D75" s="56">
        <v>15262349</v>
      </c>
      <c r="E75" s="56" t="s">
        <v>4001</v>
      </c>
      <c r="F75" s="57" t="s">
        <v>4088</v>
      </c>
      <c r="G75" s="56" t="s">
        <v>4088</v>
      </c>
      <c r="H75" s="56" t="s">
        <v>4089</v>
      </c>
      <c r="I75" s="56" t="s">
        <v>4090</v>
      </c>
      <c r="J75" s="56" t="s">
        <v>68</v>
      </c>
      <c r="K75" s="56" t="s">
        <v>59</v>
      </c>
      <c r="L75" s="58">
        <v>25851</v>
      </c>
      <c r="M75" s="56">
        <v>54</v>
      </c>
      <c r="N75" s="56" t="s">
        <v>4091</v>
      </c>
      <c r="O75" s="58">
        <v>46487</v>
      </c>
      <c r="P75" s="56" t="s">
        <v>4</v>
      </c>
      <c r="Q75" s="56"/>
      <c r="R75" s="162">
        <v>45913</v>
      </c>
      <c r="S75" s="163">
        <v>45918</v>
      </c>
      <c r="T75" s="164">
        <f t="shared" si="1"/>
        <v>5</v>
      </c>
      <c r="U75" s="56">
        <v>1</v>
      </c>
      <c r="V75" s="56">
        <v>1</v>
      </c>
      <c r="W75" s="56">
        <v>0</v>
      </c>
      <c r="X75" s="56">
        <v>1</v>
      </c>
      <c r="Y75" s="56">
        <v>0</v>
      </c>
      <c r="Z75" s="56">
        <v>1</v>
      </c>
      <c r="AA75" s="56">
        <v>0</v>
      </c>
      <c r="AB75" s="56"/>
      <c r="AC75" s="58" t="s">
        <v>64</v>
      </c>
      <c r="AD75" s="59" t="s">
        <v>64</v>
      </c>
      <c r="AE75" s="56" t="s">
        <v>1058</v>
      </c>
      <c r="AF75" s="58">
        <v>45918</v>
      </c>
      <c r="AG75" s="59">
        <v>0.77430555555474712</v>
      </c>
      <c r="AH75" s="56" t="s">
        <v>4092</v>
      </c>
      <c r="AI75" s="56" t="s">
        <v>4007</v>
      </c>
      <c r="AJ75" s="56" t="s">
        <v>64</v>
      </c>
      <c r="AK75" s="56"/>
      <c r="AL75" s="56" t="s">
        <v>3838</v>
      </c>
      <c r="AM75" s="60" t="s">
        <v>65</v>
      </c>
      <c r="AN75" s="60" t="s">
        <v>3974</v>
      </c>
      <c r="AO75" s="60"/>
      <c r="AP75" s="61"/>
    </row>
    <row r="76" spans="3:42" ht="14.25" customHeight="1">
      <c r="C76" s="55" t="str">
        <f>IF($X76=1,COUNTIF($C$10:C75,"&gt;0")+1,"")</f>
        <v/>
      </c>
      <c r="D76" s="56"/>
      <c r="E76" s="56" t="s">
        <v>4001</v>
      </c>
      <c r="F76" s="57" t="s">
        <v>4093</v>
      </c>
      <c r="G76" s="56" t="s">
        <v>4088</v>
      </c>
      <c r="H76" s="56" t="s">
        <v>4094</v>
      </c>
      <c r="I76" s="56" t="s">
        <v>4090</v>
      </c>
      <c r="J76" s="56" t="s">
        <v>58</v>
      </c>
      <c r="K76" s="56" t="s">
        <v>59</v>
      </c>
      <c r="L76" s="58">
        <v>26629</v>
      </c>
      <c r="M76" s="56">
        <v>52</v>
      </c>
      <c r="N76" s="56" t="s">
        <v>4095</v>
      </c>
      <c r="O76" s="58">
        <v>47904</v>
      </c>
      <c r="P76" s="56" t="s">
        <v>4</v>
      </c>
      <c r="Q76" s="56"/>
      <c r="R76" s="162">
        <v>45913</v>
      </c>
      <c r="S76" s="163">
        <v>45918</v>
      </c>
      <c r="T76" s="164">
        <f t="shared" si="1"/>
        <v>5</v>
      </c>
      <c r="U76" s="56">
        <v>1</v>
      </c>
      <c r="V76" s="56">
        <v>1</v>
      </c>
      <c r="W76" s="56">
        <v>0</v>
      </c>
      <c r="X76" s="56">
        <v>0</v>
      </c>
      <c r="Y76" s="56">
        <v>0</v>
      </c>
      <c r="Z76" s="56">
        <v>0</v>
      </c>
      <c r="AA76" s="56">
        <v>0</v>
      </c>
      <c r="AB76" s="56"/>
      <c r="AC76" s="58" t="s">
        <v>64</v>
      </c>
      <c r="AD76" s="59" t="s">
        <v>64</v>
      </c>
      <c r="AE76" s="56" t="s">
        <v>1058</v>
      </c>
      <c r="AF76" s="58">
        <v>45918</v>
      </c>
      <c r="AG76" s="59">
        <v>0.77430555555474712</v>
      </c>
      <c r="AH76" s="56" t="s">
        <v>4092</v>
      </c>
      <c r="AI76" s="56" t="s">
        <v>4007</v>
      </c>
      <c r="AJ76" s="56" t="s">
        <v>64</v>
      </c>
      <c r="AK76" s="56"/>
      <c r="AL76" s="56" t="s">
        <v>3838</v>
      </c>
      <c r="AM76" s="60" t="s">
        <v>65</v>
      </c>
      <c r="AN76" s="60" t="s">
        <v>3974</v>
      </c>
      <c r="AO76" s="60"/>
      <c r="AP76" s="61"/>
    </row>
    <row r="77" spans="3:42" ht="14.25" customHeight="1">
      <c r="C77" s="55">
        <f>IF($X77=1,COUNTIF($C$10:C76,"&gt;0")+1,"")</f>
        <v>34</v>
      </c>
      <c r="D77" s="56">
        <v>15262350</v>
      </c>
      <c r="E77" s="56" t="s">
        <v>4001</v>
      </c>
      <c r="F77" s="57" t="s">
        <v>4096</v>
      </c>
      <c r="G77" s="56" t="s">
        <v>4088</v>
      </c>
      <c r="H77" s="56" t="s">
        <v>4097</v>
      </c>
      <c r="I77" s="56" t="s">
        <v>4090</v>
      </c>
      <c r="J77" s="56" t="s">
        <v>58</v>
      </c>
      <c r="K77" s="56" t="s">
        <v>59</v>
      </c>
      <c r="L77" s="58">
        <v>38083</v>
      </c>
      <c r="M77" s="56">
        <v>21</v>
      </c>
      <c r="N77" s="56" t="s">
        <v>4098</v>
      </c>
      <c r="O77" s="58">
        <v>47867</v>
      </c>
      <c r="P77" s="56" t="s">
        <v>5</v>
      </c>
      <c r="Q77" s="56"/>
      <c r="R77" s="162">
        <v>45913</v>
      </c>
      <c r="S77" s="163">
        <v>45918</v>
      </c>
      <c r="T77" s="164">
        <f t="shared" si="1"/>
        <v>5</v>
      </c>
      <c r="U77" s="56">
        <v>1</v>
      </c>
      <c r="V77" s="56">
        <v>1</v>
      </c>
      <c r="W77" s="56">
        <v>0</v>
      </c>
      <c r="X77" s="56">
        <v>1</v>
      </c>
      <c r="Y77" s="56">
        <v>0</v>
      </c>
      <c r="Z77" s="56">
        <v>0</v>
      </c>
      <c r="AA77" s="56">
        <v>1</v>
      </c>
      <c r="AB77" s="56"/>
      <c r="AC77" s="58" t="s">
        <v>64</v>
      </c>
      <c r="AD77" s="59" t="s">
        <v>64</v>
      </c>
      <c r="AE77" s="56" t="s">
        <v>1058</v>
      </c>
      <c r="AF77" s="58">
        <v>45918</v>
      </c>
      <c r="AG77" s="59">
        <v>0.77430555555474712</v>
      </c>
      <c r="AH77" s="56" t="s">
        <v>4092</v>
      </c>
      <c r="AI77" s="56" t="s">
        <v>4007</v>
      </c>
      <c r="AJ77" s="56" t="s">
        <v>64</v>
      </c>
      <c r="AK77" s="56"/>
      <c r="AL77" s="56" t="s">
        <v>3838</v>
      </c>
      <c r="AM77" s="60" t="s">
        <v>65</v>
      </c>
      <c r="AN77" s="60" t="s">
        <v>4061</v>
      </c>
      <c r="AO77" s="60"/>
      <c r="AP77" s="61"/>
    </row>
    <row r="78" spans="3:42" ht="14.25" customHeight="1">
      <c r="C78" s="55" t="str">
        <f>IF($X78=1,COUNTIF($C$10:C77,"&gt;0")+1,"")</f>
        <v/>
      </c>
      <c r="D78" s="56"/>
      <c r="E78" s="56" t="s">
        <v>4001</v>
      </c>
      <c r="F78" s="57" t="s">
        <v>4099</v>
      </c>
      <c r="G78" s="56" t="s">
        <v>4088</v>
      </c>
      <c r="H78" s="56" t="s">
        <v>4100</v>
      </c>
      <c r="I78" s="56" t="s">
        <v>4090</v>
      </c>
      <c r="J78" s="56" t="s">
        <v>68</v>
      </c>
      <c r="K78" s="56" t="s">
        <v>59</v>
      </c>
      <c r="L78" s="58">
        <v>35965</v>
      </c>
      <c r="M78" s="56">
        <v>27</v>
      </c>
      <c r="N78" s="56" t="s">
        <v>4101</v>
      </c>
      <c r="O78" s="58">
        <v>49384</v>
      </c>
      <c r="P78" s="56" t="s">
        <v>5</v>
      </c>
      <c r="Q78" s="56"/>
      <c r="R78" s="162">
        <v>45913</v>
      </c>
      <c r="S78" s="163">
        <v>45918</v>
      </c>
      <c r="T78" s="164">
        <f t="shared" si="1"/>
        <v>5</v>
      </c>
      <c r="U78" s="56">
        <v>1</v>
      </c>
      <c r="V78" s="56">
        <v>1</v>
      </c>
      <c r="W78" s="56">
        <v>0</v>
      </c>
      <c r="X78" s="56">
        <v>0</v>
      </c>
      <c r="Y78" s="56">
        <v>0</v>
      </c>
      <c r="Z78" s="56">
        <v>0</v>
      </c>
      <c r="AA78" s="56">
        <v>0</v>
      </c>
      <c r="AB78" s="56"/>
      <c r="AC78" s="58" t="s">
        <v>64</v>
      </c>
      <c r="AD78" s="59" t="s">
        <v>64</v>
      </c>
      <c r="AE78" s="56" t="s">
        <v>1058</v>
      </c>
      <c r="AF78" s="58">
        <v>45918</v>
      </c>
      <c r="AG78" s="59">
        <v>0.77430555555474712</v>
      </c>
      <c r="AH78" s="56" t="s">
        <v>4092</v>
      </c>
      <c r="AI78" s="56" t="s">
        <v>4007</v>
      </c>
      <c r="AJ78" s="56" t="s">
        <v>64</v>
      </c>
      <c r="AK78" s="56"/>
      <c r="AL78" s="56" t="s">
        <v>3838</v>
      </c>
      <c r="AM78" s="60" t="s">
        <v>65</v>
      </c>
      <c r="AN78" s="60" t="s">
        <v>4061</v>
      </c>
      <c r="AO78" s="60"/>
      <c r="AP78" s="61"/>
    </row>
    <row r="79" spans="3:42" ht="14.25" customHeight="1">
      <c r="C79" s="55">
        <f>IF($X79=1,COUNTIF($C$10:C78,"&gt;0")+1,"")</f>
        <v>35</v>
      </c>
      <c r="D79" s="56">
        <v>15262351</v>
      </c>
      <c r="E79" s="56" t="s">
        <v>4001</v>
      </c>
      <c r="F79" s="57" t="s">
        <v>4102</v>
      </c>
      <c r="G79" s="56" t="s">
        <v>4102</v>
      </c>
      <c r="H79" s="56" t="s">
        <v>4103</v>
      </c>
      <c r="I79" s="56" t="s">
        <v>4104</v>
      </c>
      <c r="J79" s="56" t="s">
        <v>68</v>
      </c>
      <c r="K79" s="56" t="s">
        <v>180</v>
      </c>
      <c r="L79" s="58">
        <v>28675</v>
      </c>
      <c r="M79" s="56">
        <v>47</v>
      </c>
      <c r="N79" s="56" t="s">
        <v>4105</v>
      </c>
      <c r="O79" s="58">
        <v>46622</v>
      </c>
      <c r="P79" s="56" t="s">
        <v>3</v>
      </c>
      <c r="Q79" s="56"/>
      <c r="R79" s="162">
        <v>45913</v>
      </c>
      <c r="S79" s="163">
        <v>45918</v>
      </c>
      <c r="T79" s="164">
        <f t="shared" si="1"/>
        <v>5</v>
      </c>
      <c r="U79" s="56">
        <v>1</v>
      </c>
      <c r="V79" s="56">
        <v>1</v>
      </c>
      <c r="W79" s="56">
        <v>0</v>
      </c>
      <c r="X79" s="56">
        <v>1</v>
      </c>
      <c r="Y79" s="56">
        <v>1</v>
      </c>
      <c r="Z79" s="56">
        <v>0</v>
      </c>
      <c r="AA79" s="56">
        <v>0</v>
      </c>
      <c r="AB79" s="56"/>
      <c r="AC79" s="58">
        <v>45913</v>
      </c>
      <c r="AD79" s="59">
        <v>0.20833333333575865</v>
      </c>
      <c r="AE79" s="56" t="s">
        <v>4106</v>
      </c>
      <c r="AF79" s="58">
        <v>45918</v>
      </c>
      <c r="AG79" s="59">
        <v>0.32638888889050577</v>
      </c>
      <c r="AH79" s="56" t="s">
        <v>235</v>
      </c>
      <c r="AI79" s="56" t="s">
        <v>4007</v>
      </c>
      <c r="AJ79" s="56" t="s">
        <v>64</v>
      </c>
      <c r="AK79" s="56" t="s">
        <v>64</v>
      </c>
      <c r="AL79" s="56" t="s">
        <v>3838</v>
      </c>
      <c r="AM79" s="60" t="s">
        <v>65</v>
      </c>
      <c r="AN79" s="60" t="s">
        <v>3974</v>
      </c>
      <c r="AO79" s="60"/>
      <c r="AP79" s="61"/>
    </row>
    <row r="80" spans="3:42" ht="14.25" customHeight="1">
      <c r="C80" s="55" t="str">
        <f>IF($X80=1,COUNTIF($C$10:C79,"&gt;0")+1,"")</f>
        <v/>
      </c>
      <c r="D80" s="56"/>
      <c r="E80" s="56" t="s">
        <v>4001</v>
      </c>
      <c r="F80" s="57" t="s">
        <v>4107</v>
      </c>
      <c r="G80" s="56" t="s">
        <v>4102</v>
      </c>
      <c r="H80" s="56" t="s">
        <v>4108</v>
      </c>
      <c r="I80" s="56" t="s">
        <v>4104</v>
      </c>
      <c r="J80" s="56" t="s">
        <v>58</v>
      </c>
      <c r="K80" s="56" t="s">
        <v>59</v>
      </c>
      <c r="L80" s="58">
        <v>42392</v>
      </c>
      <c r="M80" s="56">
        <v>9</v>
      </c>
      <c r="N80" s="56" t="s">
        <v>4109</v>
      </c>
      <c r="O80" s="58">
        <v>46354</v>
      </c>
      <c r="P80" s="56" t="s">
        <v>3</v>
      </c>
      <c r="Q80" s="56"/>
      <c r="R80" s="162">
        <v>45913</v>
      </c>
      <c r="S80" s="163">
        <v>45918</v>
      </c>
      <c r="T80" s="164">
        <f t="shared" si="1"/>
        <v>5</v>
      </c>
      <c r="U80" s="56">
        <v>1</v>
      </c>
      <c r="V80" s="56">
        <v>0</v>
      </c>
      <c r="W80" s="56">
        <v>1</v>
      </c>
      <c r="X80" s="56">
        <v>0</v>
      </c>
      <c r="Y80" s="56">
        <v>0</v>
      </c>
      <c r="Z80" s="56">
        <v>0</v>
      </c>
      <c r="AA80" s="56">
        <v>0</v>
      </c>
      <c r="AB80" s="56"/>
      <c r="AC80" s="58">
        <v>45913</v>
      </c>
      <c r="AD80" s="59">
        <v>0.20833333333575865</v>
      </c>
      <c r="AE80" s="56" t="s">
        <v>4106</v>
      </c>
      <c r="AF80" s="58">
        <v>45918</v>
      </c>
      <c r="AG80" s="59">
        <v>0.32638888889050577</v>
      </c>
      <c r="AH80" s="56" t="s">
        <v>235</v>
      </c>
      <c r="AI80" s="56" t="s">
        <v>4007</v>
      </c>
      <c r="AJ80" s="56" t="s">
        <v>64</v>
      </c>
      <c r="AK80" s="56" t="s">
        <v>64</v>
      </c>
      <c r="AL80" s="56" t="s">
        <v>3838</v>
      </c>
      <c r="AM80" s="60" t="s">
        <v>65</v>
      </c>
      <c r="AN80" s="60" t="s">
        <v>3974</v>
      </c>
      <c r="AO80" s="60"/>
      <c r="AP80" s="61"/>
    </row>
    <row r="81" spans="3:42" ht="14.25" customHeight="1">
      <c r="C81" s="55">
        <f>IF($X81=1,COUNTIF($C$10:C80,"&gt;0")+1,"")</f>
        <v>36</v>
      </c>
      <c r="D81" s="56">
        <v>15262352</v>
      </c>
      <c r="E81" s="56" t="s">
        <v>4001</v>
      </c>
      <c r="F81" s="57" t="s">
        <v>4110</v>
      </c>
      <c r="G81" s="56" t="s">
        <v>4110</v>
      </c>
      <c r="H81" s="56" t="s">
        <v>4111</v>
      </c>
      <c r="I81" s="56" t="s">
        <v>4112</v>
      </c>
      <c r="J81" s="56" t="s">
        <v>68</v>
      </c>
      <c r="K81" s="56" t="s">
        <v>59</v>
      </c>
      <c r="L81" s="58">
        <v>31565</v>
      </c>
      <c r="M81" s="56">
        <v>39</v>
      </c>
      <c r="N81" s="56" t="s">
        <v>4113</v>
      </c>
      <c r="O81" s="58">
        <v>49415</v>
      </c>
      <c r="P81" s="56" t="s">
        <v>4</v>
      </c>
      <c r="Q81" s="56"/>
      <c r="R81" s="162">
        <v>45913</v>
      </c>
      <c r="S81" s="163">
        <v>45918</v>
      </c>
      <c r="T81" s="164">
        <f t="shared" si="1"/>
        <v>5</v>
      </c>
      <c r="U81" s="56">
        <v>1</v>
      </c>
      <c r="V81" s="56">
        <v>1</v>
      </c>
      <c r="W81" s="56">
        <v>0</v>
      </c>
      <c r="X81" s="56">
        <v>1</v>
      </c>
      <c r="Y81" s="56">
        <v>0</v>
      </c>
      <c r="Z81" s="56">
        <v>1</v>
      </c>
      <c r="AA81" s="56">
        <v>0</v>
      </c>
      <c r="AB81" s="56"/>
      <c r="AC81" s="58">
        <v>45913</v>
      </c>
      <c r="AD81" s="59">
        <v>0.50694444444525288</v>
      </c>
      <c r="AE81" s="56" t="s">
        <v>182</v>
      </c>
      <c r="AF81" s="58">
        <v>45918</v>
      </c>
      <c r="AG81" s="59">
        <v>0.85416666666424135</v>
      </c>
      <c r="AH81" s="56" t="s">
        <v>183</v>
      </c>
      <c r="AI81" s="56" t="s">
        <v>4007</v>
      </c>
      <c r="AJ81" s="56" t="s">
        <v>64</v>
      </c>
      <c r="AK81" s="56" t="s">
        <v>64</v>
      </c>
      <c r="AL81" s="56" t="s">
        <v>3838</v>
      </c>
      <c r="AM81" s="60" t="s">
        <v>65</v>
      </c>
      <c r="AN81" s="60" t="s">
        <v>3974</v>
      </c>
      <c r="AO81" s="60"/>
      <c r="AP81" s="61"/>
    </row>
    <row r="82" spans="3:42" ht="14.25" customHeight="1">
      <c r="C82" s="55" t="str">
        <f>IF($X82=1,COUNTIF($C$10:C81,"&gt;0")+1,"")</f>
        <v/>
      </c>
      <c r="D82" s="56"/>
      <c r="E82" s="56" t="s">
        <v>4001</v>
      </c>
      <c r="F82" s="57" t="s">
        <v>4114</v>
      </c>
      <c r="G82" s="56" t="s">
        <v>4110</v>
      </c>
      <c r="H82" s="56" t="s">
        <v>4115</v>
      </c>
      <c r="I82" s="56" t="s">
        <v>4112</v>
      </c>
      <c r="J82" s="56" t="s">
        <v>58</v>
      </c>
      <c r="K82" s="56" t="s">
        <v>59</v>
      </c>
      <c r="L82" s="58">
        <v>31685</v>
      </c>
      <c r="M82" s="56">
        <v>38</v>
      </c>
      <c r="N82" s="56" t="s">
        <v>4116</v>
      </c>
      <c r="O82" s="58">
        <v>49189</v>
      </c>
      <c r="P82" s="56" t="s">
        <v>4</v>
      </c>
      <c r="Q82" s="56"/>
      <c r="R82" s="162">
        <v>45913</v>
      </c>
      <c r="S82" s="163">
        <v>45918</v>
      </c>
      <c r="T82" s="164">
        <f t="shared" si="1"/>
        <v>5</v>
      </c>
      <c r="U82" s="56">
        <v>1</v>
      </c>
      <c r="V82" s="56">
        <v>1</v>
      </c>
      <c r="W82" s="56">
        <v>0</v>
      </c>
      <c r="X82" s="56">
        <v>0</v>
      </c>
      <c r="Y82" s="56">
        <v>0</v>
      </c>
      <c r="Z82" s="56">
        <v>0</v>
      </c>
      <c r="AA82" s="56">
        <v>0</v>
      </c>
      <c r="AB82" s="56"/>
      <c r="AC82" s="58">
        <v>45913</v>
      </c>
      <c r="AD82" s="59">
        <v>0.50694444444525288</v>
      </c>
      <c r="AE82" s="56" t="s">
        <v>182</v>
      </c>
      <c r="AF82" s="58">
        <v>45918</v>
      </c>
      <c r="AG82" s="59">
        <v>0.85416666666424135</v>
      </c>
      <c r="AH82" s="56" t="s">
        <v>183</v>
      </c>
      <c r="AI82" s="56" t="s">
        <v>4007</v>
      </c>
      <c r="AJ82" s="56" t="s">
        <v>64</v>
      </c>
      <c r="AK82" s="56" t="s">
        <v>64</v>
      </c>
      <c r="AL82" s="56" t="s">
        <v>3838</v>
      </c>
      <c r="AM82" s="60" t="s">
        <v>65</v>
      </c>
      <c r="AN82" s="60" t="s">
        <v>3974</v>
      </c>
      <c r="AO82" s="60"/>
      <c r="AP82" s="61"/>
    </row>
    <row r="83" spans="3:42" ht="14.25" customHeight="1">
      <c r="C83" s="55" t="str">
        <f>IF($X83=1,COUNTIF($C$10:C82,"&gt;0")+1,"")</f>
        <v/>
      </c>
      <c r="D83" s="56"/>
      <c r="E83" s="56" t="s">
        <v>4001</v>
      </c>
      <c r="F83" s="57" t="s">
        <v>4117</v>
      </c>
      <c r="G83" s="56" t="s">
        <v>4110</v>
      </c>
      <c r="H83" s="56" t="s">
        <v>4118</v>
      </c>
      <c r="I83" s="56" t="s">
        <v>4112</v>
      </c>
      <c r="J83" s="56" t="s">
        <v>68</v>
      </c>
      <c r="K83" s="56" t="s">
        <v>59</v>
      </c>
      <c r="L83" s="58">
        <v>44533</v>
      </c>
      <c r="M83" s="56">
        <v>3</v>
      </c>
      <c r="N83" s="56" t="s">
        <v>4119</v>
      </c>
      <c r="O83" s="58">
        <v>47463</v>
      </c>
      <c r="P83" s="56" t="s">
        <v>4</v>
      </c>
      <c r="Q83" s="56"/>
      <c r="R83" s="162">
        <v>45913</v>
      </c>
      <c r="S83" s="163">
        <v>45918</v>
      </c>
      <c r="T83" s="164">
        <f t="shared" si="1"/>
        <v>5</v>
      </c>
      <c r="U83" s="56">
        <v>1</v>
      </c>
      <c r="V83" s="56">
        <v>0</v>
      </c>
      <c r="W83" s="56">
        <v>1</v>
      </c>
      <c r="X83" s="56">
        <v>0</v>
      </c>
      <c r="Y83" s="56">
        <v>0</v>
      </c>
      <c r="Z83" s="56">
        <v>0</v>
      </c>
      <c r="AA83" s="56">
        <v>0</v>
      </c>
      <c r="AB83" s="56"/>
      <c r="AC83" s="58">
        <v>45913</v>
      </c>
      <c r="AD83" s="59">
        <v>0.50694444444525288</v>
      </c>
      <c r="AE83" s="56" t="s">
        <v>182</v>
      </c>
      <c r="AF83" s="58">
        <v>45918</v>
      </c>
      <c r="AG83" s="59">
        <v>0.85416666666424135</v>
      </c>
      <c r="AH83" s="56" t="s">
        <v>183</v>
      </c>
      <c r="AI83" s="56" t="s">
        <v>4007</v>
      </c>
      <c r="AJ83" s="56" t="s">
        <v>64</v>
      </c>
      <c r="AK83" s="56" t="s">
        <v>64</v>
      </c>
      <c r="AL83" s="56" t="s">
        <v>3838</v>
      </c>
      <c r="AM83" s="60" t="s">
        <v>65</v>
      </c>
      <c r="AN83" s="60" t="s">
        <v>3974</v>
      </c>
      <c r="AO83" s="60"/>
      <c r="AP83" s="61"/>
    </row>
    <row r="84" spans="3:42" ht="14.25" customHeight="1">
      <c r="C84" s="55">
        <f>IF($X84=1,COUNTIF($C$10:C83,"&gt;0")+1,"")</f>
        <v>37</v>
      </c>
      <c r="D84" s="56">
        <v>15262353</v>
      </c>
      <c r="E84" s="56" t="s">
        <v>4001</v>
      </c>
      <c r="F84" s="57" t="s">
        <v>4120</v>
      </c>
      <c r="G84" s="56" t="s">
        <v>4120</v>
      </c>
      <c r="H84" s="56" t="s">
        <v>4121</v>
      </c>
      <c r="I84" s="56" t="s">
        <v>4122</v>
      </c>
      <c r="J84" s="56" t="s">
        <v>68</v>
      </c>
      <c r="K84" s="56" t="s">
        <v>59</v>
      </c>
      <c r="L84" s="58">
        <v>26398</v>
      </c>
      <c r="M84" s="56">
        <v>53</v>
      </c>
      <c r="N84" s="56" t="s">
        <v>4123</v>
      </c>
      <c r="O84" s="58">
        <v>48139</v>
      </c>
      <c r="P84" s="56" t="s">
        <v>4</v>
      </c>
      <c r="Q84" s="56"/>
      <c r="R84" s="162">
        <v>45913</v>
      </c>
      <c r="S84" s="163">
        <v>45918</v>
      </c>
      <c r="T84" s="164">
        <f t="shared" si="1"/>
        <v>5</v>
      </c>
      <c r="U84" s="56">
        <v>1</v>
      </c>
      <c r="V84" s="56">
        <v>1</v>
      </c>
      <c r="W84" s="56">
        <v>0</v>
      </c>
      <c r="X84" s="56">
        <v>1</v>
      </c>
      <c r="Y84" s="56">
        <v>0</v>
      </c>
      <c r="Z84" s="56">
        <v>1</v>
      </c>
      <c r="AA84" s="56">
        <v>0</v>
      </c>
      <c r="AB84" s="56"/>
      <c r="AC84" s="58">
        <v>45913</v>
      </c>
      <c r="AD84" s="59">
        <v>0.80555555555474712</v>
      </c>
      <c r="AE84" s="56" t="s">
        <v>808</v>
      </c>
      <c r="AF84" s="58">
        <v>45918</v>
      </c>
      <c r="AG84" s="59">
        <v>0.35763888889050577</v>
      </c>
      <c r="AH84" s="56" t="s">
        <v>4124</v>
      </c>
      <c r="AI84" s="56" t="s">
        <v>4007</v>
      </c>
      <c r="AJ84" s="56" t="s">
        <v>64</v>
      </c>
      <c r="AK84" s="56" t="s">
        <v>64</v>
      </c>
      <c r="AL84" s="56" t="s">
        <v>3838</v>
      </c>
      <c r="AM84" s="60" t="s">
        <v>65</v>
      </c>
      <c r="AN84" s="60" t="s">
        <v>3974</v>
      </c>
      <c r="AO84" s="60" t="s">
        <v>331</v>
      </c>
      <c r="AP84" s="61"/>
    </row>
    <row r="85" spans="3:42" ht="14.25" customHeight="1">
      <c r="C85" s="55" t="str">
        <f>IF($X85=1,COUNTIF($C$10:C84,"&gt;0")+1,"")</f>
        <v/>
      </c>
      <c r="D85" s="56"/>
      <c r="E85" s="56" t="s">
        <v>4001</v>
      </c>
      <c r="F85" s="57" t="s">
        <v>4125</v>
      </c>
      <c r="G85" s="56" t="s">
        <v>4120</v>
      </c>
      <c r="H85" s="56" t="s">
        <v>4126</v>
      </c>
      <c r="I85" s="56" t="s">
        <v>4122</v>
      </c>
      <c r="J85" s="56" t="s">
        <v>58</v>
      </c>
      <c r="K85" s="56" t="s">
        <v>59</v>
      </c>
      <c r="L85" s="58">
        <v>23963</v>
      </c>
      <c r="M85" s="56">
        <v>60</v>
      </c>
      <c r="N85" s="56" t="s">
        <v>4127</v>
      </c>
      <c r="O85" s="58">
        <v>48139</v>
      </c>
      <c r="P85" s="56" t="s">
        <v>4</v>
      </c>
      <c r="Q85" s="56"/>
      <c r="R85" s="162">
        <v>45913</v>
      </c>
      <c r="S85" s="163">
        <v>45918</v>
      </c>
      <c r="T85" s="164">
        <f t="shared" si="1"/>
        <v>5</v>
      </c>
      <c r="U85" s="56">
        <v>1</v>
      </c>
      <c r="V85" s="56">
        <v>1</v>
      </c>
      <c r="W85" s="56">
        <v>0</v>
      </c>
      <c r="X85" s="56">
        <v>0</v>
      </c>
      <c r="Y85" s="56">
        <v>0</v>
      </c>
      <c r="Z85" s="56">
        <v>0</v>
      </c>
      <c r="AA85" s="56">
        <v>0</v>
      </c>
      <c r="AB85" s="56"/>
      <c r="AC85" s="58">
        <v>45913</v>
      </c>
      <c r="AD85" s="59">
        <v>0.80555555555474712</v>
      </c>
      <c r="AE85" s="56" t="s">
        <v>808</v>
      </c>
      <c r="AF85" s="58">
        <v>45918</v>
      </c>
      <c r="AG85" s="59">
        <v>0.35763888889050577</v>
      </c>
      <c r="AH85" s="56" t="s">
        <v>4124</v>
      </c>
      <c r="AI85" s="56" t="s">
        <v>4007</v>
      </c>
      <c r="AJ85" s="56" t="s">
        <v>64</v>
      </c>
      <c r="AK85" s="56" t="s">
        <v>64</v>
      </c>
      <c r="AL85" s="56" t="s">
        <v>3838</v>
      </c>
      <c r="AM85" s="60" t="s">
        <v>65</v>
      </c>
      <c r="AN85" s="60" t="s">
        <v>3974</v>
      </c>
      <c r="AO85" s="60" t="s">
        <v>331</v>
      </c>
      <c r="AP85" s="61"/>
    </row>
    <row r="86" spans="3:42" ht="14.25" customHeight="1">
      <c r="C86" s="55">
        <f>IF($X86=1,COUNTIF($C$10:C85,"&gt;0")+1,"")</f>
        <v>38</v>
      </c>
      <c r="D86" s="56">
        <v>15262354</v>
      </c>
      <c r="E86" s="56" t="s">
        <v>4001</v>
      </c>
      <c r="F86" s="57" t="s">
        <v>4128</v>
      </c>
      <c r="G86" s="56" t="s">
        <v>4120</v>
      </c>
      <c r="H86" s="56" t="s">
        <v>4129</v>
      </c>
      <c r="I86" s="56" t="s">
        <v>4130</v>
      </c>
      <c r="J86" s="56" t="s">
        <v>68</v>
      </c>
      <c r="K86" s="56" t="s">
        <v>59</v>
      </c>
      <c r="L86" s="58">
        <v>24943</v>
      </c>
      <c r="M86" s="56">
        <v>57</v>
      </c>
      <c r="N86" s="56" t="s">
        <v>4131</v>
      </c>
      <c r="O86" s="58">
        <v>49518</v>
      </c>
      <c r="P86" s="56" t="s">
        <v>5</v>
      </c>
      <c r="Q86" s="56"/>
      <c r="R86" s="162">
        <v>45913</v>
      </c>
      <c r="S86" s="163">
        <v>45918</v>
      </c>
      <c r="T86" s="164">
        <f t="shared" si="1"/>
        <v>5</v>
      </c>
      <c r="U86" s="56">
        <v>1</v>
      </c>
      <c r="V86" s="56">
        <v>1</v>
      </c>
      <c r="W86" s="56">
        <v>0</v>
      </c>
      <c r="X86" s="56">
        <v>1</v>
      </c>
      <c r="Y86" s="56">
        <v>0</v>
      </c>
      <c r="Z86" s="56">
        <v>0</v>
      </c>
      <c r="AA86" s="56">
        <v>1</v>
      </c>
      <c r="AB86" s="56"/>
      <c r="AC86" s="58">
        <v>45913</v>
      </c>
      <c r="AD86" s="59">
        <v>0.20833333333575865</v>
      </c>
      <c r="AE86" s="56" t="s">
        <v>4106</v>
      </c>
      <c r="AF86" s="58">
        <v>45918</v>
      </c>
      <c r="AG86" s="59">
        <v>0.875</v>
      </c>
      <c r="AH86" s="56" t="s">
        <v>4132</v>
      </c>
      <c r="AI86" s="56" t="s">
        <v>4007</v>
      </c>
      <c r="AJ86" s="56" t="s">
        <v>64</v>
      </c>
      <c r="AK86" s="56" t="s">
        <v>64</v>
      </c>
      <c r="AL86" s="56" t="s">
        <v>3838</v>
      </c>
      <c r="AM86" s="60" t="s">
        <v>65</v>
      </c>
      <c r="AN86" s="60" t="s">
        <v>3967</v>
      </c>
      <c r="AO86" s="60"/>
      <c r="AP86" s="61"/>
    </row>
    <row r="87" spans="3:42" ht="14.25" customHeight="1">
      <c r="C87" s="55" t="str">
        <f>IF($X87=1,COUNTIF($C$10:C86,"&gt;0")+1,"")</f>
        <v/>
      </c>
      <c r="D87" s="56"/>
      <c r="E87" s="56" t="s">
        <v>4001</v>
      </c>
      <c r="F87" s="57" t="s">
        <v>4133</v>
      </c>
      <c r="G87" s="56" t="s">
        <v>4120</v>
      </c>
      <c r="H87" s="56" t="s">
        <v>4134</v>
      </c>
      <c r="I87" s="56" t="s">
        <v>4122</v>
      </c>
      <c r="J87" s="56" t="s">
        <v>68</v>
      </c>
      <c r="K87" s="56" t="s">
        <v>59</v>
      </c>
      <c r="L87" s="58">
        <v>40583</v>
      </c>
      <c r="M87" s="56">
        <v>14</v>
      </c>
      <c r="N87" s="56" t="s">
        <v>4135</v>
      </c>
      <c r="O87" s="58">
        <v>46344</v>
      </c>
      <c r="P87" s="56" t="s">
        <v>5</v>
      </c>
      <c r="Q87" s="56"/>
      <c r="R87" s="162">
        <v>45913</v>
      </c>
      <c r="S87" s="163">
        <v>45918</v>
      </c>
      <c r="T87" s="164">
        <f t="shared" si="1"/>
        <v>5</v>
      </c>
      <c r="U87" s="56">
        <v>1</v>
      </c>
      <c r="V87" s="56">
        <v>1</v>
      </c>
      <c r="W87" s="56">
        <v>0</v>
      </c>
      <c r="X87" s="56">
        <v>0</v>
      </c>
      <c r="Y87" s="56">
        <v>0</v>
      </c>
      <c r="Z87" s="56">
        <v>0</v>
      </c>
      <c r="AA87" s="56">
        <v>0</v>
      </c>
      <c r="AB87" s="56"/>
      <c r="AC87" s="58">
        <v>45913</v>
      </c>
      <c r="AD87" s="59">
        <v>0.80555555555474712</v>
      </c>
      <c r="AE87" s="56" t="s">
        <v>808</v>
      </c>
      <c r="AF87" s="58">
        <v>45918</v>
      </c>
      <c r="AG87" s="59">
        <v>0.35763888889050577</v>
      </c>
      <c r="AH87" s="56" t="s">
        <v>4124</v>
      </c>
      <c r="AI87" s="56" t="s">
        <v>4007</v>
      </c>
      <c r="AJ87" s="56" t="s">
        <v>64</v>
      </c>
      <c r="AK87" s="56" t="s">
        <v>64</v>
      </c>
      <c r="AL87" s="56" t="s">
        <v>3838</v>
      </c>
      <c r="AM87" s="60" t="s">
        <v>65</v>
      </c>
      <c r="AN87" s="60" t="s">
        <v>3967</v>
      </c>
      <c r="AO87" s="60" t="s">
        <v>331</v>
      </c>
      <c r="AP87" s="61"/>
    </row>
    <row r="88" spans="3:42" ht="14.25" customHeight="1">
      <c r="C88" s="55">
        <f>IF($X88=1,COUNTIF($C$10:C87,"&gt;0")+1,"")</f>
        <v>39</v>
      </c>
      <c r="D88" s="56">
        <v>15262355</v>
      </c>
      <c r="E88" s="56" t="s">
        <v>4001</v>
      </c>
      <c r="F88" s="57" t="s">
        <v>4136</v>
      </c>
      <c r="G88" s="56" t="s">
        <v>4136</v>
      </c>
      <c r="H88" s="56" t="s">
        <v>4137</v>
      </c>
      <c r="I88" s="56" t="s">
        <v>4138</v>
      </c>
      <c r="J88" s="56" t="s">
        <v>68</v>
      </c>
      <c r="K88" s="56" t="s">
        <v>59</v>
      </c>
      <c r="L88" s="58">
        <v>27563</v>
      </c>
      <c r="M88" s="56">
        <v>50</v>
      </c>
      <c r="N88" s="56" t="s">
        <v>4139</v>
      </c>
      <c r="O88" s="58">
        <v>46719</v>
      </c>
      <c r="P88" s="56" t="s">
        <v>5</v>
      </c>
      <c r="Q88" s="56"/>
      <c r="R88" s="162">
        <v>45913</v>
      </c>
      <c r="S88" s="163">
        <v>45918</v>
      </c>
      <c r="T88" s="164">
        <f t="shared" si="1"/>
        <v>5</v>
      </c>
      <c r="U88" s="56">
        <v>1</v>
      </c>
      <c r="V88" s="56">
        <v>1</v>
      </c>
      <c r="W88" s="56">
        <v>0</v>
      </c>
      <c r="X88" s="56">
        <v>1</v>
      </c>
      <c r="Y88" s="56">
        <v>0</v>
      </c>
      <c r="Z88" s="56">
        <v>0</v>
      </c>
      <c r="AA88" s="56">
        <v>1</v>
      </c>
      <c r="AB88" s="56"/>
      <c r="AC88" s="58">
        <v>45912</v>
      </c>
      <c r="AD88" s="59">
        <v>0.65625</v>
      </c>
      <c r="AE88" s="56" t="s">
        <v>1385</v>
      </c>
      <c r="AF88" s="58">
        <v>45919</v>
      </c>
      <c r="AG88" s="59">
        <v>0.92013888889050577</v>
      </c>
      <c r="AH88" s="56" t="s">
        <v>2064</v>
      </c>
      <c r="AI88" s="56" t="s">
        <v>4007</v>
      </c>
      <c r="AJ88" s="56" t="s">
        <v>64</v>
      </c>
      <c r="AK88" s="56"/>
      <c r="AL88" s="56" t="s">
        <v>3838</v>
      </c>
      <c r="AM88" s="60" t="s">
        <v>65</v>
      </c>
      <c r="AN88" s="60" t="s">
        <v>4061</v>
      </c>
      <c r="AO88" s="60"/>
      <c r="AP88" s="61"/>
    </row>
    <row r="89" spans="3:42" ht="14.25" customHeight="1">
      <c r="C89" s="55" t="str">
        <f>IF($X89=1,COUNTIF($C$10:C88,"&gt;0")+1,"")</f>
        <v/>
      </c>
      <c r="D89" s="56"/>
      <c r="E89" s="56" t="s">
        <v>4001</v>
      </c>
      <c r="F89" s="57" t="s">
        <v>4140</v>
      </c>
      <c r="G89" s="56" t="s">
        <v>4136</v>
      </c>
      <c r="H89" s="56" t="s">
        <v>4141</v>
      </c>
      <c r="I89" s="56" t="s">
        <v>4142</v>
      </c>
      <c r="J89" s="56" t="s">
        <v>68</v>
      </c>
      <c r="K89" s="56" t="s">
        <v>59</v>
      </c>
      <c r="L89" s="58">
        <v>26932</v>
      </c>
      <c r="M89" s="56">
        <v>51</v>
      </c>
      <c r="N89" s="56" t="s">
        <v>4143</v>
      </c>
      <c r="O89" s="58">
        <v>48623</v>
      </c>
      <c r="P89" s="56" t="s">
        <v>5</v>
      </c>
      <c r="Q89" s="56"/>
      <c r="R89" s="162">
        <v>45913</v>
      </c>
      <c r="S89" s="163">
        <v>45918</v>
      </c>
      <c r="T89" s="164">
        <f t="shared" si="1"/>
        <v>5</v>
      </c>
      <c r="U89" s="56">
        <v>1</v>
      </c>
      <c r="V89" s="56">
        <v>1</v>
      </c>
      <c r="W89" s="56">
        <v>0</v>
      </c>
      <c r="X89" s="56">
        <v>0</v>
      </c>
      <c r="Y89" s="56">
        <v>0</v>
      </c>
      <c r="Z89" s="56">
        <v>0</v>
      </c>
      <c r="AA89" s="56">
        <v>0</v>
      </c>
      <c r="AB89" s="56"/>
      <c r="AC89" s="58">
        <v>45913</v>
      </c>
      <c r="AD89" s="59">
        <v>0.65625</v>
      </c>
      <c r="AE89" s="56" t="s">
        <v>2338</v>
      </c>
      <c r="AF89" s="58">
        <v>45918</v>
      </c>
      <c r="AG89" s="59">
        <v>0.34722222221898846</v>
      </c>
      <c r="AH89" s="56" t="s">
        <v>4006</v>
      </c>
      <c r="AI89" s="56" t="s">
        <v>4007</v>
      </c>
      <c r="AJ89" s="56" t="s">
        <v>64</v>
      </c>
      <c r="AK89" s="56" t="s">
        <v>64</v>
      </c>
      <c r="AL89" s="56" t="s">
        <v>3838</v>
      </c>
      <c r="AM89" s="60" t="s">
        <v>65</v>
      </c>
      <c r="AN89" s="60" t="s">
        <v>4061</v>
      </c>
      <c r="AO89" s="60"/>
      <c r="AP89" s="61"/>
    </row>
    <row r="90" spans="3:42" ht="14.25" customHeight="1">
      <c r="C90" s="55">
        <f>IF($X90=1,COUNTIF($C$10:C89,"&gt;0")+1,"")</f>
        <v>40</v>
      </c>
      <c r="D90" s="56">
        <v>15262356</v>
      </c>
      <c r="E90" s="56" t="s">
        <v>4001</v>
      </c>
      <c r="F90" s="57" t="s">
        <v>4144</v>
      </c>
      <c r="G90" s="56" t="s">
        <v>4144</v>
      </c>
      <c r="H90" s="56" t="s">
        <v>4145</v>
      </c>
      <c r="I90" s="56" t="s">
        <v>4146</v>
      </c>
      <c r="J90" s="56" t="s">
        <v>68</v>
      </c>
      <c r="K90" s="56" t="s">
        <v>59</v>
      </c>
      <c r="L90" s="58">
        <v>26427</v>
      </c>
      <c r="M90" s="56">
        <v>53</v>
      </c>
      <c r="N90" s="56" t="s">
        <v>4147</v>
      </c>
      <c r="O90" s="58">
        <v>47175</v>
      </c>
      <c r="P90" s="56" t="s">
        <v>5</v>
      </c>
      <c r="Q90" s="56"/>
      <c r="R90" s="162">
        <v>45913</v>
      </c>
      <c r="S90" s="163">
        <v>45918</v>
      </c>
      <c r="T90" s="164">
        <f t="shared" si="1"/>
        <v>5</v>
      </c>
      <c r="U90" s="56">
        <v>1</v>
      </c>
      <c r="V90" s="56">
        <v>1</v>
      </c>
      <c r="W90" s="56">
        <v>0</v>
      </c>
      <c r="X90" s="56">
        <v>1</v>
      </c>
      <c r="Y90" s="56">
        <v>0</v>
      </c>
      <c r="Z90" s="56">
        <v>0</v>
      </c>
      <c r="AA90" s="56">
        <v>1</v>
      </c>
      <c r="AB90" s="56"/>
      <c r="AC90" s="58">
        <v>45913</v>
      </c>
      <c r="AD90" s="59">
        <v>0.72916666666424135</v>
      </c>
      <c r="AE90" s="56" t="s">
        <v>575</v>
      </c>
      <c r="AF90" s="58">
        <v>45918</v>
      </c>
      <c r="AG90" s="59">
        <v>0.86805555555474712</v>
      </c>
      <c r="AH90" s="56" t="s">
        <v>4148</v>
      </c>
      <c r="AI90" s="56" t="s">
        <v>4007</v>
      </c>
      <c r="AJ90" s="56" t="s">
        <v>64</v>
      </c>
      <c r="AK90" s="56"/>
      <c r="AL90" s="56" t="s">
        <v>3838</v>
      </c>
      <c r="AM90" s="60" t="s">
        <v>65</v>
      </c>
      <c r="AN90" s="56" t="s">
        <v>3967</v>
      </c>
      <c r="AO90" s="60"/>
      <c r="AP90" s="61"/>
    </row>
    <row r="91" spans="3:42" ht="14.25" customHeight="1">
      <c r="C91" s="55" t="str">
        <f>IF($X91=1,COUNTIF($C$10:C90,"&gt;0")+1,"")</f>
        <v/>
      </c>
      <c r="D91" s="56"/>
      <c r="E91" s="56" t="s">
        <v>4001</v>
      </c>
      <c r="F91" s="57" t="s">
        <v>4149</v>
      </c>
      <c r="G91" s="56" t="s">
        <v>4144</v>
      </c>
      <c r="H91" s="56" t="s">
        <v>4150</v>
      </c>
      <c r="I91" s="56" t="s">
        <v>4146</v>
      </c>
      <c r="J91" s="56" t="s">
        <v>58</v>
      </c>
      <c r="K91" s="56" t="s">
        <v>59</v>
      </c>
      <c r="L91" s="58">
        <v>27038</v>
      </c>
      <c r="M91" s="56">
        <v>51</v>
      </c>
      <c r="N91" s="56" t="s">
        <v>64</v>
      </c>
      <c r="O91" s="58">
        <v>48322</v>
      </c>
      <c r="P91" s="56" t="s">
        <v>5</v>
      </c>
      <c r="Q91" s="56"/>
      <c r="R91" s="162">
        <v>45913</v>
      </c>
      <c r="S91" s="163">
        <v>45918</v>
      </c>
      <c r="T91" s="164">
        <f t="shared" si="1"/>
        <v>5</v>
      </c>
      <c r="U91" s="56">
        <v>1</v>
      </c>
      <c r="V91" s="56">
        <v>1</v>
      </c>
      <c r="W91" s="56">
        <v>0</v>
      </c>
      <c r="X91" s="56">
        <v>0</v>
      </c>
      <c r="Y91" s="56">
        <v>0</v>
      </c>
      <c r="Z91" s="56">
        <v>0</v>
      </c>
      <c r="AA91" s="56">
        <v>0</v>
      </c>
      <c r="AB91" s="56"/>
      <c r="AC91" s="58">
        <v>45913</v>
      </c>
      <c r="AD91" s="59">
        <v>0.72916666666424135</v>
      </c>
      <c r="AE91" s="56" t="s">
        <v>575</v>
      </c>
      <c r="AF91" s="58">
        <v>45918</v>
      </c>
      <c r="AG91" s="59">
        <v>0.86805555555474712</v>
      </c>
      <c r="AH91" s="56" t="s">
        <v>4148</v>
      </c>
      <c r="AI91" s="56" t="s">
        <v>4007</v>
      </c>
      <c r="AJ91" s="56" t="s">
        <v>64</v>
      </c>
      <c r="AK91" s="56"/>
      <c r="AL91" s="56" t="s">
        <v>3838</v>
      </c>
      <c r="AM91" s="60" t="s">
        <v>65</v>
      </c>
      <c r="AN91" s="56" t="s">
        <v>3967</v>
      </c>
      <c r="AO91" s="60"/>
      <c r="AP91" s="61"/>
    </row>
    <row r="92" spans="3:42" ht="14.25" customHeight="1">
      <c r="C92" s="55" t="str">
        <f>IF($X92=1,COUNTIF($C$10:C91,"&gt;0")+1,"")</f>
        <v/>
      </c>
      <c r="D92" s="56"/>
      <c r="E92" s="56" t="s">
        <v>4001</v>
      </c>
      <c r="F92" s="57" t="s">
        <v>4151</v>
      </c>
      <c r="G92" s="56" t="s">
        <v>4144</v>
      </c>
      <c r="H92" s="56" t="s">
        <v>4152</v>
      </c>
      <c r="I92" s="56" t="s">
        <v>4146</v>
      </c>
      <c r="J92" s="56" t="s">
        <v>68</v>
      </c>
      <c r="K92" s="56" t="s">
        <v>59</v>
      </c>
      <c r="L92" s="58">
        <v>42243</v>
      </c>
      <c r="M92" s="56">
        <v>10</v>
      </c>
      <c r="N92" s="56" t="s">
        <v>4153</v>
      </c>
      <c r="O92" s="58">
        <v>46488</v>
      </c>
      <c r="P92" s="56" t="s">
        <v>5</v>
      </c>
      <c r="Q92" s="56"/>
      <c r="R92" s="162">
        <v>45913</v>
      </c>
      <c r="S92" s="163">
        <v>45918</v>
      </c>
      <c r="T92" s="164">
        <f t="shared" si="1"/>
        <v>5</v>
      </c>
      <c r="U92" s="56">
        <v>1</v>
      </c>
      <c r="V92" s="56">
        <v>0</v>
      </c>
      <c r="W92" s="56">
        <v>1</v>
      </c>
      <c r="X92" s="56">
        <v>0</v>
      </c>
      <c r="Y92" s="56">
        <v>0</v>
      </c>
      <c r="Z92" s="56">
        <v>0</v>
      </c>
      <c r="AA92" s="56">
        <v>0</v>
      </c>
      <c r="AB92" s="56"/>
      <c r="AC92" s="58">
        <v>45913</v>
      </c>
      <c r="AD92" s="59">
        <v>0.72916666666424135</v>
      </c>
      <c r="AE92" s="56" t="s">
        <v>575</v>
      </c>
      <c r="AF92" s="58">
        <v>45918</v>
      </c>
      <c r="AG92" s="59">
        <v>0.86805555555474712</v>
      </c>
      <c r="AH92" s="56" t="s">
        <v>4148</v>
      </c>
      <c r="AI92" s="56" t="s">
        <v>4007</v>
      </c>
      <c r="AJ92" s="56" t="s">
        <v>64</v>
      </c>
      <c r="AK92" s="56"/>
      <c r="AL92" s="56" t="s">
        <v>3838</v>
      </c>
      <c r="AM92" s="60" t="s">
        <v>65</v>
      </c>
      <c r="AN92" s="56" t="s">
        <v>3967</v>
      </c>
      <c r="AO92" s="60"/>
      <c r="AP92" s="61"/>
    </row>
    <row r="93" spans="3:42" ht="14.25" customHeight="1">
      <c r="C93" s="55">
        <f>IF($X93=1,COUNTIF($C$10:C92,"&gt;0")+1,"")</f>
        <v>41</v>
      </c>
      <c r="D93" s="56">
        <v>15262358</v>
      </c>
      <c r="E93" s="56" t="s">
        <v>4001</v>
      </c>
      <c r="F93" s="57" t="s">
        <v>4154</v>
      </c>
      <c r="G93" s="56" t="s">
        <v>4154</v>
      </c>
      <c r="H93" s="56" t="s">
        <v>4155</v>
      </c>
      <c r="I93" s="56" t="s">
        <v>4156</v>
      </c>
      <c r="J93" s="56" t="s">
        <v>68</v>
      </c>
      <c r="K93" s="56" t="s">
        <v>59</v>
      </c>
      <c r="L93" s="58">
        <v>21208</v>
      </c>
      <c r="M93" s="56">
        <v>67</v>
      </c>
      <c r="N93" s="56" t="s">
        <v>4157</v>
      </c>
      <c r="O93" s="58">
        <v>48255</v>
      </c>
      <c r="P93" s="56" t="s">
        <v>5</v>
      </c>
      <c r="Q93" s="56"/>
      <c r="R93" s="162">
        <v>45913</v>
      </c>
      <c r="S93" s="163">
        <v>45918</v>
      </c>
      <c r="T93" s="164">
        <f t="shared" si="1"/>
        <v>5</v>
      </c>
      <c r="U93" s="56">
        <v>1</v>
      </c>
      <c r="V93" s="56">
        <v>1</v>
      </c>
      <c r="W93" s="56">
        <v>0</v>
      </c>
      <c r="X93" s="56">
        <v>1</v>
      </c>
      <c r="Y93" s="56">
        <v>0</v>
      </c>
      <c r="Z93" s="56">
        <v>0</v>
      </c>
      <c r="AA93" s="56">
        <v>1</v>
      </c>
      <c r="AB93" s="56"/>
      <c r="AC93" s="58">
        <v>45913</v>
      </c>
      <c r="AD93" s="59">
        <v>0.20833333333575865</v>
      </c>
      <c r="AE93" s="56" t="s">
        <v>4106</v>
      </c>
      <c r="AF93" s="58">
        <v>45918</v>
      </c>
      <c r="AG93" s="59">
        <v>0.875</v>
      </c>
      <c r="AH93" s="56" t="s">
        <v>4132</v>
      </c>
      <c r="AI93" s="56" t="s">
        <v>4007</v>
      </c>
      <c r="AJ93" s="56" t="s">
        <v>64</v>
      </c>
      <c r="AK93" s="56" t="s">
        <v>64</v>
      </c>
      <c r="AL93" s="56" t="s">
        <v>3838</v>
      </c>
      <c r="AM93" s="60" t="s">
        <v>65</v>
      </c>
      <c r="AN93" s="60" t="s">
        <v>3967</v>
      </c>
      <c r="AO93" s="60"/>
      <c r="AP93" s="61"/>
    </row>
    <row r="94" spans="3:42" ht="14.25" customHeight="1">
      <c r="C94" s="55" t="str">
        <f>IF($X94=1,COUNTIF($C$10:C93,"&gt;0")+1,"")</f>
        <v/>
      </c>
      <c r="D94" s="56"/>
      <c r="E94" s="56" t="s">
        <v>4001</v>
      </c>
      <c r="F94" s="57" t="s">
        <v>4158</v>
      </c>
      <c r="G94" s="56" t="s">
        <v>4154</v>
      </c>
      <c r="H94" s="56" t="s">
        <v>4159</v>
      </c>
      <c r="I94" s="56" t="s">
        <v>4146</v>
      </c>
      <c r="J94" s="56" t="s">
        <v>58</v>
      </c>
      <c r="K94" s="56" t="s">
        <v>59</v>
      </c>
      <c r="L94" s="58">
        <v>41106</v>
      </c>
      <c r="M94" s="56">
        <v>13</v>
      </c>
      <c r="N94" s="56" t="s">
        <v>4160</v>
      </c>
      <c r="O94" s="58">
        <v>46201</v>
      </c>
      <c r="P94" s="56" t="s">
        <v>5</v>
      </c>
      <c r="Q94" s="56"/>
      <c r="R94" s="162">
        <v>45913</v>
      </c>
      <c r="S94" s="163">
        <v>45918</v>
      </c>
      <c r="T94" s="164">
        <f t="shared" si="1"/>
        <v>5</v>
      </c>
      <c r="U94" s="56">
        <v>1</v>
      </c>
      <c r="V94" s="56">
        <v>1</v>
      </c>
      <c r="W94" s="56">
        <v>0</v>
      </c>
      <c r="X94" s="56">
        <v>0</v>
      </c>
      <c r="Y94" s="56">
        <v>0</v>
      </c>
      <c r="Z94" s="56">
        <v>0</v>
      </c>
      <c r="AA94" s="56">
        <v>0</v>
      </c>
      <c r="AB94" s="56"/>
      <c r="AC94" s="58">
        <v>45913</v>
      </c>
      <c r="AD94" s="59">
        <v>0.72916666666424135</v>
      </c>
      <c r="AE94" s="56" t="s">
        <v>575</v>
      </c>
      <c r="AF94" s="58">
        <v>45918</v>
      </c>
      <c r="AG94" s="59">
        <v>0.86805555555474712</v>
      </c>
      <c r="AH94" s="56" t="s">
        <v>4148</v>
      </c>
      <c r="AI94" s="56" t="s">
        <v>4007</v>
      </c>
      <c r="AJ94" s="56" t="s">
        <v>64</v>
      </c>
      <c r="AK94" s="56"/>
      <c r="AL94" s="56" t="s">
        <v>3838</v>
      </c>
      <c r="AM94" s="60" t="s">
        <v>65</v>
      </c>
      <c r="AN94" s="60" t="s">
        <v>3967</v>
      </c>
      <c r="AO94" s="60"/>
      <c r="AP94" s="61"/>
    </row>
    <row r="95" spans="3:42" ht="14.25" customHeight="1">
      <c r="C95" s="55">
        <f>IF($X95=1,COUNTIF($C$10:C94,"&gt;0")+1,"")</f>
        <v>42</v>
      </c>
      <c r="D95" s="56">
        <v>15262359</v>
      </c>
      <c r="E95" s="56" t="s">
        <v>4001</v>
      </c>
      <c r="F95" s="57" t="s">
        <v>4161</v>
      </c>
      <c r="G95" s="56" t="s">
        <v>4161</v>
      </c>
      <c r="H95" s="56" t="s">
        <v>4162</v>
      </c>
      <c r="I95" s="56" t="s">
        <v>736</v>
      </c>
      <c r="J95" s="56" t="s">
        <v>68</v>
      </c>
      <c r="K95" s="56" t="s">
        <v>59</v>
      </c>
      <c r="L95" s="58">
        <v>22051</v>
      </c>
      <c r="M95" s="56">
        <v>65</v>
      </c>
      <c r="N95" s="56" t="s">
        <v>4163</v>
      </c>
      <c r="O95" s="58">
        <v>47985</v>
      </c>
      <c r="P95" s="56" t="s">
        <v>4</v>
      </c>
      <c r="Q95" s="56"/>
      <c r="R95" s="162">
        <v>45913</v>
      </c>
      <c r="S95" s="163">
        <v>45918</v>
      </c>
      <c r="T95" s="164">
        <f t="shared" si="1"/>
        <v>5</v>
      </c>
      <c r="U95" s="56">
        <v>1</v>
      </c>
      <c r="V95" s="56">
        <v>1</v>
      </c>
      <c r="W95" s="56">
        <v>0</v>
      </c>
      <c r="X95" s="56">
        <v>1</v>
      </c>
      <c r="Y95" s="56">
        <v>0</v>
      </c>
      <c r="Z95" s="56">
        <v>1</v>
      </c>
      <c r="AA95" s="56">
        <v>0</v>
      </c>
      <c r="AB95" s="56"/>
      <c r="AC95" s="58">
        <v>45913</v>
      </c>
      <c r="AD95" s="59">
        <v>0.70486111110949423</v>
      </c>
      <c r="AE95" s="56" t="s">
        <v>817</v>
      </c>
      <c r="AF95" s="58">
        <v>45918</v>
      </c>
      <c r="AG95" s="59">
        <v>0.65625</v>
      </c>
      <c r="AH95" s="56" t="s">
        <v>2215</v>
      </c>
      <c r="AI95" s="56" t="s">
        <v>4007</v>
      </c>
      <c r="AJ95" s="56" t="s">
        <v>64</v>
      </c>
      <c r="AK95" s="56" t="s">
        <v>64</v>
      </c>
      <c r="AL95" s="56" t="s">
        <v>3838</v>
      </c>
      <c r="AM95" s="60" t="s">
        <v>65</v>
      </c>
      <c r="AN95" s="60" t="s">
        <v>3974</v>
      </c>
      <c r="AO95" s="60"/>
      <c r="AP95" s="61"/>
    </row>
    <row r="96" spans="3:42" ht="14.25" customHeight="1">
      <c r="C96" s="55" t="str">
        <f>IF($X96=1,COUNTIF($C$10:C95,"&gt;0")+1,"")</f>
        <v/>
      </c>
      <c r="D96" s="56"/>
      <c r="E96" s="56" t="s">
        <v>4001</v>
      </c>
      <c r="F96" s="57" t="s">
        <v>4164</v>
      </c>
      <c r="G96" s="56" t="s">
        <v>4161</v>
      </c>
      <c r="H96" s="56" t="s">
        <v>2625</v>
      </c>
      <c r="I96" s="56" t="s">
        <v>736</v>
      </c>
      <c r="J96" s="56" t="s">
        <v>58</v>
      </c>
      <c r="K96" s="56" t="s">
        <v>59</v>
      </c>
      <c r="L96" s="58">
        <v>22449</v>
      </c>
      <c r="M96" s="56">
        <v>64</v>
      </c>
      <c r="N96" s="56" t="s">
        <v>4165</v>
      </c>
      <c r="O96" s="58">
        <v>45967</v>
      </c>
      <c r="P96" s="56" t="s">
        <v>4</v>
      </c>
      <c r="Q96" s="56"/>
      <c r="R96" s="162">
        <v>45913</v>
      </c>
      <c r="S96" s="163">
        <v>45918</v>
      </c>
      <c r="T96" s="164">
        <f t="shared" si="1"/>
        <v>5</v>
      </c>
      <c r="U96" s="56">
        <v>1</v>
      </c>
      <c r="V96" s="56">
        <v>1</v>
      </c>
      <c r="W96" s="56">
        <v>0</v>
      </c>
      <c r="X96" s="56">
        <v>0</v>
      </c>
      <c r="Y96" s="56">
        <v>0</v>
      </c>
      <c r="Z96" s="56">
        <v>0</v>
      </c>
      <c r="AA96" s="56">
        <v>0</v>
      </c>
      <c r="AB96" s="56"/>
      <c r="AC96" s="58">
        <v>45913</v>
      </c>
      <c r="AD96" s="59">
        <v>0.70486111110949423</v>
      </c>
      <c r="AE96" s="56" t="s">
        <v>817</v>
      </c>
      <c r="AF96" s="58">
        <v>45918</v>
      </c>
      <c r="AG96" s="59">
        <v>0.65625</v>
      </c>
      <c r="AH96" s="56" t="s">
        <v>2215</v>
      </c>
      <c r="AI96" s="56" t="s">
        <v>4007</v>
      </c>
      <c r="AJ96" s="56" t="s">
        <v>64</v>
      </c>
      <c r="AK96" s="56" t="s">
        <v>64</v>
      </c>
      <c r="AL96" s="56" t="s">
        <v>3838</v>
      </c>
      <c r="AM96" s="60" t="s">
        <v>65</v>
      </c>
      <c r="AN96" s="60" t="s">
        <v>3974</v>
      </c>
      <c r="AO96" s="60"/>
      <c r="AP96" s="61"/>
    </row>
    <row r="97" spans="3:42" ht="14.25" customHeight="1">
      <c r="C97" s="55">
        <f>IF($X97=1,COUNTIF($C$10:C96,"&gt;0")+1,"")</f>
        <v>43</v>
      </c>
      <c r="D97" s="56">
        <v>15262360</v>
      </c>
      <c r="E97" s="56" t="s">
        <v>4001</v>
      </c>
      <c r="F97" s="57" t="s">
        <v>4166</v>
      </c>
      <c r="G97" s="56" t="s">
        <v>4166</v>
      </c>
      <c r="H97" s="56" t="s">
        <v>4167</v>
      </c>
      <c r="I97" s="56" t="s">
        <v>4168</v>
      </c>
      <c r="J97" s="56" t="s">
        <v>58</v>
      </c>
      <c r="K97" s="56" t="s">
        <v>59</v>
      </c>
      <c r="L97" s="58">
        <v>28051</v>
      </c>
      <c r="M97" s="56">
        <v>48</v>
      </c>
      <c r="N97" s="56" t="s">
        <v>4169</v>
      </c>
      <c r="O97" s="58">
        <v>46157</v>
      </c>
      <c r="P97" s="56" t="s">
        <v>4</v>
      </c>
      <c r="Q97" s="56"/>
      <c r="R97" s="162">
        <v>45913</v>
      </c>
      <c r="S97" s="163">
        <v>45918</v>
      </c>
      <c r="T97" s="164">
        <f t="shared" si="1"/>
        <v>5</v>
      </c>
      <c r="U97" s="56">
        <v>1</v>
      </c>
      <c r="V97" s="56">
        <v>1</v>
      </c>
      <c r="W97" s="56">
        <v>0</v>
      </c>
      <c r="X97" s="56">
        <v>1</v>
      </c>
      <c r="Y97" s="56">
        <v>0</v>
      </c>
      <c r="Z97" s="56">
        <v>1</v>
      </c>
      <c r="AA97" s="56">
        <v>0</v>
      </c>
      <c r="AB97" s="56"/>
      <c r="AC97" s="58">
        <v>45913</v>
      </c>
      <c r="AD97" s="59">
        <v>0.60069444444525288</v>
      </c>
      <c r="AE97" s="56" t="s">
        <v>392</v>
      </c>
      <c r="AF97" s="58">
        <v>45918</v>
      </c>
      <c r="AG97" s="59">
        <v>0.78472222221898846</v>
      </c>
      <c r="AH97" s="56" t="s">
        <v>3020</v>
      </c>
      <c r="AI97" s="56" t="s">
        <v>4007</v>
      </c>
      <c r="AJ97" s="56" t="s">
        <v>64</v>
      </c>
      <c r="AK97" s="56" t="s">
        <v>64</v>
      </c>
      <c r="AL97" s="56" t="s">
        <v>3838</v>
      </c>
      <c r="AM97" s="60" t="s">
        <v>65</v>
      </c>
      <c r="AN97" s="60" t="s">
        <v>3974</v>
      </c>
      <c r="AO97" s="60"/>
      <c r="AP97" s="61"/>
    </row>
    <row r="98" spans="3:42" ht="14.25" customHeight="1">
      <c r="C98" s="55" t="str">
        <f>IF($X98=1,COUNTIF($C$10:C97,"&gt;0")+1,"")</f>
        <v/>
      </c>
      <c r="D98" s="56"/>
      <c r="E98" s="56" t="s">
        <v>4001</v>
      </c>
      <c r="F98" s="57" t="s">
        <v>4170</v>
      </c>
      <c r="G98" s="56" t="s">
        <v>4166</v>
      </c>
      <c r="H98" s="56" t="s">
        <v>4171</v>
      </c>
      <c r="I98" s="56" t="s">
        <v>4168</v>
      </c>
      <c r="J98" s="56" t="s">
        <v>68</v>
      </c>
      <c r="K98" s="56" t="s">
        <v>59</v>
      </c>
      <c r="L98" s="58">
        <v>28321</v>
      </c>
      <c r="M98" s="56">
        <v>48</v>
      </c>
      <c r="N98" s="56" t="s">
        <v>4172</v>
      </c>
      <c r="O98" s="58">
        <v>48218</v>
      </c>
      <c r="P98" s="56" t="s">
        <v>4</v>
      </c>
      <c r="Q98" s="56"/>
      <c r="R98" s="162">
        <v>45913</v>
      </c>
      <c r="S98" s="163">
        <v>45918</v>
      </c>
      <c r="T98" s="164">
        <f t="shared" si="1"/>
        <v>5</v>
      </c>
      <c r="U98" s="56">
        <v>1</v>
      </c>
      <c r="V98" s="56">
        <v>1</v>
      </c>
      <c r="W98" s="56">
        <v>0</v>
      </c>
      <c r="X98" s="56">
        <v>0</v>
      </c>
      <c r="Y98" s="56">
        <v>0</v>
      </c>
      <c r="Z98" s="56">
        <v>0</v>
      </c>
      <c r="AA98" s="56">
        <v>0</v>
      </c>
      <c r="AB98" s="56"/>
      <c r="AC98" s="58">
        <v>45913</v>
      </c>
      <c r="AD98" s="59">
        <v>0.60069444444525288</v>
      </c>
      <c r="AE98" s="56" t="s">
        <v>392</v>
      </c>
      <c r="AF98" s="58">
        <v>45918</v>
      </c>
      <c r="AG98" s="59">
        <v>0.78472222221898846</v>
      </c>
      <c r="AH98" s="56" t="s">
        <v>3020</v>
      </c>
      <c r="AI98" s="56" t="s">
        <v>4007</v>
      </c>
      <c r="AJ98" s="56" t="s">
        <v>64</v>
      </c>
      <c r="AK98" s="56" t="s">
        <v>64</v>
      </c>
      <c r="AL98" s="56" t="s">
        <v>3838</v>
      </c>
      <c r="AM98" s="60" t="s">
        <v>65</v>
      </c>
      <c r="AN98" s="60" t="s">
        <v>3974</v>
      </c>
      <c r="AO98" s="60"/>
      <c r="AP98" s="61"/>
    </row>
    <row r="99" spans="3:42" ht="14.25" customHeight="1">
      <c r="C99" s="55">
        <f>IF($X99=1,COUNTIF($C$10:C98,"&gt;0")+1,"")</f>
        <v>44</v>
      </c>
      <c r="D99" s="56">
        <v>15262361</v>
      </c>
      <c r="E99" s="56" t="s">
        <v>4001</v>
      </c>
      <c r="F99" s="57" t="s">
        <v>4173</v>
      </c>
      <c r="G99" s="56" t="s">
        <v>4173</v>
      </c>
      <c r="H99" s="56" t="s">
        <v>4174</v>
      </c>
      <c r="I99" s="56" t="s">
        <v>4175</v>
      </c>
      <c r="J99" s="56" t="s">
        <v>68</v>
      </c>
      <c r="K99" s="56" t="s">
        <v>59</v>
      </c>
      <c r="L99" s="58">
        <v>24528</v>
      </c>
      <c r="M99" s="56">
        <v>58</v>
      </c>
      <c r="N99" s="56" t="s">
        <v>4176</v>
      </c>
      <c r="O99" s="58">
        <v>47228</v>
      </c>
      <c r="P99" s="56" t="s">
        <v>4</v>
      </c>
      <c r="Q99" s="56"/>
      <c r="R99" s="162">
        <v>45913</v>
      </c>
      <c r="S99" s="163">
        <v>45918</v>
      </c>
      <c r="T99" s="164">
        <f t="shared" si="1"/>
        <v>5</v>
      </c>
      <c r="U99" s="56">
        <v>1</v>
      </c>
      <c r="V99" s="56">
        <v>1</v>
      </c>
      <c r="W99" s="56">
        <v>0</v>
      </c>
      <c r="X99" s="56">
        <v>1</v>
      </c>
      <c r="Y99" s="56">
        <v>0</v>
      </c>
      <c r="Z99" s="56">
        <v>1</v>
      </c>
      <c r="AA99" s="56">
        <v>0</v>
      </c>
      <c r="AB99" s="56"/>
      <c r="AC99" s="58">
        <v>45913</v>
      </c>
      <c r="AD99" s="59">
        <v>0.20833333333575865</v>
      </c>
      <c r="AE99" s="56" t="s">
        <v>4106</v>
      </c>
      <c r="AF99" s="58">
        <v>45918</v>
      </c>
      <c r="AG99" s="59">
        <v>0.74305555555474712</v>
      </c>
      <c r="AH99" s="56" t="s">
        <v>4177</v>
      </c>
      <c r="AI99" s="56" t="s">
        <v>4007</v>
      </c>
      <c r="AJ99" s="56" t="s">
        <v>64</v>
      </c>
      <c r="AK99" s="74" t="s">
        <v>4178</v>
      </c>
      <c r="AL99" s="56" t="s">
        <v>3838</v>
      </c>
      <c r="AM99" s="60" t="s">
        <v>65</v>
      </c>
      <c r="AN99" s="60" t="s">
        <v>3974</v>
      </c>
      <c r="AO99" s="60"/>
      <c r="AP99" s="61"/>
    </row>
    <row r="100" spans="3:42" ht="14.25" customHeight="1">
      <c r="C100" s="55" t="str">
        <f>IF($X100=1,COUNTIF($C$10:C99,"&gt;0")+1,"")</f>
        <v/>
      </c>
      <c r="D100" s="56"/>
      <c r="E100" s="56" t="s">
        <v>4001</v>
      </c>
      <c r="F100" s="57" t="s">
        <v>4179</v>
      </c>
      <c r="G100" s="56" t="s">
        <v>4173</v>
      </c>
      <c r="H100" s="56" t="s">
        <v>4180</v>
      </c>
      <c r="I100" s="56" t="s">
        <v>4181</v>
      </c>
      <c r="J100" s="56" t="s">
        <v>58</v>
      </c>
      <c r="K100" s="56" t="s">
        <v>59</v>
      </c>
      <c r="L100" s="58">
        <v>24561</v>
      </c>
      <c r="M100" s="56">
        <v>58</v>
      </c>
      <c r="N100" s="56" t="s">
        <v>4182</v>
      </c>
      <c r="O100" s="58">
        <v>46838</v>
      </c>
      <c r="P100" s="56" t="s">
        <v>4</v>
      </c>
      <c r="Q100" s="56"/>
      <c r="R100" s="162">
        <v>45913</v>
      </c>
      <c r="S100" s="163">
        <v>45918</v>
      </c>
      <c r="T100" s="164">
        <f t="shared" si="1"/>
        <v>5</v>
      </c>
      <c r="U100" s="56">
        <v>1</v>
      </c>
      <c r="V100" s="56">
        <v>1</v>
      </c>
      <c r="W100" s="56">
        <v>0</v>
      </c>
      <c r="X100" s="56">
        <v>0</v>
      </c>
      <c r="Y100" s="56">
        <v>0</v>
      </c>
      <c r="Z100" s="56">
        <v>0</v>
      </c>
      <c r="AA100" s="56">
        <v>0</v>
      </c>
      <c r="AB100" s="56"/>
      <c r="AC100" s="58">
        <v>45913</v>
      </c>
      <c r="AD100" s="59">
        <v>0.20833333333575865</v>
      </c>
      <c r="AE100" s="56" t="s">
        <v>4106</v>
      </c>
      <c r="AF100" s="58">
        <v>45918</v>
      </c>
      <c r="AG100" s="59">
        <v>0.74305555555474712</v>
      </c>
      <c r="AH100" s="56" t="s">
        <v>4177</v>
      </c>
      <c r="AI100" s="56" t="s">
        <v>4007</v>
      </c>
      <c r="AJ100" s="56" t="s">
        <v>64</v>
      </c>
      <c r="AK100" s="74"/>
      <c r="AL100" s="56" t="s">
        <v>3838</v>
      </c>
      <c r="AM100" s="60" t="s">
        <v>65</v>
      </c>
      <c r="AN100" s="60" t="s">
        <v>3974</v>
      </c>
      <c r="AO100" s="60"/>
      <c r="AP100" s="61"/>
    </row>
    <row r="101" spans="3:42" ht="14.25" customHeight="1">
      <c r="C101" s="55">
        <f>IF($X101=1,COUNTIF($C$10:C100,"&gt;0")+1,"")</f>
        <v>45</v>
      </c>
      <c r="D101" s="56">
        <v>15262362</v>
      </c>
      <c r="E101" s="56" t="s">
        <v>4001</v>
      </c>
      <c r="F101" s="57" t="s">
        <v>4183</v>
      </c>
      <c r="G101" s="56" t="s">
        <v>4183</v>
      </c>
      <c r="H101" s="56" t="s">
        <v>4184</v>
      </c>
      <c r="I101" s="56" t="s">
        <v>4185</v>
      </c>
      <c r="J101" s="56" t="s">
        <v>68</v>
      </c>
      <c r="K101" s="56" t="s">
        <v>59</v>
      </c>
      <c r="L101" s="58">
        <v>26479</v>
      </c>
      <c r="M101" s="56">
        <v>53</v>
      </c>
      <c r="N101" s="56" t="s">
        <v>4186</v>
      </c>
      <c r="O101" s="58">
        <v>47455</v>
      </c>
      <c r="P101" s="56" t="s">
        <v>5</v>
      </c>
      <c r="Q101" s="56"/>
      <c r="R101" s="162">
        <v>45913</v>
      </c>
      <c r="S101" s="163">
        <v>45918</v>
      </c>
      <c r="T101" s="164">
        <f t="shared" si="1"/>
        <v>5</v>
      </c>
      <c r="U101" s="56">
        <v>1</v>
      </c>
      <c r="V101" s="56">
        <v>1</v>
      </c>
      <c r="W101" s="56">
        <v>0</v>
      </c>
      <c r="X101" s="56">
        <v>1</v>
      </c>
      <c r="Y101" s="56">
        <v>0</v>
      </c>
      <c r="Z101" s="56">
        <v>0</v>
      </c>
      <c r="AA101" s="56">
        <v>1</v>
      </c>
      <c r="AB101" s="56"/>
      <c r="AC101" s="58">
        <v>45913</v>
      </c>
      <c r="AD101" s="59">
        <v>0.20833333333575865</v>
      </c>
      <c r="AE101" s="56" t="s">
        <v>4106</v>
      </c>
      <c r="AF101" s="58">
        <v>45918</v>
      </c>
      <c r="AG101" s="59">
        <v>0.74305555555474712</v>
      </c>
      <c r="AH101" s="56" t="s">
        <v>4177</v>
      </c>
      <c r="AI101" s="56" t="s">
        <v>4007</v>
      </c>
      <c r="AJ101" s="56" t="s">
        <v>64</v>
      </c>
      <c r="AK101" s="74" t="s">
        <v>4178</v>
      </c>
      <c r="AL101" s="56" t="s">
        <v>3838</v>
      </c>
      <c r="AM101" s="60" t="s">
        <v>65</v>
      </c>
      <c r="AN101" s="60" t="s">
        <v>4061</v>
      </c>
      <c r="AO101" s="60"/>
      <c r="AP101" s="61"/>
    </row>
    <row r="102" spans="3:42" ht="14.25" customHeight="1">
      <c r="C102" s="55" t="str">
        <f>IF($X102=1,COUNTIF($C$10:C101,"&gt;0")+1,"")</f>
        <v/>
      </c>
      <c r="D102" s="56"/>
      <c r="E102" s="56" t="s">
        <v>4001</v>
      </c>
      <c r="F102" s="57" t="s">
        <v>4187</v>
      </c>
      <c r="G102" s="56" t="s">
        <v>4183</v>
      </c>
      <c r="H102" s="56" t="s">
        <v>4188</v>
      </c>
      <c r="I102" s="56" t="s">
        <v>4189</v>
      </c>
      <c r="J102" s="56" t="s">
        <v>68</v>
      </c>
      <c r="K102" s="56" t="s">
        <v>59</v>
      </c>
      <c r="L102" s="58">
        <v>22637</v>
      </c>
      <c r="M102" s="56">
        <v>63</v>
      </c>
      <c r="N102" s="56" t="s">
        <v>4190</v>
      </c>
      <c r="O102" s="58">
        <v>47306</v>
      </c>
      <c r="P102" s="56" t="s">
        <v>5</v>
      </c>
      <c r="Q102" s="56"/>
      <c r="R102" s="162">
        <v>45913</v>
      </c>
      <c r="S102" s="163">
        <v>45918</v>
      </c>
      <c r="T102" s="164">
        <f t="shared" si="1"/>
        <v>5</v>
      </c>
      <c r="U102" s="56">
        <v>1</v>
      </c>
      <c r="V102" s="56">
        <v>1</v>
      </c>
      <c r="W102" s="56">
        <v>0</v>
      </c>
      <c r="X102" s="56">
        <v>0</v>
      </c>
      <c r="Y102" s="56">
        <v>0</v>
      </c>
      <c r="Z102" s="56">
        <v>0</v>
      </c>
      <c r="AA102" s="56">
        <v>0</v>
      </c>
      <c r="AB102" s="56"/>
      <c r="AC102" s="58">
        <v>45913</v>
      </c>
      <c r="AD102" s="59">
        <v>0.20833333333575865</v>
      </c>
      <c r="AE102" s="56" t="s">
        <v>4106</v>
      </c>
      <c r="AF102" s="58">
        <v>45918</v>
      </c>
      <c r="AG102" s="59">
        <v>0.74305555555474712</v>
      </c>
      <c r="AH102" s="56" t="s">
        <v>4177</v>
      </c>
      <c r="AI102" s="56" t="s">
        <v>4007</v>
      </c>
      <c r="AJ102" s="56" t="s">
        <v>64</v>
      </c>
      <c r="AK102" s="74"/>
      <c r="AL102" s="56" t="s">
        <v>3838</v>
      </c>
      <c r="AM102" s="60" t="s">
        <v>65</v>
      </c>
      <c r="AN102" s="60" t="s">
        <v>4061</v>
      </c>
      <c r="AO102" s="60"/>
      <c r="AP102" s="61"/>
    </row>
    <row r="103" spans="3:42" ht="14.25" customHeight="1">
      <c r="C103" s="55">
        <f>IF($X103=1,COUNTIF($C$10:C102,"&gt;0")+1,"")</f>
        <v>46</v>
      </c>
      <c r="D103" s="56">
        <v>15262370</v>
      </c>
      <c r="E103" s="56" t="s">
        <v>4001</v>
      </c>
      <c r="F103" s="57" t="s">
        <v>4191</v>
      </c>
      <c r="G103" s="56" t="s">
        <v>4191</v>
      </c>
      <c r="H103" s="56" t="s">
        <v>4192</v>
      </c>
      <c r="I103" s="56" t="s">
        <v>4193</v>
      </c>
      <c r="J103" s="56" t="s">
        <v>68</v>
      </c>
      <c r="K103" s="56" t="s">
        <v>59</v>
      </c>
      <c r="L103" s="58">
        <v>25451</v>
      </c>
      <c r="M103" s="56">
        <v>56</v>
      </c>
      <c r="N103" s="56" t="s">
        <v>4194</v>
      </c>
      <c r="O103" s="58">
        <v>47830</v>
      </c>
      <c r="P103" s="56" t="s">
        <v>4</v>
      </c>
      <c r="Q103" s="56"/>
      <c r="R103" s="162">
        <v>45913</v>
      </c>
      <c r="S103" s="163">
        <v>45918</v>
      </c>
      <c r="T103" s="164">
        <f t="shared" si="1"/>
        <v>5</v>
      </c>
      <c r="U103" s="56">
        <v>1</v>
      </c>
      <c r="V103" s="56">
        <v>1</v>
      </c>
      <c r="W103" s="56">
        <v>0</v>
      </c>
      <c r="X103" s="56">
        <v>1</v>
      </c>
      <c r="Y103" s="56">
        <v>0</v>
      </c>
      <c r="Z103" s="56">
        <v>1</v>
      </c>
      <c r="AA103" s="56">
        <v>0</v>
      </c>
      <c r="AB103" s="56"/>
      <c r="AC103" s="58">
        <v>45913</v>
      </c>
      <c r="AD103" s="59">
        <v>0.69444444444525288</v>
      </c>
      <c r="AE103" s="56" t="s">
        <v>995</v>
      </c>
      <c r="AF103" s="58">
        <v>45918</v>
      </c>
      <c r="AG103" s="59">
        <v>0.74305555555474712</v>
      </c>
      <c r="AH103" s="56" t="s">
        <v>4177</v>
      </c>
      <c r="AI103" s="56" t="s">
        <v>4007</v>
      </c>
      <c r="AJ103" s="56" t="s">
        <v>64</v>
      </c>
      <c r="AK103" s="74" t="s">
        <v>4178</v>
      </c>
      <c r="AL103" s="56" t="s">
        <v>3838</v>
      </c>
      <c r="AM103" s="60" t="s">
        <v>65</v>
      </c>
      <c r="AN103" s="60" t="s">
        <v>3974</v>
      </c>
      <c r="AO103" s="60"/>
      <c r="AP103" s="61"/>
    </row>
    <row r="104" spans="3:42" ht="14.25" customHeight="1">
      <c r="C104" s="55" t="str">
        <f>IF($X104=1,COUNTIF($C$10:C103,"&gt;0")+1,"")</f>
        <v/>
      </c>
      <c r="D104" s="56"/>
      <c r="E104" s="56" t="s">
        <v>4001</v>
      </c>
      <c r="F104" s="57" t="s">
        <v>4195</v>
      </c>
      <c r="G104" s="56" t="s">
        <v>4191</v>
      </c>
      <c r="H104" s="56" t="s">
        <v>4196</v>
      </c>
      <c r="I104" s="56" t="s">
        <v>4193</v>
      </c>
      <c r="J104" s="56" t="s">
        <v>58</v>
      </c>
      <c r="K104" s="56" t="s">
        <v>59</v>
      </c>
      <c r="L104" s="58">
        <v>20533</v>
      </c>
      <c r="M104" s="56">
        <v>69</v>
      </c>
      <c r="N104" s="56" t="s">
        <v>4197</v>
      </c>
      <c r="O104" s="58">
        <v>47300</v>
      </c>
      <c r="P104" s="56" t="s">
        <v>4</v>
      </c>
      <c r="Q104" s="56"/>
      <c r="R104" s="162">
        <v>45913</v>
      </c>
      <c r="S104" s="163">
        <v>45918</v>
      </c>
      <c r="T104" s="164">
        <f t="shared" si="1"/>
        <v>5</v>
      </c>
      <c r="U104" s="56">
        <v>1</v>
      </c>
      <c r="V104" s="56">
        <v>1</v>
      </c>
      <c r="W104" s="56">
        <v>0</v>
      </c>
      <c r="X104" s="56">
        <v>0</v>
      </c>
      <c r="Y104" s="56">
        <v>0</v>
      </c>
      <c r="Z104" s="56">
        <v>0</v>
      </c>
      <c r="AA104" s="56">
        <v>0</v>
      </c>
      <c r="AB104" s="56"/>
      <c r="AC104" s="58">
        <v>45913</v>
      </c>
      <c r="AD104" s="59">
        <v>0.69444444444525288</v>
      </c>
      <c r="AE104" s="56" t="s">
        <v>995</v>
      </c>
      <c r="AF104" s="58">
        <v>45918</v>
      </c>
      <c r="AG104" s="59">
        <v>0.74305555555474712</v>
      </c>
      <c r="AH104" s="56" t="s">
        <v>4177</v>
      </c>
      <c r="AI104" s="56" t="s">
        <v>4007</v>
      </c>
      <c r="AJ104" s="56" t="s">
        <v>64</v>
      </c>
      <c r="AK104" s="74" t="s">
        <v>64</v>
      </c>
      <c r="AL104" s="56" t="s">
        <v>3838</v>
      </c>
      <c r="AM104" s="60" t="s">
        <v>65</v>
      </c>
      <c r="AN104" s="60" t="s">
        <v>3974</v>
      </c>
      <c r="AO104" s="60"/>
      <c r="AP104" s="61"/>
    </row>
    <row r="105" spans="3:42" ht="14.25" customHeight="1">
      <c r="C105" s="55">
        <f>IF($X105=1,COUNTIF($C$10:C104,"&gt;0")+1,"")</f>
        <v>47</v>
      </c>
      <c r="D105" s="56">
        <v>15262371</v>
      </c>
      <c r="E105" s="56" t="s">
        <v>4001</v>
      </c>
      <c r="F105" s="57" t="s">
        <v>4198</v>
      </c>
      <c r="G105" s="56" t="s">
        <v>4198</v>
      </c>
      <c r="H105" s="56" t="s">
        <v>4199</v>
      </c>
      <c r="I105" s="56" t="s">
        <v>4200</v>
      </c>
      <c r="J105" s="56" t="s">
        <v>58</v>
      </c>
      <c r="K105" s="56" t="s">
        <v>59</v>
      </c>
      <c r="L105" s="58">
        <v>23906</v>
      </c>
      <c r="M105" s="56">
        <v>60</v>
      </c>
      <c r="N105" s="56" t="s">
        <v>4201</v>
      </c>
      <c r="O105" s="58">
        <v>48438</v>
      </c>
      <c r="P105" s="56" t="s">
        <v>4</v>
      </c>
      <c r="Q105" s="56"/>
      <c r="R105" s="162">
        <v>45913</v>
      </c>
      <c r="S105" s="163">
        <v>45918</v>
      </c>
      <c r="T105" s="164">
        <f t="shared" si="1"/>
        <v>5</v>
      </c>
      <c r="U105" s="56">
        <v>1</v>
      </c>
      <c r="V105" s="56">
        <v>1</v>
      </c>
      <c r="W105" s="56">
        <v>0</v>
      </c>
      <c r="X105" s="56">
        <v>1</v>
      </c>
      <c r="Y105" s="56">
        <v>0</v>
      </c>
      <c r="Z105" s="56">
        <v>1</v>
      </c>
      <c r="AA105" s="56">
        <v>0</v>
      </c>
      <c r="AB105" s="56"/>
      <c r="AC105" s="58">
        <v>45913</v>
      </c>
      <c r="AD105" s="59">
        <v>0.625</v>
      </c>
      <c r="AE105" s="56" t="s">
        <v>74</v>
      </c>
      <c r="AF105" s="58">
        <v>45918</v>
      </c>
      <c r="AG105" s="59">
        <v>0.47916666666424135</v>
      </c>
      <c r="AH105" s="56" t="s">
        <v>189</v>
      </c>
      <c r="AI105" s="56" t="s">
        <v>4007</v>
      </c>
      <c r="AJ105" s="56" t="s">
        <v>64</v>
      </c>
      <c r="AK105" s="56" t="s">
        <v>64</v>
      </c>
      <c r="AL105" s="56" t="s">
        <v>3838</v>
      </c>
      <c r="AM105" s="60" t="s">
        <v>65</v>
      </c>
      <c r="AN105" s="60" t="s">
        <v>3974</v>
      </c>
      <c r="AO105" s="60"/>
      <c r="AP105" s="61"/>
    </row>
    <row r="106" spans="3:42" ht="14.25" customHeight="1">
      <c r="C106" s="55" t="str">
        <f>IF($X106=1,COUNTIF($C$10:C105,"&gt;0")+1,"")</f>
        <v/>
      </c>
      <c r="D106" s="56"/>
      <c r="E106" s="56" t="s">
        <v>4001</v>
      </c>
      <c r="F106" s="57" t="s">
        <v>4202</v>
      </c>
      <c r="G106" s="56" t="s">
        <v>4198</v>
      </c>
      <c r="H106" s="56" t="s">
        <v>4203</v>
      </c>
      <c r="I106" s="56" t="s">
        <v>4200</v>
      </c>
      <c r="J106" s="56" t="s">
        <v>68</v>
      </c>
      <c r="K106" s="56" t="s">
        <v>59</v>
      </c>
      <c r="L106" s="58">
        <v>23706</v>
      </c>
      <c r="M106" s="56">
        <v>60</v>
      </c>
      <c r="N106" s="56" t="s">
        <v>4204</v>
      </c>
      <c r="O106" s="58">
        <v>48438</v>
      </c>
      <c r="P106" s="56" t="s">
        <v>4</v>
      </c>
      <c r="Q106" s="56"/>
      <c r="R106" s="162">
        <v>45913</v>
      </c>
      <c r="S106" s="163">
        <v>45918</v>
      </c>
      <c r="T106" s="164">
        <f t="shared" si="1"/>
        <v>5</v>
      </c>
      <c r="U106" s="56">
        <v>1</v>
      </c>
      <c r="V106" s="56">
        <v>1</v>
      </c>
      <c r="W106" s="56">
        <v>0</v>
      </c>
      <c r="X106" s="56">
        <v>0</v>
      </c>
      <c r="Y106" s="56">
        <v>0</v>
      </c>
      <c r="Z106" s="56">
        <v>0</v>
      </c>
      <c r="AA106" s="56">
        <v>0</v>
      </c>
      <c r="AB106" s="56"/>
      <c r="AC106" s="58">
        <v>45913</v>
      </c>
      <c r="AD106" s="59">
        <v>0.625</v>
      </c>
      <c r="AE106" s="56" t="s">
        <v>74</v>
      </c>
      <c r="AF106" s="58">
        <v>45918</v>
      </c>
      <c r="AG106" s="59">
        <v>0.47916666666424135</v>
      </c>
      <c r="AH106" s="56" t="s">
        <v>189</v>
      </c>
      <c r="AI106" s="56" t="s">
        <v>4007</v>
      </c>
      <c r="AJ106" s="56" t="s">
        <v>64</v>
      </c>
      <c r="AK106" s="56" t="s">
        <v>64</v>
      </c>
      <c r="AL106" s="56" t="s">
        <v>3838</v>
      </c>
      <c r="AM106" s="60" t="s">
        <v>65</v>
      </c>
      <c r="AN106" s="60" t="s">
        <v>3974</v>
      </c>
      <c r="AO106" s="60"/>
      <c r="AP106" s="61"/>
    </row>
    <row r="107" spans="3:42" ht="14.25" customHeight="1">
      <c r="C107" s="55">
        <f>IF($X107=1,COUNTIF($C$10:C106,"&gt;0")+1,"")</f>
        <v>48</v>
      </c>
      <c r="D107" s="56">
        <v>15262372</v>
      </c>
      <c r="E107" s="56" t="s">
        <v>4001</v>
      </c>
      <c r="F107" s="57" t="s">
        <v>4205</v>
      </c>
      <c r="G107" s="56" t="s">
        <v>4205</v>
      </c>
      <c r="H107" s="56" t="s">
        <v>4206</v>
      </c>
      <c r="I107" s="56" t="s">
        <v>4207</v>
      </c>
      <c r="J107" s="56" t="s">
        <v>58</v>
      </c>
      <c r="K107" s="56" t="s">
        <v>180</v>
      </c>
      <c r="L107" s="58">
        <v>32217</v>
      </c>
      <c r="M107" s="56">
        <v>37</v>
      </c>
      <c r="N107" s="56" t="s">
        <v>4208</v>
      </c>
      <c r="O107" s="58">
        <v>46826</v>
      </c>
      <c r="P107" s="56" t="s">
        <v>4</v>
      </c>
      <c r="Q107" s="56"/>
      <c r="R107" s="162">
        <v>45913</v>
      </c>
      <c r="S107" s="163">
        <v>45918</v>
      </c>
      <c r="T107" s="164">
        <f t="shared" si="1"/>
        <v>5</v>
      </c>
      <c r="U107" s="56">
        <v>1</v>
      </c>
      <c r="V107" s="56">
        <v>1</v>
      </c>
      <c r="W107" s="56">
        <v>0</v>
      </c>
      <c r="X107" s="56">
        <v>1</v>
      </c>
      <c r="Y107" s="56">
        <v>0</v>
      </c>
      <c r="Z107" s="56">
        <v>1</v>
      </c>
      <c r="AA107" s="56">
        <v>0</v>
      </c>
      <c r="AB107" s="56"/>
      <c r="AC107" s="58">
        <v>45912</v>
      </c>
      <c r="AD107" s="59">
        <v>0.625</v>
      </c>
      <c r="AE107" s="56" t="s">
        <v>74</v>
      </c>
      <c r="AF107" s="58">
        <v>45924</v>
      </c>
      <c r="AG107" s="59">
        <v>0.47916666666424135</v>
      </c>
      <c r="AH107" s="56" t="s">
        <v>189</v>
      </c>
      <c r="AI107" s="56" t="s">
        <v>4007</v>
      </c>
      <c r="AJ107" s="56" t="s">
        <v>64</v>
      </c>
      <c r="AK107" s="56" t="s">
        <v>64</v>
      </c>
      <c r="AL107" s="56" t="s">
        <v>3838</v>
      </c>
      <c r="AM107" s="60" t="s">
        <v>65</v>
      </c>
      <c r="AN107" s="60" t="s">
        <v>3974</v>
      </c>
      <c r="AO107" s="60"/>
      <c r="AP107" s="61"/>
    </row>
    <row r="108" spans="3:42" ht="14.25" customHeight="1">
      <c r="C108" s="55" t="str">
        <f>IF($X108=1,COUNTIF($C$10:C107,"&gt;0")+1,"")</f>
        <v/>
      </c>
      <c r="D108" s="56"/>
      <c r="E108" s="56" t="s">
        <v>4001</v>
      </c>
      <c r="F108" s="57" t="s">
        <v>4209</v>
      </c>
      <c r="G108" s="56" t="s">
        <v>4205</v>
      </c>
      <c r="H108" s="56" t="s">
        <v>4210</v>
      </c>
      <c r="I108" s="56" t="s">
        <v>4211</v>
      </c>
      <c r="J108" s="56" t="s">
        <v>68</v>
      </c>
      <c r="K108" s="56" t="s">
        <v>59</v>
      </c>
      <c r="L108" s="58">
        <v>40155</v>
      </c>
      <c r="M108" s="56">
        <v>15</v>
      </c>
      <c r="N108" s="56" t="s">
        <v>4212</v>
      </c>
      <c r="O108" s="58">
        <v>46582</v>
      </c>
      <c r="P108" s="56" t="s">
        <v>4</v>
      </c>
      <c r="Q108" s="56"/>
      <c r="R108" s="162">
        <v>45913</v>
      </c>
      <c r="S108" s="163">
        <v>45918</v>
      </c>
      <c r="T108" s="164">
        <f t="shared" si="1"/>
        <v>5</v>
      </c>
      <c r="U108" s="56">
        <v>1</v>
      </c>
      <c r="V108" s="56">
        <v>1</v>
      </c>
      <c r="W108" s="56">
        <v>0</v>
      </c>
      <c r="X108" s="56">
        <v>0</v>
      </c>
      <c r="Y108" s="56">
        <v>0</v>
      </c>
      <c r="Z108" s="56">
        <v>0</v>
      </c>
      <c r="AA108" s="56">
        <v>0</v>
      </c>
      <c r="AB108" s="56"/>
      <c r="AC108" s="58">
        <v>45913</v>
      </c>
      <c r="AD108" s="59">
        <v>0.81944444444525288</v>
      </c>
      <c r="AE108" s="56" t="s">
        <v>2138</v>
      </c>
      <c r="AF108" s="58">
        <v>45918</v>
      </c>
      <c r="AG108" s="59">
        <v>0.80555555555474712</v>
      </c>
      <c r="AH108" s="56" t="s">
        <v>890</v>
      </c>
      <c r="AI108" s="56" t="s">
        <v>4007</v>
      </c>
      <c r="AJ108" s="56" t="s">
        <v>64</v>
      </c>
      <c r="AK108" s="56" t="s">
        <v>64</v>
      </c>
      <c r="AL108" s="56" t="s">
        <v>3838</v>
      </c>
      <c r="AM108" s="60" t="s">
        <v>65</v>
      </c>
      <c r="AN108" s="60" t="s">
        <v>3974</v>
      </c>
      <c r="AO108" s="60" t="s">
        <v>331</v>
      </c>
      <c r="AP108" s="61"/>
    </row>
    <row r="109" spans="3:42" ht="14.25" customHeight="1">
      <c r="C109" s="55">
        <f>IF($X109=1,COUNTIF($C$10:C108,"&gt;0")+1,"")</f>
        <v>49</v>
      </c>
      <c r="D109" s="56">
        <v>15262373</v>
      </c>
      <c r="E109" s="56" t="s">
        <v>4001</v>
      </c>
      <c r="F109" s="57" t="s">
        <v>4213</v>
      </c>
      <c r="G109" s="56" t="s">
        <v>4205</v>
      </c>
      <c r="H109" s="56" t="s">
        <v>4214</v>
      </c>
      <c r="I109" s="56" t="s">
        <v>4215</v>
      </c>
      <c r="J109" s="56" t="s">
        <v>58</v>
      </c>
      <c r="K109" s="56" t="s">
        <v>59</v>
      </c>
      <c r="L109" s="58"/>
      <c r="M109" s="56"/>
      <c r="N109" s="56" t="s">
        <v>4216</v>
      </c>
      <c r="O109" s="58">
        <v>46866</v>
      </c>
      <c r="P109" s="56" t="s">
        <v>5</v>
      </c>
      <c r="Q109" s="56"/>
      <c r="R109" s="162">
        <v>45913</v>
      </c>
      <c r="S109" s="163">
        <v>45918</v>
      </c>
      <c r="T109" s="164">
        <f t="shared" si="1"/>
        <v>5</v>
      </c>
      <c r="U109" s="56">
        <v>1</v>
      </c>
      <c r="V109" s="56">
        <v>1</v>
      </c>
      <c r="W109" s="56">
        <v>0</v>
      </c>
      <c r="X109" s="56">
        <v>1</v>
      </c>
      <c r="Y109" s="56">
        <v>0</v>
      </c>
      <c r="Z109" s="56">
        <v>0</v>
      </c>
      <c r="AA109" s="56">
        <v>1</v>
      </c>
      <c r="AB109" s="56"/>
      <c r="AC109" s="58">
        <v>45913</v>
      </c>
      <c r="AD109" s="59">
        <v>0.62152777778101154</v>
      </c>
      <c r="AE109" s="56" t="s">
        <v>268</v>
      </c>
      <c r="AF109" s="58">
        <v>45918</v>
      </c>
      <c r="AG109" s="59">
        <v>0.32638888889050577</v>
      </c>
      <c r="AH109" s="56" t="s">
        <v>409</v>
      </c>
      <c r="AI109" s="56" t="s">
        <v>4007</v>
      </c>
      <c r="AJ109" s="56" t="s">
        <v>64</v>
      </c>
      <c r="AK109" s="56" t="s">
        <v>64</v>
      </c>
      <c r="AL109" s="56" t="s">
        <v>3838</v>
      </c>
      <c r="AM109" s="60" t="s">
        <v>65</v>
      </c>
      <c r="AN109" s="60" t="s">
        <v>4061</v>
      </c>
      <c r="AO109" s="60"/>
      <c r="AP109" s="61"/>
    </row>
    <row r="110" spans="3:42" ht="14.25" customHeight="1">
      <c r="C110" s="55" t="str">
        <f>IF($X110=1,COUNTIF($C$10:C109,"&gt;0")+1,"")</f>
        <v/>
      </c>
      <c r="D110" s="56"/>
      <c r="E110" s="56" t="s">
        <v>4001</v>
      </c>
      <c r="F110" s="57" t="s">
        <v>4217</v>
      </c>
      <c r="G110" s="56" t="s">
        <v>4205</v>
      </c>
      <c r="H110" s="56" t="s">
        <v>4218</v>
      </c>
      <c r="I110" s="56" t="s">
        <v>4215</v>
      </c>
      <c r="J110" s="56" t="s">
        <v>68</v>
      </c>
      <c r="K110" s="56" t="s">
        <v>59</v>
      </c>
      <c r="L110" s="58">
        <v>28820</v>
      </c>
      <c r="M110" s="56">
        <v>46</v>
      </c>
      <c r="N110" s="56" t="s">
        <v>4219</v>
      </c>
      <c r="O110" s="58">
        <v>46854</v>
      </c>
      <c r="P110" s="56" t="s">
        <v>5</v>
      </c>
      <c r="Q110" s="56"/>
      <c r="R110" s="162">
        <v>45913</v>
      </c>
      <c r="S110" s="163">
        <v>45918</v>
      </c>
      <c r="T110" s="164">
        <f t="shared" si="1"/>
        <v>5</v>
      </c>
      <c r="U110" s="56">
        <v>1</v>
      </c>
      <c r="V110" s="56">
        <v>1</v>
      </c>
      <c r="W110" s="56">
        <v>0</v>
      </c>
      <c r="X110" s="56">
        <v>0</v>
      </c>
      <c r="Y110" s="56">
        <v>0</v>
      </c>
      <c r="Z110" s="56">
        <v>0</v>
      </c>
      <c r="AA110" s="56">
        <v>0</v>
      </c>
      <c r="AB110" s="56"/>
      <c r="AC110" s="58">
        <v>45913</v>
      </c>
      <c r="AD110" s="59">
        <v>0.62152777778101154</v>
      </c>
      <c r="AE110" s="56" t="s">
        <v>268</v>
      </c>
      <c r="AF110" s="58">
        <v>45918</v>
      </c>
      <c r="AG110" s="59">
        <v>0.32638888889050577</v>
      </c>
      <c r="AH110" s="56" t="s">
        <v>409</v>
      </c>
      <c r="AI110" s="56" t="s">
        <v>4007</v>
      </c>
      <c r="AJ110" s="56" t="s">
        <v>64</v>
      </c>
      <c r="AK110" s="56" t="s">
        <v>64</v>
      </c>
      <c r="AL110" s="56" t="s">
        <v>3838</v>
      </c>
      <c r="AM110" s="60" t="s">
        <v>65</v>
      </c>
      <c r="AN110" s="60" t="s">
        <v>4061</v>
      </c>
      <c r="AO110" s="60"/>
      <c r="AP110" s="61"/>
    </row>
    <row r="111" spans="3:42" ht="14.25" customHeight="1">
      <c r="C111" s="55">
        <f>IF($X111=1,COUNTIF($C$10:C110,"&gt;0")+1,"")</f>
        <v>50</v>
      </c>
      <c r="D111" s="56">
        <v>15262374</v>
      </c>
      <c r="E111" s="56" t="s">
        <v>4001</v>
      </c>
      <c r="F111" s="57" t="s">
        <v>4220</v>
      </c>
      <c r="G111" s="56" t="s">
        <v>4220</v>
      </c>
      <c r="H111" s="56" t="s">
        <v>4221</v>
      </c>
      <c r="I111" s="56" t="s">
        <v>4211</v>
      </c>
      <c r="J111" s="56" t="s">
        <v>68</v>
      </c>
      <c r="K111" s="56" t="s">
        <v>59</v>
      </c>
      <c r="L111" s="58">
        <v>31325</v>
      </c>
      <c r="M111" s="56">
        <v>39</v>
      </c>
      <c r="N111" s="56" t="s">
        <v>4222</v>
      </c>
      <c r="O111" s="58">
        <v>49051</v>
      </c>
      <c r="P111" s="56" t="s">
        <v>4</v>
      </c>
      <c r="Q111" s="56"/>
      <c r="R111" s="162">
        <v>45913</v>
      </c>
      <c r="S111" s="163">
        <v>45918</v>
      </c>
      <c r="T111" s="164">
        <f t="shared" si="1"/>
        <v>5</v>
      </c>
      <c r="U111" s="56">
        <v>1</v>
      </c>
      <c r="V111" s="56">
        <v>1</v>
      </c>
      <c r="W111" s="56">
        <v>0</v>
      </c>
      <c r="X111" s="56">
        <v>1</v>
      </c>
      <c r="Y111" s="56">
        <v>0</v>
      </c>
      <c r="Z111" s="56">
        <v>1</v>
      </c>
      <c r="AA111" s="56">
        <v>0</v>
      </c>
      <c r="AB111" s="56"/>
      <c r="AC111" s="58">
        <v>45913</v>
      </c>
      <c r="AD111" s="59">
        <v>0.81944444444525288</v>
      </c>
      <c r="AE111" s="56" t="s">
        <v>2138</v>
      </c>
      <c r="AF111" s="58">
        <v>45918</v>
      </c>
      <c r="AG111" s="59">
        <v>0.80555555555474712</v>
      </c>
      <c r="AH111" s="56" t="s">
        <v>890</v>
      </c>
      <c r="AI111" s="56" t="s">
        <v>4007</v>
      </c>
      <c r="AJ111" s="56" t="s">
        <v>64</v>
      </c>
      <c r="AK111" s="56" t="s">
        <v>64</v>
      </c>
      <c r="AL111" s="56" t="s">
        <v>3838</v>
      </c>
      <c r="AM111" s="60" t="s">
        <v>65</v>
      </c>
      <c r="AN111" s="60" t="s">
        <v>3974</v>
      </c>
      <c r="AO111" s="60" t="s">
        <v>331</v>
      </c>
      <c r="AP111" s="61"/>
    </row>
    <row r="112" spans="3:42" ht="14.25" customHeight="1">
      <c r="C112" s="55" t="str">
        <f>IF($X112=1,COUNTIF($C$10:C111,"&gt;0")+1,"")</f>
        <v/>
      </c>
      <c r="D112" s="56"/>
      <c r="E112" s="56" t="s">
        <v>4001</v>
      </c>
      <c r="F112" s="57" t="s">
        <v>4223</v>
      </c>
      <c r="G112" s="56" t="s">
        <v>4220</v>
      </c>
      <c r="H112" s="56" t="s">
        <v>4224</v>
      </c>
      <c r="I112" s="56" t="s">
        <v>4211</v>
      </c>
      <c r="J112" s="56" t="s">
        <v>58</v>
      </c>
      <c r="K112" s="56" t="s">
        <v>59</v>
      </c>
      <c r="L112" s="58">
        <v>30931</v>
      </c>
      <c r="M112" s="56">
        <v>41</v>
      </c>
      <c r="N112" s="56" t="s">
        <v>4225</v>
      </c>
      <c r="O112" s="58">
        <v>46556</v>
      </c>
      <c r="P112" s="56" t="s">
        <v>4</v>
      </c>
      <c r="Q112" s="56"/>
      <c r="R112" s="162">
        <v>45913</v>
      </c>
      <c r="S112" s="163">
        <v>45918</v>
      </c>
      <c r="T112" s="164">
        <f t="shared" si="1"/>
        <v>5</v>
      </c>
      <c r="U112" s="56">
        <v>1</v>
      </c>
      <c r="V112" s="56">
        <v>1</v>
      </c>
      <c r="W112" s="56">
        <v>0</v>
      </c>
      <c r="X112" s="56">
        <v>0</v>
      </c>
      <c r="Y112" s="56">
        <v>0</v>
      </c>
      <c r="Z112" s="56">
        <v>0</v>
      </c>
      <c r="AA112" s="56">
        <v>0</v>
      </c>
      <c r="AB112" s="56"/>
      <c r="AC112" s="58">
        <v>45913</v>
      </c>
      <c r="AD112" s="59">
        <v>0.81944444444525288</v>
      </c>
      <c r="AE112" s="56" t="s">
        <v>2138</v>
      </c>
      <c r="AF112" s="58">
        <v>45918</v>
      </c>
      <c r="AG112" s="59">
        <v>0.80555555555474712</v>
      </c>
      <c r="AH112" s="56" t="s">
        <v>890</v>
      </c>
      <c r="AI112" s="56" t="s">
        <v>4007</v>
      </c>
      <c r="AJ112" s="56" t="s">
        <v>64</v>
      </c>
      <c r="AK112" s="56" t="s">
        <v>64</v>
      </c>
      <c r="AL112" s="56" t="s">
        <v>3838</v>
      </c>
      <c r="AM112" s="60" t="s">
        <v>65</v>
      </c>
      <c r="AN112" s="60" t="s">
        <v>3974</v>
      </c>
      <c r="AO112" s="60" t="s">
        <v>331</v>
      </c>
      <c r="AP112" s="61"/>
    </row>
    <row r="113" spans="3:42" ht="14.25" customHeight="1">
      <c r="C113" s="55" t="str">
        <f>IF($X113=1,COUNTIF($C$10:C112,"&gt;0")+1,"")</f>
        <v/>
      </c>
      <c r="D113" s="56"/>
      <c r="E113" s="56" t="s">
        <v>4001</v>
      </c>
      <c r="F113" s="57" t="s">
        <v>4226</v>
      </c>
      <c r="G113" s="56" t="s">
        <v>4220</v>
      </c>
      <c r="H113" s="56" t="s">
        <v>4227</v>
      </c>
      <c r="I113" s="56" t="s">
        <v>4211</v>
      </c>
      <c r="J113" s="56" t="s">
        <v>58</v>
      </c>
      <c r="K113" s="56" t="s">
        <v>59</v>
      </c>
      <c r="L113" s="58">
        <v>42049</v>
      </c>
      <c r="M113" s="56">
        <v>10</v>
      </c>
      <c r="N113" s="56" t="s">
        <v>4228</v>
      </c>
      <c r="O113" s="58">
        <v>46582</v>
      </c>
      <c r="P113" s="56" t="s">
        <v>4</v>
      </c>
      <c r="Q113" s="56"/>
      <c r="R113" s="162">
        <v>45913</v>
      </c>
      <c r="S113" s="163">
        <v>45918</v>
      </c>
      <c r="T113" s="164">
        <f t="shared" si="1"/>
        <v>5</v>
      </c>
      <c r="U113" s="56">
        <v>1</v>
      </c>
      <c r="V113" s="56">
        <v>0</v>
      </c>
      <c r="W113" s="56">
        <v>1</v>
      </c>
      <c r="X113" s="56">
        <v>0</v>
      </c>
      <c r="Y113" s="56">
        <v>0</v>
      </c>
      <c r="Z113" s="56">
        <v>0</v>
      </c>
      <c r="AA113" s="56">
        <v>0</v>
      </c>
      <c r="AB113" s="56"/>
      <c r="AC113" s="58">
        <v>45913</v>
      </c>
      <c r="AD113" s="59">
        <v>0.81944444444525288</v>
      </c>
      <c r="AE113" s="56" t="s">
        <v>2138</v>
      </c>
      <c r="AF113" s="58">
        <v>45918</v>
      </c>
      <c r="AG113" s="59">
        <v>0.80555555555474712</v>
      </c>
      <c r="AH113" s="56" t="s">
        <v>890</v>
      </c>
      <c r="AI113" s="56" t="s">
        <v>4007</v>
      </c>
      <c r="AJ113" s="56" t="s">
        <v>64</v>
      </c>
      <c r="AK113" s="56" t="s">
        <v>64</v>
      </c>
      <c r="AL113" s="56" t="s">
        <v>3838</v>
      </c>
      <c r="AM113" s="60" t="s">
        <v>65</v>
      </c>
      <c r="AN113" s="60" t="s">
        <v>3974</v>
      </c>
      <c r="AO113" s="60" t="s">
        <v>331</v>
      </c>
      <c r="AP113" s="61"/>
    </row>
    <row r="114" spans="3:42" ht="14.25" customHeight="1">
      <c r="C114" s="55">
        <f>IF($X114=1,COUNTIF($C$10:C113,"&gt;0")+1,"")</f>
        <v>51</v>
      </c>
      <c r="D114" s="56">
        <v>15262375</v>
      </c>
      <c r="E114" s="56" t="s">
        <v>4001</v>
      </c>
      <c r="F114" s="57" t="s">
        <v>4229</v>
      </c>
      <c r="G114" s="56" t="s">
        <v>4220</v>
      </c>
      <c r="H114" s="56" t="s">
        <v>4230</v>
      </c>
      <c r="I114" s="56" t="s">
        <v>4211</v>
      </c>
      <c r="J114" s="56" t="s">
        <v>58</v>
      </c>
      <c r="K114" s="56" t="s">
        <v>59</v>
      </c>
      <c r="L114" s="58">
        <v>18065</v>
      </c>
      <c r="M114" s="56">
        <v>76</v>
      </c>
      <c r="N114" s="56" t="s">
        <v>4231</v>
      </c>
      <c r="O114" s="58">
        <v>49419</v>
      </c>
      <c r="P114" s="56" t="s">
        <v>5</v>
      </c>
      <c r="Q114" s="56"/>
      <c r="R114" s="162">
        <v>45913</v>
      </c>
      <c r="S114" s="163">
        <v>45918</v>
      </c>
      <c r="T114" s="164">
        <f t="shared" si="1"/>
        <v>5</v>
      </c>
      <c r="U114" s="56">
        <v>1</v>
      </c>
      <c r="V114" s="56">
        <v>1</v>
      </c>
      <c r="W114" s="56">
        <v>0</v>
      </c>
      <c r="X114" s="56">
        <v>1</v>
      </c>
      <c r="Y114" s="56">
        <v>0</v>
      </c>
      <c r="Z114" s="56">
        <v>0</v>
      </c>
      <c r="AA114" s="56">
        <v>1</v>
      </c>
      <c r="AB114" s="56"/>
      <c r="AC114" s="58">
        <v>45913</v>
      </c>
      <c r="AD114" s="59">
        <v>0.625</v>
      </c>
      <c r="AE114" s="56" t="s">
        <v>74</v>
      </c>
      <c r="AF114" s="58">
        <v>45918</v>
      </c>
      <c r="AG114" s="59">
        <v>0.70138888889050577</v>
      </c>
      <c r="AH114" s="56" t="s">
        <v>96</v>
      </c>
      <c r="AI114" s="56" t="s">
        <v>4007</v>
      </c>
      <c r="AJ114" s="56" t="s">
        <v>64</v>
      </c>
      <c r="AK114" s="56" t="s">
        <v>64</v>
      </c>
      <c r="AL114" s="56" t="s">
        <v>3838</v>
      </c>
      <c r="AM114" s="60" t="s">
        <v>65</v>
      </c>
      <c r="AN114" s="60" t="s">
        <v>4061</v>
      </c>
      <c r="AO114" s="60"/>
      <c r="AP114" s="61"/>
    </row>
    <row r="115" spans="3:42" ht="14.25" customHeight="1">
      <c r="C115" s="55" t="str">
        <f>IF($X115=1,COUNTIF($C$10:C114,"&gt;0")+1,"")</f>
        <v/>
      </c>
      <c r="D115" s="56"/>
      <c r="E115" s="56" t="s">
        <v>4001</v>
      </c>
      <c r="F115" s="57" t="s">
        <v>4232</v>
      </c>
      <c r="G115" s="56" t="s">
        <v>4220</v>
      </c>
      <c r="H115" s="56" t="s">
        <v>4233</v>
      </c>
      <c r="I115" s="56" t="s">
        <v>4211</v>
      </c>
      <c r="J115" s="56" t="s">
        <v>68</v>
      </c>
      <c r="K115" s="56" t="s">
        <v>59</v>
      </c>
      <c r="L115" s="58">
        <v>20713</v>
      </c>
      <c r="M115" s="56">
        <v>69</v>
      </c>
      <c r="N115" s="56" t="s">
        <v>4234</v>
      </c>
      <c r="O115" s="58">
        <v>46657</v>
      </c>
      <c r="P115" s="56" t="s">
        <v>5</v>
      </c>
      <c r="Q115" s="56"/>
      <c r="R115" s="162">
        <v>45913</v>
      </c>
      <c r="S115" s="163">
        <v>45918</v>
      </c>
      <c r="T115" s="164">
        <f t="shared" si="1"/>
        <v>5</v>
      </c>
      <c r="U115" s="56">
        <v>1</v>
      </c>
      <c r="V115" s="56">
        <v>1</v>
      </c>
      <c r="W115" s="56">
        <v>0</v>
      </c>
      <c r="X115" s="56">
        <v>0</v>
      </c>
      <c r="Y115" s="56">
        <v>0</v>
      </c>
      <c r="Z115" s="56">
        <v>0</v>
      </c>
      <c r="AA115" s="56">
        <v>0</v>
      </c>
      <c r="AB115" s="56"/>
      <c r="AC115" s="58">
        <v>45913</v>
      </c>
      <c r="AD115" s="59">
        <v>0.625</v>
      </c>
      <c r="AE115" s="56" t="s">
        <v>74</v>
      </c>
      <c r="AF115" s="58">
        <v>45918</v>
      </c>
      <c r="AG115" s="59">
        <v>0.70138888889050577</v>
      </c>
      <c r="AH115" s="56" t="s">
        <v>96</v>
      </c>
      <c r="AI115" s="56" t="s">
        <v>4007</v>
      </c>
      <c r="AJ115" s="56" t="s">
        <v>64</v>
      </c>
      <c r="AK115" s="56" t="s">
        <v>64</v>
      </c>
      <c r="AL115" s="56" t="s">
        <v>3838</v>
      </c>
      <c r="AM115" s="60" t="s">
        <v>65</v>
      </c>
      <c r="AN115" s="60" t="s">
        <v>4061</v>
      </c>
      <c r="AO115" s="60"/>
      <c r="AP115" s="61"/>
    </row>
    <row r="116" spans="3:42" ht="14.25" customHeight="1">
      <c r="C116" s="55">
        <f>IF($X116=1,COUNTIF($C$10:C115,"&gt;0")+1,"")</f>
        <v>52</v>
      </c>
      <c r="D116" s="56">
        <v>15262376</v>
      </c>
      <c r="E116" s="56" t="s">
        <v>4001</v>
      </c>
      <c r="F116" s="57" t="s">
        <v>4235</v>
      </c>
      <c r="G116" s="56" t="s">
        <v>4235</v>
      </c>
      <c r="H116" s="56" t="s">
        <v>4236</v>
      </c>
      <c r="I116" s="56" t="s">
        <v>4237</v>
      </c>
      <c r="J116" s="56" t="s">
        <v>68</v>
      </c>
      <c r="K116" s="56" t="s">
        <v>59</v>
      </c>
      <c r="L116" s="58">
        <v>25235</v>
      </c>
      <c r="M116" s="56">
        <v>56</v>
      </c>
      <c r="N116" s="56" t="s">
        <v>4238</v>
      </c>
      <c r="O116" s="58">
        <v>49379</v>
      </c>
      <c r="P116" s="56" t="s">
        <v>4</v>
      </c>
      <c r="Q116" s="56"/>
      <c r="R116" s="162">
        <v>45913</v>
      </c>
      <c r="S116" s="163">
        <v>45918</v>
      </c>
      <c r="T116" s="164">
        <f t="shared" si="1"/>
        <v>5</v>
      </c>
      <c r="U116" s="56">
        <v>1</v>
      </c>
      <c r="V116" s="56">
        <v>1</v>
      </c>
      <c r="W116" s="56">
        <v>0</v>
      </c>
      <c r="X116" s="56">
        <v>1</v>
      </c>
      <c r="Y116" s="56">
        <v>0</v>
      </c>
      <c r="Z116" s="56">
        <v>1</v>
      </c>
      <c r="AA116" s="56">
        <v>0</v>
      </c>
      <c r="AB116" s="56"/>
      <c r="AC116" s="58">
        <v>45913</v>
      </c>
      <c r="AD116" s="59">
        <v>0.625</v>
      </c>
      <c r="AE116" s="56" t="s">
        <v>74</v>
      </c>
      <c r="AF116" s="58">
        <v>45918</v>
      </c>
      <c r="AG116" s="59">
        <v>0.47916666666424135</v>
      </c>
      <c r="AH116" s="56" t="s">
        <v>4239</v>
      </c>
      <c r="AI116" s="56" t="s">
        <v>4007</v>
      </c>
      <c r="AJ116" s="56" t="s">
        <v>64</v>
      </c>
      <c r="AK116" s="56" t="s">
        <v>64</v>
      </c>
      <c r="AL116" s="56" t="s">
        <v>3838</v>
      </c>
      <c r="AM116" s="60" t="s">
        <v>65</v>
      </c>
      <c r="AN116" s="60" t="s">
        <v>3974</v>
      </c>
      <c r="AO116" s="60"/>
      <c r="AP116" s="61"/>
    </row>
    <row r="117" spans="3:42" ht="14.25" customHeight="1">
      <c r="C117" s="55" t="str">
        <f>IF($X117=1,COUNTIF($C$10:C116,"&gt;0")+1,"")</f>
        <v/>
      </c>
      <c r="D117" s="56"/>
      <c r="E117" s="56" t="s">
        <v>4001</v>
      </c>
      <c r="F117" s="57" t="s">
        <v>4240</v>
      </c>
      <c r="G117" s="56" t="s">
        <v>4235</v>
      </c>
      <c r="H117" s="56" t="s">
        <v>4241</v>
      </c>
      <c r="I117" s="56" t="s">
        <v>4237</v>
      </c>
      <c r="J117" s="56" t="s">
        <v>58</v>
      </c>
      <c r="K117" s="56" t="s">
        <v>59</v>
      </c>
      <c r="L117" s="58">
        <v>24685</v>
      </c>
      <c r="M117" s="56">
        <v>58</v>
      </c>
      <c r="N117" s="56" t="s">
        <v>4242</v>
      </c>
      <c r="O117" s="58">
        <v>49358</v>
      </c>
      <c r="P117" s="56" t="s">
        <v>4</v>
      </c>
      <c r="Q117" s="56"/>
      <c r="R117" s="162">
        <v>45913</v>
      </c>
      <c r="S117" s="163">
        <v>45918</v>
      </c>
      <c r="T117" s="164">
        <f t="shared" si="1"/>
        <v>5</v>
      </c>
      <c r="U117" s="56">
        <v>1</v>
      </c>
      <c r="V117" s="56">
        <v>1</v>
      </c>
      <c r="W117" s="56">
        <v>0</v>
      </c>
      <c r="X117" s="56">
        <v>0</v>
      </c>
      <c r="Y117" s="56">
        <v>0</v>
      </c>
      <c r="Z117" s="56">
        <v>0</v>
      </c>
      <c r="AA117" s="56">
        <v>0</v>
      </c>
      <c r="AB117" s="56"/>
      <c r="AC117" s="58">
        <v>45913</v>
      </c>
      <c r="AD117" s="59">
        <v>0.625</v>
      </c>
      <c r="AE117" s="56" t="s">
        <v>74</v>
      </c>
      <c r="AF117" s="58">
        <v>45918</v>
      </c>
      <c r="AG117" s="59">
        <v>0.47916666666424135</v>
      </c>
      <c r="AH117" s="56" t="s">
        <v>4239</v>
      </c>
      <c r="AI117" s="56" t="s">
        <v>4007</v>
      </c>
      <c r="AJ117" s="56" t="s">
        <v>64</v>
      </c>
      <c r="AK117" s="56" t="s">
        <v>64</v>
      </c>
      <c r="AL117" s="56" t="s">
        <v>3838</v>
      </c>
      <c r="AM117" s="60" t="s">
        <v>65</v>
      </c>
      <c r="AN117" s="60" t="s">
        <v>3974</v>
      </c>
      <c r="AO117" s="60"/>
      <c r="AP117" s="61"/>
    </row>
    <row r="118" spans="3:42" ht="14.25" customHeight="1">
      <c r="C118" s="55">
        <f>IF($X118=1,COUNTIF($C$10:C117,"&gt;0")+1,"")</f>
        <v>53</v>
      </c>
      <c r="D118" s="56">
        <v>15262377</v>
      </c>
      <c r="E118" s="56" t="s">
        <v>4001</v>
      </c>
      <c r="F118" s="57" t="s">
        <v>4243</v>
      </c>
      <c r="G118" s="56" t="s">
        <v>4243</v>
      </c>
      <c r="H118" s="56" t="s">
        <v>4244</v>
      </c>
      <c r="I118" s="56" t="s">
        <v>4245</v>
      </c>
      <c r="J118" s="56" t="s">
        <v>68</v>
      </c>
      <c r="K118" s="56" t="s">
        <v>59</v>
      </c>
      <c r="L118" s="58">
        <v>27006</v>
      </c>
      <c r="M118" s="56">
        <v>51</v>
      </c>
      <c r="N118" s="56" t="s">
        <v>4246</v>
      </c>
      <c r="O118" s="58">
        <v>48980</v>
      </c>
      <c r="P118" s="56" t="s">
        <v>4</v>
      </c>
      <c r="Q118" s="56"/>
      <c r="R118" s="162">
        <v>45913</v>
      </c>
      <c r="S118" s="163">
        <v>45918</v>
      </c>
      <c r="T118" s="164">
        <f t="shared" si="1"/>
        <v>5</v>
      </c>
      <c r="U118" s="56">
        <v>1</v>
      </c>
      <c r="V118" s="56">
        <v>1</v>
      </c>
      <c r="W118" s="56">
        <v>0</v>
      </c>
      <c r="X118" s="56">
        <v>1</v>
      </c>
      <c r="Y118" s="56">
        <v>0</v>
      </c>
      <c r="Z118" s="56">
        <v>1</v>
      </c>
      <c r="AA118" s="56">
        <v>0</v>
      </c>
      <c r="AB118" s="56"/>
      <c r="AC118" s="58">
        <v>45913</v>
      </c>
      <c r="AD118" s="59">
        <v>0.20833333333575865</v>
      </c>
      <c r="AE118" s="56" t="s">
        <v>4106</v>
      </c>
      <c r="AF118" s="58">
        <v>45918</v>
      </c>
      <c r="AG118" s="59">
        <v>0.59722222221898846</v>
      </c>
      <c r="AH118" s="56" t="s">
        <v>4247</v>
      </c>
      <c r="AI118" s="56" t="s">
        <v>4007</v>
      </c>
      <c r="AJ118" s="56" t="s">
        <v>64</v>
      </c>
      <c r="AK118" s="56" t="s">
        <v>64</v>
      </c>
      <c r="AL118" s="56" t="s">
        <v>3838</v>
      </c>
      <c r="AM118" s="60" t="s">
        <v>65</v>
      </c>
      <c r="AN118" s="60" t="s">
        <v>3974</v>
      </c>
      <c r="AO118" s="60"/>
      <c r="AP118" s="61"/>
    </row>
    <row r="119" spans="3:42" ht="14.25" customHeight="1">
      <c r="C119" s="55" t="str">
        <f>IF($X119=1,COUNTIF($C$10:C118,"&gt;0")+1,"")</f>
        <v/>
      </c>
      <c r="D119" s="56"/>
      <c r="E119" s="56" t="s">
        <v>4001</v>
      </c>
      <c r="F119" s="57" t="s">
        <v>4248</v>
      </c>
      <c r="G119" s="56" t="s">
        <v>4243</v>
      </c>
      <c r="H119" s="56" t="s">
        <v>4249</v>
      </c>
      <c r="I119" s="56" t="s">
        <v>4250</v>
      </c>
      <c r="J119" s="56" t="s">
        <v>68</v>
      </c>
      <c r="K119" s="56" t="s">
        <v>59</v>
      </c>
      <c r="L119" s="58">
        <v>25552</v>
      </c>
      <c r="M119" s="56">
        <v>55</v>
      </c>
      <c r="N119" s="56" t="s">
        <v>4251</v>
      </c>
      <c r="O119" s="58">
        <v>47008</v>
      </c>
      <c r="P119" s="56" t="s">
        <v>4</v>
      </c>
      <c r="Q119" s="56"/>
      <c r="R119" s="162">
        <v>45913</v>
      </c>
      <c r="S119" s="163">
        <v>45918</v>
      </c>
      <c r="T119" s="164">
        <f t="shared" si="1"/>
        <v>5</v>
      </c>
      <c r="U119" s="56">
        <v>1</v>
      </c>
      <c r="V119" s="56">
        <v>1</v>
      </c>
      <c r="W119" s="56">
        <v>0</v>
      </c>
      <c r="X119" s="56">
        <v>0</v>
      </c>
      <c r="Y119" s="56">
        <v>0</v>
      </c>
      <c r="Z119" s="56">
        <v>0</v>
      </c>
      <c r="AA119" s="56">
        <v>0</v>
      </c>
      <c r="AB119" s="56"/>
      <c r="AC119" s="58">
        <v>45913</v>
      </c>
      <c r="AD119" s="59">
        <v>0.20833333333575865</v>
      </c>
      <c r="AE119" s="56" t="s">
        <v>4106</v>
      </c>
      <c r="AF119" s="58">
        <v>45918</v>
      </c>
      <c r="AG119" s="59">
        <v>0.59722222221898846</v>
      </c>
      <c r="AH119" s="56" t="s">
        <v>4247</v>
      </c>
      <c r="AI119" s="56" t="s">
        <v>4007</v>
      </c>
      <c r="AJ119" s="56" t="s">
        <v>64</v>
      </c>
      <c r="AK119" s="56" t="s">
        <v>64</v>
      </c>
      <c r="AL119" s="56" t="s">
        <v>3838</v>
      </c>
      <c r="AM119" s="60" t="s">
        <v>65</v>
      </c>
      <c r="AN119" s="60" t="s">
        <v>3974</v>
      </c>
      <c r="AO119" s="60"/>
      <c r="AP119" s="61"/>
    </row>
    <row r="120" spans="3:42" ht="14.25" customHeight="1">
      <c r="C120" s="55">
        <f>IF($X120=1,COUNTIF($C$10:C119,"&gt;0")+1,"")</f>
        <v>54</v>
      </c>
      <c r="D120" s="56">
        <v>15262378</v>
      </c>
      <c r="E120" s="56" t="s">
        <v>4001</v>
      </c>
      <c r="F120" s="57" t="s">
        <v>4252</v>
      </c>
      <c r="G120" s="56" t="s">
        <v>4252</v>
      </c>
      <c r="H120" s="56" t="s">
        <v>4253</v>
      </c>
      <c r="I120" s="56" t="s">
        <v>4254</v>
      </c>
      <c r="J120" s="56" t="s">
        <v>58</v>
      </c>
      <c r="K120" s="56" t="s">
        <v>59</v>
      </c>
      <c r="L120" s="58">
        <v>23992</v>
      </c>
      <c r="M120" s="56">
        <v>60</v>
      </c>
      <c r="N120" s="56" t="s">
        <v>4255</v>
      </c>
      <c r="O120" s="58">
        <v>48815</v>
      </c>
      <c r="P120" s="56" t="s">
        <v>4</v>
      </c>
      <c r="Q120" s="56"/>
      <c r="R120" s="162">
        <v>45913</v>
      </c>
      <c r="S120" s="163">
        <v>45918</v>
      </c>
      <c r="T120" s="164">
        <f t="shared" si="1"/>
        <v>5</v>
      </c>
      <c r="U120" s="56">
        <v>1</v>
      </c>
      <c r="V120" s="56">
        <v>1</v>
      </c>
      <c r="W120" s="56">
        <v>0</v>
      </c>
      <c r="X120" s="56">
        <v>1</v>
      </c>
      <c r="Y120" s="56">
        <v>0</v>
      </c>
      <c r="Z120" s="56">
        <v>1</v>
      </c>
      <c r="AA120" s="56">
        <v>0</v>
      </c>
      <c r="AB120" s="56"/>
      <c r="AC120" s="58">
        <v>45913</v>
      </c>
      <c r="AD120" s="59">
        <v>0.65625</v>
      </c>
      <c r="AE120" s="56" t="s">
        <v>1385</v>
      </c>
      <c r="AF120" s="58">
        <v>45918</v>
      </c>
      <c r="AG120" s="59">
        <v>0.53125</v>
      </c>
      <c r="AH120" s="56" t="s">
        <v>269</v>
      </c>
      <c r="AI120" s="56" t="s">
        <v>4007</v>
      </c>
      <c r="AJ120" s="56" t="s">
        <v>64</v>
      </c>
      <c r="AK120" s="56" t="s">
        <v>64</v>
      </c>
      <c r="AL120" s="56" t="s">
        <v>3838</v>
      </c>
      <c r="AM120" s="60" t="s">
        <v>65</v>
      </c>
      <c r="AN120" s="60" t="s">
        <v>3974</v>
      </c>
      <c r="AO120" s="60"/>
      <c r="AP120" s="61"/>
    </row>
    <row r="121" spans="3:42" ht="14.25" customHeight="1">
      <c r="C121" s="55" t="str">
        <f>IF($X121=1,COUNTIF($C$10:C120,"&gt;0")+1,"")</f>
        <v/>
      </c>
      <c r="D121" s="56"/>
      <c r="E121" s="56" t="s">
        <v>4001</v>
      </c>
      <c r="F121" s="57" t="s">
        <v>4256</v>
      </c>
      <c r="G121" s="56" t="s">
        <v>4252</v>
      </c>
      <c r="H121" s="56" t="s">
        <v>4257</v>
      </c>
      <c r="I121" s="56" t="s">
        <v>4254</v>
      </c>
      <c r="J121" s="56" t="s">
        <v>68</v>
      </c>
      <c r="K121" s="56" t="s">
        <v>59</v>
      </c>
      <c r="L121" s="58">
        <v>24152</v>
      </c>
      <c r="M121" s="56">
        <v>59</v>
      </c>
      <c r="N121" s="56" t="s">
        <v>4258</v>
      </c>
      <c r="O121" s="58">
        <v>48815</v>
      </c>
      <c r="P121" s="56" t="s">
        <v>4</v>
      </c>
      <c r="Q121" s="56"/>
      <c r="R121" s="162">
        <v>45913</v>
      </c>
      <c r="S121" s="163">
        <v>45918</v>
      </c>
      <c r="T121" s="164">
        <f t="shared" si="1"/>
        <v>5</v>
      </c>
      <c r="U121" s="56">
        <v>1</v>
      </c>
      <c r="V121" s="56">
        <v>1</v>
      </c>
      <c r="W121" s="56">
        <v>0</v>
      </c>
      <c r="X121" s="56">
        <v>0</v>
      </c>
      <c r="Y121" s="56">
        <v>0</v>
      </c>
      <c r="Z121" s="56">
        <v>0</v>
      </c>
      <c r="AA121" s="56">
        <v>0</v>
      </c>
      <c r="AB121" s="56"/>
      <c r="AC121" s="58">
        <v>45913</v>
      </c>
      <c r="AD121" s="59">
        <v>0.65625</v>
      </c>
      <c r="AE121" s="56" t="s">
        <v>1385</v>
      </c>
      <c r="AF121" s="58">
        <v>45918</v>
      </c>
      <c r="AG121" s="59">
        <v>0.53125</v>
      </c>
      <c r="AH121" s="56" t="s">
        <v>269</v>
      </c>
      <c r="AI121" s="56" t="s">
        <v>4007</v>
      </c>
      <c r="AJ121" s="56" t="s">
        <v>64</v>
      </c>
      <c r="AK121" s="56" t="s">
        <v>64</v>
      </c>
      <c r="AL121" s="56" t="s">
        <v>3838</v>
      </c>
      <c r="AM121" s="60" t="s">
        <v>65</v>
      </c>
      <c r="AN121" s="60" t="s">
        <v>3974</v>
      </c>
      <c r="AO121" s="60"/>
      <c r="AP121" s="61"/>
    </row>
    <row r="122" spans="3:42" ht="14.25" customHeight="1">
      <c r="C122" s="55">
        <f>IF($X122=1,COUNTIF($C$10:C121,"&gt;0")+1,"")</f>
        <v>55</v>
      </c>
      <c r="D122" s="56">
        <v>15262379</v>
      </c>
      <c r="E122" s="56" t="s">
        <v>4001</v>
      </c>
      <c r="F122" s="57" t="s">
        <v>4259</v>
      </c>
      <c r="G122" s="56" t="s">
        <v>4259</v>
      </c>
      <c r="H122" s="56" t="s">
        <v>4260</v>
      </c>
      <c r="I122" s="56" t="s">
        <v>4261</v>
      </c>
      <c r="J122" s="56" t="s">
        <v>58</v>
      </c>
      <c r="K122" s="56" t="s">
        <v>59</v>
      </c>
      <c r="L122" s="58">
        <v>33393</v>
      </c>
      <c r="M122" s="56">
        <v>34</v>
      </c>
      <c r="N122" s="56" t="s">
        <v>4262</v>
      </c>
      <c r="O122" s="58">
        <v>47755</v>
      </c>
      <c r="P122" s="56" t="s">
        <v>5</v>
      </c>
      <c r="Q122" s="56"/>
      <c r="R122" s="162">
        <v>45913</v>
      </c>
      <c r="S122" s="163">
        <v>45918</v>
      </c>
      <c r="T122" s="164">
        <f t="shared" si="1"/>
        <v>5</v>
      </c>
      <c r="U122" s="56">
        <v>1</v>
      </c>
      <c r="V122" s="56">
        <v>1</v>
      </c>
      <c r="W122" s="56">
        <v>0</v>
      </c>
      <c r="X122" s="56">
        <v>1</v>
      </c>
      <c r="Y122" s="56">
        <v>0</v>
      </c>
      <c r="Z122" s="56">
        <v>0</v>
      </c>
      <c r="AA122" s="56">
        <v>1</v>
      </c>
      <c r="AB122" s="56"/>
      <c r="AC122" s="58">
        <v>45913</v>
      </c>
      <c r="AD122" s="59">
        <v>0.20833333333575865</v>
      </c>
      <c r="AE122" s="56" t="s">
        <v>4106</v>
      </c>
      <c r="AF122" s="58">
        <v>45918</v>
      </c>
      <c r="AG122" s="59">
        <v>0.875</v>
      </c>
      <c r="AH122" s="56" t="s">
        <v>4132</v>
      </c>
      <c r="AI122" s="56" t="s">
        <v>4007</v>
      </c>
      <c r="AJ122" s="56" t="s">
        <v>64</v>
      </c>
      <c r="AK122" s="56" t="s">
        <v>64</v>
      </c>
      <c r="AL122" s="56" t="s">
        <v>3838</v>
      </c>
      <c r="AM122" s="60" t="s">
        <v>65</v>
      </c>
      <c r="AN122" s="60" t="s">
        <v>4061</v>
      </c>
      <c r="AO122" s="60"/>
      <c r="AP122" s="61"/>
    </row>
    <row r="123" spans="3:42" ht="14.25" customHeight="1">
      <c r="C123" s="55" t="str">
        <f>IF($X123=1,COUNTIF($C$10:C122,"&gt;0")+1,"")</f>
        <v/>
      </c>
      <c r="D123" s="56"/>
      <c r="E123" s="56" t="s">
        <v>4001</v>
      </c>
      <c r="F123" s="57" t="s">
        <v>4263</v>
      </c>
      <c r="G123" s="56" t="s">
        <v>4259</v>
      </c>
      <c r="H123" s="56" t="s">
        <v>4264</v>
      </c>
      <c r="I123" s="56" t="s">
        <v>999</v>
      </c>
      <c r="J123" s="56" t="s">
        <v>58</v>
      </c>
      <c r="K123" s="56" t="s">
        <v>59</v>
      </c>
      <c r="L123" s="58">
        <v>22975</v>
      </c>
      <c r="M123" s="56">
        <v>62</v>
      </c>
      <c r="N123" s="56" t="s">
        <v>4265</v>
      </c>
      <c r="O123" s="58">
        <v>47350</v>
      </c>
      <c r="P123" s="56" t="s">
        <v>5</v>
      </c>
      <c r="Q123" s="56"/>
      <c r="R123" s="162">
        <v>45913</v>
      </c>
      <c r="S123" s="163">
        <v>45918</v>
      </c>
      <c r="T123" s="164">
        <f t="shared" si="1"/>
        <v>5</v>
      </c>
      <c r="U123" s="56">
        <v>1</v>
      </c>
      <c r="V123" s="56">
        <v>1</v>
      </c>
      <c r="W123" s="56">
        <v>0</v>
      </c>
      <c r="X123" s="56">
        <v>0</v>
      </c>
      <c r="Y123" s="56">
        <v>0</v>
      </c>
      <c r="Z123" s="56">
        <v>0</v>
      </c>
      <c r="AA123" s="56">
        <v>0</v>
      </c>
      <c r="AB123" s="56"/>
      <c r="AC123" s="58">
        <v>45913</v>
      </c>
      <c r="AD123" s="59">
        <v>0.20833333333575865</v>
      </c>
      <c r="AE123" s="56" t="s">
        <v>4106</v>
      </c>
      <c r="AF123" s="58">
        <v>45918</v>
      </c>
      <c r="AG123" s="59">
        <v>0.78472222221898846</v>
      </c>
      <c r="AH123" s="56" t="s">
        <v>3020</v>
      </c>
      <c r="AI123" s="56" t="s">
        <v>4007</v>
      </c>
      <c r="AJ123" s="56" t="s">
        <v>64</v>
      </c>
      <c r="AK123" s="56" t="s">
        <v>64</v>
      </c>
      <c r="AL123" s="56" t="s">
        <v>3838</v>
      </c>
      <c r="AM123" s="60" t="s">
        <v>65</v>
      </c>
      <c r="AN123" s="60" t="s">
        <v>4061</v>
      </c>
      <c r="AO123" s="60"/>
      <c r="AP123" s="61"/>
    </row>
    <row r="124" spans="3:42" ht="14.25" customHeight="1">
      <c r="C124" s="55">
        <f>IF($X124=1,COUNTIF($C$10:C123,"&gt;0")+1,"")</f>
        <v>56</v>
      </c>
      <c r="D124" s="56">
        <v>15262380</v>
      </c>
      <c r="E124" s="56" t="s">
        <v>4001</v>
      </c>
      <c r="F124" s="57" t="s">
        <v>4266</v>
      </c>
      <c r="G124" s="56" t="s">
        <v>4266</v>
      </c>
      <c r="H124" s="56" t="s">
        <v>4267</v>
      </c>
      <c r="I124" s="56" t="s">
        <v>2615</v>
      </c>
      <c r="J124" s="56" t="s">
        <v>58</v>
      </c>
      <c r="K124" s="56" t="s">
        <v>59</v>
      </c>
      <c r="L124" s="58">
        <v>21078</v>
      </c>
      <c r="M124" s="56">
        <v>68</v>
      </c>
      <c r="N124" s="56" t="s">
        <v>4268</v>
      </c>
      <c r="O124" s="58">
        <v>46395</v>
      </c>
      <c r="P124" s="56" t="s">
        <v>4</v>
      </c>
      <c r="Q124" s="56"/>
      <c r="R124" s="162">
        <v>45913</v>
      </c>
      <c r="S124" s="163">
        <v>45918</v>
      </c>
      <c r="T124" s="164">
        <f t="shared" si="1"/>
        <v>5</v>
      </c>
      <c r="U124" s="56">
        <v>1</v>
      </c>
      <c r="V124" s="56">
        <v>1</v>
      </c>
      <c r="W124" s="56">
        <v>0</v>
      </c>
      <c r="X124" s="56">
        <v>1</v>
      </c>
      <c r="Y124" s="56">
        <v>0</v>
      </c>
      <c r="Z124" s="56">
        <v>1</v>
      </c>
      <c r="AA124" s="56">
        <v>0</v>
      </c>
      <c r="AB124" s="56"/>
      <c r="AC124" s="58">
        <v>45913</v>
      </c>
      <c r="AD124" s="59">
        <v>0.20833333333575865</v>
      </c>
      <c r="AE124" s="56" t="s">
        <v>4106</v>
      </c>
      <c r="AF124" s="58">
        <v>45918</v>
      </c>
      <c r="AG124" s="59">
        <v>0.78472222221898846</v>
      </c>
      <c r="AH124" s="56" t="s">
        <v>3020</v>
      </c>
      <c r="AI124" s="56" t="s">
        <v>4007</v>
      </c>
      <c r="AJ124" s="56" t="s">
        <v>64</v>
      </c>
      <c r="AK124" s="56" t="s">
        <v>64</v>
      </c>
      <c r="AL124" s="56" t="s">
        <v>3838</v>
      </c>
      <c r="AM124" s="60" t="s">
        <v>65</v>
      </c>
      <c r="AN124" s="60" t="s">
        <v>3974</v>
      </c>
      <c r="AO124" s="60"/>
      <c r="AP124" s="61"/>
    </row>
    <row r="125" spans="3:42" ht="14.25" customHeight="1">
      <c r="C125" s="55" t="str">
        <f>IF($X125=1,COUNTIF($C$10:C124,"&gt;0")+1,"")</f>
        <v/>
      </c>
      <c r="D125" s="56"/>
      <c r="E125" s="56" t="s">
        <v>4001</v>
      </c>
      <c r="F125" s="57" t="s">
        <v>4269</v>
      </c>
      <c r="G125" s="56" t="s">
        <v>4266</v>
      </c>
      <c r="H125" s="56" t="s">
        <v>4270</v>
      </c>
      <c r="I125" s="56" t="s">
        <v>2615</v>
      </c>
      <c r="J125" s="56" t="s">
        <v>68</v>
      </c>
      <c r="K125" s="56" t="s">
        <v>59</v>
      </c>
      <c r="L125" s="58">
        <v>23176</v>
      </c>
      <c r="M125" s="56">
        <v>62</v>
      </c>
      <c r="N125" s="56" t="s">
        <v>4271</v>
      </c>
      <c r="O125" s="58">
        <v>46395</v>
      </c>
      <c r="P125" s="56" t="s">
        <v>4</v>
      </c>
      <c r="Q125" s="56"/>
      <c r="R125" s="162">
        <v>45913</v>
      </c>
      <c r="S125" s="163">
        <v>45918</v>
      </c>
      <c r="T125" s="164">
        <f t="shared" si="1"/>
        <v>5</v>
      </c>
      <c r="U125" s="56">
        <v>1</v>
      </c>
      <c r="V125" s="56">
        <v>1</v>
      </c>
      <c r="W125" s="56">
        <v>0</v>
      </c>
      <c r="X125" s="56">
        <v>0</v>
      </c>
      <c r="Y125" s="56">
        <v>0</v>
      </c>
      <c r="Z125" s="56">
        <v>0</v>
      </c>
      <c r="AA125" s="56">
        <v>0</v>
      </c>
      <c r="AB125" s="56"/>
      <c r="AC125" s="58">
        <v>45913</v>
      </c>
      <c r="AD125" s="59">
        <v>0.20833333333575865</v>
      </c>
      <c r="AE125" s="56" t="s">
        <v>4106</v>
      </c>
      <c r="AF125" s="58">
        <v>45918</v>
      </c>
      <c r="AG125" s="59">
        <v>0.78472222221898846</v>
      </c>
      <c r="AH125" s="56" t="s">
        <v>3020</v>
      </c>
      <c r="AI125" s="56" t="s">
        <v>4007</v>
      </c>
      <c r="AJ125" s="56" t="s">
        <v>64</v>
      </c>
      <c r="AK125" s="56" t="s">
        <v>64</v>
      </c>
      <c r="AL125" s="56" t="s">
        <v>3838</v>
      </c>
      <c r="AM125" s="60" t="s">
        <v>65</v>
      </c>
      <c r="AN125" s="60" t="s">
        <v>3974</v>
      </c>
      <c r="AO125" s="60"/>
      <c r="AP125" s="61"/>
    </row>
    <row r="126" spans="3:42" ht="14.25" customHeight="1">
      <c r="C126" s="55">
        <f>IF($X126=1,COUNTIF($C$10:C125,"&gt;0")+1,"")</f>
        <v>57</v>
      </c>
      <c r="D126" s="56">
        <v>15262381</v>
      </c>
      <c r="E126" s="56" t="s">
        <v>4001</v>
      </c>
      <c r="F126" s="57" t="s">
        <v>4272</v>
      </c>
      <c r="G126" s="56" t="s">
        <v>4272</v>
      </c>
      <c r="H126" s="56" t="s">
        <v>4273</v>
      </c>
      <c r="I126" s="56" t="s">
        <v>4274</v>
      </c>
      <c r="J126" s="56" t="s">
        <v>58</v>
      </c>
      <c r="K126" s="56" t="s">
        <v>59</v>
      </c>
      <c r="L126" s="58">
        <v>23537</v>
      </c>
      <c r="M126" s="56">
        <v>61</v>
      </c>
      <c r="N126" s="56" t="s">
        <v>4275</v>
      </c>
      <c r="O126" s="58">
        <v>49468</v>
      </c>
      <c r="P126" s="56" t="s">
        <v>4</v>
      </c>
      <c r="Q126" s="56"/>
      <c r="R126" s="162">
        <v>45913</v>
      </c>
      <c r="S126" s="163">
        <v>45918</v>
      </c>
      <c r="T126" s="164">
        <f t="shared" si="1"/>
        <v>5</v>
      </c>
      <c r="U126" s="56">
        <v>1</v>
      </c>
      <c r="V126" s="56">
        <v>1</v>
      </c>
      <c r="W126" s="56">
        <v>0</v>
      </c>
      <c r="X126" s="56">
        <v>1</v>
      </c>
      <c r="Y126" s="56">
        <v>0</v>
      </c>
      <c r="Z126" s="56">
        <v>1</v>
      </c>
      <c r="AA126" s="56">
        <v>0</v>
      </c>
      <c r="AB126" s="56"/>
      <c r="AC126" s="58">
        <v>45913</v>
      </c>
      <c r="AD126" s="59">
        <v>0.80555555555474712</v>
      </c>
      <c r="AE126" s="56" t="s">
        <v>808</v>
      </c>
      <c r="AF126" s="58">
        <v>45918</v>
      </c>
      <c r="AG126" s="59">
        <v>0.85416666666424135</v>
      </c>
      <c r="AH126" s="56" t="s">
        <v>183</v>
      </c>
      <c r="AI126" s="56" t="s">
        <v>4007</v>
      </c>
      <c r="AJ126" s="56" t="s">
        <v>64</v>
      </c>
      <c r="AK126" s="56" t="s">
        <v>64</v>
      </c>
      <c r="AL126" s="56" t="s">
        <v>3838</v>
      </c>
      <c r="AM126" s="60" t="s">
        <v>65</v>
      </c>
      <c r="AN126" s="60" t="s">
        <v>3974</v>
      </c>
      <c r="AO126" s="60" t="s">
        <v>331</v>
      </c>
      <c r="AP126" s="61"/>
    </row>
    <row r="127" spans="3:42" ht="14.25" customHeight="1">
      <c r="C127" s="55" t="str">
        <f>IF($X127=1,COUNTIF($C$10:C126,"&gt;0")+1,"")</f>
        <v/>
      </c>
      <c r="D127" s="56"/>
      <c r="E127" s="56" t="s">
        <v>4001</v>
      </c>
      <c r="F127" s="57" t="s">
        <v>4276</v>
      </c>
      <c r="G127" s="56" t="s">
        <v>4272</v>
      </c>
      <c r="H127" s="56" t="s">
        <v>4277</v>
      </c>
      <c r="I127" s="56" t="s">
        <v>4274</v>
      </c>
      <c r="J127" s="56" t="s">
        <v>68</v>
      </c>
      <c r="K127" s="56" t="s">
        <v>59</v>
      </c>
      <c r="L127" s="58">
        <v>26163</v>
      </c>
      <c r="M127" s="56">
        <v>54</v>
      </c>
      <c r="N127" s="56" t="s">
        <v>4278</v>
      </c>
      <c r="O127" s="58">
        <v>49462</v>
      </c>
      <c r="P127" s="56" t="s">
        <v>4</v>
      </c>
      <c r="Q127" s="56"/>
      <c r="R127" s="162">
        <v>45913</v>
      </c>
      <c r="S127" s="163">
        <v>45918</v>
      </c>
      <c r="T127" s="164">
        <f t="shared" si="1"/>
        <v>5</v>
      </c>
      <c r="U127" s="56">
        <v>1</v>
      </c>
      <c r="V127" s="56">
        <v>1</v>
      </c>
      <c r="W127" s="56">
        <v>0</v>
      </c>
      <c r="X127" s="56">
        <v>0</v>
      </c>
      <c r="Y127" s="56">
        <v>0</v>
      </c>
      <c r="Z127" s="56">
        <v>0</v>
      </c>
      <c r="AA127" s="56">
        <v>0</v>
      </c>
      <c r="AB127" s="56"/>
      <c r="AC127" s="58">
        <v>45913</v>
      </c>
      <c r="AD127" s="59">
        <v>0.80555555555474712</v>
      </c>
      <c r="AE127" s="56" t="s">
        <v>808</v>
      </c>
      <c r="AF127" s="58">
        <v>45918</v>
      </c>
      <c r="AG127" s="59">
        <v>0.85416666666424135</v>
      </c>
      <c r="AH127" s="56" t="s">
        <v>183</v>
      </c>
      <c r="AI127" s="56" t="s">
        <v>4007</v>
      </c>
      <c r="AJ127" s="56" t="s">
        <v>64</v>
      </c>
      <c r="AK127" s="56" t="s">
        <v>64</v>
      </c>
      <c r="AL127" s="56" t="s">
        <v>3838</v>
      </c>
      <c r="AM127" s="60" t="s">
        <v>65</v>
      </c>
      <c r="AN127" s="60" t="s">
        <v>3974</v>
      </c>
      <c r="AO127" s="60" t="s">
        <v>331</v>
      </c>
      <c r="AP127" s="61"/>
    </row>
    <row r="128" spans="3:42" ht="14.25" customHeight="1">
      <c r="C128" s="55">
        <f>IF($X128=1,COUNTIF($C$10:C127,"&gt;0")+1,"")</f>
        <v>58</v>
      </c>
      <c r="D128" s="56">
        <v>15262382</v>
      </c>
      <c r="E128" s="56" t="s">
        <v>4001</v>
      </c>
      <c r="F128" s="57" t="s">
        <v>4279</v>
      </c>
      <c r="G128" s="56" t="s">
        <v>4279</v>
      </c>
      <c r="H128" s="56" t="s">
        <v>4280</v>
      </c>
      <c r="I128" s="56" t="s">
        <v>4281</v>
      </c>
      <c r="J128" s="56" t="s">
        <v>58</v>
      </c>
      <c r="K128" s="56" t="s">
        <v>59</v>
      </c>
      <c r="L128" s="58">
        <v>27723</v>
      </c>
      <c r="M128" s="56">
        <v>49</v>
      </c>
      <c r="N128" s="56" t="s">
        <v>4282</v>
      </c>
      <c r="O128" s="58">
        <v>48931</v>
      </c>
      <c r="P128" s="56" t="s">
        <v>4</v>
      </c>
      <c r="Q128" s="56"/>
      <c r="R128" s="162">
        <v>45913</v>
      </c>
      <c r="S128" s="163">
        <v>45918</v>
      </c>
      <c r="T128" s="164">
        <f t="shared" si="1"/>
        <v>5</v>
      </c>
      <c r="U128" s="56">
        <v>1</v>
      </c>
      <c r="V128" s="56">
        <v>1</v>
      </c>
      <c r="W128" s="56">
        <v>0</v>
      </c>
      <c r="X128" s="56">
        <v>1</v>
      </c>
      <c r="Y128" s="56">
        <v>0</v>
      </c>
      <c r="Z128" s="56">
        <v>1</v>
      </c>
      <c r="AA128" s="56">
        <v>0</v>
      </c>
      <c r="AB128" s="56"/>
      <c r="AC128" s="58">
        <v>45913</v>
      </c>
      <c r="AD128" s="59">
        <v>0.58680555555474712</v>
      </c>
      <c r="AE128" s="56" t="s">
        <v>61</v>
      </c>
      <c r="AF128" s="58">
        <v>45918</v>
      </c>
      <c r="AG128" s="59">
        <v>0.83680555555474712</v>
      </c>
      <c r="AH128" s="56" t="s">
        <v>962</v>
      </c>
      <c r="AI128" s="56" t="s">
        <v>4007</v>
      </c>
      <c r="AJ128" s="56" t="s">
        <v>64</v>
      </c>
      <c r="AK128" s="56" t="s">
        <v>64</v>
      </c>
      <c r="AL128" s="56" t="s">
        <v>3838</v>
      </c>
      <c r="AM128" s="60" t="s">
        <v>65</v>
      </c>
      <c r="AN128" s="60" t="s">
        <v>3974</v>
      </c>
      <c r="AO128" s="60"/>
      <c r="AP128" s="61"/>
    </row>
    <row r="129" spans="3:42" ht="14.25" customHeight="1">
      <c r="C129" s="55" t="str">
        <f>IF($X129=1,COUNTIF($C$10:C128,"&gt;0")+1,"")</f>
        <v/>
      </c>
      <c r="D129" s="56"/>
      <c r="E129" s="56" t="s">
        <v>4001</v>
      </c>
      <c r="F129" s="57" t="s">
        <v>4283</v>
      </c>
      <c r="G129" s="56" t="s">
        <v>4279</v>
      </c>
      <c r="H129" s="56" t="s">
        <v>4284</v>
      </c>
      <c r="I129" s="56" t="s">
        <v>4281</v>
      </c>
      <c r="J129" s="56" t="s">
        <v>68</v>
      </c>
      <c r="K129" s="56" t="s">
        <v>59</v>
      </c>
      <c r="L129" s="58">
        <v>27780</v>
      </c>
      <c r="M129" s="56">
        <v>49</v>
      </c>
      <c r="N129" s="56" t="s">
        <v>4285</v>
      </c>
      <c r="O129" s="58">
        <v>48223</v>
      </c>
      <c r="P129" s="56" t="s">
        <v>4</v>
      </c>
      <c r="Q129" s="56"/>
      <c r="R129" s="162">
        <v>45913</v>
      </c>
      <c r="S129" s="163">
        <v>45918</v>
      </c>
      <c r="T129" s="164">
        <f t="shared" si="1"/>
        <v>5</v>
      </c>
      <c r="U129" s="56">
        <v>1</v>
      </c>
      <c r="V129" s="56">
        <v>1</v>
      </c>
      <c r="W129" s="56">
        <v>0</v>
      </c>
      <c r="X129" s="56">
        <v>0</v>
      </c>
      <c r="Y129" s="56">
        <v>0</v>
      </c>
      <c r="Z129" s="56">
        <v>0</v>
      </c>
      <c r="AA129" s="56">
        <v>0</v>
      </c>
      <c r="AB129" s="56"/>
      <c r="AC129" s="58">
        <v>45913</v>
      </c>
      <c r="AD129" s="59">
        <v>0.58680555555474712</v>
      </c>
      <c r="AE129" s="56" t="s">
        <v>61</v>
      </c>
      <c r="AF129" s="58">
        <v>45918</v>
      </c>
      <c r="AG129" s="59">
        <v>0.83680555555474712</v>
      </c>
      <c r="AH129" s="56" t="s">
        <v>962</v>
      </c>
      <c r="AI129" s="56" t="s">
        <v>4007</v>
      </c>
      <c r="AJ129" s="56" t="s">
        <v>64</v>
      </c>
      <c r="AK129" s="56" t="s">
        <v>64</v>
      </c>
      <c r="AL129" s="56" t="s">
        <v>3838</v>
      </c>
      <c r="AM129" s="60" t="s">
        <v>65</v>
      </c>
      <c r="AN129" s="60" t="s">
        <v>3974</v>
      </c>
      <c r="AO129" s="60"/>
      <c r="AP129" s="61"/>
    </row>
    <row r="130" spans="3:42" ht="14.25" customHeight="1">
      <c r="C130" s="55">
        <f>IF($X130=1,COUNTIF($C$10:C129,"&gt;0")+1,"")</f>
        <v>59</v>
      </c>
      <c r="D130" s="56">
        <v>15262383</v>
      </c>
      <c r="E130" s="56" t="s">
        <v>4001</v>
      </c>
      <c r="F130" s="57" t="s">
        <v>4286</v>
      </c>
      <c r="G130" s="56" t="s">
        <v>4279</v>
      </c>
      <c r="H130" s="56" t="s">
        <v>4287</v>
      </c>
      <c r="I130" s="56" t="s">
        <v>4281</v>
      </c>
      <c r="J130" s="56" t="s">
        <v>68</v>
      </c>
      <c r="K130" s="56" t="s">
        <v>59</v>
      </c>
      <c r="L130" s="58">
        <v>39008</v>
      </c>
      <c r="M130" s="56">
        <v>18</v>
      </c>
      <c r="N130" s="56" t="s">
        <v>4288</v>
      </c>
      <c r="O130" s="58">
        <v>46320</v>
      </c>
      <c r="P130" s="56" t="s">
        <v>5</v>
      </c>
      <c r="Q130" s="56"/>
      <c r="R130" s="162">
        <v>45913</v>
      </c>
      <c r="S130" s="163">
        <v>45918</v>
      </c>
      <c r="T130" s="164">
        <f t="shared" si="1"/>
        <v>5</v>
      </c>
      <c r="U130" s="56">
        <v>1</v>
      </c>
      <c r="V130" s="56">
        <v>1</v>
      </c>
      <c r="W130" s="56">
        <v>0</v>
      </c>
      <c r="X130" s="56">
        <v>1</v>
      </c>
      <c r="Y130" s="56">
        <v>0</v>
      </c>
      <c r="Z130" s="56">
        <v>0</v>
      </c>
      <c r="AA130" s="56">
        <v>1</v>
      </c>
      <c r="AB130" s="56"/>
      <c r="AC130" s="58">
        <v>45913</v>
      </c>
      <c r="AD130" s="59">
        <v>0.58680555555474712</v>
      </c>
      <c r="AE130" s="56" t="s">
        <v>61</v>
      </c>
      <c r="AF130" s="58">
        <v>45918</v>
      </c>
      <c r="AG130" s="59">
        <v>0.83680555555474712</v>
      </c>
      <c r="AH130" s="56" t="s">
        <v>962</v>
      </c>
      <c r="AI130" s="56" t="s">
        <v>4007</v>
      </c>
      <c r="AJ130" s="56" t="s">
        <v>64</v>
      </c>
      <c r="AK130" s="56" t="s">
        <v>64</v>
      </c>
      <c r="AL130" s="56" t="s">
        <v>3838</v>
      </c>
      <c r="AM130" s="60" t="s">
        <v>65</v>
      </c>
      <c r="AN130" s="60" t="s">
        <v>3967</v>
      </c>
      <c r="AO130" s="60"/>
      <c r="AP130" s="61"/>
    </row>
    <row r="131" spans="3:42" ht="14.25" customHeight="1">
      <c r="C131" s="55" t="str">
        <f>IF($X131=1,COUNTIF($C$10:C130,"&gt;0")+1,"")</f>
        <v/>
      </c>
      <c r="D131" s="56"/>
      <c r="E131" s="56" t="s">
        <v>4001</v>
      </c>
      <c r="F131" s="57" t="s">
        <v>4289</v>
      </c>
      <c r="G131" s="56" t="s">
        <v>4279</v>
      </c>
      <c r="H131" s="56" t="s">
        <v>4290</v>
      </c>
      <c r="I131" s="56" t="s">
        <v>4291</v>
      </c>
      <c r="J131" s="56" t="s">
        <v>68</v>
      </c>
      <c r="K131" s="56" t="s">
        <v>59</v>
      </c>
      <c r="L131" s="58">
        <v>18629</v>
      </c>
      <c r="M131" s="56">
        <v>74</v>
      </c>
      <c r="N131" s="56" t="s">
        <v>4292</v>
      </c>
      <c r="O131" s="58">
        <v>48065</v>
      </c>
      <c r="P131" s="56" t="s">
        <v>5</v>
      </c>
      <c r="Q131" s="56"/>
      <c r="R131" s="162">
        <v>45913</v>
      </c>
      <c r="S131" s="163">
        <v>45918</v>
      </c>
      <c r="T131" s="164">
        <f t="shared" si="1"/>
        <v>5</v>
      </c>
      <c r="U131" s="56">
        <v>1</v>
      </c>
      <c r="V131" s="56">
        <v>1</v>
      </c>
      <c r="W131" s="56">
        <v>0</v>
      </c>
      <c r="X131" s="56">
        <v>0</v>
      </c>
      <c r="Y131" s="56">
        <v>0</v>
      </c>
      <c r="Z131" s="56">
        <v>0</v>
      </c>
      <c r="AA131" s="56">
        <v>0</v>
      </c>
      <c r="AB131" s="56"/>
      <c r="AC131" s="58">
        <v>45913</v>
      </c>
      <c r="AD131" s="59">
        <v>0.58680555555474712</v>
      </c>
      <c r="AE131" s="56" t="s">
        <v>61</v>
      </c>
      <c r="AF131" s="58">
        <v>45918</v>
      </c>
      <c r="AG131" s="59">
        <v>0.83680555555474712</v>
      </c>
      <c r="AH131" s="56" t="s">
        <v>962</v>
      </c>
      <c r="AI131" s="56" t="s">
        <v>4007</v>
      </c>
      <c r="AJ131" s="56" t="s">
        <v>64</v>
      </c>
      <c r="AK131" s="56" t="s">
        <v>64</v>
      </c>
      <c r="AL131" s="56" t="s">
        <v>3838</v>
      </c>
      <c r="AM131" s="60" t="s">
        <v>65</v>
      </c>
      <c r="AN131" s="60" t="s">
        <v>3967</v>
      </c>
      <c r="AO131" s="60"/>
      <c r="AP131" s="61"/>
    </row>
    <row r="132" spans="3:42" ht="14.25" customHeight="1">
      <c r="C132" s="55">
        <f>IF($X132=1,COUNTIF($C$10:C131,"&gt;0")+1,"")</f>
        <v>60</v>
      </c>
      <c r="D132" s="56">
        <v>15262384</v>
      </c>
      <c r="E132" s="56" t="s">
        <v>4001</v>
      </c>
      <c r="F132" s="57" t="s">
        <v>4293</v>
      </c>
      <c r="G132" s="56" t="s">
        <v>4293</v>
      </c>
      <c r="H132" s="56" t="s">
        <v>4294</v>
      </c>
      <c r="I132" s="56" t="s">
        <v>4295</v>
      </c>
      <c r="J132" s="56" t="s">
        <v>68</v>
      </c>
      <c r="K132" s="56" t="s">
        <v>59</v>
      </c>
      <c r="L132" s="58">
        <v>34951</v>
      </c>
      <c r="M132" s="56">
        <v>30</v>
      </c>
      <c r="N132" s="56" t="s">
        <v>4296</v>
      </c>
      <c r="O132" s="58">
        <v>48417</v>
      </c>
      <c r="P132" s="56" t="s">
        <v>4</v>
      </c>
      <c r="Q132" s="56"/>
      <c r="R132" s="162">
        <v>45913</v>
      </c>
      <c r="S132" s="163">
        <v>45918</v>
      </c>
      <c r="T132" s="164">
        <f t="shared" si="1"/>
        <v>5</v>
      </c>
      <c r="U132" s="56">
        <v>1</v>
      </c>
      <c r="V132" s="56">
        <v>1</v>
      </c>
      <c r="W132" s="56">
        <v>0</v>
      </c>
      <c r="X132" s="56">
        <v>1</v>
      </c>
      <c r="Y132" s="56">
        <v>0</v>
      </c>
      <c r="Z132" s="56">
        <v>1</v>
      </c>
      <c r="AA132" s="56">
        <v>0</v>
      </c>
      <c r="AB132" s="56"/>
      <c r="AC132" s="58">
        <v>45913</v>
      </c>
      <c r="AD132" s="59">
        <v>0.65625</v>
      </c>
      <c r="AE132" s="56" t="s">
        <v>2338</v>
      </c>
      <c r="AF132" s="58">
        <v>45920</v>
      </c>
      <c r="AG132" s="59">
        <v>0.86111111110949423</v>
      </c>
      <c r="AH132" s="56" t="s">
        <v>1292</v>
      </c>
      <c r="AI132" s="56" t="s">
        <v>4007</v>
      </c>
      <c r="AJ132" s="56" t="s">
        <v>64</v>
      </c>
      <c r="AK132" s="56" t="s">
        <v>64</v>
      </c>
      <c r="AL132" s="56" t="s">
        <v>3838</v>
      </c>
      <c r="AM132" s="60" t="s">
        <v>65</v>
      </c>
      <c r="AN132" s="60" t="s">
        <v>3974</v>
      </c>
      <c r="AO132" s="60"/>
      <c r="AP132" s="61"/>
    </row>
    <row r="133" spans="3:42" ht="14.25" customHeight="1">
      <c r="C133" s="55" t="str">
        <f>IF($X133=1,COUNTIF($C$10:C132,"&gt;0")+1,"")</f>
        <v/>
      </c>
      <c r="D133" s="56"/>
      <c r="E133" s="56" t="s">
        <v>4001</v>
      </c>
      <c r="F133" s="57" t="s">
        <v>4297</v>
      </c>
      <c r="G133" s="56" t="s">
        <v>4293</v>
      </c>
      <c r="H133" s="56" t="s">
        <v>4298</v>
      </c>
      <c r="I133" s="56" t="s">
        <v>3556</v>
      </c>
      <c r="J133" s="56" t="s">
        <v>58</v>
      </c>
      <c r="K133" s="56" t="s">
        <v>59</v>
      </c>
      <c r="L133" s="58">
        <v>33946</v>
      </c>
      <c r="M133" s="56">
        <v>32</v>
      </c>
      <c r="N133" s="56" t="s">
        <v>4299</v>
      </c>
      <c r="O133" s="58">
        <v>49063</v>
      </c>
      <c r="P133" s="56" t="s">
        <v>4</v>
      </c>
      <c r="Q133" s="56"/>
      <c r="R133" s="162">
        <v>45913</v>
      </c>
      <c r="S133" s="163">
        <v>45918</v>
      </c>
      <c r="T133" s="164">
        <f t="shared" si="1"/>
        <v>5</v>
      </c>
      <c r="U133" s="56">
        <v>1</v>
      </c>
      <c r="V133" s="56">
        <v>1</v>
      </c>
      <c r="W133" s="56">
        <v>0</v>
      </c>
      <c r="X133" s="56">
        <v>0</v>
      </c>
      <c r="Y133" s="56">
        <v>0</v>
      </c>
      <c r="Z133" s="56">
        <v>0</v>
      </c>
      <c r="AA133" s="56">
        <v>0</v>
      </c>
      <c r="AB133" s="56"/>
      <c r="AC133" s="58">
        <v>45913</v>
      </c>
      <c r="AD133" s="59">
        <v>0.65625</v>
      </c>
      <c r="AE133" s="56" t="s">
        <v>2338</v>
      </c>
      <c r="AF133" s="58">
        <v>45920</v>
      </c>
      <c r="AG133" s="59">
        <v>0.86111111110949423</v>
      </c>
      <c r="AH133" s="56" t="s">
        <v>1292</v>
      </c>
      <c r="AI133" s="56" t="s">
        <v>4007</v>
      </c>
      <c r="AJ133" s="56" t="s">
        <v>64</v>
      </c>
      <c r="AK133" s="56" t="s">
        <v>64</v>
      </c>
      <c r="AL133" s="56" t="s">
        <v>3838</v>
      </c>
      <c r="AM133" s="60" t="s">
        <v>65</v>
      </c>
      <c r="AN133" s="60" t="s">
        <v>3974</v>
      </c>
      <c r="AO133" s="60"/>
      <c r="AP133" s="61"/>
    </row>
    <row r="134" spans="3:42" ht="14.25" customHeight="1">
      <c r="C134" s="55">
        <f>IF($X134=1,COUNTIF($C$10:C133,"&gt;0")+1,"")</f>
        <v>61</v>
      </c>
      <c r="D134" s="56">
        <v>15262385</v>
      </c>
      <c r="E134" s="56" t="s">
        <v>4001</v>
      </c>
      <c r="F134" s="57" t="s">
        <v>4300</v>
      </c>
      <c r="G134" s="56" t="s">
        <v>4300</v>
      </c>
      <c r="H134" s="56" t="s">
        <v>4301</v>
      </c>
      <c r="I134" s="56" t="s">
        <v>4302</v>
      </c>
      <c r="J134" s="56" t="s">
        <v>58</v>
      </c>
      <c r="K134" s="56" t="s">
        <v>59</v>
      </c>
      <c r="L134" s="58">
        <v>30346</v>
      </c>
      <c r="M134" s="56">
        <v>42</v>
      </c>
      <c r="N134" s="56" t="s">
        <v>4303</v>
      </c>
      <c r="O134" s="58">
        <v>49055</v>
      </c>
      <c r="P134" s="56" t="s">
        <v>4</v>
      </c>
      <c r="Q134" s="56"/>
      <c r="R134" s="162">
        <v>45913</v>
      </c>
      <c r="S134" s="163">
        <v>45918</v>
      </c>
      <c r="T134" s="164">
        <f t="shared" si="1"/>
        <v>5</v>
      </c>
      <c r="U134" s="56">
        <v>1</v>
      </c>
      <c r="V134" s="56">
        <v>1</v>
      </c>
      <c r="W134" s="56">
        <v>0</v>
      </c>
      <c r="X134" s="56">
        <v>1</v>
      </c>
      <c r="Y134" s="56">
        <v>0</v>
      </c>
      <c r="Z134" s="56">
        <v>1</v>
      </c>
      <c r="AA134" s="56">
        <v>0</v>
      </c>
      <c r="AB134" s="56"/>
      <c r="AC134" s="58">
        <v>45913</v>
      </c>
      <c r="AD134" s="59">
        <v>0.44791666666424135</v>
      </c>
      <c r="AE134" s="56" t="s">
        <v>4304</v>
      </c>
      <c r="AF134" s="58">
        <v>45918</v>
      </c>
      <c r="AG134" s="59">
        <v>0.81944444444525288</v>
      </c>
      <c r="AH134" s="56" t="s">
        <v>770</v>
      </c>
      <c r="AI134" s="56" t="s">
        <v>4007</v>
      </c>
      <c r="AJ134" s="56" t="s">
        <v>64</v>
      </c>
      <c r="AK134" s="56" t="s">
        <v>64</v>
      </c>
      <c r="AL134" s="56" t="s">
        <v>3838</v>
      </c>
      <c r="AM134" s="60" t="s">
        <v>65</v>
      </c>
      <c r="AN134" s="60" t="s">
        <v>3974</v>
      </c>
      <c r="AO134" s="60"/>
      <c r="AP134" s="61"/>
    </row>
    <row r="135" spans="3:42" ht="14.25" customHeight="1">
      <c r="C135" s="55" t="str">
        <f>IF($X135=1,COUNTIF($C$10:C134,"&gt;0")+1,"")</f>
        <v/>
      </c>
      <c r="D135" s="56"/>
      <c r="E135" s="56" t="s">
        <v>4001</v>
      </c>
      <c r="F135" s="57" t="s">
        <v>4305</v>
      </c>
      <c r="G135" s="56" t="s">
        <v>4300</v>
      </c>
      <c r="H135" s="56" t="s">
        <v>4306</v>
      </c>
      <c r="I135" s="56" t="s">
        <v>4295</v>
      </c>
      <c r="J135" s="56" t="s">
        <v>58</v>
      </c>
      <c r="K135" s="56" t="s">
        <v>59</v>
      </c>
      <c r="L135" s="58">
        <v>35597</v>
      </c>
      <c r="M135" s="56">
        <v>28</v>
      </c>
      <c r="N135" s="56" t="s">
        <v>4307</v>
      </c>
      <c r="O135" s="58">
        <v>46346</v>
      </c>
      <c r="P135" s="56" t="s">
        <v>4</v>
      </c>
      <c r="Q135" s="56"/>
      <c r="R135" s="162">
        <v>45913</v>
      </c>
      <c r="S135" s="163">
        <v>45918</v>
      </c>
      <c r="T135" s="164">
        <f t="shared" si="1"/>
        <v>5</v>
      </c>
      <c r="U135" s="56">
        <v>1</v>
      </c>
      <c r="V135" s="56">
        <v>1</v>
      </c>
      <c r="W135" s="56">
        <v>0</v>
      </c>
      <c r="X135" s="56">
        <v>0</v>
      </c>
      <c r="Y135" s="56">
        <v>0</v>
      </c>
      <c r="Z135" s="56">
        <v>0</v>
      </c>
      <c r="AA135" s="56">
        <v>0</v>
      </c>
      <c r="AB135" s="56"/>
      <c r="AC135" s="58">
        <v>45913</v>
      </c>
      <c r="AD135" s="59">
        <v>0.65625</v>
      </c>
      <c r="AE135" s="56" t="s">
        <v>4308</v>
      </c>
      <c r="AF135" s="58">
        <v>45920</v>
      </c>
      <c r="AG135" s="59">
        <v>0.86111111110949423</v>
      </c>
      <c r="AH135" s="56" t="s">
        <v>1292</v>
      </c>
      <c r="AI135" s="56" t="s">
        <v>4007</v>
      </c>
      <c r="AJ135" s="56" t="s">
        <v>64</v>
      </c>
      <c r="AK135" s="56" t="s">
        <v>64</v>
      </c>
      <c r="AL135" s="56" t="s">
        <v>3838</v>
      </c>
      <c r="AM135" s="60" t="s">
        <v>65</v>
      </c>
      <c r="AN135" s="60" t="s">
        <v>3974</v>
      </c>
      <c r="AO135" s="60"/>
      <c r="AP135" s="61"/>
    </row>
    <row r="136" spans="3:42" ht="14.25" customHeight="1">
      <c r="C136" s="55">
        <f>IF($X136=1,COUNTIF($C$10:C135,"&gt;0")+1,"")</f>
        <v>62</v>
      </c>
      <c r="D136" s="56">
        <v>15262386</v>
      </c>
      <c r="E136" s="56" t="s">
        <v>4001</v>
      </c>
      <c r="F136" s="57" t="s">
        <v>4309</v>
      </c>
      <c r="G136" s="56" t="s">
        <v>4309</v>
      </c>
      <c r="H136" s="56" t="s">
        <v>4310</v>
      </c>
      <c r="I136" s="56" t="s">
        <v>4311</v>
      </c>
      <c r="J136" s="56" t="s">
        <v>58</v>
      </c>
      <c r="K136" s="56" t="s">
        <v>59</v>
      </c>
      <c r="L136" s="58">
        <v>33331</v>
      </c>
      <c r="M136" s="56">
        <v>34</v>
      </c>
      <c r="N136" s="56" t="s">
        <v>4312</v>
      </c>
      <c r="O136" s="58">
        <v>46612</v>
      </c>
      <c r="P136" s="56" t="s">
        <v>4</v>
      </c>
      <c r="Q136" s="56"/>
      <c r="R136" s="162">
        <v>45913</v>
      </c>
      <c r="S136" s="163">
        <v>45918</v>
      </c>
      <c r="T136" s="164">
        <f t="shared" si="1"/>
        <v>5</v>
      </c>
      <c r="U136" s="56">
        <v>1</v>
      </c>
      <c r="V136" s="56">
        <v>1</v>
      </c>
      <c r="W136" s="56">
        <v>0</v>
      </c>
      <c r="X136" s="56">
        <v>1</v>
      </c>
      <c r="Y136" s="56">
        <v>0</v>
      </c>
      <c r="Z136" s="56">
        <v>1</v>
      </c>
      <c r="AA136" s="56">
        <v>0</v>
      </c>
      <c r="AB136" s="56"/>
      <c r="AC136" s="58">
        <v>45913</v>
      </c>
      <c r="AD136" s="59">
        <v>0.69097222221898846</v>
      </c>
      <c r="AE136" s="56" t="s">
        <v>2350</v>
      </c>
      <c r="AF136" s="58">
        <v>45918</v>
      </c>
      <c r="AG136" s="59">
        <v>0.28819444444525288</v>
      </c>
      <c r="AH136" s="56" t="s">
        <v>108</v>
      </c>
      <c r="AI136" s="56" t="s">
        <v>4007</v>
      </c>
      <c r="AJ136" s="56" t="s">
        <v>64</v>
      </c>
      <c r="AK136" s="56" t="s">
        <v>64</v>
      </c>
      <c r="AL136" s="56" t="s">
        <v>3838</v>
      </c>
      <c r="AM136" s="60" t="s">
        <v>65</v>
      </c>
      <c r="AN136" s="60" t="s">
        <v>3974</v>
      </c>
      <c r="AO136" s="60"/>
      <c r="AP136" s="61"/>
    </row>
    <row r="137" spans="3:42" ht="14.25" customHeight="1">
      <c r="C137" s="55" t="str">
        <f>IF($X137=1,COUNTIF($C$10:C136,"&gt;0")+1,"")</f>
        <v/>
      </c>
      <c r="D137" s="56"/>
      <c r="E137" s="56" t="s">
        <v>4001</v>
      </c>
      <c r="F137" s="57" t="s">
        <v>4313</v>
      </c>
      <c r="G137" s="56" t="s">
        <v>4309</v>
      </c>
      <c r="H137" s="56" t="s">
        <v>4314</v>
      </c>
      <c r="I137" s="56" t="s">
        <v>4315</v>
      </c>
      <c r="J137" s="56" t="s">
        <v>68</v>
      </c>
      <c r="K137" s="56" t="s">
        <v>59</v>
      </c>
      <c r="L137" s="58">
        <v>34951</v>
      </c>
      <c r="M137" s="56">
        <v>30</v>
      </c>
      <c r="N137" s="56" t="s">
        <v>4316</v>
      </c>
      <c r="O137" s="58">
        <v>49426</v>
      </c>
      <c r="P137" s="56" t="s">
        <v>4</v>
      </c>
      <c r="Q137" s="56"/>
      <c r="R137" s="162">
        <v>45913</v>
      </c>
      <c r="S137" s="163">
        <v>45918</v>
      </c>
      <c r="T137" s="164">
        <f t="shared" si="1"/>
        <v>5</v>
      </c>
      <c r="U137" s="56">
        <v>1</v>
      </c>
      <c r="V137" s="56">
        <v>1</v>
      </c>
      <c r="W137" s="56">
        <v>0</v>
      </c>
      <c r="X137" s="56">
        <v>0</v>
      </c>
      <c r="Y137" s="56">
        <v>0</v>
      </c>
      <c r="Z137" s="56">
        <v>0</v>
      </c>
      <c r="AA137" s="56">
        <v>0</v>
      </c>
      <c r="AB137" s="56"/>
      <c r="AC137" s="58">
        <v>45913</v>
      </c>
      <c r="AD137" s="59">
        <v>0.69097222221898846</v>
      </c>
      <c r="AE137" s="56" t="s">
        <v>2350</v>
      </c>
      <c r="AF137" s="58">
        <v>45918</v>
      </c>
      <c r="AG137" s="59">
        <v>0.28819444444525288</v>
      </c>
      <c r="AH137" s="56" t="s">
        <v>108</v>
      </c>
      <c r="AI137" s="56" t="s">
        <v>4007</v>
      </c>
      <c r="AJ137" s="56" t="s">
        <v>64</v>
      </c>
      <c r="AK137" s="56" t="s">
        <v>64</v>
      </c>
      <c r="AL137" s="56" t="s">
        <v>3838</v>
      </c>
      <c r="AM137" s="60" t="s">
        <v>65</v>
      </c>
      <c r="AN137" s="60" t="s">
        <v>3974</v>
      </c>
      <c r="AO137" s="60"/>
      <c r="AP137" s="61"/>
    </row>
    <row r="138" spans="3:42" ht="14.25" customHeight="1">
      <c r="C138" s="55">
        <f>IF($X138=1,COUNTIF($C$10:C137,"&gt;0")+1,"")</f>
        <v>63</v>
      </c>
      <c r="D138" s="56">
        <v>15262387</v>
      </c>
      <c r="E138" s="56" t="s">
        <v>4001</v>
      </c>
      <c r="F138" s="57" t="s">
        <v>4317</v>
      </c>
      <c r="G138" s="56" t="s">
        <v>4317</v>
      </c>
      <c r="H138" s="56" t="s">
        <v>4318</v>
      </c>
      <c r="I138" s="56" t="s">
        <v>4295</v>
      </c>
      <c r="J138" s="56" t="s">
        <v>58</v>
      </c>
      <c r="K138" s="56" t="s">
        <v>59</v>
      </c>
      <c r="L138" s="58">
        <v>24413</v>
      </c>
      <c r="M138" s="56">
        <v>58</v>
      </c>
      <c r="N138" s="56" t="s">
        <v>4319</v>
      </c>
      <c r="O138" s="58">
        <v>46454</v>
      </c>
      <c r="P138" s="56" t="s">
        <v>4</v>
      </c>
      <c r="Q138" s="56"/>
      <c r="R138" s="162">
        <v>45913</v>
      </c>
      <c r="S138" s="163">
        <v>45918</v>
      </c>
      <c r="T138" s="164">
        <f t="shared" ref="T138:T201" si="2">S138-R138</f>
        <v>5</v>
      </c>
      <c r="U138" s="56">
        <v>1</v>
      </c>
      <c r="V138" s="56">
        <v>1</v>
      </c>
      <c r="W138" s="56">
        <v>0</v>
      </c>
      <c r="X138" s="56">
        <v>1</v>
      </c>
      <c r="Y138" s="56">
        <v>0</v>
      </c>
      <c r="Z138" s="56">
        <v>1</v>
      </c>
      <c r="AA138" s="56">
        <v>0</v>
      </c>
      <c r="AB138" s="56"/>
      <c r="AC138" s="58">
        <v>45913</v>
      </c>
      <c r="AD138" s="59">
        <v>0.65625</v>
      </c>
      <c r="AE138" s="56" t="s">
        <v>4308</v>
      </c>
      <c r="AF138" s="58">
        <v>45920</v>
      </c>
      <c r="AG138" s="59">
        <v>0.86111111110949423</v>
      </c>
      <c r="AH138" s="56" t="s">
        <v>1292</v>
      </c>
      <c r="AI138" s="56" t="s">
        <v>4007</v>
      </c>
      <c r="AJ138" s="56" t="s">
        <v>64</v>
      </c>
      <c r="AK138" s="56" t="s">
        <v>64</v>
      </c>
      <c r="AL138" s="56" t="s">
        <v>3838</v>
      </c>
      <c r="AM138" s="60" t="s">
        <v>65</v>
      </c>
      <c r="AN138" s="60" t="s">
        <v>3974</v>
      </c>
      <c r="AO138" s="60"/>
      <c r="AP138" s="61"/>
    </row>
    <row r="139" spans="3:42" ht="14.25" customHeight="1">
      <c r="C139" s="55" t="str">
        <f>IF($X139=1,COUNTIF($C$10:C138,"&gt;0")+1,"")</f>
        <v/>
      </c>
      <c r="D139" s="56"/>
      <c r="E139" s="56" t="s">
        <v>4001</v>
      </c>
      <c r="F139" s="57" t="s">
        <v>4320</v>
      </c>
      <c r="G139" s="56" t="s">
        <v>4317</v>
      </c>
      <c r="H139" s="56" t="s">
        <v>4321</v>
      </c>
      <c r="I139" s="56" t="s">
        <v>4295</v>
      </c>
      <c r="J139" s="56" t="s">
        <v>68</v>
      </c>
      <c r="K139" s="56" t="s">
        <v>59</v>
      </c>
      <c r="L139" s="58">
        <v>25962</v>
      </c>
      <c r="M139" s="56">
        <v>54</v>
      </c>
      <c r="N139" s="56" t="s">
        <v>4322</v>
      </c>
      <c r="O139" s="58">
        <v>46454</v>
      </c>
      <c r="P139" s="56" t="s">
        <v>4</v>
      </c>
      <c r="Q139" s="56"/>
      <c r="R139" s="162">
        <v>45913</v>
      </c>
      <c r="S139" s="163">
        <v>45918</v>
      </c>
      <c r="T139" s="164">
        <f t="shared" si="2"/>
        <v>5</v>
      </c>
      <c r="U139" s="56">
        <v>1</v>
      </c>
      <c r="V139" s="56">
        <v>1</v>
      </c>
      <c r="W139" s="56">
        <v>0</v>
      </c>
      <c r="X139" s="56">
        <v>0</v>
      </c>
      <c r="Y139" s="56">
        <v>0</v>
      </c>
      <c r="Z139" s="56">
        <v>0</v>
      </c>
      <c r="AA139" s="56">
        <v>0</v>
      </c>
      <c r="AB139" s="56"/>
      <c r="AC139" s="58">
        <v>45913</v>
      </c>
      <c r="AD139" s="59">
        <v>0.65625</v>
      </c>
      <c r="AE139" s="56" t="s">
        <v>4308</v>
      </c>
      <c r="AF139" s="58">
        <v>45920</v>
      </c>
      <c r="AG139" s="59">
        <v>0.86111111110949423</v>
      </c>
      <c r="AH139" s="56" t="s">
        <v>1292</v>
      </c>
      <c r="AI139" s="56" t="s">
        <v>4007</v>
      </c>
      <c r="AJ139" s="56" t="s">
        <v>64</v>
      </c>
      <c r="AK139" s="56" t="s">
        <v>64</v>
      </c>
      <c r="AL139" s="56" t="s">
        <v>3838</v>
      </c>
      <c r="AM139" s="60" t="s">
        <v>65</v>
      </c>
      <c r="AN139" s="60" t="s">
        <v>3974</v>
      </c>
      <c r="AO139" s="60"/>
      <c r="AP139" s="61"/>
    </row>
    <row r="140" spans="3:42" ht="14.25" customHeight="1">
      <c r="C140" s="55">
        <f>IF($X140=1,COUNTIF($C$10:C139,"&gt;0")+1,"")</f>
        <v>64</v>
      </c>
      <c r="D140" s="56">
        <v>15262388</v>
      </c>
      <c r="E140" s="56" t="s">
        <v>4001</v>
      </c>
      <c r="F140" s="57" t="s">
        <v>4323</v>
      </c>
      <c r="G140" s="56" t="s">
        <v>4323</v>
      </c>
      <c r="H140" s="56" t="s">
        <v>4324</v>
      </c>
      <c r="I140" s="56" t="s">
        <v>4325</v>
      </c>
      <c r="J140" s="56" t="s">
        <v>68</v>
      </c>
      <c r="K140" s="56" t="s">
        <v>59</v>
      </c>
      <c r="L140" s="58">
        <v>21926</v>
      </c>
      <c r="M140" s="56">
        <v>65</v>
      </c>
      <c r="N140" s="56" t="s">
        <v>4326</v>
      </c>
      <c r="O140" s="58">
        <v>46736</v>
      </c>
      <c r="P140" s="56" t="s">
        <v>5</v>
      </c>
      <c r="Q140" s="56"/>
      <c r="R140" s="162">
        <v>45913</v>
      </c>
      <c r="S140" s="163">
        <v>45918</v>
      </c>
      <c r="T140" s="164">
        <f t="shared" si="2"/>
        <v>5</v>
      </c>
      <c r="U140" s="56">
        <v>1</v>
      </c>
      <c r="V140" s="56">
        <v>1</v>
      </c>
      <c r="W140" s="56">
        <v>0</v>
      </c>
      <c r="X140" s="56">
        <v>1</v>
      </c>
      <c r="Y140" s="56">
        <v>0</v>
      </c>
      <c r="Z140" s="56">
        <v>0</v>
      </c>
      <c r="AA140" s="56">
        <v>1</v>
      </c>
      <c r="AB140" s="56"/>
      <c r="AC140" s="58">
        <v>45913</v>
      </c>
      <c r="AD140" s="59">
        <v>0.65625</v>
      </c>
      <c r="AE140" s="56" t="s">
        <v>2338</v>
      </c>
      <c r="AF140" s="58">
        <v>45918</v>
      </c>
      <c r="AG140" s="59">
        <v>0.35416666666424135</v>
      </c>
      <c r="AH140" s="56" t="s">
        <v>1108</v>
      </c>
      <c r="AI140" s="56" t="s">
        <v>4007</v>
      </c>
      <c r="AJ140" s="56" t="s">
        <v>64</v>
      </c>
      <c r="AK140" s="56" t="s">
        <v>64</v>
      </c>
      <c r="AL140" s="56" t="s">
        <v>3838</v>
      </c>
      <c r="AM140" s="60" t="s">
        <v>65</v>
      </c>
      <c r="AN140" s="60" t="s">
        <v>4061</v>
      </c>
      <c r="AO140" s="60"/>
      <c r="AP140" s="61"/>
    </row>
    <row r="141" spans="3:42" ht="14.25" customHeight="1">
      <c r="C141" s="55" t="str">
        <f>IF($X141=1,COUNTIF($C$10:C140,"&gt;0")+1,"")</f>
        <v/>
      </c>
      <c r="D141" s="56"/>
      <c r="E141" s="56" t="s">
        <v>4001</v>
      </c>
      <c r="F141" s="57" t="s">
        <v>4327</v>
      </c>
      <c r="G141" s="56" t="s">
        <v>4323</v>
      </c>
      <c r="H141" s="56" t="s">
        <v>4328</v>
      </c>
      <c r="I141" s="56" t="s">
        <v>4329</v>
      </c>
      <c r="J141" s="56" t="s">
        <v>68</v>
      </c>
      <c r="K141" s="56" t="s">
        <v>59</v>
      </c>
      <c r="L141" s="58">
        <v>25514</v>
      </c>
      <c r="M141" s="56">
        <v>55</v>
      </c>
      <c r="N141" s="56" t="s">
        <v>4330</v>
      </c>
      <c r="O141" s="58">
        <v>49063</v>
      </c>
      <c r="P141" s="56" t="s">
        <v>5</v>
      </c>
      <c r="Q141" s="56"/>
      <c r="R141" s="162">
        <v>45913</v>
      </c>
      <c r="S141" s="163">
        <v>45918</v>
      </c>
      <c r="T141" s="164">
        <f t="shared" si="2"/>
        <v>5</v>
      </c>
      <c r="U141" s="56">
        <v>1</v>
      </c>
      <c r="V141" s="56">
        <v>1</v>
      </c>
      <c r="W141" s="56">
        <v>0</v>
      </c>
      <c r="X141" s="56">
        <v>0</v>
      </c>
      <c r="Y141" s="56">
        <v>0</v>
      </c>
      <c r="Z141" s="56">
        <v>0</v>
      </c>
      <c r="AA141" s="56">
        <v>0</v>
      </c>
      <c r="AB141" s="56"/>
      <c r="AC141" s="58">
        <v>45913</v>
      </c>
      <c r="AD141" s="59">
        <v>0.44791666666424135</v>
      </c>
      <c r="AE141" s="56" t="s">
        <v>4304</v>
      </c>
      <c r="AF141" s="58">
        <v>45918</v>
      </c>
      <c r="AG141" s="59">
        <v>0.81944444444525288</v>
      </c>
      <c r="AH141" s="56" t="s">
        <v>770</v>
      </c>
      <c r="AI141" s="56" t="s">
        <v>4007</v>
      </c>
      <c r="AJ141" s="56" t="s">
        <v>64</v>
      </c>
      <c r="AK141" s="56" t="s">
        <v>64</v>
      </c>
      <c r="AL141" s="56" t="s">
        <v>3838</v>
      </c>
      <c r="AM141" s="60" t="s">
        <v>65</v>
      </c>
      <c r="AN141" s="60" t="s">
        <v>4061</v>
      </c>
      <c r="AO141" s="60"/>
      <c r="AP141" s="61"/>
    </row>
    <row r="142" spans="3:42" ht="14.25" customHeight="1">
      <c r="C142" s="55">
        <f>IF($X142=1,COUNTIF($C$10:C141,"&gt;0")+1,"")</f>
        <v>65</v>
      </c>
      <c r="D142" s="56">
        <v>15262390</v>
      </c>
      <c r="E142" s="56" t="s">
        <v>4001</v>
      </c>
      <c r="F142" s="57" t="s">
        <v>4331</v>
      </c>
      <c r="G142" s="56" t="s">
        <v>4331</v>
      </c>
      <c r="H142" s="56" t="s">
        <v>4332</v>
      </c>
      <c r="I142" s="56" t="s">
        <v>4333</v>
      </c>
      <c r="J142" s="56" t="s">
        <v>68</v>
      </c>
      <c r="K142" s="56" t="s">
        <v>59</v>
      </c>
      <c r="L142" s="58">
        <v>26207</v>
      </c>
      <c r="M142" s="56">
        <v>53</v>
      </c>
      <c r="N142" s="56" t="s">
        <v>4334</v>
      </c>
      <c r="O142" s="58">
        <v>48012</v>
      </c>
      <c r="P142" s="56" t="s">
        <v>5</v>
      </c>
      <c r="Q142" s="56"/>
      <c r="R142" s="162">
        <v>45913</v>
      </c>
      <c r="S142" s="163">
        <v>45918</v>
      </c>
      <c r="T142" s="164">
        <f t="shared" si="2"/>
        <v>5</v>
      </c>
      <c r="U142" s="56">
        <v>1</v>
      </c>
      <c r="V142" s="56">
        <v>1</v>
      </c>
      <c r="W142" s="56">
        <v>0</v>
      </c>
      <c r="X142" s="56">
        <v>1</v>
      </c>
      <c r="Y142" s="56">
        <v>0</v>
      </c>
      <c r="Z142" s="56">
        <v>0</v>
      </c>
      <c r="AA142" s="56">
        <v>1</v>
      </c>
      <c r="AB142" s="56"/>
      <c r="AC142" s="58">
        <v>45913</v>
      </c>
      <c r="AD142" s="59">
        <v>0.65625</v>
      </c>
      <c r="AE142" s="56" t="s">
        <v>1385</v>
      </c>
      <c r="AF142" s="58">
        <v>45918</v>
      </c>
      <c r="AG142" s="59">
        <v>0.85416666666424135</v>
      </c>
      <c r="AH142" s="56" t="s">
        <v>1460</v>
      </c>
      <c r="AI142" s="56" t="s">
        <v>4007</v>
      </c>
      <c r="AJ142" s="56" t="s">
        <v>64</v>
      </c>
      <c r="AK142" s="56" t="s">
        <v>64</v>
      </c>
      <c r="AL142" s="56" t="s">
        <v>3838</v>
      </c>
      <c r="AM142" s="60" t="s">
        <v>65</v>
      </c>
      <c r="AN142" s="60" t="s">
        <v>4061</v>
      </c>
      <c r="AO142" s="60"/>
      <c r="AP142" s="61"/>
    </row>
    <row r="143" spans="3:42" ht="14.25" customHeight="1">
      <c r="C143" s="55" t="str">
        <f>IF($X143=1,COUNTIF($C$10:C142,"&gt;0")+1,"")</f>
        <v/>
      </c>
      <c r="D143" s="56"/>
      <c r="E143" s="56" t="s">
        <v>4001</v>
      </c>
      <c r="F143" s="57" t="s">
        <v>4335</v>
      </c>
      <c r="G143" s="56" t="s">
        <v>4331</v>
      </c>
      <c r="H143" s="56" t="s">
        <v>4336</v>
      </c>
      <c r="I143" s="56" t="s">
        <v>4337</v>
      </c>
      <c r="J143" s="56" t="s">
        <v>68</v>
      </c>
      <c r="K143" s="56" t="s">
        <v>59</v>
      </c>
      <c r="L143" s="58">
        <v>34723</v>
      </c>
      <c r="M143" s="56">
        <v>30</v>
      </c>
      <c r="N143" s="56" t="s">
        <v>4338</v>
      </c>
      <c r="O143" s="58">
        <v>49286</v>
      </c>
      <c r="P143" s="56" t="s">
        <v>5</v>
      </c>
      <c r="Q143" s="56"/>
      <c r="R143" s="162">
        <v>45913</v>
      </c>
      <c r="S143" s="163">
        <v>45918</v>
      </c>
      <c r="T143" s="164">
        <f t="shared" si="2"/>
        <v>5</v>
      </c>
      <c r="U143" s="56">
        <v>1</v>
      </c>
      <c r="V143" s="56">
        <v>1</v>
      </c>
      <c r="W143" s="56">
        <v>0</v>
      </c>
      <c r="X143" s="56">
        <v>0</v>
      </c>
      <c r="Y143" s="56">
        <v>0</v>
      </c>
      <c r="Z143" s="56">
        <v>0</v>
      </c>
      <c r="AA143" s="56">
        <v>0</v>
      </c>
      <c r="AB143" s="56"/>
      <c r="AC143" s="58">
        <v>45913</v>
      </c>
      <c r="AD143" s="59">
        <v>0.65625</v>
      </c>
      <c r="AE143" s="56" t="s">
        <v>1385</v>
      </c>
      <c r="AF143" s="58">
        <v>45918</v>
      </c>
      <c r="AG143" s="59">
        <v>0.85416666666424135</v>
      </c>
      <c r="AH143" s="56" t="s">
        <v>1460</v>
      </c>
      <c r="AI143" s="56" t="s">
        <v>4007</v>
      </c>
      <c r="AJ143" s="56" t="s">
        <v>64</v>
      </c>
      <c r="AK143" s="56" t="s">
        <v>64</v>
      </c>
      <c r="AL143" s="56" t="s">
        <v>3838</v>
      </c>
      <c r="AM143" s="60" t="s">
        <v>65</v>
      </c>
      <c r="AN143" s="60" t="s">
        <v>4061</v>
      </c>
      <c r="AO143" s="60"/>
      <c r="AP143" s="61"/>
    </row>
    <row r="144" spans="3:42" ht="14.25" customHeight="1">
      <c r="C144" s="55">
        <f>IF($X144=1,COUNTIF($C$10:C143,"&gt;0")+1,"")</f>
        <v>66</v>
      </c>
      <c r="D144" s="56">
        <v>15262391</v>
      </c>
      <c r="E144" s="56" t="s">
        <v>4339</v>
      </c>
      <c r="F144" s="57" t="s">
        <v>4340</v>
      </c>
      <c r="G144" s="56" t="s">
        <v>4340</v>
      </c>
      <c r="H144" s="56" t="s">
        <v>4341</v>
      </c>
      <c r="I144" s="56" t="s">
        <v>4342</v>
      </c>
      <c r="J144" s="56" t="s">
        <v>68</v>
      </c>
      <c r="K144" s="56" t="s">
        <v>59</v>
      </c>
      <c r="L144" s="58">
        <v>32780</v>
      </c>
      <c r="M144" s="56">
        <v>35</v>
      </c>
      <c r="N144" s="56" t="s">
        <v>4343</v>
      </c>
      <c r="O144" s="58">
        <v>47072</v>
      </c>
      <c r="P144" s="56" t="s">
        <v>5</v>
      </c>
      <c r="Q144" s="56"/>
      <c r="R144" s="162">
        <v>45913</v>
      </c>
      <c r="S144" s="163">
        <v>45918</v>
      </c>
      <c r="T144" s="164">
        <f t="shared" si="2"/>
        <v>5</v>
      </c>
      <c r="U144" s="56">
        <v>1</v>
      </c>
      <c r="V144" s="56">
        <v>1</v>
      </c>
      <c r="W144" s="56">
        <v>0</v>
      </c>
      <c r="X144" s="56">
        <v>1</v>
      </c>
      <c r="Y144" s="56">
        <v>0</v>
      </c>
      <c r="Z144" s="56">
        <v>0</v>
      </c>
      <c r="AA144" s="56">
        <v>1</v>
      </c>
      <c r="AB144" s="56"/>
      <c r="AC144" s="58">
        <v>45913</v>
      </c>
      <c r="AD144" s="59">
        <v>0.64583333333575865</v>
      </c>
      <c r="AE144" s="56" t="s">
        <v>312</v>
      </c>
      <c r="AF144" s="58">
        <v>45918</v>
      </c>
      <c r="AG144" s="59">
        <v>0.72569444444525288</v>
      </c>
      <c r="AH144" s="56" t="s">
        <v>313</v>
      </c>
      <c r="AI144" s="56" t="s">
        <v>4344</v>
      </c>
      <c r="AJ144" s="56" t="s">
        <v>64</v>
      </c>
      <c r="AK144" s="56" t="s">
        <v>64</v>
      </c>
      <c r="AL144" s="56" t="s">
        <v>3838</v>
      </c>
      <c r="AM144" s="60" t="s">
        <v>65</v>
      </c>
      <c r="AN144" s="60" t="s">
        <v>3967</v>
      </c>
      <c r="AO144" s="60"/>
      <c r="AP144" s="61"/>
    </row>
    <row r="145" spans="3:42" ht="14.25" customHeight="1">
      <c r="C145" s="55" t="str">
        <f>IF($X145=1,COUNTIF($C$10:C144,"&gt;0")+1,"")</f>
        <v/>
      </c>
      <c r="D145" s="56"/>
      <c r="E145" s="56" t="s">
        <v>4339</v>
      </c>
      <c r="F145" s="57" t="s">
        <v>4345</v>
      </c>
      <c r="G145" s="56" t="s">
        <v>4340</v>
      </c>
      <c r="H145" s="56" t="s">
        <v>4346</v>
      </c>
      <c r="I145" s="56" t="s">
        <v>4347</v>
      </c>
      <c r="J145" s="56" t="s">
        <v>68</v>
      </c>
      <c r="K145" s="56" t="s">
        <v>59</v>
      </c>
      <c r="L145" s="58">
        <v>31877</v>
      </c>
      <c r="M145" s="56">
        <v>38</v>
      </c>
      <c r="N145" s="56" t="s">
        <v>4348</v>
      </c>
      <c r="O145" s="58">
        <v>47867</v>
      </c>
      <c r="P145" s="56" t="s">
        <v>5</v>
      </c>
      <c r="Q145" s="56"/>
      <c r="R145" s="162">
        <v>45913</v>
      </c>
      <c r="S145" s="163">
        <v>45918</v>
      </c>
      <c r="T145" s="164">
        <f t="shared" si="2"/>
        <v>5</v>
      </c>
      <c r="U145" s="56">
        <v>1</v>
      </c>
      <c r="V145" s="56">
        <v>1</v>
      </c>
      <c r="W145" s="56">
        <v>0</v>
      </c>
      <c r="X145" s="56">
        <v>0</v>
      </c>
      <c r="Y145" s="56">
        <v>0</v>
      </c>
      <c r="Z145" s="56">
        <v>0</v>
      </c>
      <c r="AA145" s="56">
        <v>0</v>
      </c>
      <c r="AB145" s="56"/>
      <c r="AC145" s="58">
        <v>45913</v>
      </c>
      <c r="AD145" s="59">
        <v>0.64583333333575865</v>
      </c>
      <c r="AE145" s="56" t="s">
        <v>312</v>
      </c>
      <c r="AF145" s="58">
        <v>45918</v>
      </c>
      <c r="AG145" s="59">
        <v>0.72569444444525288</v>
      </c>
      <c r="AH145" s="56" t="s">
        <v>313</v>
      </c>
      <c r="AI145" s="56" t="s">
        <v>4344</v>
      </c>
      <c r="AJ145" s="56" t="s">
        <v>64</v>
      </c>
      <c r="AK145" s="56" t="s">
        <v>64</v>
      </c>
      <c r="AL145" s="56" t="s">
        <v>3838</v>
      </c>
      <c r="AM145" s="60" t="s">
        <v>65</v>
      </c>
      <c r="AN145" s="60" t="s">
        <v>3967</v>
      </c>
      <c r="AO145" s="60"/>
      <c r="AP145" s="61"/>
    </row>
    <row r="146" spans="3:42" ht="14.25" customHeight="1">
      <c r="C146" s="55">
        <f>IF($X146=1,COUNTIF($C$10:C145,"&gt;0")+1,"")</f>
        <v>67</v>
      </c>
      <c r="D146" s="56">
        <v>15262392</v>
      </c>
      <c r="E146" s="56" t="s">
        <v>4339</v>
      </c>
      <c r="F146" s="57" t="s">
        <v>4349</v>
      </c>
      <c r="G146" s="56" t="s">
        <v>4349</v>
      </c>
      <c r="H146" s="56" t="s">
        <v>4350</v>
      </c>
      <c r="I146" s="56" t="s">
        <v>4351</v>
      </c>
      <c r="J146" s="56" t="s">
        <v>58</v>
      </c>
      <c r="K146" s="56" t="s">
        <v>59</v>
      </c>
      <c r="L146" s="58">
        <v>24265</v>
      </c>
      <c r="M146" s="56">
        <v>59</v>
      </c>
      <c r="N146" s="56" t="s">
        <v>4352</v>
      </c>
      <c r="O146" s="58">
        <v>47394</v>
      </c>
      <c r="P146" s="56" t="s">
        <v>5</v>
      </c>
      <c r="Q146" s="56"/>
      <c r="R146" s="162">
        <v>45913</v>
      </c>
      <c r="S146" s="163">
        <v>45918</v>
      </c>
      <c r="T146" s="164">
        <f t="shared" si="2"/>
        <v>5</v>
      </c>
      <c r="U146" s="56">
        <v>1</v>
      </c>
      <c r="V146" s="56">
        <v>1</v>
      </c>
      <c r="W146" s="56">
        <v>0</v>
      </c>
      <c r="X146" s="56">
        <v>1</v>
      </c>
      <c r="Y146" s="56">
        <v>0</v>
      </c>
      <c r="Z146" s="56">
        <v>0</v>
      </c>
      <c r="AA146" s="56">
        <v>1</v>
      </c>
      <c r="AB146" s="56"/>
      <c r="AC146" s="58">
        <v>45912</v>
      </c>
      <c r="AD146" s="59">
        <v>0.18055555555474712</v>
      </c>
      <c r="AE146" s="56" t="s">
        <v>95</v>
      </c>
      <c r="AF146" s="58" t="s">
        <v>64</v>
      </c>
      <c r="AG146" s="59" t="s">
        <v>64</v>
      </c>
      <c r="AH146" s="56" t="s">
        <v>1058</v>
      </c>
      <c r="AI146" s="56" t="s">
        <v>4344</v>
      </c>
      <c r="AJ146" s="56" t="s">
        <v>64</v>
      </c>
      <c r="AK146" s="56"/>
      <c r="AL146" s="56" t="s">
        <v>3838</v>
      </c>
      <c r="AM146" s="60" t="s">
        <v>65</v>
      </c>
      <c r="AN146" s="60" t="s">
        <v>4061</v>
      </c>
      <c r="AO146" s="60"/>
      <c r="AP146" s="61"/>
    </row>
    <row r="147" spans="3:42" ht="14.25" customHeight="1">
      <c r="C147" s="55" t="str">
        <f>IF($X147=1,COUNTIF($C$10:C146,"&gt;0")+1,"")</f>
        <v/>
      </c>
      <c r="D147" s="56"/>
      <c r="E147" s="56" t="s">
        <v>4339</v>
      </c>
      <c r="F147" s="57" t="s">
        <v>4353</v>
      </c>
      <c r="G147" s="56" t="s">
        <v>4349</v>
      </c>
      <c r="H147" s="56" t="s">
        <v>4354</v>
      </c>
      <c r="I147" s="56" t="s">
        <v>4355</v>
      </c>
      <c r="J147" s="56" t="s">
        <v>68</v>
      </c>
      <c r="K147" s="56" t="s">
        <v>59</v>
      </c>
      <c r="L147" s="58">
        <v>26098</v>
      </c>
      <c r="M147" s="56">
        <v>54</v>
      </c>
      <c r="N147" s="56" t="s">
        <v>4356</v>
      </c>
      <c r="O147" s="58">
        <v>48342</v>
      </c>
      <c r="P147" s="56" t="s">
        <v>5</v>
      </c>
      <c r="Q147" s="56"/>
      <c r="R147" s="162">
        <v>45913</v>
      </c>
      <c r="S147" s="163">
        <v>45918</v>
      </c>
      <c r="T147" s="164">
        <f t="shared" si="2"/>
        <v>5</v>
      </c>
      <c r="U147" s="56">
        <v>1</v>
      </c>
      <c r="V147" s="56">
        <v>1</v>
      </c>
      <c r="W147" s="56">
        <v>0</v>
      </c>
      <c r="X147" s="56">
        <v>0</v>
      </c>
      <c r="Y147" s="56">
        <v>0</v>
      </c>
      <c r="Z147" s="56">
        <v>0</v>
      </c>
      <c r="AA147" s="56">
        <v>0</v>
      </c>
      <c r="AB147" s="56"/>
      <c r="AC147" s="58">
        <v>45911</v>
      </c>
      <c r="AD147" s="59">
        <v>0.625</v>
      </c>
      <c r="AE147" s="56" t="s">
        <v>74</v>
      </c>
      <c r="AF147" s="58">
        <v>45918</v>
      </c>
      <c r="AG147" s="59">
        <v>0.70138888889050577</v>
      </c>
      <c r="AH147" s="56" t="s">
        <v>96</v>
      </c>
      <c r="AI147" s="56" t="s">
        <v>4344</v>
      </c>
      <c r="AJ147" s="56" t="s">
        <v>64</v>
      </c>
      <c r="AK147" s="56"/>
      <c r="AL147" s="56" t="s">
        <v>3838</v>
      </c>
      <c r="AM147" s="60" t="s">
        <v>65</v>
      </c>
      <c r="AN147" s="60" t="s">
        <v>4061</v>
      </c>
      <c r="AO147" s="60"/>
      <c r="AP147" s="61"/>
    </row>
    <row r="148" spans="3:42" ht="14.25" customHeight="1">
      <c r="C148" s="55">
        <f>IF($X148=1,COUNTIF($C$10:C147,"&gt;0")+1,"")</f>
        <v>68</v>
      </c>
      <c r="D148" s="56">
        <v>15262393</v>
      </c>
      <c r="E148" s="56" t="s">
        <v>4339</v>
      </c>
      <c r="F148" s="57" t="s">
        <v>4357</v>
      </c>
      <c r="G148" s="56" t="s">
        <v>4357</v>
      </c>
      <c r="H148" s="56" t="s">
        <v>4358</v>
      </c>
      <c r="I148" s="56" t="s">
        <v>4359</v>
      </c>
      <c r="J148" s="56" t="s">
        <v>58</v>
      </c>
      <c r="K148" s="56" t="s">
        <v>59</v>
      </c>
      <c r="L148" s="58">
        <v>34100</v>
      </c>
      <c r="M148" s="56">
        <v>32</v>
      </c>
      <c r="N148" s="56" t="s">
        <v>4360</v>
      </c>
      <c r="O148" s="58">
        <v>47858</v>
      </c>
      <c r="P148" s="56" t="s">
        <v>4</v>
      </c>
      <c r="Q148" s="56"/>
      <c r="R148" s="162">
        <v>45913</v>
      </c>
      <c r="S148" s="163">
        <v>45918</v>
      </c>
      <c r="T148" s="164">
        <f t="shared" si="2"/>
        <v>5</v>
      </c>
      <c r="U148" s="56">
        <v>1</v>
      </c>
      <c r="V148" s="56">
        <v>1</v>
      </c>
      <c r="W148" s="56">
        <v>0</v>
      </c>
      <c r="X148" s="56">
        <v>1</v>
      </c>
      <c r="Y148" s="56">
        <v>0</v>
      </c>
      <c r="Z148" s="56">
        <v>1</v>
      </c>
      <c r="AA148" s="56">
        <v>0</v>
      </c>
      <c r="AB148" s="56"/>
      <c r="AC148" s="58">
        <v>45911</v>
      </c>
      <c r="AD148" s="59">
        <v>0.63888888889050577</v>
      </c>
      <c r="AE148" s="56" t="s">
        <v>84</v>
      </c>
      <c r="AF148" s="58">
        <v>45918</v>
      </c>
      <c r="AG148" s="59">
        <v>0.68402777778101154</v>
      </c>
      <c r="AH148" s="56" t="s">
        <v>274</v>
      </c>
      <c r="AI148" s="56" t="s">
        <v>4344</v>
      </c>
      <c r="AJ148" s="56" t="s">
        <v>64</v>
      </c>
      <c r="AK148" s="56" t="s">
        <v>64</v>
      </c>
      <c r="AL148" s="56" t="s">
        <v>3838</v>
      </c>
      <c r="AM148" s="60" t="s">
        <v>65</v>
      </c>
      <c r="AN148" s="60" t="s">
        <v>3974</v>
      </c>
      <c r="AO148" s="60"/>
      <c r="AP148" s="61"/>
    </row>
    <row r="149" spans="3:42" ht="14.25" customHeight="1">
      <c r="C149" s="55" t="str">
        <f>IF($X149=1,COUNTIF($C$10:C148,"&gt;0")+1,"")</f>
        <v/>
      </c>
      <c r="D149" s="56"/>
      <c r="E149" s="56" t="s">
        <v>4339</v>
      </c>
      <c r="F149" s="57" t="s">
        <v>4361</v>
      </c>
      <c r="G149" s="56" t="s">
        <v>4357</v>
      </c>
      <c r="H149" s="56" t="s">
        <v>4362</v>
      </c>
      <c r="I149" s="56" t="s">
        <v>4363</v>
      </c>
      <c r="J149" s="56" t="s">
        <v>68</v>
      </c>
      <c r="K149" s="56" t="s">
        <v>59</v>
      </c>
      <c r="L149" s="58">
        <v>35997</v>
      </c>
      <c r="M149" s="56">
        <v>27</v>
      </c>
      <c r="N149" s="56" t="s">
        <v>4364</v>
      </c>
      <c r="O149" s="58">
        <v>49111</v>
      </c>
      <c r="P149" s="56" t="s">
        <v>4</v>
      </c>
      <c r="Q149" s="56"/>
      <c r="R149" s="162">
        <v>45913</v>
      </c>
      <c r="S149" s="163">
        <v>45918</v>
      </c>
      <c r="T149" s="164">
        <f t="shared" si="2"/>
        <v>5</v>
      </c>
      <c r="U149" s="56">
        <v>1</v>
      </c>
      <c r="V149" s="56">
        <v>1</v>
      </c>
      <c r="W149" s="56">
        <v>0</v>
      </c>
      <c r="X149" s="56">
        <v>0</v>
      </c>
      <c r="Y149" s="56">
        <v>0</v>
      </c>
      <c r="Z149" s="56">
        <v>0</v>
      </c>
      <c r="AA149" s="56">
        <v>0</v>
      </c>
      <c r="AB149" s="56"/>
      <c r="AC149" s="58">
        <v>45911</v>
      </c>
      <c r="AD149" s="59">
        <v>0.63888888889050577</v>
      </c>
      <c r="AE149" s="56" t="s">
        <v>84</v>
      </c>
      <c r="AF149" s="58">
        <v>45918</v>
      </c>
      <c r="AG149" s="59">
        <v>0.68402777778101154</v>
      </c>
      <c r="AH149" s="56" t="s">
        <v>274</v>
      </c>
      <c r="AI149" s="56" t="s">
        <v>4344</v>
      </c>
      <c r="AJ149" s="56" t="s">
        <v>64</v>
      </c>
      <c r="AK149" s="56" t="s">
        <v>64</v>
      </c>
      <c r="AL149" s="56" t="s">
        <v>3838</v>
      </c>
      <c r="AM149" s="60" t="s">
        <v>65</v>
      </c>
      <c r="AN149" s="60" t="s">
        <v>3974</v>
      </c>
      <c r="AO149" s="60"/>
      <c r="AP149" s="61"/>
    </row>
    <row r="150" spans="3:42" ht="14.25" customHeight="1">
      <c r="C150" s="55">
        <f>IF($X150=1,COUNTIF($C$10:C149,"&gt;0")+1,"")</f>
        <v>69</v>
      </c>
      <c r="D150" s="56">
        <v>15262394</v>
      </c>
      <c r="E150" s="56" t="s">
        <v>4339</v>
      </c>
      <c r="F150" s="57" t="s">
        <v>4365</v>
      </c>
      <c r="G150" s="56" t="s">
        <v>4365</v>
      </c>
      <c r="H150" s="56" t="s">
        <v>2111</v>
      </c>
      <c r="I150" s="56" t="s">
        <v>4355</v>
      </c>
      <c r="J150" s="56" t="s">
        <v>58</v>
      </c>
      <c r="K150" s="56" t="s">
        <v>59</v>
      </c>
      <c r="L150" s="58">
        <v>33486</v>
      </c>
      <c r="M150" s="56">
        <v>34</v>
      </c>
      <c r="N150" s="56" t="s">
        <v>4366</v>
      </c>
      <c r="O150" s="58">
        <v>45897</v>
      </c>
      <c r="P150" s="56" t="s">
        <v>4</v>
      </c>
      <c r="Q150" s="56"/>
      <c r="R150" s="162">
        <v>45913</v>
      </c>
      <c r="S150" s="163">
        <v>45918</v>
      </c>
      <c r="T150" s="164">
        <f t="shared" si="2"/>
        <v>5</v>
      </c>
      <c r="U150" s="56">
        <v>1</v>
      </c>
      <c r="V150" s="56">
        <v>1</v>
      </c>
      <c r="W150" s="56">
        <v>0</v>
      </c>
      <c r="X150" s="56">
        <v>1</v>
      </c>
      <c r="Y150" s="56">
        <v>0</v>
      </c>
      <c r="Z150" s="56">
        <v>1</v>
      </c>
      <c r="AA150" s="56">
        <v>0</v>
      </c>
      <c r="AB150" s="56"/>
      <c r="AC150" s="58">
        <v>45911</v>
      </c>
      <c r="AD150" s="59">
        <v>0.625</v>
      </c>
      <c r="AE150" s="56" t="s">
        <v>74</v>
      </c>
      <c r="AF150" s="58">
        <v>45918</v>
      </c>
      <c r="AG150" s="59">
        <v>0.70138888889050577</v>
      </c>
      <c r="AH150" s="56" t="s">
        <v>96</v>
      </c>
      <c r="AI150" s="56" t="s">
        <v>4344</v>
      </c>
      <c r="AJ150" s="56" t="s">
        <v>64</v>
      </c>
      <c r="AK150" s="56" t="s">
        <v>64</v>
      </c>
      <c r="AL150" s="56" t="s">
        <v>3838</v>
      </c>
      <c r="AM150" s="60" t="s">
        <v>65</v>
      </c>
      <c r="AN150" s="60" t="s">
        <v>3974</v>
      </c>
      <c r="AO150" s="60"/>
      <c r="AP150" s="61"/>
    </row>
    <row r="151" spans="3:42" ht="14.25" customHeight="1">
      <c r="C151" s="55" t="str">
        <f>IF($X151=1,COUNTIF($C$10:C150,"&gt;0")+1,"")</f>
        <v/>
      </c>
      <c r="D151" s="56"/>
      <c r="E151" s="56" t="s">
        <v>4339</v>
      </c>
      <c r="F151" s="57" t="s">
        <v>4367</v>
      </c>
      <c r="G151" s="56" t="s">
        <v>4365</v>
      </c>
      <c r="H151" s="56" t="s">
        <v>4368</v>
      </c>
      <c r="I151" s="56" t="s">
        <v>4369</v>
      </c>
      <c r="J151" s="56" t="s">
        <v>68</v>
      </c>
      <c r="K151" s="56" t="s">
        <v>59</v>
      </c>
      <c r="L151" s="58">
        <v>36425</v>
      </c>
      <c r="M151" s="56">
        <v>25</v>
      </c>
      <c r="N151" s="56" t="s">
        <v>4370</v>
      </c>
      <c r="O151" s="58">
        <v>46085</v>
      </c>
      <c r="P151" s="56" t="s">
        <v>4</v>
      </c>
      <c r="Q151" s="56"/>
      <c r="R151" s="162">
        <v>45913</v>
      </c>
      <c r="S151" s="163">
        <v>45918</v>
      </c>
      <c r="T151" s="164">
        <f t="shared" si="2"/>
        <v>5</v>
      </c>
      <c r="U151" s="56">
        <v>1</v>
      </c>
      <c r="V151" s="56">
        <v>1</v>
      </c>
      <c r="W151" s="56">
        <v>0</v>
      </c>
      <c r="X151" s="56">
        <v>0</v>
      </c>
      <c r="Y151" s="56">
        <v>0</v>
      </c>
      <c r="Z151" s="56">
        <v>0</v>
      </c>
      <c r="AA151" s="56">
        <v>0</v>
      </c>
      <c r="AB151" s="56"/>
      <c r="AC151" s="58">
        <v>45911</v>
      </c>
      <c r="AD151" s="59">
        <v>0.625</v>
      </c>
      <c r="AE151" s="56" t="s">
        <v>74</v>
      </c>
      <c r="AF151" s="58">
        <v>45918</v>
      </c>
      <c r="AG151" s="59">
        <v>0.70138888889050577</v>
      </c>
      <c r="AH151" s="56" t="s">
        <v>96</v>
      </c>
      <c r="AI151" s="56" t="s">
        <v>4344</v>
      </c>
      <c r="AJ151" s="56" t="s">
        <v>64</v>
      </c>
      <c r="AK151" s="56" t="s">
        <v>64</v>
      </c>
      <c r="AL151" s="56" t="s">
        <v>3838</v>
      </c>
      <c r="AM151" s="60" t="s">
        <v>65</v>
      </c>
      <c r="AN151" s="60" t="s">
        <v>3974</v>
      </c>
      <c r="AO151" s="60"/>
      <c r="AP151" s="61"/>
    </row>
    <row r="152" spans="3:42" ht="14.25" customHeight="1">
      <c r="C152" s="55">
        <f>IF($X152=1,COUNTIF($C$10:C151,"&gt;0")+1,"")</f>
        <v>70</v>
      </c>
      <c r="D152" s="56">
        <v>15262395</v>
      </c>
      <c r="E152" s="56" t="s">
        <v>4339</v>
      </c>
      <c r="F152" s="57" t="s">
        <v>4371</v>
      </c>
      <c r="G152" s="56" t="s">
        <v>4371</v>
      </c>
      <c r="H152" s="56" t="s">
        <v>4372</v>
      </c>
      <c r="I152" s="56" t="s">
        <v>4373</v>
      </c>
      <c r="J152" s="56" t="s">
        <v>68</v>
      </c>
      <c r="K152" s="56" t="s">
        <v>4374</v>
      </c>
      <c r="L152" s="58">
        <v>26378</v>
      </c>
      <c r="M152" s="56">
        <v>53</v>
      </c>
      <c r="N152" s="56" t="s">
        <v>4375</v>
      </c>
      <c r="O152" s="58">
        <v>48031</v>
      </c>
      <c r="P152" s="56" t="s">
        <v>5</v>
      </c>
      <c r="Q152" s="56"/>
      <c r="R152" s="162">
        <v>45913</v>
      </c>
      <c r="S152" s="163">
        <v>45918</v>
      </c>
      <c r="T152" s="164">
        <f t="shared" si="2"/>
        <v>5</v>
      </c>
      <c r="U152" s="56">
        <v>1</v>
      </c>
      <c r="V152" s="56">
        <v>1</v>
      </c>
      <c r="W152" s="56">
        <v>0</v>
      </c>
      <c r="X152" s="56">
        <v>1</v>
      </c>
      <c r="Y152" s="56">
        <v>0</v>
      </c>
      <c r="Z152" s="56">
        <v>0</v>
      </c>
      <c r="AA152" s="56">
        <v>1</v>
      </c>
      <c r="AB152" s="56"/>
      <c r="AC152" s="58">
        <v>45905</v>
      </c>
      <c r="AD152" s="59">
        <v>0.70138888889050577</v>
      </c>
      <c r="AE152" s="56" t="s">
        <v>3256</v>
      </c>
      <c r="AF152" s="58">
        <v>45918</v>
      </c>
      <c r="AG152" s="59">
        <v>0.38888888889050577</v>
      </c>
      <c r="AH152" s="56" t="s">
        <v>4376</v>
      </c>
      <c r="AI152" s="56" t="s">
        <v>4344</v>
      </c>
      <c r="AJ152" s="56" t="s">
        <v>64</v>
      </c>
      <c r="AK152" s="56" t="s">
        <v>64</v>
      </c>
      <c r="AL152" s="56" t="s">
        <v>3838</v>
      </c>
      <c r="AM152" s="60" t="s">
        <v>65</v>
      </c>
      <c r="AN152" s="60" t="s">
        <v>4061</v>
      </c>
      <c r="AO152" s="60"/>
      <c r="AP152" s="61"/>
    </row>
    <row r="153" spans="3:42" ht="14.25" customHeight="1">
      <c r="C153" s="55" t="str">
        <f>IF($X153=1,COUNTIF($C$10:C152,"&gt;0")+1,"")</f>
        <v/>
      </c>
      <c r="D153" s="56"/>
      <c r="E153" s="56" t="s">
        <v>4339</v>
      </c>
      <c r="F153" s="57" t="s">
        <v>4377</v>
      </c>
      <c r="G153" s="56" t="s">
        <v>4371</v>
      </c>
      <c r="H153" s="56" t="s">
        <v>4378</v>
      </c>
      <c r="I153" s="56" t="s">
        <v>4379</v>
      </c>
      <c r="J153" s="56" t="s">
        <v>58</v>
      </c>
      <c r="K153" s="56" t="s">
        <v>59</v>
      </c>
      <c r="L153" s="58">
        <v>24738</v>
      </c>
      <c r="M153" s="56">
        <v>57</v>
      </c>
      <c r="N153" s="56" t="s">
        <v>4380</v>
      </c>
      <c r="O153" s="58">
        <v>49143</v>
      </c>
      <c r="P153" s="56" t="s">
        <v>5</v>
      </c>
      <c r="Q153" s="56"/>
      <c r="R153" s="162">
        <v>45913</v>
      </c>
      <c r="S153" s="163">
        <v>45918</v>
      </c>
      <c r="T153" s="164">
        <f t="shared" si="2"/>
        <v>5</v>
      </c>
      <c r="U153" s="56">
        <v>1</v>
      </c>
      <c r="V153" s="56">
        <v>1</v>
      </c>
      <c r="W153" s="56">
        <v>0</v>
      </c>
      <c r="X153" s="56">
        <v>0</v>
      </c>
      <c r="Y153" s="56">
        <v>0</v>
      </c>
      <c r="Z153" s="56">
        <v>0</v>
      </c>
      <c r="AA153" s="56">
        <v>0</v>
      </c>
      <c r="AB153" s="56"/>
      <c r="AC153" s="58">
        <v>45905</v>
      </c>
      <c r="AD153" s="59">
        <v>0.70138888889050577</v>
      </c>
      <c r="AE153" s="56" t="s">
        <v>3256</v>
      </c>
      <c r="AF153" s="58">
        <v>45918</v>
      </c>
      <c r="AG153" s="59">
        <v>0.38888888889050577</v>
      </c>
      <c r="AH153" s="56" t="s">
        <v>4376</v>
      </c>
      <c r="AI153" s="56" t="s">
        <v>4344</v>
      </c>
      <c r="AJ153" s="56" t="s">
        <v>64</v>
      </c>
      <c r="AK153" s="56" t="s">
        <v>64</v>
      </c>
      <c r="AL153" s="56" t="s">
        <v>3838</v>
      </c>
      <c r="AM153" s="60" t="s">
        <v>65</v>
      </c>
      <c r="AN153" s="60" t="s">
        <v>4061</v>
      </c>
      <c r="AO153" s="60"/>
      <c r="AP153" s="61"/>
    </row>
    <row r="154" spans="3:42" ht="14.25" customHeight="1">
      <c r="C154" s="55">
        <f>IF($X154=1,COUNTIF($C$10:C153,"&gt;0")+1,"")</f>
        <v>71</v>
      </c>
      <c r="D154" s="56">
        <v>15262396</v>
      </c>
      <c r="E154" s="56" t="s">
        <v>4339</v>
      </c>
      <c r="F154" s="57" t="s">
        <v>4381</v>
      </c>
      <c r="G154" s="56" t="s">
        <v>4381</v>
      </c>
      <c r="H154" s="56" t="s">
        <v>4382</v>
      </c>
      <c r="I154" s="56" t="s">
        <v>1397</v>
      </c>
      <c r="J154" s="56" t="s">
        <v>68</v>
      </c>
      <c r="K154" s="56" t="s">
        <v>59</v>
      </c>
      <c r="L154" s="58">
        <v>22926</v>
      </c>
      <c r="M154" s="56">
        <v>62</v>
      </c>
      <c r="N154" s="56" t="s">
        <v>4383</v>
      </c>
      <c r="O154" s="58">
        <v>48134</v>
      </c>
      <c r="P154" s="56" t="s">
        <v>5</v>
      </c>
      <c r="Q154" s="56"/>
      <c r="R154" s="162">
        <v>45913</v>
      </c>
      <c r="S154" s="163">
        <v>45918</v>
      </c>
      <c r="T154" s="164">
        <f t="shared" si="2"/>
        <v>5</v>
      </c>
      <c r="U154" s="56">
        <v>1</v>
      </c>
      <c r="V154" s="56">
        <v>1</v>
      </c>
      <c r="W154" s="56">
        <v>0</v>
      </c>
      <c r="X154" s="56">
        <v>1</v>
      </c>
      <c r="Y154" s="56">
        <v>0</v>
      </c>
      <c r="Z154" s="56">
        <v>0</v>
      </c>
      <c r="AA154" s="56">
        <v>1</v>
      </c>
      <c r="AB154" s="56"/>
      <c r="AC154" s="58">
        <v>45910</v>
      </c>
      <c r="AD154" s="59">
        <v>0.20138888889050577</v>
      </c>
      <c r="AE154" s="56" t="s">
        <v>4384</v>
      </c>
      <c r="AF154" s="58">
        <v>45924</v>
      </c>
      <c r="AG154" s="59">
        <v>0.92013888889050577</v>
      </c>
      <c r="AH154" s="56" t="s">
        <v>2064</v>
      </c>
      <c r="AI154" s="56" t="s">
        <v>4344</v>
      </c>
      <c r="AJ154" s="56" t="s">
        <v>64</v>
      </c>
      <c r="AK154" s="56" t="s">
        <v>64</v>
      </c>
      <c r="AL154" s="56" t="s">
        <v>3838</v>
      </c>
      <c r="AM154" s="60" t="s">
        <v>65</v>
      </c>
      <c r="AN154" s="60" t="s">
        <v>4061</v>
      </c>
      <c r="AO154" s="60"/>
      <c r="AP154" s="61"/>
    </row>
    <row r="155" spans="3:42" ht="14.25" customHeight="1">
      <c r="C155" s="55" t="str">
        <f>IF($X155=1,COUNTIF($C$10:C154,"&gt;0")+1,"")</f>
        <v/>
      </c>
      <c r="D155" s="56"/>
      <c r="E155" s="56" t="s">
        <v>4339</v>
      </c>
      <c r="F155" s="57" t="s">
        <v>4385</v>
      </c>
      <c r="G155" s="56" t="s">
        <v>4381</v>
      </c>
      <c r="H155" s="56" t="s">
        <v>4386</v>
      </c>
      <c r="I155" s="56" t="s">
        <v>2668</v>
      </c>
      <c r="J155" s="56" t="s">
        <v>68</v>
      </c>
      <c r="K155" s="56" t="s">
        <v>59</v>
      </c>
      <c r="L155" s="58">
        <v>27943</v>
      </c>
      <c r="M155" s="56">
        <v>49</v>
      </c>
      <c r="N155" s="56" t="s">
        <v>4387</v>
      </c>
      <c r="O155" s="58">
        <v>49141</v>
      </c>
      <c r="P155" s="56" t="s">
        <v>5</v>
      </c>
      <c r="Q155" s="56"/>
      <c r="R155" s="162">
        <v>45913</v>
      </c>
      <c r="S155" s="163">
        <v>45918</v>
      </c>
      <c r="T155" s="164">
        <f t="shared" si="2"/>
        <v>5</v>
      </c>
      <c r="U155" s="56">
        <v>1</v>
      </c>
      <c r="V155" s="56">
        <v>1</v>
      </c>
      <c r="W155" s="56">
        <v>0</v>
      </c>
      <c r="X155" s="56">
        <v>0</v>
      </c>
      <c r="Y155" s="56">
        <v>0</v>
      </c>
      <c r="Z155" s="56">
        <v>0</v>
      </c>
      <c r="AA155" s="56">
        <v>0</v>
      </c>
      <c r="AB155" s="56"/>
      <c r="AC155" s="58">
        <v>45908</v>
      </c>
      <c r="AD155" s="59">
        <v>0.70138888889050577</v>
      </c>
      <c r="AE155" s="56" t="s">
        <v>3256</v>
      </c>
      <c r="AF155" s="58">
        <v>45924</v>
      </c>
      <c r="AG155" s="59">
        <v>0.38888888889050577</v>
      </c>
      <c r="AH155" s="56" t="s">
        <v>4376</v>
      </c>
      <c r="AI155" s="56" t="s">
        <v>4344</v>
      </c>
      <c r="AJ155" s="56" t="s">
        <v>64</v>
      </c>
      <c r="AK155" s="56" t="s">
        <v>64</v>
      </c>
      <c r="AL155" s="56" t="s">
        <v>3838</v>
      </c>
      <c r="AM155" s="60" t="s">
        <v>65</v>
      </c>
      <c r="AN155" s="60" t="s">
        <v>4061</v>
      </c>
      <c r="AO155" s="60"/>
      <c r="AP155" s="61"/>
    </row>
    <row r="156" spans="3:42" ht="14.25" customHeight="1">
      <c r="C156" s="55">
        <f>IF($X156=1,COUNTIF($C$10:C155,"&gt;0")+1,"")</f>
        <v>72</v>
      </c>
      <c r="D156" s="56">
        <v>15262397</v>
      </c>
      <c r="E156" s="56" t="s">
        <v>4339</v>
      </c>
      <c r="F156" s="57" t="s">
        <v>4388</v>
      </c>
      <c r="G156" s="56" t="s">
        <v>4388</v>
      </c>
      <c r="H156" s="56" t="s">
        <v>4389</v>
      </c>
      <c r="I156" s="56" t="s">
        <v>3981</v>
      </c>
      <c r="J156" s="56" t="s">
        <v>68</v>
      </c>
      <c r="K156" s="56" t="s">
        <v>59</v>
      </c>
      <c r="L156" s="58">
        <v>23519</v>
      </c>
      <c r="M156" s="56">
        <v>61</v>
      </c>
      <c r="N156" s="56" t="s">
        <v>4390</v>
      </c>
      <c r="O156" s="58">
        <v>48549</v>
      </c>
      <c r="P156" s="56" t="s">
        <v>4</v>
      </c>
      <c r="Q156" s="56"/>
      <c r="R156" s="162">
        <v>45913</v>
      </c>
      <c r="S156" s="163">
        <v>45918</v>
      </c>
      <c r="T156" s="164">
        <f t="shared" si="2"/>
        <v>5</v>
      </c>
      <c r="U156" s="56">
        <v>1</v>
      </c>
      <c r="V156" s="56">
        <v>1</v>
      </c>
      <c r="W156" s="56">
        <v>0</v>
      </c>
      <c r="X156" s="56">
        <v>1</v>
      </c>
      <c r="Y156" s="56">
        <v>0</v>
      </c>
      <c r="Z156" s="56">
        <v>1</v>
      </c>
      <c r="AA156" s="56">
        <v>0</v>
      </c>
      <c r="AB156" s="56"/>
      <c r="AC156" s="58">
        <v>45903</v>
      </c>
      <c r="AD156" s="59">
        <v>0.70138888889050577</v>
      </c>
      <c r="AE156" s="56" t="s">
        <v>4391</v>
      </c>
      <c r="AF156" s="58">
        <v>45918</v>
      </c>
      <c r="AG156" s="59">
        <v>0.87847222221898846</v>
      </c>
      <c r="AH156" s="56" t="s">
        <v>4392</v>
      </c>
      <c r="AI156" s="56" t="s">
        <v>4344</v>
      </c>
      <c r="AJ156" s="56" t="s">
        <v>64</v>
      </c>
      <c r="AK156" s="56" t="s">
        <v>64</v>
      </c>
      <c r="AL156" s="56" t="s">
        <v>3838</v>
      </c>
      <c r="AM156" s="60" t="s">
        <v>65</v>
      </c>
      <c r="AN156" s="60" t="s">
        <v>3974</v>
      </c>
      <c r="AO156" s="60"/>
      <c r="AP156" s="61"/>
    </row>
    <row r="157" spans="3:42" ht="14.25" customHeight="1">
      <c r="C157" s="55" t="str">
        <f>IF($X157=1,COUNTIF($C$10:C156,"&gt;0")+1,"")</f>
        <v/>
      </c>
      <c r="D157" s="56"/>
      <c r="E157" s="56" t="s">
        <v>4339</v>
      </c>
      <c r="F157" s="57" t="s">
        <v>4393</v>
      </c>
      <c r="G157" s="56" t="s">
        <v>4388</v>
      </c>
      <c r="H157" s="56" t="s">
        <v>4394</v>
      </c>
      <c r="I157" s="56" t="s">
        <v>3981</v>
      </c>
      <c r="J157" s="56" t="s">
        <v>58</v>
      </c>
      <c r="K157" s="56" t="s">
        <v>59</v>
      </c>
      <c r="L157" s="58">
        <v>22296</v>
      </c>
      <c r="M157" s="56">
        <v>64</v>
      </c>
      <c r="N157" s="56" t="s">
        <v>4395</v>
      </c>
      <c r="O157" s="58">
        <v>48549</v>
      </c>
      <c r="P157" s="56" t="s">
        <v>4</v>
      </c>
      <c r="Q157" s="56"/>
      <c r="R157" s="162">
        <v>45913</v>
      </c>
      <c r="S157" s="163">
        <v>45918</v>
      </c>
      <c r="T157" s="164">
        <f t="shared" si="2"/>
        <v>5</v>
      </c>
      <c r="U157" s="56">
        <v>1</v>
      </c>
      <c r="V157" s="56">
        <v>1</v>
      </c>
      <c r="W157" s="56">
        <v>0</v>
      </c>
      <c r="X157" s="56">
        <v>0</v>
      </c>
      <c r="Y157" s="56">
        <v>0</v>
      </c>
      <c r="Z157" s="56">
        <v>0</v>
      </c>
      <c r="AA157" s="56">
        <v>0</v>
      </c>
      <c r="AB157" s="56"/>
      <c r="AC157" s="58">
        <v>45903</v>
      </c>
      <c r="AD157" s="59">
        <v>0.70138888889050577</v>
      </c>
      <c r="AE157" s="56" t="s">
        <v>4391</v>
      </c>
      <c r="AF157" s="58">
        <v>45918</v>
      </c>
      <c r="AG157" s="59">
        <v>0.87847222221898846</v>
      </c>
      <c r="AH157" s="56" t="s">
        <v>4392</v>
      </c>
      <c r="AI157" s="56" t="s">
        <v>4344</v>
      </c>
      <c r="AJ157" s="56" t="s">
        <v>64</v>
      </c>
      <c r="AK157" s="56" t="s">
        <v>64</v>
      </c>
      <c r="AL157" s="56" t="s">
        <v>3838</v>
      </c>
      <c r="AM157" s="60" t="s">
        <v>65</v>
      </c>
      <c r="AN157" s="60" t="s">
        <v>3974</v>
      </c>
      <c r="AO157" s="60"/>
      <c r="AP157" s="61"/>
    </row>
    <row r="158" spans="3:42" ht="14.25" customHeight="1">
      <c r="C158" s="55">
        <f>IF($X158=1,COUNTIF($C$10:C157,"&gt;0")+1,"")</f>
        <v>73</v>
      </c>
      <c r="D158" s="56">
        <v>15262398</v>
      </c>
      <c r="E158" s="56" t="s">
        <v>4339</v>
      </c>
      <c r="F158" s="57" t="s">
        <v>4396</v>
      </c>
      <c r="G158" s="56" t="s">
        <v>4396</v>
      </c>
      <c r="H158" s="56" t="s">
        <v>4397</v>
      </c>
      <c r="I158" s="56" t="s">
        <v>3981</v>
      </c>
      <c r="J158" s="56" t="s">
        <v>68</v>
      </c>
      <c r="K158" s="56" t="s">
        <v>59</v>
      </c>
      <c r="L158" s="58">
        <v>27099</v>
      </c>
      <c r="M158" s="56">
        <v>51</v>
      </c>
      <c r="N158" s="56" t="s">
        <v>4398</v>
      </c>
      <c r="O158" s="58">
        <v>49097</v>
      </c>
      <c r="P158" s="56" t="s">
        <v>5</v>
      </c>
      <c r="Q158" s="56"/>
      <c r="R158" s="162">
        <v>45913</v>
      </c>
      <c r="S158" s="163">
        <v>45918</v>
      </c>
      <c r="T158" s="164">
        <f t="shared" si="2"/>
        <v>5</v>
      </c>
      <c r="U158" s="56">
        <v>1</v>
      </c>
      <c r="V158" s="56">
        <v>1</v>
      </c>
      <c r="W158" s="56">
        <v>0</v>
      </c>
      <c r="X158" s="56">
        <v>1</v>
      </c>
      <c r="Y158" s="56">
        <v>0</v>
      </c>
      <c r="Z158" s="56">
        <v>0</v>
      </c>
      <c r="AA158" s="56">
        <v>1</v>
      </c>
      <c r="AB158" s="56"/>
      <c r="AC158" s="58">
        <v>45909</v>
      </c>
      <c r="AD158" s="59">
        <v>0.62152777778101154</v>
      </c>
      <c r="AE158" s="56" t="s">
        <v>268</v>
      </c>
      <c r="AF158" s="58">
        <v>45928</v>
      </c>
      <c r="AG158" s="59">
        <v>0.52777777778101154</v>
      </c>
      <c r="AH158" s="56" t="s">
        <v>842</v>
      </c>
      <c r="AI158" s="56" t="s">
        <v>4344</v>
      </c>
      <c r="AJ158" s="56" t="s">
        <v>64</v>
      </c>
      <c r="AK158" s="56" t="s">
        <v>64</v>
      </c>
      <c r="AL158" s="56" t="s">
        <v>3838</v>
      </c>
      <c r="AM158" s="60" t="s">
        <v>65</v>
      </c>
      <c r="AN158" s="60" t="s">
        <v>4061</v>
      </c>
      <c r="AO158" s="60"/>
      <c r="AP158" s="61"/>
    </row>
    <row r="159" spans="3:42" ht="14.25" customHeight="1">
      <c r="C159" s="55" t="str">
        <f>IF($X159=1,COUNTIF($C$10:C158,"&gt;0")+1,"")</f>
        <v/>
      </c>
      <c r="D159" s="56"/>
      <c r="E159" s="56" t="s">
        <v>4339</v>
      </c>
      <c r="F159" s="57" t="s">
        <v>4399</v>
      </c>
      <c r="G159" s="56" t="s">
        <v>4396</v>
      </c>
      <c r="H159" s="56" t="s">
        <v>4400</v>
      </c>
      <c r="I159" s="56" t="s">
        <v>4401</v>
      </c>
      <c r="J159" s="56" t="s">
        <v>68</v>
      </c>
      <c r="K159" s="56" t="s">
        <v>59</v>
      </c>
      <c r="L159" s="58">
        <v>26093</v>
      </c>
      <c r="M159" s="56">
        <v>54</v>
      </c>
      <c r="N159" s="56" t="s">
        <v>4402</v>
      </c>
      <c r="O159" s="58">
        <v>47478</v>
      </c>
      <c r="P159" s="56" t="s">
        <v>5</v>
      </c>
      <c r="Q159" s="56"/>
      <c r="R159" s="162">
        <v>45913</v>
      </c>
      <c r="S159" s="163">
        <v>45918</v>
      </c>
      <c r="T159" s="164">
        <f t="shared" si="2"/>
        <v>5</v>
      </c>
      <c r="U159" s="56">
        <v>1</v>
      </c>
      <c r="V159" s="56">
        <v>1</v>
      </c>
      <c r="W159" s="56">
        <v>0</v>
      </c>
      <c r="X159" s="56">
        <v>0</v>
      </c>
      <c r="Y159" s="56">
        <v>0</v>
      </c>
      <c r="Z159" s="56">
        <v>0</v>
      </c>
      <c r="AA159" s="56">
        <v>0</v>
      </c>
      <c r="AB159" s="56"/>
      <c r="AC159" s="58">
        <v>45913</v>
      </c>
      <c r="AD159" s="59">
        <v>0.62152777778101154</v>
      </c>
      <c r="AE159" s="56" t="s">
        <v>268</v>
      </c>
      <c r="AF159" s="58">
        <v>45921</v>
      </c>
      <c r="AG159" s="59">
        <v>0.52777777778101154</v>
      </c>
      <c r="AH159" s="56" t="s">
        <v>842</v>
      </c>
      <c r="AI159" s="56" t="s">
        <v>4344</v>
      </c>
      <c r="AJ159" s="56" t="s">
        <v>64</v>
      </c>
      <c r="AK159" s="56" t="s">
        <v>64</v>
      </c>
      <c r="AL159" s="56" t="s">
        <v>3838</v>
      </c>
      <c r="AM159" s="60" t="s">
        <v>65</v>
      </c>
      <c r="AN159" s="60" t="s">
        <v>4061</v>
      </c>
      <c r="AO159" s="60"/>
      <c r="AP159" s="61"/>
    </row>
    <row r="160" spans="3:42" ht="14.25" customHeight="1">
      <c r="C160" s="55">
        <f>IF($X160=1,COUNTIF($C$10:C159,"&gt;0")+1,"")</f>
        <v>74</v>
      </c>
      <c r="D160" s="56">
        <v>15262399</v>
      </c>
      <c r="E160" s="56" t="s">
        <v>4339</v>
      </c>
      <c r="F160" s="57" t="s">
        <v>4403</v>
      </c>
      <c r="G160" s="56" t="s">
        <v>4403</v>
      </c>
      <c r="H160" s="56" t="s">
        <v>4404</v>
      </c>
      <c r="I160" s="56" t="s">
        <v>4405</v>
      </c>
      <c r="J160" s="56" t="s">
        <v>68</v>
      </c>
      <c r="K160" s="56" t="s">
        <v>59</v>
      </c>
      <c r="L160" s="58">
        <v>36102</v>
      </c>
      <c r="M160" s="56">
        <v>26</v>
      </c>
      <c r="N160" s="56" t="s">
        <v>4406</v>
      </c>
      <c r="O160" s="58">
        <v>49175</v>
      </c>
      <c r="P160" s="56" t="s">
        <v>4</v>
      </c>
      <c r="Q160" s="56"/>
      <c r="R160" s="162">
        <v>45913</v>
      </c>
      <c r="S160" s="163">
        <v>45918</v>
      </c>
      <c r="T160" s="164">
        <f t="shared" si="2"/>
        <v>5</v>
      </c>
      <c r="U160" s="56">
        <v>1</v>
      </c>
      <c r="V160" s="56">
        <v>1</v>
      </c>
      <c r="W160" s="56">
        <v>0</v>
      </c>
      <c r="X160" s="56">
        <v>1</v>
      </c>
      <c r="Y160" s="56">
        <v>0</v>
      </c>
      <c r="Z160" s="56">
        <v>1</v>
      </c>
      <c r="AA160" s="56">
        <v>0</v>
      </c>
      <c r="AB160" s="56"/>
      <c r="AC160" s="58">
        <v>45913</v>
      </c>
      <c r="AD160" s="59">
        <v>0.58680555555474712</v>
      </c>
      <c r="AE160" s="56" t="s">
        <v>61</v>
      </c>
      <c r="AF160" s="58">
        <v>45918</v>
      </c>
      <c r="AG160" s="59">
        <v>0.83680555555474712</v>
      </c>
      <c r="AH160" s="56" t="s">
        <v>962</v>
      </c>
      <c r="AI160" s="56" t="s">
        <v>4344</v>
      </c>
      <c r="AJ160" s="56" t="s">
        <v>64</v>
      </c>
      <c r="AK160" s="56" t="s">
        <v>64</v>
      </c>
      <c r="AL160" s="56" t="s">
        <v>3838</v>
      </c>
      <c r="AM160" s="60" t="s">
        <v>65</v>
      </c>
      <c r="AN160" s="60" t="s">
        <v>3974</v>
      </c>
      <c r="AO160" s="60"/>
      <c r="AP160" s="61"/>
    </row>
    <row r="161" spans="3:42" ht="14.25" customHeight="1">
      <c r="C161" s="55" t="str">
        <f>IF($X161=1,COUNTIF($C$10:C160,"&gt;0")+1,"")</f>
        <v/>
      </c>
      <c r="D161" s="56"/>
      <c r="E161" s="56" t="s">
        <v>4339</v>
      </c>
      <c r="F161" s="57" t="s">
        <v>4407</v>
      </c>
      <c r="G161" s="56" t="s">
        <v>4403</v>
      </c>
      <c r="H161" s="56" t="s">
        <v>4408</v>
      </c>
      <c r="I161" s="56" t="s">
        <v>4405</v>
      </c>
      <c r="J161" s="56" t="s">
        <v>58</v>
      </c>
      <c r="K161" s="56" t="s">
        <v>59</v>
      </c>
      <c r="L161" s="58">
        <v>35858</v>
      </c>
      <c r="M161" s="56">
        <v>27</v>
      </c>
      <c r="N161" s="56" t="s">
        <v>4409</v>
      </c>
      <c r="O161" s="58">
        <v>46502</v>
      </c>
      <c r="P161" s="56" t="s">
        <v>4</v>
      </c>
      <c r="Q161" s="56"/>
      <c r="R161" s="162">
        <v>45913</v>
      </c>
      <c r="S161" s="163">
        <v>45918</v>
      </c>
      <c r="T161" s="164">
        <f t="shared" si="2"/>
        <v>5</v>
      </c>
      <c r="U161" s="56">
        <v>1</v>
      </c>
      <c r="V161" s="56">
        <v>1</v>
      </c>
      <c r="W161" s="56">
        <v>0</v>
      </c>
      <c r="X161" s="56">
        <v>0</v>
      </c>
      <c r="Y161" s="56">
        <v>0</v>
      </c>
      <c r="Z161" s="56">
        <v>0</v>
      </c>
      <c r="AA161" s="56">
        <v>0</v>
      </c>
      <c r="AB161" s="56"/>
      <c r="AC161" s="58">
        <v>45913</v>
      </c>
      <c r="AD161" s="59">
        <v>0.58680555555474712</v>
      </c>
      <c r="AE161" s="56" t="s">
        <v>61</v>
      </c>
      <c r="AF161" s="58">
        <v>45918</v>
      </c>
      <c r="AG161" s="59">
        <v>0.83680555555474712</v>
      </c>
      <c r="AH161" s="56" t="s">
        <v>962</v>
      </c>
      <c r="AI161" s="56" t="s">
        <v>4344</v>
      </c>
      <c r="AJ161" s="56" t="s">
        <v>64</v>
      </c>
      <c r="AK161" s="56" t="s">
        <v>64</v>
      </c>
      <c r="AL161" s="56" t="s">
        <v>3838</v>
      </c>
      <c r="AM161" s="60" t="s">
        <v>65</v>
      </c>
      <c r="AN161" s="60" t="s">
        <v>3974</v>
      </c>
      <c r="AO161" s="60"/>
      <c r="AP161" s="61"/>
    </row>
    <row r="162" spans="3:42" ht="14.25" customHeight="1">
      <c r="C162" s="55">
        <f>IF($X162=1,COUNTIF($C$10:C161,"&gt;0")+1,"")</f>
        <v>75</v>
      </c>
      <c r="D162" s="56">
        <v>15262400</v>
      </c>
      <c r="E162" s="56" t="s">
        <v>4339</v>
      </c>
      <c r="F162" s="57" t="s">
        <v>4410</v>
      </c>
      <c r="G162" s="56" t="s">
        <v>4403</v>
      </c>
      <c r="H162" s="56" t="s">
        <v>4411</v>
      </c>
      <c r="I162" s="56" t="s">
        <v>4412</v>
      </c>
      <c r="J162" s="56" t="s">
        <v>68</v>
      </c>
      <c r="K162" s="56" t="s">
        <v>59</v>
      </c>
      <c r="L162" s="58">
        <v>30261</v>
      </c>
      <c r="M162" s="56">
        <v>42</v>
      </c>
      <c r="N162" s="56" t="s">
        <v>4413</v>
      </c>
      <c r="O162" s="58">
        <v>46151</v>
      </c>
      <c r="P162" s="56" t="s">
        <v>5</v>
      </c>
      <c r="Q162" s="56"/>
      <c r="R162" s="162">
        <v>45913</v>
      </c>
      <c r="S162" s="163">
        <v>45918</v>
      </c>
      <c r="T162" s="164">
        <f t="shared" si="2"/>
        <v>5</v>
      </c>
      <c r="U162" s="56">
        <v>1</v>
      </c>
      <c r="V162" s="56">
        <v>1</v>
      </c>
      <c r="W162" s="56">
        <v>0</v>
      </c>
      <c r="X162" s="56">
        <v>1</v>
      </c>
      <c r="Y162" s="56">
        <v>0</v>
      </c>
      <c r="Z162" s="56">
        <v>0</v>
      </c>
      <c r="AA162" s="56">
        <v>1</v>
      </c>
      <c r="AB162" s="56"/>
      <c r="AC162" s="58">
        <v>45913</v>
      </c>
      <c r="AD162" s="59">
        <v>0.58680555555474712</v>
      </c>
      <c r="AE162" s="56" t="s">
        <v>61</v>
      </c>
      <c r="AF162" s="58">
        <v>45918</v>
      </c>
      <c r="AG162" s="59">
        <v>0.83680555555474712</v>
      </c>
      <c r="AH162" s="56" t="s">
        <v>962</v>
      </c>
      <c r="AI162" s="56" t="s">
        <v>4344</v>
      </c>
      <c r="AJ162" s="56" t="s">
        <v>64</v>
      </c>
      <c r="AK162" s="56" t="s">
        <v>64</v>
      </c>
      <c r="AL162" s="56" t="s">
        <v>3838</v>
      </c>
      <c r="AM162" s="60" t="s">
        <v>65</v>
      </c>
      <c r="AN162" s="60" t="s">
        <v>4061</v>
      </c>
      <c r="AO162" s="60"/>
      <c r="AP162" s="61"/>
    </row>
    <row r="163" spans="3:42" ht="14.25" customHeight="1">
      <c r="C163" s="55" t="str">
        <f>IF($X163=1,COUNTIF($C$10:C162,"&gt;0")+1,"")</f>
        <v/>
      </c>
      <c r="D163" s="56"/>
      <c r="E163" s="56" t="s">
        <v>4339</v>
      </c>
      <c r="F163" s="57" t="s">
        <v>4414</v>
      </c>
      <c r="G163" s="56" t="s">
        <v>4403</v>
      </c>
      <c r="H163" s="56" t="s">
        <v>4415</v>
      </c>
      <c r="I163" s="56" t="s">
        <v>4416</v>
      </c>
      <c r="J163" s="56" t="s">
        <v>68</v>
      </c>
      <c r="K163" s="56" t="s">
        <v>59</v>
      </c>
      <c r="L163" s="58">
        <v>22743</v>
      </c>
      <c r="M163" s="56">
        <v>63</v>
      </c>
      <c r="N163" s="56" t="s">
        <v>4417</v>
      </c>
      <c r="O163" s="58">
        <v>48918</v>
      </c>
      <c r="P163" s="56" t="s">
        <v>5</v>
      </c>
      <c r="Q163" s="56"/>
      <c r="R163" s="162">
        <v>45913</v>
      </c>
      <c r="S163" s="163">
        <v>45918</v>
      </c>
      <c r="T163" s="164">
        <f t="shared" si="2"/>
        <v>5</v>
      </c>
      <c r="U163" s="56">
        <v>1</v>
      </c>
      <c r="V163" s="56">
        <v>1</v>
      </c>
      <c r="W163" s="56">
        <v>0</v>
      </c>
      <c r="X163" s="56">
        <v>0</v>
      </c>
      <c r="Y163" s="56">
        <v>0</v>
      </c>
      <c r="Z163" s="56">
        <v>0</v>
      </c>
      <c r="AA163" s="56">
        <v>0</v>
      </c>
      <c r="AB163" s="56"/>
      <c r="AC163" s="58">
        <v>45913</v>
      </c>
      <c r="AD163" s="59">
        <v>0.58680555555474712</v>
      </c>
      <c r="AE163" s="56" t="s">
        <v>61</v>
      </c>
      <c r="AF163" s="58">
        <v>45918</v>
      </c>
      <c r="AG163" s="59">
        <v>0.83680555555474712</v>
      </c>
      <c r="AH163" s="56" t="s">
        <v>962</v>
      </c>
      <c r="AI163" s="56" t="s">
        <v>4344</v>
      </c>
      <c r="AJ163" s="56" t="s">
        <v>64</v>
      </c>
      <c r="AK163" s="56" t="s">
        <v>64</v>
      </c>
      <c r="AL163" s="56" t="s">
        <v>3838</v>
      </c>
      <c r="AM163" s="60" t="s">
        <v>65</v>
      </c>
      <c r="AN163" s="60" t="s">
        <v>4061</v>
      </c>
      <c r="AO163" s="60"/>
      <c r="AP163" s="61"/>
    </row>
    <row r="164" spans="3:42" ht="14.25" customHeight="1">
      <c r="C164" s="55">
        <f>IF($X164=1,COUNTIF($C$10:C163,"&gt;0")+1,"")</f>
        <v>76</v>
      </c>
      <c r="D164" s="56">
        <v>15262401</v>
      </c>
      <c r="E164" s="56" t="s">
        <v>4339</v>
      </c>
      <c r="F164" s="57" t="s">
        <v>4418</v>
      </c>
      <c r="G164" s="56" t="s">
        <v>4418</v>
      </c>
      <c r="H164" s="56" t="s">
        <v>4419</v>
      </c>
      <c r="I164" s="56" t="s">
        <v>333</v>
      </c>
      <c r="J164" s="56" t="s">
        <v>68</v>
      </c>
      <c r="K164" s="56" t="s">
        <v>59</v>
      </c>
      <c r="L164" s="58">
        <v>26381</v>
      </c>
      <c r="M164" s="56">
        <v>53</v>
      </c>
      <c r="N164" s="56" t="s">
        <v>4420</v>
      </c>
      <c r="O164" s="58">
        <v>47282</v>
      </c>
      <c r="P164" s="56" t="s">
        <v>4</v>
      </c>
      <c r="Q164" s="56"/>
      <c r="R164" s="162">
        <v>45913</v>
      </c>
      <c r="S164" s="163">
        <v>45918</v>
      </c>
      <c r="T164" s="164">
        <f t="shared" si="2"/>
        <v>5</v>
      </c>
      <c r="U164" s="56">
        <v>1</v>
      </c>
      <c r="V164" s="56">
        <v>1</v>
      </c>
      <c r="W164" s="56">
        <v>0</v>
      </c>
      <c r="X164" s="56">
        <v>1</v>
      </c>
      <c r="Y164" s="56">
        <v>0</v>
      </c>
      <c r="Z164" s="56">
        <v>1</v>
      </c>
      <c r="AA164" s="56">
        <v>0</v>
      </c>
      <c r="AB164" s="56"/>
      <c r="AC164" s="58">
        <v>45913</v>
      </c>
      <c r="AD164" s="59">
        <v>0.67708333333575865</v>
      </c>
      <c r="AE164" s="56" t="s">
        <v>3983</v>
      </c>
      <c r="AF164" s="58">
        <v>45918</v>
      </c>
      <c r="AG164" s="59">
        <v>0.44444444444525288</v>
      </c>
      <c r="AH164" s="56" t="s">
        <v>4421</v>
      </c>
      <c r="AI164" s="56" t="s">
        <v>4344</v>
      </c>
      <c r="AJ164" s="56" t="s">
        <v>64</v>
      </c>
      <c r="AK164" s="56" t="s">
        <v>64</v>
      </c>
      <c r="AL164" s="56" t="s">
        <v>3838</v>
      </c>
      <c r="AM164" s="60" t="s">
        <v>65</v>
      </c>
      <c r="AN164" s="60" t="s">
        <v>3974</v>
      </c>
      <c r="AO164" s="60"/>
      <c r="AP164" s="61"/>
    </row>
    <row r="165" spans="3:42" ht="14.25" customHeight="1">
      <c r="C165" s="55" t="str">
        <f>IF($X165=1,COUNTIF($C$10:C164,"&gt;0")+1,"")</f>
        <v/>
      </c>
      <c r="D165" s="56"/>
      <c r="E165" s="56" t="s">
        <v>4339</v>
      </c>
      <c r="F165" s="57" t="s">
        <v>4422</v>
      </c>
      <c r="G165" s="56" t="s">
        <v>4418</v>
      </c>
      <c r="H165" s="56" t="s">
        <v>4423</v>
      </c>
      <c r="I165" s="56" t="s">
        <v>333</v>
      </c>
      <c r="J165" s="56" t="s">
        <v>58</v>
      </c>
      <c r="K165" s="56" t="s">
        <v>59</v>
      </c>
      <c r="L165" s="58">
        <v>27351</v>
      </c>
      <c r="M165" s="56">
        <v>50</v>
      </c>
      <c r="N165" s="56" t="s">
        <v>4424</v>
      </c>
      <c r="O165" s="58">
        <v>47282</v>
      </c>
      <c r="P165" s="56" t="s">
        <v>4</v>
      </c>
      <c r="Q165" s="56"/>
      <c r="R165" s="162">
        <v>45913</v>
      </c>
      <c r="S165" s="163">
        <v>45918</v>
      </c>
      <c r="T165" s="164">
        <f t="shared" si="2"/>
        <v>5</v>
      </c>
      <c r="U165" s="56">
        <v>1</v>
      </c>
      <c r="V165" s="56">
        <v>1</v>
      </c>
      <c r="W165" s="56">
        <v>0</v>
      </c>
      <c r="X165" s="56">
        <v>0</v>
      </c>
      <c r="Y165" s="56">
        <v>0</v>
      </c>
      <c r="Z165" s="56">
        <v>0</v>
      </c>
      <c r="AA165" s="56">
        <v>0</v>
      </c>
      <c r="AB165" s="56"/>
      <c r="AC165" s="58">
        <v>45913</v>
      </c>
      <c r="AD165" s="59">
        <v>0.67708333333575865</v>
      </c>
      <c r="AE165" s="56" t="s">
        <v>3983</v>
      </c>
      <c r="AF165" s="58">
        <v>45918</v>
      </c>
      <c r="AG165" s="59">
        <v>0.44444444444525288</v>
      </c>
      <c r="AH165" s="56" t="s">
        <v>4421</v>
      </c>
      <c r="AI165" s="56" t="s">
        <v>4344</v>
      </c>
      <c r="AJ165" s="56" t="s">
        <v>64</v>
      </c>
      <c r="AK165" s="56" t="s">
        <v>64</v>
      </c>
      <c r="AL165" s="56" t="s">
        <v>3838</v>
      </c>
      <c r="AM165" s="60" t="s">
        <v>65</v>
      </c>
      <c r="AN165" s="60" t="s">
        <v>3974</v>
      </c>
      <c r="AO165" s="60"/>
      <c r="AP165" s="61"/>
    </row>
    <row r="166" spans="3:42" ht="14.25" customHeight="1">
      <c r="C166" s="55">
        <f>IF($X166=1,COUNTIF($C$10:C165,"&gt;0")+1,"")</f>
        <v>77</v>
      </c>
      <c r="D166" s="56">
        <v>15262402</v>
      </c>
      <c r="E166" s="56" t="s">
        <v>4339</v>
      </c>
      <c r="F166" s="57" t="s">
        <v>4425</v>
      </c>
      <c r="G166" s="56" t="s">
        <v>4425</v>
      </c>
      <c r="H166" s="56" t="s">
        <v>4426</v>
      </c>
      <c r="I166" s="56" t="s">
        <v>4427</v>
      </c>
      <c r="J166" s="56" t="s">
        <v>58</v>
      </c>
      <c r="K166" s="56" t="s">
        <v>3888</v>
      </c>
      <c r="L166" s="58">
        <v>30810</v>
      </c>
      <c r="M166" s="56">
        <v>41</v>
      </c>
      <c r="N166" s="56" t="s">
        <v>4428</v>
      </c>
      <c r="O166" s="58">
        <v>47422</v>
      </c>
      <c r="P166" s="56" t="s">
        <v>5</v>
      </c>
      <c r="Q166" s="56"/>
      <c r="R166" s="162">
        <v>45913</v>
      </c>
      <c r="S166" s="163">
        <v>45918</v>
      </c>
      <c r="T166" s="164">
        <f t="shared" si="2"/>
        <v>5</v>
      </c>
      <c r="U166" s="56">
        <v>1</v>
      </c>
      <c r="V166" s="56">
        <v>1</v>
      </c>
      <c r="W166" s="56">
        <v>0</v>
      </c>
      <c r="X166" s="56">
        <v>1</v>
      </c>
      <c r="Y166" s="56">
        <v>0</v>
      </c>
      <c r="Z166" s="56">
        <v>0</v>
      </c>
      <c r="AA166" s="56">
        <v>1</v>
      </c>
      <c r="AB166" s="56"/>
      <c r="AC166" s="58">
        <v>45912</v>
      </c>
      <c r="AD166" s="59">
        <v>0.65625</v>
      </c>
      <c r="AE166" s="56" t="s">
        <v>1385</v>
      </c>
      <c r="AF166" s="58">
        <v>45918</v>
      </c>
      <c r="AG166" s="59">
        <v>0.53125</v>
      </c>
      <c r="AH166" s="56" t="s">
        <v>269</v>
      </c>
      <c r="AI166" s="56" t="s">
        <v>4344</v>
      </c>
      <c r="AJ166" s="56" t="s">
        <v>64</v>
      </c>
      <c r="AK166" s="56" t="s">
        <v>64</v>
      </c>
      <c r="AL166" s="56" t="s">
        <v>3838</v>
      </c>
      <c r="AM166" s="60" t="s">
        <v>65</v>
      </c>
      <c r="AN166" s="60" t="s">
        <v>3967</v>
      </c>
      <c r="AO166" s="60"/>
      <c r="AP166" s="61"/>
    </row>
    <row r="167" spans="3:42" ht="14.25" customHeight="1">
      <c r="C167" s="55" t="str">
        <f>IF($X167=1,COUNTIF($C$10:C166,"&gt;0")+1,"")</f>
        <v/>
      </c>
      <c r="D167" s="56"/>
      <c r="E167" s="56" t="s">
        <v>4339</v>
      </c>
      <c r="F167" s="57" t="s">
        <v>4429</v>
      </c>
      <c r="G167" s="56" t="s">
        <v>4425</v>
      </c>
      <c r="H167" s="56" t="s">
        <v>4430</v>
      </c>
      <c r="I167" s="56" t="s">
        <v>4431</v>
      </c>
      <c r="J167" s="56" t="s">
        <v>58</v>
      </c>
      <c r="K167" s="56" t="s">
        <v>59</v>
      </c>
      <c r="L167" s="58">
        <v>38120</v>
      </c>
      <c r="M167" s="56">
        <v>21</v>
      </c>
      <c r="N167" s="56" t="s">
        <v>64</v>
      </c>
      <c r="O167" s="58" t="s">
        <v>64</v>
      </c>
      <c r="P167" s="56" t="s">
        <v>5</v>
      </c>
      <c r="Q167" s="56"/>
      <c r="R167" s="162">
        <v>45913</v>
      </c>
      <c r="S167" s="163">
        <v>45918</v>
      </c>
      <c r="T167" s="164">
        <f t="shared" si="2"/>
        <v>5</v>
      </c>
      <c r="U167" s="56">
        <v>1</v>
      </c>
      <c r="V167" s="56">
        <v>1</v>
      </c>
      <c r="W167" s="56">
        <v>0</v>
      </c>
      <c r="X167" s="56">
        <v>0</v>
      </c>
      <c r="Y167" s="56">
        <v>0</v>
      </c>
      <c r="Z167" s="56">
        <v>0</v>
      </c>
      <c r="AA167" s="56">
        <v>0</v>
      </c>
      <c r="AB167" s="56"/>
      <c r="AC167" s="69">
        <v>45913</v>
      </c>
      <c r="AD167" s="70">
        <v>0.48263888889050577</v>
      </c>
      <c r="AE167" s="71" t="s">
        <v>4432</v>
      </c>
      <c r="AF167" s="69">
        <v>45918</v>
      </c>
      <c r="AG167" s="70">
        <v>0.54513888889050577</v>
      </c>
      <c r="AH167" s="71" t="s">
        <v>2578</v>
      </c>
      <c r="AI167" s="56" t="s">
        <v>4344</v>
      </c>
      <c r="AJ167" s="56" t="s">
        <v>64</v>
      </c>
      <c r="AK167" s="56" t="s">
        <v>64</v>
      </c>
      <c r="AL167" s="56" t="s">
        <v>3838</v>
      </c>
      <c r="AM167" s="60" t="s">
        <v>65</v>
      </c>
      <c r="AN167" s="60" t="s">
        <v>3967</v>
      </c>
      <c r="AO167" s="60"/>
      <c r="AP167" s="61"/>
    </row>
    <row r="168" spans="3:42" ht="14.25" customHeight="1">
      <c r="C168" s="55">
        <f>IF($X168=1,COUNTIF($C$10:C167,"&gt;0")+1,"")</f>
        <v>78</v>
      </c>
      <c r="D168" s="56">
        <v>15262403</v>
      </c>
      <c r="E168" s="56" t="s">
        <v>4339</v>
      </c>
      <c r="F168" s="57" t="s">
        <v>4433</v>
      </c>
      <c r="G168" s="56" t="s">
        <v>4433</v>
      </c>
      <c r="H168" s="56" t="s">
        <v>4434</v>
      </c>
      <c r="I168" s="56" t="s">
        <v>4435</v>
      </c>
      <c r="J168" s="56" t="s">
        <v>58</v>
      </c>
      <c r="K168" s="56" t="s">
        <v>59</v>
      </c>
      <c r="L168" s="58">
        <v>22177</v>
      </c>
      <c r="M168" s="56">
        <v>65</v>
      </c>
      <c r="N168" s="56" t="s">
        <v>4436</v>
      </c>
      <c r="O168" s="58">
        <v>46187</v>
      </c>
      <c r="P168" s="56" t="s">
        <v>4</v>
      </c>
      <c r="Q168" s="56"/>
      <c r="R168" s="162">
        <v>45913</v>
      </c>
      <c r="S168" s="163">
        <v>45918</v>
      </c>
      <c r="T168" s="164">
        <f t="shared" si="2"/>
        <v>5</v>
      </c>
      <c r="U168" s="56">
        <v>1</v>
      </c>
      <c r="V168" s="56">
        <v>1</v>
      </c>
      <c r="W168" s="56">
        <v>0</v>
      </c>
      <c r="X168" s="56">
        <v>1</v>
      </c>
      <c r="Y168" s="56">
        <v>0</v>
      </c>
      <c r="Z168" s="56">
        <v>1</v>
      </c>
      <c r="AA168" s="56">
        <v>0</v>
      </c>
      <c r="AB168" s="56"/>
      <c r="AC168" s="58">
        <v>45913</v>
      </c>
      <c r="AD168" s="59">
        <v>0.67708333333575865</v>
      </c>
      <c r="AE168" s="56" t="s">
        <v>3983</v>
      </c>
      <c r="AF168" s="58">
        <v>45918</v>
      </c>
      <c r="AG168" s="59">
        <v>0.34722222221898846</v>
      </c>
      <c r="AH168" s="56" t="s">
        <v>4006</v>
      </c>
      <c r="AI168" s="56" t="s">
        <v>4344</v>
      </c>
      <c r="AJ168" s="56" t="s">
        <v>64</v>
      </c>
      <c r="AK168" s="56" t="s">
        <v>64</v>
      </c>
      <c r="AL168" s="56" t="s">
        <v>3838</v>
      </c>
      <c r="AM168" s="60" t="s">
        <v>65</v>
      </c>
      <c r="AN168" s="60" t="s">
        <v>3974</v>
      </c>
      <c r="AO168" s="60"/>
      <c r="AP168" s="61"/>
    </row>
    <row r="169" spans="3:42" ht="14.25" customHeight="1">
      <c r="C169" s="55" t="str">
        <f>IF($X169=1,COUNTIF($C$10:C168,"&gt;0")+1,"")</f>
        <v/>
      </c>
      <c r="D169" s="56"/>
      <c r="E169" s="56" t="s">
        <v>4339</v>
      </c>
      <c r="F169" s="57" t="s">
        <v>4437</v>
      </c>
      <c r="G169" s="56" t="s">
        <v>4433</v>
      </c>
      <c r="H169" s="56" t="s">
        <v>4438</v>
      </c>
      <c r="I169" s="56" t="s">
        <v>4439</v>
      </c>
      <c r="J169" s="56" t="s">
        <v>68</v>
      </c>
      <c r="K169" s="56" t="s">
        <v>59</v>
      </c>
      <c r="L169" s="58">
        <v>23015</v>
      </c>
      <c r="M169" s="56">
        <v>62</v>
      </c>
      <c r="N169" s="56" t="s">
        <v>4440</v>
      </c>
      <c r="O169" s="58">
        <v>49505</v>
      </c>
      <c r="P169" s="56" t="s">
        <v>4</v>
      </c>
      <c r="Q169" s="56"/>
      <c r="R169" s="162">
        <v>45913</v>
      </c>
      <c r="S169" s="163">
        <v>45918</v>
      </c>
      <c r="T169" s="164">
        <f t="shared" si="2"/>
        <v>5</v>
      </c>
      <c r="U169" s="56">
        <v>1</v>
      </c>
      <c r="V169" s="56">
        <v>1</v>
      </c>
      <c r="W169" s="56">
        <v>0</v>
      </c>
      <c r="X169" s="56">
        <v>0</v>
      </c>
      <c r="Y169" s="56">
        <v>0</v>
      </c>
      <c r="Z169" s="56">
        <v>0</v>
      </c>
      <c r="AA169" s="56">
        <v>0</v>
      </c>
      <c r="AB169" s="56"/>
      <c r="AC169" s="58">
        <v>45913</v>
      </c>
      <c r="AD169" s="59">
        <v>0.67708333333575865</v>
      </c>
      <c r="AE169" s="56" t="s">
        <v>3983</v>
      </c>
      <c r="AF169" s="58">
        <v>45918</v>
      </c>
      <c r="AG169" s="59">
        <v>0.34722222221898846</v>
      </c>
      <c r="AH169" s="56" t="s">
        <v>4006</v>
      </c>
      <c r="AI169" s="56" t="s">
        <v>4344</v>
      </c>
      <c r="AJ169" s="56" t="s">
        <v>64</v>
      </c>
      <c r="AK169" s="56" t="s">
        <v>64</v>
      </c>
      <c r="AL169" s="56" t="s">
        <v>3838</v>
      </c>
      <c r="AM169" s="60" t="s">
        <v>65</v>
      </c>
      <c r="AN169" s="60" t="s">
        <v>3974</v>
      </c>
      <c r="AO169" s="60"/>
      <c r="AP169" s="61"/>
    </row>
    <row r="170" spans="3:42" ht="14.25" customHeight="1">
      <c r="C170" s="55">
        <f>IF($X170=1,COUNTIF($C$10:C169,"&gt;0")+1,"")</f>
        <v>79</v>
      </c>
      <c r="D170" s="56">
        <v>15262404</v>
      </c>
      <c r="E170" s="56" t="s">
        <v>4339</v>
      </c>
      <c r="F170" s="57" t="s">
        <v>4441</v>
      </c>
      <c r="G170" s="56" t="s">
        <v>4441</v>
      </c>
      <c r="H170" s="56" t="s">
        <v>4442</v>
      </c>
      <c r="I170" s="56" t="s">
        <v>4443</v>
      </c>
      <c r="J170" s="56" t="s">
        <v>58</v>
      </c>
      <c r="K170" s="56" t="s">
        <v>59</v>
      </c>
      <c r="L170" s="58">
        <v>23986</v>
      </c>
      <c r="M170" s="56">
        <v>60</v>
      </c>
      <c r="N170" s="56" t="s">
        <v>4444</v>
      </c>
      <c r="O170" s="58">
        <v>49296</v>
      </c>
      <c r="P170" s="56" t="s">
        <v>4</v>
      </c>
      <c r="Q170" s="56"/>
      <c r="R170" s="162">
        <v>45913</v>
      </c>
      <c r="S170" s="163">
        <v>45918</v>
      </c>
      <c r="T170" s="164">
        <f t="shared" si="2"/>
        <v>5</v>
      </c>
      <c r="U170" s="56">
        <v>1</v>
      </c>
      <c r="V170" s="56">
        <v>1</v>
      </c>
      <c r="W170" s="56">
        <v>0</v>
      </c>
      <c r="X170" s="56">
        <v>1</v>
      </c>
      <c r="Y170" s="56">
        <v>0</v>
      </c>
      <c r="Z170" s="56">
        <v>1</v>
      </c>
      <c r="AA170" s="56">
        <v>0</v>
      </c>
      <c r="AB170" s="56"/>
      <c r="AC170" s="58">
        <v>45913</v>
      </c>
      <c r="AD170" s="59">
        <v>0.67708333333575865</v>
      </c>
      <c r="AE170" s="56" t="s">
        <v>3983</v>
      </c>
      <c r="AF170" s="58">
        <v>45920</v>
      </c>
      <c r="AG170" s="59">
        <v>0.86111111110949423</v>
      </c>
      <c r="AH170" s="56" t="s">
        <v>1292</v>
      </c>
      <c r="AI170" s="56" t="s">
        <v>4344</v>
      </c>
      <c r="AJ170" s="56" t="s">
        <v>598</v>
      </c>
      <c r="AK170" s="56" t="s">
        <v>3837</v>
      </c>
      <c r="AL170" s="56" t="s">
        <v>3838</v>
      </c>
      <c r="AM170" s="60" t="s">
        <v>65</v>
      </c>
      <c r="AN170" s="60" t="s">
        <v>3839</v>
      </c>
      <c r="AO170" s="60"/>
      <c r="AP170" s="61"/>
    </row>
    <row r="171" spans="3:42" ht="14.25" customHeight="1">
      <c r="C171" s="55" t="str">
        <f>IF($X171=1,COUNTIF($C$10:C170,"&gt;0")+1,"")</f>
        <v/>
      </c>
      <c r="D171" s="56"/>
      <c r="E171" s="56" t="s">
        <v>4339</v>
      </c>
      <c r="F171" s="57" t="s">
        <v>4445</v>
      </c>
      <c r="G171" s="56" t="s">
        <v>4441</v>
      </c>
      <c r="H171" s="56" t="s">
        <v>4446</v>
      </c>
      <c r="I171" s="56" t="s">
        <v>4443</v>
      </c>
      <c r="J171" s="56" t="s">
        <v>68</v>
      </c>
      <c r="K171" s="56" t="s">
        <v>59</v>
      </c>
      <c r="L171" s="58">
        <v>24810</v>
      </c>
      <c r="M171" s="56">
        <v>57</v>
      </c>
      <c r="N171" s="56" t="s">
        <v>4447</v>
      </c>
      <c r="O171" s="58">
        <v>48760</v>
      </c>
      <c r="P171" s="56" t="s">
        <v>4</v>
      </c>
      <c r="Q171" s="56"/>
      <c r="R171" s="162">
        <v>45913</v>
      </c>
      <c r="S171" s="163">
        <v>45918</v>
      </c>
      <c r="T171" s="164">
        <f t="shared" si="2"/>
        <v>5</v>
      </c>
      <c r="U171" s="56">
        <v>1</v>
      </c>
      <c r="V171" s="56">
        <v>1</v>
      </c>
      <c r="W171" s="56">
        <v>0</v>
      </c>
      <c r="X171" s="56">
        <v>0</v>
      </c>
      <c r="Y171" s="56">
        <v>0</v>
      </c>
      <c r="Z171" s="56">
        <v>0</v>
      </c>
      <c r="AA171" s="56">
        <v>0</v>
      </c>
      <c r="AB171" s="56"/>
      <c r="AC171" s="58">
        <v>45913</v>
      </c>
      <c r="AD171" s="59">
        <v>0.67708333333575865</v>
      </c>
      <c r="AE171" s="56" t="s">
        <v>3983</v>
      </c>
      <c r="AF171" s="58">
        <v>45920</v>
      </c>
      <c r="AG171" s="59">
        <v>0.86111111110949423</v>
      </c>
      <c r="AH171" s="56" t="s">
        <v>1292</v>
      </c>
      <c r="AI171" s="56" t="s">
        <v>4344</v>
      </c>
      <c r="AJ171" s="56" t="s">
        <v>64</v>
      </c>
      <c r="AK171" s="56" t="s">
        <v>64</v>
      </c>
      <c r="AL171" s="56" t="s">
        <v>3838</v>
      </c>
      <c r="AM171" s="60" t="s">
        <v>65</v>
      </c>
      <c r="AN171" s="60" t="s">
        <v>3839</v>
      </c>
      <c r="AO171" s="60"/>
      <c r="AP171" s="61"/>
    </row>
    <row r="172" spans="3:42" ht="14.25" customHeight="1">
      <c r="C172" s="55">
        <f>IF($X172=1,COUNTIF($C$10:C171,"&gt;0")+1,"")</f>
        <v>80</v>
      </c>
      <c r="D172" s="56">
        <v>15262405</v>
      </c>
      <c r="E172" s="56" t="s">
        <v>4339</v>
      </c>
      <c r="F172" s="57" t="s">
        <v>4448</v>
      </c>
      <c r="G172" s="56" t="s">
        <v>4441</v>
      </c>
      <c r="H172" s="56" t="s">
        <v>4449</v>
      </c>
      <c r="I172" s="56" t="s">
        <v>4443</v>
      </c>
      <c r="J172" s="56" t="s">
        <v>58</v>
      </c>
      <c r="K172" s="56" t="s">
        <v>59</v>
      </c>
      <c r="L172" s="58">
        <v>35727</v>
      </c>
      <c r="M172" s="56">
        <v>27</v>
      </c>
      <c r="N172" s="56" t="s">
        <v>4450</v>
      </c>
      <c r="O172" s="58">
        <v>46992</v>
      </c>
      <c r="P172" s="56" t="s">
        <v>3</v>
      </c>
      <c r="Q172" s="56"/>
      <c r="R172" s="162">
        <v>45913</v>
      </c>
      <c r="S172" s="163">
        <v>45918</v>
      </c>
      <c r="T172" s="164">
        <f t="shared" si="2"/>
        <v>5</v>
      </c>
      <c r="U172" s="56">
        <v>1</v>
      </c>
      <c r="V172" s="56">
        <v>1</v>
      </c>
      <c r="W172" s="56">
        <v>0</v>
      </c>
      <c r="X172" s="56">
        <v>1</v>
      </c>
      <c r="Y172" s="56">
        <v>1</v>
      </c>
      <c r="Z172" s="56">
        <v>0</v>
      </c>
      <c r="AA172" s="56">
        <v>0</v>
      </c>
      <c r="AB172" s="56"/>
      <c r="AC172" s="58">
        <v>45913</v>
      </c>
      <c r="AD172" s="59">
        <v>0.70486111110949423</v>
      </c>
      <c r="AE172" s="56" t="s">
        <v>4451</v>
      </c>
      <c r="AF172" s="58">
        <v>45918</v>
      </c>
      <c r="AG172" s="59">
        <v>0.85069444444525288</v>
      </c>
      <c r="AH172" s="56" t="s">
        <v>1334</v>
      </c>
      <c r="AI172" s="56" t="s">
        <v>4344</v>
      </c>
      <c r="AJ172" s="56" t="s">
        <v>64</v>
      </c>
      <c r="AK172" s="56" t="s">
        <v>64</v>
      </c>
      <c r="AL172" s="56" t="s">
        <v>3838</v>
      </c>
      <c r="AM172" s="60" t="s">
        <v>65</v>
      </c>
      <c r="AN172" s="60" t="s">
        <v>3839</v>
      </c>
      <c r="AO172" s="60"/>
      <c r="AP172" s="61"/>
    </row>
    <row r="173" spans="3:42" ht="14.25" customHeight="1">
      <c r="C173" s="55">
        <f>IF($X173=1,COUNTIF($C$10:C172,"&gt;0")+1,"")</f>
        <v>81</v>
      </c>
      <c r="D173" s="56">
        <v>15262406</v>
      </c>
      <c r="E173" s="56" t="s">
        <v>4339</v>
      </c>
      <c r="F173" s="57" t="s">
        <v>4452</v>
      </c>
      <c r="G173" s="56" t="s">
        <v>4452</v>
      </c>
      <c r="H173" s="56" t="s">
        <v>4453</v>
      </c>
      <c r="I173" s="56" t="s">
        <v>4454</v>
      </c>
      <c r="J173" s="56" t="s">
        <v>58</v>
      </c>
      <c r="K173" s="56" t="s">
        <v>59</v>
      </c>
      <c r="L173" s="58">
        <v>25411</v>
      </c>
      <c r="M173" s="56">
        <v>56</v>
      </c>
      <c r="N173" s="56" t="s">
        <v>4455</v>
      </c>
      <c r="O173" s="58">
        <v>48605</v>
      </c>
      <c r="P173" s="56" t="s">
        <v>4</v>
      </c>
      <c r="Q173" s="56"/>
      <c r="R173" s="162">
        <v>45913</v>
      </c>
      <c r="S173" s="163">
        <v>45918</v>
      </c>
      <c r="T173" s="164">
        <f t="shared" si="2"/>
        <v>5</v>
      </c>
      <c r="U173" s="56">
        <v>1</v>
      </c>
      <c r="V173" s="56">
        <v>1</v>
      </c>
      <c r="W173" s="56">
        <v>0</v>
      </c>
      <c r="X173" s="56">
        <v>1</v>
      </c>
      <c r="Y173" s="56">
        <v>0</v>
      </c>
      <c r="Z173" s="56">
        <v>1</v>
      </c>
      <c r="AA173" s="56">
        <v>0</v>
      </c>
      <c r="AB173" s="56"/>
      <c r="AC173" s="58">
        <v>45912</v>
      </c>
      <c r="AD173" s="59">
        <v>0.52777777778101154</v>
      </c>
      <c r="AE173" s="56" t="s">
        <v>4456</v>
      </c>
      <c r="AF173" s="58">
        <v>45918</v>
      </c>
      <c r="AG173" s="59">
        <v>0.56944444444525288</v>
      </c>
      <c r="AH173" s="56" t="s">
        <v>492</v>
      </c>
      <c r="AI173" s="56" t="s">
        <v>4344</v>
      </c>
      <c r="AJ173" s="56" t="s">
        <v>64</v>
      </c>
      <c r="AK173" s="56" t="s">
        <v>64</v>
      </c>
      <c r="AL173" s="56" t="s">
        <v>3838</v>
      </c>
      <c r="AM173" s="60" t="s">
        <v>65</v>
      </c>
      <c r="AN173" s="60" t="s">
        <v>3974</v>
      </c>
      <c r="AO173" s="60"/>
      <c r="AP173" s="61"/>
    </row>
    <row r="174" spans="3:42" ht="14.25" customHeight="1">
      <c r="C174" s="55" t="str">
        <f>IF($X174=1,COUNTIF($C$10:C173,"&gt;0")+1,"")</f>
        <v/>
      </c>
      <c r="D174" s="56"/>
      <c r="E174" s="56" t="s">
        <v>4339</v>
      </c>
      <c r="F174" s="57" t="s">
        <v>4457</v>
      </c>
      <c r="G174" s="56" t="s">
        <v>4452</v>
      </c>
      <c r="H174" s="56" t="s">
        <v>4458</v>
      </c>
      <c r="I174" s="56" t="s">
        <v>4454</v>
      </c>
      <c r="J174" s="56" t="s">
        <v>68</v>
      </c>
      <c r="K174" s="56" t="s">
        <v>59</v>
      </c>
      <c r="L174" s="58">
        <v>25849</v>
      </c>
      <c r="M174" s="56">
        <v>54</v>
      </c>
      <c r="N174" s="56" t="s">
        <v>4459</v>
      </c>
      <c r="O174" s="58">
        <v>45855</v>
      </c>
      <c r="P174" s="56" t="s">
        <v>4</v>
      </c>
      <c r="Q174" s="56"/>
      <c r="R174" s="162">
        <v>45913</v>
      </c>
      <c r="S174" s="163">
        <v>45918</v>
      </c>
      <c r="T174" s="164">
        <f t="shared" si="2"/>
        <v>5</v>
      </c>
      <c r="U174" s="56">
        <v>1</v>
      </c>
      <c r="V174" s="56">
        <v>1</v>
      </c>
      <c r="W174" s="56">
        <v>0</v>
      </c>
      <c r="X174" s="56">
        <v>0</v>
      </c>
      <c r="Y174" s="56">
        <v>0</v>
      </c>
      <c r="Z174" s="56">
        <v>0</v>
      </c>
      <c r="AA174" s="56">
        <v>0</v>
      </c>
      <c r="AB174" s="56"/>
      <c r="AC174" s="58">
        <v>45912</v>
      </c>
      <c r="AD174" s="59">
        <v>0.52777777778101154</v>
      </c>
      <c r="AE174" s="56" t="s">
        <v>4456</v>
      </c>
      <c r="AF174" s="58">
        <v>45918</v>
      </c>
      <c r="AG174" s="59">
        <v>0.56944444444525288</v>
      </c>
      <c r="AH174" s="56" t="s">
        <v>492</v>
      </c>
      <c r="AI174" s="56" t="s">
        <v>4344</v>
      </c>
      <c r="AJ174" s="56" t="s">
        <v>64</v>
      </c>
      <c r="AK174" s="56" t="s">
        <v>64</v>
      </c>
      <c r="AL174" s="56" t="s">
        <v>3838</v>
      </c>
      <c r="AM174" s="60" t="s">
        <v>65</v>
      </c>
      <c r="AN174" s="60" t="s">
        <v>3974</v>
      </c>
      <c r="AO174" s="60"/>
      <c r="AP174" s="61"/>
    </row>
    <row r="175" spans="3:42" ht="14.25" customHeight="1">
      <c r="C175" s="55">
        <f>IF($X175=1,COUNTIF($C$10:C174,"&gt;0")+1,"")</f>
        <v>82</v>
      </c>
      <c r="D175" s="56">
        <v>15262407</v>
      </c>
      <c r="E175" s="56" t="s">
        <v>4339</v>
      </c>
      <c r="F175" s="57" t="s">
        <v>4460</v>
      </c>
      <c r="G175" s="56" t="s">
        <v>4460</v>
      </c>
      <c r="H175" s="56" t="s">
        <v>4453</v>
      </c>
      <c r="I175" s="56" t="s">
        <v>4461</v>
      </c>
      <c r="J175" s="56" t="s">
        <v>58</v>
      </c>
      <c r="K175" s="56" t="s">
        <v>59</v>
      </c>
      <c r="L175" s="58">
        <v>30908</v>
      </c>
      <c r="M175" s="56">
        <v>41</v>
      </c>
      <c r="N175" s="56" t="s">
        <v>4462</v>
      </c>
      <c r="O175" s="58">
        <v>49037</v>
      </c>
      <c r="P175" s="56" t="s">
        <v>3</v>
      </c>
      <c r="Q175" s="56"/>
      <c r="R175" s="162">
        <v>45913</v>
      </c>
      <c r="S175" s="163">
        <v>45918</v>
      </c>
      <c r="T175" s="164">
        <f t="shared" si="2"/>
        <v>5</v>
      </c>
      <c r="U175" s="56">
        <v>1</v>
      </c>
      <c r="V175" s="56">
        <v>1</v>
      </c>
      <c r="W175" s="56">
        <v>0</v>
      </c>
      <c r="X175" s="56">
        <v>1</v>
      </c>
      <c r="Y175" s="56">
        <v>1</v>
      </c>
      <c r="Z175" s="56">
        <v>0</v>
      </c>
      <c r="AA175" s="56">
        <v>0</v>
      </c>
      <c r="AB175" s="56"/>
      <c r="AC175" s="58">
        <v>45912</v>
      </c>
      <c r="AD175" s="59">
        <v>0.52777777778101154</v>
      </c>
      <c r="AE175" s="56" t="s">
        <v>4456</v>
      </c>
      <c r="AF175" s="58">
        <v>45918</v>
      </c>
      <c r="AG175" s="59">
        <v>0.83680555555474712</v>
      </c>
      <c r="AH175" s="56" t="s">
        <v>962</v>
      </c>
      <c r="AI175" s="56" t="s">
        <v>4344</v>
      </c>
      <c r="AJ175" s="56" t="s">
        <v>64</v>
      </c>
      <c r="AK175" s="56" t="s">
        <v>64</v>
      </c>
      <c r="AL175" s="56" t="s">
        <v>3838</v>
      </c>
      <c r="AM175" s="60" t="s">
        <v>65</v>
      </c>
      <c r="AN175" s="60" t="s">
        <v>3974</v>
      </c>
      <c r="AO175" s="60"/>
      <c r="AP175" s="61"/>
    </row>
    <row r="176" spans="3:42" ht="14.25" customHeight="1">
      <c r="C176" s="55">
        <f>IF($X176=1,COUNTIF($C$10:C175,"&gt;0")+1,"")</f>
        <v>83</v>
      </c>
      <c r="D176" s="56">
        <v>15262408</v>
      </c>
      <c r="E176" s="56" t="s">
        <v>4339</v>
      </c>
      <c r="F176" s="57" t="s">
        <v>4463</v>
      </c>
      <c r="G176" s="56" t="s">
        <v>4463</v>
      </c>
      <c r="H176" s="56" t="s">
        <v>4464</v>
      </c>
      <c r="I176" s="56" t="s">
        <v>4465</v>
      </c>
      <c r="J176" s="56" t="s">
        <v>58</v>
      </c>
      <c r="K176" s="56" t="s">
        <v>59</v>
      </c>
      <c r="L176" s="58">
        <v>32303</v>
      </c>
      <c r="M176" s="56">
        <v>37</v>
      </c>
      <c r="N176" s="56" t="s">
        <v>4466</v>
      </c>
      <c r="O176" s="58">
        <v>46762</v>
      </c>
      <c r="P176" s="56" t="s">
        <v>5</v>
      </c>
      <c r="Q176" s="56"/>
      <c r="R176" s="162">
        <v>45913</v>
      </c>
      <c r="S176" s="163">
        <v>45918</v>
      </c>
      <c r="T176" s="164">
        <f t="shared" si="2"/>
        <v>5</v>
      </c>
      <c r="U176" s="56">
        <v>1</v>
      </c>
      <c r="V176" s="56">
        <v>1</v>
      </c>
      <c r="W176" s="56">
        <v>0</v>
      </c>
      <c r="X176" s="56">
        <v>1</v>
      </c>
      <c r="Y176" s="56">
        <v>0</v>
      </c>
      <c r="Z176" s="56">
        <v>0</v>
      </c>
      <c r="AA176" s="56">
        <v>1</v>
      </c>
      <c r="AB176" s="56"/>
      <c r="AC176" s="58">
        <v>45913</v>
      </c>
      <c r="AD176" s="59">
        <v>0.68402777778101154</v>
      </c>
      <c r="AE176" s="56" t="s">
        <v>4467</v>
      </c>
      <c r="AF176" s="58">
        <v>45918</v>
      </c>
      <c r="AG176" s="59">
        <v>0.86111111110949423</v>
      </c>
      <c r="AH176" s="56" t="s">
        <v>1292</v>
      </c>
      <c r="AI176" s="56" t="s">
        <v>4344</v>
      </c>
      <c r="AJ176" s="56" t="s">
        <v>64</v>
      </c>
      <c r="AK176" s="56" t="s">
        <v>64</v>
      </c>
      <c r="AL176" s="56" t="s">
        <v>3838</v>
      </c>
      <c r="AM176" s="60" t="s">
        <v>65</v>
      </c>
      <c r="AN176" s="60" t="s">
        <v>3967</v>
      </c>
      <c r="AO176" s="60"/>
      <c r="AP176" s="61"/>
    </row>
    <row r="177" spans="3:42" ht="14.25" customHeight="1">
      <c r="C177" s="55" t="str">
        <f>IF($X177=1,COUNTIF($C$10:C176,"&gt;0")+1,"")</f>
        <v/>
      </c>
      <c r="D177" s="56"/>
      <c r="E177" s="56" t="s">
        <v>4339</v>
      </c>
      <c r="F177" s="57" t="s">
        <v>4468</v>
      </c>
      <c r="G177" s="56" t="s">
        <v>4463</v>
      </c>
      <c r="H177" s="56" t="s">
        <v>4469</v>
      </c>
      <c r="I177" s="56" t="s">
        <v>4470</v>
      </c>
      <c r="J177" s="56" t="s">
        <v>58</v>
      </c>
      <c r="K177" s="56" t="s">
        <v>59</v>
      </c>
      <c r="L177" s="58">
        <v>19266</v>
      </c>
      <c r="M177" s="56">
        <v>72</v>
      </c>
      <c r="N177" s="56" t="s">
        <v>4471</v>
      </c>
      <c r="O177" s="58">
        <v>46290</v>
      </c>
      <c r="P177" s="56" t="s">
        <v>5</v>
      </c>
      <c r="Q177" s="56"/>
      <c r="R177" s="162">
        <v>45913</v>
      </c>
      <c r="S177" s="163">
        <v>45918</v>
      </c>
      <c r="T177" s="164">
        <f t="shared" si="2"/>
        <v>5</v>
      </c>
      <c r="U177" s="56">
        <v>1</v>
      </c>
      <c r="V177" s="56">
        <v>1</v>
      </c>
      <c r="W177" s="56">
        <v>0</v>
      </c>
      <c r="X177" s="56">
        <v>0</v>
      </c>
      <c r="Y177" s="56">
        <v>0</v>
      </c>
      <c r="Z177" s="56">
        <v>0</v>
      </c>
      <c r="AA177" s="56">
        <v>0</v>
      </c>
      <c r="AB177" s="56"/>
      <c r="AC177" s="58">
        <v>45913</v>
      </c>
      <c r="AD177" s="59">
        <v>0.68402777778101154</v>
      </c>
      <c r="AE177" s="56" t="s">
        <v>4467</v>
      </c>
      <c r="AF177" s="58">
        <v>45918</v>
      </c>
      <c r="AG177" s="59">
        <v>0.86111111110949423</v>
      </c>
      <c r="AH177" s="56" t="s">
        <v>1292</v>
      </c>
      <c r="AI177" s="56" t="s">
        <v>4344</v>
      </c>
      <c r="AJ177" s="56" t="s">
        <v>64</v>
      </c>
      <c r="AK177" s="56" t="s">
        <v>64</v>
      </c>
      <c r="AL177" s="56" t="s">
        <v>3838</v>
      </c>
      <c r="AM177" s="60" t="s">
        <v>65</v>
      </c>
      <c r="AN177" s="60" t="s">
        <v>3967</v>
      </c>
      <c r="AO177" s="60"/>
      <c r="AP177" s="61"/>
    </row>
    <row r="178" spans="3:42" ht="14.25" customHeight="1">
      <c r="C178" s="55">
        <f>IF($X178=1,COUNTIF($C$10:C177,"&gt;0")+1,"")</f>
        <v>84</v>
      </c>
      <c r="D178" s="56">
        <v>15262409</v>
      </c>
      <c r="E178" s="56" t="s">
        <v>4339</v>
      </c>
      <c r="F178" s="57" t="s">
        <v>4472</v>
      </c>
      <c r="G178" s="56" t="s">
        <v>4463</v>
      </c>
      <c r="H178" s="56" t="s">
        <v>4473</v>
      </c>
      <c r="I178" s="56" t="s">
        <v>4465</v>
      </c>
      <c r="J178" s="56" t="s">
        <v>68</v>
      </c>
      <c r="K178" s="56" t="s">
        <v>59</v>
      </c>
      <c r="L178" s="58">
        <v>19215</v>
      </c>
      <c r="M178" s="56">
        <v>73</v>
      </c>
      <c r="N178" s="56" t="s">
        <v>4474</v>
      </c>
      <c r="O178" s="58">
        <v>47254</v>
      </c>
      <c r="P178" s="56" t="s">
        <v>4</v>
      </c>
      <c r="Q178" s="56"/>
      <c r="R178" s="162">
        <v>45913</v>
      </c>
      <c r="S178" s="163">
        <v>45918</v>
      </c>
      <c r="T178" s="164">
        <f t="shared" si="2"/>
        <v>5</v>
      </c>
      <c r="U178" s="56">
        <v>1</v>
      </c>
      <c r="V178" s="56">
        <v>1</v>
      </c>
      <c r="W178" s="56">
        <v>0</v>
      </c>
      <c r="X178" s="56">
        <v>1</v>
      </c>
      <c r="Y178" s="56">
        <v>0</v>
      </c>
      <c r="Z178" s="56">
        <v>1</v>
      </c>
      <c r="AA178" s="56">
        <v>0</v>
      </c>
      <c r="AB178" s="56"/>
      <c r="AC178" s="58">
        <v>45913</v>
      </c>
      <c r="AD178" s="59">
        <v>0.68402777778101154</v>
      </c>
      <c r="AE178" s="56" t="s">
        <v>4467</v>
      </c>
      <c r="AF178" s="58">
        <v>45918</v>
      </c>
      <c r="AG178" s="59">
        <v>0.86111111110949423</v>
      </c>
      <c r="AH178" s="56" t="s">
        <v>1292</v>
      </c>
      <c r="AI178" s="56" t="s">
        <v>4344</v>
      </c>
      <c r="AJ178" s="56" t="s">
        <v>64</v>
      </c>
      <c r="AK178" s="56" t="s">
        <v>64</v>
      </c>
      <c r="AL178" s="56" t="s">
        <v>3838</v>
      </c>
      <c r="AM178" s="60" t="s">
        <v>65</v>
      </c>
      <c r="AN178" s="60" t="s">
        <v>3974</v>
      </c>
      <c r="AO178" s="60"/>
      <c r="AP178" s="61"/>
    </row>
    <row r="179" spans="3:42" ht="14.25" customHeight="1">
      <c r="C179" s="55" t="str">
        <f>IF($X179=1,COUNTIF($C$10:C178,"&gt;0")+1,"")</f>
        <v/>
      </c>
      <c r="D179" s="56"/>
      <c r="E179" s="56" t="s">
        <v>4339</v>
      </c>
      <c r="F179" s="57" t="s">
        <v>4475</v>
      </c>
      <c r="G179" s="56" t="s">
        <v>4463</v>
      </c>
      <c r="H179" s="56" t="s">
        <v>4476</v>
      </c>
      <c r="I179" s="56" t="s">
        <v>4454</v>
      </c>
      <c r="J179" s="56" t="s">
        <v>68</v>
      </c>
      <c r="K179" s="56" t="s">
        <v>59</v>
      </c>
      <c r="L179" s="58">
        <v>34777</v>
      </c>
      <c r="M179" s="56">
        <v>30</v>
      </c>
      <c r="N179" s="56" t="s">
        <v>4477</v>
      </c>
      <c r="O179" s="58">
        <v>49028</v>
      </c>
      <c r="P179" s="56" t="s">
        <v>4</v>
      </c>
      <c r="Q179" s="56"/>
      <c r="R179" s="162">
        <v>45913</v>
      </c>
      <c r="S179" s="163">
        <v>45918</v>
      </c>
      <c r="T179" s="164">
        <f t="shared" si="2"/>
        <v>5</v>
      </c>
      <c r="U179" s="56">
        <v>1</v>
      </c>
      <c r="V179" s="56">
        <v>1</v>
      </c>
      <c r="W179" s="56">
        <v>0</v>
      </c>
      <c r="X179" s="56">
        <v>0</v>
      </c>
      <c r="Y179" s="56">
        <v>0</v>
      </c>
      <c r="Z179" s="56">
        <v>0</v>
      </c>
      <c r="AA179" s="56">
        <v>0</v>
      </c>
      <c r="AB179" s="56"/>
      <c r="AC179" s="58">
        <v>45912</v>
      </c>
      <c r="AD179" s="59">
        <v>0.52777777778101154</v>
      </c>
      <c r="AE179" s="56" t="s">
        <v>4456</v>
      </c>
      <c r="AF179" s="58">
        <v>45918</v>
      </c>
      <c r="AG179" s="59">
        <v>0.56944444444525288</v>
      </c>
      <c r="AH179" s="56" t="s">
        <v>492</v>
      </c>
      <c r="AI179" s="56" t="s">
        <v>4344</v>
      </c>
      <c r="AJ179" s="56" t="s">
        <v>64</v>
      </c>
      <c r="AK179" s="56" t="s">
        <v>64</v>
      </c>
      <c r="AL179" s="56" t="s">
        <v>3838</v>
      </c>
      <c r="AM179" s="60" t="s">
        <v>65</v>
      </c>
      <c r="AN179" s="60" t="s">
        <v>3974</v>
      </c>
      <c r="AO179" s="60"/>
      <c r="AP179" s="61"/>
    </row>
    <row r="180" spans="3:42" ht="14.25" customHeight="1">
      <c r="C180" s="55">
        <f>IF($X180=1,COUNTIF($C$10:C179,"&gt;0")+1,"")</f>
        <v>85</v>
      </c>
      <c r="D180" s="56">
        <v>15262410</v>
      </c>
      <c r="E180" s="56" t="s">
        <v>4339</v>
      </c>
      <c r="F180" s="57" t="s">
        <v>4478</v>
      </c>
      <c r="G180" s="56" t="s">
        <v>4478</v>
      </c>
      <c r="H180" s="56" t="s">
        <v>4479</v>
      </c>
      <c r="I180" s="56" t="s">
        <v>4480</v>
      </c>
      <c r="J180" s="56" t="s">
        <v>68</v>
      </c>
      <c r="K180" s="56" t="s">
        <v>59</v>
      </c>
      <c r="L180" s="58">
        <v>25435</v>
      </c>
      <c r="M180" s="56">
        <v>56</v>
      </c>
      <c r="N180" s="56" t="s">
        <v>4481</v>
      </c>
      <c r="O180" s="58">
        <v>49023</v>
      </c>
      <c r="P180" s="56" t="s">
        <v>4</v>
      </c>
      <c r="Q180" s="56"/>
      <c r="R180" s="162">
        <v>45913</v>
      </c>
      <c r="S180" s="163">
        <v>45918</v>
      </c>
      <c r="T180" s="164">
        <f t="shared" si="2"/>
        <v>5</v>
      </c>
      <c r="U180" s="56">
        <v>1</v>
      </c>
      <c r="V180" s="56">
        <v>1</v>
      </c>
      <c r="W180" s="56">
        <v>0</v>
      </c>
      <c r="X180" s="56">
        <v>1</v>
      </c>
      <c r="Y180" s="56">
        <v>0</v>
      </c>
      <c r="Z180" s="56">
        <v>1</v>
      </c>
      <c r="AA180" s="56">
        <v>0</v>
      </c>
      <c r="AB180" s="56"/>
      <c r="AC180" s="58">
        <v>45913</v>
      </c>
      <c r="AD180" s="59">
        <v>0.45833333333575865</v>
      </c>
      <c r="AE180" s="56" t="s">
        <v>244</v>
      </c>
      <c r="AF180" s="58">
        <v>45918</v>
      </c>
      <c r="AG180" s="59">
        <v>0.44444444444525288</v>
      </c>
      <c r="AH180" s="56" t="s">
        <v>4421</v>
      </c>
      <c r="AI180" s="56" t="s">
        <v>4344</v>
      </c>
      <c r="AJ180" s="56" t="s">
        <v>64</v>
      </c>
      <c r="AK180" s="56" t="s">
        <v>64</v>
      </c>
      <c r="AL180" s="56" t="s">
        <v>3838</v>
      </c>
      <c r="AM180" s="60" t="s">
        <v>65</v>
      </c>
      <c r="AN180" s="60" t="s">
        <v>3974</v>
      </c>
      <c r="AO180" s="60"/>
      <c r="AP180" s="61"/>
    </row>
    <row r="181" spans="3:42" ht="14.25" customHeight="1">
      <c r="C181" s="55" t="str">
        <f>IF($X181=1,COUNTIF($C$10:C180,"&gt;0")+1,"")</f>
        <v/>
      </c>
      <c r="D181" s="56"/>
      <c r="E181" s="56" t="s">
        <v>4339</v>
      </c>
      <c r="F181" s="57" t="s">
        <v>4482</v>
      </c>
      <c r="G181" s="56" t="s">
        <v>4478</v>
      </c>
      <c r="H181" s="56" t="s">
        <v>4483</v>
      </c>
      <c r="I181" s="56" t="s">
        <v>4480</v>
      </c>
      <c r="J181" s="56" t="s">
        <v>68</v>
      </c>
      <c r="K181" s="56" t="s">
        <v>59</v>
      </c>
      <c r="L181" s="58">
        <v>40744</v>
      </c>
      <c r="M181" s="56">
        <v>14</v>
      </c>
      <c r="N181" s="56" t="s">
        <v>4484</v>
      </c>
      <c r="O181" s="58">
        <v>46466</v>
      </c>
      <c r="P181" s="56" t="s">
        <v>4</v>
      </c>
      <c r="Q181" s="56"/>
      <c r="R181" s="162">
        <v>45913</v>
      </c>
      <c r="S181" s="163">
        <v>45918</v>
      </c>
      <c r="T181" s="164">
        <f t="shared" si="2"/>
        <v>5</v>
      </c>
      <c r="U181" s="56">
        <v>1</v>
      </c>
      <c r="V181" s="56">
        <v>1</v>
      </c>
      <c r="W181" s="56">
        <v>0</v>
      </c>
      <c r="X181" s="56">
        <v>0</v>
      </c>
      <c r="Y181" s="56">
        <v>0</v>
      </c>
      <c r="Z181" s="56">
        <v>0</v>
      </c>
      <c r="AA181" s="56">
        <v>0</v>
      </c>
      <c r="AB181" s="56"/>
      <c r="AC181" s="58">
        <v>45913</v>
      </c>
      <c r="AD181" s="59">
        <v>0.45833333333575865</v>
      </c>
      <c r="AE181" s="56" t="s">
        <v>244</v>
      </c>
      <c r="AF181" s="58">
        <v>45918</v>
      </c>
      <c r="AG181" s="59">
        <v>0.44444444444525288</v>
      </c>
      <c r="AH181" s="56" t="s">
        <v>4421</v>
      </c>
      <c r="AI181" s="56" t="s">
        <v>4344</v>
      </c>
      <c r="AJ181" s="56" t="s">
        <v>64</v>
      </c>
      <c r="AK181" s="56" t="s">
        <v>64</v>
      </c>
      <c r="AL181" s="56" t="s">
        <v>3838</v>
      </c>
      <c r="AM181" s="60" t="s">
        <v>65</v>
      </c>
      <c r="AN181" s="60" t="s">
        <v>3974</v>
      </c>
      <c r="AO181" s="60"/>
      <c r="AP181" s="61"/>
    </row>
    <row r="182" spans="3:42" ht="14.25" customHeight="1">
      <c r="C182" s="55">
        <f>IF($X182=1,COUNTIF($C$10:C181,"&gt;0")+1,"")</f>
        <v>86</v>
      </c>
      <c r="D182" s="56">
        <v>15262411</v>
      </c>
      <c r="E182" s="56" t="s">
        <v>4339</v>
      </c>
      <c r="F182" s="57" t="s">
        <v>4485</v>
      </c>
      <c r="G182" s="56" t="s">
        <v>4485</v>
      </c>
      <c r="H182" s="56" t="s">
        <v>4486</v>
      </c>
      <c r="I182" s="56" t="s">
        <v>2625</v>
      </c>
      <c r="J182" s="56" t="s">
        <v>68</v>
      </c>
      <c r="K182" s="56" t="s">
        <v>59</v>
      </c>
      <c r="L182" s="58">
        <v>29086</v>
      </c>
      <c r="M182" s="56">
        <v>46</v>
      </c>
      <c r="N182" s="56" t="s">
        <v>4487</v>
      </c>
      <c r="O182" s="58">
        <v>47014</v>
      </c>
      <c r="P182" s="56" t="s">
        <v>5</v>
      </c>
      <c r="Q182" s="56"/>
      <c r="R182" s="162">
        <v>45913</v>
      </c>
      <c r="S182" s="163">
        <v>45918</v>
      </c>
      <c r="T182" s="164">
        <f t="shared" si="2"/>
        <v>5</v>
      </c>
      <c r="U182" s="56">
        <v>1</v>
      </c>
      <c r="V182" s="56">
        <v>1</v>
      </c>
      <c r="W182" s="56">
        <v>0</v>
      </c>
      <c r="X182" s="56">
        <v>1</v>
      </c>
      <c r="Y182" s="56">
        <v>0</v>
      </c>
      <c r="Z182" s="56">
        <v>0</v>
      </c>
      <c r="AA182" s="56">
        <v>1</v>
      </c>
      <c r="AB182" s="56"/>
      <c r="AC182" s="58">
        <v>45913</v>
      </c>
      <c r="AD182" s="59">
        <v>0.30555555555474712</v>
      </c>
      <c r="AE182" s="56" t="s">
        <v>1080</v>
      </c>
      <c r="AF182" s="58">
        <v>45918</v>
      </c>
      <c r="AG182" s="59">
        <v>0.79513888889050577</v>
      </c>
      <c r="AH182" s="56" t="s">
        <v>831</v>
      </c>
      <c r="AI182" s="56" t="s">
        <v>4344</v>
      </c>
      <c r="AJ182" s="56" t="s">
        <v>64</v>
      </c>
      <c r="AK182" s="56" t="s">
        <v>64</v>
      </c>
      <c r="AL182" s="56" t="s">
        <v>3838</v>
      </c>
      <c r="AM182" s="60" t="s">
        <v>65</v>
      </c>
      <c r="AN182" s="60" t="s">
        <v>4061</v>
      </c>
      <c r="AO182" s="60"/>
      <c r="AP182" s="61"/>
    </row>
    <row r="183" spans="3:42" ht="14.25" customHeight="1">
      <c r="C183" s="55" t="str">
        <f>IF($X183=1,COUNTIF($C$10:C182,"&gt;0")+1,"")</f>
        <v/>
      </c>
      <c r="D183" s="56"/>
      <c r="E183" s="56" t="s">
        <v>4339</v>
      </c>
      <c r="F183" s="57" t="s">
        <v>4488</v>
      </c>
      <c r="G183" s="56" t="s">
        <v>4485</v>
      </c>
      <c r="H183" s="56" t="s">
        <v>4489</v>
      </c>
      <c r="I183" s="56" t="s">
        <v>2625</v>
      </c>
      <c r="J183" s="56" t="s">
        <v>58</v>
      </c>
      <c r="K183" s="56" t="s">
        <v>59</v>
      </c>
      <c r="L183" s="58">
        <v>28165</v>
      </c>
      <c r="M183" s="56">
        <v>48</v>
      </c>
      <c r="N183" s="56" t="s">
        <v>4490</v>
      </c>
      <c r="O183" s="58">
        <v>46993</v>
      </c>
      <c r="P183" s="56" t="s">
        <v>5</v>
      </c>
      <c r="Q183" s="56"/>
      <c r="R183" s="162">
        <v>45913</v>
      </c>
      <c r="S183" s="163">
        <v>45918</v>
      </c>
      <c r="T183" s="164">
        <f t="shared" si="2"/>
        <v>5</v>
      </c>
      <c r="U183" s="56">
        <v>1</v>
      </c>
      <c r="V183" s="56">
        <v>1</v>
      </c>
      <c r="W183" s="56">
        <v>0</v>
      </c>
      <c r="X183" s="56">
        <v>0</v>
      </c>
      <c r="Y183" s="56">
        <v>0</v>
      </c>
      <c r="Z183" s="56">
        <v>0</v>
      </c>
      <c r="AA183" s="56">
        <v>0</v>
      </c>
      <c r="AB183" s="56"/>
      <c r="AC183" s="58">
        <v>45913</v>
      </c>
      <c r="AD183" s="59">
        <v>0.30555555555474712</v>
      </c>
      <c r="AE183" s="56" t="s">
        <v>1080</v>
      </c>
      <c r="AF183" s="58">
        <v>45918</v>
      </c>
      <c r="AG183" s="59">
        <v>0.79513888889050577</v>
      </c>
      <c r="AH183" s="56" t="s">
        <v>831</v>
      </c>
      <c r="AI183" s="56" t="s">
        <v>4344</v>
      </c>
      <c r="AJ183" s="56" t="s">
        <v>64</v>
      </c>
      <c r="AK183" s="56" t="s">
        <v>64</v>
      </c>
      <c r="AL183" s="56" t="s">
        <v>3838</v>
      </c>
      <c r="AM183" s="60" t="s">
        <v>65</v>
      </c>
      <c r="AN183" s="60" t="s">
        <v>4061</v>
      </c>
      <c r="AO183" s="60"/>
      <c r="AP183" s="61"/>
    </row>
    <row r="184" spans="3:42" ht="14.25" customHeight="1">
      <c r="C184" s="55">
        <f>IF($X184=1,COUNTIF($C$10:C183,"&gt;0")+1,"")</f>
        <v>87</v>
      </c>
      <c r="D184" s="56">
        <v>15262412</v>
      </c>
      <c r="E184" s="56" t="s">
        <v>4339</v>
      </c>
      <c r="F184" s="57" t="s">
        <v>4491</v>
      </c>
      <c r="G184" s="56" t="s">
        <v>4485</v>
      </c>
      <c r="H184" s="56" t="s">
        <v>4492</v>
      </c>
      <c r="I184" s="56" t="s">
        <v>2625</v>
      </c>
      <c r="J184" s="56" t="s">
        <v>58</v>
      </c>
      <c r="K184" s="56" t="s">
        <v>59</v>
      </c>
      <c r="L184" s="58">
        <v>39748</v>
      </c>
      <c r="M184" s="56">
        <v>16</v>
      </c>
      <c r="N184" s="56" t="s">
        <v>4493</v>
      </c>
      <c r="O184" s="58">
        <v>46813</v>
      </c>
      <c r="P184" s="56" t="s">
        <v>5</v>
      </c>
      <c r="Q184" s="56"/>
      <c r="R184" s="162">
        <v>45913</v>
      </c>
      <c r="S184" s="163">
        <v>45918</v>
      </c>
      <c r="T184" s="164">
        <f t="shared" si="2"/>
        <v>5</v>
      </c>
      <c r="U184" s="56">
        <v>1</v>
      </c>
      <c r="V184" s="56">
        <v>1</v>
      </c>
      <c r="W184" s="56">
        <v>0</v>
      </c>
      <c r="X184" s="56">
        <v>1</v>
      </c>
      <c r="Y184" s="56">
        <v>0</v>
      </c>
      <c r="Z184" s="56">
        <v>0</v>
      </c>
      <c r="AA184" s="56">
        <v>1</v>
      </c>
      <c r="AB184" s="56"/>
      <c r="AC184" s="58">
        <v>45913</v>
      </c>
      <c r="AD184" s="59">
        <v>0.30555555555474712</v>
      </c>
      <c r="AE184" s="56" t="s">
        <v>1080</v>
      </c>
      <c r="AF184" s="58">
        <v>45918</v>
      </c>
      <c r="AG184" s="59">
        <v>0.79513888889050577</v>
      </c>
      <c r="AH184" s="56" t="s">
        <v>831</v>
      </c>
      <c r="AI184" s="56" t="s">
        <v>4344</v>
      </c>
      <c r="AJ184" s="56" t="s">
        <v>64</v>
      </c>
      <c r="AK184" s="56" t="s">
        <v>64</v>
      </c>
      <c r="AL184" s="56" t="s">
        <v>3838</v>
      </c>
      <c r="AM184" s="60" t="s">
        <v>65</v>
      </c>
      <c r="AN184" s="263" t="s">
        <v>3967</v>
      </c>
      <c r="AO184" s="264"/>
      <c r="AP184" s="61"/>
    </row>
    <row r="185" spans="3:42" ht="14.25" customHeight="1">
      <c r="C185" s="55" t="str">
        <f>IF($X185=1,COUNTIF($C$10:C184,"&gt;0")+1,"")</f>
        <v/>
      </c>
      <c r="D185" s="56"/>
      <c r="E185" s="56" t="s">
        <v>4339</v>
      </c>
      <c r="F185" s="57" t="s">
        <v>4494</v>
      </c>
      <c r="G185" s="56" t="s">
        <v>4485</v>
      </c>
      <c r="H185" s="56" t="s">
        <v>4495</v>
      </c>
      <c r="I185" s="56" t="s">
        <v>2843</v>
      </c>
      <c r="J185" s="56" t="s">
        <v>68</v>
      </c>
      <c r="K185" s="56" t="s">
        <v>59</v>
      </c>
      <c r="L185" s="58">
        <v>36084</v>
      </c>
      <c r="M185" s="56">
        <v>26</v>
      </c>
      <c r="N185" s="56" t="s">
        <v>4496</v>
      </c>
      <c r="O185" s="58">
        <v>48160</v>
      </c>
      <c r="P185" s="56" t="s">
        <v>5</v>
      </c>
      <c r="Q185" s="56"/>
      <c r="R185" s="162">
        <v>45913</v>
      </c>
      <c r="S185" s="163">
        <v>45918</v>
      </c>
      <c r="T185" s="164">
        <f t="shared" si="2"/>
        <v>5</v>
      </c>
      <c r="U185" s="56">
        <v>1</v>
      </c>
      <c r="V185" s="56">
        <v>1</v>
      </c>
      <c r="W185" s="56">
        <v>0</v>
      </c>
      <c r="X185" s="56">
        <v>0</v>
      </c>
      <c r="Y185" s="56">
        <v>0</v>
      </c>
      <c r="Z185" s="56">
        <v>0</v>
      </c>
      <c r="AA185" s="56">
        <v>0</v>
      </c>
      <c r="AB185" s="56"/>
      <c r="AC185" s="58">
        <v>45913</v>
      </c>
      <c r="AD185" s="59">
        <v>0.70486111110949423</v>
      </c>
      <c r="AE185" s="56" t="s">
        <v>4451</v>
      </c>
      <c r="AF185" s="58">
        <v>45918</v>
      </c>
      <c r="AG185" s="59">
        <v>0.85069444444525288</v>
      </c>
      <c r="AH185" s="56" t="s">
        <v>1334</v>
      </c>
      <c r="AI185" s="56" t="s">
        <v>4344</v>
      </c>
      <c r="AJ185" s="56" t="s">
        <v>64</v>
      </c>
      <c r="AK185" s="56" t="s">
        <v>64</v>
      </c>
      <c r="AL185" s="56" t="s">
        <v>3838</v>
      </c>
      <c r="AM185" s="60" t="s">
        <v>65</v>
      </c>
      <c r="AN185" s="263" t="s">
        <v>3967</v>
      </c>
      <c r="AO185" s="264"/>
      <c r="AP185" s="61"/>
    </row>
    <row r="186" spans="3:42" ht="14.25" customHeight="1">
      <c r="C186" s="55">
        <f>IF($X186=1,COUNTIF($C$10:C185,"&gt;0")+1,"")</f>
        <v>88</v>
      </c>
      <c r="D186" s="56">
        <v>15262413</v>
      </c>
      <c r="E186" s="56" t="s">
        <v>4339</v>
      </c>
      <c r="F186" s="57" t="s">
        <v>4497</v>
      </c>
      <c r="G186" s="56" t="s">
        <v>4497</v>
      </c>
      <c r="H186" s="56" t="s">
        <v>4498</v>
      </c>
      <c r="I186" s="56" t="s">
        <v>4499</v>
      </c>
      <c r="J186" s="56" t="s">
        <v>68</v>
      </c>
      <c r="K186" s="56" t="s">
        <v>59</v>
      </c>
      <c r="L186" s="58">
        <v>25238</v>
      </c>
      <c r="M186" s="56">
        <v>56</v>
      </c>
      <c r="N186" s="56" t="s">
        <v>4500</v>
      </c>
      <c r="O186" s="58">
        <v>47294</v>
      </c>
      <c r="P186" s="56" t="s">
        <v>5</v>
      </c>
      <c r="Q186" s="56"/>
      <c r="R186" s="162">
        <v>45913</v>
      </c>
      <c r="S186" s="163">
        <v>45918</v>
      </c>
      <c r="T186" s="164">
        <f t="shared" si="2"/>
        <v>5</v>
      </c>
      <c r="U186" s="56">
        <v>1</v>
      </c>
      <c r="V186" s="56">
        <v>1</v>
      </c>
      <c r="W186" s="56">
        <v>0</v>
      </c>
      <c r="X186" s="56">
        <v>1</v>
      </c>
      <c r="Y186" s="56">
        <v>0</v>
      </c>
      <c r="Z186" s="56">
        <v>0</v>
      </c>
      <c r="AA186" s="56">
        <v>1</v>
      </c>
      <c r="AB186" s="56"/>
      <c r="AC186" s="58">
        <v>45913</v>
      </c>
      <c r="AD186" s="59">
        <v>0.67708333333575865</v>
      </c>
      <c r="AE186" s="56" t="s">
        <v>3983</v>
      </c>
      <c r="AF186" s="58">
        <v>45918</v>
      </c>
      <c r="AG186" s="59">
        <v>0.80208333333575865</v>
      </c>
      <c r="AH186" s="56" t="s">
        <v>221</v>
      </c>
      <c r="AI186" s="56" t="s">
        <v>4344</v>
      </c>
      <c r="AJ186" s="56" t="s">
        <v>64</v>
      </c>
      <c r="AK186" s="56" t="s">
        <v>64</v>
      </c>
      <c r="AL186" s="56" t="s">
        <v>3838</v>
      </c>
      <c r="AM186" s="60" t="s">
        <v>65</v>
      </c>
      <c r="AN186" s="60" t="s">
        <v>4061</v>
      </c>
      <c r="AO186" s="60"/>
      <c r="AP186" s="61"/>
    </row>
    <row r="187" spans="3:42" ht="14.25" customHeight="1">
      <c r="C187" s="55" t="str">
        <f>IF($X187=1,COUNTIF($C$10:C186,"&gt;0")+1,"")</f>
        <v/>
      </c>
      <c r="D187" s="56"/>
      <c r="E187" s="56" t="s">
        <v>4339</v>
      </c>
      <c r="F187" s="57" t="s">
        <v>4501</v>
      </c>
      <c r="G187" s="56" t="s">
        <v>4497</v>
      </c>
      <c r="H187" s="56" t="s">
        <v>4502</v>
      </c>
      <c r="I187" s="56" t="s">
        <v>4499</v>
      </c>
      <c r="J187" s="56" t="s">
        <v>58</v>
      </c>
      <c r="K187" s="56" t="s">
        <v>59</v>
      </c>
      <c r="L187" s="58">
        <v>23861</v>
      </c>
      <c r="M187" s="56">
        <v>60</v>
      </c>
      <c r="N187" s="56" t="s">
        <v>4503</v>
      </c>
      <c r="O187" s="58">
        <v>47294</v>
      </c>
      <c r="P187" s="56" t="s">
        <v>5</v>
      </c>
      <c r="Q187" s="56"/>
      <c r="R187" s="162">
        <v>45913</v>
      </c>
      <c r="S187" s="163">
        <v>45918</v>
      </c>
      <c r="T187" s="164">
        <f t="shared" si="2"/>
        <v>5</v>
      </c>
      <c r="U187" s="56">
        <v>1</v>
      </c>
      <c r="V187" s="56">
        <v>1</v>
      </c>
      <c r="W187" s="56">
        <v>0</v>
      </c>
      <c r="X187" s="56">
        <v>0</v>
      </c>
      <c r="Y187" s="56">
        <v>0</v>
      </c>
      <c r="Z187" s="56">
        <v>0</v>
      </c>
      <c r="AA187" s="56">
        <v>0</v>
      </c>
      <c r="AB187" s="56"/>
      <c r="AC187" s="58">
        <v>45913</v>
      </c>
      <c r="AD187" s="59">
        <v>0.67708333333575865</v>
      </c>
      <c r="AE187" s="56" t="s">
        <v>3983</v>
      </c>
      <c r="AF187" s="58">
        <v>45918</v>
      </c>
      <c r="AG187" s="59">
        <v>0.80208333333575865</v>
      </c>
      <c r="AH187" s="56" t="s">
        <v>221</v>
      </c>
      <c r="AI187" s="56" t="s">
        <v>4344</v>
      </c>
      <c r="AJ187" s="56" t="s">
        <v>64</v>
      </c>
      <c r="AK187" s="56" t="s">
        <v>64</v>
      </c>
      <c r="AL187" s="56" t="s">
        <v>3838</v>
      </c>
      <c r="AM187" s="60" t="s">
        <v>65</v>
      </c>
      <c r="AN187" s="60" t="s">
        <v>4061</v>
      </c>
      <c r="AO187" s="60"/>
      <c r="AP187" s="61"/>
    </row>
    <row r="188" spans="3:42" ht="14.25" customHeight="1">
      <c r="C188" s="55">
        <f>IF($X188=1,COUNTIF($C$10:C187,"&gt;0")+1,"")</f>
        <v>89</v>
      </c>
      <c r="D188" s="56">
        <v>15262414</v>
      </c>
      <c r="E188" s="56" t="s">
        <v>4339</v>
      </c>
      <c r="F188" s="57" t="s">
        <v>4504</v>
      </c>
      <c r="G188" s="56" t="s">
        <v>4504</v>
      </c>
      <c r="H188" s="56" t="s">
        <v>4505</v>
      </c>
      <c r="I188" s="56" t="s">
        <v>4506</v>
      </c>
      <c r="J188" s="56" t="s">
        <v>68</v>
      </c>
      <c r="K188" s="56" t="s">
        <v>59</v>
      </c>
      <c r="L188" s="58">
        <v>25336</v>
      </c>
      <c r="M188" s="56">
        <v>56</v>
      </c>
      <c r="N188" s="56" t="s">
        <v>4507</v>
      </c>
      <c r="O188" s="58">
        <v>46759</v>
      </c>
      <c r="P188" s="56" t="s">
        <v>4</v>
      </c>
      <c r="Q188" s="56"/>
      <c r="R188" s="162">
        <v>45913</v>
      </c>
      <c r="S188" s="163">
        <v>45918</v>
      </c>
      <c r="T188" s="164">
        <f t="shared" si="2"/>
        <v>5</v>
      </c>
      <c r="U188" s="56">
        <v>1</v>
      </c>
      <c r="V188" s="56">
        <v>1</v>
      </c>
      <c r="W188" s="56">
        <v>0</v>
      </c>
      <c r="X188" s="56">
        <v>1</v>
      </c>
      <c r="Y188" s="56">
        <v>0</v>
      </c>
      <c r="Z188" s="56">
        <v>1</v>
      </c>
      <c r="AA188" s="56">
        <v>0</v>
      </c>
      <c r="AB188" s="56"/>
      <c r="AC188" s="58">
        <v>45913</v>
      </c>
      <c r="AD188" s="59">
        <v>0.73611111110949423</v>
      </c>
      <c r="AE188" s="56" t="s">
        <v>4508</v>
      </c>
      <c r="AF188" s="58">
        <v>45918</v>
      </c>
      <c r="AG188" s="59">
        <v>0.34722222221898846</v>
      </c>
      <c r="AH188" s="56" t="s">
        <v>4006</v>
      </c>
      <c r="AI188" s="56" t="s">
        <v>4344</v>
      </c>
      <c r="AJ188" s="56" t="s">
        <v>64</v>
      </c>
      <c r="AK188" s="56" t="s">
        <v>64</v>
      </c>
      <c r="AL188" s="56" t="s">
        <v>3838</v>
      </c>
      <c r="AM188" s="60" t="s">
        <v>65</v>
      </c>
      <c r="AN188" s="60" t="s">
        <v>3974</v>
      </c>
      <c r="AO188" s="60"/>
      <c r="AP188" s="61"/>
    </row>
    <row r="189" spans="3:42" ht="14.25" customHeight="1">
      <c r="C189" s="55" t="str">
        <f>IF($X189=1,COUNTIF($C$10:C188,"&gt;0")+1,"")</f>
        <v/>
      </c>
      <c r="D189" s="56"/>
      <c r="E189" s="56" t="s">
        <v>4339</v>
      </c>
      <c r="F189" s="57" t="s">
        <v>4509</v>
      </c>
      <c r="G189" s="56" t="s">
        <v>4504</v>
      </c>
      <c r="H189" s="56" t="s">
        <v>4510</v>
      </c>
      <c r="I189" s="56" t="s">
        <v>4506</v>
      </c>
      <c r="J189" s="56" t="s">
        <v>58</v>
      </c>
      <c r="K189" s="56" t="s">
        <v>59</v>
      </c>
      <c r="L189" s="58">
        <v>25327</v>
      </c>
      <c r="M189" s="56">
        <v>56</v>
      </c>
      <c r="N189" s="56" t="s">
        <v>4511</v>
      </c>
      <c r="O189" s="58">
        <v>46759</v>
      </c>
      <c r="P189" s="56" t="s">
        <v>4</v>
      </c>
      <c r="Q189" s="56"/>
      <c r="R189" s="162">
        <v>45913</v>
      </c>
      <c r="S189" s="163">
        <v>45918</v>
      </c>
      <c r="T189" s="164">
        <f t="shared" si="2"/>
        <v>5</v>
      </c>
      <c r="U189" s="56">
        <v>1</v>
      </c>
      <c r="V189" s="56">
        <v>1</v>
      </c>
      <c r="W189" s="56">
        <v>0</v>
      </c>
      <c r="X189" s="56">
        <v>0</v>
      </c>
      <c r="Y189" s="56">
        <v>0</v>
      </c>
      <c r="Z189" s="56">
        <v>0</v>
      </c>
      <c r="AA189" s="56">
        <v>0</v>
      </c>
      <c r="AB189" s="56"/>
      <c r="AC189" s="58">
        <v>45913</v>
      </c>
      <c r="AD189" s="59">
        <v>0.73611111110949423</v>
      </c>
      <c r="AE189" s="56" t="s">
        <v>4508</v>
      </c>
      <c r="AF189" s="58">
        <v>45918</v>
      </c>
      <c r="AG189" s="59">
        <v>0.34722222221898846</v>
      </c>
      <c r="AH189" s="56" t="s">
        <v>4006</v>
      </c>
      <c r="AI189" s="56" t="s">
        <v>4344</v>
      </c>
      <c r="AJ189" s="56" t="s">
        <v>64</v>
      </c>
      <c r="AK189" s="56" t="s">
        <v>64</v>
      </c>
      <c r="AL189" s="56" t="s">
        <v>3838</v>
      </c>
      <c r="AM189" s="60" t="s">
        <v>65</v>
      </c>
      <c r="AN189" s="60" t="s">
        <v>3974</v>
      </c>
      <c r="AO189" s="60"/>
      <c r="AP189" s="61"/>
    </row>
    <row r="190" spans="3:42" ht="14.25" customHeight="1">
      <c r="C190" s="55">
        <f>IF($X190=1,COUNTIF($C$10:C189,"&gt;0")+1,"")</f>
        <v>90</v>
      </c>
      <c r="D190" s="56">
        <v>15262415</v>
      </c>
      <c r="E190" s="56" t="s">
        <v>4339</v>
      </c>
      <c r="F190" s="57" t="s">
        <v>4512</v>
      </c>
      <c r="G190" s="56" t="s">
        <v>4512</v>
      </c>
      <c r="H190" s="56" t="s">
        <v>4513</v>
      </c>
      <c r="I190" s="56" t="s">
        <v>3981</v>
      </c>
      <c r="J190" s="56" t="s">
        <v>68</v>
      </c>
      <c r="K190" s="56" t="s">
        <v>59</v>
      </c>
      <c r="L190" s="58">
        <v>22250</v>
      </c>
      <c r="M190" s="56">
        <v>64</v>
      </c>
      <c r="N190" s="56" t="s">
        <v>4514</v>
      </c>
      <c r="O190" s="58">
        <v>49456</v>
      </c>
      <c r="P190" s="56" t="s">
        <v>5</v>
      </c>
      <c r="Q190" s="56"/>
      <c r="R190" s="162">
        <v>45913</v>
      </c>
      <c r="S190" s="163">
        <v>45918</v>
      </c>
      <c r="T190" s="164">
        <f t="shared" si="2"/>
        <v>5</v>
      </c>
      <c r="U190" s="56">
        <v>1</v>
      </c>
      <c r="V190" s="56">
        <v>1</v>
      </c>
      <c r="W190" s="56">
        <v>0</v>
      </c>
      <c r="X190" s="56">
        <v>1</v>
      </c>
      <c r="Y190" s="56">
        <v>0</v>
      </c>
      <c r="Z190" s="56">
        <v>0</v>
      </c>
      <c r="AA190" s="56">
        <v>1</v>
      </c>
      <c r="AB190" s="56"/>
      <c r="AC190" s="58">
        <v>45906</v>
      </c>
      <c r="AD190" s="59">
        <v>0.74305555555474712</v>
      </c>
      <c r="AE190" s="56" t="s">
        <v>3019</v>
      </c>
      <c r="AF190" s="58">
        <v>45918</v>
      </c>
      <c r="AG190" s="59">
        <v>0.60416666666424135</v>
      </c>
      <c r="AH190" s="56" t="s">
        <v>3763</v>
      </c>
      <c r="AI190" s="56" t="s">
        <v>4344</v>
      </c>
      <c r="AJ190" s="56" t="s">
        <v>64</v>
      </c>
      <c r="AK190" s="56" t="s">
        <v>64</v>
      </c>
      <c r="AL190" s="56" t="s">
        <v>3838</v>
      </c>
      <c r="AM190" s="60" t="s">
        <v>65</v>
      </c>
      <c r="AN190" s="60" t="s">
        <v>4061</v>
      </c>
      <c r="AO190" s="60"/>
      <c r="AP190" s="61"/>
    </row>
    <row r="191" spans="3:42" ht="14.25" customHeight="1">
      <c r="C191" s="55" t="str">
        <f>IF($X191=1,COUNTIF($C$10:C190,"&gt;0")+1,"")</f>
        <v/>
      </c>
      <c r="D191" s="56"/>
      <c r="E191" s="56" t="s">
        <v>4339</v>
      </c>
      <c r="F191" s="57" t="s">
        <v>4515</v>
      </c>
      <c r="G191" s="56" t="s">
        <v>4512</v>
      </c>
      <c r="H191" s="56" t="s">
        <v>4516</v>
      </c>
      <c r="I191" s="56" t="s">
        <v>1905</v>
      </c>
      <c r="J191" s="56" t="s">
        <v>68</v>
      </c>
      <c r="K191" s="56" t="s">
        <v>59</v>
      </c>
      <c r="L191" s="58">
        <v>23179</v>
      </c>
      <c r="M191" s="56">
        <v>62</v>
      </c>
      <c r="N191" s="56" t="s">
        <v>4517</v>
      </c>
      <c r="O191" s="58">
        <v>48592</v>
      </c>
      <c r="P191" s="56" t="s">
        <v>5</v>
      </c>
      <c r="Q191" s="56"/>
      <c r="R191" s="162">
        <v>45913</v>
      </c>
      <c r="S191" s="163">
        <v>45918</v>
      </c>
      <c r="T191" s="164">
        <f t="shared" si="2"/>
        <v>5</v>
      </c>
      <c r="U191" s="56">
        <v>1</v>
      </c>
      <c r="V191" s="56">
        <v>1</v>
      </c>
      <c r="W191" s="56">
        <v>0</v>
      </c>
      <c r="X191" s="56">
        <v>0</v>
      </c>
      <c r="Y191" s="56">
        <v>0</v>
      </c>
      <c r="Z191" s="56">
        <v>0</v>
      </c>
      <c r="AA191" s="56">
        <v>0</v>
      </c>
      <c r="AB191" s="56"/>
      <c r="AC191" s="58">
        <v>45913</v>
      </c>
      <c r="AD191" s="59">
        <v>0.20833333333575865</v>
      </c>
      <c r="AE191" s="56" t="s">
        <v>1325</v>
      </c>
      <c r="AF191" s="58">
        <v>45921</v>
      </c>
      <c r="AG191" s="59">
        <v>0.60416666666424135</v>
      </c>
      <c r="AH191" s="56" t="s">
        <v>3763</v>
      </c>
      <c r="AI191" s="56" t="s">
        <v>4344</v>
      </c>
      <c r="AJ191" s="56" t="s">
        <v>64</v>
      </c>
      <c r="AK191" s="56" t="s">
        <v>64</v>
      </c>
      <c r="AL191" s="56" t="s">
        <v>3838</v>
      </c>
      <c r="AM191" s="60" t="s">
        <v>65</v>
      </c>
      <c r="AN191" s="60" t="s">
        <v>4061</v>
      </c>
      <c r="AO191" s="60"/>
      <c r="AP191" s="61"/>
    </row>
    <row r="192" spans="3:42" ht="14.25" customHeight="1">
      <c r="C192" s="55">
        <f>IF($X192=1,COUNTIF($C$10:C191,"&gt;0")+1,"")</f>
        <v>91</v>
      </c>
      <c r="D192" s="56">
        <v>15262416</v>
      </c>
      <c r="E192" s="56" t="s">
        <v>4339</v>
      </c>
      <c r="F192" s="57" t="s">
        <v>4518</v>
      </c>
      <c r="G192" s="56" t="s">
        <v>4512</v>
      </c>
      <c r="H192" s="56" t="s">
        <v>4519</v>
      </c>
      <c r="I192" s="56" t="s">
        <v>3981</v>
      </c>
      <c r="J192" s="56" t="s">
        <v>68</v>
      </c>
      <c r="K192" s="56" t="s">
        <v>59</v>
      </c>
      <c r="L192" s="58">
        <v>33483</v>
      </c>
      <c r="M192" s="56">
        <v>34</v>
      </c>
      <c r="N192" s="56" t="s">
        <v>4520</v>
      </c>
      <c r="O192" s="58">
        <v>48343</v>
      </c>
      <c r="P192" s="56" t="s">
        <v>5</v>
      </c>
      <c r="Q192" s="56"/>
      <c r="R192" s="162">
        <v>45913</v>
      </c>
      <c r="S192" s="163">
        <v>45918</v>
      </c>
      <c r="T192" s="164">
        <f t="shared" si="2"/>
        <v>5</v>
      </c>
      <c r="U192" s="56">
        <v>1</v>
      </c>
      <c r="V192" s="56">
        <v>1</v>
      </c>
      <c r="W192" s="56">
        <v>0</v>
      </c>
      <c r="X192" s="56">
        <v>1</v>
      </c>
      <c r="Y192" s="56">
        <v>0</v>
      </c>
      <c r="Z192" s="56">
        <v>0</v>
      </c>
      <c r="AA192" s="56">
        <v>1</v>
      </c>
      <c r="AB192" s="56"/>
      <c r="AC192" s="58">
        <v>45906</v>
      </c>
      <c r="AD192" s="59">
        <v>0.74305555555474712</v>
      </c>
      <c r="AE192" s="56" t="s">
        <v>3019</v>
      </c>
      <c r="AF192" s="58">
        <v>45918</v>
      </c>
      <c r="AG192" s="59">
        <v>0.60416666666424135</v>
      </c>
      <c r="AH192" s="56" t="s">
        <v>3763</v>
      </c>
      <c r="AI192" s="56" t="s">
        <v>4344</v>
      </c>
      <c r="AJ192" s="56" t="s">
        <v>64</v>
      </c>
      <c r="AK192" s="56" t="s">
        <v>64</v>
      </c>
      <c r="AL192" s="56" t="s">
        <v>3838</v>
      </c>
      <c r="AM192" s="60" t="s">
        <v>65</v>
      </c>
      <c r="AN192" s="60" t="s">
        <v>3967</v>
      </c>
      <c r="AO192" s="60"/>
      <c r="AP192" s="61"/>
    </row>
    <row r="193" spans="3:42" ht="14.25" customHeight="1">
      <c r="C193" s="55" t="str">
        <f>IF($X193=1,COUNTIF($C$10:C192,"&gt;0")+1,"")</f>
        <v/>
      </c>
      <c r="D193" s="56"/>
      <c r="E193" s="56" t="s">
        <v>4339</v>
      </c>
      <c r="F193" s="57" t="s">
        <v>4521</v>
      </c>
      <c r="G193" s="56" t="s">
        <v>4512</v>
      </c>
      <c r="H193" s="56" t="s">
        <v>4522</v>
      </c>
      <c r="I193" s="56" t="s">
        <v>3981</v>
      </c>
      <c r="J193" s="56" t="s">
        <v>58</v>
      </c>
      <c r="K193" s="56" t="s">
        <v>59</v>
      </c>
      <c r="L193" s="58">
        <v>34236</v>
      </c>
      <c r="M193" s="56">
        <v>31</v>
      </c>
      <c r="N193" s="56" t="s">
        <v>4523</v>
      </c>
      <c r="O193" s="58">
        <v>48840</v>
      </c>
      <c r="P193" s="56" t="s">
        <v>5</v>
      </c>
      <c r="Q193" s="56"/>
      <c r="R193" s="162">
        <v>45913</v>
      </c>
      <c r="S193" s="163">
        <v>45918</v>
      </c>
      <c r="T193" s="164">
        <f t="shared" si="2"/>
        <v>5</v>
      </c>
      <c r="U193" s="56">
        <v>1</v>
      </c>
      <c r="V193" s="56">
        <v>1</v>
      </c>
      <c r="W193" s="56">
        <v>0</v>
      </c>
      <c r="X193" s="56">
        <v>0</v>
      </c>
      <c r="Y193" s="56">
        <v>0</v>
      </c>
      <c r="Z193" s="56">
        <v>0</v>
      </c>
      <c r="AA193" s="56">
        <v>0</v>
      </c>
      <c r="AB193" s="56"/>
      <c r="AC193" s="58">
        <v>45906</v>
      </c>
      <c r="AD193" s="59">
        <v>0.74305555555474712</v>
      </c>
      <c r="AE193" s="56" t="s">
        <v>3019</v>
      </c>
      <c r="AF193" s="58">
        <v>45918</v>
      </c>
      <c r="AG193" s="59">
        <v>0.60416666666424135</v>
      </c>
      <c r="AH193" s="56" t="s">
        <v>3763</v>
      </c>
      <c r="AI193" s="56" t="s">
        <v>4344</v>
      </c>
      <c r="AJ193" s="56" t="s">
        <v>64</v>
      </c>
      <c r="AK193" s="56" t="s">
        <v>64</v>
      </c>
      <c r="AL193" s="56" t="s">
        <v>3838</v>
      </c>
      <c r="AM193" s="60" t="s">
        <v>65</v>
      </c>
      <c r="AN193" s="60" t="s">
        <v>3967</v>
      </c>
      <c r="AO193" s="60"/>
      <c r="AP193" s="61"/>
    </row>
    <row r="194" spans="3:42" ht="14.25" customHeight="1">
      <c r="C194" s="55">
        <f>IF($X194=1,COUNTIF($C$10:C193,"&gt;0")+1,"")</f>
        <v>92</v>
      </c>
      <c r="D194" s="56">
        <v>15262417</v>
      </c>
      <c r="E194" s="56" t="s">
        <v>4339</v>
      </c>
      <c r="F194" s="57" t="s">
        <v>4524</v>
      </c>
      <c r="G194" s="56" t="s">
        <v>4524</v>
      </c>
      <c r="H194" s="56" t="s">
        <v>4525</v>
      </c>
      <c r="I194" s="56" t="s">
        <v>4526</v>
      </c>
      <c r="J194" s="56" t="s">
        <v>68</v>
      </c>
      <c r="K194" s="56" t="s">
        <v>59</v>
      </c>
      <c r="L194" s="58">
        <v>18005</v>
      </c>
      <c r="M194" s="56">
        <v>76</v>
      </c>
      <c r="N194" s="56" t="s">
        <v>4527</v>
      </c>
      <c r="O194" s="58">
        <v>49403</v>
      </c>
      <c r="P194" s="56" t="s">
        <v>5</v>
      </c>
      <c r="Q194" s="56"/>
      <c r="R194" s="162">
        <v>45913</v>
      </c>
      <c r="S194" s="163">
        <v>45918</v>
      </c>
      <c r="T194" s="164">
        <f t="shared" si="2"/>
        <v>5</v>
      </c>
      <c r="U194" s="56">
        <v>1</v>
      </c>
      <c r="V194" s="56">
        <v>1</v>
      </c>
      <c r="W194" s="56">
        <v>0</v>
      </c>
      <c r="X194" s="56">
        <v>1</v>
      </c>
      <c r="Y194" s="56">
        <v>0</v>
      </c>
      <c r="Z194" s="56">
        <v>0</v>
      </c>
      <c r="AA194" s="56">
        <v>1</v>
      </c>
      <c r="AB194" s="56"/>
      <c r="AC194" s="58">
        <v>45913</v>
      </c>
      <c r="AD194" s="59">
        <v>0.1875</v>
      </c>
      <c r="AE194" s="56" t="s">
        <v>830</v>
      </c>
      <c r="AF194" s="58">
        <v>45918</v>
      </c>
      <c r="AG194" s="59">
        <v>0.79513888889050577</v>
      </c>
      <c r="AH194" s="56" t="s">
        <v>831</v>
      </c>
      <c r="AI194" s="56" t="s">
        <v>4344</v>
      </c>
      <c r="AJ194" s="56" t="s">
        <v>64</v>
      </c>
      <c r="AK194" s="56" t="s">
        <v>64</v>
      </c>
      <c r="AL194" s="56" t="s">
        <v>3838</v>
      </c>
      <c r="AM194" s="60" t="s">
        <v>65</v>
      </c>
      <c r="AN194" s="60" t="s">
        <v>4061</v>
      </c>
      <c r="AO194" s="60"/>
      <c r="AP194" s="61"/>
    </row>
    <row r="195" spans="3:42" ht="14.25" customHeight="1">
      <c r="C195" s="55" t="str">
        <f>IF($X195=1,COUNTIF($C$10:C194,"&gt;0")+1,"")</f>
        <v/>
      </c>
      <c r="D195" s="56"/>
      <c r="E195" s="56" t="s">
        <v>4339</v>
      </c>
      <c r="F195" s="57" t="s">
        <v>4528</v>
      </c>
      <c r="G195" s="56" t="s">
        <v>4524</v>
      </c>
      <c r="H195" s="56" t="s">
        <v>4529</v>
      </c>
      <c r="I195" s="56" t="s">
        <v>4530</v>
      </c>
      <c r="J195" s="56" t="s">
        <v>68</v>
      </c>
      <c r="K195" s="56" t="s">
        <v>59</v>
      </c>
      <c r="L195" s="58">
        <v>21652</v>
      </c>
      <c r="M195" s="56">
        <v>66</v>
      </c>
      <c r="N195" s="56" t="s">
        <v>4531</v>
      </c>
      <c r="O195" s="58">
        <v>47838</v>
      </c>
      <c r="P195" s="56" t="s">
        <v>5</v>
      </c>
      <c r="Q195" s="56"/>
      <c r="R195" s="162">
        <v>45913</v>
      </c>
      <c r="S195" s="163">
        <v>45918</v>
      </c>
      <c r="T195" s="164">
        <f t="shared" si="2"/>
        <v>5</v>
      </c>
      <c r="U195" s="56">
        <v>1</v>
      </c>
      <c r="V195" s="56">
        <v>1</v>
      </c>
      <c r="W195" s="56">
        <v>0</v>
      </c>
      <c r="X195" s="56">
        <v>0</v>
      </c>
      <c r="Y195" s="56">
        <v>0</v>
      </c>
      <c r="Z195" s="56">
        <v>0</v>
      </c>
      <c r="AA195" s="56">
        <v>0</v>
      </c>
      <c r="AB195" s="56"/>
      <c r="AC195" s="58">
        <v>45913</v>
      </c>
      <c r="AD195" s="59">
        <v>0.1875</v>
      </c>
      <c r="AE195" s="56" t="s">
        <v>830</v>
      </c>
      <c r="AF195" s="58">
        <v>45918</v>
      </c>
      <c r="AG195" s="59">
        <v>0.79513888889050577</v>
      </c>
      <c r="AH195" s="56" t="s">
        <v>831</v>
      </c>
      <c r="AI195" s="56" t="s">
        <v>4344</v>
      </c>
      <c r="AJ195" s="56" t="s">
        <v>64</v>
      </c>
      <c r="AK195" s="56" t="s">
        <v>64</v>
      </c>
      <c r="AL195" s="56" t="s">
        <v>3838</v>
      </c>
      <c r="AM195" s="60" t="s">
        <v>65</v>
      </c>
      <c r="AN195" s="60" t="s">
        <v>4061</v>
      </c>
      <c r="AO195" s="60"/>
      <c r="AP195" s="61"/>
    </row>
    <row r="196" spans="3:42" ht="14.25" customHeight="1">
      <c r="C196" s="55">
        <f>IF($X196=1,COUNTIF($C$10:C195,"&gt;0")+1,"")</f>
        <v>93</v>
      </c>
      <c r="D196" s="56">
        <v>15262418</v>
      </c>
      <c r="E196" s="56" t="s">
        <v>4339</v>
      </c>
      <c r="F196" s="57" t="s">
        <v>4532</v>
      </c>
      <c r="G196" s="56" t="s">
        <v>4532</v>
      </c>
      <c r="H196" s="56" t="s">
        <v>4533</v>
      </c>
      <c r="I196" s="56" t="s">
        <v>4534</v>
      </c>
      <c r="J196" s="56" t="s">
        <v>68</v>
      </c>
      <c r="K196" s="56" t="s">
        <v>59</v>
      </c>
      <c r="L196" s="58">
        <v>28202</v>
      </c>
      <c r="M196" s="56">
        <v>48</v>
      </c>
      <c r="N196" s="56" t="s">
        <v>4535</v>
      </c>
      <c r="O196" s="58">
        <v>48672</v>
      </c>
      <c r="P196" s="56" t="s">
        <v>4</v>
      </c>
      <c r="Q196" s="56"/>
      <c r="R196" s="162">
        <v>45913</v>
      </c>
      <c r="S196" s="163">
        <v>45918</v>
      </c>
      <c r="T196" s="164">
        <f t="shared" si="2"/>
        <v>5</v>
      </c>
      <c r="U196" s="56">
        <v>1</v>
      </c>
      <c r="V196" s="56">
        <v>1</v>
      </c>
      <c r="W196" s="56">
        <v>0</v>
      </c>
      <c r="X196" s="56">
        <v>1</v>
      </c>
      <c r="Y196" s="56">
        <v>0</v>
      </c>
      <c r="Z196" s="56">
        <v>1</v>
      </c>
      <c r="AA196" s="56">
        <v>0</v>
      </c>
      <c r="AB196" s="56"/>
      <c r="AC196" s="58">
        <v>45913</v>
      </c>
      <c r="AD196" s="59">
        <v>0.1875</v>
      </c>
      <c r="AE196" s="56" t="s">
        <v>220</v>
      </c>
      <c r="AF196" s="58">
        <v>45918</v>
      </c>
      <c r="AG196" s="59">
        <v>0.80208333333575865</v>
      </c>
      <c r="AH196" s="56" t="s">
        <v>221</v>
      </c>
      <c r="AI196" s="56" t="s">
        <v>4344</v>
      </c>
      <c r="AJ196" s="56" t="s">
        <v>64</v>
      </c>
      <c r="AK196" s="56" t="s">
        <v>64</v>
      </c>
      <c r="AL196" s="56" t="s">
        <v>3838</v>
      </c>
      <c r="AM196" s="60" t="s">
        <v>65</v>
      </c>
      <c r="AN196" s="60" t="s">
        <v>3974</v>
      </c>
      <c r="AO196" s="60"/>
      <c r="AP196" s="61"/>
    </row>
    <row r="197" spans="3:42" ht="14.25" customHeight="1">
      <c r="C197" s="55" t="str">
        <f>IF($X197=1,COUNTIF($C$10:C196,"&gt;0")+1,"")</f>
        <v/>
      </c>
      <c r="D197" s="56"/>
      <c r="E197" s="56" t="s">
        <v>4339</v>
      </c>
      <c r="F197" s="57" t="s">
        <v>4536</v>
      </c>
      <c r="G197" s="56" t="s">
        <v>4532</v>
      </c>
      <c r="H197" s="56" t="s">
        <v>1785</v>
      </c>
      <c r="I197" s="56" t="s">
        <v>4534</v>
      </c>
      <c r="J197" s="56" t="s">
        <v>58</v>
      </c>
      <c r="K197" s="56" t="s">
        <v>59</v>
      </c>
      <c r="L197" s="58">
        <v>20897</v>
      </c>
      <c r="M197" s="56">
        <v>68</v>
      </c>
      <c r="N197" s="56" t="s">
        <v>4537</v>
      </c>
      <c r="O197" s="58">
        <v>46396</v>
      </c>
      <c r="P197" s="56" t="s">
        <v>4</v>
      </c>
      <c r="Q197" s="56"/>
      <c r="R197" s="162">
        <v>45913</v>
      </c>
      <c r="S197" s="163">
        <v>45918</v>
      </c>
      <c r="T197" s="164">
        <f t="shared" si="2"/>
        <v>5</v>
      </c>
      <c r="U197" s="56">
        <v>1</v>
      </c>
      <c r="V197" s="56">
        <v>1</v>
      </c>
      <c r="W197" s="56">
        <v>0</v>
      </c>
      <c r="X197" s="56">
        <v>0</v>
      </c>
      <c r="Y197" s="56">
        <v>0</v>
      </c>
      <c r="Z197" s="56">
        <v>0</v>
      </c>
      <c r="AA197" s="56">
        <v>0</v>
      </c>
      <c r="AB197" s="56"/>
      <c r="AC197" s="58">
        <v>45913</v>
      </c>
      <c r="AD197" s="59">
        <v>0.1875</v>
      </c>
      <c r="AE197" s="56" t="s">
        <v>220</v>
      </c>
      <c r="AF197" s="58">
        <v>45918</v>
      </c>
      <c r="AG197" s="59">
        <v>0.80208333333575865</v>
      </c>
      <c r="AH197" s="56" t="s">
        <v>221</v>
      </c>
      <c r="AI197" s="56" t="s">
        <v>4344</v>
      </c>
      <c r="AJ197" s="56" t="s">
        <v>64</v>
      </c>
      <c r="AK197" s="56" t="s">
        <v>64</v>
      </c>
      <c r="AL197" s="56" t="s">
        <v>3838</v>
      </c>
      <c r="AM197" s="60" t="s">
        <v>65</v>
      </c>
      <c r="AN197" s="60" t="s">
        <v>3974</v>
      </c>
      <c r="AO197" s="60"/>
      <c r="AP197" s="61"/>
    </row>
    <row r="198" spans="3:42" ht="14.25" customHeight="1">
      <c r="C198" s="55">
        <f>IF($X198=1,COUNTIF($C$10:C197,"&gt;0")+1,"")</f>
        <v>94</v>
      </c>
      <c r="D198" s="56">
        <v>15262419</v>
      </c>
      <c r="E198" s="56" t="s">
        <v>4339</v>
      </c>
      <c r="F198" s="57" t="s">
        <v>4538</v>
      </c>
      <c r="G198" s="56" t="s">
        <v>4532</v>
      </c>
      <c r="H198" s="56" t="s">
        <v>4539</v>
      </c>
      <c r="I198" s="56" t="s">
        <v>4540</v>
      </c>
      <c r="J198" s="56" t="s">
        <v>58</v>
      </c>
      <c r="K198" s="56" t="s">
        <v>180</v>
      </c>
      <c r="L198" s="58">
        <v>17434</v>
      </c>
      <c r="M198" s="56">
        <v>77</v>
      </c>
      <c r="N198" s="56" t="s">
        <v>4541</v>
      </c>
      <c r="O198" s="58">
        <v>46964</v>
      </c>
      <c r="P198" s="56" t="s">
        <v>3</v>
      </c>
      <c r="Q198" s="56"/>
      <c r="R198" s="162">
        <v>45913</v>
      </c>
      <c r="S198" s="163">
        <v>45918</v>
      </c>
      <c r="T198" s="164">
        <f t="shared" si="2"/>
        <v>5</v>
      </c>
      <c r="U198" s="56">
        <v>1</v>
      </c>
      <c r="V198" s="56">
        <v>1</v>
      </c>
      <c r="W198" s="56">
        <v>0</v>
      </c>
      <c r="X198" s="56">
        <v>1</v>
      </c>
      <c r="Y198" s="56">
        <v>1</v>
      </c>
      <c r="Z198" s="56">
        <v>0</v>
      </c>
      <c r="AA198" s="56">
        <v>0</v>
      </c>
      <c r="AB198" s="56"/>
      <c r="AC198" s="58">
        <v>45913</v>
      </c>
      <c r="AD198" s="59">
        <v>0.1875</v>
      </c>
      <c r="AE198" s="56" t="s">
        <v>220</v>
      </c>
      <c r="AF198" s="58">
        <v>45918</v>
      </c>
      <c r="AG198" s="59">
        <v>0.80208333333575865</v>
      </c>
      <c r="AH198" s="56" t="s">
        <v>221</v>
      </c>
      <c r="AI198" s="56" t="s">
        <v>4344</v>
      </c>
      <c r="AJ198" s="56" t="s">
        <v>64</v>
      </c>
      <c r="AK198" s="56" t="s">
        <v>64</v>
      </c>
      <c r="AL198" s="56" t="s">
        <v>3838</v>
      </c>
      <c r="AM198" s="60" t="s">
        <v>65</v>
      </c>
      <c r="AN198" s="60" t="s">
        <v>3974</v>
      </c>
      <c r="AO198" s="60"/>
      <c r="AP198" s="61"/>
    </row>
    <row r="199" spans="3:42" ht="14.25" customHeight="1">
      <c r="C199" s="55">
        <f>IF($X199=1,COUNTIF($C$10:C198,"&gt;0")+1,"")</f>
        <v>95</v>
      </c>
      <c r="D199" s="56">
        <v>15262420</v>
      </c>
      <c r="E199" s="56" t="s">
        <v>4339</v>
      </c>
      <c r="F199" s="57" t="s">
        <v>4542</v>
      </c>
      <c r="G199" s="56" t="s">
        <v>4542</v>
      </c>
      <c r="H199" s="56" t="s">
        <v>4543</v>
      </c>
      <c r="I199" s="56" t="s">
        <v>4544</v>
      </c>
      <c r="J199" s="56" t="s">
        <v>68</v>
      </c>
      <c r="K199" s="56" t="s">
        <v>59</v>
      </c>
      <c r="L199" s="58">
        <v>19871</v>
      </c>
      <c r="M199" s="56">
        <v>71</v>
      </c>
      <c r="N199" s="56" t="s">
        <v>4545</v>
      </c>
      <c r="O199" s="58">
        <v>48351</v>
      </c>
      <c r="P199" s="56" t="s">
        <v>5</v>
      </c>
      <c r="Q199" s="56"/>
      <c r="R199" s="162">
        <v>45913</v>
      </c>
      <c r="S199" s="163">
        <v>45918</v>
      </c>
      <c r="T199" s="164">
        <f t="shared" si="2"/>
        <v>5</v>
      </c>
      <c r="U199" s="56">
        <v>1</v>
      </c>
      <c r="V199" s="56">
        <v>1</v>
      </c>
      <c r="W199" s="56">
        <v>0</v>
      </c>
      <c r="X199" s="56">
        <v>1</v>
      </c>
      <c r="Y199" s="56">
        <v>0</v>
      </c>
      <c r="Z199" s="56">
        <v>0</v>
      </c>
      <c r="AA199" s="56">
        <v>1</v>
      </c>
      <c r="AB199" s="56"/>
      <c r="AC199" s="58">
        <v>45913</v>
      </c>
      <c r="AD199" s="59">
        <v>0.20833333333575865</v>
      </c>
      <c r="AE199" s="56" t="s">
        <v>4106</v>
      </c>
      <c r="AF199" s="58">
        <v>45918</v>
      </c>
      <c r="AG199" s="59">
        <v>0.875</v>
      </c>
      <c r="AH199" s="56" t="s">
        <v>4132</v>
      </c>
      <c r="AI199" s="56" t="s">
        <v>4344</v>
      </c>
      <c r="AJ199" s="56" t="s">
        <v>64</v>
      </c>
      <c r="AK199" s="56" t="s">
        <v>64</v>
      </c>
      <c r="AL199" s="56" t="s">
        <v>3838</v>
      </c>
      <c r="AM199" s="60" t="s">
        <v>65</v>
      </c>
      <c r="AN199" s="60" t="s">
        <v>4061</v>
      </c>
      <c r="AO199" s="60"/>
      <c r="AP199" s="61"/>
    </row>
    <row r="200" spans="3:42" ht="14.25" customHeight="1">
      <c r="C200" s="55" t="str">
        <f>IF($X200=1,COUNTIF($C$10:C199,"&gt;0")+1,"")</f>
        <v/>
      </c>
      <c r="D200" s="56"/>
      <c r="E200" s="56" t="s">
        <v>4339</v>
      </c>
      <c r="F200" s="57" t="s">
        <v>4546</v>
      </c>
      <c r="G200" s="56" t="s">
        <v>4542</v>
      </c>
      <c r="H200" s="56" t="s">
        <v>4547</v>
      </c>
      <c r="I200" s="56" t="s">
        <v>4548</v>
      </c>
      <c r="J200" s="56" t="s">
        <v>68</v>
      </c>
      <c r="K200" s="56" t="s">
        <v>59</v>
      </c>
      <c r="L200" s="58">
        <v>17190</v>
      </c>
      <c r="M200" s="56">
        <v>78</v>
      </c>
      <c r="N200" s="56" t="s">
        <v>4549</v>
      </c>
      <c r="O200" s="58">
        <v>48423</v>
      </c>
      <c r="P200" s="56" t="s">
        <v>5</v>
      </c>
      <c r="Q200" s="56"/>
      <c r="R200" s="162">
        <v>45913</v>
      </c>
      <c r="S200" s="163">
        <v>45918</v>
      </c>
      <c r="T200" s="164">
        <f t="shared" si="2"/>
        <v>5</v>
      </c>
      <c r="U200" s="56">
        <v>1</v>
      </c>
      <c r="V200" s="56">
        <v>1</v>
      </c>
      <c r="W200" s="56">
        <v>0</v>
      </c>
      <c r="X200" s="56">
        <v>0</v>
      </c>
      <c r="Y200" s="56">
        <v>0</v>
      </c>
      <c r="Z200" s="56">
        <v>0</v>
      </c>
      <c r="AA200" s="56">
        <v>0</v>
      </c>
      <c r="AB200" s="56"/>
      <c r="AC200" s="58">
        <v>45913</v>
      </c>
      <c r="AD200" s="59">
        <v>0.73611111110949423</v>
      </c>
      <c r="AE200" s="56" t="s">
        <v>4508</v>
      </c>
      <c r="AF200" s="58">
        <v>45918</v>
      </c>
      <c r="AG200" s="59">
        <v>0.70138888889050577</v>
      </c>
      <c r="AH200" s="56" t="s">
        <v>96</v>
      </c>
      <c r="AI200" s="56" t="s">
        <v>4344</v>
      </c>
      <c r="AJ200" s="56" t="s">
        <v>64</v>
      </c>
      <c r="AK200" s="56" t="s">
        <v>64</v>
      </c>
      <c r="AL200" s="56" t="s">
        <v>3838</v>
      </c>
      <c r="AM200" s="60" t="s">
        <v>65</v>
      </c>
      <c r="AN200" s="60" t="s">
        <v>4061</v>
      </c>
      <c r="AO200" s="60"/>
      <c r="AP200" s="61"/>
    </row>
    <row r="201" spans="3:42" ht="14.25" customHeight="1">
      <c r="C201" s="55">
        <f>IF($X201=1,COUNTIF($C$10:C200,"&gt;0")+1,"")</f>
        <v>96</v>
      </c>
      <c r="D201" s="56">
        <v>15262422</v>
      </c>
      <c r="E201" s="56" t="s">
        <v>4339</v>
      </c>
      <c r="F201" s="57" t="s">
        <v>4550</v>
      </c>
      <c r="G201" s="56" t="s">
        <v>4550</v>
      </c>
      <c r="H201" s="56" t="s">
        <v>1042</v>
      </c>
      <c r="I201" s="56" t="s">
        <v>4551</v>
      </c>
      <c r="J201" s="56" t="s">
        <v>58</v>
      </c>
      <c r="K201" s="56" t="s">
        <v>59</v>
      </c>
      <c r="L201" s="58">
        <v>21882</v>
      </c>
      <c r="M201" s="56">
        <v>65</v>
      </c>
      <c r="N201" s="56" t="s">
        <v>4552</v>
      </c>
      <c r="O201" s="58">
        <v>48091</v>
      </c>
      <c r="P201" s="56" t="s">
        <v>4</v>
      </c>
      <c r="Q201" s="56"/>
      <c r="R201" s="162">
        <v>45913</v>
      </c>
      <c r="S201" s="163">
        <v>45918</v>
      </c>
      <c r="T201" s="164">
        <f t="shared" si="2"/>
        <v>5</v>
      </c>
      <c r="U201" s="56">
        <v>1</v>
      </c>
      <c r="V201" s="56">
        <v>1</v>
      </c>
      <c r="W201" s="56">
        <v>0</v>
      </c>
      <c r="X201" s="56">
        <v>1</v>
      </c>
      <c r="Y201" s="56">
        <v>0</v>
      </c>
      <c r="Z201" s="56">
        <v>1</v>
      </c>
      <c r="AA201" s="56">
        <v>0</v>
      </c>
      <c r="AB201" s="56"/>
      <c r="AC201" s="58">
        <v>45913</v>
      </c>
      <c r="AD201" s="59">
        <v>0.73611111110949423</v>
      </c>
      <c r="AE201" s="56" t="s">
        <v>4508</v>
      </c>
      <c r="AF201" s="58">
        <v>45918</v>
      </c>
      <c r="AG201" s="59">
        <v>0.70138888889050577</v>
      </c>
      <c r="AH201" s="56" t="s">
        <v>96</v>
      </c>
      <c r="AI201" s="56" t="s">
        <v>4344</v>
      </c>
      <c r="AJ201" s="56" t="s">
        <v>64</v>
      </c>
      <c r="AK201" s="56" t="s">
        <v>64</v>
      </c>
      <c r="AL201" s="56" t="s">
        <v>3838</v>
      </c>
      <c r="AM201" s="60" t="s">
        <v>65</v>
      </c>
      <c r="AN201" s="60" t="s">
        <v>3974</v>
      </c>
      <c r="AO201" s="60"/>
      <c r="AP201" s="61"/>
    </row>
    <row r="202" spans="3:42" ht="14.25" customHeight="1">
      <c r="C202" s="55" t="str">
        <f>IF($X202=1,COUNTIF($C$10:C201,"&gt;0")+1,"")</f>
        <v/>
      </c>
      <c r="D202" s="56"/>
      <c r="E202" s="56" t="s">
        <v>4339</v>
      </c>
      <c r="F202" s="57" t="s">
        <v>4553</v>
      </c>
      <c r="G202" s="56" t="s">
        <v>4550</v>
      </c>
      <c r="H202" s="56" t="s">
        <v>4554</v>
      </c>
      <c r="I202" s="56" t="s">
        <v>4555</v>
      </c>
      <c r="J202" s="56" t="s">
        <v>68</v>
      </c>
      <c r="K202" s="56" t="s">
        <v>59</v>
      </c>
      <c r="L202" s="58">
        <v>24883</v>
      </c>
      <c r="M202" s="56">
        <v>57</v>
      </c>
      <c r="N202" s="56" t="s">
        <v>4556</v>
      </c>
      <c r="O202" s="58">
        <v>48091</v>
      </c>
      <c r="P202" s="56" t="s">
        <v>4</v>
      </c>
      <c r="Q202" s="56"/>
      <c r="R202" s="162">
        <v>45913</v>
      </c>
      <c r="S202" s="163">
        <v>45918</v>
      </c>
      <c r="T202" s="164">
        <f t="shared" ref="T202:T265" si="3">S202-R202</f>
        <v>5</v>
      </c>
      <c r="U202" s="56">
        <v>1</v>
      </c>
      <c r="V202" s="56">
        <v>1</v>
      </c>
      <c r="W202" s="56">
        <v>0</v>
      </c>
      <c r="X202" s="56">
        <v>0</v>
      </c>
      <c r="Y202" s="56">
        <v>0</v>
      </c>
      <c r="Z202" s="56">
        <v>0</v>
      </c>
      <c r="AA202" s="56">
        <v>0</v>
      </c>
      <c r="AB202" s="56"/>
      <c r="AC202" s="58">
        <v>45913</v>
      </c>
      <c r="AD202" s="59">
        <v>0.73611111110949423</v>
      </c>
      <c r="AE202" s="56" t="s">
        <v>4508</v>
      </c>
      <c r="AF202" s="58">
        <v>45918</v>
      </c>
      <c r="AG202" s="59">
        <v>0.70138888889050577</v>
      </c>
      <c r="AH202" s="56" t="s">
        <v>96</v>
      </c>
      <c r="AI202" s="56" t="s">
        <v>4344</v>
      </c>
      <c r="AJ202" s="56" t="s">
        <v>64</v>
      </c>
      <c r="AK202" s="56" t="s">
        <v>64</v>
      </c>
      <c r="AL202" s="56" t="s">
        <v>3838</v>
      </c>
      <c r="AM202" s="60" t="s">
        <v>65</v>
      </c>
      <c r="AN202" s="60" t="s">
        <v>3974</v>
      </c>
      <c r="AO202" s="60"/>
      <c r="AP202" s="61"/>
    </row>
    <row r="203" spans="3:42" ht="14.25" customHeight="1">
      <c r="C203" s="55">
        <f>IF($X203=1,COUNTIF($C$10:C202,"&gt;0")+1,"")</f>
        <v>97</v>
      </c>
      <c r="D203" s="56">
        <v>15262423</v>
      </c>
      <c r="E203" s="56" t="s">
        <v>4339</v>
      </c>
      <c r="F203" s="57" t="s">
        <v>4557</v>
      </c>
      <c r="G203" s="56" t="s">
        <v>4557</v>
      </c>
      <c r="H203" s="56" t="s">
        <v>4558</v>
      </c>
      <c r="I203" s="56" t="s">
        <v>2779</v>
      </c>
      <c r="J203" s="56" t="s">
        <v>58</v>
      </c>
      <c r="K203" s="56" t="s">
        <v>59</v>
      </c>
      <c r="L203" s="58">
        <v>18224</v>
      </c>
      <c r="M203" s="56">
        <v>75</v>
      </c>
      <c r="N203" s="56" t="s">
        <v>64</v>
      </c>
      <c r="O203" s="58" t="s">
        <v>64</v>
      </c>
      <c r="P203" s="56" t="s">
        <v>5</v>
      </c>
      <c r="Q203" s="56"/>
      <c r="R203" s="162">
        <v>45913</v>
      </c>
      <c r="S203" s="163">
        <v>45918</v>
      </c>
      <c r="T203" s="164">
        <f t="shared" si="3"/>
        <v>5</v>
      </c>
      <c r="U203" s="56">
        <v>1</v>
      </c>
      <c r="V203" s="56">
        <v>1</v>
      </c>
      <c r="W203" s="56">
        <v>0</v>
      </c>
      <c r="X203" s="56">
        <v>1</v>
      </c>
      <c r="Y203" s="56">
        <v>0</v>
      </c>
      <c r="Z203" s="56">
        <v>0</v>
      </c>
      <c r="AA203" s="56">
        <v>1</v>
      </c>
      <c r="AB203" s="56"/>
      <c r="AC203" s="58">
        <v>45911</v>
      </c>
      <c r="AD203" s="59"/>
      <c r="AE203" s="56" t="s">
        <v>1058</v>
      </c>
      <c r="AF203" s="58">
        <v>45920</v>
      </c>
      <c r="AG203" s="59"/>
      <c r="AH203" s="56" t="s">
        <v>1058</v>
      </c>
      <c r="AI203" s="56" t="s">
        <v>4344</v>
      </c>
      <c r="AJ203" s="56" t="s">
        <v>64</v>
      </c>
      <c r="AK203" s="56" t="s">
        <v>64</v>
      </c>
      <c r="AL203" s="56" t="s">
        <v>3838</v>
      </c>
      <c r="AM203" s="60" t="s">
        <v>65</v>
      </c>
      <c r="AN203" s="60" t="s">
        <v>4061</v>
      </c>
      <c r="AO203" s="60"/>
      <c r="AP203" s="61"/>
    </row>
    <row r="204" spans="3:42" ht="14.25" customHeight="1">
      <c r="C204" s="55" t="str">
        <f>IF($X204=1,COUNTIF($C$10:C203,"&gt;0")+1,"")</f>
        <v/>
      </c>
      <c r="D204" s="56"/>
      <c r="E204" s="56" t="s">
        <v>4339</v>
      </c>
      <c r="F204" s="57" t="s">
        <v>4559</v>
      </c>
      <c r="G204" s="56" t="s">
        <v>4557</v>
      </c>
      <c r="H204" s="56" t="s">
        <v>4560</v>
      </c>
      <c r="I204" s="56" t="s">
        <v>4561</v>
      </c>
      <c r="J204" s="56" t="s">
        <v>58</v>
      </c>
      <c r="K204" s="56" t="s">
        <v>59</v>
      </c>
      <c r="L204" s="58">
        <v>22031</v>
      </c>
      <c r="M204" s="56">
        <v>65</v>
      </c>
      <c r="N204" s="56" t="s">
        <v>64</v>
      </c>
      <c r="O204" s="58" t="s">
        <v>64</v>
      </c>
      <c r="P204" s="56" t="s">
        <v>5</v>
      </c>
      <c r="Q204" s="56"/>
      <c r="R204" s="162">
        <v>45913</v>
      </c>
      <c r="S204" s="163">
        <v>45918</v>
      </c>
      <c r="T204" s="164">
        <f t="shared" si="3"/>
        <v>5</v>
      </c>
      <c r="U204" s="56">
        <v>1</v>
      </c>
      <c r="V204" s="56">
        <v>1</v>
      </c>
      <c r="W204" s="56">
        <v>0</v>
      </c>
      <c r="X204" s="56">
        <v>0</v>
      </c>
      <c r="Y204" s="56">
        <v>0</v>
      </c>
      <c r="Z204" s="56">
        <v>0</v>
      </c>
      <c r="AA204" s="56">
        <v>0</v>
      </c>
      <c r="AB204" s="56"/>
      <c r="AC204" s="58">
        <v>45913</v>
      </c>
      <c r="AD204" s="59">
        <v>0.45833333333575865</v>
      </c>
      <c r="AE204" s="56" t="s">
        <v>244</v>
      </c>
      <c r="AF204" s="58" t="s">
        <v>64</v>
      </c>
      <c r="AG204" s="59" t="s">
        <v>64</v>
      </c>
      <c r="AH204" s="56" t="s">
        <v>1058</v>
      </c>
      <c r="AI204" s="56" t="s">
        <v>4344</v>
      </c>
      <c r="AJ204" s="56" t="s">
        <v>64</v>
      </c>
      <c r="AK204" s="56" t="s">
        <v>64</v>
      </c>
      <c r="AL204" s="56" t="s">
        <v>3838</v>
      </c>
      <c r="AM204" s="60" t="s">
        <v>65</v>
      </c>
      <c r="AN204" s="60" t="s">
        <v>4061</v>
      </c>
      <c r="AO204" s="60"/>
      <c r="AP204" s="61"/>
    </row>
    <row r="205" spans="3:42" ht="14.25" customHeight="1">
      <c r="C205" s="55">
        <f>IF($X205=1,COUNTIF($C$10:C204,"&gt;0")+1,"")</f>
        <v>98</v>
      </c>
      <c r="D205" s="56">
        <v>15262424</v>
      </c>
      <c r="E205" s="56" t="s">
        <v>4339</v>
      </c>
      <c r="F205" s="57" t="s">
        <v>4562</v>
      </c>
      <c r="G205" s="56" t="s">
        <v>4562</v>
      </c>
      <c r="H205" s="56" t="s">
        <v>4563</v>
      </c>
      <c r="I205" s="56" t="s">
        <v>4564</v>
      </c>
      <c r="J205" s="56" t="s">
        <v>68</v>
      </c>
      <c r="K205" s="56" t="s">
        <v>59</v>
      </c>
      <c r="L205" s="58">
        <v>28195</v>
      </c>
      <c r="M205" s="56">
        <v>48</v>
      </c>
      <c r="N205" s="56" t="s">
        <v>4565</v>
      </c>
      <c r="O205" s="58">
        <v>46832</v>
      </c>
      <c r="P205" s="56" t="s">
        <v>5</v>
      </c>
      <c r="Q205" s="56"/>
      <c r="R205" s="162">
        <v>45913</v>
      </c>
      <c r="S205" s="163">
        <v>45918</v>
      </c>
      <c r="T205" s="164">
        <f t="shared" si="3"/>
        <v>5</v>
      </c>
      <c r="U205" s="56">
        <v>1</v>
      </c>
      <c r="V205" s="56">
        <v>1</v>
      </c>
      <c r="W205" s="56">
        <v>0</v>
      </c>
      <c r="X205" s="56">
        <v>1</v>
      </c>
      <c r="Y205" s="56">
        <v>0</v>
      </c>
      <c r="Z205" s="56">
        <v>0</v>
      </c>
      <c r="AA205" s="56">
        <v>1</v>
      </c>
      <c r="AB205" s="56"/>
      <c r="AC205" s="58">
        <v>45913</v>
      </c>
      <c r="AD205" s="59">
        <v>0.62152777778101154</v>
      </c>
      <c r="AE205" s="56" t="s">
        <v>268</v>
      </c>
      <c r="AF205" s="58">
        <v>45921</v>
      </c>
      <c r="AG205" s="59">
        <v>0.52777777778101154</v>
      </c>
      <c r="AH205" s="56" t="s">
        <v>842</v>
      </c>
      <c r="AI205" s="56" t="s">
        <v>4344</v>
      </c>
      <c r="AJ205" s="56" t="s">
        <v>64</v>
      </c>
      <c r="AK205" s="56" t="s">
        <v>64</v>
      </c>
      <c r="AL205" s="56" t="s">
        <v>3838</v>
      </c>
      <c r="AM205" s="60" t="s">
        <v>65</v>
      </c>
      <c r="AN205" s="60" t="s">
        <v>4061</v>
      </c>
      <c r="AO205" s="60"/>
      <c r="AP205" s="61"/>
    </row>
    <row r="206" spans="3:42" ht="14.25" customHeight="1">
      <c r="C206" s="55" t="str">
        <f>IF($X206=1,COUNTIF($C$10:C205,"&gt;0")+1,"")</f>
        <v/>
      </c>
      <c r="D206" s="56"/>
      <c r="E206" s="56" t="s">
        <v>4339</v>
      </c>
      <c r="F206" s="57" t="s">
        <v>4566</v>
      </c>
      <c r="G206" s="56" t="s">
        <v>4562</v>
      </c>
      <c r="H206" s="56" t="s">
        <v>4567</v>
      </c>
      <c r="I206" s="56" t="s">
        <v>4568</v>
      </c>
      <c r="J206" s="56" t="s">
        <v>68</v>
      </c>
      <c r="K206" s="56" t="s">
        <v>59</v>
      </c>
      <c r="L206" s="58">
        <v>21374</v>
      </c>
      <c r="M206" s="56">
        <v>67</v>
      </c>
      <c r="N206" s="56" t="s">
        <v>4569</v>
      </c>
      <c r="O206" s="58">
        <v>48072</v>
      </c>
      <c r="P206" s="56" t="s">
        <v>5</v>
      </c>
      <c r="Q206" s="56"/>
      <c r="R206" s="162">
        <v>45913</v>
      </c>
      <c r="S206" s="163">
        <v>45918</v>
      </c>
      <c r="T206" s="164">
        <f t="shared" si="3"/>
        <v>5</v>
      </c>
      <c r="U206" s="56">
        <v>1</v>
      </c>
      <c r="V206" s="56">
        <v>1</v>
      </c>
      <c r="W206" s="56">
        <v>0</v>
      </c>
      <c r="X206" s="56">
        <v>0</v>
      </c>
      <c r="Y206" s="56">
        <v>0</v>
      </c>
      <c r="Z206" s="56">
        <v>0</v>
      </c>
      <c r="AA206" s="56">
        <v>0</v>
      </c>
      <c r="AB206" s="56"/>
      <c r="AC206" s="58">
        <v>45913</v>
      </c>
      <c r="AD206" s="59">
        <v>0.45833333333575865</v>
      </c>
      <c r="AE206" s="56" t="s">
        <v>244</v>
      </c>
      <c r="AF206" s="58">
        <v>45918</v>
      </c>
      <c r="AG206" s="59">
        <v>0.5</v>
      </c>
      <c r="AH206" s="56" t="s">
        <v>2915</v>
      </c>
      <c r="AI206" s="56" t="s">
        <v>4344</v>
      </c>
      <c r="AJ206" s="56" t="s">
        <v>64</v>
      </c>
      <c r="AK206" s="56" t="s">
        <v>64</v>
      </c>
      <c r="AL206" s="56" t="s">
        <v>3838</v>
      </c>
      <c r="AM206" s="60" t="s">
        <v>65</v>
      </c>
      <c r="AN206" s="60" t="s">
        <v>4061</v>
      </c>
      <c r="AO206" s="60"/>
      <c r="AP206" s="61"/>
    </row>
    <row r="207" spans="3:42" ht="14.25" customHeight="1">
      <c r="C207" s="55">
        <f>IF($X207=1,COUNTIF($C$10:C206,"&gt;0")+1,"")</f>
        <v>99</v>
      </c>
      <c r="D207" s="56">
        <v>15262425</v>
      </c>
      <c r="E207" s="56" t="s">
        <v>4339</v>
      </c>
      <c r="F207" s="57" t="s">
        <v>4570</v>
      </c>
      <c r="G207" s="56" t="s">
        <v>4570</v>
      </c>
      <c r="H207" s="56" t="s">
        <v>4571</v>
      </c>
      <c r="I207" s="56" t="s">
        <v>1376</v>
      </c>
      <c r="J207" s="56" t="s">
        <v>58</v>
      </c>
      <c r="K207" s="56" t="s">
        <v>460</v>
      </c>
      <c r="L207" s="58">
        <v>34024</v>
      </c>
      <c r="M207" s="56">
        <v>32</v>
      </c>
      <c r="N207" s="56" t="s">
        <v>4572</v>
      </c>
      <c r="O207" s="58">
        <v>48682</v>
      </c>
      <c r="P207" s="56" t="s">
        <v>4</v>
      </c>
      <c r="Q207" s="56"/>
      <c r="R207" s="162">
        <v>45913</v>
      </c>
      <c r="S207" s="163">
        <v>45918</v>
      </c>
      <c r="T207" s="164">
        <f t="shared" si="3"/>
        <v>5</v>
      </c>
      <c r="U207" s="56">
        <v>1</v>
      </c>
      <c r="V207" s="56">
        <v>1</v>
      </c>
      <c r="W207" s="56">
        <v>0</v>
      </c>
      <c r="X207" s="56">
        <v>1</v>
      </c>
      <c r="Y207" s="56">
        <v>0</v>
      </c>
      <c r="Z207" s="56">
        <v>1</v>
      </c>
      <c r="AA207" s="56">
        <v>0</v>
      </c>
      <c r="AB207" s="56"/>
      <c r="AC207" s="58">
        <v>45913</v>
      </c>
      <c r="AD207" s="59">
        <v>0.98958333333575865</v>
      </c>
      <c r="AE207" s="56" t="s">
        <v>4573</v>
      </c>
      <c r="AF207" s="58">
        <v>45920</v>
      </c>
      <c r="AG207" s="59">
        <v>0.86458333333575865</v>
      </c>
      <c r="AH207" s="56" t="s">
        <v>463</v>
      </c>
      <c r="AI207" s="56" t="s">
        <v>4344</v>
      </c>
      <c r="AJ207" s="56" t="s">
        <v>64</v>
      </c>
      <c r="AK207" s="56" t="s">
        <v>64</v>
      </c>
      <c r="AL207" s="56" t="s">
        <v>3838</v>
      </c>
      <c r="AM207" s="60" t="s">
        <v>65</v>
      </c>
      <c r="AN207" s="60" t="s">
        <v>3974</v>
      </c>
      <c r="AO207" s="60" t="s">
        <v>331</v>
      </c>
      <c r="AP207" s="61"/>
    </row>
    <row r="208" spans="3:42" ht="14.25" customHeight="1">
      <c r="C208" s="55" t="str">
        <f>IF($X208=1,COUNTIF($C$10:C207,"&gt;0")+1,"")</f>
        <v/>
      </c>
      <c r="D208" s="56"/>
      <c r="E208" s="56" t="s">
        <v>4339</v>
      </c>
      <c r="F208" s="57" t="s">
        <v>4574</v>
      </c>
      <c r="G208" s="56" t="s">
        <v>4570</v>
      </c>
      <c r="H208" s="56" t="s">
        <v>4575</v>
      </c>
      <c r="I208" s="56" t="s">
        <v>4576</v>
      </c>
      <c r="J208" s="56" t="s">
        <v>68</v>
      </c>
      <c r="K208" s="56" t="s">
        <v>460</v>
      </c>
      <c r="L208" s="58">
        <v>35578</v>
      </c>
      <c r="M208" s="56">
        <v>28</v>
      </c>
      <c r="N208" s="56" t="s">
        <v>4577</v>
      </c>
      <c r="O208" s="58">
        <v>46589</v>
      </c>
      <c r="P208" s="56" t="s">
        <v>4</v>
      </c>
      <c r="Q208" s="56"/>
      <c r="R208" s="162">
        <v>45913</v>
      </c>
      <c r="S208" s="163">
        <v>45918</v>
      </c>
      <c r="T208" s="164">
        <f t="shared" si="3"/>
        <v>5</v>
      </c>
      <c r="U208" s="56">
        <v>1</v>
      </c>
      <c r="V208" s="56">
        <v>1</v>
      </c>
      <c r="W208" s="56">
        <v>0</v>
      </c>
      <c r="X208" s="56">
        <v>0</v>
      </c>
      <c r="Y208" s="56">
        <v>0</v>
      </c>
      <c r="Z208" s="56">
        <v>0</v>
      </c>
      <c r="AA208" s="56">
        <v>0</v>
      </c>
      <c r="AB208" s="56"/>
      <c r="AC208" s="58">
        <v>45913</v>
      </c>
      <c r="AD208" s="59">
        <v>0.98958333333575865</v>
      </c>
      <c r="AE208" s="56" t="s">
        <v>4573</v>
      </c>
      <c r="AF208" s="58">
        <v>45920</v>
      </c>
      <c r="AG208" s="59">
        <v>0.86458333333575865</v>
      </c>
      <c r="AH208" s="56" t="s">
        <v>463</v>
      </c>
      <c r="AI208" s="56" t="s">
        <v>4344</v>
      </c>
      <c r="AJ208" s="56" t="s">
        <v>64</v>
      </c>
      <c r="AK208" s="56" t="s">
        <v>64</v>
      </c>
      <c r="AL208" s="56" t="s">
        <v>3838</v>
      </c>
      <c r="AM208" s="60" t="s">
        <v>65</v>
      </c>
      <c r="AN208" s="60" t="s">
        <v>3974</v>
      </c>
      <c r="AO208" s="60" t="s">
        <v>331</v>
      </c>
      <c r="AP208" s="61"/>
    </row>
    <row r="209" spans="3:42" ht="14.25" customHeight="1">
      <c r="C209" s="55">
        <f>IF($X209=1,COUNTIF($C$10:C208,"&gt;0")+1,"")</f>
        <v>100</v>
      </c>
      <c r="D209" s="56">
        <v>15262426</v>
      </c>
      <c r="E209" s="56" t="s">
        <v>4339</v>
      </c>
      <c r="F209" s="57" t="s">
        <v>4578</v>
      </c>
      <c r="G209" s="56" t="s">
        <v>4578</v>
      </c>
      <c r="H209" s="56" t="s">
        <v>4579</v>
      </c>
      <c r="I209" s="56" t="s">
        <v>1397</v>
      </c>
      <c r="J209" s="56" t="s">
        <v>68</v>
      </c>
      <c r="K209" s="56" t="s">
        <v>59</v>
      </c>
      <c r="L209" s="58">
        <v>18641</v>
      </c>
      <c r="M209" s="56">
        <v>74</v>
      </c>
      <c r="N209" s="56" t="s">
        <v>4580</v>
      </c>
      <c r="O209" s="58">
        <v>46115</v>
      </c>
      <c r="P209" s="56" t="s">
        <v>5</v>
      </c>
      <c r="Q209" s="56"/>
      <c r="R209" s="162">
        <v>45913</v>
      </c>
      <c r="S209" s="163">
        <v>45918</v>
      </c>
      <c r="T209" s="164">
        <f t="shared" si="3"/>
        <v>5</v>
      </c>
      <c r="U209" s="56">
        <v>1</v>
      </c>
      <c r="V209" s="56">
        <v>1</v>
      </c>
      <c r="W209" s="56">
        <v>0</v>
      </c>
      <c r="X209" s="56">
        <v>1</v>
      </c>
      <c r="Y209" s="56">
        <v>0</v>
      </c>
      <c r="Z209" s="56">
        <v>0</v>
      </c>
      <c r="AA209" s="56">
        <v>1</v>
      </c>
      <c r="AB209" s="56"/>
      <c r="AC209" s="58">
        <v>45913</v>
      </c>
      <c r="AD209" s="59">
        <v>0.65625</v>
      </c>
      <c r="AE209" s="56" t="s">
        <v>1385</v>
      </c>
      <c r="AF209" s="58">
        <v>45925</v>
      </c>
      <c r="AG209" s="59">
        <v>0.53125</v>
      </c>
      <c r="AH209" s="56" t="s">
        <v>269</v>
      </c>
      <c r="AI209" s="56" t="s">
        <v>4344</v>
      </c>
      <c r="AJ209" s="56" t="s">
        <v>64</v>
      </c>
      <c r="AK209" s="56" t="s">
        <v>64</v>
      </c>
      <c r="AL209" s="56" t="s">
        <v>3838</v>
      </c>
      <c r="AM209" s="60" t="s">
        <v>65</v>
      </c>
      <c r="AN209" s="60" t="s">
        <v>4061</v>
      </c>
      <c r="AO209" s="60"/>
      <c r="AP209" s="61"/>
    </row>
    <row r="210" spans="3:42" ht="14.25" customHeight="1">
      <c r="C210" s="55" t="str">
        <f>IF($X210=1,COUNTIF($C$10:C209,"&gt;0")+1,"")</f>
        <v/>
      </c>
      <c r="D210" s="56"/>
      <c r="E210" s="56" t="s">
        <v>4339</v>
      </c>
      <c r="F210" s="57" t="s">
        <v>4581</v>
      </c>
      <c r="G210" s="56" t="s">
        <v>4578</v>
      </c>
      <c r="H210" s="56" t="s">
        <v>4582</v>
      </c>
      <c r="I210" s="56" t="s">
        <v>1397</v>
      </c>
      <c r="J210" s="56" t="s">
        <v>68</v>
      </c>
      <c r="K210" s="56" t="s">
        <v>59</v>
      </c>
      <c r="L210" s="58">
        <v>19704</v>
      </c>
      <c r="M210" s="56">
        <v>71</v>
      </c>
      <c r="N210" s="56" t="s">
        <v>4583</v>
      </c>
      <c r="O210" s="58">
        <v>49291</v>
      </c>
      <c r="P210" s="56" t="s">
        <v>5</v>
      </c>
      <c r="Q210" s="56"/>
      <c r="R210" s="162">
        <v>45913</v>
      </c>
      <c r="S210" s="163">
        <v>45918</v>
      </c>
      <c r="T210" s="164">
        <f t="shared" si="3"/>
        <v>5</v>
      </c>
      <c r="U210" s="56">
        <v>1</v>
      </c>
      <c r="V210" s="56">
        <v>1</v>
      </c>
      <c r="W210" s="56">
        <v>0</v>
      </c>
      <c r="X210" s="56">
        <v>0</v>
      </c>
      <c r="Y210" s="56">
        <v>0</v>
      </c>
      <c r="Z210" s="56">
        <v>0</v>
      </c>
      <c r="AA210" s="56">
        <v>0</v>
      </c>
      <c r="AB210" s="56"/>
      <c r="AC210" s="58">
        <v>45907</v>
      </c>
      <c r="AD210" s="59">
        <v>0.73611111110949423</v>
      </c>
      <c r="AE210" s="56" t="s">
        <v>1734</v>
      </c>
      <c r="AF210" s="58">
        <v>45930</v>
      </c>
      <c r="AG210" s="59">
        <v>0.43402777778101154</v>
      </c>
      <c r="AH210" s="56" t="s">
        <v>1745</v>
      </c>
      <c r="AI210" s="56" t="s">
        <v>4344</v>
      </c>
      <c r="AJ210" s="56" t="s">
        <v>64</v>
      </c>
      <c r="AK210" s="56" t="s">
        <v>64</v>
      </c>
      <c r="AL210" s="56" t="s">
        <v>3838</v>
      </c>
      <c r="AM210" s="60" t="s">
        <v>65</v>
      </c>
      <c r="AN210" s="60" t="s">
        <v>4061</v>
      </c>
      <c r="AO210" s="60"/>
      <c r="AP210" s="61"/>
    </row>
    <row r="211" spans="3:42" ht="14.25" customHeight="1">
      <c r="C211" s="55">
        <f>IF($X211=1,COUNTIF($C$10:C210,"&gt;0")+1,"")</f>
        <v>101</v>
      </c>
      <c r="D211" s="56">
        <v>15262427</v>
      </c>
      <c r="E211" s="56" t="s">
        <v>4339</v>
      </c>
      <c r="F211" s="57" t="s">
        <v>4584</v>
      </c>
      <c r="G211" s="56" t="s">
        <v>4584</v>
      </c>
      <c r="H211" s="56" t="s">
        <v>4585</v>
      </c>
      <c r="I211" s="56" t="s">
        <v>4586</v>
      </c>
      <c r="J211" s="56" t="s">
        <v>68</v>
      </c>
      <c r="K211" s="56" t="s">
        <v>59</v>
      </c>
      <c r="L211" s="58">
        <v>19609</v>
      </c>
      <c r="M211" s="56">
        <v>72</v>
      </c>
      <c r="N211" s="56" t="s">
        <v>4587</v>
      </c>
      <c r="O211" s="58">
        <v>46291</v>
      </c>
      <c r="P211" s="56" t="s">
        <v>5</v>
      </c>
      <c r="Q211" s="56"/>
      <c r="R211" s="162">
        <v>45913</v>
      </c>
      <c r="S211" s="163">
        <v>45918</v>
      </c>
      <c r="T211" s="164">
        <f t="shared" si="3"/>
        <v>5</v>
      </c>
      <c r="U211" s="56">
        <v>1</v>
      </c>
      <c r="V211" s="56">
        <v>1</v>
      </c>
      <c r="W211" s="56">
        <v>0</v>
      </c>
      <c r="X211" s="56">
        <v>1</v>
      </c>
      <c r="Y211" s="56">
        <v>0</v>
      </c>
      <c r="Z211" s="56">
        <v>0</v>
      </c>
      <c r="AA211" s="56">
        <v>1</v>
      </c>
      <c r="AB211" s="56"/>
      <c r="AC211" s="58">
        <v>45913</v>
      </c>
      <c r="AD211" s="59">
        <v>0.45833333333575865</v>
      </c>
      <c r="AE211" s="56" t="s">
        <v>244</v>
      </c>
      <c r="AF211" s="58">
        <v>45918</v>
      </c>
      <c r="AG211" s="59">
        <v>0.5</v>
      </c>
      <c r="AH211" s="56" t="s">
        <v>2915</v>
      </c>
      <c r="AI211" s="56" t="s">
        <v>4344</v>
      </c>
      <c r="AJ211" s="56" t="s">
        <v>64</v>
      </c>
      <c r="AK211" s="56" t="s">
        <v>64</v>
      </c>
      <c r="AL211" s="56" t="s">
        <v>3838</v>
      </c>
      <c r="AM211" s="60" t="s">
        <v>65</v>
      </c>
      <c r="AN211" s="60" t="s">
        <v>4061</v>
      </c>
      <c r="AO211" s="60"/>
      <c r="AP211" s="61"/>
    </row>
    <row r="212" spans="3:42" ht="14.25" customHeight="1">
      <c r="C212" s="55" t="str">
        <f>IF($X212=1,COUNTIF($C$10:C211,"&gt;0")+1,"")</f>
        <v/>
      </c>
      <c r="D212" s="56"/>
      <c r="E212" s="56" t="s">
        <v>4339</v>
      </c>
      <c r="F212" s="57" t="s">
        <v>4588</v>
      </c>
      <c r="G212" s="56" t="s">
        <v>4584</v>
      </c>
      <c r="H212" s="56" t="s">
        <v>4589</v>
      </c>
      <c r="I212" s="56" t="s">
        <v>4013</v>
      </c>
      <c r="J212" s="56" t="s">
        <v>68</v>
      </c>
      <c r="K212" s="56" t="s">
        <v>59</v>
      </c>
      <c r="L212" s="58">
        <v>30158</v>
      </c>
      <c r="M212" s="56">
        <v>43</v>
      </c>
      <c r="N212" s="56" t="s">
        <v>4590</v>
      </c>
      <c r="O212" s="58">
        <v>49220</v>
      </c>
      <c r="P212" s="56" t="s">
        <v>5</v>
      </c>
      <c r="Q212" s="56"/>
      <c r="R212" s="162">
        <v>45913</v>
      </c>
      <c r="S212" s="163">
        <v>45918</v>
      </c>
      <c r="T212" s="164">
        <f t="shared" si="3"/>
        <v>5</v>
      </c>
      <c r="U212" s="56">
        <v>1</v>
      </c>
      <c r="V212" s="56">
        <v>1</v>
      </c>
      <c r="W212" s="56">
        <v>0</v>
      </c>
      <c r="X212" s="56">
        <v>0</v>
      </c>
      <c r="Y212" s="56">
        <v>0</v>
      </c>
      <c r="Z212" s="56">
        <v>0</v>
      </c>
      <c r="AA212" s="56">
        <v>0</v>
      </c>
      <c r="AB212" s="56"/>
      <c r="AC212" s="58">
        <v>45913</v>
      </c>
      <c r="AD212" s="59">
        <v>0.45833333333575865</v>
      </c>
      <c r="AE212" s="56" t="s">
        <v>244</v>
      </c>
      <c r="AF212" s="58">
        <v>45918</v>
      </c>
      <c r="AG212" s="59">
        <v>0.5</v>
      </c>
      <c r="AH212" s="56" t="s">
        <v>2915</v>
      </c>
      <c r="AI212" s="56" t="s">
        <v>4344</v>
      </c>
      <c r="AJ212" s="56" t="s">
        <v>64</v>
      </c>
      <c r="AK212" s="56" t="s">
        <v>64</v>
      </c>
      <c r="AL212" s="56" t="s">
        <v>3838</v>
      </c>
      <c r="AM212" s="60" t="s">
        <v>65</v>
      </c>
      <c r="AN212" s="60" t="s">
        <v>4061</v>
      </c>
      <c r="AO212" s="60"/>
      <c r="AP212" s="61"/>
    </row>
    <row r="213" spans="3:42" ht="14.25" customHeight="1">
      <c r="C213" s="55">
        <f>IF($X213=1,COUNTIF($C$10:C212,"&gt;0")+1,"")</f>
        <v>102</v>
      </c>
      <c r="D213" s="56">
        <v>15262428</v>
      </c>
      <c r="E213" s="56" t="s">
        <v>4339</v>
      </c>
      <c r="F213" s="57" t="s">
        <v>4591</v>
      </c>
      <c r="G213" s="56" t="s">
        <v>4591</v>
      </c>
      <c r="H213" s="56" t="s">
        <v>4592</v>
      </c>
      <c r="I213" s="56" t="s">
        <v>4593</v>
      </c>
      <c r="J213" s="56" t="s">
        <v>68</v>
      </c>
      <c r="K213" s="56" t="s">
        <v>59</v>
      </c>
      <c r="L213" s="58">
        <v>25171</v>
      </c>
      <c r="M213" s="56">
        <v>56</v>
      </c>
      <c r="N213" s="56" t="s">
        <v>4594</v>
      </c>
      <c r="O213" s="58">
        <v>47238</v>
      </c>
      <c r="P213" s="56" t="s">
        <v>4</v>
      </c>
      <c r="Q213" s="56"/>
      <c r="R213" s="162">
        <v>45913</v>
      </c>
      <c r="S213" s="163">
        <v>45918</v>
      </c>
      <c r="T213" s="164">
        <f t="shared" si="3"/>
        <v>5</v>
      </c>
      <c r="U213" s="56">
        <v>1</v>
      </c>
      <c r="V213" s="56">
        <v>1</v>
      </c>
      <c r="W213" s="56">
        <v>0</v>
      </c>
      <c r="X213" s="56">
        <v>1</v>
      </c>
      <c r="Y213" s="56">
        <v>0</v>
      </c>
      <c r="Z213" s="56">
        <v>1</v>
      </c>
      <c r="AA213" s="56">
        <v>0</v>
      </c>
      <c r="AB213" s="56"/>
      <c r="AC213" s="58">
        <v>45913</v>
      </c>
      <c r="AD213" s="59">
        <v>0.45833333333575865</v>
      </c>
      <c r="AE213" s="56" t="s">
        <v>244</v>
      </c>
      <c r="AF213" s="58">
        <v>45918</v>
      </c>
      <c r="AG213" s="59">
        <v>0.5</v>
      </c>
      <c r="AH213" s="56" t="s">
        <v>2915</v>
      </c>
      <c r="AI213" s="56" t="s">
        <v>4344</v>
      </c>
      <c r="AJ213" s="56" t="s">
        <v>64</v>
      </c>
      <c r="AK213" s="56" t="s">
        <v>64</v>
      </c>
      <c r="AL213" s="56" t="s">
        <v>3838</v>
      </c>
      <c r="AM213" s="60" t="s">
        <v>65</v>
      </c>
      <c r="AN213" s="60" t="s">
        <v>3974</v>
      </c>
      <c r="AO213" s="60"/>
      <c r="AP213" s="61"/>
    </row>
    <row r="214" spans="3:42" ht="14.25" customHeight="1">
      <c r="C214" s="55" t="str">
        <f>IF($X214=1,COUNTIF($C$10:C213,"&gt;0")+1,"")</f>
        <v/>
      </c>
      <c r="D214" s="56"/>
      <c r="E214" s="56" t="s">
        <v>4339</v>
      </c>
      <c r="F214" s="57" t="s">
        <v>4595</v>
      </c>
      <c r="G214" s="56" t="s">
        <v>4591</v>
      </c>
      <c r="H214" s="56" t="s">
        <v>4596</v>
      </c>
      <c r="I214" s="56" t="s">
        <v>4597</v>
      </c>
      <c r="J214" s="56" t="s">
        <v>68</v>
      </c>
      <c r="K214" s="56" t="s">
        <v>59</v>
      </c>
      <c r="L214" s="58">
        <v>21947</v>
      </c>
      <c r="M214" s="56">
        <v>65</v>
      </c>
      <c r="N214" s="56" t="s">
        <v>4598</v>
      </c>
      <c r="O214" s="58">
        <v>46720</v>
      </c>
      <c r="P214" s="56" t="s">
        <v>4</v>
      </c>
      <c r="Q214" s="56"/>
      <c r="R214" s="162">
        <v>45913</v>
      </c>
      <c r="S214" s="163">
        <v>45918</v>
      </c>
      <c r="T214" s="164">
        <f t="shared" si="3"/>
        <v>5</v>
      </c>
      <c r="U214" s="56">
        <v>1</v>
      </c>
      <c r="V214" s="56">
        <v>1</v>
      </c>
      <c r="W214" s="56">
        <v>0</v>
      </c>
      <c r="X214" s="56">
        <v>0</v>
      </c>
      <c r="Y214" s="56">
        <v>0</v>
      </c>
      <c r="Z214" s="56">
        <v>0</v>
      </c>
      <c r="AA214" s="56">
        <v>0</v>
      </c>
      <c r="AB214" s="56"/>
      <c r="AC214" s="58">
        <v>45913</v>
      </c>
      <c r="AD214" s="59">
        <v>0.45833333333575865</v>
      </c>
      <c r="AE214" s="56" t="s">
        <v>244</v>
      </c>
      <c r="AF214" s="58">
        <v>45918</v>
      </c>
      <c r="AG214" s="59">
        <v>0.5</v>
      </c>
      <c r="AH214" s="56" t="s">
        <v>2915</v>
      </c>
      <c r="AI214" s="56" t="s">
        <v>4344</v>
      </c>
      <c r="AJ214" s="56" t="s">
        <v>64</v>
      </c>
      <c r="AK214" s="56" t="s">
        <v>64</v>
      </c>
      <c r="AL214" s="56" t="s">
        <v>3838</v>
      </c>
      <c r="AM214" s="60" t="s">
        <v>65</v>
      </c>
      <c r="AN214" s="60" t="s">
        <v>3974</v>
      </c>
      <c r="AO214" s="60"/>
      <c r="AP214" s="61"/>
    </row>
    <row r="215" spans="3:42" ht="14.25" customHeight="1">
      <c r="C215" s="55">
        <f>IF($X215=1,COUNTIF($C$10:C214,"&gt;0")+1,"")</f>
        <v>103</v>
      </c>
      <c r="D215" s="56">
        <v>15262429</v>
      </c>
      <c r="E215" s="56" t="s">
        <v>4339</v>
      </c>
      <c r="F215" s="57" t="s">
        <v>4599</v>
      </c>
      <c r="G215" s="56" t="s">
        <v>4599</v>
      </c>
      <c r="H215" s="56" t="s">
        <v>4600</v>
      </c>
      <c r="I215" s="56" t="s">
        <v>4601</v>
      </c>
      <c r="J215" s="56" t="s">
        <v>68</v>
      </c>
      <c r="K215" s="56" t="s">
        <v>59</v>
      </c>
      <c r="L215" s="58">
        <v>25314</v>
      </c>
      <c r="M215" s="56">
        <v>56</v>
      </c>
      <c r="N215" s="56" t="s">
        <v>4602</v>
      </c>
      <c r="O215" s="58">
        <v>46605</v>
      </c>
      <c r="P215" s="56" t="s">
        <v>4</v>
      </c>
      <c r="Q215" s="56"/>
      <c r="R215" s="162">
        <v>45913</v>
      </c>
      <c r="S215" s="163">
        <v>45918</v>
      </c>
      <c r="T215" s="164">
        <f t="shared" si="3"/>
        <v>5</v>
      </c>
      <c r="U215" s="56">
        <v>1</v>
      </c>
      <c r="V215" s="56">
        <v>1</v>
      </c>
      <c r="W215" s="56">
        <v>0</v>
      </c>
      <c r="X215" s="56">
        <v>1</v>
      </c>
      <c r="Y215" s="56">
        <v>0</v>
      </c>
      <c r="Z215" s="56">
        <v>1</v>
      </c>
      <c r="AA215" s="56">
        <v>0</v>
      </c>
      <c r="AB215" s="56"/>
      <c r="AC215" s="58">
        <v>45913</v>
      </c>
      <c r="AD215" s="59">
        <v>0.67708333333575865</v>
      </c>
      <c r="AE215" s="56" t="s">
        <v>3983</v>
      </c>
      <c r="AF215" s="58">
        <v>45918</v>
      </c>
      <c r="AG215" s="59">
        <v>0.52777777778101154</v>
      </c>
      <c r="AH215" s="56" t="s">
        <v>842</v>
      </c>
      <c r="AI215" s="56" t="s">
        <v>4344</v>
      </c>
      <c r="AJ215" s="56" t="s">
        <v>64</v>
      </c>
      <c r="AK215" s="56" t="s">
        <v>64</v>
      </c>
      <c r="AL215" s="56" t="s">
        <v>3838</v>
      </c>
      <c r="AM215" s="60" t="s">
        <v>65</v>
      </c>
      <c r="AN215" s="60" t="s">
        <v>3974</v>
      </c>
      <c r="AO215" s="60"/>
      <c r="AP215" s="61"/>
    </row>
    <row r="216" spans="3:42" ht="14.25" customHeight="1">
      <c r="C216" s="55" t="str">
        <f>IF($X216=1,COUNTIF($C$10:C215,"&gt;0")+1,"")</f>
        <v/>
      </c>
      <c r="D216" s="56"/>
      <c r="E216" s="56" t="s">
        <v>4339</v>
      </c>
      <c r="F216" s="57" t="s">
        <v>4603</v>
      </c>
      <c r="G216" s="56" t="s">
        <v>4599</v>
      </c>
      <c r="H216" s="56" t="s">
        <v>4604</v>
      </c>
      <c r="I216" s="56" t="s">
        <v>4605</v>
      </c>
      <c r="J216" s="56" t="s">
        <v>68</v>
      </c>
      <c r="K216" s="56" t="s">
        <v>59</v>
      </c>
      <c r="L216" s="58">
        <v>25393</v>
      </c>
      <c r="M216" s="56">
        <v>56</v>
      </c>
      <c r="N216" s="56" t="s">
        <v>4606</v>
      </c>
      <c r="O216" s="58">
        <v>48484</v>
      </c>
      <c r="P216" s="56" t="s">
        <v>4</v>
      </c>
      <c r="Q216" s="56"/>
      <c r="R216" s="162">
        <v>45913</v>
      </c>
      <c r="S216" s="163">
        <v>45918</v>
      </c>
      <c r="T216" s="164">
        <f t="shared" si="3"/>
        <v>5</v>
      </c>
      <c r="U216" s="56">
        <v>1</v>
      </c>
      <c r="V216" s="56">
        <v>1</v>
      </c>
      <c r="W216" s="56">
        <v>0</v>
      </c>
      <c r="X216" s="56">
        <v>0</v>
      </c>
      <c r="Y216" s="56">
        <v>0</v>
      </c>
      <c r="Z216" s="56">
        <v>0</v>
      </c>
      <c r="AA216" s="56">
        <v>0</v>
      </c>
      <c r="AB216" s="56"/>
      <c r="AC216" s="58">
        <v>45913</v>
      </c>
      <c r="AD216" s="59">
        <v>0.67708333333575865</v>
      </c>
      <c r="AE216" s="56" t="s">
        <v>3983</v>
      </c>
      <c r="AF216" s="58">
        <v>45918</v>
      </c>
      <c r="AG216" s="59">
        <v>0.52777777778101154</v>
      </c>
      <c r="AH216" s="56" t="s">
        <v>842</v>
      </c>
      <c r="AI216" s="56" t="s">
        <v>4344</v>
      </c>
      <c r="AJ216" s="56" t="s">
        <v>64</v>
      </c>
      <c r="AK216" s="56" t="s">
        <v>64</v>
      </c>
      <c r="AL216" s="56" t="s">
        <v>3838</v>
      </c>
      <c r="AM216" s="60" t="s">
        <v>65</v>
      </c>
      <c r="AN216" s="60" t="s">
        <v>3974</v>
      </c>
      <c r="AO216" s="60"/>
      <c r="AP216" s="61"/>
    </row>
    <row r="217" spans="3:42" ht="14.25" customHeight="1">
      <c r="C217" s="55">
        <f>IF($X217=1,COUNTIF($C$10:C216,"&gt;0")+1,"")</f>
        <v>104</v>
      </c>
      <c r="D217" s="56">
        <v>15262430</v>
      </c>
      <c r="E217" s="56" t="s">
        <v>4607</v>
      </c>
      <c r="F217" s="57" t="s">
        <v>4608</v>
      </c>
      <c r="G217" s="56" t="s">
        <v>4608</v>
      </c>
      <c r="H217" s="56" t="s">
        <v>4609</v>
      </c>
      <c r="I217" s="56" t="s">
        <v>4610</v>
      </c>
      <c r="J217" s="56" t="s">
        <v>58</v>
      </c>
      <c r="K217" s="56" t="s">
        <v>460</v>
      </c>
      <c r="L217" s="58">
        <v>22703</v>
      </c>
      <c r="M217" s="56">
        <v>63</v>
      </c>
      <c r="N217" s="56" t="s">
        <v>4611</v>
      </c>
      <c r="O217" s="58">
        <v>48946</v>
      </c>
      <c r="P217" s="56" t="s">
        <v>5</v>
      </c>
      <c r="Q217" s="56"/>
      <c r="R217" s="162">
        <v>45913</v>
      </c>
      <c r="S217" s="163">
        <v>45918</v>
      </c>
      <c r="T217" s="164">
        <f t="shared" si="3"/>
        <v>5</v>
      </c>
      <c r="U217" s="56">
        <v>1</v>
      </c>
      <c r="V217" s="56">
        <v>1</v>
      </c>
      <c r="W217" s="56">
        <v>0</v>
      </c>
      <c r="X217" s="56">
        <v>1</v>
      </c>
      <c r="Y217" s="56">
        <v>0</v>
      </c>
      <c r="Z217" s="56">
        <v>0</v>
      </c>
      <c r="AA217" s="56">
        <v>1</v>
      </c>
      <c r="AB217" s="56"/>
      <c r="AC217" s="58">
        <v>45913</v>
      </c>
      <c r="AD217" s="59">
        <v>0.56944444444525288</v>
      </c>
      <c r="AE217" s="56" t="s">
        <v>4612</v>
      </c>
      <c r="AF217" s="58">
        <v>45918</v>
      </c>
      <c r="AG217" s="59">
        <v>0.86458333333575865</v>
      </c>
      <c r="AH217" s="56" t="s">
        <v>463</v>
      </c>
      <c r="AI217" s="56" t="s">
        <v>4613</v>
      </c>
      <c r="AJ217" s="56" t="s">
        <v>64</v>
      </c>
      <c r="AK217" s="56" t="s">
        <v>64</v>
      </c>
      <c r="AL217" s="56" t="s">
        <v>3838</v>
      </c>
      <c r="AM217" s="60" t="s">
        <v>65</v>
      </c>
      <c r="AN217" s="60" t="s">
        <v>4061</v>
      </c>
      <c r="AO217" s="60"/>
      <c r="AP217" s="61"/>
    </row>
    <row r="218" spans="3:42" ht="14.25" customHeight="1">
      <c r="C218" s="55" t="str">
        <f>IF($X218=1,COUNTIF($C$10:C217,"&gt;0")+1,"")</f>
        <v/>
      </c>
      <c r="D218" s="56"/>
      <c r="E218" s="56" t="s">
        <v>4607</v>
      </c>
      <c r="F218" s="57" t="s">
        <v>4614</v>
      </c>
      <c r="G218" s="56" t="s">
        <v>4608</v>
      </c>
      <c r="H218" s="56" t="s">
        <v>4615</v>
      </c>
      <c r="I218" s="56" t="s">
        <v>4616</v>
      </c>
      <c r="J218" s="56" t="s">
        <v>68</v>
      </c>
      <c r="K218" s="56" t="s">
        <v>460</v>
      </c>
      <c r="L218" s="58">
        <v>24869</v>
      </c>
      <c r="M218" s="56">
        <v>57</v>
      </c>
      <c r="N218" s="56" t="s">
        <v>4617</v>
      </c>
      <c r="O218" s="58">
        <v>46398</v>
      </c>
      <c r="P218" s="56" t="s">
        <v>5</v>
      </c>
      <c r="Q218" s="56"/>
      <c r="R218" s="162">
        <v>45913</v>
      </c>
      <c r="S218" s="163">
        <v>45918</v>
      </c>
      <c r="T218" s="164">
        <f t="shared" si="3"/>
        <v>5</v>
      </c>
      <c r="U218" s="56">
        <v>1</v>
      </c>
      <c r="V218" s="56">
        <v>1</v>
      </c>
      <c r="W218" s="56">
        <v>0</v>
      </c>
      <c r="X218" s="56">
        <v>0</v>
      </c>
      <c r="Y218" s="56">
        <v>0</v>
      </c>
      <c r="Z218" s="56">
        <v>0</v>
      </c>
      <c r="AA218" s="56">
        <v>0</v>
      </c>
      <c r="AB218" s="56"/>
      <c r="AC218" s="58">
        <v>45913</v>
      </c>
      <c r="AD218" s="59">
        <v>0.56944444444525288</v>
      </c>
      <c r="AE218" s="56" t="s">
        <v>4612</v>
      </c>
      <c r="AF218" s="58">
        <v>45918</v>
      </c>
      <c r="AG218" s="59">
        <v>0.86458333333575865</v>
      </c>
      <c r="AH218" s="56" t="s">
        <v>463</v>
      </c>
      <c r="AI218" s="56" t="s">
        <v>4613</v>
      </c>
      <c r="AJ218" s="56" t="s">
        <v>64</v>
      </c>
      <c r="AK218" s="56" t="s">
        <v>64</v>
      </c>
      <c r="AL218" s="56" t="s">
        <v>3838</v>
      </c>
      <c r="AM218" s="60" t="s">
        <v>65</v>
      </c>
      <c r="AN218" s="60" t="s">
        <v>4061</v>
      </c>
      <c r="AO218" s="60"/>
      <c r="AP218" s="61"/>
    </row>
    <row r="219" spans="3:42" ht="14.25" customHeight="1">
      <c r="C219" s="55">
        <f>IF($X219=1,COUNTIF($C$10:C218,"&gt;0")+1,"")</f>
        <v>105</v>
      </c>
      <c r="D219" s="56">
        <v>15262431</v>
      </c>
      <c r="E219" s="56" t="s">
        <v>4607</v>
      </c>
      <c r="F219" s="57" t="s">
        <v>4618</v>
      </c>
      <c r="G219" s="56" t="s">
        <v>4618</v>
      </c>
      <c r="H219" s="56" t="s">
        <v>4619</v>
      </c>
      <c r="I219" s="56" t="s">
        <v>4620</v>
      </c>
      <c r="J219" s="56" t="s">
        <v>68</v>
      </c>
      <c r="K219" s="56" t="s">
        <v>460</v>
      </c>
      <c r="L219" s="58">
        <v>23788</v>
      </c>
      <c r="M219" s="56">
        <v>60</v>
      </c>
      <c r="N219" s="56" t="s">
        <v>4621</v>
      </c>
      <c r="O219" s="58">
        <v>47115</v>
      </c>
      <c r="P219" s="56" t="s">
        <v>4</v>
      </c>
      <c r="Q219" s="56"/>
      <c r="R219" s="162">
        <v>45913</v>
      </c>
      <c r="S219" s="163">
        <v>45918</v>
      </c>
      <c r="T219" s="164">
        <f t="shared" si="3"/>
        <v>5</v>
      </c>
      <c r="U219" s="56">
        <v>1</v>
      </c>
      <c r="V219" s="56">
        <v>1</v>
      </c>
      <c r="W219" s="56">
        <v>0</v>
      </c>
      <c r="X219" s="56">
        <v>1</v>
      </c>
      <c r="Y219" s="56">
        <v>0</v>
      </c>
      <c r="Z219" s="56">
        <v>1</v>
      </c>
      <c r="AA219" s="56">
        <v>0</v>
      </c>
      <c r="AB219" s="56"/>
      <c r="AC219" s="58">
        <v>45913</v>
      </c>
      <c r="AD219" s="59">
        <v>0.78125</v>
      </c>
      <c r="AE219" s="56" t="s">
        <v>462</v>
      </c>
      <c r="AF219" s="58">
        <v>45918</v>
      </c>
      <c r="AG219" s="59">
        <v>0.75347222221898846</v>
      </c>
      <c r="AH219" s="56" t="s">
        <v>4622</v>
      </c>
      <c r="AI219" s="56" t="s">
        <v>4613</v>
      </c>
      <c r="AJ219" s="56" t="s">
        <v>64</v>
      </c>
      <c r="AK219" s="56" t="s">
        <v>64</v>
      </c>
      <c r="AL219" s="56" t="s">
        <v>3838</v>
      </c>
      <c r="AM219" s="60" t="s">
        <v>65</v>
      </c>
      <c r="AN219" s="60" t="s">
        <v>3974</v>
      </c>
      <c r="AO219" s="60" t="s">
        <v>331</v>
      </c>
      <c r="AP219" s="61"/>
    </row>
    <row r="220" spans="3:42" ht="14.25" customHeight="1">
      <c r="C220" s="55" t="str">
        <f>IF($X220=1,COUNTIF($C$10:C219,"&gt;0")+1,"")</f>
        <v/>
      </c>
      <c r="D220" s="56"/>
      <c r="E220" s="56" t="s">
        <v>4607</v>
      </c>
      <c r="F220" s="57" t="s">
        <v>4623</v>
      </c>
      <c r="G220" s="56" t="s">
        <v>4618</v>
      </c>
      <c r="H220" s="56" t="s">
        <v>4624</v>
      </c>
      <c r="I220" s="56" t="s">
        <v>4620</v>
      </c>
      <c r="J220" s="56" t="s">
        <v>58</v>
      </c>
      <c r="K220" s="56" t="s">
        <v>460</v>
      </c>
      <c r="L220" s="58">
        <v>21675</v>
      </c>
      <c r="M220" s="56">
        <v>66</v>
      </c>
      <c r="N220" s="56" t="s">
        <v>4625</v>
      </c>
      <c r="O220" s="58">
        <v>47283</v>
      </c>
      <c r="P220" s="56" t="s">
        <v>4</v>
      </c>
      <c r="Q220" s="56"/>
      <c r="R220" s="162">
        <v>45913</v>
      </c>
      <c r="S220" s="163">
        <v>45918</v>
      </c>
      <c r="T220" s="164">
        <f t="shared" si="3"/>
        <v>5</v>
      </c>
      <c r="U220" s="56">
        <v>1</v>
      </c>
      <c r="V220" s="56">
        <v>1</v>
      </c>
      <c r="W220" s="56">
        <v>0</v>
      </c>
      <c r="X220" s="56">
        <v>0</v>
      </c>
      <c r="Y220" s="56">
        <v>0</v>
      </c>
      <c r="Z220" s="56">
        <v>0</v>
      </c>
      <c r="AA220" s="56">
        <v>0</v>
      </c>
      <c r="AB220" s="56"/>
      <c r="AC220" s="58">
        <v>45913</v>
      </c>
      <c r="AD220" s="59">
        <v>0.78125</v>
      </c>
      <c r="AE220" s="56" t="s">
        <v>462</v>
      </c>
      <c r="AF220" s="58">
        <v>45918</v>
      </c>
      <c r="AG220" s="59">
        <v>0.75347222221898846</v>
      </c>
      <c r="AH220" s="56" t="s">
        <v>4622</v>
      </c>
      <c r="AI220" s="56" t="s">
        <v>4613</v>
      </c>
      <c r="AJ220" s="56" t="s">
        <v>64</v>
      </c>
      <c r="AK220" s="56" t="s">
        <v>64</v>
      </c>
      <c r="AL220" s="56" t="s">
        <v>3838</v>
      </c>
      <c r="AM220" s="60" t="s">
        <v>65</v>
      </c>
      <c r="AN220" s="60" t="s">
        <v>3974</v>
      </c>
      <c r="AO220" s="60" t="s">
        <v>331</v>
      </c>
      <c r="AP220" s="61"/>
    </row>
    <row r="221" spans="3:42" ht="14.25" customHeight="1">
      <c r="C221" s="55">
        <f>IF($X221=1,COUNTIF($C$10:C220,"&gt;0")+1,"")</f>
        <v>106</v>
      </c>
      <c r="D221" s="56">
        <v>15262432</v>
      </c>
      <c r="E221" s="56" t="s">
        <v>4607</v>
      </c>
      <c r="F221" s="57" t="s">
        <v>4626</v>
      </c>
      <c r="G221" s="56" t="s">
        <v>4626</v>
      </c>
      <c r="H221" s="56" t="s">
        <v>4627</v>
      </c>
      <c r="I221" s="56" t="s">
        <v>316</v>
      </c>
      <c r="J221" s="56" t="s">
        <v>58</v>
      </c>
      <c r="K221" s="56" t="s">
        <v>460</v>
      </c>
      <c r="L221" s="58">
        <v>28450</v>
      </c>
      <c r="M221" s="56">
        <v>47</v>
      </c>
      <c r="N221" s="56" t="s">
        <v>4628</v>
      </c>
      <c r="O221" s="58">
        <v>49326</v>
      </c>
      <c r="P221" s="56" t="s">
        <v>3</v>
      </c>
      <c r="Q221" s="56"/>
      <c r="R221" s="162">
        <v>45913</v>
      </c>
      <c r="S221" s="163">
        <v>45918</v>
      </c>
      <c r="T221" s="164">
        <f t="shared" si="3"/>
        <v>5</v>
      </c>
      <c r="U221" s="56">
        <v>1</v>
      </c>
      <c r="V221" s="56">
        <v>1</v>
      </c>
      <c r="W221" s="56">
        <v>0</v>
      </c>
      <c r="X221" s="56">
        <v>1</v>
      </c>
      <c r="Y221" s="56">
        <v>1</v>
      </c>
      <c r="Z221" s="56">
        <v>0</v>
      </c>
      <c r="AA221" s="56">
        <v>0</v>
      </c>
      <c r="AB221" s="56"/>
      <c r="AC221" s="58">
        <v>45913</v>
      </c>
      <c r="AD221" s="59">
        <v>0.72916666666424135</v>
      </c>
      <c r="AE221" s="56" t="s">
        <v>575</v>
      </c>
      <c r="AF221" s="58">
        <v>45918</v>
      </c>
      <c r="AG221" s="59">
        <v>0.79513888889050577</v>
      </c>
      <c r="AH221" s="56" t="s">
        <v>359</v>
      </c>
      <c r="AI221" s="56" t="s">
        <v>4613</v>
      </c>
      <c r="AJ221" s="56" t="s">
        <v>64</v>
      </c>
      <c r="AK221" s="56" t="s">
        <v>64</v>
      </c>
      <c r="AL221" s="56" t="s">
        <v>3838</v>
      </c>
      <c r="AM221" s="60" t="s">
        <v>65</v>
      </c>
      <c r="AN221" s="60" t="s">
        <v>3974</v>
      </c>
      <c r="AO221" s="60"/>
      <c r="AP221" s="61"/>
    </row>
    <row r="222" spans="3:42" ht="14.25" customHeight="1">
      <c r="C222" s="55">
        <f>IF($X222=1,COUNTIF($C$10:C221,"&gt;0")+1,"")</f>
        <v>107</v>
      </c>
      <c r="D222" s="56">
        <v>15262433</v>
      </c>
      <c r="E222" s="56" t="s">
        <v>4607</v>
      </c>
      <c r="F222" s="57" t="s">
        <v>4629</v>
      </c>
      <c r="G222" s="56" t="s">
        <v>4629</v>
      </c>
      <c r="H222" s="56" t="s">
        <v>1362</v>
      </c>
      <c r="I222" s="56" t="s">
        <v>4630</v>
      </c>
      <c r="J222" s="56" t="s">
        <v>58</v>
      </c>
      <c r="K222" s="56" t="s">
        <v>460</v>
      </c>
      <c r="L222" s="58">
        <v>30539</v>
      </c>
      <c r="M222" s="56">
        <v>42</v>
      </c>
      <c r="N222" s="56" t="s">
        <v>4631</v>
      </c>
      <c r="O222" s="58">
        <v>46050</v>
      </c>
      <c r="P222" s="56" t="s">
        <v>5</v>
      </c>
      <c r="Q222" s="56"/>
      <c r="R222" s="162">
        <v>45913</v>
      </c>
      <c r="S222" s="163">
        <v>45918</v>
      </c>
      <c r="T222" s="164">
        <f t="shared" si="3"/>
        <v>5</v>
      </c>
      <c r="U222" s="56">
        <v>1</v>
      </c>
      <c r="V222" s="56">
        <v>1</v>
      </c>
      <c r="W222" s="56">
        <v>0</v>
      </c>
      <c r="X222" s="56">
        <v>1</v>
      </c>
      <c r="Y222" s="56">
        <v>0</v>
      </c>
      <c r="Z222" s="56">
        <v>0</v>
      </c>
      <c r="AA222" s="56">
        <v>1</v>
      </c>
      <c r="AB222" s="56"/>
      <c r="AC222" s="58">
        <v>45913</v>
      </c>
      <c r="AD222" s="59">
        <v>0.78125</v>
      </c>
      <c r="AE222" s="56" t="s">
        <v>462</v>
      </c>
      <c r="AF222" s="58">
        <v>45918</v>
      </c>
      <c r="AG222" s="59">
        <v>0.86458333333575865</v>
      </c>
      <c r="AH222" s="56" t="s">
        <v>463</v>
      </c>
      <c r="AI222" s="56" t="s">
        <v>4613</v>
      </c>
      <c r="AJ222" s="56" t="s">
        <v>64</v>
      </c>
      <c r="AK222" s="56" t="s">
        <v>64</v>
      </c>
      <c r="AL222" s="56" t="s">
        <v>3838</v>
      </c>
      <c r="AM222" s="60" t="s">
        <v>65</v>
      </c>
      <c r="AN222" s="60" t="s">
        <v>4061</v>
      </c>
      <c r="AO222" s="60" t="s">
        <v>331</v>
      </c>
      <c r="AP222" s="61"/>
    </row>
    <row r="223" spans="3:42" ht="14.25" customHeight="1">
      <c r="C223" s="55" t="str">
        <f>IF($X223=1,COUNTIF($C$10:C222,"&gt;0")+1,"")</f>
        <v/>
      </c>
      <c r="D223" s="56"/>
      <c r="E223" s="56" t="s">
        <v>4607</v>
      </c>
      <c r="F223" s="57" t="s">
        <v>4632</v>
      </c>
      <c r="G223" s="56" t="s">
        <v>4629</v>
      </c>
      <c r="H223" s="56" t="s">
        <v>4633</v>
      </c>
      <c r="I223" s="56" t="s">
        <v>4634</v>
      </c>
      <c r="J223" s="56" t="s">
        <v>58</v>
      </c>
      <c r="K223" s="56" t="s">
        <v>460</v>
      </c>
      <c r="L223" s="58">
        <v>25208</v>
      </c>
      <c r="M223" s="56">
        <v>56</v>
      </c>
      <c r="N223" s="56" t="s">
        <v>4635</v>
      </c>
      <c r="O223" s="58">
        <v>46568</v>
      </c>
      <c r="P223" s="56" t="s">
        <v>5</v>
      </c>
      <c r="Q223" s="56"/>
      <c r="R223" s="162">
        <v>45913</v>
      </c>
      <c r="S223" s="163">
        <v>45918</v>
      </c>
      <c r="T223" s="164">
        <f t="shared" si="3"/>
        <v>5</v>
      </c>
      <c r="U223" s="56">
        <v>1</v>
      </c>
      <c r="V223" s="56">
        <v>1</v>
      </c>
      <c r="W223" s="56">
        <v>0</v>
      </c>
      <c r="X223" s="56">
        <v>0</v>
      </c>
      <c r="Y223" s="56">
        <v>0</v>
      </c>
      <c r="Z223" s="56">
        <v>0</v>
      </c>
      <c r="AA223" s="56">
        <v>0</v>
      </c>
      <c r="AB223" s="56"/>
      <c r="AC223" s="58">
        <v>45913</v>
      </c>
      <c r="AD223" s="59">
        <v>0.78125</v>
      </c>
      <c r="AE223" s="56" t="s">
        <v>462</v>
      </c>
      <c r="AF223" s="58">
        <v>45918</v>
      </c>
      <c r="AG223" s="59">
        <v>0.86458333333575865</v>
      </c>
      <c r="AH223" s="56" t="s">
        <v>463</v>
      </c>
      <c r="AI223" s="56" t="s">
        <v>4613</v>
      </c>
      <c r="AJ223" s="56" t="s">
        <v>64</v>
      </c>
      <c r="AK223" s="56" t="s">
        <v>64</v>
      </c>
      <c r="AL223" s="56" t="s">
        <v>3838</v>
      </c>
      <c r="AM223" s="60" t="s">
        <v>65</v>
      </c>
      <c r="AN223" s="60" t="s">
        <v>4061</v>
      </c>
      <c r="AO223" s="60" t="s">
        <v>331</v>
      </c>
      <c r="AP223" s="61"/>
    </row>
    <row r="224" spans="3:42" ht="14.25" customHeight="1">
      <c r="C224" s="55">
        <f>IF($X224=1,COUNTIF($C$10:C223,"&gt;0")+1,"")</f>
        <v>108</v>
      </c>
      <c r="D224" s="56">
        <v>15262434</v>
      </c>
      <c r="E224" s="56" t="s">
        <v>4607</v>
      </c>
      <c r="F224" s="57" t="s">
        <v>4636</v>
      </c>
      <c r="G224" s="56" t="s">
        <v>4636</v>
      </c>
      <c r="H224" s="56" t="s">
        <v>4637</v>
      </c>
      <c r="I224" s="56" t="s">
        <v>4638</v>
      </c>
      <c r="J224" s="56" t="s">
        <v>68</v>
      </c>
      <c r="K224" s="56" t="s">
        <v>460</v>
      </c>
      <c r="L224" s="58">
        <v>25572</v>
      </c>
      <c r="M224" s="56">
        <v>55</v>
      </c>
      <c r="N224" s="56" t="s">
        <v>4639</v>
      </c>
      <c r="O224" s="58">
        <v>46855</v>
      </c>
      <c r="P224" s="56" t="s">
        <v>4</v>
      </c>
      <c r="Q224" s="56"/>
      <c r="R224" s="162">
        <v>45913</v>
      </c>
      <c r="S224" s="163">
        <v>45918</v>
      </c>
      <c r="T224" s="164">
        <f t="shared" si="3"/>
        <v>5</v>
      </c>
      <c r="U224" s="56">
        <v>1</v>
      </c>
      <c r="V224" s="56">
        <v>1</v>
      </c>
      <c r="W224" s="56">
        <v>0</v>
      </c>
      <c r="X224" s="56">
        <v>1</v>
      </c>
      <c r="Y224" s="56">
        <v>0</v>
      </c>
      <c r="Z224" s="56">
        <v>1</v>
      </c>
      <c r="AA224" s="56">
        <v>0</v>
      </c>
      <c r="AB224" s="56"/>
      <c r="AC224" s="58">
        <v>45913</v>
      </c>
      <c r="AD224" s="59">
        <v>0.78125</v>
      </c>
      <c r="AE224" s="56" t="s">
        <v>462</v>
      </c>
      <c r="AF224" s="58">
        <v>45918</v>
      </c>
      <c r="AG224" s="59">
        <v>0.34722222221898846</v>
      </c>
      <c r="AH224" s="56" t="s">
        <v>4006</v>
      </c>
      <c r="AI224" s="56" t="s">
        <v>4613</v>
      </c>
      <c r="AJ224" s="56" t="s">
        <v>64</v>
      </c>
      <c r="AK224" s="56" t="s">
        <v>64</v>
      </c>
      <c r="AL224" s="56" t="s">
        <v>3838</v>
      </c>
      <c r="AM224" s="60" t="s">
        <v>65</v>
      </c>
      <c r="AN224" s="60" t="s">
        <v>3974</v>
      </c>
      <c r="AO224" s="60" t="s">
        <v>331</v>
      </c>
      <c r="AP224" s="61"/>
    </row>
    <row r="225" spans="3:42" ht="14.25" customHeight="1">
      <c r="C225" s="55" t="str">
        <f>IF($X225=1,COUNTIF($C$10:C224,"&gt;0")+1,"")</f>
        <v/>
      </c>
      <c r="D225" s="56"/>
      <c r="E225" s="56" t="s">
        <v>4607</v>
      </c>
      <c r="F225" s="57" t="s">
        <v>4640</v>
      </c>
      <c r="G225" s="56" t="s">
        <v>4636</v>
      </c>
      <c r="H225" s="56" t="s">
        <v>4641</v>
      </c>
      <c r="I225" s="56" t="s">
        <v>4642</v>
      </c>
      <c r="J225" s="56" t="s">
        <v>68</v>
      </c>
      <c r="K225" s="56" t="s">
        <v>460</v>
      </c>
      <c r="L225" s="58">
        <v>39904</v>
      </c>
      <c r="M225" s="56">
        <v>16</v>
      </c>
      <c r="N225" s="56" t="s">
        <v>4643</v>
      </c>
      <c r="O225" s="58">
        <v>46981</v>
      </c>
      <c r="P225" s="56" t="s">
        <v>4</v>
      </c>
      <c r="Q225" s="56"/>
      <c r="R225" s="162">
        <v>45913</v>
      </c>
      <c r="S225" s="163">
        <v>45918</v>
      </c>
      <c r="T225" s="164">
        <f t="shared" si="3"/>
        <v>5</v>
      </c>
      <c r="U225" s="56">
        <v>1</v>
      </c>
      <c r="V225" s="56">
        <v>1</v>
      </c>
      <c r="W225" s="56">
        <v>0</v>
      </c>
      <c r="X225" s="56">
        <v>0</v>
      </c>
      <c r="Y225" s="56">
        <v>0</v>
      </c>
      <c r="Z225" s="56">
        <v>0</v>
      </c>
      <c r="AA225" s="56">
        <v>0</v>
      </c>
      <c r="AB225" s="56"/>
      <c r="AC225" s="58">
        <v>45913</v>
      </c>
      <c r="AD225" s="59">
        <v>0.78125</v>
      </c>
      <c r="AE225" s="56" t="s">
        <v>462</v>
      </c>
      <c r="AF225" s="58">
        <v>45918</v>
      </c>
      <c r="AG225" s="59">
        <v>0.34722222221898846</v>
      </c>
      <c r="AH225" s="56" t="s">
        <v>4006</v>
      </c>
      <c r="AI225" s="56" t="s">
        <v>4613</v>
      </c>
      <c r="AJ225" s="56" t="s">
        <v>64</v>
      </c>
      <c r="AK225" s="56" t="s">
        <v>64</v>
      </c>
      <c r="AL225" s="56" t="s">
        <v>3838</v>
      </c>
      <c r="AM225" s="60" t="s">
        <v>65</v>
      </c>
      <c r="AN225" s="60" t="s">
        <v>3974</v>
      </c>
      <c r="AO225" s="60" t="s">
        <v>331</v>
      </c>
      <c r="AP225" s="61"/>
    </row>
    <row r="226" spans="3:42" ht="14.25" customHeight="1">
      <c r="C226" s="55">
        <f>IF($X226=1,COUNTIF($C$10:C225,"&gt;0")+1,"")</f>
        <v>109</v>
      </c>
      <c r="D226" s="56">
        <v>15262435</v>
      </c>
      <c r="E226" s="56" t="s">
        <v>4607</v>
      </c>
      <c r="F226" s="57" t="s">
        <v>4644</v>
      </c>
      <c r="G226" s="56" t="s">
        <v>4644</v>
      </c>
      <c r="H226" s="56" t="s">
        <v>4645</v>
      </c>
      <c r="I226" s="56" t="s">
        <v>4646</v>
      </c>
      <c r="J226" s="56" t="s">
        <v>68</v>
      </c>
      <c r="K226" s="56" t="s">
        <v>460</v>
      </c>
      <c r="L226" s="58">
        <v>26836</v>
      </c>
      <c r="M226" s="56">
        <v>52</v>
      </c>
      <c r="N226" s="56" t="s">
        <v>4647</v>
      </c>
      <c r="O226" s="58">
        <v>46538</v>
      </c>
      <c r="P226" s="56" t="s">
        <v>5</v>
      </c>
      <c r="Q226" s="56"/>
      <c r="R226" s="162">
        <v>45913</v>
      </c>
      <c r="S226" s="163">
        <v>45918</v>
      </c>
      <c r="T226" s="164">
        <f t="shared" si="3"/>
        <v>5</v>
      </c>
      <c r="U226" s="56">
        <v>1</v>
      </c>
      <c r="V226" s="56">
        <v>1</v>
      </c>
      <c r="W226" s="56">
        <v>0</v>
      </c>
      <c r="X226" s="56">
        <v>1</v>
      </c>
      <c r="Y226" s="56">
        <v>0</v>
      </c>
      <c r="Z226" s="56">
        <v>0</v>
      </c>
      <c r="AA226" s="56">
        <v>1</v>
      </c>
      <c r="AB226" s="56"/>
      <c r="AC226" s="58">
        <v>45913</v>
      </c>
      <c r="AD226" s="59">
        <v>0.72916666666424135</v>
      </c>
      <c r="AE226" s="56" t="s">
        <v>575</v>
      </c>
      <c r="AF226" s="58">
        <v>45918</v>
      </c>
      <c r="AG226" s="59">
        <v>0.85416666666424135</v>
      </c>
      <c r="AH226" s="56" t="s">
        <v>183</v>
      </c>
      <c r="AI226" s="56" t="s">
        <v>4613</v>
      </c>
      <c r="AJ226" s="56" t="s">
        <v>64</v>
      </c>
      <c r="AK226" s="56" t="s">
        <v>64</v>
      </c>
      <c r="AL226" s="56" t="s">
        <v>3838</v>
      </c>
      <c r="AM226" s="60" t="s">
        <v>65</v>
      </c>
      <c r="AN226" s="60" t="s">
        <v>4061</v>
      </c>
      <c r="AO226" s="60"/>
      <c r="AP226" s="61"/>
    </row>
    <row r="227" spans="3:42" ht="14.25" customHeight="1">
      <c r="C227" s="55" t="str">
        <f>IF($X227=1,COUNTIF($C$10:C226,"&gt;0")+1,"")</f>
        <v/>
      </c>
      <c r="D227" s="56"/>
      <c r="E227" s="56" t="s">
        <v>4607</v>
      </c>
      <c r="F227" s="57" t="s">
        <v>4648</v>
      </c>
      <c r="G227" s="56" t="s">
        <v>4644</v>
      </c>
      <c r="H227" s="56" t="s">
        <v>4649</v>
      </c>
      <c r="I227" s="56" t="s">
        <v>4650</v>
      </c>
      <c r="J227" s="56" t="s">
        <v>68</v>
      </c>
      <c r="K227" s="56" t="s">
        <v>59</v>
      </c>
      <c r="L227" s="58">
        <v>27218</v>
      </c>
      <c r="M227" s="56">
        <v>51</v>
      </c>
      <c r="N227" s="56" t="s">
        <v>4651</v>
      </c>
      <c r="O227" s="58">
        <v>47883</v>
      </c>
      <c r="P227" s="56" t="s">
        <v>5</v>
      </c>
      <c r="Q227" s="56"/>
      <c r="R227" s="162">
        <v>45913</v>
      </c>
      <c r="S227" s="163">
        <v>45918</v>
      </c>
      <c r="T227" s="164">
        <f t="shared" si="3"/>
        <v>5</v>
      </c>
      <c r="U227" s="56">
        <v>1</v>
      </c>
      <c r="V227" s="56">
        <v>1</v>
      </c>
      <c r="W227" s="56">
        <v>0</v>
      </c>
      <c r="X227" s="56">
        <v>0</v>
      </c>
      <c r="Y227" s="56">
        <v>0</v>
      </c>
      <c r="Z227" s="56">
        <v>0</v>
      </c>
      <c r="AA227" s="56">
        <v>0</v>
      </c>
      <c r="AB227" s="56"/>
      <c r="AC227" s="58">
        <v>45913</v>
      </c>
      <c r="AD227" s="59">
        <v>0.25694444444525288</v>
      </c>
      <c r="AE227" s="56" t="s">
        <v>382</v>
      </c>
      <c r="AF227" s="58">
        <v>45918</v>
      </c>
      <c r="AG227" s="59">
        <v>0.87847222221898846</v>
      </c>
      <c r="AH227" s="56" t="s">
        <v>4392</v>
      </c>
      <c r="AI227" s="56" t="s">
        <v>4613</v>
      </c>
      <c r="AJ227" s="56" t="s">
        <v>64</v>
      </c>
      <c r="AK227" s="56" t="s">
        <v>64</v>
      </c>
      <c r="AL227" s="56" t="s">
        <v>3838</v>
      </c>
      <c r="AM227" s="60" t="s">
        <v>65</v>
      </c>
      <c r="AN227" s="60" t="s">
        <v>4061</v>
      </c>
      <c r="AO227" s="60"/>
      <c r="AP227" s="61"/>
    </row>
    <row r="228" spans="3:42" ht="14.25" customHeight="1">
      <c r="C228" s="55">
        <f>IF($X228=1,COUNTIF($C$10:C227,"&gt;0")+1,"")</f>
        <v>110</v>
      </c>
      <c r="D228" s="56">
        <v>15262436</v>
      </c>
      <c r="E228" s="56" t="s">
        <v>4607</v>
      </c>
      <c r="F228" s="57" t="s">
        <v>4652</v>
      </c>
      <c r="G228" s="56" t="s">
        <v>4652</v>
      </c>
      <c r="H228" s="56" t="s">
        <v>4653</v>
      </c>
      <c r="I228" s="56" t="s">
        <v>4654</v>
      </c>
      <c r="J228" s="56" t="s">
        <v>68</v>
      </c>
      <c r="K228" s="56" t="s">
        <v>460</v>
      </c>
      <c r="L228" s="58">
        <v>25931</v>
      </c>
      <c r="M228" s="56">
        <v>54</v>
      </c>
      <c r="N228" s="56" t="s">
        <v>4655</v>
      </c>
      <c r="O228" s="58">
        <v>49311</v>
      </c>
      <c r="P228" s="56" t="s">
        <v>5</v>
      </c>
      <c r="Q228" s="56"/>
      <c r="R228" s="162">
        <v>45913</v>
      </c>
      <c r="S228" s="163">
        <v>45918</v>
      </c>
      <c r="T228" s="164">
        <f t="shared" si="3"/>
        <v>5</v>
      </c>
      <c r="U228" s="56">
        <v>1</v>
      </c>
      <c r="V228" s="56">
        <v>1</v>
      </c>
      <c r="W228" s="56">
        <v>0</v>
      </c>
      <c r="X228" s="56">
        <v>1</v>
      </c>
      <c r="Y228" s="56">
        <v>0</v>
      </c>
      <c r="Z228" s="56">
        <v>0</v>
      </c>
      <c r="AA228" s="56">
        <v>1</v>
      </c>
      <c r="AB228" s="56"/>
      <c r="AC228" s="58">
        <v>45911</v>
      </c>
      <c r="AD228" s="59">
        <v>0.67013888889050577</v>
      </c>
      <c r="AE228" s="56" t="s">
        <v>234</v>
      </c>
      <c r="AF228" s="58">
        <v>45918</v>
      </c>
      <c r="AG228" s="59">
        <v>0.63194444444525288</v>
      </c>
      <c r="AH228" s="56" t="s">
        <v>4656</v>
      </c>
      <c r="AI228" s="56" t="s">
        <v>4613</v>
      </c>
      <c r="AJ228" s="56" t="s">
        <v>64</v>
      </c>
      <c r="AK228" s="56" t="s">
        <v>64</v>
      </c>
      <c r="AL228" s="56" t="s">
        <v>3838</v>
      </c>
      <c r="AM228" s="60" t="s">
        <v>65</v>
      </c>
      <c r="AN228" s="263" t="s">
        <v>3967</v>
      </c>
      <c r="AO228" s="264"/>
      <c r="AP228" s="61"/>
    </row>
    <row r="229" spans="3:42" ht="14.25" customHeight="1">
      <c r="C229" s="55" t="str">
        <f>IF($X229=1,COUNTIF($C$10:C228,"&gt;0")+1,"")</f>
        <v/>
      </c>
      <c r="D229" s="56"/>
      <c r="E229" s="56" t="s">
        <v>4607</v>
      </c>
      <c r="F229" s="57" t="s">
        <v>4657</v>
      </c>
      <c r="G229" s="56" t="s">
        <v>4652</v>
      </c>
      <c r="H229" s="56" t="s">
        <v>4658</v>
      </c>
      <c r="I229" s="56" t="s">
        <v>4654</v>
      </c>
      <c r="J229" s="56" t="s">
        <v>68</v>
      </c>
      <c r="K229" s="56" t="s">
        <v>460</v>
      </c>
      <c r="L229" s="58">
        <v>36751</v>
      </c>
      <c r="M229" s="56">
        <v>25</v>
      </c>
      <c r="N229" s="56" t="s">
        <v>4659</v>
      </c>
      <c r="O229" s="58">
        <v>48584</v>
      </c>
      <c r="P229" s="56" t="s">
        <v>5</v>
      </c>
      <c r="Q229" s="56"/>
      <c r="R229" s="162">
        <v>45913</v>
      </c>
      <c r="S229" s="163">
        <v>45918</v>
      </c>
      <c r="T229" s="164">
        <f t="shared" si="3"/>
        <v>5</v>
      </c>
      <c r="U229" s="56">
        <v>1</v>
      </c>
      <c r="V229" s="56">
        <v>1</v>
      </c>
      <c r="W229" s="56">
        <v>0</v>
      </c>
      <c r="X229" s="56">
        <v>0</v>
      </c>
      <c r="Y229" s="56">
        <v>0</v>
      </c>
      <c r="Z229" s="56">
        <v>0</v>
      </c>
      <c r="AA229" s="56">
        <v>0</v>
      </c>
      <c r="AB229" s="56"/>
      <c r="AC229" s="58">
        <v>45911</v>
      </c>
      <c r="AD229" s="59">
        <v>0.67013888889050577</v>
      </c>
      <c r="AE229" s="56" t="s">
        <v>234</v>
      </c>
      <c r="AF229" s="58">
        <v>45918</v>
      </c>
      <c r="AG229" s="59">
        <v>0.63194444444525288</v>
      </c>
      <c r="AH229" s="56" t="s">
        <v>4656</v>
      </c>
      <c r="AI229" s="56" t="s">
        <v>4613</v>
      </c>
      <c r="AJ229" s="56" t="s">
        <v>64</v>
      </c>
      <c r="AK229" s="56" t="s">
        <v>64</v>
      </c>
      <c r="AL229" s="56" t="s">
        <v>3838</v>
      </c>
      <c r="AM229" s="60" t="s">
        <v>65</v>
      </c>
      <c r="AN229" s="60" t="s">
        <v>3967</v>
      </c>
      <c r="AO229" s="60"/>
      <c r="AP229" s="61"/>
    </row>
    <row r="230" spans="3:42" ht="14.25" customHeight="1">
      <c r="C230" s="55">
        <f>IF($X230=1,COUNTIF($C$10:C229,"&gt;0")+1,"")</f>
        <v>111</v>
      </c>
      <c r="D230" s="56">
        <v>15262437</v>
      </c>
      <c r="E230" s="56" t="s">
        <v>4607</v>
      </c>
      <c r="F230" s="57" t="s">
        <v>4660</v>
      </c>
      <c r="G230" s="56" t="s">
        <v>4652</v>
      </c>
      <c r="H230" s="56" t="s">
        <v>4661</v>
      </c>
      <c r="I230" s="56" t="s">
        <v>4654</v>
      </c>
      <c r="J230" s="56" t="s">
        <v>68</v>
      </c>
      <c r="K230" s="56" t="s">
        <v>460</v>
      </c>
      <c r="L230" s="58">
        <v>37426</v>
      </c>
      <c r="M230" s="56">
        <v>23</v>
      </c>
      <c r="N230" s="56" t="s">
        <v>4662</v>
      </c>
      <c r="O230" s="58">
        <v>48458</v>
      </c>
      <c r="P230" s="56" t="s">
        <v>5</v>
      </c>
      <c r="Q230" s="56"/>
      <c r="R230" s="162">
        <v>45913</v>
      </c>
      <c r="S230" s="163">
        <v>45918</v>
      </c>
      <c r="T230" s="164">
        <f t="shared" si="3"/>
        <v>5</v>
      </c>
      <c r="U230" s="56">
        <v>1</v>
      </c>
      <c r="V230" s="56">
        <v>1</v>
      </c>
      <c r="W230" s="56">
        <v>0</v>
      </c>
      <c r="X230" s="56">
        <v>1</v>
      </c>
      <c r="Y230" s="56">
        <v>0</v>
      </c>
      <c r="Z230" s="56">
        <v>0</v>
      </c>
      <c r="AA230" s="56">
        <v>1</v>
      </c>
      <c r="AB230" s="56"/>
      <c r="AC230" s="58">
        <v>45911</v>
      </c>
      <c r="AD230" s="59">
        <v>0.67013888889050577</v>
      </c>
      <c r="AE230" s="56" t="s">
        <v>234</v>
      </c>
      <c r="AF230" s="58">
        <v>45918</v>
      </c>
      <c r="AG230" s="59">
        <v>0.63194444444525288</v>
      </c>
      <c r="AH230" s="56" t="s">
        <v>4656</v>
      </c>
      <c r="AI230" s="56" t="s">
        <v>4613</v>
      </c>
      <c r="AJ230" s="56" t="s">
        <v>64</v>
      </c>
      <c r="AK230" s="56" t="s">
        <v>64</v>
      </c>
      <c r="AL230" s="56" t="s">
        <v>3838</v>
      </c>
      <c r="AM230" s="60" t="s">
        <v>65</v>
      </c>
      <c r="AN230" s="263" t="s">
        <v>3967</v>
      </c>
      <c r="AO230" s="264"/>
      <c r="AP230" s="61"/>
    </row>
    <row r="231" spans="3:42" ht="14.25" customHeight="1">
      <c r="C231" s="55" t="str">
        <f>IF($X231=1,COUNTIF($C$10:C230,"&gt;0")+1,"")</f>
        <v/>
      </c>
      <c r="D231" s="56"/>
      <c r="E231" s="56" t="s">
        <v>4607</v>
      </c>
      <c r="F231" s="57" t="s">
        <v>4663</v>
      </c>
      <c r="G231" s="56" t="s">
        <v>4652</v>
      </c>
      <c r="H231" s="56" t="s">
        <v>4664</v>
      </c>
      <c r="I231" s="56" t="s">
        <v>4665</v>
      </c>
      <c r="J231" s="56" t="s">
        <v>68</v>
      </c>
      <c r="K231" s="56" t="s">
        <v>460</v>
      </c>
      <c r="L231" s="58">
        <v>36041</v>
      </c>
      <c r="M231" s="56">
        <v>27</v>
      </c>
      <c r="N231" s="56" t="s">
        <v>4666</v>
      </c>
      <c r="O231" s="58">
        <v>49352</v>
      </c>
      <c r="P231" s="56" t="s">
        <v>5</v>
      </c>
      <c r="Q231" s="56"/>
      <c r="R231" s="162">
        <v>45913</v>
      </c>
      <c r="S231" s="163">
        <v>45918</v>
      </c>
      <c r="T231" s="164">
        <f t="shared" si="3"/>
        <v>5</v>
      </c>
      <c r="U231" s="56">
        <v>1</v>
      </c>
      <c r="V231" s="56">
        <v>1</v>
      </c>
      <c r="W231" s="56">
        <v>0</v>
      </c>
      <c r="X231" s="56">
        <v>0</v>
      </c>
      <c r="Y231" s="56">
        <v>0</v>
      </c>
      <c r="Z231" s="56">
        <v>0</v>
      </c>
      <c r="AA231" s="56">
        <v>0</v>
      </c>
      <c r="AB231" s="56"/>
      <c r="AC231" s="58">
        <v>45911</v>
      </c>
      <c r="AD231" s="59">
        <v>0.67013888889050577</v>
      </c>
      <c r="AE231" s="56" t="s">
        <v>234</v>
      </c>
      <c r="AF231" s="58">
        <v>45918</v>
      </c>
      <c r="AG231" s="59">
        <v>0.63194444444525288</v>
      </c>
      <c r="AH231" s="56" t="s">
        <v>4656</v>
      </c>
      <c r="AI231" s="56" t="s">
        <v>4613</v>
      </c>
      <c r="AJ231" s="56" t="s">
        <v>64</v>
      </c>
      <c r="AK231" s="56" t="s">
        <v>64</v>
      </c>
      <c r="AL231" s="56" t="s">
        <v>3838</v>
      </c>
      <c r="AM231" s="60" t="s">
        <v>65</v>
      </c>
      <c r="AN231" s="60" t="s">
        <v>3967</v>
      </c>
      <c r="AO231" s="60"/>
      <c r="AP231" s="61"/>
    </row>
    <row r="232" spans="3:42" ht="14.25" customHeight="1">
      <c r="C232" s="55">
        <f>IF($X232=1,COUNTIF($C$10:C231,"&gt;0")+1,"")</f>
        <v>112</v>
      </c>
      <c r="D232" s="56">
        <v>15262438</v>
      </c>
      <c r="E232" s="56" t="s">
        <v>4607</v>
      </c>
      <c r="F232" s="57" t="s">
        <v>4667</v>
      </c>
      <c r="G232" s="56" t="s">
        <v>4667</v>
      </c>
      <c r="H232" s="56" t="s">
        <v>4668</v>
      </c>
      <c r="I232" s="56" t="s">
        <v>4669</v>
      </c>
      <c r="J232" s="56" t="s">
        <v>58</v>
      </c>
      <c r="K232" s="56" t="s">
        <v>460</v>
      </c>
      <c r="L232" s="58">
        <v>32327</v>
      </c>
      <c r="M232" s="56">
        <v>37</v>
      </c>
      <c r="N232" s="56" t="s">
        <v>4670</v>
      </c>
      <c r="O232" s="58">
        <v>49238</v>
      </c>
      <c r="P232" s="56" t="s">
        <v>4</v>
      </c>
      <c r="Q232" s="56"/>
      <c r="R232" s="162">
        <v>45913</v>
      </c>
      <c r="S232" s="163">
        <v>45918</v>
      </c>
      <c r="T232" s="164">
        <f t="shared" si="3"/>
        <v>5</v>
      </c>
      <c r="U232" s="56">
        <v>1</v>
      </c>
      <c r="V232" s="56">
        <v>1</v>
      </c>
      <c r="W232" s="56">
        <v>0</v>
      </c>
      <c r="X232" s="56">
        <v>1</v>
      </c>
      <c r="Y232" s="56">
        <v>0</v>
      </c>
      <c r="Z232" s="56">
        <v>1</v>
      </c>
      <c r="AA232" s="56">
        <v>0</v>
      </c>
      <c r="AB232" s="56"/>
      <c r="AC232" s="58">
        <v>45913</v>
      </c>
      <c r="AD232" s="59">
        <v>0.77083333333575865</v>
      </c>
      <c r="AE232" s="56" t="s">
        <v>4671</v>
      </c>
      <c r="AF232" s="58">
        <v>45918</v>
      </c>
      <c r="AG232" s="59">
        <v>0.86458333333575865</v>
      </c>
      <c r="AH232" s="56" t="s">
        <v>463</v>
      </c>
      <c r="AI232" s="56" t="s">
        <v>4613</v>
      </c>
      <c r="AJ232" s="56" t="s">
        <v>64</v>
      </c>
      <c r="AK232" s="56"/>
      <c r="AL232" s="56" t="s">
        <v>3838</v>
      </c>
      <c r="AM232" s="60" t="s">
        <v>65</v>
      </c>
      <c r="AN232" s="60" t="s">
        <v>3974</v>
      </c>
      <c r="AO232" s="60"/>
      <c r="AP232" s="61"/>
    </row>
    <row r="233" spans="3:42" ht="14.25" customHeight="1">
      <c r="C233" s="55" t="str">
        <f>IF($X233=1,COUNTIF($C$10:C232,"&gt;0")+1,"")</f>
        <v/>
      </c>
      <c r="D233" s="56"/>
      <c r="E233" s="56" t="s">
        <v>4607</v>
      </c>
      <c r="F233" s="57" t="s">
        <v>4672</v>
      </c>
      <c r="G233" s="56" t="s">
        <v>4667</v>
      </c>
      <c r="H233" s="56" t="s">
        <v>4673</v>
      </c>
      <c r="I233" s="56" t="s">
        <v>4668</v>
      </c>
      <c r="J233" s="56" t="s">
        <v>68</v>
      </c>
      <c r="K233" s="56" t="s">
        <v>460</v>
      </c>
      <c r="L233" s="58">
        <v>32661</v>
      </c>
      <c r="M233" s="56">
        <v>36</v>
      </c>
      <c r="N233" s="56" t="s">
        <v>4674</v>
      </c>
      <c r="O233" s="58">
        <v>47965</v>
      </c>
      <c r="P233" s="56" t="s">
        <v>4</v>
      </c>
      <c r="Q233" s="56"/>
      <c r="R233" s="162">
        <v>45913</v>
      </c>
      <c r="S233" s="163">
        <v>45918</v>
      </c>
      <c r="T233" s="164">
        <f t="shared" si="3"/>
        <v>5</v>
      </c>
      <c r="U233" s="56">
        <v>1</v>
      </c>
      <c r="V233" s="56">
        <v>1</v>
      </c>
      <c r="W233" s="56">
        <v>0</v>
      </c>
      <c r="X233" s="56">
        <v>0</v>
      </c>
      <c r="Y233" s="56">
        <v>0</v>
      </c>
      <c r="Z233" s="56">
        <v>0</v>
      </c>
      <c r="AA233" s="56">
        <v>0</v>
      </c>
      <c r="AB233" s="56"/>
      <c r="AC233" s="58">
        <v>45913</v>
      </c>
      <c r="AD233" s="59">
        <v>0.77083333333575865</v>
      </c>
      <c r="AE233" s="56" t="s">
        <v>4671</v>
      </c>
      <c r="AF233" s="58">
        <v>45918</v>
      </c>
      <c r="AG233" s="59">
        <v>0.86458333333575865</v>
      </c>
      <c r="AH233" s="56" t="s">
        <v>463</v>
      </c>
      <c r="AI233" s="56" t="s">
        <v>4613</v>
      </c>
      <c r="AJ233" s="56" t="s">
        <v>64</v>
      </c>
      <c r="AK233" s="56" t="s">
        <v>64</v>
      </c>
      <c r="AL233" s="56" t="s">
        <v>3838</v>
      </c>
      <c r="AM233" s="60" t="s">
        <v>65</v>
      </c>
      <c r="AN233" s="60" t="s">
        <v>3974</v>
      </c>
      <c r="AO233" s="60"/>
      <c r="AP233" s="61"/>
    </row>
    <row r="234" spans="3:42" ht="14.25" customHeight="1">
      <c r="C234" s="55" t="str">
        <f>IF($X234=1,COUNTIF($C$10:C233,"&gt;0")+1,"")</f>
        <v/>
      </c>
      <c r="D234" s="56"/>
      <c r="E234" s="56" t="s">
        <v>4607</v>
      </c>
      <c r="F234" s="57" t="s">
        <v>4675</v>
      </c>
      <c r="G234" s="56" t="s">
        <v>4667</v>
      </c>
      <c r="H234" s="56" t="s">
        <v>4676</v>
      </c>
      <c r="I234" s="56" t="s">
        <v>4677</v>
      </c>
      <c r="J234" s="56" t="s">
        <v>68</v>
      </c>
      <c r="K234" s="56" t="s">
        <v>460</v>
      </c>
      <c r="L234" s="58">
        <v>43896</v>
      </c>
      <c r="M234" s="56">
        <v>5</v>
      </c>
      <c r="N234" s="56" t="s">
        <v>4678</v>
      </c>
      <c r="O234" s="58">
        <v>46139</v>
      </c>
      <c r="P234" s="56" t="s">
        <v>4</v>
      </c>
      <c r="Q234" s="56"/>
      <c r="R234" s="162">
        <v>45913</v>
      </c>
      <c r="S234" s="163">
        <v>45918</v>
      </c>
      <c r="T234" s="164">
        <f t="shared" si="3"/>
        <v>5</v>
      </c>
      <c r="U234" s="56">
        <v>1</v>
      </c>
      <c r="V234" s="56">
        <v>0</v>
      </c>
      <c r="W234" s="56">
        <v>1</v>
      </c>
      <c r="X234" s="56">
        <v>0</v>
      </c>
      <c r="Y234" s="56">
        <v>0</v>
      </c>
      <c r="Z234" s="56">
        <v>0</v>
      </c>
      <c r="AA234" s="56">
        <v>0</v>
      </c>
      <c r="AB234" s="56"/>
      <c r="AC234" s="58">
        <v>45913</v>
      </c>
      <c r="AD234" s="59">
        <v>0.77083333333575865</v>
      </c>
      <c r="AE234" s="56" t="s">
        <v>4671</v>
      </c>
      <c r="AF234" s="58">
        <v>45918</v>
      </c>
      <c r="AG234" s="59">
        <v>0.86458333333575865</v>
      </c>
      <c r="AH234" s="56" t="s">
        <v>463</v>
      </c>
      <c r="AI234" s="56" t="s">
        <v>4613</v>
      </c>
      <c r="AJ234" s="56" t="s">
        <v>64</v>
      </c>
      <c r="AK234" s="56" t="s">
        <v>64</v>
      </c>
      <c r="AL234" s="56" t="s">
        <v>3838</v>
      </c>
      <c r="AM234" s="60" t="s">
        <v>65</v>
      </c>
      <c r="AN234" s="60" t="s">
        <v>3974</v>
      </c>
      <c r="AO234" s="60"/>
      <c r="AP234" s="61"/>
    </row>
    <row r="235" spans="3:42" ht="14.25" customHeight="1">
      <c r="C235" s="55" t="str">
        <f>IF($X235=1,COUNTIF($C$10:C234,"&gt;0")+1,"")</f>
        <v/>
      </c>
      <c r="D235" s="56"/>
      <c r="E235" s="56" t="s">
        <v>4607</v>
      </c>
      <c r="F235" s="57" t="s">
        <v>4679</v>
      </c>
      <c r="G235" s="56" t="s">
        <v>4667</v>
      </c>
      <c r="H235" s="56" t="s">
        <v>4680</v>
      </c>
      <c r="I235" s="56" t="s">
        <v>4677</v>
      </c>
      <c r="J235" s="56" t="s">
        <v>58</v>
      </c>
      <c r="K235" s="56" t="s">
        <v>460</v>
      </c>
      <c r="L235" s="58">
        <v>45342</v>
      </c>
      <c r="M235" s="56">
        <v>1</v>
      </c>
      <c r="N235" s="56" t="s">
        <v>4681</v>
      </c>
      <c r="O235" s="58">
        <v>47412</v>
      </c>
      <c r="P235" s="56" t="s">
        <v>4</v>
      </c>
      <c r="Q235" s="56"/>
      <c r="R235" s="162">
        <v>45913</v>
      </c>
      <c r="S235" s="163">
        <v>45918</v>
      </c>
      <c r="T235" s="164">
        <f t="shared" si="3"/>
        <v>5</v>
      </c>
      <c r="U235" s="56">
        <v>0</v>
      </c>
      <c r="V235" s="56">
        <v>0</v>
      </c>
      <c r="W235" s="56">
        <v>0</v>
      </c>
      <c r="X235" s="56">
        <v>0</v>
      </c>
      <c r="Y235" s="56">
        <v>0</v>
      </c>
      <c r="Z235" s="56">
        <v>0</v>
      </c>
      <c r="AA235" s="56">
        <v>0</v>
      </c>
      <c r="AB235" s="56"/>
      <c r="AC235" s="58">
        <v>45913</v>
      </c>
      <c r="AD235" s="59">
        <v>0.77083333333575865</v>
      </c>
      <c r="AE235" s="56" t="s">
        <v>4671</v>
      </c>
      <c r="AF235" s="58">
        <v>45918</v>
      </c>
      <c r="AG235" s="59">
        <v>0.86458333333575865</v>
      </c>
      <c r="AH235" s="56" t="s">
        <v>463</v>
      </c>
      <c r="AI235" s="56" t="s">
        <v>4613</v>
      </c>
      <c r="AJ235" s="56" t="s">
        <v>64</v>
      </c>
      <c r="AK235" s="56" t="s">
        <v>64</v>
      </c>
      <c r="AL235" s="56" t="s">
        <v>3838</v>
      </c>
      <c r="AM235" s="60" t="s">
        <v>65</v>
      </c>
      <c r="AN235" s="60" t="s">
        <v>3974</v>
      </c>
      <c r="AO235" s="60"/>
      <c r="AP235" s="61"/>
    </row>
    <row r="236" spans="3:42" ht="14.25" customHeight="1">
      <c r="C236" s="55">
        <f>IF($X236=1,COUNTIF($C$10:C235,"&gt;0")+1,"")</f>
        <v>113</v>
      </c>
      <c r="D236" s="56">
        <v>15262439</v>
      </c>
      <c r="E236" s="56" t="s">
        <v>4607</v>
      </c>
      <c r="F236" s="57" t="s">
        <v>4682</v>
      </c>
      <c r="G236" s="56" t="s">
        <v>4682</v>
      </c>
      <c r="H236" s="56" t="s">
        <v>4683</v>
      </c>
      <c r="I236" s="56" t="s">
        <v>4684</v>
      </c>
      <c r="J236" s="56" t="s">
        <v>58</v>
      </c>
      <c r="K236" s="56" t="s">
        <v>460</v>
      </c>
      <c r="L236" s="58">
        <v>33787</v>
      </c>
      <c r="M236" s="56">
        <v>33</v>
      </c>
      <c r="N236" s="56" t="s">
        <v>4685</v>
      </c>
      <c r="O236" s="58">
        <v>47301</v>
      </c>
      <c r="P236" s="56" t="s">
        <v>5</v>
      </c>
      <c r="Q236" s="56"/>
      <c r="R236" s="162">
        <v>45913</v>
      </c>
      <c r="S236" s="163">
        <v>45918</v>
      </c>
      <c r="T236" s="164">
        <f t="shared" si="3"/>
        <v>5</v>
      </c>
      <c r="U236" s="56">
        <v>1</v>
      </c>
      <c r="V236" s="56">
        <v>1</v>
      </c>
      <c r="W236" s="56">
        <v>0</v>
      </c>
      <c r="X236" s="56">
        <v>1</v>
      </c>
      <c r="Y236" s="56">
        <v>0</v>
      </c>
      <c r="Z236" s="56">
        <v>0</v>
      </c>
      <c r="AA236" s="56">
        <v>1</v>
      </c>
      <c r="AB236" s="56"/>
      <c r="AC236" s="58">
        <v>45913</v>
      </c>
      <c r="AD236" s="59">
        <v>0.78125</v>
      </c>
      <c r="AE236" s="56" t="s">
        <v>462</v>
      </c>
      <c r="AF236" s="58">
        <v>45918</v>
      </c>
      <c r="AG236" s="59">
        <v>0.86458333333575865</v>
      </c>
      <c r="AH236" s="56" t="s">
        <v>463</v>
      </c>
      <c r="AI236" s="56" t="s">
        <v>4613</v>
      </c>
      <c r="AJ236" s="56" t="s">
        <v>64</v>
      </c>
      <c r="AK236" s="56" t="s">
        <v>64</v>
      </c>
      <c r="AL236" s="56" t="s">
        <v>3838</v>
      </c>
      <c r="AM236" s="60" t="s">
        <v>65</v>
      </c>
      <c r="AN236" s="60" t="s">
        <v>4061</v>
      </c>
      <c r="AO236" s="60" t="s">
        <v>331</v>
      </c>
      <c r="AP236" s="61"/>
    </row>
    <row r="237" spans="3:42" ht="14.25" customHeight="1">
      <c r="C237" s="55" t="str">
        <f>IF($X237=1,COUNTIF($C$10:C236,"&gt;0")+1,"")</f>
        <v/>
      </c>
      <c r="D237" s="56"/>
      <c r="E237" s="56" t="s">
        <v>4607</v>
      </c>
      <c r="F237" s="57" t="s">
        <v>4686</v>
      </c>
      <c r="G237" s="56" t="s">
        <v>4682</v>
      </c>
      <c r="H237" s="56" t="s">
        <v>4687</v>
      </c>
      <c r="I237" s="56" t="s">
        <v>4688</v>
      </c>
      <c r="J237" s="56" t="s">
        <v>58</v>
      </c>
      <c r="K237" s="56" t="s">
        <v>460</v>
      </c>
      <c r="L237" s="58">
        <v>27181</v>
      </c>
      <c r="M237" s="56">
        <v>51</v>
      </c>
      <c r="N237" s="56" t="s">
        <v>4689</v>
      </c>
      <c r="O237" s="58">
        <v>46215</v>
      </c>
      <c r="P237" s="56" t="s">
        <v>5</v>
      </c>
      <c r="Q237" s="56"/>
      <c r="R237" s="162">
        <v>45913</v>
      </c>
      <c r="S237" s="163">
        <v>45918</v>
      </c>
      <c r="T237" s="164">
        <f t="shared" si="3"/>
        <v>5</v>
      </c>
      <c r="U237" s="56">
        <v>1</v>
      </c>
      <c r="V237" s="56">
        <v>1</v>
      </c>
      <c r="W237" s="56">
        <v>0</v>
      </c>
      <c r="X237" s="56">
        <v>0</v>
      </c>
      <c r="Y237" s="56">
        <v>0</v>
      </c>
      <c r="Z237" s="56">
        <v>0</v>
      </c>
      <c r="AA237" s="56">
        <v>0</v>
      </c>
      <c r="AB237" s="56"/>
      <c r="AC237" s="58">
        <v>45913</v>
      </c>
      <c r="AD237" s="59">
        <v>0.78125</v>
      </c>
      <c r="AE237" s="56" t="s">
        <v>462</v>
      </c>
      <c r="AF237" s="58">
        <v>45918</v>
      </c>
      <c r="AG237" s="59">
        <v>0.86458333333575865</v>
      </c>
      <c r="AH237" s="56" t="s">
        <v>463</v>
      </c>
      <c r="AI237" s="56" t="s">
        <v>4613</v>
      </c>
      <c r="AJ237" s="56" t="s">
        <v>64</v>
      </c>
      <c r="AK237" s="56" t="s">
        <v>64</v>
      </c>
      <c r="AL237" s="56" t="s">
        <v>3838</v>
      </c>
      <c r="AM237" s="60" t="s">
        <v>65</v>
      </c>
      <c r="AN237" s="60" t="s">
        <v>4061</v>
      </c>
      <c r="AO237" s="60" t="s">
        <v>331</v>
      </c>
      <c r="AP237" s="61"/>
    </row>
    <row r="238" spans="3:42" ht="14.25" customHeight="1">
      <c r="C238" s="55">
        <f>IF($X238=1,COUNTIF($C$10:C237,"&gt;0")+1,"")</f>
        <v>114</v>
      </c>
      <c r="D238" s="56">
        <v>15262440</v>
      </c>
      <c r="E238" s="56" t="s">
        <v>4607</v>
      </c>
      <c r="F238" s="57" t="s">
        <v>4690</v>
      </c>
      <c r="G238" s="56" t="s">
        <v>4690</v>
      </c>
      <c r="H238" s="56" t="s">
        <v>4691</v>
      </c>
      <c r="I238" s="56" t="s">
        <v>4692</v>
      </c>
      <c r="J238" s="56" t="s">
        <v>68</v>
      </c>
      <c r="K238" s="56" t="s">
        <v>460</v>
      </c>
      <c r="L238" s="58">
        <v>25015</v>
      </c>
      <c r="M238" s="56">
        <v>57</v>
      </c>
      <c r="N238" s="56" t="s">
        <v>4693</v>
      </c>
      <c r="O238" s="58">
        <v>48882</v>
      </c>
      <c r="P238" s="56" t="s">
        <v>5</v>
      </c>
      <c r="Q238" s="56"/>
      <c r="R238" s="162">
        <v>45913</v>
      </c>
      <c r="S238" s="163">
        <v>45918</v>
      </c>
      <c r="T238" s="164">
        <f t="shared" si="3"/>
        <v>5</v>
      </c>
      <c r="U238" s="56">
        <v>1</v>
      </c>
      <c r="V238" s="56">
        <v>1</v>
      </c>
      <c r="W238" s="56">
        <v>0</v>
      </c>
      <c r="X238" s="56">
        <v>1</v>
      </c>
      <c r="Y238" s="56">
        <v>0</v>
      </c>
      <c r="Z238" s="56">
        <v>0</v>
      </c>
      <c r="AA238" s="56">
        <v>1</v>
      </c>
      <c r="AB238" s="56"/>
      <c r="AC238" s="58">
        <v>45911</v>
      </c>
      <c r="AD238" s="59">
        <v>0.67013888889050577</v>
      </c>
      <c r="AE238" s="56" t="s">
        <v>234</v>
      </c>
      <c r="AF238" s="58">
        <v>45918</v>
      </c>
      <c r="AG238" s="59">
        <v>0.63194444444525288</v>
      </c>
      <c r="AH238" s="56" t="s">
        <v>4656</v>
      </c>
      <c r="AI238" s="56" t="s">
        <v>4613</v>
      </c>
      <c r="AJ238" s="56" t="s">
        <v>64</v>
      </c>
      <c r="AK238" s="56" t="s">
        <v>64</v>
      </c>
      <c r="AL238" s="56" t="s">
        <v>3838</v>
      </c>
      <c r="AM238" s="60" t="s">
        <v>65</v>
      </c>
      <c r="AN238" s="263" t="s">
        <v>3967</v>
      </c>
      <c r="AO238" s="264"/>
      <c r="AP238" s="61"/>
    </row>
    <row r="239" spans="3:42" ht="14.25" customHeight="1">
      <c r="C239" s="55" t="str">
        <f>IF($X239=1,COUNTIF($C$10:C238,"&gt;0")+1,"")</f>
        <v/>
      </c>
      <c r="D239" s="56"/>
      <c r="E239" s="56" t="s">
        <v>4607</v>
      </c>
      <c r="F239" s="57" t="s">
        <v>4694</v>
      </c>
      <c r="G239" s="56" t="s">
        <v>4690</v>
      </c>
      <c r="H239" s="56" t="s">
        <v>4695</v>
      </c>
      <c r="I239" s="56" t="s">
        <v>4692</v>
      </c>
      <c r="J239" s="56" t="s">
        <v>58</v>
      </c>
      <c r="K239" s="56" t="s">
        <v>460</v>
      </c>
      <c r="L239" s="58">
        <v>36877</v>
      </c>
      <c r="M239" s="56">
        <v>24</v>
      </c>
      <c r="N239" s="56" t="s">
        <v>4696</v>
      </c>
      <c r="O239" s="58">
        <v>48599</v>
      </c>
      <c r="P239" s="56" t="s">
        <v>5</v>
      </c>
      <c r="Q239" s="56"/>
      <c r="R239" s="162">
        <v>45913</v>
      </c>
      <c r="S239" s="163">
        <v>45918</v>
      </c>
      <c r="T239" s="164">
        <f t="shared" si="3"/>
        <v>5</v>
      </c>
      <c r="U239" s="56">
        <v>1</v>
      </c>
      <c r="V239" s="56">
        <v>1</v>
      </c>
      <c r="W239" s="56">
        <v>0</v>
      </c>
      <c r="X239" s="56">
        <v>0</v>
      </c>
      <c r="Y239" s="56">
        <v>0</v>
      </c>
      <c r="Z239" s="56">
        <v>0</v>
      </c>
      <c r="AA239" s="56">
        <v>0</v>
      </c>
      <c r="AB239" s="56"/>
      <c r="AC239" s="58">
        <v>45911</v>
      </c>
      <c r="AD239" s="59">
        <v>0.67013888889050577</v>
      </c>
      <c r="AE239" s="56" t="s">
        <v>234</v>
      </c>
      <c r="AF239" s="58">
        <v>45918</v>
      </c>
      <c r="AG239" s="59">
        <v>0.63194444444525288</v>
      </c>
      <c r="AH239" s="56" t="s">
        <v>4656</v>
      </c>
      <c r="AI239" s="56" t="s">
        <v>4613</v>
      </c>
      <c r="AJ239" s="56" t="s">
        <v>64</v>
      </c>
      <c r="AK239" s="56" t="s">
        <v>64</v>
      </c>
      <c r="AL239" s="56" t="s">
        <v>3838</v>
      </c>
      <c r="AM239" s="60" t="s">
        <v>65</v>
      </c>
      <c r="AN239" s="60" t="s">
        <v>3967</v>
      </c>
      <c r="AO239" s="60"/>
      <c r="AP239" s="61"/>
    </row>
    <row r="240" spans="3:42" ht="14.25" customHeight="1">
      <c r="C240" s="55">
        <f>IF($X240=1,COUNTIF($C$10:C239,"&gt;0")+1,"")</f>
        <v>115</v>
      </c>
      <c r="D240" s="56">
        <v>15262441</v>
      </c>
      <c r="E240" s="56" t="s">
        <v>4607</v>
      </c>
      <c r="F240" s="57" t="s">
        <v>4697</v>
      </c>
      <c r="G240" s="56" t="s">
        <v>4697</v>
      </c>
      <c r="H240" s="56" t="s">
        <v>4698</v>
      </c>
      <c r="I240" s="56" t="s">
        <v>4699</v>
      </c>
      <c r="J240" s="56" t="s">
        <v>58</v>
      </c>
      <c r="K240" s="56" t="s">
        <v>460</v>
      </c>
      <c r="L240" s="58">
        <v>23938</v>
      </c>
      <c r="M240" s="56">
        <v>60</v>
      </c>
      <c r="N240" s="56" t="s">
        <v>4700</v>
      </c>
      <c r="O240" s="58">
        <v>49066</v>
      </c>
      <c r="P240" s="56" t="s">
        <v>5</v>
      </c>
      <c r="Q240" s="56"/>
      <c r="R240" s="162">
        <v>45913</v>
      </c>
      <c r="S240" s="163">
        <v>45918</v>
      </c>
      <c r="T240" s="164">
        <f t="shared" si="3"/>
        <v>5</v>
      </c>
      <c r="U240" s="56">
        <v>1</v>
      </c>
      <c r="V240" s="56">
        <v>1</v>
      </c>
      <c r="W240" s="56">
        <v>0</v>
      </c>
      <c r="X240" s="56">
        <v>1</v>
      </c>
      <c r="Y240" s="56">
        <v>0</v>
      </c>
      <c r="Z240" s="56">
        <v>0</v>
      </c>
      <c r="AA240" s="56">
        <v>1</v>
      </c>
      <c r="AB240" s="56"/>
      <c r="AC240" s="58" t="s">
        <v>64</v>
      </c>
      <c r="AD240" s="59" t="s">
        <v>64</v>
      </c>
      <c r="AE240" s="56" t="s">
        <v>1058</v>
      </c>
      <c r="AF240" s="58" t="s">
        <v>64</v>
      </c>
      <c r="AG240" s="59" t="s">
        <v>64</v>
      </c>
      <c r="AH240" s="56" t="s">
        <v>1058</v>
      </c>
      <c r="AI240" s="56" t="s">
        <v>4613</v>
      </c>
      <c r="AJ240" s="56" t="s">
        <v>64</v>
      </c>
      <c r="AK240" s="56"/>
      <c r="AL240" s="56" t="s">
        <v>3838</v>
      </c>
      <c r="AM240" s="60" t="s">
        <v>65</v>
      </c>
      <c r="AN240" s="60" t="s">
        <v>4061</v>
      </c>
      <c r="AO240" s="60"/>
      <c r="AP240" s="61"/>
    </row>
    <row r="241" spans="3:42" ht="14.25" customHeight="1">
      <c r="C241" s="55" t="str">
        <f>IF($X241=1,COUNTIF($C$10:C240,"&gt;0")+1,"")</f>
        <v/>
      </c>
      <c r="D241" s="56"/>
      <c r="E241" s="56" t="s">
        <v>4607</v>
      </c>
      <c r="F241" s="57" t="s">
        <v>4701</v>
      </c>
      <c r="G241" s="56" t="s">
        <v>4697</v>
      </c>
      <c r="H241" s="56" t="s">
        <v>4702</v>
      </c>
      <c r="I241" s="56" t="s">
        <v>4703</v>
      </c>
      <c r="J241" s="56" t="s">
        <v>58</v>
      </c>
      <c r="K241" s="56" t="s">
        <v>4374</v>
      </c>
      <c r="L241" s="58">
        <v>22303</v>
      </c>
      <c r="M241" s="56">
        <v>64</v>
      </c>
      <c r="N241" s="56" t="s">
        <v>4704</v>
      </c>
      <c r="O241" s="58">
        <v>47171</v>
      </c>
      <c r="P241" s="56" t="s">
        <v>5</v>
      </c>
      <c r="Q241" s="56"/>
      <c r="R241" s="162">
        <v>45913</v>
      </c>
      <c r="S241" s="163">
        <v>45918</v>
      </c>
      <c r="T241" s="164">
        <f t="shared" si="3"/>
        <v>5</v>
      </c>
      <c r="U241" s="56">
        <v>1</v>
      </c>
      <c r="V241" s="56">
        <v>1</v>
      </c>
      <c r="W241" s="56">
        <v>0</v>
      </c>
      <c r="X241" s="56">
        <v>0</v>
      </c>
      <c r="Y241" s="56">
        <v>0</v>
      </c>
      <c r="Z241" s="56">
        <v>0</v>
      </c>
      <c r="AA241" s="56">
        <v>0</v>
      </c>
      <c r="AB241" s="56"/>
      <c r="AC241" s="58" t="s">
        <v>64</v>
      </c>
      <c r="AD241" s="59" t="s">
        <v>64</v>
      </c>
      <c r="AE241" s="56" t="s">
        <v>1058</v>
      </c>
      <c r="AF241" s="58" t="s">
        <v>64</v>
      </c>
      <c r="AG241" s="59" t="s">
        <v>64</v>
      </c>
      <c r="AH241" s="56" t="s">
        <v>1058</v>
      </c>
      <c r="AI241" s="56" t="s">
        <v>4613</v>
      </c>
      <c r="AJ241" s="56" t="s">
        <v>64</v>
      </c>
      <c r="AK241" s="56"/>
      <c r="AL241" s="56" t="s">
        <v>3838</v>
      </c>
      <c r="AM241" s="60" t="s">
        <v>65</v>
      </c>
      <c r="AN241" s="60" t="s">
        <v>4061</v>
      </c>
      <c r="AO241" s="60"/>
      <c r="AP241" s="61"/>
    </row>
    <row r="242" spans="3:42" ht="14.25" customHeight="1">
      <c r="C242" s="55">
        <f>IF($X242=1,COUNTIF($C$10:C241,"&gt;0")+1,"")</f>
        <v>116</v>
      </c>
      <c r="D242" s="56">
        <v>15262442</v>
      </c>
      <c r="E242" s="56" t="s">
        <v>4607</v>
      </c>
      <c r="F242" s="57" t="s">
        <v>4705</v>
      </c>
      <c r="G242" s="56" t="s">
        <v>4697</v>
      </c>
      <c r="H242" s="56" t="s">
        <v>4706</v>
      </c>
      <c r="I242" s="56" t="s">
        <v>4699</v>
      </c>
      <c r="J242" s="56" t="s">
        <v>58</v>
      </c>
      <c r="K242" s="56" t="s">
        <v>4374</v>
      </c>
      <c r="L242" s="58">
        <v>21642</v>
      </c>
      <c r="M242" s="56">
        <v>66</v>
      </c>
      <c r="N242" s="56" t="s">
        <v>4707</v>
      </c>
      <c r="O242" s="58">
        <v>46456</v>
      </c>
      <c r="P242" s="56" t="s">
        <v>4</v>
      </c>
      <c r="Q242" s="56"/>
      <c r="R242" s="162">
        <v>45913</v>
      </c>
      <c r="S242" s="163">
        <v>45918</v>
      </c>
      <c r="T242" s="164">
        <f t="shared" si="3"/>
        <v>5</v>
      </c>
      <c r="U242" s="56">
        <v>1</v>
      </c>
      <c r="V242" s="56">
        <v>1</v>
      </c>
      <c r="W242" s="56">
        <v>0</v>
      </c>
      <c r="X242" s="56">
        <v>1</v>
      </c>
      <c r="Y242" s="56">
        <v>0</v>
      </c>
      <c r="Z242" s="56">
        <v>1</v>
      </c>
      <c r="AA242" s="56">
        <v>0</v>
      </c>
      <c r="AB242" s="56"/>
      <c r="AC242" s="58" t="s">
        <v>64</v>
      </c>
      <c r="AD242" s="59" t="s">
        <v>64</v>
      </c>
      <c r="AE242" s="56" t="s">
        <v>1058</v>
      </c>
      <c r="AF242" s="58" t="s">
        <v>64</v>
      </c>
      <c r="AG242" s="59" t="s">
        <v>64</v>
      </c>
      <c r="AH242" s="56" t="s">
        <v>1058</v>
      </c>
      <c r="AI242" s="56" t="s">
        <v>4613</v>
      </c>
      <c r="AJ242" s="56" t="s">
        <v>64</v>
      </c>
      <c r="AK242" s="56"/>
      <c r="AL242" s="56" t="s">
        <v>3838</v>
      </c>
      <c r="AM242" s="60" t="s">
        <v>65</v>
      </c>
      <c r="AN242" s="60" t="s">
        <v>3974</v>
      </c>
      <c r="AO242" s="60"/>
      <c r="AP242" s="61"/>
    </row>
    <row r="243" spans="3:42" ht="14.25" customHeight="1">
      <c r="C243" s="55" t="str">
        <f>IF($X243=1,COUNTIF($C$10:C242,"&gt;0")+1,"")</f>
        <v/>
      </c>
      <c r="D243" s="56"/>
      <c r="E243" s="56" t="s">
        <v>4607</v>
      </c>
      <c r="F243" s="57" t="s">
        <v>4708</v>
      </c>
      <c r="G243" s="56" t="s">
        <v>4697</v>
      </c>
      <c r="H243" s="56" t="s">
        <v>4709</v>
      </c>
      <c r="I243" s="56" t="s">
        <v>4710</v>
      </c>
      <c r="J243" s="56" t="s">
        <v>68</v>
      </c>
      <c r="K243" s="56" t="s">
        <v>4374</v>
      </c>
      <c r="L243" s="58">
        <v>24191</v>
      </c>
      <c r="M243" s="56">
        <v>59</v>
      </c>
      <c r="N243" s="56" t="s">
        <v>4711</v>
      </c>
      <c r="O243" s="58">
        <v>46456</v>
      </c>
      <c r="P243" s="56" t="s">
        <v>4</v>
      </c>
      <c r="Q243" s="56"/>
      <c r="R243" s="162">
        <v>45913</v>
      </c>
      <c r="S243" s="163">
        <v>45918</v>
      </c>
      <c r="T243" s="164">
        <f t="shared" si="3"/>
        <v>5</v>
      </c>
      <c r="U243" s="56">
        <v>1</v>
      </c>
      <c r="V243" s="56">
        <v>1</v>
      </c>
      <c r="W243" s="56">
        <v>0</v>
      </c>
      <c r="X243" s="56">
        <v>0</v>
      </c>
      <c r="Y243" s="56">
        <v>0</v>
      </c>
      <c r="Z243" s="56">
        <v>0</v>
      </c>
      <c r="AA243" s="56">
        <v>0</v>
      </c>
      <c r="AB243" s="56"/>
      <c r="AC243" s="58" t="s">
        <v>64</v>
      </c>
      <c r="AD243" s="59" t="s">
        <v>64</v>
      </c>
      <c r="AE243" s="56" t="s">
        <v>1058</v>
      </c>
      <c r="AF243" s="58" t="s">
        <v>64</v>
      </c>
      <c r="AG243" s="59" t="s">
        <v>64</v>
      </c>
      <c r="AH243" s="56" t="s">
        <v>1058</v>
      </c>
      <c r="AI243" s="56" t="s">
        <v>4613</v>
      </c>
      <c r="AJ243" s="56" t="s">
        <v>64</v>
      </c>
      <c r="AK243" s="56"/>
      <c r="AL243" s="56" t="s">
        <v>3838</v>
      </c>
      <c r="AM243" s="60" t="s">
        <v>65</v>
      </c>
      <c r="AN243" s="60" t="s">
        <v>3974</v>
      </c>
      <c r="AO243" s="60"/>
      <c r="AP243" s="61"/>
    </row>
    <row r="244" spans="3:42" ht="14.25" customHeight="1">
      <c r="C244" s="55">
        <f>IF($X244=1,COUNTIF($C$10:C243,"&gt;0")+1,"")</f>
        <v>117</v>
      </c>
      <c r="D244" s="56">
        <v>15262443</v>
      </c>
      <c r="E244" s="56" t="s">
        <v>4607</v>
      </c>
      <c r="F244" s="57" t="s">
        <v>4712</v>
      </c>
      <c r="G244" s="56" t="s">
        <v>4697</v>
      </c>
      <c r="H244" s="56" t="s">
        <v>4713</v>
      </c>
      <c r="I244" s="56" t="s">
        <v>4699</v>
      </c>
      <c r="J244" s="56" t="s">
        <v>58</v>
      </c>
      <c r="K244" s="56" t="s">
        <v>4374</v>
      </c>
      <c r="L244" s="58">
        <v>23093</v>
      </c>
      <c r="M244" s="56">
        <v>62</v>
      </c>
      <c r="N244" s="56" t="s">
        <v>4714</v>
      </c>
      <c r="O244" s="58">
        <v>46109</v>
      </c>
      <c r="P244" s="56" t="s">
        <v>4</v>
      </c>
      <c r="Q244" s="56"/>
      <c r="R244" s="162">
        <v>45913</v>
      </c>
      <c r="S244" s="163">
        <v>45918</v>
      </c>
      <c r="T244" s="164">
        <f t="shared" si="3"/>
        <v>5</v>
      </c>
      <c r="U244" s="56">
        <v>1</v>
      </c>
      <c r="V244" s="56">
        <v>1</v>
      </c>
      <c r="W244" s="56">
        <v>0</v>
      </c>
      <c r="X244" s="56">
        <v>1</v>
      </c>
      <c r="Y244" s="56">
        <v>0</v>
      </c>
      <c r="Z244" s="56">
        <v>1</v>
      </c>
      <c r="AA244" s="56">
        <v>0</v>
      </c>
      <c r="AB244" s="56"/>
      <c r="AC244" s="58" t="s">
        <v>64</v>
      </c>
      <c r="AD244" s="59" t="s">
        <v>64</v>
      </c>
      <c r="AE244" s="56" t="s">
        <v>1058</v>
      </c>
      <c r="AF244" s="58" t="s">
        <v>64</v>
      </c>
      <c r="AG244" s="59" t="s">
        <v>64</v>
      </c>
      <c r="AH244" s="56" t="s">
        <v>1058</v>
      </c>
      <c r="AI244" s="56" t="s">
        <v>4613</v>
      </c>
      <c r="AJ244" s="56" t="s">
        <v>64</v>
      </c>
      <c r="AK244" s="56"/>
      <c r="AL244" s="56" t="s">
        <v>3838</v>
      </c>
      <c r="AM244" s="60" t="s">
        <v>65</v>
      </c>
      <c r="AN244" s="60" t="s">
        <v>3974</v>
      </c>
      <c r="AO244" s="60"/>
      <c r="AP244" s="61"/>
    </row>
    <row r="245" spans="3:42" ht="14.25" customHeight="1">
      <c r="C245" s="55" t="str">
        <f>IF($X245=1,COUNTIF($C$10:C244,"&gt;0")+1,"")</f>
        <v/>
      </c>
      <c r="D245" s="56"/>
      <c r="E245" s="56" t="s">
        <v>4607</v>
      </c>
      <c r="F245" s="57" t="s">
        <v>4715</v>
      </c>
      <c r="G245" s="56" t="s">
        <v>4697</v>
      </c>
      <c r="H245" s="56" t="s">
        <v>4716</v>
      </c>
      <c r="I245" s="56" t="s">
        <v>4717</v>
      </c>
      <c r="J245" s="56" t="s">
        <v>68</v>
      </c>
      <c r="K245" s="56" t="s">
        <v>4374</v>
      </c>
      <c r="L245" s="58">
        <v>23658</v>
      </c>
      <c r="M245" s="56">
        <v>60</v>
      </c>
      <c r="N245" s="56" t="s">
        <v>4718</v>
      </c>
      <c r="O245" s="58">
        <v>48912</v>
      </c>
      <c r="P245" s="56" t="s">
        <v>4</v>
      </c>
      <c r="Q245" s="56"/>
      <c r="R245" s="162">
        <v>45913</v>
      </c>
      <c r="S245" s="163">
        <v>45918</v>
      </c>
      <c r="T245" s="164">
        <f t="shared" si="3"/>
        <v>5</v>
      </c>
      <c r="U245" s="56">
        <v>1</v>
      </c>
      <c r="V245" s="56">
        <v>1</v>
      </c>
      <c r="W245" s="56">
        <v>0</v>
      </c>
      <c r="X245" s="56">
        <v>0</v>
      </c>
      <c r="Y245" s="56">
        <v>0</v>
      </c>
      <c r="Z245" s="56">
        <v>0</v>
      </c>
      <c r="AA245" s="56">
        <v>0</v>
      </c>
      <c r="AB245" s="56"/>
      <c r="AC245" s="58" t="s">
        <v>64</v>
      </c>
      <c r="AD245" s="59" t="s">
        <v>64</v>
      </c>
      <c r="AE245" s="56" t="s">
        <v>1058</v>
      </c>
      <c r="AF245" s="58" t="s">
        <v>64</v>
      </c>
      <c r="AG245" s="59" t="s">
        <v>64</v>
      </c>
      <c r="AH245" s="56" t="s">
        <v>1058</v>
      </c>
      <c r="AI245" s="56" t="s">
        <v>4613</v>
      </c>
      <c r="AJ245" s="56" t="s">
        <v>64</v>
      </c>
      <c r="AK245" s="56"/>
      <c r="AL245" s="56" t="s">
        <v>3838</v>
      </c>
      <c r="AM245" s="60" t="s">
        <v>65</v>
      </c>
      <c r="AN245" s="60" t="s">
        <v>3974</v>
      </c>
      <c r="AO245" s="60"/>
      <c r="AP245" s="61"/>
    </row>
    <row r="246" spans="3:42" ht="14.25" customHeight="1">
      <c r="C246" s="55">
        <f>IF($X246=1,COUNTIF($C$10:C245,"&gt;0")+1,"")</f>
        <v>118</v>
      </c>
      <c r="D246" s="56">
        <v>15262444</v>
      </c>
      <c r="E246" s="56" t="s">
        <v>4607</v>
      </c>
      <c r="F246" s="57" t="s">
        <v>4719</v>
      </c>
      <c r="G246" s="56" t="s">
        <v>4719</v>
      </c>
      <c r="H246" s="56" t="s">
        <v>1209</v>
      </c>
      <c r="I246" s="56" t="s">
        <v>4720</v>
      </c>
      <c r="J246" s="56" t="s">
        <v>68</v>
      </c>
      <c r="K246" s="56" t="s">
        <v>460</v>
      </c>
      <c r="L246" s="58">
        <v>23980</v>
      </c>
      <c r="M246" s="56">
        <v>60</v>
      </c>
      <c r="N246" s="56" t="s">
        <v>4721</v>
      </c>
      <c r="O246" s="58">
        <v>48519</v>
      </c>
      <c r="P246" s="56" t="s">
        <v>4</v>
      </c>
      <c r="Q246" s="56"/>
      <c r="R246" s="162">
        <v>45913</v>
      </c>
      <c r="S246" s="163">
        <v>45918</v>
      </c>
      <c r="T246" s="164">
        <f t="shared" si="3"/>
        <v>5</v>
      </c>
      <c r="U246" s="56">
        <v>1</v>
      </c>
      <c r="V246" s="56">
        <v>1</v>
      </c>
      <c r="W246" s="56">
        <v>0</v>
      </c>
      <c r="X246" s="56">
        <v>1</v>
      </c>
      <c r="Y246" s="56">
        <v>0</v>
      </c>
      <c r="Z246" s="56">
        <v>1</v>
      </c>
      <c r="AA246" s="56">
        <v>0</v>
      </c>
      <c r="AB246" s="56"/>
      <c r="AC246" s="58">
        <v>45913</v>
      </c>
      <c r="AD246" s="59">
        <v>0.72916666666424135</v>
      </c>
      <c r="AE246" s="56" t="s">
        <v>575</v>
      </c>
      <c r="AF246" s="58">
        <v>45918</v>
      </c>
      <c r="AG246" s="59">
        <v>0.85416666666424135</v>
      </c>
      <c r="AH246" s="56" t="s">
        <v>183</v>
      </c>
      <c r="AI246" s="56" t="s">
        <v>4613</v>
      </c>
      <c r="AJ246" s="56" t="s">
        <v>64</v>
      </c>
      <c r="AK246" s="56" t="s">
        <v>64</v>
      </c>
      <c r="AL246" s="56" t="s">
        <v>3838</v>
      </c>
      <c r="AM246" s="60" t="s">
        <v>65</v>
      </c>
      <c r="AN246" s="60" t="s">
        <v>3974</v>
      </c>
      <c r="AO246" s="60"/>
      <c r="AP246" s="61"/>
    </row>
    <row r="247" spans="3:42" ht="14.25" customHeight="1">
      <c r="C247" s="55" t="str">
        <f>IF($X247=1,COUNTIF($C$10:C246,"&gt;0")+1,"")</f>
        <v/>
      </c>
      <c r="D247" s="56"/>
      <c r="E247" s="56" t="s">
        <v>4607</v>
      </c>
      <c r="F247" s="57" t="s">
        <v>4722</v>
      </c>
      <c r="G247" s="56" t="s">
        <v>4719</v>
      </c>
      <c r="H247" s="56" t="s">
        <v>4723</v>
      </c>
      <c r="I247" s="56" t="s">
        <v>4720</v>
      </c>
      <c r="J247" s="56" t="s">
        <v>58</v>
      </c>
      <c r="K247" s="56" t="s">
        <v>460</v>
      </c>
      <c r="L247" s="58">
        <v>23336</v>
      </c>
      <c r="M247" s="56">
        <v>61</v>
      </c>
      <c r="N247" s="56" t="s">
        <v>4724</v>
      </c>
      <c r="O247" s="58">
        <v>47428</v>
      </c>
      <c r="P247" s="56" t="s">
        <v>4</v>
      </c>
      <c r="Q247" s="56"/>
      <c r="R247" s="162">
        <v>45913</v>
      </c>
      <c r="S247" s="163">
        <v>45918</v>
      </c>
      <c r="T247" s="164">
        <f t="shared" si="3"/>
        <v>5</v>
      </c>
      <c r="U247" s="56">
        <v>1</v>
      </c>
      <c r="V247" s="56">
        <v>1</v>
      </c>
      <c r="W247" s="56">
        <v>0</v>
      </c>
      <c r="X247" s="56">
        <v>0</v>
      </c>
      <c r="Y247" s="56">
        <v>0</v>
      </c>
      <c r="Z247" s="56">
        <v>0</v>
      </c>
      <c r="AA247" s="56">
        <v>0</v>
      </c>
      <c r="AB247" s="56"/>
      <c r="AC247" s="58">
        <v>45913</v>
      </c>
      <c r="AD247" s="59">
        <v>0.72916666666424135</v>
      </c>
      <c r="AE247" s="56" t="s">
        <v>575</v>
      </c>
      <c r="AF247" s="58">
        <v>45918</v>
      </c>
      <c r="AG247" s="59">
        <v>0.85416666666424135</v>
      </c>
      <c r="AH247" s="56" t="s">
        <v>183</v>
      </c>
      <c r="AI247" s="56" t="s">
        <v>4613</v>
      </c>
      <c r="AJ247" s="56" t="s">
        <v>64</v>
      </c>
      <c r="AK247" s="56" t="s">
        <v>64</v>
      </c>
      <c r="AL247" s="56" t="s">
        <v>3838</v>
      </c>
      <c r="AM247" s="60" t="s">
        <v>65</v>
      </c>
      <c r="AN247" s="60" t="s">
        <v>3974</v>
      </c>
      <c r="AO247" s="60"/>
      <c r="AP247" s="61"/>
    </row>
    <row r="248" spans="3:42" ht="14.25" customHeight="1">
      <c r="C248" s="55">
        <f>IF($X248=1,COUNTIF($C$10:C247,"&gt;0")+1,"")</f>
        <v>119</v>
      </c>
      <c r="D248" s="56">
        <v>15262445</v>
      </c>
      <c r="E248" s="56" t="s">
        <v>4607</v>
      </c>
      <c r="F248" s="57" t="s">
        <v>4725</v>
      </c>
      <c r="G248" s="56" t="s">
        <v>4719</v>
      </c>
      <c r="H248" s="56" t="s">
        <v>4726</v>
      </c>
      <c r="I248" s="56" t="s">
        <v>4720</v>
      </c>
      <c r="J248" s="56" t="s">
        <v>68</v>
      </c>
      <c r="K248" s="56" t="s">
        <v>460</v>
      </c>
      <c r="L248" s="58">
        <v>35657</v>
      </c>
      <c r="M248" s="56">
        <v>28</v>
      </c>
      <c r="N248" s="56" t="s">
        <v>4727</v>
      </c>
      <c r="O248" s="58">
        <v>48498</v>
      </c>
      <c r="P248" s="56" t="s">
        <v>4</v>
      </c>
      <c r="Q248" s="56"/>
      <c r="R248" s="162">
        <v>45913</v>
      </c>
      <c r="S248" s="163">
        <v>45918</v>
      </c>
      <c r="T248" s="164">
        <f t="shared" si="3"/>
        <v>5</v>
      </c>
      <c r="U248" s="56">
        <v>1</v>
      </c>
      <c r="V248" s="56">
        <v>1</v>
      </c>
      <c r="W248" s="56">
        <v>0</v>
      </c>
      <c r="X248" s="56">
        <v>1</v>
      </c>
      <c r="Y248" s="56">
        <v>0</v>
      </c>
      <c r="Z248" s="56">
        <v>1</v>
      </c>
      <c r="AA248" s="56">
        <v>0</v>
      </c>
      <c r="AB248" s="56"/>
      <c r="AC248" s="58">
        <v>45913</v>
      </c>
      <c r="AD248" s="59">
        <v>0.72916666666424135</v>
      </c>
      <c r="AE248" s="56" t="s">
        <v>575</v>
      </c>
      <c r="AF248" s="58">
        <v>45918</v>
      </c>
      <c r="AG248" s="59">
        <v>0.85416666666424135</v>
      </c>
      <c r="AH248" s="56" t="s">
        <v>183</v>
      </c>
      <c r="AI248" s="56" t="s">
        <v>4613</v>
      </c>
      <c r="AJ248" s="56" t="s">
        <v>64</v>
      </c>
      <c r="AK248" s="56" t="s">
        <v>64</v>
      </c>
      <c r="AL248" s="56" t="s">
        <v>3838</v>
      </c>
      <c r="AM248" s="60" t="s">
        <v>65</v>
      </c>
      <c r="AN248" s="60" t="s">
        <v>3974</v>
      </c>
      <c r="AO248" s="60"/>
      <c r="AP248" s="61"/>
    </row>
    <row r="249" spans="3:42" ht="14.25" customHeight="1">
      <c r="C249" s="55" t="str">
        <f>IF($X249=1,COUNTIF($C$10:C248,"&gt;0")+1,"")</f>
        <v/>
      </c>
      <c r="D249" s="56"/>
      <c r="E249" s="56" t="s">
        <v>4607</v>
      </c>
      <c r="F249" s="57" t="s">
        <v>4728</v>
      </c>
      <c r="G249" s="56" t="s">
        <v>4719</v>
      </c>
      <c r="H249" s="56" t="s">
        <v>4729</v>
      </c>
      <c r="I249" s="56" t="s">
        <v>4730</v>
      </c>
      <c r="J249" s="56" t="s">
        <v>68</v>
      </c>
      <c r="K249" s="56" t="s">
        <v>460</v>
      </c>
      <c r="L249" s="58">
        <v>35387</v>
      </c>
      <c r="M249" s="56">
        <v>28</v>
      </c>
      <c r="N249" s="56" t="s">
        <v>4731</v>
      </c>
      <c r="O249" s="58">
        <v>46721</v>
      </c>
      <c r="P249" s="56" t="s">
        <v>4</v>
      </c>
      <c r="Q249" s="56"/>
      <c r="R249" s="162">
        <v>45913</v>
      </c>
      <c r="S249" s="163">
        <v>45918</v>
      </c>
      <c r="T249" s="164">
        <f t="shared" si="3"/>
        <v>5</v>
      </c>
      <c r="U249" s="56">
        <v>1</v>
      </c>
      <c r="V249" s="56">
        <v>1</v>
      </c>
      <c r="W249" s="56">
        <v>0</v>
      </c>
      <c r="X249" s="56">
        <v>0</v>
      </c>
      <c r="Y249" s="56">
        <v>0</v>
      </c>
      <c r="Z249" s="56">
        <v>0</v>
      </c>
      <c r="AA249" s="56">
        <v>0</v>
      </c>
      <c r="AB249" s="56"/>
      <c r="AC249" s="58">
        <v>45913</v>
      </c>
      <c r="AD249" s="59">
        <v>0.72916666666424135</v>
      </c>
      <c r="AE249" s="56" t="s">
        <v>575</v>
      </c>
      <c r="AF249" s="58">
        <v>45918</v>
      </c>
      <c r="AG249" s="59">
        <v>0.85416666666424135</v>
      </c>
      <c r="AH249" s="56" t="s">
        <v>183</v>
      </c>
      <c r="AI249" s="56" t="s">
        <v>4613</v>
      </c>
      <c r="AJ249" s="56" t="s">
        <v>64</v>
      </c>
      <c r="AK249" s="56" t="s">
        <v>64</v>
      </c>
      <c r="AL249" s="56" t="s">
        <v>3838</v>
      </c>
      <c r="AM249" s="60" t="s">
        <v>65</v>
      </c>
      <c r="AN249" s="60" t="s">
        <v>3974</v>
      </c>
      <c r="AO249" s="60"/>
      <c r="AP249" s="61"/>
    </row>
    <row r="250" spans="3:42" ht="14.25" customHeight="1">
      <c r="C250" s="55">
        <f>IF($X250=1,COUNTIF($C$10:C249,"&gt;0")+1,"")</f>
        <v>120</v>
      </c>
      <c r="D250" s="56">
        <v>15262446</v>
      </c>
      <c r="E250" s="56" t="s">
        <v>4732</v>
      </c>
      <c r="F250" s="57" t="s">
        <v>4733</v>
      </c>
      <c r="G250" s="56" t="s">
        <v>4733</v>
      </c>
      <c r="H250" s="56" t="s">
        <v>4734</v>
      </c>
      <c r="I250" s="56" t="s">
        <v>4735</v>
      </c>
      <c r="J250" s="56" t="s">
        <v>58</v>
      </c>
      <c r="K250" s="56" t="s">
        <v>460</v>
      </c>
      <c r="L250" s="58">
        <v>24548</v>
      </c>
      <c r="M250" s="56">
        <v>58</v>
      </c>
      <c r="N250" s="56" t="s">
        <v>4736</v>
      </c>
      <c r="O250" s="58">
        <v>49118</v>
      </c>
      <c r="P250" s="56" t="s">
        <v>4</v>
      </c>
      <c r="Q250" s="56"/>
      <c r="R250" s="162">
        <v>45913</v>
      </c>
      <c r="S250" s="163">
        <v>45918</v>
      </c>
      <c r="T250" s="164">
        <f t="shared" si="3"/>
        <v>5</v>
      </c>
      <c r="U250" s="56">
        <v>1</v>
      </c>
      <c r="V250" s="56">
        <v>1</v>
      </c>
      <c r="W250" s="56">
        <v>0</v>
      </c>
      <c r="X250" s="56">
        <v>1</v>
      </c>
      <c r="Y250" s="56">
        <v>0</v>
      </c>
      <c r="Z250" s="56">
        <v>1</v>
      </c>
      <c r="AA250" s="56">
        <v>0</v>
      </c>
      <c r="AB250" s="56"/>
      <c r="AC250" s="58">
        <v>45913</v>
      </c>
      <c r="AD250" s="59">
        <v>0.72916666666424135</v>
      </c>
      <c r="AE250" s="56" t="s">
        <v>575</v>
      </c>
      <c r="AF250" s="58">
        <v>45918</v>
      </c>
      <c r="AG250" s="59">
        <v>0.79513888889050577</v>
      </c>
      <c r="AH250" s="56" t="s">
        <v>359</v>
      </c>
      <c r="AI250" s="56" t="s">
        <v>4737</v>
      </c>
      <c r="AJ250" s="56" t="s">
        <v>598</v>
      </c>
      <c r="AK250" s="56" t="s">
        <v>64</v>
      </c>
      <c r="AL250" s="56" t="s">
        <v>3838</v>
      </c>
      <c r="AM250" s="60" t="s">
        <v>65</v>
      </c>
      <c r="AN250" s="60" t="s">
        <v>3974</v>
      </c>
      <c r="AO250" s="60"/>
      <c r="AP250" s="61"/>
    </row>
    <row r="251" spans="3:42" ht="14.25" customHeight="1">
      <c r="C251" s="55" t="str">
        <f>IF($X251=1,COUNTIF($C$10:C250,"&gt;0")+1,"")</f>
        <v/>
      </c>
      <c r="D251" s="56"/>
      <c r="E251" s="56" t="s">
        <v>4732</v>
      </c>
      <c r="F251" s="57" t="s">
        <v>4738</v>
      </c>
      <c r="G251" s="56" t="s">
        <v>4733</v>
      </c>
      <c r="H251" s="56" t="s">
        <v>4739</v>
      </c>
      <c r="I251" s="56" t="s">
        <v>4740</v>
      </c>
      <c r="J251" s="56" t="s">
        <v>68</v>
      </c>
      <c r="K251" s="56" t="s">
        <v>460</v>
      </c>
      <c r="L251" s="58">
        <v>26582</v>
      </c>
      <c r="M251" s="56">
        <v>52</v>
      </c>
      <c r="N251" s="56" t="s">
        <v>4741</v>
      </c>
      <c r="O251" s="58">
        <v>49406</v>
      </c>
      <c r="P251" s="56" t="s">
        <v>4</v>
      </c>
      <c r="Q251" s="56"/>
      <c r="R251" s="162">
        <v>45913</v>
      </c>
      <c r="S251" s="163">
        <v>45918</v>
      </c>
      <c r="T251" s="164">
        <f t="shared" si="3"/>
        <v>5</v>
      </c>
      <c r="U251" s="56">
        <v>1</v>
      </c>
      <c r="V251" s="56">
        <v>1</v>
      </c>
      <c r="W251" s="56">
        <v>0</v>
      </c>
      <c r="X251" s="56">
        <v>0</v>
      </c>
      <c r="Y251" s="56">
        <v>0</v>
      </c>
      <c r="Z251" s="56">
        <v>0</v>
      </c>
      <c r="AA251" s="56">
        <v>0</v>
      </c>
      <c r="AB251" s="56"/>
      <c r="AC251" s="58">
        <v>45913</v>
      </c>
      <c r="AD251" s="59">
        <v>0.72916666666424135</v>
      </c>
      <c r="AE251" s="56" t="s">
        <v>575</v>
      </c>
      <c r="AF251" s="58">
        <v>45918</v>
      </c>
      <c r="AG251" s="59">
        <v>0.79513888889050577</v>
      </c>
      <c r="AH251" s="56" t="s">
        <v>359</v>
      </c>
      <c r="AI251" s="56" t="s">
        <v>4737</v>
      </c>
      <c r="AJ251" s="56" t="s">
        <v>64</v>
      </c>
      <c r="AK251" s="56" t="s">
        <v>64</v>
      </c>
      <c r="AL251" s="56" t="s">
        <v>3838</v>
      </c>
      <c r="AM251" s="60" t="s">
        <v>65</v>
      </c>
      <c r="AN251" s="60" t="s">
        <v>3974</v>
      </c>
      <c r="AO251" s="60"/>
      <c r="AP251" s="61"/>
    </row>
    <row r="252" spans="3:42" ht="14.25" customHeight="1">
      <c r="C252" s="55">
        <f>IF($X252=1,COUNTIF($C$10:C251,"&gt;0")+1,"")</f>
        <v>121</v>
      </c>
      <c r="D252" s="56">
        <v>15262447</v>
      </c>
      <c r="E252" s="56" t="s">
        <v>4742</v>
      </c>
      <c r="F252" s="57" t="s">
        <v>4743</v>
      </c>
      <c r="G252" s="56" t="s">
        <v>4743</v>
      </c>
      <c r="H252" s="56" t="s">
        <v>4744</v>
      </c>
      <c r="I252" s="56" t="s">
        <v>4745</v>
      </c>
      <c r="J252" s="56" t="s">
        <v>58</v>
      </c>
      <c r="K252" s="56" t="s">
        <v>59</v>
      </c>
      <c r="L252" s="58">
        <v>29637</v>
      </c>
      <c r="M252" s="56">
        <v>44</v>
      </c>
      <c r="N252" s="56" t="s">
        <v>4746</v>
      </c>
      <c r="O252" s="58">
        <v>48257</v>
      </c>
      <c r="P252" s="56" t="s">
        <v>4</v>
      </c>
      <c r="Q252" s="56"/>
      <c r="R252" s="162">
        <v>45913</v>
      </c>
      <c r="S252" s="163">
        <v>45918</v>
      </c>
      <c r="T252" s="164">
        <f t="shared" si="3"/>
        <v>5</v>
      </c>
      <c r="U252" s="56">
        <v>1</v>
      </c>
      <c r="V252" s="56">
        <v>1</v>
      </c>
      <c r="W252" s="56">
        <v>0</v>
      </c>
      <c r="X252" s="56">
        <v>1</v>
      </c>
      <c r="Y252" s="56">
        <v>0</v>
      </c>
      <c r="Z252" s="56">
        <v>1</v>
      </c>
      <c r="AA252" s="56">
        <v>0</v>
      </c>
      <c r="AB252" s="56"/>
      <c r="AC252" s="58">
        <v>45913</v>
      </c>
      <c r="AD252" s="59">
        <v>0.45833333333575865</v>
      </c>
      <c r="AE252" s="56" t="s">
        <v>244</v>
      </c>
      <c r="AF252" s="58">
        <v>45918</v>
      </c>
      <c r="AG252" s="59">
        <v>2.4305555554747116E-2</v>
      </c>
      <c r="AH252" s="56" t="s">
        <v>4747</v>
      </c>
      <c r="AI252" s="56" t="s">
        <v>4748</v>
      </c>
      <c r="AJ252" s="56" t="s">
        <v>64</v>
      </c>
      <c r="AK252" s="56" t="s">
        <v>64</v>
      </c>
      <c r="AL252" s="56" t="s">
        <v>3838</v>
      </c>
      <c r="AM252" s="60" t="s">
        <v>65</v>
      </c>
      <c r="AN252" s="60" t="s">
        <v>3844</v>
      </c>
      <c r="AO252" s="60"/>
      <c r="AP252" s="61"/>
    </row>
    <row r="253" spans="3:42" ht="14.25" customHeight="1">
      <c r="C253" s="55" t="str">
        <f>IF($X253=1,COUNTIF($C$10:C252,"&gt;0")+1,"")</f>
        <v/>
      </c>
      <c r="D253" s="56"/>
      <c r="E253" s="56" t="s">
        <v>4742</v>
      </c>
      <c r="F253" s="57" t="s">
        <v>4749</v>
      </c>
      <c r="G253" s="56" t="s">
        <v>4743</v>
      </c>
      <c r="H253" s="56" t="s">
        <v>4750</v>
      </c>
      <c r="I253" s="56" t="s">
        <v>4745</v>
      </c>
      <c r="J253" s="56" t="s">
        <v>68</v>
      </c>
      <c r="K253" s="56" t="s">
        <v>59</v>
      </c>
      <c r="L253" s="58">
        <v>29789</v>
      </c>
      <c r="M253" s="56">
        <v>44</v>
      </c>
      <c r="N253" s="56" t="s">
        <v>4751</v>
      </c>
      <c r="O253" s="58">
        <v>46423</v>
      </c>
      <c r="P253" s="56" t="s">
        <v>4</v>
      </c>
      <c r="Q253" s="56"/>
      <c r="R253" s="162">
        <v>45913</v>
      </c>
      <c r="S253" s="163">
        <v>45918</v>
      </c>
      <c r="T253" s="164">
        <f t="shared" si="3"/>
        <v>5</v>
      </c>
      <c r="U253" s="56">
        <v>1</v>
      </c>
      <c r="V253" s="56">
        <v>1</v>
      </c>
      <c r="W253" s="56">
        <v>0</v>
      </c>
      <c r="X253" s="56">
        <v>0</v>
      </c>
      <c r="Y253" s="56">
        <v>0</v>
      </c>
      <c r="Z253" s="56">
        <v>0</v>
      </c>
      <c r="AA253" s="56">
        <v>0</v>
      </c>
      <c r="AB253" s="56"/>
      <c r="AC253" s="58">
        <v>45913</v>
      </c>
      <c r="AD253" s="59">
        <v>0.45833333333575865</v>
      </c>
      <c r="AE253" s="56" t="s">
        <v>244</v>
      </c>
      <c r="AF253" s="58">
        <v>45918</v>
      </c>
      <c r="AG253" s="59">
        <v>0.5</v>
      </c>
      <c r="AH253" s="56" t="s">
        <v>2915</v>
      </c>
      <c r="AI253" s="56" t="s">
        <v>4748</v>
      </c>
      <c r="AJ253" s="56" t="s">
        <v>64</v>
      </c>
      <c r="AK253" s="56" t="s">
        <v>64</v>
      </c>
      <c r="AL253" s="56" t="s">
        <v>3838</v>
      </c>
      <c r="AM253" s="60" t="s">
        <v>65</v>
      </c>
      <c r="AN253" s="60" t="s">
        <v>3844</v>
      </c>
      <c r="AO253" s="60"/>
      <c r="AP253" s="61"/>
    </row>
    <row r="254" spans="3:42" ht="14.25" customHeight="1">
      <c r="C254" s="55">
        <f>IF($X254=1,COUNTIF($C$10:C253,"&gt;0")+1,"")</f>
        <v>122</v>
      </c>
      <c r="D254" s="56">
        <v>15262448</v>
      </c>
      <c r="E254" s="56" t="s">
        <v>4742</v>
      </c>
      <c r="F254" s="57" t="s">
        <v>4752</v>
      </c>
      <c r="G254" s="56" t="s">
        <v>4752</v>
      </c>
      <c r="H254" s="56" t="s">
        <v>4753</v>
      </c>
      <c r="I254" s="56" t="s">
        <v>4754</v>
      </c>
      <c r="J254" s="56" t="s">
        <v>68</v>
      </c>
      <c r="K254" s="56" t="s">
        <v>59</v>
      </c>
      <c r="L254" s="58">
        <v>25043</v>
      </c>
      <c r="M254" s="56">
        <v>57</v>
      </c>
      <c r="N254" s="56" t="s">
        <v>4755</v>
      </c>
      <c r="O254" s="58">
        <v>47113</v>
      </c>
      <c r="P254" s="56" t="s">
        <v>5</v>
      </c>
      <c r="Q254" s="56"/>
      <c r="R254" s="162">
        <v>45913</v>
      </c>
      <c r="S254" s="163">
        <v>45918</v>
      </c>
      <c r="T254" s="164">
        <f t="shared" si="3"/>
        <v>5</v>
      </c>
      <c r="U254" s="56">
        <v>1</v>
      </c>
      <c r="V254" s="56">
        <v>1</v>
      </c>
      <c r="W254" s="56">
        <v>0</v>
      </c>
      <c r="X254" s="56">
        <v>1</v>
      </c>
      <c r="Y254" s="56">
        <v>0</v>
      </c>
      <c r="Z254" s="56">
        <v>0</v>
      </c>
      <c r="AA254" s="56">
        <v>1</v>
      </c>
      <c r="AB254" s="56"/>
      <c r="AC254" s="58">
        <v>45913</v>
      </c>
      <c r="AD254" s="59">
        <v>0.45833333333575865</v>
      </c>
      <c r="AE254" s="56" t="s">
        <v>244</v>
      </c>
      <c r="AF254" s="58">
        <v>45918</v>
      </c>
      <c r="AG254" s="59">
        <v>0.5</v>
      </c>
      <c r="AH254" s="56" t="s">
        <v>2915</v>
      </c>
      <c r="AI254" s="56" t="s">
        <v>4748</v>
      </c>
      <c r="AJ254" s="56" t="s">
        <v>64</v>
      </c>
      <c r="AK254" s="56" t="s">
        <v>64</v>
      </c>
      <c r="AL254" s="56" t="s">
        <v>3838</v>
      </c>
      <c r="AM254" s="60" t="s">
        <v>65</v>
      </c>
      <c r="AN254" s="60" t="s">
        <v>3860</v>
      </c>
      <c r="AO254" s="60"/>
      <c r="AP254" s="61"/>
    </row>
    <row r="255" spans="3:42" ht="14.25" customHeight="1">
      <c r="C255" s="55" t="str">
        <f>IF($X255=1,COUNTIF($C$10:C254,"&gt;0")+1,"")</f>
        <v/>
      </c>
      <c r="D255" s="56"/>
      <c r="E255" s="56" t="s">
        <v>4742</v>
      </c>
      <c r="F255" s="57" t="s">
        <v>4756</v>
      </c>
      <c r="G255" s="56" t="s">
        <v>4752</v>
      </c>
      <c r="H255" s="56" t="s">
        <v>4757</v>
      </c>
      <c r="I255" s="56" t="s">
        <v>4351</v>
      </c>
      <c r="J255" s="56" t="s">
        <v>68</v>
      </c>
      <c r="K255" s="56" t="s">
        <v>59</v>
      </c>
      <c r="L255" s="58">
        <v>26377</v>
      </c>
      <c r="M255" s="56">
        <v>53</v>
      </c>
      <c r="N255" s="56" t="s">
        <v>4758</v>
      </c>
      <c r="O255" s="58">
        <v>46215</v>
      </c>
      <c r="P255" s="56" t="s">
        <v>5</v>
      </c>
      <c r="Q255" s="56"/>
      <c r="R255" s="162">
        <v>45913</v>
      </c>
      <c r="S255" s="163">
        <v>45918</v>
      </c>
      <c r="T255" s="164">
        <f t="shared" si="3"/>
        <v>5</v>
      </c>
      <c r="U255" s="56">
        <v>1</v>
      </c>
      <c r="V255" s="56">
        <v>1</v>
      </c>
      <c r="W255" s="56">
        <v>0</v>
      </c>
      <c r="X255" s="56">
        <v>0</v>
      </c>
      <c r="Y255" s="56">
        <v>0</v>
      </c>
      <c r="Z255" s="56">
        <v>0</v>
      </c>
      <c r="AA255" s="56">
        <v>0</v>
      </c>
      <c r="AB255" s="56"/>
      <c r="AC255" s="58">
        <v>45913</v>
      </c>
      <c r="AD255" s="59">
        <v>0.63888888889050577</v>
      </c>
      <c r="AE255" s="56" t="s">
        <v>84</v>
      </c>
      <c r="AF255" s="58">
        <v>45918</v>
      </c>
      <c r="AG255" s="59">
        <v>0.42708333333575865</v>
      </c>
      <c r="AH255" s="56" t="s">
        <v>689</v>
      </c>
      <c r="AI255" s="56" t="s">
        <v>4748</v>
      </c>
      <c r="AJ255" s="56" t="s">
        <v>64</v>
      </c>
      <c r="AK255" s="56" t="s">
        <v>64</v>
      </c>
      <c r="AL255" s="56" t="s">
        <v>3838</v>
      </c>
      <c r="AM255" s="60" t="s">
        <v>65</v>
      </c>
      <c r="AN255" s="60" t="s">
        <v>3860</v>
      </c>
      <c r="AO255" s="60"/>
      <c r="AP255" s="61"/>
    </row>
    <row r="256" spans="3:42" ht="14.25" customHeight="1">
      <c r="C256" s="55">
        <f>IF($X256=1,COUNTIF($C$10:C255,"&gt;0")+1,"")</f>
        <v>123</v>
      </c>
      <c r="D256" s="56">
        <v>15262449</v>
      </c>
      <c r="E256" s="56" t="s">
        <v>4742</v>
      </c>
      <c r="F256" s="57" t="s">
        <v>4759</v>
      </c>
      <c r="G256" s="56" t="s">
        <v>4759</v>
      </c>
      <c r="H256" s="56" t="s">
        <v>4760</v>
      </c>
      <c r="I256" s="56" t="s">
        <v>4761</v>
      </c>
      <c r="J256" s="56" t="s">
        <v>58</v>
      </c>
      <c r="K256" s="56" t="s">
        <v>460</v>
      </c>
      <c r="L256" s="58">
        <v>23979</v>
      </c>
      <c r="M256" s="56">
        <v>60</v>
      </c>
      <c r="N256" s="56" t="s">
        <v>4762</v>
      </c>
      <c r="O256" s="58">
        <v>48994</v>
      </c>
      <c r="P256" s="56" t="s">
        <v>5</v>
      </c>
      <c r="Q256" s="56"/>
      <c r="R256" s="162">
        <v>45913</v>
      </c>
      <c r="S256" s="163">
        <v>45918</v>
      </c>
      <c r="T256" s="164">
        <f t="shared" si="3"/>
        <v>5</v>
      </c>
      <c r="U256" s="56">
        <v>1</v>
      </c>
      <c r="V256" s="56">
        <v>1</v>
      </c>
      <c r="W256" s="56">
        <v>0</v>
      </c>
      <c r="X256" s="56">
        <v>1</v>
      </c>
      <c r="Y256" s="56">
        <v>0</v>
      </c>
      <c r="Z256" s="56">
        <v>0</v>
      </c>
      <c r="AA256" s="56">
        <v>1</v>
      </c>
      <c r="AB256" s="56"/>
      <c r="AC256" s="58">
        <v>45913</v>
      </c>
      <c r="AD256" s="59">
        <v>0.78125</v>
      </c>
      <c r="AE256" s="56" t="s">
        <v>462</v>
      </c>
      <c r="AF256" s="58">
        <v>45918</v>
      </c>
      <c r="AG256" s="59">
        <v>0.86458333333575865</v>
      </c>
      <c r="AH256" s="56" t="s">
        <v>463</v>
      </c>
      <c r="AI256" s="56" t="s">
        <v>4748</v>
      </c>
      <c r="AJ256" s="56" t="s">
        <v>64</v>
      </c>
      <c r="AK256" s="56" t="s">
        <v>64</v>
      </c>
      <c r="AL256" s="56" t="s">
        <v>3838</v>
      </c>
      <c r="AM256" s="60" t="s">
        <v>65</v>
      </c>
      <c r="AN256" s="60" t="s">
        <v>3860</v>
      </c>
      <c r="AO256" s="60" t="s">
        <v>331</v>
      </c>
      <c r="AP256" s="61"/>
    </row>
    <row r="257" spans="3:42" ht="14.25" customHeight="1">
      <c r="C257" s="55" t="str">
        <f>IF($X257=1,COUNTIF($C$10:C256,"&gt;0")+1,"")</f>
        <v/>
      </c>
      <c r="D257" s="56"/>
      <c r="E257" s="56" t="s">
        <v>4742</v>
      </c>
      <c r="F257" s="57" t="s">
        <v>4763</v>
      </c>
      <c r="G257" s="56" t="s">
        <v>4759</v>
      </c>
      <c r="H257" s="56" t="s">
        <v>4764</v>
      </c>
      <c r="I257" s="56" t="s">
        <v>4765</v>
      </c>
      <c r="J257" s="56" t="s">
        <v>58</v>
      </c>
      <c r="K257" s="56" t="s">
        <v>460</v>
      </c>
      <c r="L257" s="58">
        <v>28523</v>
      </c>
      <c r="M257" s="56">
        <v>47</v>
      </c>
      <c r="N257" s="56" t="s">
        <v>4766</v>
      </c>
      <c r="O257" s="58">
        <v>48812</v>
      </c>
      <c r="P257" s="56" t="s">
        <v>5</v>
      </c>
      <c r="Q257" s="56"/>
      <c r="R257" s="162">
        <v>45913</v>
      </c>
      <c r="S257" s="163">
        <v>45918</v>
      </c>
      <c r="T257" s="164">
        <f t="shared" si="3"/>
        <v>5</v>
      </c>
      <c r="U257" s="56">
        <v>1</v>
      </c>
      <c r="V257" s="56">
        <v>1</v>
      </c>
      <c r="W257" s="56">
        <v>0</v>
      </c>
      <c r="X257" s="56">
        <v>0</v>
      </c>
      <c r="Y257" s="56">
        <v>0</v>
      </c>
      <c r="Z257" s="56">
        <v>0</v>
      </c>
      <c r="AA257" s="56">
        <v>0</v>
      </c>
      <c r="AB257" s="56"/>
      <c r="AC257" s="58">
        <v>45913</v>
      </c>
      <c r="AD257" s="59">
        <v>0.5625</v>
      </c>
      <c r="AE257" s="56" t="s">
        <v>4767</v>
      </c>
      <c r="AF257" s="58">
        <v>45918</v>
      </c>
      <c r="AG257" s="59">
        <v>0.73958333333575865</v>
      </c>
      <c r="AH257" s="56" t="s">
        <v>1117</v>
      </c>
      <c r="AI257" s="56" t="s">
        <v>4748</v>
      </c>
      <c r="AJ257" s="56" t="s">
        <v>64</v>
      </c>
      <c r="AK257" s="56"/>
      <c r="AL257" s="56" t="s">
        <v>3838</v>
      </c>
      <c r="AM257" s="60" t="s">
        <v>65</v>
      </c>
      <c r="AN257" s="60" t="s">
        <v>3860</v>
      </c>
      <c r="AO257" s="60"/>
      <c r="AP257" s="61"/>
    </row>
    <row r="258" spans="3:42" ht="14.25" customHeight="1">
      <c r="C258" s="55">
        <f>IF($X258=1,COUNTIF($C$10:C257,"&gt;0")+1,"")</f>
        <v>124</v>
      </c>
      <c r="D258" s="56">
        <v>15262450</v>
      </c>
      <c r="E258" s="56" t="s">
        <v>4742</v>
      </c>
      <c r="F258" s="57" t="s">
        <v>4768</v>
      </c>
      <c r="G258" s="56" t="s">
        <v>4768</v>
      </c>
      <c r="H258" s="56" t="s">
        <v>4769</v>
      </c>
      <c r="I258" s="56" t="s">
        <v>4770</v>
      </c>
      <c r="J258" s="56" t="s">
        <v>68</v>
      </c>
      <c r="K258" s="56" t="s">
        <v>59</v>
      </c>
      <c r="L258" s="58">
        <v>30769</v>
      </c>
      <c r="M258" s="56">
        <v>41</v>
      </c>
      <c r="N258" s="56" t="s">
        <v>4771</v>
      </c>
      <c r="O258" s="58">
        <v>48976</v>
      </c>
      <c r="P258" s="56" t="s">
        <v>4</v>
      </c>
      <c r="Q258" s="56"/>
      <c r="R258" s="162">
        <v>45913</v>
      </c>
      <c r="S258" s="163">
        <v>45918</v>
      </c>
      <c r="T258" s="164">
        <f t="shared" si="3"/>
        <v>5</v>
      </c>
      <c r="U258" s="56">
        <v>1</v>
      </c>
      <c r="V258" s="56">
        <v>1</v>
      </c>
      <c r="W258" s="56">
        <v>0</v>
      </c>
      <c r="X258" s="56">
        <v>1</v>
      </c>
      <c r="Y258" s="56">
        <v>0</v>
      </c>
      <c r="Z258" s="56">
        <v>1</v>
      </c>
      <c r="AA258" s="56">
        <v>0</v>
      </c>
      <c r="AB258" s="56"/>
      <c r="AC258" s="58">
        <v>45913</v>
      </c>
      <c r="AD258" s="59">
        <v>0.63888888889050577</v>
      </c>
      <c r="AE258" s="56" t="s">
        <v>84</v>
      </c>
      <c r="AF258" s="58">
        <v>45918</v>
      </c>
      <c r="AG258" s="59">
        <v>0.81944444444525288</v>
      </c>
      <c r="AH258" s="56" t="s">
        <v>770</v>
      </c>
      <c r="AI258" s="56" t="s">
        <v>4748</v>
      </c>
      <c r="AJ258" s="56" t="s">
        <v>64</v>
      </c>
      <c r="AK258" s="56" t="s">
        <v>64</v>
      </c>
      <c r="AL258" s="56" t="s">
        <v>3838</v>
      </c>
      <c r="AM258" s="60" t="s">
        <v>65</v>
      </c>
      <c r="AN258" s="60" t="s">
        <v>3844</v>
      </c>
      <c r="AO258" s="60"/>
      <c r="AP258" s="61"/>
    </row>
    <row r="259" spans="3:42" ht="14.25" customHeight="1">
      <c r="C259" s="55" t="str">
        <f>IF($X259=1,COUNTIF($C$10:C258,"&gt;0")+1,"")</f>
        <v/>
      </c>
      <c r="D259" s="56"/>
      <c r="E259" s="56" t="s">
        <v>4742</v>
      </c>
      <c r="F259" s="57" t="s">
        <v>4772</v>
      </c>
      <c r="G259" s="56" t="s">
        <v>4768</v>
      </c>
      <c r="H259" s="56" t="s">
        <v>4773</v>
      </c>
      <c r="I259" s="56" t="s">
        <v>4774</v>
      </c>
      <c r="J259" s="56" t="s">
        <v>68</v>
      </c>
      <c r="K259" s="56" t="s">
        <v>460</v>
      </c>
      <c r="L259" s="58">
        <v>30815</v>
      </c>
      <c r="M259" s="56">
        <v>41</v>
      </c>
      <c r="N259" s="56" t="s">
        <v>4775</v>
      </c>
      <c r="O259" s="58">
        <v>46574</v>
      </c>
      <c r="P259" s="56" t="s">
        <v>4</v>
      </c>
      <c r="Q259" s="56"/>
      <c r="R259" s="162">
        <v>45913</v>
      </c>
      <c r="S259" s="163">
        <v>45918</v>
      </c>
      <c r="T259" s="164">
        <f t="shared" si="3"/>
        <v>5</v>
      </c>
      <c r="U259" s="56">
        <v>1</v>
      </c>
      <c r="V259" s="56">
        <v>1</v>
      </c>
      <c r="W259" s="56">
        <v>0</v>
      </c>
      <c r="X259" s="56">
        <v>0</v>
      </c>
      <c r="Y259" s="56">
        <v>0</v>
      </c>
      <c r="Z259" s="56">
        <v>0</v>
      </c>
      <c r="AA259" s="56">
        <v>0</v>
      </c>
      <c r="AB259" s="56"/>
      <c r="AC259" s="58">
        <v>45913</v>
      </c>
      <c r="AD259" s="59">
        <v>0.67013888889050577</v>
      </c>
      <c r="AE259" s="56" t="s">
        <v>234</v>
      </c>
      <c r="AF259" s="58">
        <v>45918</v>
      </c>
      <c r="AG259" s="59">
        <v>0.73958333333575865</v>
      </c>
      <c r="AH259" s="56" t="s">
        <v>1117</v>
      </c>
      <c r="AI259" s="56" t="s">
        <v>4748</v>
      </c>
      <c r="AJ259" s="56" t="s">
        <v>64</v>
      </c>
      <c r="AK259" s="56" t="s">
        <v>64</v>
      </c>
      <c r="AL259" s="56" t="s">
        <v>3838</v>
      </c>
      <c r="AM259" s="60" t="s">
        <v>65</v>
      </c>
      <c r="AN259" s="60" t="s">
        <v>3844</v>
      </c>
      <c r="AO259" s="60"/>
      <c r="AP259" s="61"/>
    </row>
    <row r="260" spans="3:42" ht="14.25" customHeight="1">
      <c r="C260" s="55">
        <f>IF($X260=1,COUNTIF($C$10:C259,"&gt;0")+1,"")</f>
        <v>125</v>
      </c>
      <c r="D260" s="56">
        <v>15262451</v>
      </c>
      <c r="E260" s="56" t="s">
        <v>4742</v>
      </c>
      <c r="F260" s="57" t="s">
        <v>4776</v>
      </c>
      <c r="G260" s="56" t="s">
        <v>4776</v>
      </c>
      <c r="H260" s="56" t="s">
        <v>4777</v>
      </c>
      <c r="I260" s="56" t="s">
        <v>4778</v>
      </c>
      <c r="J260" s="56" t="s">
        <v>58</v>
      </c>
      <c r="K260" s="56" t="s">
        <v>460</v>
      </c>
      <c r="L260" s="58">
        <v>30643</v>
      </c>
      <c r="M260" s="56">
        <v>41</v>
      </c>
      <c r="N260" s="56" t="s">
        <v>4779</v>
      </c>
      <c r="O260" s="58">
        <v>48473</v>
      </c>
      <c r="P260" s="56" t="s">
        <v>5</v>
      </c>
      <c r="Q260" s="56"/>
      <c r="R260" s="162">
        <v>45913</v>
      </c>
      <c r="S260" s="163">
        <v>45918</v>
      </c>
      <c r="T260" s="164">
        <f t="shared" si="3"/>
        <v>5</v>
      </c>
      <c r="U260" s="56">
        <v>1</v>
      </c>
      <c r="V260" s="56">
        <v>1</v>
      </c>
      <c r="W260" s="56">
        <v>0</v>
      </c>
      <c r="X260" s="56">
        <v>1</v>
      </c>
      <c r="Y260" s="56">
        <v>0</v>
      </c>
      <c r="Z260" s="56">
        <v>0</v>
      </c>
      <c r="AA260" s="56">
        <v>1</v>
      </c>
      <c r="AB260" s="56"/>
      <c r="AC260" s="58">
        <v>45913</v>
      </c>
      <c r="AD260" s="59">
        <v>0.70486111110949423</v>
      </c>
      <c r="AE260" s="56" t="s">
        <v>4451</v>
      </c>
      <c r="AF260" s="58">
        <v>45918</v>
      </c>
      <c r="AG260" s="59">
        <v>0.39930555555474712</v>
      </c>
      <c r="AH260" s="56" t="s">
        <v>4780</v>
      </c>
      <c r="AI260" s="56" t="s">
        <v>4748</v>
      </c>
      <c r="AJ260" s="56" t="s">
        <v>64</v>
      </c>
      <c r="AK260" s="56" t="s">
        <v>64</v>
      </c>
      <c r="AL260" s="56" t="s">
        <v>3838</v>
      </c>
      <c r="AM260" s="60" t="s">
        <v>65</v>
      </c>
      <c r="AN260" s="60" t="s">
        <v>3860</v>
      </c>
      <c r="AO260" s="60"/>
      <c r="AP260" s="61"/>
    </row>
    <row r="261" spans="3:42" ht="14.25" customHeight="1">
      <c r="C261" s="55" t="str">
        <f>IF($X261=1,COUNTIF($C$10:C260,"&gt;0")+1,"")</f>
        <v/>
      </c>
      <c r="D261" s="56"/>
      <c r="E261" s="56" t="s">
        <v>4742</v>
      </c>
      <c r="F261" s="57" t="s">
        <v>4781</v>
      </c>
      <c r="G261" s="56" t="s">
        <v>4776</v>
      </c>
      <c r="H261" s="56" t="s">
        <v>4782</v>
      </c>
      <c r="I261" s="56" t="s">
        <v>4783</v>
      </c>
      <c r="J261" s="56" t="s">
        <v>58</v>
      </c>
      <c r="K261" s="56" t="s">
        <v>59</v>
      </c>
      <c r="L261" s="58">
        <v>27892</v>
      </c>
      <c r="M261" s="56">
        <v>49</v>
      </c>
      <c r="N261" s="56" t="s">
        <v>4784</v>
      </c>
      <c r="O261" s="58">
        <v>47862</v>
      </c>
      <c r="P261" s="56" t="s">
        <v>5</v>
      </c>
      <c r="Q261" s="56"/>
      <c r="R261" s="162">
        <v>45913</v>
      </c>
      <c r="S261" s="163">
        <v>45918</v>
      </c>
      <c r="T261" s="164">
        <f t="shared" si="3"/>
        <v>5</v>
      </c>
      <c r="U261" s="56">
        <v>1</v>
      </c>
      <c r="V261" s="56">
        <v>1</v>
      </c>
      <c r="W261" s="56">
        <v>0</v>
      </c>
      <c r="X261" s="56">
        <v>0</v>
      </c>
      <c r="Y261" s="56">
        <v>0</v>
      </c>
      <c r="Z261" s="56">
        <v>0</v>
      </c>
      <c r="AA261" s="56">
        <v>0</v>
      </c>
      <c r="AB261" s="56"/>
      <c r="AC261" s="58">
        <v>45913</v>
      </c>
      <c r="AD261" s="59">
        <v>0.63888888889050577</v>
      </c>
      <c r="AE261" s="56" t="s">
        <v>84</v>
      </c>
      <c r="AF261" s="58">
        <v>45918</v>
      </c>
      <c r="AG261" s="59">
        <v>0.81944444444525288</v>
      </c>
      <c r="AH261" s="56" t="s">
        <v>770</v>
      </c>
      <c r="AI261" s="56" t="s">
        <v>4748</v>
      </c>
      <c r="AJ261" s="56" t="s">
        <v>64</v>
      </c>
      <c r="AK261" s="56" t="s">
        <v>64</v>
      </c>
      <c r="AL261" s="56" t="s">
        <v>3838</v>
      </c>
      <c r="AM261" s="60" t="s">
        <v>65</v>
      </c>
      <c r="AN261" s="60" t="s">
        <v>3860</v>
      </c>
      <c r="AO261" s="60"/>
      <c r="AP261" s="61"/>
    </row>
    <row r="262" spans="3:42" ht="14.25" customHeight="1">
      <c r="C262" s="55">
        <f>IF($X262=1,COUNTIF($C$10:C261,"&gt;0")+1,"")</f>
        <v>126</v>
      </c>
      <c r="D262" s="56">
        <v>15262452</v>
      </c>
      <c r="E262" s="56" t="s">
        <v>4742</v>
      </c>
      <c r="F262" s="57" t="s">
        <v>4785</v>
      </c>
      <c r="G262" s="56" t="s">
        <v>4785</v>
      </c>
      <c r="H262" s="56" t="s">
        <v>4786</v>
      </c>
      <c r="I262" s="56" t="s">
        <v>4787</v>
      </c>
      <c r="J262" s="56" t="s">
        <v>58</v>
      </c>
      <c r="K262" s="56" t="s">
        <v>460</v>
      </c>
      <c r="L262" s="58">
        <v>25776</v>
      </c>
      <c r="M262" s="56">
        <v>55</v>
      </c>
      <c r="N262" s="56" t="s">
        <v>4788</v>
      </c>
      <c r="O262" s="58">
        <v>48675</v>
      </c>
      <c r="P262" s="56" t="s">
        <v>4</v>
      </c>
      <c r="Q262" s="56"/>
      <c r="R262" s="162">
        <v>45913</v>
      </c>
      <c r="S262" s="163">
        <v>45918</v>
      </c>
      <c r="T262" s="164">
        <f t="shared" si="3"/>
        <v>5</v>
      </c>
      <c r="U262" s="56">
        <v>1</v>
      </c>
      <c r="V262" s="56">
        <v>1</v>
      </c>
      <c r="W262" s="56">
        <v>0</v>
      </c>
      <c r="X262" s="56">
        <v>1</v>
      </c>
      <c r="Y262" s="56">
        <v>0</v>
      </c>
      <c r="Z262" s="56">
        <v>1</v>
      </c>
      <c r="AA262" s="56">
        <v>0</v>
      </c>
      <c r="AB262" s="56"/>
      <c r="AC262" s="58">
        <v>45913</v>
      </c>
      <c r="AD262" s="59">
        <v>0.77083333333575865</v>
      </c>
      <c r="AE262" s="56" t="s">
        <v>4671</v>
      </c>
      <c r="AF262" s="58">
        <v>45918</v>
      </c>
      <c r="AG262" s="59">
        <v>0.86458333333575865</v>
      </c>
      <c r="AH262" s="56" t="s">
        <v>463</v>
      </c>
      <c r="AI262" s="56" t="s">
        <v>4748</v>
      </c>
      <c r="AJ262" s="56" t="s">
        <v>598</v>
      </c>
      <c r="AK262" s="56" t="s">
        <v>3837</v>
      </c>
      <c r="AL262" s="56" t="s">
        <v>3838</v>
      </c>
      <c r="AM262" s="60" t="s">
        <v>65</v>
      </c>
      <c r="AN262" s="60" t="s">
        <v>3839</v>
      </c>
      <c r="AO262" s="60"/>
      <c r="AP262" s="61"/>
    </row>
    <row r="263" spans="3:42" ht="14.25" customHeight="1">
      <c r="C263" s="55" t="str">
        <f>IF($X263=1,COUNTIF($C$10:C262,"&gt;0")+1,"")</f>
        <v/>
      </c>
      <c r="D263" s="56"/>
      <c r="E263" s="56" t="s">
        <v>4742</v>
      </c>
      <c r="F263" s="57" t="s">
        <v>4789</v>
      </c>
      <c r="G263" s="56" t="s">
        <v>4785</v>
      </c>
      <c r="H263" s="56" t="s">
        <v>4790</v>
      </c>
      <c r="I263" s="56" t="s">
        <v>4787</v>
      </c>
      <c r="J263" s="56" t="s">
        <v>68</v>
      </c>
      <c r="K263" s="56" t="s">
        <v>460</v>
      </c>
      <c r="L263" s="58">
        <v>25033</v>
      </c>
      <c r="M263" s="56">
        <v>57</v>
      </c>
      <c r="N263" s="56" t="s">
        <v>4791</v>
      </c>
      <c r="O263" s="58">
        <v>48675</v>
      </c>
      <c r="P263" s="56" t="s">
        <v>4</v>
      </c>
      <c r="Q263" s="56"/>
      <c r="R263" s="162">
        <v>45913</v>
      </c>
      <c r="S263" s="163">
        <v>45918</v>
      </c>
      <c r="T263" s="164">
        <f t="shared" si="3"/>
        <v>5</v>
      </c>
      <c r="U263" s="56">
        <v>1</v>
      </c>
      <c r="V263" s="56">
        <v>1</v>
      </c>
      <c r="W263" s="56">
        <v>0</v>
      </c>
      <c r="X263" s="56">
        <v>0</v>
      </c>
      <c r="Y263" s="56">
        <v>0</v>
      </c>
      <c r="Z263" s="56">
        <v>0</v>
      </c>
      <c r="AA263" s="56">
        <v>0</v>
      </c>
      <c r="AB263" s="56"/>
      <c r="AC263" s="58">
        <v>45913</v>
      </c>
      <c r="AD263" s="59">
        <v>0.77083333333575865</v>
      </c>
      <c r="AE263" s="56" t="s">
        <v>4671</v>
      </c>
      <c r="AF263" s="58">
        <v>45918</v>
      </c>
      <c r="AG263" s="59">
        <v>0.86458333333575865</v>
      </c>
      <c r="AH263" s="56" t="s">
        <v>463</v>
      </c>
      <c r="AI263" s="56" t="s">
        <v>4748</v>
      </c>
      <c r="AJ263" s="56" t="s">
        <v>64</v>
      </c>
      <c r="AK263" s="56" t="s">
        <v>64</v>
      </c>
      <c r="AL263" s="56" t="s">
        <v>3838</v>
      </c>
      <c r="AM263" s="60" t="s">
        <v>65</v>
      </c>
      <c r="AN263" s="60" t="s">
        <v>3839</v>
      </c>
      <c r="AO263" s="60"/>
      <c r="AP263" s="61"/>
    </row>
    <row r="264" spans="3:42" ht="14.25" customHeight="1">
      <c r="C264" s="55">
        <f>IF($X264=1,COUNTIF($C$10:C263,"&gt;0")+1,"")</f>
        <v>127</v>
      </c>
      <c r="D264" s="56">
        <v>15262455</v>
      </c>
      <c r="E264" s="56" t="s">
        <v>4742</v>
      </c>
      <c r="F264" s="57" t="s">
        <v>4792</v>
      </c>
      <c r="G264" s="56" t="s">
        <v>4792</v>
      </c>
      <c r="H264" s="56" t="s">
        <v>4793</v>
      </c>
      <c r="I264" s="56" t="s">
        <v>4794</v>
      </c>
      <c r="J264" s="56" t="s">
        <v>58</v>
      </c>
      <c r="K264" s="56" t="s">
        <v>460</v>
      </c>
      <c r="L264" s="58">
        <v>29719</v>
      </c>
      <c r="M264" s="56">
        <v>44</v>
      </c>
      <c r="N264" s="56" t="s">
        <v>4795</v>
      </c>
      <c r="O264" s="58">
        <v>48604</v>
      </c>
      <c r="P264" s="56" t="s">
        <v>5</v>
      </c>
      <c r="Q264" s="56"/>
      <c r="R264" s="162">
        <v>45913</v>
      </c>
      <c r="S264" s="163">
        <v>45918</v>
      </c>
      <c r="T264" s="164">
        <f t="shared" si="3"/>
        <v>5</v>
      </c>
      <c r="U264" s="56">
        <v>1</v>
      </c>
      <c r="V264" s="56">
        <v>1</v>
      </c>
      <c r="W264" s="56">
        <v>0</v>
      </c>
      <c r="X264" s="56">
        <v>1</v>
      </c>
      <c r="Y264" s="56">
        <v>0</v>
      </c>
      <c r="Z264" s="56">
        <v>0</v>
      </c>
      <c r="AA264" s="56">
        <v>1</v>
      </c>
      <c r="AB264" s="56"/>
      <c r="AC264" s="58">
        <v>45913</v>
      </c>
      <c r="AD264" s="59">
        <v>0.78125</v>
      </c>
      <c r="AE264" s="56" t="s">
        <v>462</v>
      </c>
      <c r="AF264" s="58">
        <v>45918</v>
      </c>
      <c r="AG264" s="59">
        <v>0.86458333333575865</v>
      </c>
      <c r="AH264" s="56" t="s">
        <v>463</v>
      </c>
      <c r="AI264" s="56" t="s">
        <v>4748</v>
      </c>
      <c r="AJ264" s="56" t="s">
        <v>64</v>
      </c>
      <c r="AK264" s="56" t="s">
        <v>64</v>
      </c>
      <c r="AL264" s="56" t="s">
        <v>3838</v>
      </c>
      <c r="AM264" s="60" t="s">
        <v>65</v>
      </c>
      <c r="AN264" s="60" t="s">
        <v>3860</v>
      </c>
      <c r="AO264" s="60" t="s">
        <v>331</v>
      </c>
      <c r="AP264" s="61"/>
    </row>
    <row r="265" spans="3:42" ht="14.25" customHeight="1">
      <c r="C265" s="55" t="str">
        <f>IF($X265=1,COUNTIF($C$10:C264,"&gt;0")+1,"")</f>
        <v/>
      </c>
      <c r="D265" s="56"/>
      <c r="E265" s="56" t="s">
        <v>4742</v>
      </c>
      <c r="F265" s="57" t="s">
        <v>4796</v>
      </c>
      <c r="G265" s="56" t="s">
        <v>4792</v>
      </c>
      <c r="H265" s="56" t="s">
        <v>4797</v>
      </c>
      <c r="I265" s="56" t="s">
        <v>4794</v>
      </c>
      <c r="J265" s="56" t="s">
        <v>68</v>
      </c>
      <c r="K265" s="56" t="s">
        <v>460</v>
      </c>
      <c r="L265" s="58">
        <v>29939</v>
      </c>
      <c r="M265" s="56">
        <v>43</v>
      </c>
      <c r="N265" s="56" t="s">
        <v>4798</v>
      </c>
      <c r="O265" s="58">
        <v>48604</v>
      </c>
      <c r="P265" s="56" t="s">
        <v>5</v>
      </c>
      <c r="Q265" s="56"/>
      <c r="R265" s="162">
        <v>45913</v>
      </c>
      <c r="S265" s="163">
        <v>45918</v>
      </c>
      <c r="T265" s="164">
        <f t="shared" si="3"/>
        <v>5</v>
      </c>
      <c r="U265" s="56">
        <v>1</v>
      </c>
      <c r="V265" s="56">
        <v>1</v>
      </c>
      <c r="W265" s="56">
        <v>0</v>
      </c>
      <c r="X265" s="56">
        <v>0</v>
      </c>
      <c r="Y265" s="56">
        <v>0</v>
      </c>
      <c r="Z265" s="56">
        <v>0</v>
      </c>
      <c r="AA265" s="56">
        <v>0</v>
      </c>
      <c r="AB265" s="56"/>
      <c r="AC265" s="58">
        <v>45913</v>
      </c>
      <c r="AD265" s="59">
        <v>0.78125</v>
      </c>
      <c r="AE265" s="56" t="s">
        <v>462</v>
      </c>
      <c r="AF265" s="58">
        <v>45918</v>
      </c>
      <c r="AG265" s="59">
        <v>0.86458333333575865</v>
      </c>
      <c r="AH265" s="56" t="s">
        <v>463</v>
      </c>
      <c r="AI265" s="56" t="s">
        <v>4748</v>
      </c>
      <c r="AJ265" s="56" t="s">
        <v>64</v>
      </c>
      <c r="AK265" s="56" t="s">
        <v>64</v>
      </c>
      <c r="AL265" s="56" t="s">
        <v>3838</v>
      </c>
      <c r="AM265" s="60" t="s">
        <v>65</v>
      </c>
      <c r="AN265" s="60" t="s">
        <v>3860</v>
      </c>
      <c r="AO265" s="60" t="s">
        <v>331</v>
      </c>
      <c r="AP265" s="61"/>
    </row>
    <row r="266" spans="3:42" ht="14.25" customHeight="1">
      <c r="C266" s="55" t="str">
        <f>IF($X266=1,COUNTIF($C$10:C265,"&gt;0")+1,"")</f>
        <v/>
      </c>
      <c r="D266" s="56"/>
      <c r="E266" s="56" t="s">
        <v>4742</v>
      </c>
      <c r="F266" s="57" t="s">
        <v>4799</v>
      </c>
      <c r="G266" s="56" t="s">
        <v>4792</v>
      </c>
      <c r="H266" s="56" t="s">
        <v>4800</v>
      </c>
      <c r="I266" s="56" t="s">
        <v>4794</v>
      </c>
      <c r="J266" s="56" t="s">
        <v>58</v>
      </c>
      <c r="K266" s="56" t="s">
        <v>460</v>
      </c>
      <c r="L266" s="58">
        <v>42313</v>
      </c>
      <c r="M266" s="56">
        <v>9</v>
      </c>
      <c r="N266" s="56" t="s">
        <v>4801</v>
      </c>
      <c r="O266" s="58">
        <v>46777</v>
      </c>
      <c r="P266" s="56" t="s">
        <v>5</v>
      </c>
      <c r="Q266" s="56"/>
      <c r="R266" s="162">
        <v>45913</v>
      </c>
      <c r="S266" s="163">
        <v>45918</v>
      </c>
      <c r="T266" s="164">
        <f t="shared" ref="T266:T318" si="4">S266-R266</f>
        <v>5</v>
      </c>
      <c r="U266" s="56">
        <v>1</v>
      </c>
      <c r="V266" s="56">
        <v>0</v>
      </c>
      <c r="W266" s="56">
        <v>1</v>
      </c>
      <c r="X266" s="56">
        <v>0</v>
      </c>
      <c r="Y266" s="56">
        <v>0</v>
      </c>
      <c r="Z266" s="56">
        <v>0</v>
      </c>
      <c r="AA266" s="56">
        <v>0</v>
      </c>
      <c r="AB266" s="56"/>
      <c r="AC266" s="58">
        <v>45913</v>
      </c>
      <c r="AD266" s="59">
        <v>0.78125</v>
      </c>
      <c r="AE266" s="56" t="s">
        <v>462</v>
      </c>
      <c r="AF266" s="58">
        <v>45918</v>
      </c>
      <c r="AG266" s="59">
        <v>0.86458333333575865</v>
      </c>
      <c r="AH266" s="56" t="s">
        <v>463</v>
      </c>
      <c r="AI266" s="56" t="s">
        <v>4748</v>
      </c>
      <c r="AJ266" s="56" t="s">
        <v>64</v>
      </c>
      <c r="AK266" s="56" t="s">
        <v>64</v>
      </c>
      <c r="AL266" s="56" t="s">
        <v>3838</v>
      </c>
      <c r="AM266" s="60" t="s">
        <v>65</v>
      </c>
      <c r="AN266" s="60" t="s">
        <v>3860</v>
      </c>
      <c r="AO266" s="60" t="s">
        <v>331</v>
      </c>
      <c r="AP266" s="61"/>
    </row>
    <row r="267" spans="3:42" ht="14.25" customHeight="1">
      <c r="C267" s="55">
        <f>IF($X267=1,COUNTIF($C$10:C266,"&gt;0")+1,"")</f>
        <v>128</v>
      </c>
      <c r="D267" s="56">
        <v>15262456</v>
      </c>
      <c r="E267" s="56" t="s">
        <v>4742</v>
      </c>
      <c r="F267" s="57" t="s">
        <v>4802</v>
      </c>
      <c r="G267" s="56" t="s">
        <v>4802</v>
      </c>
      <c r="H267" s="56" t="s">
        <v>4803</v>
      </c>
      <c r="I267" s="56" t="s">
        <v>4794</v>
      </c>
      <c r="J267" s="56" t="s">
        <v>58</v>
      </c>
      <c r="K267" s="56" t="s">
        <v>460</v>
      </c>
      <c r="L267" s="58">
        <v>40312</v>
      </c>
      <c r="M267" s="56">
        <v>15</v>
      </c>
      <c r="N267" s="56" t="s">
        <v>4804</v>
      </c>
      <c r="O267" s="58">
        <v>46777</v>
      </c>
      <c r="P267" s="56" t="s">
        <v>5</v>
      </c>
      <c r="Q267" s="56"/>
      <c r="R267" s="162">
        <v>45913</v>
      </c>
      <c r="S267" s="163">
        <v>45918</v>
      </c>
      <c r="T267" s="164">
        <f t="shared" si="4"/>
        <v>5</v>
      </c>
      <c r="U267" s="56">
        <v>1</v>
      </c>
      <c r="V267" s="56">
        <v>1</v>
      </c>
      <c r="W267" s="56">
        <v>0</v>
      </c>
      <c r="X267" s="56">
        <v>1</v>
      </c>
      <c r="Y267" s="56">
        <v>0</v>
      </c>
      <c r="Z267" s="56">
        <v>0</v>
      </c>
      <c r="AA267" s="56">
        <v>1</v>
      </c>
      <c r="AB267" s="56"/>
      <c r="AC267" s="58">
        <v>45913</v>
      </c>
      <c r="AD267" s="59">
        <v>0.78125</v>
      </c>
      <c r="AE267" s="56" t="s">
        <v>462</v>
      </c>
      <c r="AF267" s="58">
        <v>45918</v>
      </c>
      <c r="AG267" s="59">
        <v>0.86458333333575865</v>
      </c>
      <c r="AH267" s="56" t="s">
        <v>463</v>
      </c>
      <c r="AI267" s="56" t="s">
        <v>4748</v>
      </c>
      <c r="AJ267" s="56" t="s">
        <v>64</v>
      </c>
      <c r="AK267" s="56" t="s">
        <v>64</v>
      </c>
      <c r="AL267" s="56" t="s">
        <v>3838</v>
      </c>
      <c r="AM267" s="60" t="s">
        <v>65</v>
      </c>
      <c r="AN267" s="60" t="s">
        <v>3860</v>
      </c>
      <c r="AO267" s="60" t="s">
        <v>331</v>
      </c>
      <c r="AP267" s="61"/>
    </row>
    <row r="268" spans="3:42" ht="14.25" customHeight="1">
      <c r="C268" s="55" t="str">
        <f>IF($X268=1,COUNTIF($C$10:C267,"&gt;0")+1,"")</f>
        <v/>
      </c>
      <c r="D268" s="56"/>
      <c r="E268" s="56" t="s">
        <v>4742</v>
      </c>
      <c r="F268" s="57" t="s">
        <v>4805</v>
      </c>
      <c r="G268" s="56" t="s">
        <v>4802</v>
      </c>
      <c r="H268" s="56" t="s">
        <v>4806</v>
      </c>
      <c r="I268" s="56" t="s">
        <v>4807</v>
      </c>
      <c r="J268" s="56" t="s">
        <v>58</v>
      </c>
      <c r="K268" s="56" t="s">
        <v>3888</v>
      </c>
      <c r="L268" s="58">
        <v>32737</v>
      </c>
      <c r="M268" s="56">
        <v>36</v>
      </c>
      <c r="N268" s="56" t="s">
        <v>4808</v>
      </c>
      <c r="O268" s="58">
        <v>49003</v>
      </c>
      <c r="P268" s="56" t="s">
        <v>5</v>
      </c>
      <c r="Q268" s="56"/>
      <c r="R268" s="162">
        <v>45913</v>
      </c>
      <c r="S268" s="163">
        <v>45918</v>
      </c>
      <c r="T268" s="164">
        <f t="shared" si="4"/>
        <v>5</v>
      </c>
      <c r="U268" s="56">
        <v>1</v>
      </c>
      <c r="V268" s="56">
        <v>1</v>
      </c>
      <c r="W268" s="56">
        <v>0</v>
      </c>
      <c r="X268" s="56">
        <v>0</v>
      </c>
      <c r="Y268" s="56">
        <v>0</v>
      </c>
      <c r="Z268" s="56">
        <v>0</v>
      </c>
      <c r="AA268" s="56">
        <v>0</v>
      </c>
      <c r="AB268" s="56"/>
      <c r="AC268" s="58">
        <v>45913</v>
      </c>
      <c r="AD268" s="59">
        <v>0.78125</v>
      </c>
      <c r="AE268" s="56" t="s">
        <v>462</v>
      </c>
      <c r="AF268" s="58">
        <v>45918</v>
      </c>
      <c r="AG268" s="59">
        <v>0.86458333333575865</v>
      </c>
      <c r="AH268" s="56" t="s">
        <v>463</v>
      </c>
      <c r="AI268" s="56" t="s">
        <v>4748</v>
      </c>
      <c r="AJ268" s="56" t="s">
        <v>64</v>
      </c>
      <c r="AK268" s="56" t="s">
        <v>64</v>
      </c>
      <c r="AL268" s="56" t="s">
        <v>3838</v>
      </c>
      <c r="AM268" s="60" t="s">
        <v>65</v>
      </c>
      <c r="AN268" s="60" t="s">
        <v>3860</v>
      </c>
      <c r="AO268" s="60" t="s">
        <v>331</v>
      </c>
      <c r="AP268" s="61"/>
    </row>
    <row r="269" spans="3:42" ht="14.25" customHeight="1">
      <c r="C269" s="55">
        <f>IF($X269=1,COUNTIF($C$10:C268,"&gt;0")+1,"")</f>
        <v>129</v>
      </c>
      <c r="D269" s="56">
        <v>15262457</v>
      </c>
      <c r="E269" s="56" t="s">
        <v>4742</v>
      </c>
      <c r="F269" s="57" t="s">
        <v>4809</v>
      </c>
      <c r="G269" s="56" t="s">
        <v>4809</v>
      </c>
      <c r="H269" s="56" t="s">
        <v>4810</v>
      </c>
      <c r="I269" s="56" t="s">
        <v>4811</v>
      </c>
      <c r="J269" s="56" t="s">
        <v>58</v>
      </c>
      <c r="K269" s="56" t="s">
        <v>460</v>
      </c>
      <c r="L269" s="58">
        <v>29211</v>
      </c>
      <c r="M269" s="56">
        <v>45</v>
      </c>
      <c r="N269" s="56" t="s">
        <v>4812</v>
      </c>
      <c r="O269" s="58">
        <v>48963</v>
      </c>
      <c r="P269" s="56" t="s">
        <v>4</v>
      </c>
      <c r="Q269" s="56"/>
      <c r="R269" s="162">
        <v>45913</v>
      </c>
      <c r="S269" s="163">
        <v>45918</v>
      </c>
      <c r="T269" s="164">
        <f t="shared" si="4"/>
        <v>5</v>
      </c>
      <c r="U269" s="56">
        <v>1</v>
      </c>
      <c r="V269" s="56">
        <v>1</v>
      </c>
      <c r="W269" s="56">
        <v>0</v>
      </c>
      <c r="X269" s="56">
        <v>1</v>
      </c>
      <c r="Y269" s="56">
        <v>0</v>
      </c>
      <c r="Z269" s="56">
        <v>1</v>
      </c>
      <c r="AA269" s="56">
        <v>0</v>
      </c>
      <c r="AB269" s="56"/>
      <c r="AC269" s="58">
        <v>45913</v>
      </c>
      <c r="AD269" s="59">
        <v>0.78125</v>
      </c>
      <c r="AE269" s="56" t="s">
        <v>462</v>
      </c>
      <c r="AF269" s="58">
        <v>45918</v>
      </c>
      <c r="AG269" s="59">
        <v>0.86458333333575865</v>
      </c>
      <c r="AH269" s="56" t="s">
        <v>463</v>
      </c>
      <c r="AI269" s="56" t="s">
        <v>4748</v>
      </c>
      <c r="AJ269" s="56" t="s">
        <v>64</v>
      </c>
      <c r="AK269" s="56" t="s">
        <v>64</v>
      </c>
      <c r="AL269" s="56" t="s">
        <v>3838</v>
      </c>
      <c r="AM269" s="60" t="s">
        <v>65</v>
      </c>
      <c r="AN269" s="60" t="s">
        <v>3844</v>
      </c>
      <c r="AO269" s="60" t="s">
        <v>331</v>
      </c>
      <c r="AP269" s="61"/>
    </row>
    <row r="270" spans="3:42" ht="14.25" customHeight="1">
      <c r="C270" s="55" t="str">
        <f>IF($X270=1,COUNTIF($C$10:C269,"&gt;0")+1,"")</f>
        <v/>
      </c>
      <c r="D270" s="56"/>
      <c r="E270" s="56" t="s">
        <v>4742</v>
      </c>
      <c r="F270" s="57" t="s">
        <v>4813</v>
      </c>
      <c r="G270" s="56" t="s">
        <v>4809</v>
      </c>
      <c r="H270" s="56" t="s">
        <v>4814</v>
      </c>
      <c r="I270" s="56" t="s">
        <v>4811</v>
      </c>
      <c r="J270" s="56" t="s">
        <v>68</v>
      </c>
      <c r="K270" s="56" t="s">
        <v>460</v>
      </c>
      <c r="L270" s="58">
        <v>30824</v>
      </c>
      <c r="M270" s="56">
        <v>41</v>
      </c>
      <c r="N270" s="56" t="s">
        <v>4815</v>
      </c>
      <c r="O270" s="58">
        <v>48966</v>
      </c>
      <c r="P270" s="56" t="s">
        <v>4</v>
      </c>
      <c r="Q270" s="56"/>
      <c r="R270" s="162">
        <v>45913</v>
      </c>
      <c r="S270" s="163">
        <v>45918</v>
      </c>
      <c r="T270" s="164">
        <f t="shared" si="4"/>
        <v>5</v>
      </c>
      <c r="U270" s="56">
        <v>1</v>
      </c>
      <c r="V270" s="56">
        <v>1</v>
      </c>
      <c r="W270" s="56">
        <v>0</v>
      </c>
      <c r="X270" s="56">
        <v>0</v>
      </c>
      <c r="Y270" s="56">
        <v>0</v>
      </c>
      <c r="Z270" s="56">
        <v>0</v>
      </c>
      <c r="AA270" s="56">
        <v>0</v>
      </c>
      <c r="AB270" s="56"/>
      <c r="AC270" s="58">
        <v>45913</v>
      </c>
      <c r="AD270" s="59">
        <v>0.78125</v>
      </c>
      <c r="AE270" s="56" t="s">
        <v>462</v>
      </c>
      <c r="AF270" s="58">
        <v>45918</v>
      </c>
      <c r="AG270" s="59">
        <v>0.86458333333575865</v>
      </c>
      <c r="AH270" s="56" t="s">
        <v>463</v>
      </c>
      <c r="AI270" s="56" t="s">
        <v>4748</v>
      </c>
      <c r="AJ270" s="56" t="s">
        <v>64</v>
      </c>
      <c r="AK270" s="56" t="s">
        <v>64</v>
      </c>
      <c r="AL270" s="56" t="s">
        <v>3838</v>
      </c>
      <c r="AM270" s="60" t="s">
        <v>65</v>
      </c>
      <c r="AN270" s="60" t="s">
        <v>3844</v>
      </c>
      <c r="AO270" s="60" t="s">
        <v>331</v>
      </c>
      <c r="AP270" s="61"/>
    </row>
    <row r="271" spans="3:42" ht="14.25" customHeight="1">
      <c r="C271" s="55">
        <f>IF($X271=1,COUNTIF($C$10:C270,"&gt;0")+1,"")</f>
        <v>130</v>
      </c>
      <c r="D271" s="56">
        <v>15262458</v>
      </c>
      <c r="E271" s="56" t="s">
        <v>4742</v>
      </c>
      <c r="F271" s="57" t="s">
        <v>4816</v>
      </c>
      <c r="G271" s="56" t="s">
        <v>4816</v>
      </c>
      <c r="H271" s="56" t="s">
        <v>4817</v>
      </c>
      <c r="I271" s="56" t="s">
        <v>4818</v>
      </c>
      <c r="J271" s="56" t="s">
        <v>58</v>
      </c>
      <c r="K271" s="56" t="s">
        <v>460</v>
      </c>
      <c r="L271" s="58">
        <v>25384</v>
      </c>
      <c r="M271" s="56">
        <v>56</v>
      </c>
      <c r="N271" s="56" t="s">
        <v>4819</v>
      </c>
      <c r="O271" s="58">
        <v>45866</v>
      </c>
      <c r="P271" s="56" t="s">
        <v>4</v>
      </c>
      <c r="Q271" s="56"/>
      <c r="R271" s="162">
        <v>45913</v>
      </c>
      <c r="S271" s="163">
        <v>45918</v>
      </c>
      <c r="T271" s="164">
        <f t="shared" si="4"/>
        <v>5</v>
      </c>
      <c r="U271" s="56">
        <v>1</v>
      </c>
      <c r="V271" s="56">
        <v>1</v>
      </c>
      <c r="W271" s="56">
        <v>0</v>
      </c>
      <c r="X271" s="56">
        <v>1</v>
      </c>
      <c r="Y271" s="56">
        <v>0</v>
      </c>
      <c r="Z271" s="56">
        <v>1</v>
      </c>
      <c r="AA271" s="56">
        <v>0</v>
      </c>
      <c r="AB271" s="56"/>
      <c r="AC271" s="58">
        <v>45913</v>
      </c>
      <c r="AD271" s="59">
        <v>0.78125</v>
      </c>
      <c r="AE271" s="56" t="s">
        <v>462</v>
      </c>
      <c r="AF271" s="58">
        <v>45918</v>
      </c>
      <c r="AG271" s="59">
        <v>0.86458333333575865</v>
      </c>
      <c r="AH271" s="56" t="s">
        <v>463</v>
      </c>
      <c r="AI271" s="56" t="s">
        <v>4748</v>
      </c>
      <c r="AJ271" s="56" t="s">
        <v>64</v>
      </c>
      <c r="AK271" s="56" t="s">
        <v>64</v>
      </c>
      <c r="AL271" s="56" t="s">
        <v>3838</v>
      </c>
      <c r="AM271" s="60" t="s">
        <v>65</v>
      </c>
      <c r="AN271" s="60" t="s">
        <v>3844</v>
      </c>
      <c r="AO271" s="60" t="s">
        <v>331</v>
      </c>
      <c r="AP271" s="61"/>
    </row>
    <row r="272" spans="3:42" ht="14.25" customHeight="1">
      <c r="C272" s="55" t="str">
        <f>IF($X272=1,COUNTIF($C$10:C271,"&gt;0")+1,"")</f>
        <v/>
      </c>
      <c r="D272" s="56"/>
      <c r="E272" s="56" t="s">
        <v>4742</v>
      </c>
      <c r="F272" s="57" t="s">
        <v>4820</v>
      </c>
      <c r="G272" s="56" t="s">
        <v>4816</v>
      </c>
      <c r="H272" s="56" t="s">
        <v>4821</v>
      </c>
      <c r="I272" s="56" t="s">
        <v>4818</v>
      </c>
      <c r="J272" s="56" t="s">
        <v>68</v>
      </c>
      <c r="K272" s="56" t="s">
        <v>460</v>
      </c>
      <c r="L272" s="58">
        <v>26433</v>
      </c>
      <c r="M272" s="56">
        <v>53</v>
      </c>
      <c r="N272" s="56" t="s">
        <v>4822</v>
      </c>
      <c r="O272" s="58" t="s">
        <v>64</v>
      </c>
      <c r="P272" s="56" t="s">
        <v>4</v>
      </c>
      <c r="Q272" s="56"/>
      <c r="R272" s="162">
        <v>45913</v>
      </c>
      <c r="S272" s="163">
        <v>45918</v>
      </c>
      <c r="T272" s="164">
        <f t="shared" si="4"/>
        <v>5</v>
      </c>
      <c r="U272" s="56">
        <v>1</v>
      </c>
      <c r="V272" s="56">
        <v>1</v>
      </c>
      <c r="W272" s="56">
        <v>0</v>
      </c>
      <c r="X272" s="56">
        <v>0</v>
      </c>
      <c r="Y272" s="56">
        <v>0</v>
      </c>
      <c r="Z272" s="56">
        <v>0</v>
      </c>
      <c r="AA272" s="56">
        <v>0</v>
      </c>
      <c r="AB272" s="56"/>
      <c r="AC272" s="58">
        <v>45913</v>
      </c>
      <c r="AD272" s="59">
        <v>0.78125</v>
      </c>
      <c r="AE272" s="56" t="s">
        <v>462</v>
      </c>
      <c r="AF272" s="58">
        <v>45918</v>
      </c>
      <c r="AG272" s="59">
        <v>0.86458333333575865</v>
      </c>
      <c r="AH272" s="56" t="s">
        <v>463</v>
      </c>
      <c r="AI272" s="56" t="s">
        <v>4748</v>
      </c>
      <c r="AJ272" s="56" t="s">
        <v>64</v>
      </c>
      <c r="AK272" s="56" t="s">
        <v>64</v>
      </c>
      <c r="AL272" s="56" t="s">
        <v>3838</v>
      </c>
      <c r="AM272" s="60" t="s">
        <v>65</v>
      </c>
      <c r="AN272" s="60" t="s">
        <v>3844</v>
      </c>
      <c r="AO272" s="60" t="s">
        <v>331</v>
      </c>
      <c r="AP272" s="61"/>
    </row>
    <row r="273" spans="3:42" ht="14.25" customHeight="1">
      <c r="C273" s="55">
        <f>IF($X273=1,COUNTIF($C$10:C272,"&gt;0")+1,"")</f>
        <v>131</v>
      </c>
      <c r="D273" s="56">
        <v>15262459</v>
      </c>
      <c r="E273" s="56" t="s">
        <v>4742</v>
      </c>
      <c r="F273" s="57" t="s">
        <v>4823</v>
      </c>
      <c r="G273" s="56" t="s">
        <v>4823</v>
      </c>
      <c r="H273" s="56" t="s">
        <v>4824</v>
      </c>
      <c r="I273" s="56" t="s">
        <v>4825</v>
      </c>
      <c r="J273" s="56" t="s">
        <v>58</v>
      </c>
      <c r="K273" s="56" t="s">
        <v>460</v>
      </c>
      <c r="L273" s="58">
        <v>32277</v>
      </c>
      <c r="M273" s="56">
        <v>37</v>
      </c>
      <c r="N273" s="56" t="s">
        <v>4826</v>
      </c>
      <c r="O273" s="58">
        <v>49088</v>
      </c>
      <c r="P273" s="56" t="s">
        <v>4</v>
      </c>
      <c r="Q273" s="56"/>
      <c r="R273" s="162">
        <v>45913</v>
      </c>
      <c r="S273" s="163">
        <v>45918</v>
      </c>
      <c r="T273" s="164">
        <f t="shared" si="4"/>
        <v>5</v>
      </c>
      <c r="U273" s="56">
        <v>1</v>
      </c>
      <c r="V273" s="56">
        <v>1</v>
      </c>
      <c r="W273" s="56">
        <v>0</v>
      </c>
      <c r="X273" s="56">
        <v>1</v>
      </c>
      <c r="Y273" s="56">
        <v>0</v>
      </c>
      <c r="Z273" s="56">
        <v>1</v>
      </c>
      <c r="AA273" s="56">
        <v>0</v>
      </c>
      <c r="AB273" s="56"/>
      <c r="AC273" s="58">
        <v>45913</v>
      </c>
      <c r="AD273" s="59">
        <v>0.67013888889050577</v>
      </c>
      <c r="AE273" s="56" t="s">
        <v>234</v>
      </c>
      <c r="AF273" s="58">
        <v>45918</v>
      </c>
      <c r="AG273" s="59">
        <v>0.73958333333575865</v>
      </c>
      <c r="AH273" s="56" t="s">
        <v>1117</v>
      </c>
      <c r="AI273" s="56" t="s">
        <v>4748</v>
      </c>
      <c r="AJ273" s="56" t="s">
        <v>64</v>
      </c>
      <c r="AK273" s="56" t="s">
        <v>64</v>
      </c>
      <c r="AL273" s="56" t="s">
        <v>3838</v>
      </c>
      <c r="AM273" s="60" t="s">
        <v>65</v>
      </c>
      <c r="AN273" s="60" t="s">
        <v>3844</v>
      </c>
      <c r="AO273" s="60"/>
      <c r="AP273" s="61"/>
    </row>
    <row r="274" spans="3:42" ht="14.25" customHeight="1">
      <c r="C274" s="55" t="str">
        <f>IF($X274=1,COUNTIF($C$10:C273,"&gt;0")+1,"")</f>
        <v/>
      </c>
      <c r="D274" s="56"/>
      <c r="E274" s="56" t="s">
        <v>4742</v>
      </c>
      <c r="F274" s="57" t="s">
        <v>4827</v>
      </c>
      <c r="G274" s="56" t="s">
        <v>4823</v>
      </c>
      <c r="H274" s="56" t="s">
        <v>4828</v>
      </c>
      <c r="I274" s="56" t="s">
        <v>4829</v>
      </c>
      <c r="J274" s="56" t="s">
        <v>68</v>
      </c>
      <c r="K274" s="56" t="s">
        <v>3888</v>
      </c>
      <c r="L274" s="58">
        <v>36047</v>
      </c>
      <c r="M274" s="56">
        <v>27</v>
      </c>
      <c r="N274" s="56" t="s">
        <v>4830</v>
      </c>
      <c r="O274" s="58">
        <v>46361</v>
      </c>
      <c r="P274" s="56" t="s">
        <v>4</v>
      </c>
      <c r="Q274" s="56"/>
      <c r="R274" s="162">
        <v>45913</v>
      </c>
      <c r="S274" s="163">
        <v>45918</v>
      </c>
      <c r="T274" s="164">
        <f t="shared" si="4"/>
        <v>5</v>
      </c>
      <c r="U274" s="56">
        <v>1</v>
      </c>
      <c r="V274" s="56">
        <v>1</v>
      </c>
      <c r="W274" s="56">
        <v>0</v>
      </c>
      <c r="X274" s="56">
        <v>0</v>
      </c>
      <c r="Y274" s="56">
        <v>0</v>
      </c>
      <c r="Z274" s="56">
        <v>0</v>
      </c>
      <c r="AA274" s="56">
        <v>0</v>
      </c>
      <c r="AB274" s="56"/>
      <c r="AC274" s="58">
        <v>45913</v>
      </c>
      <c r="AD274" s="59">
        <v>0.67013888889050577</v>
      </c>
      <c r="AE274" s="56" t="s">
        <v>234</v>
      </c>
      <c r="AF274" s="58">
        <v>45918</v>
      </c>
      <c r="AG274" s="59">
        <v>0.73958333333575865</v>
      </c>
      <c r="AH274" s="56" t="s">
        <v>1117</v>
      </c>
      <c r="AI274" s="56" t="s">
        <v>4748</v>
      </c>
      <c r="AJ274" s="56" t="s">
        <v>64</v>
      </c>
      <c r="AK274" s="56" t="s">
        <v>64</v>
      </c>
      <c r="AL274" s="56" t="s">
        <v>3838</v>
      </c>
      <c r="AM274" s="60" t="s">
        <v>65</v>
      </c>
      <c r="AN274" s="60" t="s">
        <v>3844</v>
      </c>
      <c r="AO274" s="60"/>
      <c r="AP274" s="61"/>
    </row>
    <row r="275" spans="3:42" ht="14.25" customHeight="1">
      <c r="C275" s="55">
        <f>IF($X275=1,COUNTIF($C$10:C274,"&gt;0")+1,"")</f>
        <v>132</v>
      </c>
      <c r="D275" s="56">
        <v>15262460</v>
      </c>
      <c r="E275" s="56" t="s">
        <v>4831</v>
      </c>
      <c r="F275" s="57" t="s">
        <v>4832</v>
      </c>
      <c r="G275" s="56" t="s">
        <v>4832</v>
      </c>
      <c r="H275" s="56" t="s">
        <v>4833</v>
      </c>
      <c r="I275" s="56" t="s">
        <v>4834</v>
      </c>
      <c r="J275" s="56" t="s">
        <v>58</v>
      </c>
      <c r="K275" s="56" t="s">
        <v>460</v>
      </c>
      <c r="L275" s="58">
        <v>24828</v>
      </c>
      <c r="M275" s="56">
        <v>57</v>
      </c>
      <c r="N275" s="56" t="s">
        <v>4835</v>
      </c>
      <c r="O275" s="58">
        <v>46883</v>
      </c>
      <c r="P275" s="56" t="s">
        <v>4</v>
      </c>
      <c r="Q275" s="56"/>
      <c r="R275" s="162">
        <v>45913</v>
      </c>
      <c r="S275" s="163">
        <v>45918</v>
      </c>
      <c r="T275" s="164">
        <f t="shared" si="4"/>
        <v>5</v>
      </c>
      <c r="U275" s="56">
        <v>1</v>
      </c>
      <c r="V275" s="56">
        <v>1</v>
      </c>
      <c r="W275" s="56">
        <v>0</v>
      </c>
      <c r="X275" s="56">
        <v>1</v>
      </c>
      <c r="Y275" s="56">
        <v>0</v>
      </c>
      <c r="Z275" s="56">
        <v>1</v>
      </c>
      <c r="AA275" s="56">
        <v>0</v>
      </c>
      <c r="AB275" s="56"/>
      <c r="AC275" s="58">
        <v>45913</v>
      </c>
      <c r="AD275" s="59">
        <v>0.78125</v>
      </c>
      <c r="AE275" s="56" t="s">
        <v>462</v>
      </c>
      <c r="AF275" s="58">
        <v>45918</v>
      </c>
      <c r="AG275" s="59">
        <v>0.86458333333575865</v>
      </c>
      <c r="AH275" s="56" t="s">
        <v>463</v>
      </c>
      <c r="AI275" s="56" t="s">
        <v>4836</v>
      </c>
      <c r="AJ275" s="56" t="s">
        <v>64</v>
      </c>
      <c r="AK275" s="56" t="s">
        <v>64</v>
      </c>
      <c r="AL275" s="56" t="s">
        <v>3838</v>
      </c>
      <c r="AM275" s="60" t="s">
        <v>65</v>
      </c>
      <c r="AN275" s="60" t="s">
        <v>3974</v>
      </c>
      <c r="AO275" s="60" t="s">
        <v>331</v>
      </c>
      <c r="AP275" s="61"/>
    </row>
    <row r="276" spans="3:42" ht="14.25" customHeight="1">
      <c r="C276" s="55" t="str">
        <f>IF($X276=1,COUNTIF($C$10:C275,"&gt;0")+1,"")</f>
        <v/>
      </c>
      <c r="D276" s="56"/>
      <c r="E276" s="56" t="s">
        <v>4831</v>
      </c>
      <c r="F276" s="57" t="s">
        <v>4837</v>
      </c>
      <c r="G276" s="56" t="s">
        <v>4832</v>
      </c>
      <c r="H276" s="56" t="s">
        <v>1209</v>
      </c>
      <c r="I276" s="56" t="s">
        <v>4834</v>
      </c>
      <c r="J276" s="56" t="s">
        <v>68</v>
      </c>
      <c r="K276" s="56" t="s">
        <v>460</v>
      </c>
      <c r="L276" s="58">
        <v>25705</v>
      </c>
      <c r="M276" s="56">
        <v>55</v>
      </c>
      <c r="N276" s="56" t="s">
        <v>4838</v>
      </c>
      <c r="O276" s="58">
        <v>46883</v>
      </c>
      <c r="P276" s="56" t="s">
        <v>4</v>
      </c>
      <c r="Q276" s="56"/>
      <c r="R276" s="162">
        <v>45913</v>
      </c>
      <c r="S276" s="163">
        <v>45918</v>
      </c>
      <c r="T276" s="164">
        <f t="shared" si="4"/>
        <v>5</v>
      </c>
      <c r="U276" s="56">
        <v>1</v>
      </c>
      <c r="V276" s="56">
        <v>1</v>
      </c>
      <c r="W276" s="56">
        <v>0</v>
      </c>
      <c r="X276" s="56">
        <v>0</v>
      </c>
      <c r="Y276" s="56">
        <v>0</v>
      </c>
      <c r="Z276" s="56">
        <v>0</v>
      </c>
      <c r="AA276" s="56">
        <v>0</v>
      </c>
      <c r="AB276" s="56"/>
      <c r="AC276" s="58">
        <v>45913</v>
      </c>
      <c r="AD276" s="59">
        <v>0.78125</v>
      </c>
      <c r="AE276" s="56" t="s">
        <v>462</v>
      </c>
      <c r="AF276" s="58">
        <v>45918</v>
      </c>
      <c r="AG276" s="59">
        <v>0.86458333333575865</v>
      </c>
      <c r="AH276" s="56" t="s">
        <v>463</v>
      </c>
      <c r="AI276" s="56" t="s">
        <v>4836</v>
      </c>
      <c r="AJ276" s="56" t="s">
        <v>64</v>
      </c>
      <c r="AK276" s="56" t="s">
        <v>64</v>
      </c>
      <c r="AL276" s="56" t="s">
        <v>3838</v>
      </c>
      <c r="AM276" s="60" t="s">
        <v>65</v>
      </c>
      <c r="AN276" s="60" t="s">
        <v>3974</v>
      </c>
      <c r="AO276" s="60" t="s">
        <v>331</v>
      </c>
      <c r="AP276" s="61"/>
    </row>
    <row r="277" spans="3:42" ht="14.25" customHeight="1">
      <c r="C277" s="55">
        <f>IF($X277=1,COUNTIF($C$10:C276,"&gt;0")+1,"")</f>
        <v>133</v>
      </c>
      <c r="D277" s="56">
        <v>15262461</v>
      </c>
      <c r="E277" s="56" t="s">
        <v>4831</v>
      </c>
      <c r="F277" s="57" t="s">
        <v>4839</v>
      </c>
      <c r="G277" s="56" t="s">
        <v>4839</v>
      </c>
      <c r="H277" s="56" t="s">
        <v>4840</v>
      </c>
      <c r="I277" s="56" t="s">
        <v>4841</v>
      </c>
      <c r="J277" s="56" t="s">
        <v>68</v>
      </c>
      <c r="K277" s="56" t="s">
        <v>460</v>
      </c>
      <c r="L277" s="58">
        <v>27314</v>
      </c>
      <c r="M277" s="56">
        <v>50</v>
      </c>
      <c r="N277" s="56" t="s">
        <v>4842</v>
      </c>
      <c r="O277" s="58">
        <v>46761</v>
      </c>
      <c r="P277" s="56" t="s">
        <v>4</v>
      </c>
      <c r="Q277" s="56"/>
      <c r="R277" s="162">
        <v>45913</v>
      </c>
      <c r="S277" s="163">
        <v>45918</v>
      </c>
      <c r="T277" s="164">
        <f t="shared" si="4"/>
        <v>5</v>
      </c>
      <c r="U277" s="56">
        <v>1</v>
      </c>
      <c r="V277" s="56">
        <v>1</v>
      </c>
      <c r="W277" s="56">
        <v>0</v>
      </c>
      <c r="X277" s="56">
        <v>1</v>
      </c>
      <c r="Y277" s="56">
        <v>0</v>
      </c>
      <c r="Z277" s="56">
        <v>1</v>
      </c>
      <c r="AA277" s="56">
        <v>0</v>
      </c>
      <c r="AB277" s="56"/>
      <c r="AC277" s="58">
        <v>45913</v>
      </c>
      <c r="AD277" s="59">
        <v>0.67013888889050577</v>
      </c>
      <c r="AE277" s="56" t="s">
        <v>234</v>
      </c>
      <c r="AF277" s="58">
        <v>45918</v>
      </c>
      <c r="AG277" s="59">
        <v>0.79513888889050577</v>
      </c>
      <c r="AH277" s="56" t="s">
        <v>359</v>
      </c>
      <c r="AI277" s="56" t="s">
        <v>4836</v>
      </c>
      <c r="AJ277" s="56" t="s">
        <v>64</v>
      </c>
      <c r="AK277" s="56" t="s">
        <v>64</v>
      </c>
      <c r="AL277" s="56" t="s">
        <v>3838</v>
      </c>
      <c r="AM277" s="60" t="s">
        <v>65</v>
      </c>
      <c r="AN277" s="60" t="s">
        <v>3974</v>
      </c>
      <c r="AO277" s="60"/>
      <c r="AP277" s="61"/>
    </row>
    <row r="278" spans="3:42" ht="14.25" customHeight="1">
      <c r="C278" s="55" t="str">
        <f>IF($X278=1,COUNTIF($C$10:C277,"&gt;0")+1,"")</f>
        <v/>
      </c>
      <c r="D278" s="56"/>
      <c r="E278" s="56" t="s">
        <v>4831</v>
      </c>
      <c r="F278" s="57" t="s">
        <v>4843</v>
      </c>
      <c r="G278" s="56" t="s">
        <v>4839</v>
      </c>
      <c r="H278" s="56" t="s">
        <v>4844</v>
      </c>
      <c r="I278" s="56" t="s">
        <v>4841</v>
      </c>
      <c r="J278" s="56" t="s">
        <v>58</v>
      </c>
      <c r="K278" s="56" t="s">
        <v>460</v>
      </c>
      <c r="L278" s="58">
        <v>25792</v>
      </c>
      <c r="M278" s="56">
        <v>55</v>
      </c>
      <c r="N278" s="56" t="s">
        <v>4845</v>
      </c>
      <c r="O278" s="58">
        <v>46760</v>
      </c>
      <c r="P278" s="56" t="s">
        <v>4</v>
      </c>
      <c r="Q278" s="56"/>
      <c r="R278" s="162">
        <v>45913</v>
      </c>
      <c r="S278" s="163">
        <v>45918</v>
      </c>
      <c r="T278" s="164">
        <f t="shared" si="4"/>
        <v>5</v>
      </c>
      <c r="U278" s="56">
        <v>1</v>
      </c>
      <c r="V278" s="56">
        <v>1</v>
      </c>
      <c r="W278" s="56">
        <v>0</v>
      </c>
      <c r="X278" s="56">
        <v>0</v>
      </c>
      <c r="Y278" s="56">
        <v>0</v>
      </c>
      <c r="Z278" s="56">
        <v>0</v>
      </c>
      <c r="AA278" s="56">
        <v>0</v>
      </c>
      <c r="AB278" s="56"/>
      <c r="AC278" s="58">
        <v>45913</v>
      </c>
      <c r="AD278" s="59">
        <v>0.67013888889050577</v>
      </c>
      <c r="AE278" s="56" t="s">
        <v>234</v>
      </c>
      <c r="AF278" s="58">
        <v>45918</v>
      </c>
      <c r="AG278" s="59">
        <v>0.79513888889050577</v>
      </c>
      <c r="AH278" s="56" t="s">
        <v>359</v>
      </c>
      <c r="AI278" s="56" t="s">
        <v>4836</v>
      </c>
      <c r="AJ278" s="56" t="s">
        <v>64</v>
      </c>
      <c r="AK278" s="56" t="s">
        <v>64</v>
      </c>
      <c r="AL278" s="56" t="s">
        <v>3838</v>
      </c>
      <c r="AM278" s="60" t="s">
        <v>65</v>
      </c>
      <c r="AN278" s="60" t="s">
        <v>3974</v>
      </c>
      <c r="AO278" s="60"/>
      <c r="AP278" s="61"/>
    </row>
    <row r="279" spans="3:42" ht="14.25" customHeight="1">
      <c r="C279" s="55">
        <f>IF($X279=1,COUNTIF($C$10:C278,"&gt;0")+1,"")</f>
        <v>134</v>
      </c>
      <c r="D279" s="56">
        <v>15262462</v>
      </c>
      <c r="E279" s="56" t="s">
        <v>4831</v>
      </c>
      <c r="F279" s="57" t="s">
        <v>4846</v>
      </c>
      <c r="G279" s="56" t="s">
        <v>4846</v>
      </c>
      <c r="H279" s="56" t="s">
        <v>4847</v>
      </c>
      <c r="I279" s="56" t="s">
        <v>4848</v>
      </c>
      <c r="J279" s="56" t="s">
        <v>68</v>
      </c>
      <c r="K279" s="56" t="s">
        <v>3888</v>
      </c>
      <c r="L279" s="58">
        <v>28996</v>
      </c>
      <c r="M279" s="56">
        <v>46</v>
      </c>
      <c r="N279" s="56" t="s">
        <v>4849</v>
      </c>
      <c r="O279" s="58">
        <v>48984</v>
      </c>
      <c r="P279" s="56" t="s">
        <v>5</v>
      </c>
      <c r="Q279" s="56"/>
      <c r="R279" s="162">
        <v>45913</v>
      </c>
      <c r="S279" s="163">
        <v>45918</v>
      </c>
      <c r="T279" s="164">
        <f t="shared" si="4"/>
        <v>5</v>
      </c>
      <c r="U279" s="56">
        <v>1</v>
      </c>
      <c r="V279" s="56">
        <v>1</v>
      </c>
      <c r="W279" s="56">
        <v>0</v>
      </c>
      <c r="X279" s="56">
        <v>1</v>
      </c>
      <c r="Y279" s="56">
        <v>0</v>
      </c>
      <c r="Z279" s="56">
        <v>0</v>
      </c>
      <c r="AA279" s="56">
        <v>1</v>
      </c>
      <c r="AB279" s="56"/>
      <c r="AC279" s="58">
        <v>45913</v>
      </c>
      <c r="AD279" s="59">
        <v>0.78125</v>
      </c>
      <c r="AE279" s="56" t="s">
        <v>462</v>
      </c>
      <c r="AF279" s="58">
        <v>45918</v>
      </c>
      <c r="AG279" s="59">
        <v>0.86458333333575865</v>
      </c>
      <c r="AH279" s="56" t="s">
        <v>463</v>
      </c>
      <c r="AI279" s="56" t="s">
        <v>4836</v>
      </c>
      <c r="AJ279" s="56" t="s">
        <v>64</v>
      </c>
      <c r="AK279" s="56" t="s">
        <v>64</v>
      </c>
      <c r="AL279" s="56" t="s">
        <v>3838</v>
      </c>
      <c r="AM279" s="60" t="s">
        <v>65</v>
      </c>
      <c r="AN279" s="60" t="s">
        <v>4061</v>
      </c>
      <c r="AO279" s="60" t="s">
        <v>331</v>
      </c>
      <c r="AP279" s="61"/>
    </row>
    <row r="280" spans="3:42" ht="14.25" customHeight="1">
      <c r="C280" s="55" t="str">
        <f>IF($X280=1,COUNTIF($C$10:C279,"&gt;0")+1,"")</f>
        <v/>
      </c>
      <c r="D280" s="56"/>
      <c r="E280" s="56" t="s">
        <v>4831</v>
      </c>
      <c r="F280" s="57" t="s">
        <v>4850</v>
      </c>
      <c r="G280" s="56" t="s">
        <v>4846</v>
      </c>
      <c r="H280" s="56" t="s">
        <v>4851</v>
      </c>
      <c r="I280" s="56" t="s">
        <v>4852</v>
      </c>
      <c r="J280" s="56" t="s">
        <v>68</v>
      </c>
      <c r="K280" s="56" t="s">
        <v>3888</v>
      </c>
      <c r="L280" s="58">
        <v>33051</v>
      </c>
      <c r="M280" s="56">
        <v>35</v>
      </c>
      <c r="N280" s="56" t="s">
        <v>4853</v>
      </c>
      <c r="O280" s="58">
        <v>47162</v>
      </c>
      <c r="P280" s="56" t="s">
        <v>5</v>
      </c>
      <c r="Q280" s="56"/>
      <c r="R280" s="162">
        <v>45913</v>
      </c>
      <c r="S280" s="163">
        <v>45918</v>
      </c>
      <c r="T280" s="164">
        <f t="shared" si="4"/>
        <v>5</v>
      </c>
      <c r="U280" s="56">
        <v>1</v>
      </c>
      <c r="V280" s="56">
        <v>1</v>
      </c>
      <c r="W280" s="56">
        <v>0</v>
      </c>
      <c r="X280" s="56">
        <v>0</v>
      </c>
      <c r="Y280" s="56">
        <v>0</v>
      </c>
      <c r="Z280" s="56">
        <v>0</v>
      </c>
      <c r="AA280" s="56">
        <v>0</v>
      </c>
      <c r="AB280" s="56"/>
      <c r="AC280" s="58">
        <v>45913</v>
      </c>
      <c r="AD280" s="59">
        <v>0.78125</v>
      </c>
      <c r="AE280" s="56" t="s">
        <v>462</v>
      </c>
      <c r="AF280" s="58">
        <v>45918</v>
      </c>
      <c r="AG280" s="59">
        <v>0.86458333333575865</v>
      </c>
      <c r="AH280" s="56" t="s">
        <v>463</v>
      </c>
      <c r="AI280" s="56" t="s">
        <v>4836</v>
      </c>
      <c r="AJ280" s="56" t="s">
        <v>64</v>
      </c>
      <c r="AK280" s="56" t="s">
        <v>64</v>
      </c>
      <c r="AL280" s="56" t="s">
        <v>3838</v>
      </c>
      <c r="AM280" s="60" t="s">
        <v>65</v>
      </c>
      <c r="AN280" s="60" t="s">
        <v>4061</v>
      </c>
      <c r="AO280" s="60" t="s">
        <v>331</v>
      </c>
      <c r="AP280" s="61"/>
    </row>
    <row r="281" spans="3:42" ht="14.25" customHeight="1">
      <c r="C281" s="55">
        <f>IF($X281=1,COUNTIF($C$10:C280,"&gt;0")+1,"")</f>
        <v>135</v>
      </c>
      <c r="D281" s="56">
        <v>15262463</v>
      </c>
      <c r="E281" s="56" t="s">
        <v>4831</v>
      </c>
      <c r="F281" s="57" t="s">
        <v>4854</v>
      </c>
      <c r="G281" s="56" t="s">
        <v>4854</v>
      </c>
      <c r="H281" s="56" t="s">
        <v>4855</v>
      </c>
      <c r="I281" s="56" t="s">
        <v>4856</v>
      </c>
      <c r="J281" s="56" t="s">
        <v>68</v>
      </c>
      <c r="K281" s="56" t="s">
        <v>460</v>
      </c>
      <c r="L281" s="58">
        <v>28314</v>
      </c>
      <c r="M281" s="56">
        <v>48</v>
      </c>
      <c r="N281" s="56" t="s">
        <v>4857</v>
      </c>
      <c r="O281" s="58">
        <v>48962</v>
      </c>
      <c r="P281" s="56" t="s">
        <v>4</v>
      </c>
      <c r="Q281" s="56"/>
      <c r="R281" s="162">
        <v>45913</v>
      </c>
      <c r="S281" s="163">
        <v>45918</v>
      </c>
      <c r="T281" s="164">
        <f t="shared" si="4"/>
        <v>5</v>
      </c>
      <c r="U281" s="56">
        <v>1</v>
      </c>
      <c r="V281" s="56">
        <v>1</v>
      </c>
      <c r="W281" s="56">
        <v>0</v>
      </c>
      <c r="X281" s="56">
        <v>1</v>
      </c>
      <c r="Y281" s="56">
        <v>0</v>
      </c>
      <c r="Z281" s="56">
        <v>1</v>
      </c>
      <c r="AA281" s="56">
        <v>0</v>
      </c>
      <c r="AB281" s="56"/>
      <c r="AC281" s="58">
        <v>45912</v>
      </c>
      <c r="AD281" s="59">
        <v>0.78125</v>
      </c>
      <c r="AE281" s="56" t="s">
        <v>462</v>
      </c>
      <c r="AF281" s="58">
        <v>45918</v>
      </c>
      <c r="AG281" s="59">
        <v>0.86458333333575865</v>
      </c>
      <c r="AH281" s="56" t="s">
        <v>463</v>
      </c>
      <c r="AI281" s="56" t="s">
        <v>4836</v>
      </c>
      <c r="AJ281" s="56" t="s">
        <v>64</v>
      </c>
      <c r="AK281" s="56" t="s">
        <v>64</v>
      </c>
      <c r="AL281" s="56" t="s">
        <v>3838</v>
      </c>
      <c r="AM281" s="60" t="s">
        <v>65</v>
      </c>
      <c r="AN281" s="60" t="s">
        <v>3974</v>
      </c>
      <c r="AO281" s="60"/>
      <c r="AP281" s="61"/>
    </row>
    <row r="282" spans="3:42" ht="14.25" customHeight="1">
      <c r="C282" s="55" t="str">
        <f>IF($X282=1,COUNTIF($C$10:C281,"&gt;0")+1,"")</f>
        <v/>
      </c>
      <c r="D282" s="56"/>
      <c r="E282" s="56" t="s">
        <v>4831</v>
      </c>
      <c r="F282" s="57" t="s">
        <v>4858</v>
      </c>
      <c r="G282" s="56" t="s">
        <v>4854</v>
      </c>
      <c r="H282" s="56" t="s">
        <v>4859</v>
      </c>
      <c r="I282" s="56" t="s">
        <v>4860</v>
      </c>
      <c r="J282" s="56" t="s">
        <v>68</v>
      </c>
      <c r="K282" s="56" t="s">
        <v>59</v>
      </c>
      <c r="L282" s="58">
        <v>24100</v>
      </c>
      <c r="M282" s="56">
        <v>59</v>
      </c>
      <c r="N282" s="56" t="s">
        <v>4861</v>
      </c>
      <c r="O282" s="58">
        <v>49435</v>
      </c>
      <c r="P282" s="56" t="s">
        <v>4</v>
      </c>
      <c r="Q282" s="56"/>
      <c r="R282" s="162">
        <v>45913</v>
      </c>
      <c r="S282" s="163">
        <v>45918</v>
      </c>
      <c r="T282" s="164">
        <f t="shared" si="4"/>
        <v>5</v>
      </c>
      <c r="U282" s="56">
        <v>1</v>
      </c>
      <c r="V282" s="56">
        <v>1</v>
      </c>
      <c r="W282" s="56">
        <v>0</v>
      </c>
      <c r="X282" s="56">
        <v>0</v>
      </c>
      <c r="Y282" s="56">
        <v>0</v>
      </c>
      <c r="Z282" s="56">
        <v>0</v>
      </c>
      <c r="AA282" s="56">
        <v>0</v>
      </c>
      <c r="AB282" s="56"/>
      <c r="AC282" s="58">
        <v>45913</v>
      </c>
      <c r="AD282" s="59">
        <v>0.64583333333575865</v>
      </c>
      <c r="AE282" s="56" t="s">
        <v>312</v>
      </c>
      <c r="AF282" s="58">
        <v>45918</v>
      </c>
      <c r="AG282" s="59">
        <v>0.72569444444525288</v>
      </c>
      <c r="AH282" s="56" t="s">
        <v>313</v>
      </c>
      <c r="AI282" s="56" t="s">
        <v>4836</v>
      </c>
      <c r="AJ282" s="56" t="s">
        <v>64</v>
      </c>
      <c r="AK282" s="56" t="s">
        <v>64</v>
      </c>
      <c r="AL282" s="56" t="s">
        <v>3838</v>
      </c>
      <c r="AM282" s="60" t="s">
        <v>65</v>
      </c>
      <c r="AN282" s="60" t="s">
        <v>3974</v>
      </c>
      <c r="AO282" s="60"/>
      <c r="AP282" s="61"/>
    </row>
    <row r="283" spans="3:42" ht="14.25" customHeight="1">
      <c r="C283" s="55">
        <f>IF($X283=1,COUNTIF($C$10:C282,"&gt;0")+1,"")</f>
        <v>136</v>
      </c>
      <c r="D283" s="56">
        <v>15262464</v>
      </c>
      <c r="E283" s="56" t="s">
        <v>4831</v>
      </c>
      <c r="F283" s="57" t="s">
        <v>4862</v>
      </c>
      <c r="G283" s="56" t="s">
        <v>4862</v>
      </c>
      <c r="H283" s="56" t="s">
        <v>4863</v>
      </c>
      <c r="I283" s="56" t="s">
        <v>4864</v>
      </c>
      <c r="J283" s="56" t="s">
        <v>68</v>
      </c>
      <c r="K283" s="56" t="s">
        <v>460</v>
      </c>
      <c r="L283" s="58">
        <v>24252</v>
      </c>
      <c r="M283" s="56">
        <v>59</v>
      </c>
      <c r="N283" s="56" t="s">
        <v>4865</v>
      </c>
      <c r="O283" s="58">
        <v>49373</v>
      </c>
      <c r="P283" s="56" t="s">
        <v>4</v>
      </c>
      <c r="Q283" s="56"/>
      <c r="R283" s="162">
        <v>45913</v>
      </c>
      <c r="S283" s="163">
        <v>45918</v>
      </c>
      <c r="T283" s="164">
        <f t="shared" si="4"/>
        <v>5</v>
      </c>
      <c r="U283" s="56">
        <v>1</v>
      </c>
      <c r="V283" s="56">
        <v>1</v>
      </c>
      <c r="W283" s="56">
        <v>0</v>
      </c>
      <c r="X283" s="56">
        <v>1</v>
      </c>
      <c r="Y283" s="56">
        <v>0</v>
      </c>
      <c r="Z283" s="56">
        <v>1</v>
      </c>
      <c r="AA283" s="56">
        <v>0</v>
      </c>
      <c r="AB283" s="56"/>
      <c r="AC283" s="58">
        <v>45913</v>
      </c>
      <c r="AD283" s="59">
        <v>0.45486111110949423</v>
      </c>
      <c r="AE283" s="56" t="s">
        <v>4866</v>
      </c>
      <c r="AF283" s="58">
        <v>45918</v>
      </c>
      <c r="AG283" s="59">
        <v>0.86458333333575865</v>
      </c>
      <c r="AH283" s="56" t="s">
        <v>463</v>
      </c>
      <c r="AI283" s="56" t="s">
        <v>4836</v>
      </c>
      <c r="AJ283" s="56" t="s">
        <v>598</v>
      </c>
      <c r="AK283" s="56" t="s">
        <v>64</v>
      </c>
      <c r="AL283" s="56" t="s">
        <v>3838</v>
      </c>
      <c r="AM283" s="60" t="s">
        <v>65</v>
      </c>
      <c r="AN283" s="60" t="s">
        <v>3974</v>
      </c>
      <c r="AO283" s="60"/>
      <c r="AP283" s="61"/>
    </row>
    <row r="284" spans="3:42" ht="14.25" customHeight="1">
      <c r="C284" s="55" t="str">
        <f>IF($X284=1,COUNTIF($C$10:C283,"&gt;0")+1,"")</f>
        <v/>
      </c>
      <c r="D284" s="56"/>
      <c r="E284" s="56" t="s">
        <v>4831</v>
      </c>
      <c r="F284" s="57" t="s">
        <v>4867</v>
      </c>
      <c r="G284" s="56" t="s">
        <v>4862</v>
      </c>
      <c r="H284" s="56" t="s">
        <v>4868</v>
      </c>
      <c r="I284" s="56" t="s">
        <v>4864</v>
      </c>
      <c r="J284" s="56" t="s">
        <v>58</v>
      </c>
      <c r="K284" s="56" t="s">
        <v>460</v>
      </c>
      <c r="L284" s="58">
        <v>23340</v>
      </c>
      <c r="M284" s="56">
        <v>61</v>
      </c>
      <c r="N284" s="56" t="s">
        <v>4869</v>
      </c>
      <c r="O284" s="58">
        <v>45892</v>
      </c>
      <c r="P284" s="56" t="s">
        <v>4</v>
      </c>
      <c r="Q284" s="56"/>
      <c r="R284" s="162">
        <v>45913</v>
      </c>
      <c r="S284" s="163">
        <v>45918</v>
      </c>
      <c r="T284" s="164">
        <f t="shared" si="4"/>
        <v>5</v>
      </c>
      <c r="U284" s="56">
        <v>1</v>
      </c>
      <c r="V284" s="56">
        <v>1</v>
      </c>
      <c r="W284" s="56">
        <v>0</v>
      </c>
      <c r="X284" s="56">
        <v>0</v>
      </c>
      <c r="Y284" s="56">
        <v>0</v>
      </c>
      <c r="Z284" s="56">
        <v>0</v>
      </c>
      <c r="AA284" s="56">
        <v>0</v>
      </c>
      <c r="AB284" s="56"/>
      <c r="AC284" s="58">
        <v>45913</v>
      </c>
      <c r="AD284" s="59">
        <v>0.45486111110949423</v>
      </c>
      <c r="AE284" s="56" t="s">
        <v>4866</v>
      </c>
      <c r="AF284" s="58">
        <v>45918</v>
      </c>
      <c r="AG284" s="59">
        <v>0.86458333333575865</v>
      </c>
      <c r="AH284" s="56" t="s">
        <v>463</v>
      </c>
      <c r="AI284" s="56" t="s">
        <v>4836</v>
      </c>
      <c r="AJ284" s="56" t="s">
        <v>64</v>
      </c>
      <c r="AK284" s="56" t="s">
        <v>64</v>
      </c>
      <c r="AL284" s="56" t="s">
        <v>3838</v>
      </c>
      <c r="AM284" s="60" t="s">
        <v>65</v>
      </c>
      <c r="AN284" s="60" t="s">
        <v>3974</v>
      </c>
      <c r="AO284" s="60"/>
      <c r="AP284" s="61"/>
    </row>
    <row r="285" spans="3:42" ht="14.25" customHeight="1">
      <c r="C285" s="55">
        <f>IF($X285=1,COUNTIF($C$10:C284,"&gt;0")+1,"")</f>
        <v>137</v>
      </c>
      <c r="D285" s="56">
        <v>15262465</v>
      </c>
      <c r="E285" s="56" t="s">
        <v>4831</v>
      </c>
      <c r="F285" s="57" t="s">
        <v>4870</v>
      </c>
      <c r="G285" s="56" t="s">
        <v>4870</v>
      </c>
      <c r="H285" s="56" t="s">
        <v>4871</v>
      </c>
      <c r="I285" s="56" t="s">
        <v>4872</v>
      </c>
      <c r="J285" s="56" t="s">
        <v>68</v>
      </c>
      <c r="K285" s="56" t="s">
        <v>460</v>
      </c>
      <c r="L285" s="58">
        <v>25948</v>
      </c>
      <c r="M285" s="56">
        <v>54</v>
      </c>
      <c r="N285" s="56" t="s">
        <v>4873</v>
      </c>
      <c r="O285" s="58">
        <v>49508</v>
      </c>
      <c r="P285" s="56" t="s">
        <v>5</v>
      </c>
      <c r="Q285" s="56" t="s">
        <v>28</v>
      </c>
      <c r="R285" s="178">
        <v>45912</v>
      </c>
      <c r="S285" s="174">
        <v>45919</v>
      </c>
      <c r="T285" s="175">
        <f t="shared" si="4"/>
        <v>7</v>
      </c>
      <c r="U285" s="56">
        <v>1</v>
      </c>
      <c r="V285" s="56">
        <v>1</v>
      </c>
      <c r="W285" s="56">
        <v>0</v>
      </c>
      <c r="X285" s="56">
        <v>1</v>
      </c>
      <c r="Y285" s="56">
        <v>0</v>
      </c>
      <c r="Z285" s="56">
        <v>0</v>
      </c>
      <c r="AA285" s="56">
        <v>1</v>
      </c>
      <c r="AB285" s="56"/>
      <c r="AC285" s="58">
        <v>45912</v>
      </c>
      <c r="AD285" s="59">
        <v>0.78125</v>
      </c>
      <c r="AE285" s="56" t="s">
        <v>462</v>
      </c>
      <c r="AF285" s="58">
        <v>45919</v>
      </c>
      <c r="AG285" s="59">
        <v>0.86458333333575865</v>
      </c>
      <c r="AH285" s="56" t="s">
        <v>463</v>
      </c>
      <c r="AI285" s="56" t="s">
        <v>4836</v>
      </c>
      <c r="AJ285" s="56" t="s">
        <v>64</v>
      </c>
      <c r="AK285" s="56"/>
      <c r="AL285" s="56" t="s">
        <v>3838</v>
      </c>
      <c r="AM285" s="60" t="s">
        <v>65</v>
      </c>
      <c r="AN285" s="60" t="s">
        <v>3967</v>
      </c>
      <c r="AO285" s="60"/>
      <c r="AP285" s="61"/>
    </row>
    <row r="286" spans="3:42" ht="14.25" customHeight="1">
      <c r="C286" s="55" t="str">
        <f>IF($X286=1,COUNTIF($C$10:C285,"&gt;0")+1,"")</f>
        <v/>
      </c>
      <c r="D286" s="56"/>
      <c r="E286" s="56" t="s">
        <v>4831</v>
      </c>
      <c r="F286" s="57" t="s">
        <v>4874</v>
      </c>
      <c r="G286" s="56" t="s">
        <v>4870</v>
      </c>
      <c r="H286" s="56" t="s">
        <v>4875</v>
      </c>
      <c r="I286" s="56" t="s">
        <v>4872</v>
      </c>
      <c r="J286" s="56" t="s">
        <v>58</v>
      </c>
      <c r="K286" s="56" t="s">
        <v>460</v>
      </c>
      <c r="L286" s="58">
        <v>33942</v>
      </c>
      <c r="M286" s="56">
        <v>32</v>
      </c>
      <c r="N286" s="56" t="s">
        <v>4876</v>
      </c>
      <c r="O286" s="58">
        <v>49221</v>
      </c>
      <c r="P286" s="56" t="s">
        <v>5</v>
      </c>
      <c r="Q286" s="56" t="s">
        <v>28</v>
      </c>
      <c r="R286" s="178">
        <v>45912</v>
      </c>
      <c r="S286" s="174">
        <v>45919</v>
      </c>
      <c r="T286" s="175">
        <f t="shared" si="4"/>
        <v>7</v>
      </c>
      <c r="U286" s="56">
        <v>1</v>
      </c>
      <c r="V286" s="56">
        <v>1</v>
      </c>
      <c r="W286" s="56">
        <v>0</v>
      </c>
      <c r="X286" s="56">
        <v>0</v>
      </c>
      <c r="Y286" s="56">
        <v>0</v>
      </c>
      <c r="Z286" s="56">
        <v>0</v>
      </c>
      <c r="AA286" s="56">
        <v>0</v>
      </c>
      <c r="AB286" s="56"/>
      <c r="AC286" s="58">
        <v>45912</v>
      </c>
      <c r="AD286" s="59">
        <v>0.78125</v>
      </c>
      <c r="AE286" s="56" t="s">
        <v>462</v>
      </c>
      <c r="AF286" s="58">
        <v>45919</v>
      </c>
      <c r="AG286" s="59">
        <v>0.86458333333575865</v>
      </c>
      <c r="AH286" s="56" t="s">
        <v>463</v>
      </c>
      <c r="AI286" s="56" t="s">
        <v>4836</v>
      </c>
      <c r="AJ286" s="56" t="s">
        <v>64</v>
      </c>
      <c r="AK286" s="56"/>
      <c r="AL286" s="56" t="s">
        <v>3838</v>
      </c>
      <c r="AM286" s="60" t="s">
        <v>65</v>
      </c>
      <c r="AN286" s="60" t="s">
        <v>3967</v>
      </c>
      <c r="AO286" s="60"/>
      <c r="AP286" s="61"/>
    </row>
    <row r="287" spans="3:42" ht="14.25" customHeight="1">
      <c r="C287" s="55">
        <f>IF($X287=1,COUNTIF($C$10:C286,"&gt;0")+1,"")</f>
        <v>138</v>
      </c>
      <c r="D287" s="56">
        <v>15262466</v>
      </c>
      <c r="E287" s="56" t="s">
        <v>4877</v>
      </c>
      <c r="F287" s="57" t="s">
        <v>4878</v>
      </c>
      <c r="G287" s="56" t="s">
        <v>4878</v>
      </c>
      <c r="H287" s="56" t="s">
        <v>4879</v>
      </c>
      <c r="I287" s="56" t="s">
        <v>4880</v>
      </c>
      <c r="J287" s="56" t="s">
        <v>58</v>
      </c>
      <c r="K287" s="56" t="s">
        <v>3888</v>
      </c>
      <c r="L287" s="58">
        <v>33019</v>
      </c>
      <c r="M287" s="56">
        <v>35</v>
      </c>
      <c r="N287" s="56" t="s">
        <v>4881</v>
      </c>
      <c r="O287" s="58">
        <v>46725</v>
      </c>
      <c r="P287" s="56" t="s">
        <v>4</v>
      </c>
      <c r="Q287" s="56"/>
      <c r="R287" s="162">
        <v>45913</v>
      </c>
      <c r="S287" s="163">
        <v>45918</v>
      </c>
      <c r="T287" s="164">
        <f t="shared" si="4"/>
        <v>5</v>
      </c>
      <c r="U287" s="56">
        <v>1</v>
      </c>
      <c r="V287" s="56">
        <v>1</v>
      </c>
      <c r="W287" s="56">
        <v>0</v>
      </c>
      <c r="X287" s="56">
        <v>1</v>
      </c>
      <c r="Y287" s="56">
        <v>0</v>
      </c>
      <c r="Z287" s="56">
        <v>1</v>
      </c>
      <c r="AA287" s="56">
        <v>0</v>
      </c>
      <c r="AB287" s="56"/>
      <c r="AC287" s="58">
        <v>45913</v>
      </c>
      <c r="AD287" s="59">
        <v>0.36111111110949423</v>
      </c>
      <c r="AE287" s="56" t="s">
        <v>4882</v>
      </c>
      <c r="AF287" s="58">
        <v>45918</v>
      </c>
      <c r="AG287" s="59">
        <v>0.73958333333575865</v>
      </c>
      <c r="AH287" s="56" t="s">
        <v>1117</v>
      </c>
      <c r="AI287" s="56" t="s">
        <v>4883</v>
      </c>
      <c r="AJ287" s="56" t="s">
        <v>64</v>
      </c>
      <c r="AK287" s="56" t="s">
        <v>64</v>
      </c>
      <c r="AL287" s="56" t="s">
        <v>3838</v>
      </c>
      <c r="AM287" s="60" t="s">
        <v>65</v>
      </c>
      <c r="AN287" s="60" t="s">
        <v>3974</v>
      </c>
      <c r="AO287" s="60"/>
      <c r="AP287" s="61"/>
    </row>
    <row r="288" spans="3:42" ht="14.25" customHeight="1">
      <c r="C288" s="55" t="str">
        <f>IF($X288=1,COUNTIF($C$10:C287,"&gt;0")+1,"")</f>
        <v/>
      </c>
      <c r="D288" s="56"/>
      <c r="E288" s="56" t="s">
        <v>4877</v>
      </c>
      <c r="F288" s="57" t="s">
        <v>4884</v>
      </c>
      <c r="G288" s="56" t="s">
        <v>4878</v>
      </c>
      <c r="H288" s="56" t="s">
        <v>4885</v>
      </c>
      <c r="I288" s="56" t="s">
        <v>4886</v>
      </c>
      <c r="J288" s="56" t="s">
        <v>68</v>
      </c>
      <c r="K288" s="56" t="s">
        <v>3888</v>
      </c>
      <c r="L288" s="58">
        <v>33844</v>
      </c>
      <c r="M288" s="56">
        <v>33</v>
      </c>
      <c r="N288" s="56" t="s">
        <v>4887</v>
      </c>
      <c r="O288" s="58">
        <v>47323</v>
      </c>
      <c r="P288" s="56" t="s">
        <v>4</v>
      </c>
      <c r="Q288" s="56"/>
      <c r="R288" s="162">
        <v>45913</v>
      </c>
      <c r="S288" s="163">
        <v>45918</v>
      </c>
      <c r="T288" s="164">
        <f t="shared" si="4"/>
        <v>5</v>
      </c>
      <c r="U288" s="56">
        <v>1</v>
      </c>
      <c r="V288" s="56">
        <v>1</v>
      </c>
      <c r="W288" s="56">
        <v>0</v>
      </c>
      <c r="X288" s="56">
        <v>0</v>
      </c>
      <c r="Y288" s="56">
        <v>0</v>
      </c>
      <c r="Z288" s="56">
        <v>0</v>
      </c>
      <c r="AA288" s="56">
        <v>0</v>
      </c>
      <c r="AB288" s="56"/>
      <c r="AC288" s="58">
        <v>45913</v>
      </c>
      <c r="AD288" s="59">
        <v>0.36111111110949423</v>
      </c>
      <c r="AE288" s="56" t="s">
        <v>4882</v>
      </c>
      <c r="AF288" s="58">
        <v>45918</v>
      </c>
      <c r="AG288" s="59">
        <v>0.73958333333575865</v>
      </c>
      <c r="AH288" s="56" t="s">
        <v>1117</v>
      </c>
      <c r="AI288" s="56" t="s">
        <v>4883</v>
      </c>
      <c r="AJ288" s="56" t="s">
        <v>64</v>
      </c>
      <c r="AK288" s="56" t="s">
        <v>64</v>
      </c>
      <c r="AL288" s="56" t="s">
        <v>3838</v>
      </c>
      <c r="AM288" s="60" t="s">
        <v>65</v>
      </c>
      <c r="AN288" s="60" t="s">
        <v>3974</v>
      </c>
      <c r="AO288" s="60"/>
      <c r="AP288" s="61"/>
    </row>
    <row r="289" spans="3:42" ht="14.25" customHeight="1">
      <c r="C289" s="55">
        <f>IF($X289=1,COUNTIF($C$10:C288,"&gt;0")+1,"")</f>
        <v>139</v>
      </c>
      <c r="D289" s="56">
        <v>15262467</v>
      </c>
      <c r="E289" s="56" t="s">
        <v>4877</v>
      </c>
      <c r="F289" s="57" t="s">
        <v>4888</v>
      </c>
      <c r="G289" s="56" t="s">
        <v>4888</v>
      </c>
      <c r="H289" s="56" t="s">
        <v>4889</v>
      </c>
      <c r="I289" s="56" t="s">
        <v>4890</v>
      </c>
      <c r="J289" s="56" t="s">
        <v>68</v>
      </c>
      <c r="K289" s="56" t="s">
        <v>460</v>
      </c>
      <c r="L289" s="58">
        <v>33634</v>
      </c>
      <c r="M289" s="56">
        <v>33</v>
      </c>
      <c r="N289" s="56" t="s">
        <v>4891</v>
      </c>
      <c r="O289" s="58">
        <v>48652</v>
      </c>
      <c r="P289" s="56" t="s">
        <v>4</v>
      </c>
      <c r="Q289" s="56"/>
      <c r="R289" s="162">
        <v>45913</v>
      </c>
      <c r="S289" s="163">
        <v>45918</v>
      </c>
      <c r="T289" s="164">
        <f t="shared" si="4"/>
        <v>5</v>
      </c>
      <c r="U289" s="56">
        <v>1</v>
      </c>
      <c r="V289" s="56">
        <v>1</v>
      </c>
      <c r="W289" s="56">
        <v>0</v>
      </c>
      <c r="X289" s="56">
        <v>1</v>
      </c>
      <c r="Y289" s="56">
        <v>0</v>
      </c>
      <c r="Z289" s="56">
        <v>1</v>
      </c>
      <c r="AA289" s="56">
        <v>0</v>
      </c>
      <c r="AB289" s="56"/>
      <c r="AC289" s="58">
        <v>45913</v>
      </c>
      <c r="AD289" s="59">
        <v>0.72222222221898846</v>
      </c>
      <c r="AE289" s="56" t="s">
        <v>3885</v>
      </c>
      <c r="AF289" s="58">
        <v>45918</v>
      </c>
      <c r="AG289" s="59">
        <v>0.86458333333575865</v>
      </c>
      <c r="AH289" s="56" t="s">
        <v>4892</v>
      </c>
      <c r="AI289" s="56" t="s">
        <v>4883</v>
      </c>
      <c r="AJ289" s="56" t="s">
        <v>64</v>
      </c>
      <c r="AK289" s="56" t="s">
        <v>64</v>
      </c>
      <c r="AL289" s="56" t="s">
        <v>3838</v>
      </c>
      <c r="AM289" s="60" t="s">
        <v>65</v>
      </c>
      <c r="AN289" s="60" t="s">
        <v>3974</v>
      </c>
      <c r="AO289" s="60"/>
      <c r="AP289" s="61"/>
    </row>
    <row r="290" spans="3:42" ht="14.25" customHeight="1">
      <c r="C290" s="55" t="str">
        <f>IF($X290=1,COUNTIF($C$10:C289,"&gt;0")+1,"")</f>
        <v/>
      </c>
      <c r="D290" s="56"/>
      <c r="E290" s="56" t="s">
        <v>4877</v>
      </c>
      <c r="F290" s="57" t="s">
        <v>4893</v>
      </c>
      <c r="G290" s="56" t="s">
        <v>4888</v>
      </c>
      <c r="H290" s="56" t="s">
        <v>4894</v>
      </c>
      <c r="I290" s="56" t="s">
        <v>4890</v>
      </c>
      <c r="J290" s="56" t="s">
        <v>58</v>
      </c>
      <c r="K290" s="56" t="s">
        <v>460</v>
      </c>
      <c r="L290" s="58">
        <v>32217</v>
      </c>
      <c r="M290" s="56">
        <v>37</v>
      </c>
      <c r="N290" s="56" t="s">
        <v>4895</v>
      </c>
      <c r="O290" s="58">
        <v>48556</v>
      </c>
      <c r="P290" s="56" t="s">
        <v>4</v>
      </c>
      <c r="Q290" s="56"/>
      <c r="R290" s="162">
        <v>45913</v>
      </c>
      <c r="S290" s="163">
        <v>45918</v>
      </c>
      <c r="T290" s="164">
        <f t="shared" si="4"/>
        <v>5</v>
      </c>
      <c r="U290" s="56">
        <v>1</v>
      </c>
      <c r="V290" s="56">
        <v>1</v>
      </c>
      <c r="W290" s="56">
        <v>0</v>
      </c>
      <c r="X290" s="56">
        <v>0</v>
      </c>
      <c r="Y290" s="56">
        <v>0</v>
      </c>
      <c r="Z290" s="56">
        <v>0</v>
      </c>
      <c r="AA290" s="56">
        <v>0</v>
      </c>
      <c r="AB290" s="56"/>
      <c r="AC290" s="58">
        <v>45913</v>
      </c>
      <c r="AD290" s="59">
        <v>0.72222222221898846</v>
      </c>
      <c r="AE290" s="56" t="s">
        <v>3885</v>
      </c>
      <c r="AF290" s="58">
        <v>45918</v>
      </c>
      <c r="AG290" s="59">
        <v>0.86458333333575865</v>
      </c>
      <c r="AH290" s="56" t="s">
        <v>4892</v>
      </c>
      <c r="AI290" s="56" t="s">
        <v>4883</v>
      </c>
      <c r="AJ290" s="56" t="s">
        <v>598</v>
      </c>
      <c r="AK290" s="56" t="s">
        <v>64</v>
      </c>
      <c r="AL290" s="56" t="s">
        <v>3838</v>
      </c>
      <c r="AM290" s="60" t="s">
        <v>65</v>
      </c>
      <c r="AN290" s="60" t="s">
        <v>3974</v>
      </c>
      <c r="AO290" s="60"/>
      <c r="AP290" s="61"/>
    </row>
    <row r="291" spans="3:42" ht="14.25" customHeight="1">
      <c r="C291" s="55">
        <f>IF($X291=1,COUNTIF($C$10:C290,"&gt;0")+1,"")</f>
        <v>140</v>
      </c>
      <c r="D291" s="56">
        <v>15262468</v>
      </c>
      <c r="E291" s="56" t="s">
        <v>4877</v>
      </c>
      <c r="F291" s="57" t="s">
        <v>4896</v>
      </c>
      <c r="G291" s="56" t="s">
        <v>4896</v>
      </c>
      <c r="H291" s="56" t="s">
        <v>4897</v>
      </c>
      <c r="I291" s="56" t="s">
        <v>4898</v>
      </c>
      <c r="J291" s="56" t="s">
        <v>58</v>
      </c>
      <c r="K291" s="56" t="s">
        <v>460</v>
      </c>
      <c r="L291" s="58">
        <v>32502</v>
      </c>
      <c r="M291" s="56">
        <v>36</v>
      </c>
      <c r="N291" s="56" t="s">
        <v>4899</v>
      </c>
      <c r="O291" s="58">
        <v>48701</v>
      </c>
      <c r="P291" s="56" t="s">
        <v>4</v>
      </c>
      <c r="Q291" s="56"/>
      <c r="R291" s="162">
        <v>45913</v>
      </c>
      <c r="S291" s="163">
        <v>45918</v>
      </c>
      <c r="T291" s="164">
        <f t="shared" si="4"/>
        <v>5</v>
      </c>
      <c r="U291" s="56">
        <v>1</v>
      </c>
      <c r="V291" s="56">
        <v>1</v>
      </c>
      <c r="W291" s="56">
        <v>0</v>
      </c>
      <c r="X291" s="56">
        <v>1</v>
      </c>
      <c r="Y291" s="56">
        <v>0</v>
      </c>
      <c r="Z291" s="56">
        <v>1</v>
      </c>
      <c r="AA291" s="56">
        <v>0</v>
      </c>
      <c r="AB291" s="56"/>
      <c r="AC291" s="58">
        <v>45913</v>
      </c>
      <c r="AD291" s="59">
        <v>0.78125</v>
      </c>
      <c r="AE291" s="56" t="s">
        <v>462</v>
      </c>
      <c r="AF291" s="58">
        <v>45918</v>
      </c>
      <c r="AG291" s="59">
        <v>0.56597222221898846</v>
      </c>
      <c r="AH291" s="56" t="s">
        <v>548</v>
      </c>
      <c r="AI291" s="56" t="s">
        <v>4883</v>
      </c>
      <c r="AJ291" s="56" t="s">
        <v>64</v>
      </c>
      <c r="AK291" s="56" t="s">
        <v>64</v>
      </c>
      <c r="AL291" s="56" t="s">
        <v>3838</v>
      </c>
      <c r="AM291" s="60" t="s">
        <v>65</v>
      </c>
      <c r="AN291" s="60" t="s">
        <v>3974</v>
      </c>
      <c r="AO291" s="60" t="s">
        <v>331</v>
      </c>
      <c r="AP291" s="61"/>
    </row>
    <row r="292" spans="3:42" ht="14.25" customHeight="1">
      <c r="C292" s="55" t="str">
        <f>IF($X292=1,COUNTIF($C$10:C291,"&gt;0")+1,"")</f>
        <v/>
      </c>
      <c r="D292" s="56"/>
      <c r="E292" s="56" t="s">
        <v>4877</v>
      </c>
      <c r="F292" s="57" t="s">
        <v>4900</v>
      </c>
      <c r="G292" s="56" t="s">
        <v>4896</v>
      </c>
      <c r="H292" s="56" t="s">
        <v>4901</v>
      </c>
      <c r="I292" s="56" t="s">
        <v>4902</v>
      </c>
      <c r="J292" s="56" t="s">
        <v>58</v>
      </c>
      <c r="K292" s="56" t="s">
        <v>460</v>
      </c>
      <c r="L292" s="58">
        <v>32088</v>
      </c>
      <c r="M292" s="56">
        <v>37</v>
      </c>
      <c r="N292" s="56" t="s">
        <v>4903</v>
      </c>
      <c r="O292" s="58">
        <v>49497</v>
      </c>
      <c r="P292" s="56" t="s">
        <v>4</v>
      </c>
      <c r="Q292" s="56"/>
      <c r="R292" s="162">
        <v>45913</v>
      </c>
      <c r="S292" s="163">
        <v>45918</v>
      </c>
      <c r="T292" s="164">
        <f t="shared" si="4"/>
        <v>5</v>
      </c>
      <c r="U292" s="56">
        <v>1</v>
      </c>
      <c r="V292" s="56">
        <v>1</v>
      </c>
      <c r="W292" s="56">
        <v>0</v>
      </c>
      <c r="X292" s="56">
        <v>0</v>
      </c>
      <c r="Y292" s="56">
        <v>0</v>
      </c>
      <c r="Z292" s="56">
        <v>0</v>
      </c>
      <c r="AA292" s="56">
        <v>0</v>
      </c>
      <c r="AB292" s="56"/>
      <c r="AC292" s="58">
        <v>45913</v>
      </c>
      <c r="AD292" s="59">
        <v>0.72222222221898846</v>
      </c>
      <c r="AE292" s="56" t="s">
        <v>3885</v>
      </c>
      <c r="AF292" s="58">
        <v>45918</v>
      </c>
      <c r="AG292" s="59">
        <v>0.78125</v>
      </c>
      <c r="AH292" s="56" t="s">
        <v>1094</v>
      </c>
      <c r="AI292" s="56" t="s">
        <v>4883</v>
      </c>
      <c r="AJ292" s="56" t="s">
        <v>64</v>
      </c>
      <c r="AK292" s="56" t="s">
        <v>64</v>
      </c>
      <c r="AL292" s="56" t="s">
        <v>3838</v>
      </c>
      <c r="AM292" s="60" t="s">
        <v>65</v>
      </c>
      <c r="AN292" s="60" t="s">
        <v>3974</v>
      </c>
      <c r="AO292" s="60"/>
      <c r="AP292" s="61"/>
    </row>
    <row r="293" spans="3:42" ht="14.25" customHeight="1">
      <c r="C293" s="55">
        <f>IF($X293=1,COUNTIF($C$10:C292,"&gt;0")+1,"")</f>
        <v>141</v>
      </c>
      <c r="D293" s="56">
        <v>15262469</v>
      </c>
      <c r="E293" s="56" t="s">
        <v>4877</v>
      </c>
      <c r="F293" s="57" t="s">
        <v>4904</v>
      </c>
      <c r="G293" s="56" t="s">
        <v>4904</v>
      </c>
      <c r="H293" s="56" t="s">
        <v>4905</v>
      </c>
      <c r="I293" s="56" t="s">
        <v>4906</v>
      </c>
      <c r="J293" s="56" t="s">
        <v>58</v>
      </c>
      <c r="K293" s="56" t="s">
        <v>460</v>
      </c>
      <c r="L293" s="58">
        <v>32256</v>
      </c>
      <c r="M293" s="56">
        <v>37</v>
      </c>
      <c r="N293" s="56" t="s">
        <v>4907</v>
      </c>
      <c r="O293" s="58">
        <v>48234</v>
      </c>
      <c r="P293" s="56" t="s">
        <v>4</v>
      </c>
      <c r="Q293" s="56"/>
      <c r="R293" s="162">
        <v>45913</v>
      </c>
      <c r="S293" s="163">
        <v>45918</v>
      </c>
      <c r="T293" s="164">
        <f t="shared" si="4"/>
        <v>5</v>
      </c>
      <c r="U293" s="56">
        <v>1</v>
      </c>
      <c r="V293" s="56">
        <v>1</v>
      </c>
      <c r="W293" s="56">
        <v>0</v>
      </c>
      <c r="X293" s="56">
        <v>1</v>
      </c>
      <c r="Y293" s="56">
        <v>0</v>
      </c>
      <c r="Z293" s="56">
        <v>1</v>
      </c>
      <c r="AA293" s="56">
        <v>0</v>
      </c>
      <c r="AB293" s="56"/>
      <c r="AC293" s="58">
        <v>45913</v>
      </c>
      <c r="AD293" s="59">
        <v>0.72222222221898846</v>
      </c>
      <c r="AE293" s="56" t="s">
        <v>3885</v>
      </c>
      <c r="AF293" s="58">
        <v>45918</v>
      </c>
      <c r="AG293" s="59">
        <v>0.78125</v>
      </c>
      <c r="AH293" s="56" t="s">
        <v>1094</v>
      </c>
      <c r="AI293" s="56" t="s">
        <v>4883</v>
      </c>
      <c r="AJ293" s="56" t="s">
        <v>64</v>
      </c>
      <c r="AK293" s="56" t="s">
        <v>64</v>
      </c>
      <c r="AL293" s="56" t="s">
        <v>3838</v>
      </c>
      <c r="AM293" s="60" t="s">
        <v>65</v>
      </c>
      <c r="AN293" s="60" t="s">
        <v>3974</v>
      </c>
      <c r="AO293" s="60"/>
      <c r="AP293" s="61"/>
    </row>
    <row r="294" spans="3:42" ht="14.25" customHeight="1">
      <c r="C294" s="55" t="str">
        <f>IF($X294=1,COUNTIF($C$10:C293,"&gt;0")+1,"")</f>
        <v/>
      </c>
      <c r="D294" s="56"/>
      <c r="E294" s="56" t="s">
        <v>4877</v>
      </c>
      <c r="F294" s="57" t="s">
        <v>4908</v>
      </c>
      <c r="G294" s="56" t="s">
        <v>4904</v>
      </c>
      <c r="H294" s="56" t="s">
        <v>4909</v>
      </c>
      <c r="I294" s="56" t="s">
        <v>4906</v>
      </c>
      <c r="J294" s="56" t="s">
        <v>68</v>
      </c>
      <c r="K294" s="56" t="s">
        <v>460</v>
      </c>
      <c r="L294" s="58">
        <v>31799</v>
      </c>
      <c r="M294" s="56">
        <v>38</v>
      </c>
      <c r="N294" s="56" t="s">
        <v>4910</v>
      </c>
      <c r="O294" s="58">
        <v>48703</v>
      </c>
      <c r="P294" s="56" t="s">
        <v>4</v>
      </c>
      <c r="Q294" s="56"/>
      <c r="R294" s="162">
        <v>45913</v>
      </c>
      <c r="S294" s="163">
        <v>45918</v>
      </c>
      <c r="T294" s="164">
        <f t="shared" si="4"/>
        <v>5</v>
      </c>
      <c r="U294" s="56">
        <v>1</v>
      </c>
      <c r="V294" s="56">
        <v>1</v>
      </c>
      <c r="W294" s="56">
        <v>0</v>
      </c>
      <c r="X294" s="56">
        <v>0</v>
      </c>
      <c r="Y294" s="56">
        <v>0</v>
      </c>
      <c r="Z294" s="56">
        <v>0</v>
      </c>
      <c r="AA294" s="56">
        <v>0</v>
      </c>
      <c r="AB294" s="56"/>
      <c r="AC294" s="58">
        <v>45913</v>
      </c>
      <c r="AD294" s="59">
        <v>0.72222222221898846</v>
      </c>
      <c r="AE294" s="56" t="s">
        <v>3885</v>
      </c>
      <c r="AF294" s="58">
        <v>45918</v>
      </c>
      <c r="AG294" s="59">
        <v>0.78125</v>
      </c>
      <c r="AH294" s="56" t="s">
        <v>1094</v>
      </c>
      <c r="AI294" s="56" t="s">
        <v>4883</v>
      </c>
      <c r="AJ294" s="56" t="s">
        <v>64</v>
      </c>
      <c r="AK294" s="56" t="s">
        <v>64</v>
      </c>
      <c r="AL294" s="56" t="s">
        <v>3838</v>
      </c>
      <c r="AM294" s="60" t="s">
        <v>65</v>
      </c>
      <c r="AN294" s="60" t="s">
        <v>3974</v>
      </c>
      <c r="AO294" s="60"/>
      <c r="AP294" s="61"/>
    </row>
    <row r="295" spans="3:42" ht="14.25" customHeight="1">
      <c r="C295" s="55">
        <f>IF($X295=1,COUNTIF($C$10:C294,"&gt;0")+1,"")</f>
        <v>142</v>
      </c>
      <c r="D295" s="56">
        <v>15262470</v>
      </c>
      <c r="E295" s="56" t="s">
        <v>4877</v>
      </c>
      <c r="F295" s="57" t="s">
        <v>4911</v>
      </c>
      <c r="G295" s="56" t="s">
        <v>4911</v>
      </c>
      <c r="H295" s="56" t="s">
        <v>4912</v>
      </c>
      <c r="I295" s="56" t="s">
        <v>4913</v>
      </c>
      <c r="J295" s="56" t="s">
        <v>68</v>
      </c>
      <c r="K295" s="56" t="s">
        <v>460</v>
      </c>
      <c r="L295" s="58">
        <v>31488</v>
      </c>
      <c r="M295" s="56">
        <v>39</v>
      </c>
      <c r="N295" s="56" t="s">
        <v>4914</v>
      </c>
      <c r="O295" s="58">
        <v>49036</v>
      </c>
      <c r="P295" s="56" t="s">
        <v>4</v>
      </c>
      <c r="Q295" s="56"/>
      <c r="R295" s="162">
        <v>45913</v>
      </c>
      <c r="S295" s="163">
        <v>45918</v>
      </c>
      <c r="T295" s="164">
        <f t="shared" si="4"/>
        <v>5</v>
      </c>
      <c r="U295" s="56">
        <v>1</v>
      </c>
      <c r="V295" s="56">
        <v>1</v>
      </c>
      <c r="W295" s="56">
        <v>0</v>
      </c>
      <c r="X295" s="56">
        <v>1</v>
      </c>
      <c r="Y295" s="56">
        <v>0</v>
      </c>
      <c r="Z295" s="56">
        <v>1</v>
      </c>
      <c r="AA295" s="56">
        <v>0</v>
      </c>
      <c r="AB295" s="56"/>
      <c r="AC295" s="58">
        <v>45914</v>
      </c>
      <c r="AD295" s="59">
        <v>0.28819444444525288</v>
      </c>
      <c r="AE295" s="56" t="s">
        <v>4915</v>
      </c>
      <c r="AF295" s="58">
        <v>45918</v>
      </c>
      <c r="AG295" s="59">
        <v>0.86458333333575865</v>
      </c>
      <c r="AH295" s="56" t="s">
        <v>4892</v>
      </c>
      <c r="AI295" s="56" t="s">
        <v>4883</v>
      </c>
      <c r="AJ295" s="56" t="s">
        <v>64</v>
      </c>
      <c r="AK295" s="56" t="s">
        <v>64</v>
      </c>
      <c r="AL295" s="56" t="s">
        <v>3838</v>
      </c>
      <c r="AM295" s="60" t="s">
        <v>65</v>
      </c>
      <c r="AN295" s="60" t="s">
        <v>3974</v>
      </c>
      <c r="AO295" s="60"/>
      <c r="AP295" s="61"/>
    </row>
    <row r="296" spans="3:42" ht="14.25" customHeight="1">
      <c r="C296" s="55" t="str">
        <f>IF($X296=1,COUNTIF($C$10:C295,"&gt;0")+1,"")</f>
        <v/>
      </c>
      <c r="D296" s="56"/>
      <c r="E296" s="56" t="s">
        <v>4877</v>
      </c>
      <c r="F296" s="57" t="s">
        <v>4916</v>
      </c>
      <c r="G296" s="56" t="s">
        <v>4911</v>
      </c>
      <c r="H296" s="56" t="s">
        <v>2246</v>
      </c>
      <c r="I296" s="56" t="s">
        <v>4913</v>
      </c>
      <c r="J296" s="56" t="s">
        <v>58</v>
      </c>
      <c r="K296" s="56" t="s">
        <v>460</v>
      </c>
      <c r="L296" s="58">
        <v>31540</v>
      </c>
      <c r="M296" s="56">
        <v>39</v>
      </c>
      <c r="N296" s="56" t="s">
        <v>4917</v>
      </c>
      <c r="O296" s="58">
        <v>49036</v>
      </c>
      <c r="P296" s="56" t="s">
        <v>4</v>
      </c>
      <c r="Q296" s="56"/>
      <c r="R296" s="162">
        <v>45913</v>
      </c>
      <c r="S296" s="163">
        <v>45918</v>
      </c>
      <c r="T296" s="164">
        <f t="shared" si="4"/>
        <v>5</v>
      </c>
      <c r="U296" s="56">
        <v>1</v>
      </c>
      <c r="V296" s="56">
        <v>1</v>
      </c>
      <c r="W296" s="56">
        <v>0</v>
      </c>
      <c r="X296" s="56">
        <v>0</v>
      </c>
      <c r="Y296" s="56">
        <v>0</v>
      </c>
      <c r="Z296" s="56">
        <v>0</v>
      </c>
      <c r="AA296" s="56">
        <v>0</v>
      </c>
      <c r="AB296" s="56"/>
      <c r="AC296" s="58">
        <v>45914</v>
      </c>
      <c r="AD296" s="59">
        <v>0.28819444444525288</v>
      </c>
      <c r="AE296" s="56" t="s">
        <v>4915</v>
      </c>
      <c r="AF296" s="58">
        <v>45918</v>
      </c>
      <c r="AG296" s="59">
        <v>0.86458333333575865</v>
      </c>
      <c r="AH296" s="56" t="s">
        <v>4892</v>
      </c>
      <c r="AI296" s="56" t="s">
        <v>4883</v>
      </c>
      <c r="AJ296" s="56" t="s">
        <v>64</v>
      </c>
      <c r="AK296" s="56" t="s">
        <v>64</v>
      </c>
      <c r="AL296" s="56" t="s">
        <v>3838</v>
      </c>
      <c r="AM296" s="60" t="s">
        <v>65</v>
      </c>
      <c r="AN296" s="60" t="s">
        <v>3974</v>
      </c>
      <c r="AO296" s="60"/>
      <c r="AP296" s="61"/>
    </row>
    <row r="297" spans="3:42" ht="14.25" customHeight="1">
      <c r="C297" s="55">
        <f>IF($X297=1,COUNTIF($C$10:C296,"&gt;0")+1,"")</f>
        <v>143</v>
      </c>
      <c r="D297" s="56">
        <v>15262471</v>
      </c>
      <c r="E297" s="56" t="s">
        <v>4877</v>
      </c>
      <c r="F297" s="57" t="s">
        <v>4918</v>
      </c>
      <c r="G297" s="56" t="s">
        <v>4918</v>
      </c>
      <c r="H297" s="56" t="s">
        <v>4919</v>
      </c>
      <c r="I297" s="56" t="s">
        <v>4920</v>
      </c>
      <c r="J297" s="56" t="s">
        <v>58</v>
      </c>
      <c r="K297" s="56" t="s">
        <v>3888</v>
      </c>
      <c r="L297" s="58">
        <v>32397</v>
      </c>
      <c r="M297" s="56">
        <v>37</v>
      </c>
      <c r="N297" s="56" t="s">
        <v>4921</v>
      </c>
      <c r="O297" s="58">
        <v>47805</v>
      </c>
      <c r="P297" s="56" t="s">
        <v>4</v>
      </c>
      <c r="Q297" s="56"/>
      <c r="R297" s="162">
        <v>45913</v>
      </c>
      <c r="S297" s="163">
        <v>45918</v>
      </c>
      <c r="T297" s="164">
        <f t="shared" si="4"/>
        <v>5</v>
      </c>
      <c r="U297" s="56">
        <v>1</v>
      </c>
      <c r="V297" s="56">
        <v>1</v>
      </c>
      <c r="W297" s="56">
        <v>0</v>
      </c>
      <c r="X297" s="56">
        <v>1</v>
      </c>
      <c r="Y297" s="56">
        <v>0</v>
      </c>
      <c r="Z297" s="56">
        <v>1</v>
      </c>
      <c r="AA297" s="56">
        <v>0</v>
      </c>
      <c r="AB297" s="56"/>
      <c r="AC297" s="58">
        <v>45913</v>
      </c>
      <c r="AD297" s="59">
        <v>0.72222222221898846</v>
      </c>
      <c r="AE297" s="56" t="s">
        <v>3885</v>
      </c>
      <c r="AF297" s="58">
        <v>45918</v>
      </c>
      <c r="AG297" s="59">
        <v>0.86458333333575865</v>
      </c>
      <c r="AH297" s="56" t="s">
        <v>463</v>
      </c>
      <c r="AI297" s="56" t="s">
        <v>4883</v>
      </c>
      <c r="AJ297" s="56" t="s">
        <v>64</v>
      </c>
      <c r="AK297" s="56" t="s">
        <v>64</v>
      </c>
      <c r="AL297" s="56" t="s">
        <v>3838</v>
      </c>
      <c r="AM297" s="60" t="s">
        <v>65</v>
      </c>
      <c r="AN297" s="60" t="s">
        <v>3974</v>
      </c>
      <c r="AO297" s="60"/>
      <c r="AP297" s="61"/>
    </row>
    <row r="298" spans="3:42" ht="14.25" customHeight="1">
      <c r="C298" s="55" t="str">
        <f>IF($X298=1,COUNTIF($C$10:C297,"&gt;0")+1,"")</f>
        <v/>
      </c>
      <c r="D298" s="56"/>
      <c r="E298" s="56" t="s">
        <v>4877</v>
      </c>
      <c r="F298" s="57" t="s">
        <v>4922</v>
      </c>
      <c r="G298" s="56" t="s">
        <v>4918</v>
      </c>
      <c r="H298" s="56" t="s">
        <v>4923</v>
      </c>
      <c r="I298" s="56" t="s">
        <v>4920</v>
      </c>
      <c r="J298" s="56" t="s">
        <v>68</v>
      </c>
      <c r="K298" s="56" t="s">
        <v>460</v>
      </c>
      <c r="L298" s="58">
        <v>34063</v>
      </c>
      <c r="M298" s="56">
        <v>32</v>
      </c>
      <c r="N298" s="56" t="s">
        <v>4924</v>
      </c>
      <c r="O298" s="58">
        <v>49366</v>
      </c>
      <c r="P298" s="56" t="s">
        <v>4</v>
      </c>
      <c r="Q298" s="56"/>
      <c r="R298" s="162">
        <v>45913</v>
      </c>
      <c r="S298" s="163">
        <v>45918</v>
      </c>
      <c r="T298" s="164">
        <f t="shared" si="4"/>
        <v>5</v>
      </c>
      <c r="U298" s="56">
        <v>1</v>
      </c>
      <c r="V298" s="56">
        <v>1</v>
      </c>
      <c r="W298" s="56">
        <v>0</v>
      </c>
      <c r="X298" s="56">
        <v>0</v>
      </c>
      <c r="Y298" s="56">
        <v>0</v>
      </c>
      <c r="Z298" s="56">
        <v>0</v>
      </c>
      <c r="AA298" s="56">
        <v>0</v>
      </c>
      <c r="AB298" s="56"/>
      <c r="AC298" s="58">
        <v>45913</v>
      </c>
      <c r="AD298" s="59">
        <v>0.72222222221898846</v>
      </c>
      <c r="AE298" s="56" t="s">
        <v>3885</v>
      </c>
      <c r="AF298" s="58">
        <v>45918</v>
      </c>
      <c r="AG298" s="59">
        <v>0.86458333333575865</v>
      </c>
      <c r="AH298" s="56" t="s">
        <v>463</v>
      </c>
      <c r="AI298" s="56" t="s">
        <v>4883</v>
      </c>
      <c r="AJ298" s="56" t="s">
        <v>64</v>
      </c>
      <c r="AK298" s="56" t="s">
        <v>64</v>
      </c>
      <c r="AL298" s="56" t="s">
        <v>3838</v>
      </c>
      <c r="AM298" s="60" t="s">
        <v>65</v>
      </c>
      <c r="AN298" s="60" t="s">
        <v>3974</v>
      </c>
      <c r="AO298" s="60"/>
      <c r="AP298" s="61"/>
    </row>
    <row r="299" spans="3:42" ht="14.25" customHeight="1">
      <c r="C299" s="55">
        <f>IF($X299=1,COUNTIF($C$10:C298,"&gt;0")+1,"")</f>
        <v>144</v>
      </c>
      <c r="D299" s="56">
        <v>15262472</v>
      </c>
      <c r="E299" s="56" t="s">
        <v>4925</v>
      </c>
      <c r="F299" s="57" t="s">
        <v>4926</v>
      </c>
      <c r="G299" s="56" t="s">
        <v>4926</v>
      </c>
      <c r="H299" s="56" t="s">
        <v>4927</v>
      </c>
      <c r="I299" s="56" t="s">
        <v>1785</v>
      </c>
      <c r="J299" s="56" t="s">
        <v>68</v>
      </c>
      <c r="K299" s="56" t="s">
        <v>59</v>
      </c>
      <c r="L299" s="58">
        <v>16280</v>
      </c>
      <c r="M299" s="56">
        <v>81</v>
      </c>
      <c r="N299" s="56" t="s">
        <v>4928</v>
      </c>
      <c r="O299" s="58">
        <v>48001</v>
      </c>
      <c r="P299" s="56" t="s">
        <v>4</v>
      </c>
      <c r="Q299" s="56"/>
      <c r="R299" s="162">
        <v>45913</v>
      </c>
      <c r="S299" s="163">
        <v>45918</v>
      </c>
      <c r="T299" s="164">
        <f t="shared" si="4"/>
        <v>5</v>
      </c>
      <c r="U299" s="56">
        <v>1</v>
      </c>
      <c r="V299" s="56">
        <v>1</v>
      </c>
      <c r="W299" s="56">
        <v>0</v>
      </c>
      <c r="X299" s="56">
        <v>1</v>
      </c>
      <c r="Y299" s="56">
        <v>0</v>
      </c>
      <c r="Z299" s="56">
        <v>1</v>
      </c>
      <c r="AA299" s="56">
        <v>0</v>
      </c>
      <c r="AB299" s="56"/>
      <c r="AC299" s="58">
        <v>45913</v>
      </c>
      <c r="AD299" s="59">
        <v>0.20833333333575865</v>
      </c>
      <c r="AE299" s="56" t="s">
        <v>4106</v>
      </c>
      <c r="AF299" s="58">
        <v>45918</v>
      </c>
      <c r="AG299" s="59">
        <v>0.875</v>
      </c>
      <c r="AH299" s="56" t="s">
        <v>4132</v>
      </c>
      <c r="AI299" s="56" t="s">
        <v>4929</v>
      </c>
      <c r="AJ299" s="56" t="s">
        <v>64</v>
      </c>
      <c r="AK299" s="56" t="s">
        <v>64</v>
      </c>
      <c r="AL299" s="56" t="s">
        <v>3838</v>
      </c>
      <c r="AM299" s="60" t="s">
        <v>65</v>
      </c>
      <c r="AN299" s="60" t="s">
        <v>3974</v>
      </c>
      <c r="AO299" s="60"/>
      <c r="AP299" s="61"/>
    </row>
    <row r="300" spans="3:42" ht="14.25" customHeight="1">
      <c r="C300" s="55" t="str">
        <f>IF($X300=1,COUNTIF($C$10:C299,"&gt;0")+1,"")</f>
        <v/>
      </c>
      <c r="D300" s="56"/>
      <c r="E300" s="56" t="s">
        <v>4925</v>
      </c>
      <c r="F300" s="57" t="s">
        <v>4930</v>
      </c>
      <c r="G300" s="56" t="s">
        <v>4926</v>
      </c>
      <c r="H300" s="56" t="s">
        <v>4931</v>
      </c>
      <c r="I300" s="56" t="s">
        <v>1511</v>
      </c>
      <c r="J300" s="56" t="s">
        <v>68</v>
      </c>
      <c r="K300" s="56" t="s">
        <v>59</v>
      </c>
      <c r="L300" s="58">
        <v>26532</v>
      </c>
      <c r="M300" s="56">
        <v>53</v>
      </c>
      <c r="N300" s="56" t="s">
        <v>4932</v>
      </c>
      <c r="O300" s="58">
        <v>47891</v>
      </c>
      <c r="P300" s="56" t="s">
        <v>4</v>
      </c>
      <c r="Q300" s="56"/>
      <c r="R300" s="162">
        <v>45913</v>
      </c>
      <c r="S300" s="163">
        <v>45918</v>
      </c>
      <c r="T300" s="164">
        <f t="shared" si="4"/>
        <v>5</v>
      </c>
      <c r="U300" s="56">
        <v>1</v>
      </c>
      <c r="V300" s="56">
        <v>1</v>
      </c>
      <c r="W300" s="56">
        <v>0</v>
      </c>
      <c r="X300" s="56">
        <v>0</v>
      </c>
      <c r="Y300" s="56">
        <v>0</v>
      </c>
      <c r="Z300" s="56">
        <v>0</v>
      </c>
      <c r="AA300" s="56">
        <v>0</v>
      </c>
      <c r="AB300" s="56"/>
      <c r="AC300" s="58">
        <v>45913</v>
      </c>
      <c r="AD300" s="59">
        <v>0.20833333333575865</v>
      </c>
      <c r="AE300" s="56" t="s">
        <v>4106</v>
      </c>
      <c r="AF300" s="58">
        <v>45918</v>
      </c>
      <c r="AG300" s="59">
        <v>0.875</v>
      </c>
      <c r="AH300" s="56" t="s">
        <v>4132</v>
      </c>
      <c r="AI300" s="56" t="s">
        <v>4929</v>
      </c>
      <c r="AJ300" s="56" t="s">
        <v>64</v>
      </c>
      <c r="AK300" s="56" t="s">
        <v>64</v>
      </c>
      <c r="AL300" s="56" t="s">
        <v>3838</v>
      </c>
      <c r="AM300" s="60" t="s">
        <v>65</v>
      </c>
      <c r="AN300" s="60" t="s">
        <v>3974</v>
      </c>
      <c r="AO300" s="60"/>
      <c r="AP300" s="61"/>
    </row>
    <row r="301" spans="3:42" ht="14.25" customHeight="1">
      <c r="C301" s="55">
        <f>IF($X301=1,COUNTIF($C$10:C300,"&gt;0")+1,"")</f>
        <v>145</v>
      </c>
      <c r="D301" s="56">
        <v>15262473</v>
      </c>
      <c r="E301" s="56" t="s">
        <v>4925</v>
      </c>
      <c r="F301" s="57" t="s">
        <v>4933</v>
      </c>
      <c r="G301" s="56" t="s">
        <v>4933</v>
      </c>
      <c r="H301" s="56" t="s">
        <v>4934</v>
      </c>
      <c r="I301" s="56" t="s">
        <v>4935</v>
      </c>
      <c r="J301" s="56" t="s">
        <v>58</v>
      </c>
      <c r="K301" s="56" t="s">
        <v>59</v>
      </c>
      <c r="L301" s="58">
        <v>35382</v>
      </c>
      <c r="M301" s="56">
        <v>28</v>
      </c>
      <c r="N301" s="56" t="s">
        <v>4936</v>
      </c>
      <c r="O301" s="58">
        <v>48595</v>
      </c>
      <c r="P301" s="56" t="s">
        <v>4</v>
      </c>
      <c r="Q301" s="56"/>
      <c r="R301" s="162">
        <v>45913</v>
      </c>
      <c r="S301" s="163">
        <v>45918</v>
      </c>
      <c r="T301" s="164">
        <f t="shared" si="4"/>
        <v>5</v>
      </c>
      <c r="U301" s="56">
        <v>1</v>
      </c>
      <c r="V301" s="56">
        <v>1</v>
      </c>
      <c r="W301" s="56">
        <v>0</v>
      </c>
      <c r="X301" s="56">
        <v>1</v>
      </c>
      <c r="Y301" s="56">
        <v>0</v>
      </c>
      <c r="Z301" s="56">
        <v>1</v>
      </c>
      <c r="AA301" s="56">
        <v>0</v>
      </c>
      <c r="AB301" s="56"/>
      <c r="AC301" s="58">
        <v>45913</v>
      </c>
      <c r="AD301" s="59">
        <v>0.20833333333575865</v>
      </c>
      <c r="AE301" s="56" t="s">
        <v>4106</v>
      </c>
      <c r="AF301" s="58">
        <v>45918</v>
      </c>
      <c r="AG301" s="59">
        <v>0.875</v>
      </c>
      <c r="AH301" s="56" t="s">
        <v>4132</v>
      </c>
      <c r="AI301" s="56" t="s">
        <v>4929</v>
      </c>
      <c r="AJ301" s="56" t="s">
        <v>64</v>
      </c>
      <c r="AK301" s="56" t="s">
        <v>64</v>
      </c>
      <c r="AL301" s="56" t="s">
        <v>3838</v>
      </c>
      <c r="AM301" s="60" t="s">
        <v>65</v>
      </c>
      <c r="AN301" s="60" t="s">
        <v>3974</v>
      </c>
      <c r="AO301" s="60"/>
      <c r="AP301" s="61"/>
    </row>
    <row r="302" spans="3:42" ht="14.25" customHeight="1">
      <c r="C302" s="55" t="str">
        <f>IF($X302=1,COUNTIF($C$10:C301,"&gt;0")+1,"")</f>
        <v/>
      </c>
      <c r="D302" s="56"/>
      <c r="E302" s="56" t="s">
        <v>4925</v>
      </c>
      <c r="F302" s="57" t="s">
        <v>4937</v>
      </c>
      <c r="G302" s="56" t="s">
        <v>4933</v>
      </c>
      <c r="H302" s="56" t="s">
        <v>4938</v>
      </c>
      <c r="I302" s="56" t="s">
        <v>4939</v>
      </c>
      <c r="J302" s="56" t="s">
        <v>68</v>
      </c>
      <c r="K302" s="56" t="s">
        <v>59</v>
      </c>
      <c r="L302" s="58">
        <v>35249</v>
      </c>
      <c r="M302" s="56">
        <v>29</v>
      </c>
      <c r="N302" s="56" t="s">
        <v>4940</v>
      </c>
      <c r="O302" s="58">
        <v>48952</v>
      </c>
      <c r="P302" s="56" t="s">
        <v>4</v>
      </c>
      <c r="Q302" s="56"/>
      <c r="R302" s="162">
        <v>45913</v>
      </c>
      <c r="S302" s="163">
        <v>45918</v>
      </c>
      <c r="T302" s="164">
        <f t="shared" si="4"/>
        <v>5</v>
      </c>
      <c r="U302" s="56">
        <v>1</v>
      </c>
      <c r="V302" s="56">
        <v>1</v>
      </c>
      <c r="W302" s="56">
        <v>0</v>
      </c>
      <c r="X302" s="56">
        <v>0</v>
      </c>
      <c r="Y302" s="56">
        <v>0</v>
      </c>
      <c r="Z302" s="56">
        <v>0</v>
      </c>
      <c r="AA302" s="56">
        <v>0</v>
      </c>
      <c r="AB302" s="56"/>
      <c r="AC302" s="58">
        <v>45913</v>
      </c>
      <c r="AD302" s="59">
        <v>0.20833333333575865</v>
      </c>
      <c r="AE302" s="56" t="s">
        <v>4106</v>
      </c>
      <c r="AF302" s="58">
        <v>45918</v>
      </c>
      <c r="AG302" s="59">
        <v>0.875</v>
      </c>
      <c r="AH302" s="56" t="s">
        <v>4132</v>
      </c>
      <c r="AI302" s="56" t="s">
        <v>4929</v>
      </c>
      <c r="AJ302" s="56" t="s">
        <v>64</v>
      </c>
      <c r="AK302" s="56" t="s">
        <v>64</v>
      </c>
      <c r="AL302" s="56" t="s">
        <v>3838</v>
      </c>
      <c r="AM302" s="60" t="s">
        <v>65</v>
      </c>
      <c r="AN302" s="60" t="s">
        <v>3974</v>
      </c>
      <c r="AO302" s="60"/>
      <c r="AP302" s="61"/>
    </row>
    <row r="303" spans="3:42" ht="14.25" customHeight="1">
      <c r="C303" s="55">
        <f>IF($X303=1,COUNTIF($C$10:C302,"&gt;0")+1,"")</f>
        <v>146</v>
      </c>
      <c r="D303" s="56">
        <v>15262474</v>
      </c>
      <c r="E303" s="56" t="s">
        <v>4925</v>
      </c>
      <c r="F303" s="57" t="s">
        <v>4941</v>
      </c>
      <c r="G303" s="56" t="s">
        <v>4941</v>
      </c>
      <c r="H303" s="56" t="s">
        <v>4942</v>
      </c>
      <c r="I303" s="56" t="s">
        <v>4943</v>
      </c>
      <c r="J303" s="56" t="s">
        <v>68</v>
      </c>
      <c r="K303" s="56" t="s">
        <v>59</v>
      </c>
      <c r="L303" s="58">
        <v>25509</v>
      </c>
      <c r="M303" s="56">
        <v>55</v>
      </c>
      <c r="N303" s="56" t="s">
        <v>4944</v>
      </c>
      <c r="O303" s="58">
        <v>48134</v>
      </c>
      <c r="P303" s="56" t="s">
        <v>4</v>
      </c>
      <c r="Q303" s="56"/>
      <c r="R303" s="162">
        <v>45913</v>
      </c>
      <c r="S303" s="163">
        <v>45918</v>
      </c>
      <c r="T303" s="164">
        <f t="shared" si="4"/>
        <v>5</v>
      </c>
      <c r="U303" s="56">
        <v>1</v>
      </c>
      <c r="V303" s="56">
        <v>1</v>
      </c>
      <c r="W303" s="56">
        <v>0</v>
      </c>
      <c r="X303" s="56">
        <v>1</v>
      </c>
      <c r="Y303" s="56">
        <v>0</v>
      </c>
      <c r="Z303" s="56">
        <v>1</v>
      </c>
      <c r="AA303" s="56">
        <v>0</v>
      </c>
      <c r="AB303" s="56"/>
      <c r="AC303" s="58">
        <v>45913</v>
      </c>
      <c r="AD303" s="59">
        <v>0.20833333333575865</v>
      </c>
      <c r="AE303" s="56" t="s">
        <v>4106</v>
      </c>
      <c r="AF303" s="58">
        <v>45918</v>
      </c>
      <c r="AG303" s="59">
        <v>0.55902777778101154</v>
      </c>
      <c r="AH303" s="56" t="s">
        <v>4945</v>
      </c>
      <c r="AI303" s="56" t="s">
        <v>4929</v>
      </c>
      <c r="AJ303" s="56" t="s">
        <v>64</v>
      </c>
      <c r="AK303" s="56" t="s">
        <v>64</v>
      </c>
      <c r="AL303" s="56" t="s">
        <v>3838</v>
      </c>
      <c r="AM303" s="60" t="s">
        <v>65</v>
      </c>
      <c r="AN303" s="60" t="s">
        <v>3974</v>
      </c>
      <c r="AO303" s="60"/>
      <c r="AP303" s="61"/>
    </row>
    <row r="304" spans="3:42" ht="14.25" customHeight="1">
      <c r="C304" s="55" t="str">
        <f>IF($X304=1,COUNTIF($C$10:C303,"&gt;0")+1,"")</f>
        <v/>
      </c>
      <c r="D304" s="56"/>
      <c r="E304" s="56" t="s">
        <v>4925</v>
      </c>
      <c r="F304" s="57" t="s">
        <v>4946</v>
      </c>
      <c r="G304" s="56" t="s">
        <v>4941</v>
      </c>
      <c r="H304" s="56" t="s">
        <v>4947</v>
      </c>
      <c r="I304" s="56" t="s">
        <v>4948</v>
      </c>
      <c r="J304" s="56" t="s">
        <v>58</v>
      </c>
      <c r="K304" s="56" t="s">
        <v>59</v>
      </c>
      <c r="L304" s="58">
        <v>21562</v>
      </c>
      <c r="M304" s="56">
        <v>66</v>
      </c>
      <c r="N304" s="56" t="s">
        <v>4949</v>
      </c>
      <c r="O304" s="58">
        <v>49252</v>
      </c>
      <c r="P304" s="56" t="s">
        <v>4</v>
      </c>
      <c r="Q304" s="56"/>
      <c r="R304" s="162">
        <v>45913</v>
      </c>
      <c r="S304" s="163">
        <v>45918</v>
      </c>
      <c r="T304" s="164">
        <f t="shared" si="4"/>
        <v>5</v>
      </c>
      <c r="U304" s="56">
        <v>1</v>
      </c>
      <c r="V304" s="56">
        <v>1</v>
      </c>
      <c r="W304" s="56">
        <v>0</v>
      </c>
      <c r="X304" s="56">
        <v>0</v>
      </c>
      <c r="Y304" s="56">
        <v>0</v>
      </c>
      <c r="Z304" s="56">
        <v>0</v>
      </c>
      <c r="AA304" s="56">
        <v>0</v>
      </c>
      <c r="AB304" s="56"/>
      <c r="AC304" s="58">
        <v>45913</v>
      </c>
      <c r="AD304" s="59">
        <v>0.20833333333575865</v>
      </c>
      <c r="AE304" s="56" t="s">
        <v>4106</v>
      </c>
      <c r="AF304" s="58">
        <v>45918</v>
      </c>
      <c r="AG304" s="59">
        <v>0.55902777778101154</v>
      </c>
      <c r="AH304" s="56" t="s">
        <v>4945</v>
      </c>
      <c r="AI304" s="56" t="s">
        <v>4929</v>
      </c>
      <c r="AJ304" s="56" t="s">
        <v>64</v>
      </c>
      <c r="AK304" s="56" t="s">
        <v>64</v>
      </c>
      <c r="AL304" s="56" t="s">
        <v>3838</v>
      </c>
      <c r="AM304" s="60" t="s">
        <v>65</v>
      </c>
      <c r="AN304" s="60" t="s">
        <v>3974</v>
      </c>
      <c r="AO304" s="60"/>
      <c r="AP304" s="61"/>
    </row>
    <row r="305" spans="3:42" ht="14.25" customHeight="1">
      <c r="C305" s="55">
        <f>IF($X305=1,COUNTIF($C$10:C304,"&gt;0")+1,"")</f>
        <v>147</v>
      </c>
      <c r="D305" s="56">
        <v>15262475</v>
      </c>
      <c r="E305" s="56" t="s">
        <v>4925</v>
      </c>
      <c r="F305" s="57" t="s">
        <v>4950</v>
      </c>
      <c r="G305" s="56" t="s">
        <v>4950</v>
      </c>
      <c r="H305" s="56" t="s">
        <v>1282</v>
      </c>
      <c r="I305" s="56" t="s">
        <v>4951</v>
      </c>
      <c r="J305" s="56" t="s">
        <v>58</v>
      </c>
      <c r="K305" s="56" t="s">
        <v>59</v>
      </c>
      <c r="L305" s="58">
        <v>19793</v>
      </c>
      <c r="M305" s="56">
        <v>71</v>
      </c>
      <c r="N305" s="56" t="s">
        <v>4952</v>
      </c>
      <c r="O305" s="58">
        <v>47320</v>
      </c>
      <c r="P305" s="56" t="s">
        <v>4</v>
      </c>
      <c r="Q305" s="56"/>
      <c r="R305" s="162">
        <v>45913</v>
      </c>
      <c r="S305" s="163">
        <v>45918</v>
      </c>
      <c r="T305" s="164">
        <f t="shared" si="4"/>
        <v>5</v>
      </c>
      <c r="U305" s="56">
        <v>1</v>
      </c>
      <c r="V305" s="56">
        <v>1</v>
      </c>
      <c r="W305" s="56">
        <v>0</v>
      </c>
      <c r="X305" s="56">
        <v>1</v>
      </c>
      <c r="Y305" s="56">
        <v>0</v>
      </c>
      <c r="Z305" s="56">
        <v>1</v>
      </c>
      <c r="AA305" s="56">
        <v>0</v>
      </c>
      <c r="AB305" s="56"/>
      <c r="AC305" s="58">
        <v>45913</v>
      </c>
      <c r="AD305" s="59">
        <v>0.73263888889050577</v>
      </c>
      <c r="AE305" s="56" t="s">
        <v>4953</v>
      </c>
      <c r="AF305" s="58">
        <v>45918</v>
      </c>
      <c r="AG305" s="59">
        <v>0.875</v>
      </c>
      <c r="AH305" s="56" t="s">
        <v>4132</v>
      </c>
      <c r="AI305" s="56" t="s">
        <v>4929</v>
      </c>
      <c r="AJ305" s="56" t="s">
        <v>598</v>
      </c>
      <c r="AK305" s="56" t="s">
        <v>3837</v>
      </c>
      <c r="AL305" s="56" t="s">
        <v>3838</v>
      </c>
      <c r="AM305" s="60" t="s">
        <v>65</v>
      </c>
      <c r="AN305" s="60" t="s">
        <v>3839</v>
      </c>
      <c r="AO305" s="60"/>
      <c r="AP305" s="61"/>
    </row>
    <row r="306" spans="3:42" ht="14.25" customHeight="1">
      <c r="C306" s="55" t="str">
        <f>IF($X306=1,COUNTIF($C$10:C305,"&gt;0")+1,"")</f>
        <v/>
      </c>
      <c r="D306" s="56"/>
      <c r="E306" s="56" t="s">
        <v>4925</v>
      </c>
      <c r="F306" s="57" t="s">
        <v>4954</v>
      </c>
      <c r="G306" s="56" t="s">
        <v>4950</v>
      </c>
      <c r="H306" s="56" t="s">
        <v>4955</v>
      </c>
      <c r="I306" s="56" t="s">
        <v>4951</v>
      </c>
      <c r="J306" s="56" t="s">
        <v>68</v>
      </c>
      <c r="K306" s="56" t="s">
        <v>59</v>
      </c>
      <c r="L306" s="58">
        <v>26226</v>
      </c>
      <c r="M306" s="56">
        <v>53</v>
      </c>
      <c r="N306" s="56" t="s">
        <v>4956</v>
      </c>
      <c r="O306" s="58">
        <v>48595</v>
      </c>
      <c r="P306" s="56" t="s">
        <v>4</v>
      </c>
      <c r="Q306" s="56"/>
      <c r="R306" s="162">
        <v>45913</v>
      </c>
      <c r="S306" s="163">
        <v>45918</v>
      </c>
      <c r="T306" s="164">
        <f t="shared" si="4"/>
        <v>5</v>
      </c>
      <c r="U306" s="56">
        <v>1</v>
      </c>
      <c r="V306" s="56">
        <v>1</v>
      </c>
      <c r="W306" s="56">
        <v>0</v>
      </c>
      <c r="X306" s="56">
        <v>0</v>
      </c>
      <c r="Y306" s="56">
        <v>0</v>
      </c>
      <c r="Z306" s="56">
        <v>0</v>
      </c>
      <c r="AA306" s="56">
        <v>0</v>
      </c>
      <c r="AB306" s="56"/>
      <c r="AC306" s="58">
        <v>45913</v>
      </c>
      <c r="AD306" s="59">
        <v>0.73263888889050577</v>
      </c>
      <c r="AE306" s="56" t="s">
        <v>4953</v>
      </c>
      <c r="AF306" s="58">
        <v>45918</v>
      </c>
      <c r="AG306" s="59">
        <v>0.875</v>
      </c>
      <c r="AH306" s="56" t="s">
        <v>4132</v>
      </c>
      <c r="AI306" s="56" t="s">
        <v>4929</v>
      </c>
      <c r="AJ306" s="56" t="s">
        <v>64</v>
      </c>
      <c r="AK306" s="56" t="s">
        <v>64</v>
      </c>
      <c r="AL306" s="56" t="s">
        <v>3838</v>
      </c>
      <c r="AM306" s="60" t="s">
        <v>65</v>
      </c>
      <c r="AN306" s="60" t="s">
        <v>3839</v>
      </c>
      <c r="AO306" s="60"/>
      <c r="AP306" s="61"/>
    </row>
    <row r="307" spans="3:42" ht="14.25" customHeight="1">
      <c r="C307" s="55">
        <f>IF($X307=1,COUNTIF($C$10:C306,"&gt;0")+1,"")</f>
        <v>148</v>
      </c>
      <c r="D307" s="56">
        <v>15262476</v>
      </c>
      <c r="E307" s="56" t="s">
        <v>4957</v>
      </c>
      <c r="F307" s="57" t="s">
        <v>4958</v>
      </c>
      <c r="G307" s="56" t="s">
        <v>4958</v>
      </c>
      <c r="H307" s="56" t="s">
        <v>838</v>
      </c>
      <c r="I307" s="56" t="s">
        <v>4959</v>
      </c>
      <c r="J307" s="56" t="s">
        <v>68</v>
      </c>
      <c r="K307" s="56" t="s">
        <v>460</v>
      </c>
      <c r="L307" s="58">
        <v>22468</v>
      </c>
      <c r="M307" s="56">
        <v>64</v>
      </c>
      <c r="N307" s="56" t="s">
        <v>4960</v>
      </c>
      <c r="O307" s="58">
        <v>48924</v>
      </c>
      <c r="P307" s="56" t="s">
        <v>4</v>
      </c>
      <c r="Q307" s="56"/>
      <c r="R307" s="162">
        <v>45913</v>
      </c>
      <c r="S307" s="163">
        <v>45918</v>
      </c>
      <c r="T307" s="164">
        <f t="shared" si="4"/>
        <v>5</v>
      </c>
      <c r="U307" s="56">
        <v>1</v>
      </c>
      <c r="V307" s="56">
        <v>1</v>
      </c>
      <c r="W307" s="56">
        <v>0</v>
      </c>
      <c r="X307" s="56">
        <v>1</v>
      </c>
      <c r="Y307" s="56">
        <v>0</v>
      </c>
      <c r="Z307" s="56">
        <v>1</v>
      </c>
      <c r="AA307" s="56">
        <v>0</v>
      </c>
      <c r="AB307" s="56"/>
      <c r="AC307" s="58">
        <v>45913</v>
      </c>
      <c r="AD307" s="59">
        <v>0.24305555555474712</v>
      </c>
      <c r="AE307" s="56" t="s">
        <v>4961</v>
      </c>
      <c r="AF307" s="58">
        <v>45918</v>
      </c>
      <c r="AG307" s="59">
        <v>0.86458333333575865</v>
      </c>
      <c r="AH307" s="56" t="s">
        <v>463</v>
      </c>
      <c r="AI307" s="56" t="s">
        <v>4962</v>
      </c>
      <c r="AJ307" s="56" t="s">
        <v>64</v>
      </c>
      <c r="AK307" s="74" t="s">
        <v>4963</v>
      </c>
      <c r="AL307" s="56" t="s">
        <v>3838</v>
      </c>
      <c r="AM307" s="60" t="s">
        <v>65</v>
      </c>
      <c r="AN307" s="60" t="s">
        <v>3974</v>
      </c>
      <c r="AO307" s="60"/>
      <c r="AP307" s="61"/>
    </row>
    <row r="308" spans="3:42" ht="14.25" customHeight="1">
      <c r="C308" s="55" t="str">
        <f>IF($X308=1,COUNTIF($C$10:C307,"&gt;0")+1,"")</f>
        <v/>
      </c>
      <c r="D308" s="56"/>
      <c r="E308" s="56" t="s">
        <v>4957</v>
      </c>
      <c r="F308" s="57" t="s">
        <v>4964</v>
      </c>
      <c r="G308" s="56" t="s">
        <v>4958</v>
      </c>
      <c r="H308" s="56" t="s">
        <v>4965</v>
      </c>
      <c r="I308" s="56" t="s">
        <v>4959</v>
      </c>
      <c r="J308" s="56" t="s">
        <v>58</v>
      </c>
      <c r="K308" s="56" t="s">
        <v>460</v>
      </c>
      <c r="L308" s="58">
        <v>22918</v>
      </c>
      <c r="M308" s="56">
        <v>62</v>
      </c>
      <c r="N308" s="56" t="s">
        <v>4966</v>
      </c>
      <c r="O308" s="58">
        <v>49156</v>
      </c>
      <c r="P308" s="56" t="s">
        <v>4</v>
      </c>
      <c r="Q308" s="56"/>
      <c r="R308" s="162">
        <v>45913</v>
      </c>
      <c r="S308" s="163">
        <v>45918</v>
      </c>
      <c r="T308" s="164">
        <f t="shared" si="4"/>
        <v>5</v>
      </c>
      <c r="U308" s="56">
        <v>1</v>
      </c>
      <c r="V308" s="56">
        <v>1</v>
      </c>
      <c r="W308" s="56">
        <v>0</v>
      </c>
      <c r="X308" s="56">
        <v>0</v>
      </c>
      <c r="Y308" s="56">
        <v>0</v>
      </c>
      <c r="Z308" s="56">
        <v>0</v>
      </c>
      <c r="AA308" s="56">
        <v>0</v>
      </c>
      <c r="AB308" s="56"/>
      <c r="AC308" s="58">
        <v>45913</v>
      </c>
      <c r="AD308" s="59">
        <v>0.24305555555474712</v>
      </c>
      <c r="AE308" s="56" t="s">
        <v>4961</v>
      </c>
      <c r="AF308" s="58">
        <v>45918</v>
      </c>
      <c r="AG308" s="59">
        <v>0.86458333333575865</v>
      </c>
      <c r="AH308" s="56" t="s">
        <v>463</v>
      </c>
      <c r="AI308" s="56" t="s">
        <v>4962</v>
      </c>
      <c r="AJ308" s="56" t="s">
        <v>64</v>
      </c>
      <c r="AK308" s="74" t="s">
        <v>64</v>
      </c>
      <c r="AL308" s="56" t="s">
        <v>3838</v>
      </c>
      <c r="AM308" s="60" t="s">
        <v>65</v>
      </c>
      <c r="AN308" s="60" t="s">
        <v>3974</v>
      </c>
      <c r="AO308" s="60"/>
      <c r="AP308" s="61"/>
    </row>
    <row r="309" spans="3:42" ht="14.25" customHeight="1">
      <c r="C309" s="55">
        <f>IF($X309=1,COUNTIF($C$10:C308,"&gt;0")+1,"")</f>
        <v>149</v>
      </c>
      <c r="D309" s="56">
        <v>15262477</v>
      </c>
      <c r="E309" s="56" t="s">
        <v>4957</v>
      </c>
      <c r="F309" s="57" t="s">
        <v>4967</v>
      </c>
      <c r="G309" s="56" t="s">
        <v>4967</v>
      </c>
      <c r="H309" s="56" t="s">
        <v>4968</v>
      </c>
      <c r="I309" s="56" t="s">
        <v>4969</v>
      </c>
      <c r="J309" s="56" t="s">
        <v>58</v>
      </c>
      <c r="K309" s="56" t="s">
        <v>460</v>
      </c>
      <c r="L309" s="58">
        <v>33017</v>
      </c>
      <c r="M309" s="56">
        <v>35</v>
      </c>
      <c r="N309" s="56" t="s">
        <v>4970</v>
      </c>
      <c r="O309" s="58">
        <v>48709</v>
      </c>
      <c r="P309" s="56" t="s">
        <v>4</v>
      </c>
      <c r="Q309" s="56"/>
      <c r="R309" s="162">
        <v>45913</v>
      </c>
      <c r="S309" s="163">
        <v>45918</v>
      </c>
      <c r="T309" s="164">
        <f t="shared" si="4"/>
        <v>5</v>
      </c>
      <c r="U309" s="56">
        <v>1</v>
      </c>
      <c r="V309" s="56">
        <v>1</v>
      </c>
      <c r="W309" s="56">
        <v>0</v>
      </c>
      <c r="X309" s="56">
        <v>1</v>
      </c>
      <c r="Y309" s="56">
        <v>0</v>
      </c>
      <c r="Z309" s="56">
        <v>1</v>
      </c>
      <c r="AA309" s="56">
        <v>0</v>
      </c>
      <c r="AB309" s="56"/>
      <c r="AC309" s="58">
        <v>45913</v>
      </c>
      <c r="AD309" s="59">
        <v>0.24305555555474712</v>
      </c>
      <c r="AE309" s="56" t="s">
        <v>4961</v>
      </c>
      <c r="AF309" s="58">
        <v>45918</v>
      </c>
      <c r="AG309" s="59">
        <v>0.86458333333575865</v>
      </c>
      <c r="AH309" s="56" t="s">
        <v>463</v>
      </c>
      <c r="AI309" s="56" t="s">
        <v>4962</v>
      </c>
      <c r="AJ309" s="56" t="s">
        <v>64</v>
      </c>
      <c r="AK309" s="74" t="s">
        <v>4971</v>
      </c>
      <c r="AL309" s="56" t="s">
        <v>3838</v>
      </c>
      <c r="AM309" s="60" t="s">
        <v>65</v>
      </c>
      <c r="AN309" s="60" t="s">
        <v>3974</v>
      </c>
      <c r="AO309" s="60"/>
      <c r="AP309" s="61"/>
    </row>
    <row r="310" spans="3:42" ht="14.25" customHeight="1">
      <c r="C310" s="55" t="str">
        <f>IF($X310=1,COUNTIF($C$10:C309,"&gt;0")+1,"")</f>
        <v/>
      </c>
      <c r="D310" s="56"/>
      <c r="E310" s="56" t="s">
        <v>4957</v>
      </c>
      <c r="F310" s="57" t="s">
        <v>4972</v>
      </c>
      <c r="G310" s="56" t="s">
        <v>4967</v>
      </c>
      <c r="H310" s="56" t="s">
        <v>4973</v>
      </c>
      <c r="I310" s="56" t="s">
        <v>4974</v>
      </c>
      <c r="J310" s="56" t="s">
        <v>68</v>
      </c>
      <c r="K310" s="56" t="s">
        <v>460</v>
      </c>
      <c r="L310" s="58">
        <v>34310</v>
      </c>
      <c r="M310" s="56">
        <v>31</v>
      </c>
      <c r="N310" s="56" t="s">
        <v>4975</v>
      </c>
      <c r="O310" s="58">
        <v>48935</v>
      </c>
      <c r="P310" s="56" t="s">
        <v>4</v>
      </c>
      <c r="Q310" s="56"/>
      <c r="R310" s="162">
        <v>45913</v>
      </c>
      <c r="S310" s="163">
        <v>45918</v>
      </c>
      <c r="T310" s="164">
        <f t="shared" si="4"/>
        <v>5</v>
      </c>
      <c r="U310" s="56">
        <v>1</v>
      </c>
      <c r="V310" s="56">
        <v>1</v>
      </c>
      <c r="W310" s="56">
        <v>0</v>
      </c>
      <c r="X310" s="56">
        <v>0</v>
      </c>
      <c r="Y310" s="56">
        <v>0</v>
      </c>
      <c r="Z310" s="56">
        <v>0</v>
      </c>
      <c r="AA310" s="56">
        <v>0</v>
      </c>
      <c r="AB310" s="56"/>
      <c r="AC310" s="58">
        <v>45913</v>
      </c>
      <c r="AD310" s="59">
        <v>0.24305555555474712</v>
      </c>
      <c r="AE310" s="56" t="s">
        <v>4961</v>
      </c>
      <c r="AF310" s="58">
        <v>45918</v>
      </c>
      <c r="AG310" s="59">
        <v>0.86458333333575865</v>
      </c>
      <c r="AH310" s="56" t="s">
        <v>463</v>
      </c>
      <c r="AI310" s="56" t="s">
        <v>4962</v>
      </c>
      <c r="AJ310" s="56" t="s">
        <v>64</v>
      </c>
      <c r="AK310" s="74" t="s">
        <v>64</v>
      </c>
      <c r="AL310" s="56" t="s">
        <v>3838</v>
      </c>
      <c r="AM310" s="60" t="s">
        <v>65</v>
      </c>
      <c r="AN310" s="60" t="s">
        <v>3974</v>
      </c>
      <c r="AO310" s="60"/>
      <c r="AP310" s="61"/>
    </row>
    <row r="311" spans="3:42" ht="14.25" customHeight="1">
      <c r="C311" s="55" t="str">
        <f>IF($X311=1,COUNTIF($C$10:C310,"&gt;0")+1,"")</f>
        <v/>
      </c>
      <c r="D311" s="56"/>
      <c r="E311" s="56" t="s">
        <v>4957</v>
      </c>
      <c r="F311" s="57" t="s">
        <v>4976</v>
      </c>
      <c r="G311" s="56" t="s">
        <v>4967</v>
      </c>
      <c r="H311" s="56" t="s">
        <v>4977</v>
      </c>
      <c r="I311" s="56" t="s">
        <v>4969</v>
      </c>
      <c r="J311" s="56" t="s">
        <v>58</v>
      </c>
      <c r="K311" s="56" t="s">
        <v>460</v>
      </c>
      <c r="L311" s="58">
        <v>45541</v>
      </c>
      <c r="M311" s="56">
        <v>1</v>
      </c>
      <c r="N311" s="56" t="s">
        <v>4978</v>
      </c>
      <c r="O311" s="58">
        <v>47519</v>
      </c>
      <c r="P311" s="56" t="s">
        <v>4</v>
      </c>
      <c r="Q311" s="56"/>
      <c r="R311" s="162">
        <v>45913</v>
      </c>
      <c r="S311" s="163">
        <v>45918</v>
      </c>
      <c r="T311" s="164">
        <f t="shared" si="4"/>
        <v>5</v>
      </c>
      <c r="U311" s="56">
        <v>0</v>
      </c>
      <c r="V311" s="56">
        <v>0</v>
      </c>
      <c r="W311" s="56">
        <v>0</v>
      </c>
      <c r="X311" s="56">
        <v>0</v>
      </c>
      <c r="Y311" s="56">
        <v>0</v>
      </c>
      <c r="Z311" s="56">
        <v>0</v>
      </c>
      <c r="AA311" s="56">
        <v>0</v>
      </c>
      <c r="AB311" s="56"/>
      <c r="AC311" s="58">
        <v>45913</v>
      </c>
      <c r="AD311" s="59">
        <v>0.24305555555474712</v>
      </c>
      <c r="AE311" s="56" t="s">
        <v>4961</v>
      </c>
      <c r="AF311" s="58">
        <v>45918</v>
      </c>
      <c r="AG311" s="59">
        <v>0.86458333333575865</v>
      </c>
      <c r="AH311" s="56" t="s">
        <v>463</v>
      </c>
      <c r="AI311" s="56" t="s">
        <v>4962</v>
      </c>
      <c r="AJ311" s="56" t="s">
        <v>64</v>
      </c>
      <c r="AK311" s="74" t="s">
        <v>64</v>
      </c>
      <c r="AL311" s="56" t="s">
        <v>3838</v>
      </c>
      <c r="AM311" s="60" t="s">
        <v>65</v>
      </c>
      <c r="AN311" s="60" t="s">
        <v>3974</v>
      </c>
      <c r="AO311" s="60"/>
      <c r="AP311" s="61"/>
    </row>
    <row r="312" spans="3:42" ht="14.25" customHeight="1">
      <c r="C312" s="55">
        <f>IF($X312=1,COUNTIF($C$10:C311,"&gt;0")+1,"")</f>
        <v>150</v>
      </c>
      <c r="D312" s="56">
        <v>15262478</v>
      </c>
      <c r="E312" s="56" t="s">
        <v>4957</v>
      </c>
      <c r="F312" s="57" t="s">
        <v>4979</v>
      </c>
      <c r="G312" s="56" t="s">
        <v>4979</v>
      </c>
      <c r="H312" s="56" t="s">
        <v>4980</v>
      </c>
      <c r="I312" s="56" t="s">
        <v>4981</v>
      </c>
      <c r="J312" s="56" t="s">
        <v>58</v>
      </c>
      <c r="K312" s="56" t="s">
        <v>460</v>
      </c>
      <c r="L312" s="58">
        <v>31447</v>
      </c>
      <c r="M312" s="56">
        <v>39</v>
      </c>
      <c r="N312" s="56" t="s">
        <v>4982</v>
      </c>
      <c r="O312" s="58">
        <v>46166</v>
      </c>
      <c r="P312" s="56" t="s">
        <v>5</v>
      </c>
      <c r="Q312" s="56"/>
      <c r="R312" s="162">
        <v>45913</v>
      </c>
      <c r="S312" s="163">
        <v>45918</v>
      </c>
      <c r="T312" s="164">
        <f t="shared" si="4"/>
        <v>5</v>
      </c>
      <c r="U312" s="56">
        <v>1</v>
      </c>
      <c r="V312" s="56">
        <v>1</v>
      </c>
      <c r="W312" s="56">
        <v>0</v>
      </c>
      <c r="X312" s="56">
        <v>1</v>
      </c>
      <c r="Y312" s="56">
        <v>0</v>
      </c>
      <c r="Z312" s="56">
        <v>0</v>
      </c>
      <c r="AA312" s="56">
        <v>1</v>
      </c>
      <c r="AB312" s="56"/>
      <c r="AC312" s="58">
        <v>45913</v>
      </c>
      <c r="AD312" s="59">
        <v>0.67013888889050577</v>
      </c>
      <c r="AE312" s="56" t="s">
        <v>234</v>
      </c>
      <c r="AF312" s="58">
        <v>45918</v>
      </c>
      <c r="AG312" s="59">
        <v>0.87847222221898846</v>
      </c>
      <c r="AH312" s="56" t="s">
        <v>4983</v>
      </c>
      <c r="AI312" s="56" t="s">
        <v>4962</v>
      </c>
      <c r="AJ312" s="56" t="s">
        <v>64</v>
      </c>
      <c r="AK312" s="56" t="s">
        <v>64</v>
      </c>
      <c r="AL312" s="56" t="s">
        <v>3838</v>
      </c>
      <c r="AM312" s="60" t="s">
        <v>65</v>
      </c>
      <c r="AN312" s="60" t="s">
        <v>4061</v>
      </c>
      <c r="AO312" s="60"/>
      <c r="AP312" s="61"/>
    </row>
    <row r="313" spans="3:42" ht="14.25" customHeight="1">
      <c r="C313" s="55" t="str">
        <f>IF($X313=1,COUNTIF($C$10:C312,"&gt;0")+1,"")</f>
        <v/>
      </c>
      <c r="D313" s="56"/>
      <c r="E313" s="56" t="s">
        <v>4957</v>
      </c>
      <c r="F313" s="57" t="s">
        <v>4984</v>
      </c>
      <c r="G313" s="56" t="s">
        <v>4979</v>
      </c>
      <c r="H313" s="56" t="s">
        <v>4985</v>
      </c>
      <c r="I313" s="56" t="s">
        <v>4986</v>
      </c>
      <c r="J313" s="56" t="s">
        <v>58</v>
      </c>
      <c r="K313" s="56" t="s">
        <v>460</v>
      </c>
      <c r="L313" s="58">
        <v>32363</v>
      </c>
      <c r="M313" s="56">
        <v>37</v>
      </c>
      <c r="N313" s="56" t="s">
        <v>4987</v>
      </c>
      <c r="O313" s="58">
        <v>46650</v>
      </c>
      <c r="P313" s="56" t="s">
        <v>5</v>
      </c>
      <c r="Q313" s="56"/>
      <c r="R313" s="162">
        <v>45913</v>
      </c>
      <c r="S313" s="163">
        <v>45918</v>
      </c>
      <c r="T313" s="164">
        <f t="shared" si="4"/>
        <v>5</v>
      </c>
      <c r="U313" s="56">
        <v>1</v>
      </c>
      <c r="V313" s="56">
        <v>1</v>
      </c>
      <c r="W313" s="56">
        <v>0</v>
      </c>
      <c r="X313" s="56">
        <v>0</v>
      </c>
      <c r="Y313" s="56">
        <v>0</v>
      </c>
      <c r="Z313" s="56">
        <v>0</v>
      </c>
      <c r="AA313" s="56">
        <v>0</v>
      </c>
      <c r="AB313" s="56"/>
      <c r="AC313" s="58">
        <v>45913</v>
      </c>
      <c r="AD313" s="59">
        <v>0.67013888889050577</v>
      </c>
      <c r="AE313" s="56" t="s">
        <v>234</v>
      </c>
      <c r="AF313" s="58">
        <v>45918</v>
      </c>
      <c r="AG313" s="59">
        <v>0.87847222221898846</v>
      </c>
      <c r="AH313" s="56" t="s">
        <v>4983</v>
      </c>
      <c r="AI313" s="56" t="s">
        <v>4962</v>
      </c>
      <c r="AJ313" s="56" t="s">
        <v>64</v>
      </c>
      <c r="AK313" s="56" t="s">
        <v>64</v>
      </c>
      <c r="AL313" s="56" t="s">
        <v>3838</v>
      </c>
      <c r="AM313" s="60" t="s">
        <v>65</v>
      </c>
      <c r="AN313" s="60" t="s">
        <v>4061</v>
      </c>
      <c r="AO313" s="60"/>
      <c r="AP313" s="61"/>
    </row>
    <row r="314" spans="3:42" ht="14.25" customHeight="1">
      <c r="C314" s="55">
        <f>IF($X314=1,COUNTIF($C$10:C313,"&gt;0")+1,"")</f>
        <v>151</v>
      </c>
      <c r="D314" s="56">
        <v>15262479</v>
      </c>
      <c r="E314" s="56" t="s">
        <v>4957</v>
      </c>
      <c r="F314" s="57" t="s">
        <v>4988</v>
      </c>
      <c r="G314" s="56" t="s">
        <v>4988</v>
      </c>
      <c r="H314" s="56" t="s">
        <v>4989</v>
      </c>
      <c r="I314" s="56" t="s">
        <v>4990</v>
      </c>
      <c r="J314" s="56" t="s">
        <v>68</v>
      </c>
      <c r="K314" s="56" t="s">
        <v>2087</v>
      </c>
      <c r="L314" s="58">
        <v>28754</v>
      </c>
      <c r="M314" s="56">
        <v>46</v>
      </c>
      <c r="N314" s="56" t="s">
        <v>4991</v>
      </c>
      <c r="O314" s="58">
        <v>47115</v>
      </c>
      <c r="P314" s="56" t="s">
        <v>4</v>
      </c>
      <c r="Q314" s="56"/>
      <c r="R314" s="162">
        <v>45913</v>
      </c>
      <c r="S314" s="163">
        <v>45918</v>
      </c>
      <c r="T314" s="164">
        <f t="shared" si="4"/>
        <v>5</v>
      </c>
      <c r="U314" s="56">
        <v>1</v>
      </c>
      <c r="V314" s="56">
        <v>1</v>
      </c>
      <c r="W314" s="56">
        <v>0</v>
      </c>
      <c r="X314" s="56">
        <v>1</v>
      </c>
      <c r="Y314" s="56">
        <v>0</v>
      </c>
      <c r="Z314" s="56">
        <v>1</v>
      </c>
      <c r="AA314" s="56">
        <v>0</v>
      </c>
      <c r="AB314" s="56"/>
      <c r="AC314" s="58">
        <v>45910</v>
      </c>
      <c r="AD314" s="59">
        <v>0.67013888889050577</v>
      </c>
      <c r="AE314" s="56" t="s">
        <v>234</v>
      </c>
      <c r="AF314" s="58">
        <v>45918</v>
      </c>
      <c r="AG314" s="59">
        <v>0.73958333333575865</v>
      </c>
      <c r="AH314" s="56" t="s">
        <v>1117</v>
      </c>
      <c r="AI314" s="56" t="s">
        <v>4962</v>
      </c>
      <c r="AJ314" s="56" t="s">
        <v>64</v>
      </c>
      <c r="AK314" s="56" t="s">
        <v>64</v>
      </c>
      <c r="AL314" s="56" t="s">
        <v>3838</v>
      </c>
      <c r="AM314" s="60" t="s">
        <v>65</v>
      </c>
      <c r="AN314" s="60" t="s">
        <v>3974</v>
      </c>
      <c r="AO314" s="60"/>
      <c r="AP314" s="61"/>
    </row>
    <row r="315" spans="3:42" ht="14.25" customHeight="1">
      <c r="C315" s="55" t="str">
        <f>IF($X315=1,COUNTIF($C$10:C314,"&gt;0")+1,"")</f>
        <v/>
      </c>
      <c r="D315" s="56"/>
      <c r="E315" s="56" t="s">
        <v>4957</v>
      </c>
      <c r="F315" s="57" t="s">
        <v>4992</v>
      </c>
      <c r="G315" s="56" t="s">
        <v>4988</v>
      </c>
      <c r="H315" s="56" t="s">
        <v>4993</v>
      </c>
      <c r="I315" s="56" t="s">
        <v>4994</v>
      </c>
      <c r="J315" s="56" t="s">
        <v>58</v>
      </c>
      <c r="K315" s="56" t="s">
        <v>2087</v>
      </c>
      <c r="L315" s="58">
        <v>28743</v>
      </c>
      <c r="M315" s="56">
        <v>47</v>
      </c>
      <c r="N315" s="56" t="s">
        <v>4995</v>
      </c>
      <c r="O315" s="58">
        <v>48336</v>
      </c>
      <c r="P315" s="56" t="s">
        <v>4</v>
      </c>
      <c r="Q315" s="56"/>
      <c r="R315" s="162">
        <v>45913</v>
      </c>
      <c r="S315" s="163">
        <v>45918</v>
      </c>
      <c r="T315" s="164">
        <f t="shared" si="4"/>
        <v>5</v>
      </c>
      <c r="U315" s="56">
        <v>1</v>
      </c>
      <c r="V315" s="56">
        <v>1</v>
      </c>
      <c r="W315" s="56">
        <v>0</v>
      </c>
      <c r="X315" s="56">
        <v>0</v>
      </c>
      <c r="Y315" s="56">
        <v>0</v>
      </c>
      <c r="Z315" s="56">
        <v>0</v>
      </c>
      <c r="AA315" s="56">
        <v>0</v>
      </c>
      <c r="AB315" s="56"/>
      <c r="AC315" s="58">
        <v>45910</v>
      </c>
      <c r="AD315" s="59">
        <v>0.67013888889050577</v>
      </c>
      <c r="AE315" s="56" t="s">
        <v>234</v>
      </c>
      <c r="AF315" s="58">
        <v>45918</v>
      </c>
      <c r="AG315" s="59">
        <v>0.73958333333575865</v>
      </c>
      <c r="AH315" s="56" t="s">
        <v>1117</v>
      </c>
      <c r="AI315" s="56" t="s">
        <v>4962</v>
      </c>
      <c r="AJ315" s="56" t="s">
        <v>64</v>
      </c>
      <c r="AK315" s="56" t="s">
        <v>64</v>
      </c>
      <c r="AL315" s="56" t="s">
        <v>3838</v>
      </c>
      <c r="AM315" s="60" t="s">
        <v>65</v>
      </c>
      <c r="AN315" s="60" t="s">
        <v>3974</v>
      </c>
      <c r="AO315" s="60"/>
      <c r="AP315" s="61"/>
    </row>
    <row r="316" spans="3:42" ht="14.25" customHeight="1">
      <c r="C316" s="55">
        <f>IF($X316=1,COUNTIF($C$10:C315,"&gt;0")+1,"")</f>
        <v>152</v>
      </c>
      <c r="D316" s="56">
        <v>15262480</v>
      </c>
      <c r="E316" s="56" t="s">
        <v>4957</v>
      </c>
      <c r="F316" s="57" t="s">
        <v>4996</v>
      </c>
      <c r="G316" s="56" t="s">
        <v>4996</v>
      </c>
      <c r="H316" s="56" t="s">
        <v>4997</v>
      </c>
      <c r="I316" s="56" t="s">
        <v>4998</v>
      </c>
      <c r="J316" s="56" t="s">
        <v>58</v>
      </c>
      <c r="K316" s="56" t="s">
        <v>460</v>
      </c>
      <c r="L316" s="58">
        <v>23388</v>
      </c>
      <c r="M316" s="56">
        <v>61</v>
      </c>
      <c r="N316" s="56" t="s">
        <v>4999</v>
      </c>
      <c r="O316" s="58">
        <v>46435</v>
      </c>
      <c r="P316" s="56" t="s">
        <v>4</v>
      </c>
      <c r="Q316" s="56"/>
      <c r="R316" s="162">
        <v>45913</v>
      </c>
      <c r="S316" s="163">
        <v>45918</v>
      </c>
      <c r="T316" s="164">
        <f t="shared" si="4"/>
        <v>5</v>
      </c>
      <c r="U316" s="56">
        <v>1</v>
      </c>
      <c r="V316" s="56">
        <v>1</v>
      </c>
      <c r="W316" s="56">
        <v>0</v>
      </c>
      <c r="X316" s="56">
        <v>1</v>
      </c>
      <c r="Y316" s="56">
        <v>0</v>
      </c>
      <c r="Z316" s="56">
        <v>1</v>
      </c>
      <c r="AA316" s="56">
        <v>0</v>
      </c>
      <c r="AB316" s="56"/>
      <c r="AC316" s="58">
        <v>45913</v>
      </c>
      <c r="AD316" s="59">
        <v>0.67013888889050577</v>
      </c>
      <c r="AE316" s="56" t="s">
        <v>234</v>
      </c>
      <c r="AF316" s="58">
        <v>45918</v>
      </c>
      <c r="AG316" s="59">
        <v>0.87847222221898846</v>
      </c>
      <c r="AH316" s="56" t="s">
        <v>4983</v>
      </c>
      <c r="AI316" s="56" t="s">
        <v>4962</v>
      </c>
      <c r="AJ316" s="56" t="s">
        <v>64</v>
      </c>
      <c r="AK316" s="56" t="s">
        <v>64</v>
      </c>
      <c r="AL316" s="56" t="s">
        <v>3838</v>
      </c>
      <c r="AM316" s="60" t="s">
        <v>65</v>
      </c>
      <c r="AN316" s="60" t="s">
        <v>3974</v>
      </c>
      <c r="AO316" s="60"/>
      <c r="AP316" s="61"/>
    </row>
    <row r="317" spans="3:42" ht="14.25" customHeight="1">
      <c r="C317" s="84" t="str">
        <f>IF($X317=1,COUNTIF($C$10:C316,"&gt;0")+1,"")</f>
        <v/>
      </c>
      <c r="D317" s="86"/>
      <c r="E317" s="86" t="s">
        <v>4957</v>
      </c>
      <c r="F317" s="87" t="s">
        <v>5000</v>
      </c>
      <c r="G317" s="86" t="s">
        <v>4996</v>
      </c>
      <c r="H317" s="86" t="s">
        <v>5001</v>
      </c>
      <c r="I317" s="86" t="s">
        <v>4998</v>
      </c>
      <c r="J317" s="86" t="s">
        <v>68</v>
      </c>
      <c r="K317" s="86" t="s">
        <v>460</v>
      </c>
      <c r="L317" s="265">
        <v>28274</v>
      </c>
      <c r="M317" s="86">
        <v>48</v>
      </c>
      <c r="N317" s="86" t="s">
        <v>5002</v>
      </c>
      <c r="O317" s="265">
        <v>48641</v>
      </c>
      <c r="P317" s="86" t="s">
        <v>4</v>
      </c>
      <c r="Q317" s="86"/>
      <c r="R317" s="162">
        <v>45913</v>
      </c>
      <c r="S317" s="163">
        <v>45918</v>
      </c>
      <c r="T317" s="164">
        <f t="shared" si="4"/>
        <v>5</v>
      </c>
      <c r="U317" s="86">
        <v>1</v>
      </c>
      <c r="V317" s="86">
        <v>1</v>
      </c>
      <c r="W317" s="86">
        <v>0</v>
      </c>
      <c r="X317" s="86">
        <v>0</v>
      </c>
      <c r="Y317" s="86">
        <v>0</v>
      </c>
      <c r="Z317" s="86">
        <v>0</v>
      </c>
      <c r="AA317" s="86">
        <v>0</v>
      </c>
      <c r="AB317" s="86"/>
      <c r="AC317" s="265">
        <v>45913</v>
      </c>
      <c r="AD317" s="266">
        <v>0.67013888889050577</v>
      </c>
      <c r="AE317" s="86" t="s">
        <v>234</v>
      </c>
      <c r="AF317" s="265">
        <v>45918</v>
      </c>
      <c r="AG317" s="266">
        <v>0.87847222221898846</v>
      </c>
      <c r="AH317" s="86" t="s">
        <v>4983</v>
      </c>
      <c r="AI317" s="86" t="s">
        <v>4962</v>
      </c>
      <c r="AJ317" s="86" t="s">
        <v>64</v>
      </c>
      <c r="AK317" s="86" t="s">
        <v>64</v>
      </c>
      <c r="AL317" s="86" t="s">
        <v>3838</v>
      </c>
      <c r="AM317" s="60" t="s">
        <v>65</v>
      </c>
      <c r="AN317" s="60" t="s">
        <v>3974</v>
      </c>
      <c r="AO317" s="267"/>
      <c r="AP317" s="138"/>
    </row>
  </sheetData>
  <autoFilter ref="C8:AP317" xr:uid="{00000000-0001-0000-0100-000000000000}">
    <filterColumn colId="11" showButton="0"/>
    <filterColumn colId="26" showButton="0"/>
    <filterColumn colId="27" showButton="0"/>
    <filterColumn colId="29" showButton="0"/>
    <filterColumn colId="30" showButton="0"/>
  </autoFilter>
  <mergeCells count="30">
    <mergeCell ref="AO8:AO9"/>
    <mergeCell ref="AP8:AP9"/>
    <mergeCell ref="AI8:AI9"/>
    <mergeCell ref="AJ8:AJ9"/>
    <mergeCell ref="AK8:AK9"/>
    <mergeCell ref="AL8:AL9"/>
    <mergeCell ref="AM8:AM9"/>
    <mergeCell ref="AN8:AN9"/>
    <mergeCell ref="Q8:Q9"/>
    <mergeCell ref="R8:R9"/>
    <mergeCell ref="S8:S9"/>
    <mergeCell ref="T8:T9"/>
    <mergeCell ref="AC8:AE8"/>
    <mergeCell ref="AF8:AH8"/>
    <mergeCell ref="J8:J9"/>
    <mergeCell ref="K8:K9"/>
    <mergeCell ref="L8:L9"/>
    <mergeCell ref="M8:M9"/>
    <mergeCell ref="N8:O8"/>
    <mergeCell ref="P8:P9"/>
    <mergeCell ref="D2:S2"/>
    <mergeCell ref="AC6:AE6"/>
    <mergeCell ref="AF6:AH6"/>
    <mergeCell ref="C8:C9"/>
    <mergeCell ref="D8:D9"/>
    <mergeCell ref="E8:E9"/>
    <mergeCell ref="F8:F9"/>
    <mergeCell ref="G8:G9"/>
    <mergeCell ref="H8:H9"/>
    <mergeCell ref="I8:I9"/>
  </mergeCells>
  <conditionalFormatting sqref="U10:AO183 C10:Q317 U184:AM185 U186:AO227 U228:AM228 U229:AO229 U230:AM231 U232:AO237 U238:AM239 U240:AO317">
    <cfRule type="expression" dxfId="2" priority="3">
      <formula>$C10&lt;&gt;""</formula>
    </cfRule>
  </conditionalFormatting>
  <conditionalFormatting sqref="AN231:AO231">
    <cfRule type="expression" dxfId="1" priority="2">
      <formula>$C231&lt;&gt;""</formula>
    </cfRule>
  </conditionalFormatting>
  <conditionalFormatting sqref="AN239:AO239">
    <cfRule type="expression" dxfId="0" priority="1">
      <formula>$C239&lt;&gt;""</formula>
    </cfRule>
  </conditionalFormatting>
  <pageMargins left="0.25" right="0.25" top="0.75" bottom="0.75" header="0.3" footer="0.3"/>
  <pageSetup scale="60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278BA-1E94-714D-888C-4146458AEFE7}">
  <sheetPr>
    <tabColor rgb="FFFFC000"/>
  </sheetPr>
  <dimension ref="A1:AY396"/>
  <sheetViews>
    <sheetView showGridLines="0" tabSelected="1" zoomScaleNormal="180" workbookViewId="0">
      <pane xSplit="9" ySplit="9" topLeftCell="J10" activePane="bottomRight" state="frozen"/>
      <selection pane="topRight" activeCell="J1" sqref="J1"/>
      <selection pane="bottomLeft" activeCell="A10" sqref="A10"/>
      <selection pane="bottomRight" activeCell="G18" sqref="G18"/>
    </sheetView>
  </sheetViews>
  <sheetFormatPr baseColWidth="10" defaultColWidth="9.1640625" defaultRowHeight="14.25" customHeight="1"/>
  <cols>
    <col min="1" max="1" width="1.5" style="1" customWidth="1"/>
    <col min="2" max="2" width="1.1640625" style="1" customWidth="1"/>
    <col min="3" max="3" width="6" style="2" customWidth="1"/>
    <col min="4" max="4" width="13.1640625" style="94" customWidth="1"/>
    <col min="5" max="5" width="8.83203125" style="94" customWidth="1"/>
    <col min="6" max="6" width="16.33203125" style="95" customWidth="1"/>
    <col min="7" max="7" width="16.1640625" style="1" customWidth="1"/>
    <col min="8" max="8" width="15.1640625" style="4" customWidth="1"/>
    <col min="9" max="9" width="11.83203125" style="4" customWidth="1"/>
    <col min="10" max="10" width="8.6640625" style="4" customWidth="1"/>
    <col min="11" max="11" width="14.1640625" style="4" customWidth="1"/>
    <col min="12" max="12" width="11.5" style="4" customWidth="1"/>
    <col min="13" max="13" width="8.6640625" style="4" customWidth="1"/>
    <col min="14" max="14" width="13.5" style="4" customWidth="1"/>
    <col min="15" max="15" width="13.6640625" style="4" customWidth="1"/>
    <col min="16" max="16" width="11.83203125" style="5" customWidth="1"/>
    <col min="17" max="17" width="17.83203125" style="5" customWidth="1"/>
    <col min="18" max="18" width="8.5" style="5" customWidth="1"/>
    <col min="19" max="19" width="8.33203125" style="5" customWidth="1"/>
    <col min="20" max="20" width="8" style="5" customWidth="1"/>
    <col min="21" max="24" width="7.83203125" style="4" customWidth="1"/>
    <col min="25" max="25" width="4.33203125" style="4" customWidth="1"/>
    <col min="26" max="26" width="4.6640625" style="4" customWidth="1"/>
    <col min="27" max="27" width="6" style="5" customWidth="1"/>
    <col min="28" max="28" width="7.83203125" style="5" customWidth="1"/>
    <col min="29" max="29" width="10.5" style="5" customWidth="1"/>
    <col min="30" max="30" width="9.1640625" style="4" customWidth="1"/>
    <col min="31" max="31" width="11.1640625" style="4" customWidth="1"/>
    <col min="32" max="32" width="10.33203125" style="5" customWidth="1"/>
    <col min="33" max="33" width="9.6640625" style="5" customWidth="1"/>
    <col min="34" max="34" width="8.83203125" style="6" customWidth="1"/>
    <col min="35" max="36" width="16" style="4" customWidth="1"/>
    <col min="37" max="37" width="21.83203125" style="4" customWidth="1"/>
    <col min="38" max="38" width="10.5" style="5" customWidth="1"/>
    <col min="39" max="39" width="9.6640625" style="5" customWidth="1"/>
    <col min="40" max="40" width="13.1640625" style="5" customWidth="1"/>
    <col min="41" max="41" width="17.6640625" style="5" customWidth="1"/>
    <col min="42" max="42" width="24.6640625" style="4" customWidth="1"/>
    <col min="43" max="44" width="9.1640625" style="4"/>
    <col min="46" max="46" width="10.5" customWidth="1"/>
    <col min="48" max="48" width="11.1640625" customWidth="1"/>
    <col min="49" max="49" width="10.83203125" customWidth="1"/>
    <col min="50" max="50" width="9.6640625" customWidth="1"/>
    <col min="51" max="51" width="8.83203125" customWidth="1"/>
    <col min="52" max="16384" width="9.1640625" style="4"/>
  </cols>
  <sheetData>
    <row r="1" spans="1:51" ht="15">
      <c r="D1" s="3"/>
      <c r="E1" s="3"/>
      <c r="F1" s="1"/>
      <c r="AJ1" s="5"/>
      <c r="AK1" s="5"/>
    </row>
    <row r="2" spans="1:51" ht="21">
      <c r="D2" s="304" t="s">
        <v>5003</v>
      </c>
      <c r="E2" s="304"/>
      <c r="F2" s="304"/>
      <c r="G2" s="304"/>
      <c r="H2" s="304"/>
      <c r="I2" s="304"/>
      <c r="J2" s="304"/>
      <c r="K2" s="304"/>
      <c r="L2" s="304"/>
      <c r="M2" s="304"/>
      <c r="N2" s="304"/>
      <c r="O2" s="304"/>
      <c r="P2" s="304"/>
      <c r="Q2" s="304"/>
      <c r="R2" s="304"/>
      <c r="S2" s="304"/>
      <c r="T2" s="7"/>
      <c r="AC2" s="7"/>
      <c r="AD2" s="7"/>
      <c r="AE2" s="7"/>
      <c r="AF2" s="7"/>
      <c r="AG2" s="7"/>
      <c r="AI2" s="7"/>
      <c r="AJ2" s="5"/>
      <c r="AK2" s="5"/>
    </row>
    <row r="3" spans="1:51" ht="15">
      <c r="C3" s="8"/>
      <c r="D3" s="9"/>
      <c r="E3" s="9"/>
      <c r="F3" s="10"/>
      <c r="G3" s="11"/>
      <c r="AD3" s="7"/>
      <c r="AE3" s="7"/>
      <c r="AF3" s="7"/>
      <c r="AG3" s="7"/>
      <c r="AI3" s="7"/>
      <c r="AJ3" s="5"/>
      <c r="AK3" s="5"/>
    </row>
    <row r="4" spans="1:51" s="23" customFormat="1" ht="37" customHeight="1">
      <c r="A4" s="12"/>
      <c r="B4" s="12"/>
      <c r="C4" s="13"/>
      <c r="D4" s="9"/>
      <c r="E4" s="9"/>
      <c r="F4" s="10"/>
      <c r="G4" s="11"/>
      <c r="H4" s="14" t="s">
        <v>5004</v>
      </c>
      <c r="I4" s="14" t="s">
        <v>2</v>
      </c>
      <c r="J4" s="14" t="s">
        <v>3</v>
      </c>
      <c r="K4" s="14" t="s">
        <v>4</v>
      </c>
      <c r="L4" s="14" t="s">
        <v>5</v>
      </c>
      <c r="M4" s="14" t="s">
        <v>6</v>
      </c>
      <c r="N4" s="14" t="s">
        <v>7</v>
      </c>
      <c r="O4" s="15" t="s">
        <v>8</v>
      </c>
      <c r="P4" s="15" t="s">
        <v>9</v>
      </c>
      <c r="Q4" s="15" t="s">
        <v>1541</v>
      </c>
      <c r="R4" s="16"/>
      <c r="S4" s="16"/>
      <c r="T4" s="16"/>
      <c r="U4" s="16"/>
      <c r="V4" s="17"/>
      <c r="W4" s="17"/>
      <c r="X4" s="17"/>
      <c r="Y4" s="17"/>
      <c r="Z4" s="17"/>
      <c r="AA4" s="17"/>
      <c r="AB4" s="17"/>
      <c r="AC4" s="18"/>
      <c r="AD4" s="19"/>
      <c r="AE4" s="19"/>
      <c r="AF4" s="20"/>
      <c r="AG4" s="20"/>
      <c r="AH4" s="21"/>
      <c r="AI4" s="22"/>
      <c r="AJ4" s="17"/>
      <c r="AK4" s="18"/>
      <c r="AL4" s="18"/>
      <c r="AM4" s="18"/>
      <c r="AN4" s="18"/>
      <c r="AO4" s="18"/>
      <c r="AS4"/>
      <c r="AT4"/>
      <c r="AU4"/>
      <c r="AV4"/>
      <c r="AW4"/>
      <c r="AX4"/>
      <c r="AY4"/>
    </row>
    <row r="5" spans="1:51" ht="15">
      <c r="C5" s="24"/>
      <c r="D5" s="9"/>
      <c r="E5" s="9"/>
      <c r="F5" s="10"/>
      <c r="G5" s="11"/>
      <c r="H5" s="25" t="s">
        <v>5004</v>
      </c>
      <c r="I5" s="26">
        <f>SUM(J5:L5)</f>
        <v>198</v>
      </c>
      <c r="J5" s="26">
        <f>SUM(Y10:Y402)</f>
        <v>25</v>
      </c>
      <c r="K5" s="26">
        <f>SUM(Z10:Z402)</f>
        <v>130</v>
      </c>
      <c r="L5" s="26">
        <f>SUM(AA10:AA402)</f>
        <v>43</v>
      </c>
      <c r="M5" s="26">
        <v>0</v>
      </c>
      <c r="N5" s="26">
        <v>1</v>
      </c>
      <c r="O5" s="25">
        <f>SUM(P5:Q5)</f>
        <v>385</v>
      </c>
      <c r="P5" s="26">
        <f>SUM(V10:V402)</f>
        <v>371</v>
      </c>
      <c r="Q5" s="26">
        <f>COUNTIFS(M10:M402,"&gt;3",M10:M402,"&lt;12")</f>
        <v>14</v>
      </c>
      <c r="R5" s="27"/>
      <c r="S5" s="27"/>
      <c r="T5" s="27"/>
      <c r="U5" s="28"/>
      <c r="V5" s="28"/>
      <c r="W5" s="28"/>
      <c r="X5" s="28"/>
      <c r="Y5" s="28"/>
      <c r="Z5" s="28"/>
      <c r="AA5" s="29"/>
      <c r="AB5" s="29"/>
      <c r="AC5" s="27"/>
      <c r="AD5" s="7"/>
      <c r="AE5" s="7"/>
      <c r="AF5" s="7"/>
      <c r="AG5" s="7"/>
      <c r="AI5" s="28"/>
      <c r="AJ5" s="29"/>
      <c r="AK5" s="30"/>
      <c r="AL5" s="30"/>
      <c r="AM5" s="30"/>
      <c r="AN5" s="30"/>
      <c r="AO5" s="30"/>
    </row>
    <row r="6" spans="1:51" ht="15" customHeight="1">
      <c r="C6" s="24"/>
      <c r="D6" s="9" t="s">
        <v>11</v>
      </c>
      <c r="E6" s="9"/>
      <c r="F6" s="10"/>
      <c r="G6" s="11"/>
      <c r="H6" s="26"/>
      <c r="I6" s="25"/>
      <c r="J6" s="31"/>
      <c r="K6" s="26"/>
      <c r="L6" s="26"/>
      <c r="M6" s="25"/>
      <c r="N6" s="25"/>
      <c r="O6" s="25"/>
      <c r="P6" s="25"/>
      <c r="Q6" s="25"/>
      <c r="R6" s="27"/>
      <c r="S6" s="27"/>
      <c r="T6" s="27"/>
      <c r="U6" s="32" t="s">
        <v>12</v>
      </c>
      <c r="V6" s="28"/>
      <c r="W6" s="28"/>
      <c r="X6" s="32" t="s">
        <v>13</v>
      </c>
      <c r="Y6" s="28"/>
      <c r="Z6" s="28"/>
      <c r="AA6" s="29"/>
      <c r="AB6" s="29"/>
      <c r="AC6" s="305" t="s">
        <v>14</v>
      </c>
      <c r="AD6" s="305"/>
      <c r="AE6" s="305"/>
      <c r="AF6" s="305" t="s">
        <v>14</v>
      </c>
      <c r="AG6" s="305"/>
      <c r="AH6" s="305"/>
      <c r="AI6" s="28"/>
      <c r="AJ6" s="29"/>
      <c r="AK6" s="27"/>
      <c r="AL6" s="27"/>
      <c r="AM6" s="27"/>
      <c r="AN6" s="27"/>
      <c r="AO6" s="27"/>
    </row>
    <row r="7" spans="1:51" ht="15">
      <c r="C7" s="24"/>
      <c r="D7" s="9"/>
      <c r="E7" s="9"/>
      <c r="F7" s="10"/>
      <c r="G7" s="11"/>
      <c r="W7" s="28"/>
      <c r="X7" s="28"/>
      <c r="Y7" s="28"/>
      <c r="Z7" s="28"/>
      <c r="AA7" s="29"/>
      <c r="AB7" s="29"/>
      <c r="AD7" s="7"/>
      <c r="AE7" s="7"/>
      <c r="AF7" s="7"/>
      <c r="AG7" s="7"/>
      <c r="AI7" s="28"/>
      <c r="AJ7" s="29"/>
      <c r="AK7" s="5"/>
    </row>
    <row r="8" spans="1:51" ht="28.5" customHeight="1">
      <c r="C8" s="306" t="s">
        <v>15</v>
      </c>
      <c r="D8" s="308" t="s">
        <v>16</v>
      </c>
      <c r="E8" s="293" t="s">
        <v>17</v>
      </c>
      <c r="F8" s="293" t="s">
        <v>18</v>
      </c>
      <c r="G8" s="293" t="s">
        <v>19</v>
      </c>
      <c r="H8" s="293" t="s">
        <v>20</v>
      </c>
      <c r="I8" s="293" t="s">
        <v>21</v>
      </c>
      <c r="J8" s="293" t="s">
        <v>22</v>
      </c>
      <c r="K8" s="295" t="s">
        <v>23</v>
      </c>
      <c r="L8" s="295" t="s">
        <v>24</v>
      </c>
      <c r="M8" s="295" t="s">
        <v>25</v>
      </c>
      <c r="N8" s="303" t="s">
        <v>26</v>
      </c>
      <c r="O8" s="303"/>
      <c r="P8" s="295" t="s">
        <v>27</v>
      </c>
      <c r="Q8" s="297" t="s">
        <v>28</v>
      </c>
      <c r="R8" s="301" t="s">
        <v>29</v>
      </c>
      <c r="S8" s="301" t="s">
        <v>30</v>
      </c>
      <c r="T8" s="301" t="s">
        <v>31</v>
      </c>
      <c r="U8" s="33" t="s">
        <v>32</v>
      </c>
      <c r="V8" s="34" t="s">
        <v>33</v>
      </c>
      <c r="W8" s="35" t="s">
        <v>34</v>
      </c>
      <c r="X8" s="36" t="s">
        <v>35</v>
      </c>
      <c r="Y8" s="37" t="s">
        <v>36</v>
      </c>
      <c r="Z8" s="38" t="s">
        <v>37</v>
      </c>
      <c r="AA8" s="36" t="s">
        <v>5</v>
      </c>
      <c r="AB8" s="39" t="s">
        <v>6</v>
      </c>
      <c r="AC8" s="341" t="s">
        <v>38</v>
      </c>
      <c r="AD8" s="341"/>
      <c r="AE8" s="341"/>
      <c r="AF8" s="341" t="s">
        <v>39</v>
      </c>
      <c r="AG8" s="341"/>
      <c r="AH8" s="341"/>
      <c r="AI8" s="293" t="s">
        <v>40</v>
      </c>
      <c r="AJ8" s="295" t="s">
        <v>41</v>
      </c>
      <c r="AK8" s="297" t="s">
        <v>42</v>
      </c>
      <c r="AL8" s="297" t="s">
        <v>43</v>
      </c>
      <c r="AM8" s="299" t="s">
        <v>44</v>
      </c>
      <c r="AN8" s="337" t="s">
        <v>5005</v>
      </c>
      <c r="AO8" s="337" t="s">
        <v>45</v>
      </c>
      <c r="AP8" s="289" t="s">
        <v>46</v>
      </c>
      <c r="AQ8" s="289" t="s">
        <v>5006</v>
      </c>
    </row>
    <row r="9" spans="1:51" ht="29" customHeight="1">
      <c r="C9" s="307"/>
      <c r="D9" s="309"/>
      <c r="E9" s="294"/>
      <c r="F9" s="294"/>
      <c r="G9" s="294"/>
      <c r="H9" s="294"/>
      <c r="I9" s="294"/>
      <c r="J9" s="294"/>
      <c r="K9" s="296"/>
      <c r="L9" s="296"/>
      <c r="M9" s="296"/>
      <c r="N9" s="40" t="s">
        <v>47</v>
      </c>
      <c r="O9" s="41" t="s">
        <v>48</v>
      </c>
      <c r="P9" s="296"/>
      <c r="Q9" s="298"/>
      <c r="R9" s="302"/>
      <c r="S9" s="302"/>
      <c r="T9" s="302"/>
      <c r="U9" s="42"/>
      <c r="V9" s="43"/>
      <c r="W9" s="42"/>
      <c r="X9" s="44"/>
      <c r="Y9" s="42"/>
      <c r="Z9" s="44"/>
      <c r="AA9" s="44"/>
      <c r="AB9" s="42"/>
      <c r="AC9" s="268" t="s">
        <v>49</v>
      </c>
      <c r="AD9" s="268" t="s">
        <v>50</v>
      </c>
      <c r="AE9" s="268" t="s">
        <v>51</v>
      </c>
      <c r="AF9" s="268" t="s">
        <v>52</v>
      </c>
      <c r="AG9" s="268" t="s">
        <v>53</v>
      </c>
      <c r="AH9" s="268" t="s">
        <v>51</v>
      </c>
      <c r="AI9" s="294"/>
      <c r="AJ9" s="296"/>
      <c r="AK9" s="298"/>
      <c r="AL9" s="298"/>
      <c r="AM9" s="300"/>
      <c r="AN9" s="338"/>
      <c r="AO9" s="338"/>
      <c r="AP9" s="290"/>
      <c r="AQ9" s="290"/>
    </row>
    <row r="10" spans="1:51" ht="14.25" customHeight="1">
      <c r="C10" s="46">
        <v>1</v>
      </c>
      <c r="D10" s="47">
        <v>70498987</v>
      </c>
      <c r="E10" s="47" t="s">
        <v>5007</v>
      </c>
      <c r="F10" s="48" t="s">
        <v>5008</v>
      </c>
      <c r="G10" s="47" t="s">
        <v>5008</v>
      </c>
      <c r="H10" s="47" t="s">
        <v>5009</v>
      </c>
      <c r="I10" s="47" t="s">
        <v>5010</v>
      </c>
      <c r="J10" s="47" t="s">
        <v>58</v>
      </c>
      <c r="K10" s="47" t="s">
        <v>59</v>
      </c>
      <c r="L10" s="49">
        <v>23561</v>
      </c>
      <c r="M10" s="47">
        <v>61</v>
      </c>
      <c r="N10" s="47" t="s">
        <v>5011</v>
      </c>
      <c r="O10" s="49">
        <v>48910</v>
      </c>
      <c r="P10" s="47" t="s">
        <v>4</v>
      </c>
      <c r="Q10" s="269" t="s">
        <v>5012</v>
      </c>
      <c r="R10" s="50">
        <v>45913</v>
      </c>
      <c r="S10" s="50">
        <v>45918</v>
      </c>
      <c r="T10" s="51">
        <f>S10-R10</f>
        <v>5</v>
      </c>
      <c r="U10" s="47">
        <v>1</v>
      </c>
      <c r="V10" s="47">
        <v>1</v>
      </c>
      <c r="W10" s="47">
        <v>0</v>
      </c>
      <c r="X10" s="47">
        <v>1</v>
      </c>
      <c r="Y10" s="47">
        <v>0</v>
      </c>
      <c r="Z10" s="47">
        <v>1</v>
      </c>
      <c r="AA10" s="47">
        <v>0</v>
      </c>
      <c r="AB10" s="47"/>
      <c r="AC10" s="49">
        <v>45913</v>
      </c>
      <c r="AD10" s="52">
        <v>0.29513888889050577</v>
      </c>
      <c r="AE10" s="47" t="s">
        <v>5013</v>
      </c>
      <c r="AF10" s="49">
        <v>45923</v>
      </c>
      <c r="AG10" s="52">
        <v>0.91319444444525288</v>
      </c>
      <c r="AH10" s="47" t="s">
        <v>5014</v>
      </c>
      <c r="AI10" s="47" t="s">
        <v>5015</v>
      </c>
      <c r="AJ10" s="47" t="s">
        <v>598</v>
      </c>
      <c r="AK10" s="47" t="s">
        <v>64</v>
      </c>
      <c r="AL10" s="47" t="s">
        <v>5016</v>
      </c>
      <c r="AM10" s="47" t="s">
        <v>65</v>
      </c>
      <c r="AN10" s="53" t="s">
        <v>5017</v>
      </c>
      <c r="AO10" s="53"/>
      <c r="AP10" s="54"/>
    </row>
    <row r="11" spans="1:51" ht="14.25" customHeight="1">
      <c r="C11" s="55" t="str">
        <f>IF($X11=1,COUNTIF($C$10:C10,"&gt;0")+1,"")</f>
        <v/>
      </c>
      <c r="D11" s="56">
        <v>70498987</v>
      </c>
      <c r="E11" s="56" t="s">
        <v>5007</v>
      </c>
      <c r="F11" s="57" t="s">
        <v>5018</v>
      </c>
      <c r="G11" s="56" t="s">
        <v>5008</v>
      </c>
      <c r="H11" s="56" t="s">
        <v>4641</v>
      </c>
      <c r="I11" s="56" t="s">
        <v>5010</v>
      </c>
      <c r="J11" s="56" t="s">
        <v>68</v>
      </c>
      <c r="K11" s="56" t="s">
        <v>59</v>
      </c>
      <c r="L11" s="58">
        <v>23942</v>
      </c>
      <c r="M11" s="56">
        <v>60</v>
      </c>
      <c r="N11" s="56" t="s">
        <v>5019</v>
      </c>
      <c r="O11" s="58">
        <v>48910</v>
      </c>
      <c r="P11" s="56" t="s">
        <v>4</v>
      </c>
      <c r="Q11" s="74"/>
      <c r="R11" s="270">
        <v>45913</v>
      </c>
      <c r="S11" s="270">
        <v>45918</v>
      </c>
      <c r="T11" s="51">
        <f t="shared" ref="T11:T74" si="0">S11-R11</f>
        <v>5</v>
      </c>
      <c r="U11" s="56">
        <v>1</v>
      </c>
      <c r="V11" s="56">
        <v>1</v>
      </c>
      <c r="W11" s="56">
        <v>0</v>
      </c>
      <c r="X11" s="56">
        <v>0</v>
      </c>
      <c r="Y11" s="56">
        <v>0</v>
      </c>
      <c r="Z11" s="56">
        <v>0</v>
      </c>
      <c r="AA11" s="56">
        <v>0</v>
      </c>
      <c r="AB11" s="56"/>
      <c r="AC11" s="58">
        <v>45913</v>
      </c>
      <c r="AD11" s="59">
        <v>0.29513888889050577</v>
      </c>
      <c r="AE11" s="56" t="s">
        <v>5013</v>
      </c>
      <c r="AF11" s="58">
        <v>45923</v>
      </c>
      <c r="AG11" s="59">
        <v>0.91319444444525288</v>
      </c>
      <c r="AH11" s="56" t="s">
        <v>5014</v>
      </c>
      <c r="AI11" s="56" t="s">
        <v>5015</v>
      </c>
      <c r="AJ11" s="56" t="s">
        <v>64</v>
      </c>
      <c r="AK11" s="56" t="s">
        <v>64</v>
      </c>
      <c r="AL11" s="56" t="s">
        <v>5016</v>
      </c>
      <c r="AM11" s="56" t="s">
        <v>65</v>
      </c>
      <c r="AN11" s="60" t="s">
        <v>5017</v>
      </c>
      <c r="AO11" s="60"/>
      <c r="AP11" s="61"/>
    </row>
    <row r="12" spans="1:51" ht="14.25" customHeight="1">
      <c r="C12" s="55">
        <f>IF($X12=1,COUNTIF($C$10:C11,"&gt;0")+1,"")</f>
        <v>2</v>
      </c>
      <c r="D12" s="56">
        <v>70124284</v>
      </c>
      <c r="E12" s="56" t="s">
        <v>5007</v>
      </c>
      <c r="F12" s="57" t="s">
        <v>5020</v>
      </c>
      <c r="G12" s="56" t="s">
        <v>5020</v>
      </c>
      <c r="H12" s="56" t="s">
        <v>5021</v>
      </c>
      <c r="I12" s="56" t="s">
        <v>5010</v>
      </c>
      <c r="J12" s="56" t="s">
        <v>58</v>
      </c>
      <c r="K12" s="56" t="s">
        <v>59</v>
      </c>
      <c r="L12" s="58">
        <v>32776</v>
      </c>
      <c r="M12" s="56">
        <v>35</v>
      </c>
      <c r="N12" s="56" t="s">
        <v>5022</v>
      </c>
      <c r="O12" s="58">
        <v>49428</v>
      </c>
      <c r="P12" s="56" t="s">
        <v>4</v>
      </c>
      <c r="Q12" s="74" t="s">
        <v>5023</v>
      </c>
      <c r="R12" s="270">
        <v>45913</v>
      </c>
      <c r="S12" s="270">
        <v>45918</v>
      </c>
      <c r="T12" s="51">
        <f t="shared" si="0"/>
        <v>5</v>
      </c>
      <c r="U12" s="56">
        <v>1</v>
      </c>
      <c r="V12" s="56">
        <v>1</v>
      </c>
      <c r="W12" s="56">
        <v>0</v>
      </c>
      <c r="X12" s="56">
        <v>1</v>
      </c>
      <c r="Y12" s="56">
        <v>0</v>
      </c>
      <c r="Z12" s="56">
        <v>1</v>
      </c>
      <c r="AA12" s="56">
        <v>0</v>
      </c>
      <c r="AB12" s="56"/>
      <c r="AC12" s="58">
        <v>45913</v>
      </c>
      <c r="AD12" s="59">
        <v>0.27083333333575865</v>
      </c>
      <c r="AE12" s="56" t="s">
        <v>5024</v>
      </c>
      <c r="AF12" s="58">
        <v>45918</v>
      </c>
      <c r="AG12" s="59">
        <v>0.88194444444525288</v>
      </c>
      <c r="AH12" s="56" t="s">
        <v>5025</v>
      </c>
      <c r="AI12" s="56" t="s">
        <v>5015</v>
      </c>
      <c r="AJ12" s="56" t="s">
        <v>64</v>
      </c>
      <c r="AK12" s="56" t="s">
        <v>64</v>
      </c>
      <c r="AL12" s="56" t="s">
        <v>5016</v>
      </c>
      <c r="AM12" s="56" t="s">
        <v>65</v>
      </c>
      <c r="AN12" s="60" t="s">
        <v>5026</v>
      </c>
      <c r="AO12" s="60"/>
      <c r="AP12" s="61"/>
    </row>
    <row r="13" spans="1:51" ht="14.25" customHeight="1">
      <c r="C13" s="55" t="str">
        <f>IF($X13=1,COUNTIF($C$10:C12,"&gt;0")+1,"")</f>
        <v/>
      </c>
      <c r="D13" s="56">
        <v>70124284</v>
      </c>
      <c r="E13" s="56" t="s">
        <v>5007</v>
      </c>
      <c r="F13" s="57" t="s">
        <v>5027</v>
      </c>
      <c r="G13" s="56" t="s">
        <v>5020</v>
      </c>
      <c r="H13" s="56" t="s">
        <v>5028</v>
      </c>
      <c r="I13" s="56" t="s">
        <v>1905</v>
      </c>
      <c r="J13" s="56" t="s">
        <v>68</v>
      </c>
      <c r="K13" s="56" t="s">
        <v>59</v>
      </c>
      <c r="L13" s="58">
        <v>29202</v>
      </c>
      <c r="M13" s="56">
        <v>45</v>
      </c>
      <c r="N13" s="56" t="s">
        <v>5029</v>
      </c>
      <c r="O13" s="58">
        <v>46325</v>
      </c>
      <c r="P13" s="56" t="s">
        <v>4</v>
      </c>
      <c r="Q13" s="74"/>
      <c r="R13" s="270">
        <v>45913</v>
      </c>
      <c r="S13" s="270">
        <v>45918</v>
      </c>
      <c r="T13" s="51">
        <f t="shared" si="0"/>
        <v>5</v>
      </c>
      <c r="U13" s="56">
        <v>1</v>
      </c>
      <c r="V13" s="56">
        <v>1</v>
      </c>
      <c r="W13" s="56">
        <v>0</v>
      </c>
      <c r="X13" s="56">
        <v>0</v>
      </c>
      <c r="Y13" s="56">
        <v>0</v>
      </c>
      <c r="Z13" s="56">
        <v>0</v>
      </c>
      <c r="AA13" s="56">
        <v>0</v>
      </c>
      <c r="AB13" s="56"/>
      <c r="AC13" s="58">
        <v>45913</v>
      </c>
      <c r="AD13" s="59">
        <v>0.27083333333575865</v>
      </c>
      <c r="AE13" s="56" t="s">
        <v>5024</v>
      </c>
      <c r="AF13" s="58">
        <v>45918</v>
      </c>
      <c r="AG13" s="59">
        <v>0.88194444444525288</v>
      </c>
      <c r="AH13" s="56" t="s">
        <v>5025</v>
      </c>
      <c r="AI13" s="56" t="s">
        <v>5015</v>
      </c>
      <c r="AJ13" s="56" t="s">
        <v>64</v>
      </c>
      <c r="AK13" s="56" t="s">
        <v>64</v>
      </c>
      <c r="AL13" s="56" t="s">
        <v>5016</v>
      </c>
      <c r="AM13" s="56" t="s">
        <v>65</v>
      </c>
      <c r="AN13" s="60" t="s">
        <v>5026</v>
      </c>
      <c r="AO13" s="60"/>
      <c r="AP13" s="61"/>
    </row>
    <row r="14" spans="1:51" ht="14.25" customHeight="1">
      <c r="C14" s="55">
        <f>IF($X14=1,COUNTIF($C$10:C13,"&gt;0")+1,"")</f>
        <v>3</v>
      </c>
      <c r="D14" s="56">
        <v>70124311</v>
      </c>
      <c r="E14" s="56" t="s">
        <v>5007</v>
      </c>
      <c r="F14" s="57" t="s">
        <v>5030</v>
      </c>
      <c r="G14" s="56" t="s">
        <v>5030</v>
      </c>
      <c r="H14" s="56" t="s">
        <v>5031</v>
      </c>
      <c r="I14" s="56" t="s">
        <v>5032</v>
      </c>
      <c r="J14" s="56" t="s">
        <v>68</v>
      </c>
      <c r="K14" s="56" t="s">
        <v>59</v>
      </c>
      <c r="L14" s="58">
        <v>27097</v>
      </c>
      <c r="M14" s="56">
        <v>51</v>
      </c>
      <c r="N14" s="56" t="s">
        <v>5033</v>
      </c>
      <c r="O14" s="58">
        <v>49435</v>
      </c>
      <c r="P14" s="56" t="s">
        <v>4</v>
      </c>
      <c r="Q14" s="56"/>
      <c r="R14" s="270">
        <v>45913</v>
      </c>
      <c r="S14" s="270">
        <v>45918</v>
      </c>
      <c r="T14" s="51">
        <f t="shared" si="0"/>
        <v>5</v>
      </c>
      <c r="U14" s="56">
        <v>1</v>
      </c>
      <c r="V14" s="56">
        <v>1</v>
      </c>
      <c r="W14" s="56">
        <v>0</v>
      </c>
      <c r="X14" s="56">
        <v>1</v>
      </c>
      <c r="Y14" s="56">
        <v>0</v>
      </c>
      <c r="Z14" s="56">
        <v>1</v>
      </c>
      <c r="AA14" s="56">
        <v>0</v>
      </c>
      <c r="AB14" s="56"/>
      <c r="AC14" s="58">
        <v>45913</v>
      </c>
      <c r="AD14" s="59">
        <v>0.58680555555474712</v>
      </c>
      <c r="AE14" s="56" t="s">
        <v>61</v>
      </c>
      <c r="AF14" s="58">
        <v>45921</v>
      </c>
      <c r="AG14" s="59">
        <v>0.83680555555474712</v>
      </c>
      <c r="AH14" s="56" t="s">
        <v>962</v>
      </c>
      <c r="AI14" s="56" t="s">
        <v>5015</v>
      </c>
      <c r="AJ14" s="56" t="s">
        <v>64</v>
      </c>
      <c r="AK14" s="56" t="s">
        <v>64</v>
      </c>
      <c r="AL14" s="56" t="s">
        <v>5016</v>
      </c>
      <c r="AM14" s="56" t="s">
        <v>65</v>
      </c>
      <c r="AN14" s="60" t="s">
        <v>5026</v>
      </c>
      <c r="AO14" s="60"/>
      <c r="AP14" s="61"/>
    </row>
    <row r="15" spans="1:51" ht="14.25" customHeight="1">
      <c r="C15" s="55" t="str">
        <f>IF($X15=1,COUNTIF($C$10:C14,"&gt;0")+1,"")</f>
        <v/>
      </c>
      <c r="D15" s="56">
        <v>70124311</v>
      </c>
      <c r="E15" s="56" t="s">
        <v>5007</v>
      </c>
      <c r="F15" s="57" t="s">
        <v>5034</v>
      </c>
      <c r="G15" s="56" t="s">
        <v>5030</v>
      </c>
      <c r="H15" s="56" t="s">
        <v>5035</v>
      </c>
      <c r="I15" s="56" t="s">
        <v>5032</v>
      </c>
      <c r="J15" s="56" t="s">
        <v>58</v>
      </c>
      <c r="K15" s="56" t="s">
        <v>59</v>
      </c>
      <c r="L15" s="58">
        <v>24287</v>
      </c>
      <c r="M15" s="56">
        <v>59</v>
      </c>
      <c r="N15" s="56" t="s">
        <v>5036</v>
      </c>
      <c r="O15" s="58">
        <v>46776</v>
      </c>
      <c r="P15" s="56" t="s">
        <v>4</v>
      </c>
      <c r="Q15" s="56"/>
      <c r="R15" s="270">
        <v>45913</v>
      </c>
      <c r="S15" s="270">
        <v>45918</v>
      </c>
      <c r="T15" s="51">
        <f t="shared" si="0"/>
        <v>5</v>
      </c>
      <c r="U15" s="56">
        <v>1</v>
      </c>
      <c r="V15" s="56">
        <v>1</v>
      </c>
      <c r="W15" s="56">
        <v>0</v>
      </c>
      <c r="X15" s="56">
        <v>0</v>
      </c>
      <c r="Y15" s="56">
        <v>0</v>
      </c>
      <c r="Z15" s="56">
        <v>0</v>
      </c>
      <c r="AA15" s="56">
        <v>0</v>
      </c>
      <c r="AB15" s="56"/>
      <c r="AC15" s="58">
        <v>45913</v>
      </c>
      <c r="AD15" s="59">
        <v>0.58680555555474712</v>
      </c>
      <c r="AE15" s="56" t="s">
        <v>61</v>
      </c>
      <c r="AF15" s="58">
        <v>45921</v>
      </c>
      <c r="AG15" s="59">
        <v>0.83680555555474712</v>
      </c>
      <c r="AH15" s="56" t="s">
        <v>962</v>
      </c>
      <c r="AI15" s="56" t="s">
        <v>5015</v>
      </c>
      <c r="AJ15" s="56" t="s">
        <v>64</v>
      </c>
      <c r="AK15" s="56" t="s">
        <v>64</v>
      </c>
      <c r="AL15" s="56" t="s">
        <v>5016</v>
      </c>
      <c r="AM15" s="56" t="s">
        <v>65</v>
      </c>
      <c r="AN15" s="60" t="s">
        <v>5026</v>
      </c>
      <c r="AO15" s="60"/>
      <c r="AP15" s="61"/>
    </row>
    <row r="16" spans="1:51" ht="14.25" customHeight="1">
      <c r="C16" s="55">
        <f>IF($X16=1,COUNTIF($C$10:C15,"&gt;0")+1,"")</f>
        <v>4</v>
      </c>
      <c r="D16" s="56">
        <v>70054413</v>
      </c>
      <c r="E16" s="56" t="s">
        <v>5007</v>
      </c>
      <c r="F16" s="57" t="s">
        <v>5037</v>
      </c>
      <c r="G16" s="56" t="s">
        <v>5030</v>
      </c>
      <c r="H16" s="56" t="s">
        <v>5038</v>
      </c>
      <c r="I16" s="56" t="s">
        <v>5032</v>
      </c>
      <c r="J16" s="56" t="s">
        <v>58</v>
      </c>
      <c r="K16" s="56" t="s">
        <v>59</v>
      </c>
      <c r="L16" s="58">
        <v>37648</v>
      </c>
      <c r="M16" s="56">
        <v>22</v>
      </c>
      <c r="N16" s="56" t="s">
        <v>5039</v>
      </c>
      <c r="O16" s="58">
        <v>49106</v>
      </c>
      <c r="P16" s="56" t="s">
        <v>3</v>
      </c>
      <c r="Q16" s="56"/>
      <c r="R16" s="270">
        <v>45913</v>
      </c>
      <c r="S16" s="270">
        <v>45918</v>
      </c>
      <c r="T16" s="51">
        <f t="shared" si="0"/>
        <v>5</v>
      </c>
      <c r="U16" s="56">
        <v>1</v>
      </c>
      <c r="V16" s="56">
        <v>1</v>
      </c>
      <c r="W16" s="56">
        <v>0</v>
      </c>
      <c r="X16" s="56">
        <v>1</v>
      </c>
      <c r="Y16" s="56">
        <v>1</v>
      </c>
      <c r="Z16" s="56">
        <v>0</v>
      </c>
      <c r="AA16" s="56">
        <v>0</v>
      </c>
      <c r="AB16" s="56"/>
      <c r="AC16" s="58">
        <v>45913</v>
      </c>
      <c r="AD16" s="59">
        <v>0.58680555555474712</v>
      </c>
      <c r="AE16" s="56" t="s">
        <v>61</v>
      </c>
      <c r="AF16" s="58">
        <v>45921</v>
      </c>
      <c r="AG16" s="59">
        <v>0.83680555555474712</v>
      </c>
      <c r="AH16" s="56" t="s">
        <v>962</v>
      </c>
      <c r="AI16" s="56" t="s">
        <v>5015</v>
      </c>
      <c r="AJ16" s="56" t="s">
        <v>64</v>
      </c>
      <c r="AK16" s="56" t="s">
        <v>64</v>
      </c>
      <c r="AL16" s="56" t="s">
        <v>5016</v>
      </c>
      <c r="AM16" s="56" t="s">
        <v>65</v>
      </c>
      <c r="AN16" s="60" t="s">
        <v>5040</v>
      </c>
      <c r="AO16" s="60"/>
      <c r="AP16" s="61"/>
    </row>
    <row r="17" spans="3:43" ht="14.25" customHeight="1">
      <c r="C17" s="55" t="str">
        <f>IF($X17=1,COUNTIF($C$10:C16,"&gt;0")+1,"")</f>
        <v/>
      </c>
      <c r="D17" s="56">
        <v>70054413</v>
      </c>
      <c r="E17" s="56" t="s">
        <v>5007</v>
      </c>
      <c r="F17" s="57" t="s">
        <v>5041</v>
      </c>
      <c r="G17" s="56" t="s">
        <v>5030</v>
      </c>
      <c r="H17" s="56" t="s">
        <v>5042</v>
      </c>
      <c r="I17" s="56" t="s">
        <v>5032</v>
      </c>
      <c r="J17" s="56" t="s">
        <v>58</v>
      </c>
      <c r="K17" s="56" t="s">
        <v>59</v>
      </c>
      <c r="L17" s="58">
        <v>41605</v>
      </c>
      <c r="M17" s="56">
        <v>11</v>
      </c>
      <c r="N17" s="56" t="s">
        <v>5043</v>
      </c>
      <c r="O17" s="58">
        <v>47280</v>
      </c>
      <c r="P17" s="56" t="s">
        <v>3</v>
      </c>
      <c r="Q17" s="56"/>
      <c r="R17" s="270">
        <v>45913</v>
      </c>
      <c r="S17" s="270">
        <v>45918</v>
      </c>
      <c r="T17" s="51">
        <f t="shared" si="0"/>
        <v>5</v>
      </c>
      <c r="U17" s="56">
        <v>1</v>
      </c>
      <c r="V17" s="56">
        <v>0</v>
      </c>
      <c r="W17" s="56">
        <v>1</v>
      </c>
      <c r="X17" s="56">
        <v>0</v>
      </c>
      <c r="Y17" s="56">
        <v>0</v>
      </c>
      <c r="Z17" s="56">
        <v>0</v>
      </c>
      <c r="AA17" s="56">
        <v>0</v>
      </c>
      <c r="AB17" s="56"/>
      <c r="AC17" s="58">
        <v>45913</v>
      </c>
      <c r="AD17" s="59">
        <v>0.58680555555474712</v>
      </c>
      <c r="AE17" s="56" t="s">
        <v>61</v>
      </c>
      <c r="AF17" s="58">
        <v>45921</v>
      </c>
      <c r="AG17" s="59">
        <v>0.83680555555474712</v>
      </c>
      <c r="AH17" s="56" t="s">
        <v>962</v>
      </c>
      <c r="AI17" s="56" t="s">
        <v>5015</v>
      </c>
      <c r="AJ17" s="56" t="s">
        <v>64</v>
      </c>
      <c r="AK17" s="56" t="s">
        <v>64</v>
      </c>
      <c r="AL17" s="56" t="s">
        <v>5016</v>
      </c>
      <c r="AM17" s="56" t="s">
        <v>65</v>
      </c>
      <c r="AN17" s="60" t="s">
        <v>5040</v>
      </c>
      <c r="AO17" s="60"/>
      <c r="AP17" s="61"/>
    </row>
    <row r="18" spans="3:43" ht="14.25" customHeight="1">
      <c r="C18" s="55">
        <f>IF($X18=1,COUNTIF($C$10:C17,"&gt;0")+1,"")</f>
        <v>5</v>
      </c>
      <c r="D18" s="56">
        <v>70124361</v>
      </c>
      <c r="E18" s="56" t="s">
        <v>5007</v>
      </c>
      <c r="F18" s="57" t="s">
        <v>5044</v>
      </c>
      <c r="G18" s="56" t="s">
        <v>5044</v>
      </c>
      <c r="H18" s="56" t="s">
        <v>5045</v>
      </c>
      <c r="I18" s="56" t="s">
        <v>5046</v>
      </c>
      <c r="J18" s="56" t="s">
        <v>68</v>
      </c>
      <c r="K18" s="56" t="s">
        <v>59</v>
      </c>
      <c r="L18" s="58">
        <v>22641</v>
      </c>
      <c r="M18" s="56">
        <v>63</v>
      </c>
      <c r="N18" s="56" t="s">
        <v>5047</v>
      </c>
      <c r="O18" s="58">
        <v>46354</v>
      </c>
      <c r="P18" s="56" t="s">
        <v>4</v>
      </c>
      <c r="Q18" s="56"/>
      <c r="R18" s="270">
        <v>45913</v>
      </c>
      <c r="S18" s="270">
        <v>45918</v>
      </c>
      <c r="T18" s="51">
        <f t="shared" si="0"/>
        <v>5</v>
      </c>
      <c r="U18" s="56">
        <v>1</v>
      </c>
      <c r="V18" s="56">
        <v>1</v>
      </c>
      <c r="W18" s="56">
        <v>0</v>
      </c>
      <c r="X18" s="56">
        <v>1</v>
      </c>
      <c r="Y18" s="56">
        <v>0</v>
      </c>
      <c r="Z18" s="56">
        <v>1</v>
      </c>
      <c r="AA18" s="56">
        <v>0</v>
      </c>
      <c r="AB18" s="56"/>
      <c r="AC18" s="58">
        <v>45913</v>
      </c>
      <c r="AD18" s="59">
        <v>0.58680555555474712</v>
      </c>
      <c r="AE18" s="56" t="s">
        <v>61</v>
      </c>
      <c r="AF18" s="58">
        <v>45921</v>
      </c>
      <c r="AG18" s="59">
        <v>0.83680555555474712</v>
      </c>
      <c r="AH18" s="56" t="s">
        <v>962</v>
      </c>
      <c r="AI18" s="56" t="s">
        <v>5015</v>
      </c>
      <c r="AJ18" s="56" t="s">
        <v>64</v>
      </c>
      <c r="AK18" s="56" t="s">
        <v>64</v>
      </c>
      <c r="AL18" s="56" t="s">
        <v>5016</v>
      </c>
      <c r="AM18" s="56" t="s">
        <v>65</v>
      </c>
      <c r="AN18" s="60"/>
      <c r="AO18" s="60"/>
      <c r="AP18" s="61"/>
    </row>
    <row r="19" spans="3:43" ht="14.25" customHeight="1">
      <c r="C19" s="55" t="str">
        <f>IF($X19=1,COUNTIF($C$10:C18,"&gt;0")+1,"")</f>
        <v/>
      </c>
      <c r="D19" s="56">
        <v>70124361</v>
      </c>
      <c r="E19" s="56" t="s">
        <v>5007</v>
      </c>
      <c r="F19" s="57" t="s">
        <v>5048</v>
      </c>
      <c r="G19" s="56" t="s">
        <v>5044</v>
      </c>
      <c r="H19" s="56" t="s">
        <v>5049</v>
      </c>
      <c r="I19" s="56" t="s">
        <v>281</v>
      </c>
      <c r="J19" s="56" t="s">
        <v>68</v>
      </c>
      <c r="K19" s="56" t="s">
        <v>180</v>
      </c>
      <c r="L19" s="58">
        <v>21211</v>
      </c>
      <c r="M19" s="56">
        <v>67</v>
      </c>
      <c r="N19" s="56" t="s">
        <v>5050</v>
      </c>
      <c r="O19" s="58">
        <v>48596</v>
      </c>
      <c r="P19" s="56" t="s">
        <v>4</v>
      </c>
      <c r="Q19" s="56"/>
      <c r="R19" s="270">
        <v>45913</v>
      </c>
      <c r="S19" s="270">
        <v>45918</v>
      </c>
      <c r="T19" s="51">
        <f t="shared" si="0"/>
        <v>5</v>
      </c>
      <c r="U19" s="56">
        <v>1</v>
      </c>
      <c r="V19" s="56">
        <v>1</v>
      </c>
      <c r="W19" s="56">
        <v>0</v>
      </c>
      <c r="X19" s="56">
        <v>0</v>
      </c>
      <c r="Y19" s="56">
        <v>0</v>
      </c>
      <c r="Z19" s="56">
        <v>0</v>
      </c>
      <c r="AA19" s="56">
        <v>0</v>
      </c>
      <c r="AB19" s="56"/>
      <c r="AC19" s="58">
        <v>45913</v>
      </c>
      <c r="AD19" s="59">
        <v>0.58680555555474712</v>
      </c>
      <c r="AE19" s="56" t="s">
        <v>61</v>
      </c>
      <c r="AF19" s="58">
        <v>45921</v>
      </c>
      <c r="AG19" s="59">
        <v>0.83680555555474712</v>
      </c>
      <c r="AH19" s="56" t="s">
        <v>962</v>
      </c>
      <c r="AI19" s="56" t="s">
        <v>5015</v>
      </c>
      <c r="AJ19" s="56" t="s">
        <v>64</v>
      </c>
      <c r="AK19" s="56" t="s">
        <v>64</v>
      </c>
      <c r="AL19" s="56" t="s">
        <v>5016</v>
      </c>
      <c r="AM19" s="56" t="s">
        <v>65</v>
      </c>
      <c r="AN19" s="60"/>
      <c r="AO19" s="60"/>
      <c r="AP19" s="61"/>
    </row>
    <row r="20" spans="3:43" ht="14.25" customHeight="1">
      <c r="C20" s="55">
        <f>IF($X20=1,COUNTIF($C$10:C19,"&gt;0")+1,"")</f>
        <v>6</v>
      </c>
      <c r="D20" s="56">
        <v>70054426</v>
      </c>
      <c r="E20" s="56" t="s">
        <v>5007</v>
      </c>
      <c r="F20" s="57" t="s">
        <v>5051</v>
      </c>
      <c r="G20" s="56" t="s">
        <v>5051</v>
      </c>
      <c r="H20" s="56" t="s">
        <v>5052</v>
      </c>
      <c r="I20" s="56" t="s">
        <v>1260</v>
      </c>
      <c r="J20" s="56" t="s">
        <v>68</v>
      </c>
      <c r="K20" s="56" t="s">
        <v>59</v>
      </c>
      <c r="L20" s="58">
        <v>24743</v>
      </c>
      <c r="M20" s="56">
        <v>57</v>
      </c>
      <c r="N20" s="56" t="s">
        <v>5053</v>
      </c>
      <c r="O20" s="58">
        <v>46754</v>
      </c>
      <c r="P20" s="56" t="s">
        <v>3</v>
      </c>
      <c r="Q20" s="56"/>
      <c r="R20" s="270">
        <v>45913</v>
      </c>
      <c r="S20" s="270">
        <v>45918</v>
      </c>
      <c r="T20" s="51">
        <f t="shared" si="0"/>
        <v>5</v>
      </c>
      <c r="U20" s="56">
        <v>1</v>
      </c>
      <c r="V20" s="56">
        <v>1</v>
      </c>
      <c r="W20" s="56">
        <v>0</v>
      </c>
      <c r="X20" s="56">
        <v>1</v>
      </c>
      <c r="Y20" s="56">
        <v>1</v>
      </c>
      <c r="Z20" s="56">
        <v>0</v>
      </c>
      <c r="AA20" s="56">
        <v>0</v>
      </c>
      <c r="AB20" s="56"/>
      <c r="AC20" s="58">
        <v>45913</v>
      </c>
      <c r="AD20" s="59">
        <v>0.58680555555474712</v>
      </c>
      <c r="AE20" s="56" t="s">
        <v>61</v>
      </c>
      <c r="AF20" s="58">
        <v>45921</v>
      </c>
      <c r="AG20" s="59">
        <v>0.83680555555474712</v>
      </c>
      <c r="AH20" s="56" t="s">
        <v>962</v>
      </c>
      <c r="AI20" s="56" t="s">
        <v>5015</v>
      </c>
      <c r="AJ20" s="56" t="s">
        <v>64</v>
      </c>
      <c r="AK20" s="56"/>
      <c r="AL20" s="56" t="s">
        <v>5016</v>
      </c>
      <c r="AM20" s="56" t="s">
        <v>65</v>
      </c>
      <c r="AN20" s="60" t="s">
        <v>5040</v>
      </c>
      <c r="AO20" s="60"/>
      <c r="AP20" s="61"/>
    </row>
    <row r="21" spans="3:43" ht="14.25" customHeight="1">
      <c r="C21" s="55">
        <f>IF($X21=1,COUNTIF($C$10:C20,"&gt;0")+1,"")</f>
        <v>7</v>
      </c>
      <c r="D21" s="56">
        <v>70273382</v>
      </c>
      <c r="E21" s="56" t="s">
        <v>5007</v>
      </c>
      <c r="F21" s="57" t="s">
        <v>5054</v>
      </c>
      <c r="G21" s="56" t="s">
        <v>5054</v>
      </c>
      <c r="H21" s="56" t="s">
        <v>1908</v>
      </c>
      <c r="I21" s="56" t="s">
        <v>5055</v>
      </c>
      <c r="J21" s="56" t="s">
        <v>68</v>
      </c>
      <c r="K21" s="56" t="s">
        <v>59</v>
      </c>
      <c r="L21" s="58">
        <v>25724</v>
      </c>
      <c r="M21" s="56">
        <v>55</v>
      </c>
      <c r="N21" s="56" t="s">
        <v>5056</v>
      </c>
      <c r="O21" s="58">
        <v>47210</v>
      </c>
      <c r="P21" s="56" t="s">
        <v>5</v>
      </c>
      <c r="Q21" s="56"/>
      <c r="R21" s="270">
        <v>45913</v>
      </c>
      <c r="S21" s="270">
        <v>45918</v>
      </c>
      <c r="T21" s="51">
        <f t="shared" si="0"/>
        <v>5</v>
      </c>
      <c r="U21" s="56">
        <v>1</v>
      </c>
      <c r="V21" s="56">
        <v>1</v>
      </c>
      <c r="W21" s="56">
        <v>0</v>
      </c>
      <c r="X21" s="56">
        <v>1</v>
      </c>
      <c r="Y21" s="56">
        <v>0</v>
      </c>
      <c r="Z21" s="56">
        <v>0</v>
      </c>
      <c r="AA21" s="56">
        <v>1</v>
      </c>
      <c r="AB21" s="56"/>
      <c r="AC21" s="58">
        <v>45913</v>
      </c>
      <c r="AD21" s="59">
        <v>0.63888888889050577</v>
      </c>
      <c r="AE21" s="56" t="s">
        <v>84</v>
      </c>
      <c r="AF21" s="58">
        <v>45918</v>
      </c>
      <c r="AG21" s="59">
        <v>0.80555555555474712</v>
      </c>
      <c r="AH21" s="56" t="s">
        <v>117</v>
      </c>
      <c r="AI21" s="56" t="s">
        <v>5015</v>
      </c>
      <c r="AJ21" s="56" t="s">
        <v>64</v>
      </c>
      <c r="AK21" s="56" t="s">
        <v>64</v>
      </c>
      <c r="AL21" s="56" t="s">
        <v>5016</v>
      </c>
      <c r="AM21" s="56" t="s">
        <v>65</v>
      </c>
      <c r="AN21" s="60"/>
      <c r="AO21" s="60"/>
      <c r="AP21" s="61"/>
    </row>
    <row r="22" spans="3:43" ht="14.25" customHeight="1">
      <c r="C22" s="55" t="str">
        <f>IF($X22=1,COUNTIF($C$10:C21,"&gt;0")+1,"")</f>
        <v/>
      </c>
      <c r="D22" s="56">
        <v>70273382</v>
      </c>
      <c r="E22" s="56" t="s">
        <v>5007</v>
      </c>
      <c r="F22" s="57" t="s">
        <v>5057</v>
      </c>
      <c r="G22" s="56" t="s">
        <v>5054</v>
      </c>
      <c r="H22" s="56" t="s">
        <v>5058</v>
      </c>
      <c r="I22" s="56" t="s">
        <v>5055</v>
      </c>
      <c r="J22" s="56" t="s">
        <v>58</v>
      </c>
      <c r="K22" s="56" t="s">
        <v>59</v>
      </c>
      <c r="L22" s="58">
        <v>39060</v>
      </c>
      <c r="M22" s="56">
        <v>18</v>
      </c>
      <c r="N22" s="56" t="s">
        <v>5059</v>
      </c>
      <c r="O22" s="58">
        <v>46223</v>
      </c>
      <c r="P22" s="56" t="s">
        <v>5</v>
      </c>
      <c r="Q22" s="56"/>
      <c r="R22" s="270">
        <v>45913</v>
      </c>
      <c r="S22" s="270">
        <v>45918</v>
      </c>
      <c r="T22" s="51">
        <f t="shared" si="0"/>
        <v>5</v>
      </c>
      <c r="U22" s="56">
        <v>1</v>
      </c>
      <c r="V22" s="56">
        <v>1</v>
      </c>
      <c r="W22" s="56">
        <v>0</v>
      </c>
      <c r="X22" s="56">
        <v>0</v>
      </c>
      <c r="Y22" s="56">
        <v>0</v>
      </c>
      <c r="Z22" s="56">
        <v>0</v>
      </c>
      <c r="AA22" s="56">
        <v>0</v>
      </c>
      <c r="AB22" s="56"/>
      <c r="AC22" s="58">
        <v>45913</v>
      </c>
      <c r="AD22" s="59">
        <v>0.63888888889050577</v>
      </c>
      <c r="AE22" s="56" t="s">
        <v>84</v>
      </c>
      <c r="AF22" s="58">
        <v>45918</v>
      </c>
      <c r="AG22" s="59">
        <v>0.80555555555474712</v>
      </c>
      <c r="AH22" s="56" t="s">
        <v>117</v>
      </c>
      <c r="AI22" s="56" t="s">
        <v>5015</v>
      </c>
      <c r="AJ22" s="56" t="s">
        <v>64</v>
      </c>
      <c r="AK22" s="56" t="s">
        <v>64</v>
      </c>
      <c r="AL22" s="56" t="s">
        <v>5016</v>
      </c>
      <c r="AM22" s="56" t="s">
        <v>65</v>
      </c>
      <c r="AN22" s="60"/>
      <c r="AO22" s="60"/>
      <c r="AP22" s="61"/>
    </row>
    <row r="23" spans="3:43" ht="14.25" customHeight="1">
      <c r="C23" s="55">
        <f>IF($X23=1,COUNTIF($C$10:C22,"&gt;0")+1,"")</f>
        <v>8</v>
      </c>
      <c r="D23" s="56">
        <v>70503750</v>
      </c>
      <c r="E23" s="56" t="s">
        <v>5007</v>
      </c>
      <c r="F23" s="57" t="s">
        <v>5060</v>
      </c>
      <c r="G23" s="56" t="s">
        <v>5060</v>
      </c>
      <c r="H23" s="56" t="s">
        <v>5061</v>
      </c>
      <c r="I23" s="56" t="s">
        <v>5062</v>
      </c>
      <c r="J23" s="56" t="s">
        <v>68</v>
      </c>
      <c r="K23" s="56" t="s">
        <v>59</v>
      </c>
      <c r="L23" s="58">
        <v>27221</v>
      </c>
      <c r="M23" s="56">
        <v>51</v>
      </c>
      <c r="N23" s="56" t="s">
        <v>5063</v>
      </c>
      <c r="O23" s="58">
        <v>48421</v>
      </c>
      <c r="P23" s="56" t="s">
        <v>4</v>
      </c>
      <c r="Q23" s="56"/>
      <c r="R23" s="270">
        <v>45913</v>
      </c>
      <c r="S23" s="270">
        <v>45918</v>
      </c>
      <c r="T23" s="51">
        <f t="shared" si="0"/>
        <v>5</v>
      </c>
      <c r="U23" s="56">
        <v>1</v>
      </c>
      <c r="V23" s="56">
        <v>1</v>
      </c>
      <c r="W23" s="56">
        <v>0</v>
      </c>
      <c r="X23" s="56">
        <v>1</v>
      </c>
      <c r="Y23" s="56">
        <v>0</v>
      </c>
      <c r="Z23" s="56">
        <v>1</v>
      </c>
      <c r="AA23" s="56">
        <v>0</v>
      </c>
      <c r="AB23" s="56"/>
      <c r="AC23" s="58">
        <v>45913</v>
      </c>
      <c r="AD23" s="59">
        <v>0.6875</v>
      </c>
      <c r="AE23" s="56" t="s">
        <v>116</v>
      </c>
      <c r="AF23" s="58">
        <v>45918</v>
      </c>
      <c r="AG23" s="59">
        <v>0.58680555555474712</v>
      </c>
      <c r="AH23" s="56" t="s">
        <v>255</v>
      </c>
      <c r="AI23" s="56" t="s">
        <v>5015</v>
      </c>
      <c r="AJ23" s="56" t="s">
        <v>64</v>
      </c>
      <c r="AK23" s="56" t="s">
        <v>64</v>
      </c>
      <c r="AL23" s="56" t="s">
        <v>5016</v>
      </c>
      <c r="AM23" s="56" t="s">
        <v>65</v>
      </c>
      <c r="AN23" s="60" t="s">
        <v>5017</v>
      </c>
      <c r="AO23" s="60"/>
      <c r="AP23" s="61"/>
      <c r="AQ23" s="271" t="s">
        <v>5064</v>
      </c>
    </row>
    <row r="24" spans="3:43" ht="14.25" customHeight="1">
      <c r="C24" s="55" t="str">
        <f>IF($X24=1,COUNTIF($C$10:C23,"&gt;0")+1,"")</f>
        <v/>
      </c>
      <c r="D24" s="56">
        <v>70503750</v>
      </c>
      <c r="E24" s="56" t="s">
        <v>5007</v>
      </c>
      <c r="F24" s="57" t="s">
        <v>5065</v>
      </c>
      <c r="G24" s="56" t="s">
        <v>5060</v>
      </c>
      <c r="H24" s="56" t="s">
        <v>5066</v>
      </c>
      <c r="I24" s="56" t="s">
        <v>5067</v>
      </c>
      <c r="J24" s="56" t="s">
        <v>68</v>
      </c>
      <c r="K24" s="56" t="s">
        <v>59</v>
      </c>
      <c r="L24" s="58">
        <v>26971</v>
      </c>
      <c r="M24" s="56">
        <v>51</v>
      </c>
      <c r="N24" s="56" t="s">
        <v>5068</v>
      </c>
      <c r="O24" s="58">
        <v>47414</v>
      </c>
      <c r="P24" s="56" t="s">
        <v>4</v>
      </c>
      <c r="Q24" s="56"/>
      <c r="R24" s="270">
        <v>45913</v>
      </c>
      <c r="S24" s="270">
        <v>45918</v>
      </c>
      <c r="T24" s="51">
        <f t="shared" si="0"/>
        <v>5</v>
      </c>
      <c r="U24" s="56">
        <v>1</v>
      </c>
      <c r="V24" s="56">
        <v>1</v>
      </c>
      <c r="W24" s="56">
        <v>0</v>
      </c>
      <c r="X24" s="56">
        <v>0</v>
      </c>
      <c r="Y24" s="56">
        <v>0</v>
      </c>
      <c r="Z24" s="56">
        <v>0</v>
      </c>
      <c r="AA24" s="56">
        <v>0</v>
      </c>
      <c r="AB24" s="56"/>
      <c r="AC24" s="58">
        <v>45913</v>
      </c>
      <c r="AD24" s="59">
        <v>0.6875</v>
      </c>
      <c r="AE24" s="56" t="s">
        <v>116</v>
      </c>
      <c r="AF24" s="58">
        <v>45918</v>
      </c>
      <c r="AG24" s="59">
        <v>0.58680555555474712</v>
      </c>
      <c r="AH24" s="56" t="s">
        <v>255</v>
      </c>
      <c r="AI24" s="56" t="s">
        <v>5015</v>
      </c>
      <c r="AJ24" s="56" t="s">
        <v>64</v>
      </c>
      <c r="AK24" s="56" t="s">
        <v>64</v>
      </c>
      <c r="AL24" s="56" t="s">
        <v>5016</v>
      </c>
      <c r="AM24" s="56" t="s">
        <v>65</v>
      </c>
      <c r="AN24" s="60" t="s">
        <v>5017</v>
      </c>
      <c r="AO24" s="60"/>
      <c r="AP24" s="61"/>
      <c r="AQ24" s="271" t="s">
        <v>5064</v>
      </c>
    </row>
    <row r="25" spans="3:43" ht="14.25" customHeight="1">
      <c r="C25" s="55">
        <f>IF($X25=1,COUNTIF($C$10:C24,"&gt;0")+1,"")</f>
        <v>9</v>
      </c>
      <c r="D25" s="56">
        <v>70124352</v>
      </c>
      <c r="E25" s="56" t="s">
        <v>5007</v>
      </c>
      <c r="F25" s="57" t="s">
        <v>5069</v>
      </c>
      <c r="G25" s="56" t="s">
        <v>5069</v>
      </c>
      <c r="H25" s="56" t="s">
        <v>5070</v>
      </c>
      <c r="I25" s="56" t="s">
        <v>5071</v>
      </c>
      <c r="J25" s="56" t="s">
        <v>68</v>
      </c>
      <c r="K25" s="56" t="s">
        <v>59</v>
      </c>
      <c r="L25" s="58">
        <v>28594</v>
      </c>
      <c r="M25" s="56">
        <v>47</v>
      </c>
      <c r="N25" s="56" t="s">
        <v>5072</v>
      </c>
      <c r="O25" s="58">
        <v>46634</v>
      </c>
      <c r="P25" s="56" t="s">
        <v>4</v>
      </c>
      <c r="Q25" s="56"/>
      <c r="R25" s="270">
        <v>45913</v>
      </c>
      <c r="S25" s="270">
        <v>45918</v>
      </c>
      <c r="T25" s="51">
        <f t="shared" si="0"/>
        <v>5</v>
      </c>
      <c r="U25" s="56">
        <v>1</v>
      </c>
      <c r="V25" s="56">
        <v>1</v>
      </c>
      <c r="W25" s="56">
        <v>0</v>
      </c>
      <c r="X25" s="56">
        <v>1</v>
      </c>
      <c r="Y25" s="56">
        <v>0</v>
      </c>
      <c r="Z25" s="56">
        <v>1</v>
      </c>
      <c r="AA25" s="56">
        <v>0</v>
      </c>
      <c r="AB25" s="56"/>
      <c r="AC25" s="58">
        <v>45913</v>
      </c>
      <c r="AD25" s="59">
        <v>0.20138888889050577</v>
      </c>
      <c r="AE25" s="56" t="s">
        <v>5073</v>
      </c>
      <c r="AF25" s="58">
        <v>45918</v>
      </c>
      <c r="AG25" s="59">
        <v>0.86111111110949423</v>
      </c>
      <c r="AH25" s="56" t="s">
        <v>1292</v>
      </c>
      <c r="AI25" s="56" t="s">
        <v>5015</v>
      </c>
      <c r="AJ25" s="56" t="s">
        <v>64</v>
      </c>
      <c r="AK25" s="56" t="s">
        <v>64</v>
      </c>
      <c r="AL25" s="56" t="s">
        <v>5016</v>
      </c>
      <c r="AM25" s="56" t="s">
        <v>65</v>
      </c>
      <c r="AN25" s="60"/>
      <c r="AO25" s="60"/>
      <c r="AP25" s="61"/>
    </row>
    <row r="26" spans="3:43" ht="14.25" customHeight="1">
      <c r="C26" s="55" t="str">
        <f>IF($X26=1,COUNTIF($C$10:C25,"&gt;0")+1,"")</f>
        <v/>
      </c>
      <c r="D26" s="56">
        <v>70124352</v>
      </c>
      <c r="E26" s="56" t="s">
        <v>5007</v>
      </c>
      <c r="F26" s="57" t="s">
        <v>5074</v>
      </c>
      <c r="G26" s="56" t="s">
        <v>5069</v>
      </c>
      <c r="H26" s="56" t="s">
        <v>5075</v>
      </c>
      <c r="I26" s="56" t="s">
        <v>3730</v>
      </c>
      <c r="J26" s="56" t="s">
        <v>68</v>
      </c>
      <c r="K26" s="56" t="s">
        <v>59</v>
      </c>
      <c r="L26" s="58">
        <v>22790</v>
      </c>
      <c r="M26" s="56">
        <v>63</v>
      </c>
      <c r="N26" s="56" t="s">
        <v>5076</v>
      </c>
      <c r="O26" s="58">
        <v>47471</v>
      </c>
      <c r="P26" s="56" t="s">
        <v>4</v>
      </c>
      <c r="Q26" s="56"/>
      <c r="R26" s="270">
        <v>45913</v>
      </c>
      <c r="S26" s="270">
        <v>45918</v>
      </c>
      <c r="T26" s="51">
        <f t="shared" si="0"/>
        <v>5</v>
      </c>
      <c r="U26" s="56">
        <v>1</v>
      </c>
      <c r="V26" s="56">
        <v>1</v>
      </c>
      <c r="W26" s="56">
        <v>0</v>
      </c>
      <c r="X26" s="56">
        <v>0</v>
      </c>
      <c r="Y26" s="56">
        <v>0</v>
      </c>
      <c r="Z26" s="56">
        <v>0</v>
      </c>
      <c r="AA26" s="56">
        <v>0</v>
      </c>
      <c r="AB26" s="56"/>
      <c r="AC26" s="58">
        <v>45913</v>
      </c>
      <c r="AD26" s="59">
        <v>0.20138888889050577</v>
      </c>
      <c r="AE26" s="56" t="s">
        <v>5073</v>
      </c>
      <c r="AF26" s="58">
        <v>45918</v>
      </c>
      <c r="AG26" s="59">
        <v>0.86111111110949423</v>
      </c>
      <c r="AH26" s="56" t="s">
        <v>1292</v>
      </c>
      <c r="AI26" s="56" t="s">
        <v>5015</v>
      </c>
      <c r="AJ26" s="56" t="s">
        <v>64</v>
      </c>
      <c r="AK26" s="56" t="s">
        <v>64</v>
      </c>
      <c r="AL26" s="56" t="s">
        <v>5016</v>
      </c>
      <c r="AM26" s="56" t="s">
        <v>65</v>
      </c>
      <c r="AN26" s="60"/>
      <c r="AO26" s="60"/>
      <c r="AP26" s="61"/>
    </row>
    <row r="27" spans="3:43" ht="14.25" customHeight="1">
      <c r="C27" s="55">
        <f>IF($X27=1,COUNTIF($C$10:C26,"&gt;0")+1,"")</f>
        <v>10</v>
      </c>
      <c r="D27" s="56">
        <v>70273384</v>
      </c>
      <c r="E27" s="56" t="s">
        <v>5007</v>
      </c>
      <c r="F27" s="57" t="s">
        <v>5077</v>
      </c>
      <c r="G27" s="56" t="s">
        <v>5077</v>
      </c>
      <c r="H27" s="56" t="s">
        <v>5078</v>
      </c>
      <c r="I27" s="56" t="s">
        <v>5079</v>
      </c>
      <c r="J27" s="56" t="s">
        <v>68</v>
      </c>
      <c r="K27" s="56" t="s">
        <v>59</v>
      </c>
      <c r="L27" s="58">
        <v>22205</v>
      </c>
      <c r="M27" s="56">
        <v>64</v>
      </c>
      <c r="N27" s="56" t="s">
        <v>5080</v>
      </c>
      <c r="O27" s="58">
        <v>48757</v>
      </c>
      <c r="P27" s="56" t="s">
        <v>5</v>
      </c>
      <c r="Q27" s="56"/>
      <c r="R27" s="270">
        <v>45913</v>
      </c>
      <c r="S27" s="270">
        <v>45918</v>
      </c>
      <c r="T27" s="51">
        <f t="shared" si="0"/>
        <v>5</v>
      </c>
      <c r="U27" s="56">
        <v>1</v>
      </c>
      <c r="V27" s="56">
        <v>1</v>
      </c>
      <c r="W27" s="56">
        <v>0</v>
      </c>
      <c r="X27" s="56">
        <v>1</v>
      </c>
      <c r="Y27" s="56">
        <v>0</v>
      </c>
      <c r="Z27" s="56">
        <v>0</v>
      </c>
      <c r="AA27" s="56">
        <v>1</v>
      </c>
      <c r="AB27" s="56"/>
      <c r="AC27" s="58">
        <v>45913</v>
      </c>
      <c r="AD27" s="59">
        <v>0.19444444444525288</v>
      </c>
      <c r="AE27" s="56" t="s">
        <v>5081</v>
      </c>
      <c r="AF27" s="58">
        <v>45918</v>
      </c>
      <c r="AG27" s="59">
        <v>0.53819444444525288</v>
      </c>
      <c r="AH27" s="56" t="s">
        <v>932</v>
      </c>
      <c r="AI27" s="56" t="s">
        <v>5015</v>
      </c>
      <c r="AJ27" s="56" t="s">
        <v>64</v>
      </c>
      <c r="AK27" s="56" t="s">
        <v>64</v>
      </c>
      <c r="AL27" s="56" t="s">
        <v>5016</v>
      </c>
      <c r="AM27" s="56" t="s">
        <v>65</v>
      </c>
      <c r="AN27" s="60"/>
      <c r="AO27" s="60"/>
      <c r="AP27" s="61"/>
    </row>
    <row r="28" spans="3:43" ht="14.25" customHeight="1">
      <c r="C28" s="55" t="str">
        <f>IF($X28=1,COUNTIF($C$10:C27,"&gt;0")+1,"")</f>
        <v/>
      </c>
      <c r="D28" s="56">
        <v>70273384</v>
      </c>
      <c r="E28" s="56" t="s">
        <v>5007</v>
      </c>
      <c r="F28" s="57" t="s">
        <v>5082</v>
      </c>
      <c r="G28" s="56" t="s">
        <v>5077</v>
      </c>
      <c r="H28" s="56" t="s">
        <v>5083</v>
      </c>
      <c r="I28" s="56" t="s">
        <v>5084</v>
      </c>
      <c r="J28" s="56" t="s">
        <v>68</v>
      </c>
      <c r="K28" s="56" t="s">
        <v>59</v>
      </c>
      <c r="L28" s="58">
        <v>25772</v>
      </c>
      <c r="M28" s="56">
        <v>55</v>
      </c>
      <c r="N28" s="56" t="s">
        <v>5085</v>
      </c>
      <c r="O28" s="58">
        <v>48344</v>
      </c>
      <c r="P28" s="56" t="s">
        <v>5</v>
      </c>
      <c r="Q28" s="56"/>
      <c r="R28" s="270">
        <v>45913</v>
      </c>
      <c r="S28" s="270">
        <v>45918</v>
      </c>
      <c r="T28" s="51">
        <f t="shared" si="0"/>
        <v>5</v>
      </c>
      <c r="U28" s="56">
        <v>1</v>
      </c>
      <c r="V28" s="56">
        <v>1</v>
      </c>
      <c r="W28" s="56">
        <v>0</v>
      </c>
      <c r="X28" s="56">
        <v>0</v>
      </c>
      <c r="Y28" s="56">
        <v>0</v>
      </c>
      <c r="Z28" s="56">
        <v>0</v>
      </c>
      <c r="AA28" s="56">
        <v>0</v>
      </c>
      <c r="AB28" s="56"/>
      <c r="AC28" s="58">
        <v>45913</v>
      </c>
      <c r="AD28" s="59">
        <v>0.19444444444525288</v>
      </c>
      <c r="AE28" s="56" t="s">
        <v>5081</v>
      </c>
      <c r="AF28" s="58">
        <v>45918</v>
      </c>
      <c r="AG28" s="59">
        <v>0.53125</v>
      </c>
      <c r="AH28" s="56" t="s">
        <v>269</v>
      </c>
      <c r="AI28" s="56" t="s">
        <v>5015</v>
      </c>
      <c r="AJ28" s="56" t="s">
        <v>64</v>
      </c>
      <c r="AK28" s="56" t="s">
        <v>64</v>
      </c>
      <c r="AL28" s="56" t="s">
        <v>5016</v>
      </c>
      <c r="AM28" s="56" t="s">
        <v>65</v>
      </c>
      <c r="AN28" s="60"/>
      <c r="AO28" s="60"/>
      <c r="AP28" s="61"/>
    </row>
    <row r="29" spans="3:43" ht="14.25" customHeight="1">
      <c r="C29" s="55">
        <f>IF($X29=1,COUNTIF($C$10:C28,"&gt;0")+1,"")</f>
        <v>11</v>
      </c>
      <c r="D29" s="56">
        <v>70124358</v>
      </c>
      <c r="E29" s="56" t="s">
        <v>5007</v>
      </c>
      <c r="F29" s="57" t="s">
        <v>5086</v>
      </c>
      <c r="G29" s="56" t="s">
        <v>5086</v>
      </c>
      <c r="H29" s="56" t="s">
        <v>3595</v>
      </c>
      <c r="I29" s="56" t="s">
        <v>5087</v>
      </c>
      <c r="J29" s="56" t="s">
        <v>58</v>
      </c>
      <c r="K29" s="56" t="s">
        <v>59</v>
      </c>
      <c r="L29" s="58">
        <v>24326</v>
      </c>
      <c r="M29" s="56">
        <v>59</v>
      </c>
      <c r="N29" s="56" t="s">
        <v>5088</v>
      </c>
      <c r="O29" s="58">
        <v>48664</v>
      </c>
      <c r="P29" s="56" t="s">
        <v>4</v>
      </c>
      <c r="Q29" s="56"/>
      <c r="R29" s="270">
        <v>45913</v>
      </c>
      <c r="S29" s="270">
        <v>45918</v>
      </c>
      <c r="T29" s="51">
        <f t="shared" si="0"/>
        <v>5</v>
      </c>
      <c r="U29" s="56">
        <v>1</v>
      </c>
      <c r="V29" s="56">
        <v>1</v>
      </c>
      <c r="W29" s="56">
        <v>0</v>
      </c>
      <c r="X29" s="56">
        <v>1</v>
      </c>
      <c r="Y29" s="56">
        <v>0</v>
      </c>
      <c r="Z29" s="56">
        <v>1</v>
      </c>
      <c r="AA29" s="56">
        <v>0</v>
      </c>
      <c r="AB29" s="56"/>
      <c r="AC29" s="58">
        <v>45913</v>
      </c>
      <c r="AD29" s="59">
        <v>0.19444444444525288</v>
      </c>
      <c r="AE29" s="56" t="s">
        <v>5081</v>
      </c>
      <c r="AF29" s="58">
        <v>45918</v>
      </c>
      <c r="AG29" s="59">
        <v>0.53125</v>
      </c>
      <c r="AH29" s="56" t="s">
        <v>269</v>
      </c>
      <c r="AI29" s="56" t="s">
        <v>5015</v>
      </c>
      <c r="AJ29" s="56" t="s">
        <v>64</v>
      </c>
      <c r="AK29" s="56" t="s">
        <v>64</v>
      </c>
      <c r="AL29" s="56" t="s">
        <v>5016</v>
      </c>
      <c r="AM29" s="56" t="s">
        <v>65</v>
      </c>
      <c r="AN29" s="60"/>
      <c r="AO29" s="60"/>
      <c r="AP29" s="61"/>
    </row>
    <row r="30" spans="3:43" ht="14.25" customHeight="1">
      <c r="C30" s="55" t="str">
        <f>IF($X30=1,COUNTIF($C$10:C29,"&gt;0")+1,"")</f>
        <v/>
      </c>
      <c r="D30" s="56">
        <v>70124358</v>
      </c>
      <c r="E30" s="56" t="s">
        <v>5007</v>
      </c>
      <c r="F30" s="57" t="s">
        <v>5089</v>
      </c>
      <c r="G30" s="56" t="s">
        <v>5086</v>
      </c>
      <c r="H30" s="56" t="s">
        <v>5090</v>
      </c>
      <c r="I30" s="56" t="s">
        <v>5087</v>
      </c>
      <c r="J30" s="56" t="s">
        <v>58</v>
      </c>
      <c r="K30" s="56" t="s">
        <v>59</v>
      </c>
      <c r="L30" s="58">
        <v>40846</v>
      </c>
      <c r="M30" s="56">
        <v>13</v>
      </c>
      <c r="N30" s="56" t="s">
        <v>5091</v>
      </c>
      <c r="O30" s="58">
        <v>46376</v>
      </c>
      <c r="P30" s="56" t="s">
        <v>4</v>
      </c>
      <c r="Q30" s="56"/>
      <c r="R30" s="270">
        <v>45913</v>
      </c>
      <c r="S30" s="270">
        <v>45918</v>
      </c>
      <c r="T30" s="51">
        <f t="shared" si="0"/>
        <v>5</v>
      </c>
      <c r="U30" s="56">
        <v>1</v>
      </c>
      <c r="V30" s="56">
        <v>1</v>
      </c>
      <c r="W30" s="56">
        <v>0</v>
      </c>
      <c r="X30" s="56">
        <v>0</v>
      </c>
      <c r="Y30" s="56">
        <v>0</v>
      </c>
      <c r="Z30" s="56">
        <v>0</v>
      </c>
      <c r="AA30" s="56">
        <v>0</v>
      </c>
      <c r="AB30" s="56"/>
      <c r="AC30" s="58">
        <v>45913</v>
      </c>
      <c r="AD30" s="59">
        <v>0.19444444444525288</v>
      </c>
      <c r="AE30" s="56" t="s">
        <v>5081</v>
      </c>
      <c r="AF30" s="58">
        <v>45918</v>
      </c>
      <c r="AG30" s="59">
        <v>0.53125</v>
      </c>
      <c r="AH30" s="56" t="s">
        <v>269</v>
      </c>
      <c r="AI30" s="56" t="s">
        <v>5015</v>
      </c>
      <c r="AJ30" s="56" t="s">
        <v>64</v>
      </c>
      <c r="AK30" s="56" t="s">
        <v>64</v>
      </c>
      <c r="AL30" s="56" t="s">
        <v>5016</v>
      </c>
      <c r="AM30" s="56" t="s">
        <v>65</v>
      </c>
      <c r="AN30" s="60"/>
      <c r="AO30" s="60"/>
      <c r="AP30" s="61"/>
    </row>
    <row r="31" spans="3:43" ht="14.25" customHeight="1">
      <c r="C31" s="55">
        <f>IF($X31=1,COUNTIF($C$10:C30,"&gt;0")+1,"")</f>
        <v>12</v>
      </c>
      <c r="D31" s="56">
        <v>70124353</v>
      </c>
      <c r="E31" s="56" t="s">
        <v>5007</v>
      </c>
      <c r="F31" s="57" t="s">
        <v>5092</v>
      </c>
      <c r="G31" s="56" t="s">
        <v>5086</v>
      </c>
      <c r="H31" s="56" t="s">
        <v>5093</v>
      </c>
      <c r="I31" s="56" t="s">
        <v>5087</v>
      </c>
      <c r="J31" s="56" t="s">
        <v>68</v>
      </c>
      <c r="K31" s="56" t="s">
        <v>59</v>
      </c>
      <c r="L31" s="58">
        <v>25722</v>
      </c>
      <c r="M31" s="56">
        <v>55</v>
      </c>
      <c r="N31" s="56" t="s">
        <v>5094</v>
      </c>
      <c r="O31" s="58">
        <v>46882</v>
      </c>
      <c r="P31" s="56" t="s">
        <v>4</v>
      </c>
      <c r="Q31" s="56"/>
      <c r="R31" s="270">
        <v>45913</v>
      </c>
      <c r="S31" s="270">
        <v>45918</v>
      </c>
      <c r="T31" s="51">
        <f t="shared" si="0"/>
        <v>5</v>
      </c>
      <c r="U31" s="56">
        <v>1</v>
      </c>
      <c r="V31" s="56">
        <v>1</v>
      </c>
      <c r="W31" s="56">
        <v>0</v>
      </c>
      <c r="X31" s="56">
        <v>1</v>
      </c>
      <c r="Y31" s="56">
        <v>0</v>
      </c>
      <c r="Z31" s="56">
        <v>1</v>
      </c>
      <c r="AA31" s="56">
        <v>0</v>
      </c>
      <c r="AB31" s="56"/>
      <c r="AC31" s="58">
        <v>45913</v>
      </c>
      <c r="AD31" s="59">
        <v>0.19444444444525288</v>
      </c>
      <c r="AE31" s="56" t="s">
        <v>5081</v>
      </c>
      <c r="AF31" s="58">
        <v>45918</v>
      </c>
      <c r="AG31" s="59">
        <v>0.53125</v>
      </c>
      <c r="AH31" s="56" t="s">
        <v>269</v>
      </c>
      <c r="AI31" s="56" t="s">
        <v>5015</v>
      </c>
      <c r="AJ31" s="56" t="s">
        <v>64</v>
      </c>
      <c r="AK31" s="56" t="s">
        <v>64</v>
      </c>
      <c r="AL31" s="56" t="s">
        <v>5016</v>
      </c>
      <c r="AM31" s="56" t="s">
        <v>65</v>
      </c>
      <c r="AN31" s="60"/>
      <c r="AO31" s="60"/>
      <c r="AP31" s="61"/>
    </row>
    <row r="32" spans="3:43" ht="14.25" customHeight="1">
      <c r="C32" s="55" t="str">
        <f>IF($X32=1,COUNTIF($C$10:C31,"&gt;0")+1,"")</f>
        <v/>
      </c>
      <c r="D32" s="56">
        <v>70124353</v>
      </c>
      <c r="E32" s="56" t="s">
        <v>5007</v>
      </c>
      <c r="F32" s="57" t="s">
        <v>5095</v>
      </c>
      <c r="G32" s="56" t="s">
        <v>5086</v>
      </c>
      <c r="H32" s="56" t="s">
        <v>5096</v>
      </c>
      <c r="I32" s="56" t="s">
        <v>5097</v>
      </c>
      <c r="J32" s="56" t="s">
        <v>68</v>
      </c>
      <c r="K32" s="56" t="s">
        <v>59</v>
      </c>
      <c r="L32" s="58">
        <v>22927</v>
      </c>
      <c r="M32" s="56">
        <v>62</v>
      </c>
      <c r="N32" s="56" t="s">
        <v>5098</v>
      </c>
      <c r="O32" s="58">
        <v>49140</v>
      </c>
      <c r="P32" s="56" t="s">
        <v>4</v>
      </c>
      <c r="Q32" s="56"/>
      <c r="R32" s="270">
        <v>45913</v>
      </c>
      <c r="S32" s="270">
        <v>45918</v>
      </c>
      <c r="T32" s="51">
        <f t="shared" si="0"/>
        <v>5</v>
      </c>
      <c r="U32" s="56">
        <v>1</v>
      </c>
      <c r="V32" s="56">
        <v>1</v>
      </c>
      <c r="W32" s="56">
        <v>0</v>
      </c>
      <c r="X32" s="56">
        <v>0</v>
      </c>
      <c r="Y32" s="56">
        <v>0</v>
      </c>
      <c r="Z32" s="56">
        <v>0</v>
      </c>
      <c r="AA32" s="56">
        <v>0</v>
      </c>
      <c r="AB32" s="56"/>
      <c r="AC32" s="58">
        <v>45913</v>
      </c>
      <c r="AD32" s="59">
        <v>0.19444444444525288</v>
      </c>
      <c r="AE32" s="56" t="s">
        <v>5081</v>
      </c>
      <c r="AF32" s="58">
        <v>45918</v>
      </c>
      <c r="AG32" s="59">
        <v>0.53125</v>
      </c>
      <c r="AH32" s="56" t="s">
        <v>269</v>
      </c>
      <c r="AI32" s="56" t="s">
        <v>5015</v>
      </c>
      <c r="AJ32" s="56" t="s">
        <v>64</v>
      </c>
      <c r="AK32" s="56" t="s">
        <v>64</v>
      </c>
      <c r="AL32" s="56" t="s">
        <v>5016</v>
      </c>
      <c r="AM32" s="56" t="s">
        <v>65</v>
      </c>
      <c r="AN32" s="60"/>
      <c r="AO32" s="60"/>
      <c r="AP32" s="61"/>
    </row>
    <row r="33" spans="3:43" ht="14.25" customHeight="1">
      <c r="C33" s="55">
        <f>IF($X33=1,COUNTIF($C$10:C32,"&gt;0")+1,"")</f>
        <v>13</v>
      </c>
      <c r="D33" s="56">
        <v>70508925</v>
      </c>
      <c r="E33" s="56" t="s">
        <v>5007</v>
      </c>
      <c r="F33" s="57" t="s">
        <v>5099</v>
      </c>
      <c r="G33" s="56" t="s">
        <v>5099</v>
      </c>
      <c r="H33" s="62" t="s">
        <v>5100</v>
      </c>
      <c r="I33" s="62" t="s">
        <v>5101</v>
      </c>
      <c r="J33" s="62" t="s">
        <v>68</v>
      </c>
      <c r="K33" s="62" t="s">
        <v>59</v>
      </c>
      <c r="L33" s="63">
        <v>27074</v>
      </c>
      <c r="M33" s="62">
        <v>51</v>
      </c>
      <c r="N33" s="62" t="s">
        <v>5102</v>
      </c>
      <c r="O33" s="63">
        <v>46987</v>
      </c>
      <c r="P33" s="62" t="s">
        <v>4</v>
      </c>
      <c r="Q33" s="62"/>
      <c r="R33" s="272">
        <v>45913</v>
      </c>
      <c r="S33" s="272">
        <v>45918</v>
      </c>
      <c r="T33" s="67">
        <f t="shared" si="0"/>
        <v>5</v>
      </c>
      <c r="U33" s="62">
        <v>1</v>
      </c>
      <c r="V33" s="62">
        <v>1</v>
      </c>
      <c r="W33" s="62">
        <v>0</v>
      </c>
      <c r="X33" s="62">
        <v>1</v>
      </c>
      <c r="Y33" s="62">
        <v>0</v>
      </c>
      <c r="Z33" s="62">
        <v>1</v>
      </c>
      <c r="AA33" s="62">
        <v>0</v>
      </c>
      <c r="AB33" s="62"/>
      <c r="AC33" s="63">
        <v>45913</v>
      </c>
      <c r="AD33" s="68">
        <v>0.98958333333575865</v>
      </c>
      <c r="AE33" s="62" t="s">
        <v>4573</v>
      </c>
      <c r="AF33" s="63">
        <v>45918</v>
      </c>
      <c r="AG33" s="68">
        <v>0.53125</v>
      </c>
      <c r="AH33" s="62" t="s">
        <v>269</v>
      </c>
      <c r="AI33" s="62" t="s">
        <v>5015</v>
      </c>
      <c r="AJ33" s="62" t="s">
        <v>64</v>
      </c>
      <c r="AK33" s="62" t="s">
        <v>64</v>
      </c>
      <c r="AL33" s="62" t="s">
        <v>5016</v>
      </c>
      <c r="AM33" s="62" t="s">
        <v>65</v>
      </c>
      <c r="AN33" s="273" t="s">
        <v>5017</v>
      </c>
      <c r="AO33" s="273"/>
      <c r="AP33" s="64" t="s">
        <v>5103</v>
      </c>
      <c r="AQ33" s="271" t="s">
        <v>5064</v>
      </c>
    </row>
    <row r="34" spans="3:43" ht="14.25" customHeight="1">
      <c r="C34" s="55" t="str">
        <f>IF($X34=1,COUNTIF($C$10:C33,"&gt;0")+1,"")</f>
        <v/>
      </c>
      <c r="D34" s="56">
        <v>70508925</v>
      </c>
      <c r="E34" s="56" t="s">
        <v>5007</v>
      </c>
      <c r="F34" s="57" t="s">
        <v>5104</v>
      </c>
      <c r="G34" s="56" t="s">
        <v>5099</v>
      </c>
      <c r="H34" s="62" t="s">
        <v>5105</v>
      </c>
      <c r="I34" s="62" t="s">
        <v>5106</v>
      </c>
      <c r="J34" s="62" t="s">
        <v>68</v>
      </c>
      <c r="K34" s="62" t="s">
        <v>59</v>
      </c>
      <c r="L34" s="63">
        <v>27388</v>
      </c>
      <c r="M34" s="62">
        <v>50</v>
      </c>
      <c r="N34" s="62" t="s">
        <v>5107</v>
      </c>
      <c r="O34" s="63">
        <v>49464</v>
      </c>
      <c r="P34" s="62" t="s">
        <v>4</v>
      </c>
      <c r="Q34" s="62"/>
      <c r="R34" s="272">
        <v>45913</v>
      </c>
      <c r="S34" s="272">
        <v>45918</v>
      </c>
      <c r="T34" s="67">
        <f t="shared" si="0"/>
        <v>5</v>
      </c>
      <c r="U34" s="62">
        <v>1</v>
      </c>
      <c r="V34" s="62">
        <v>1</v>
      </c>
      <c r="W34" s="62">
        <v>0</v>
      </c>
      <c r="X34" s="62">
        <v>0</v>
      </c>
      <c r="Y34" s="62">
        <v>0</v>
      </c>
      <c r="Z34" s="62">
        <v>0</v>
      </c>
      <c r="AA34" s="62">
        <v>0</v>
      </c>
      <c r="AB34" s="62"/>
      <c r="AC34" s="63">
        <v>45913</v>
      </c>
      <c r="AD34" s="68">
        <v>0.29513888889050577</v>
      </c>
      <c r="AE34" s="62" t="s">
        <v>5013</v>
      </c>
      <c r="AF34" s="63">
        <v>45918</v>
      </c>
      <c r="AG34" s="68">
        <v>0.86111111110949423</v>
      </c>
      <c r="AH34" s="62" t="s">
        <v>1292</v>
      </c>
      <c r="AI34" s="62" t="s">
        <v>5015</v>
      </c>
      <c r="AJ34" s="62" t="s">
        <v>64</v>
      </c>
      <c r="AK34" s="62" t="s">
        <v>64</v>
      </c>
      <c r="AL34" s="62" t="s">
        <v>5016</v>
      </c>
      <c r="AM34" s="62" t="s">
        <v>65</v>
      </c>
      <c r="AN34" s="273" t="s">
        <v>5017</v>
      </c>
      <c r="AO34" s="273"/>
      <c r="AP34" s="64" t="s">
        <v>5103</v>
      </c>
      <c r="AQ34" s="271" t="s">
        <v>5064</v>
      </c>
    </row>
    <row r="35" spans="3:43" ht="14.25" customHeight="1">
      <c r="C35" s="55">
        <f>IF($X35=1,COUNTIF($C$10:C34,"&gt;0")+1,"")</f>
        <v>14</v>
      </c>
      <c r="D35" s="56">
        <v>70124346</v>
      </c>
      <c r="E35" s="56" t="s">
        <v>5007</v>
      </c>
      <c r="F35" s="57" t="s">
        <v>5108</v>
      </c>
      <c r="G35" s="56" t="s">
        <v>5108</v>
      </c>
      <c r="H35" s="56" t="s">
        <v>5109</v>
      </c>
      <c r="I35" s="56" t="s">
        <v>5110</v>
      </c>
      <c r="J35" s="56" t="s">
        <v>68</v>
      </c>
      <c r="K35" s="56" t="s">
        <v>59</v>
      </c>
      <c r="L35" s="58">
        <v>23389</v>
      </c>
      <c r="M35" s="56">
        <v>61</v>
      </c>
      <c r="N35" s="56" t="s">
        <v>5111</v>
      </c>
      <c r="O35" s="58">
        <v>46213</v>
      </c>
      <c r="P35" s="56" t="s">
        <v>4</v>
      </c>
      <c r="Q35" s="56"/>
      <c r="R35" s="270">
        <v>45913</v>
      </c>
      <c r="S35" s="270">
        <v>45918</v>
      </c>
      <c r="T35" s="51">
        <f t="shared" si="0"/>
        <v>5</v>
      </c>
      <c r="U35" s="56">
        <v>1</v>
      </c>
      <c r="V35" s="56">
        <v>1</v>
      </c>
      <c r="W35" s="56">
        <v>0</v>
      </c>
      <c r="X35" s="56">
        <v>1</v>
      </c>
      <c r="Y35" s="56">
        <v>0</v>
      </c>
      <c r="Z35" s="56">
        <v>1</v>
      </c>
      <c r="AA35" s="56">
        <v>0</v>
      </c>
      <c r="AB35" s="56"/>
      <c r="AC35" s="58">
        <v>45913</v>
      </c>
      <c r="AD35" s="59">
        <v>0.27083333333575865</v>
      </c>
      <c r="AE35" s="56" t="s">
        <v>5024</v>
      </c>
      <c r="AF35" s="58">
        <v>45918</v>
      </c>
      <c r="AG35" s="59">
        <v>0.88194444444525288</v>
      </c>
      <c r="AH35" s="56" t="s">
        <v>5025</v>
      </c>
      <c r="AI35" s="56" t="s">
        <v>5015</v>
      </c>
      <c r="AJ35" s="56" t="s">
        <v>64</v>
      </c>
      <c r="AK35" s="56" t="s">
        <v>64</v>
      </c>
      <c r="AL35" s="56" t="s">
        <v>5016</v>
      </c>
      <c r="AM35" s="56" t="s">
        <v>65</v>
      </c>
      <c r="AN35" s="60"/>
      <c r="AO35" s="60"/>
      <c r="AP35" s="61"/>
    </row>
    <row r="36" spans="3:43" ht="14.25" customHeight="1">
      <c r="C36" s="55" t="str">
        <f>IF($X36=1,COUNTIF($C$10:C35,"&gt;0")+1,"")</f>
        <v/>
      </c>
      <c r="D36" s="56">
        <v>70124346</v>
      </c>
      <c r="E36" s="56" t="s">
        <v>5007</v>
      </c>
      <c r="F36" s="57" t="s">
        <v>5112</v>
      </c>
      <c r="G36" s="56" t="s">
        <v>5108</v>
      </c>
      <c r="H36" s="56" t="s">
        <v>5113</v>
      </c>
      <c r="I36" s="56" t="s">
        <v>5110</v>
      </c>
      <c r="J36" s="56" t="s">
        <v>68</v>
      </c>
      <c r="K36" s="56" t="s">
        <v>59</v>
      </c>
      <c r="L36" s="58">
        <v>23389</v>
      </c>
      <c r="M36" s="56">
        <v>61</v>
      </c>
      <c r="N36" s="56" t="s">
        <v>5114</v>
      </c>
      <c r="O36" s="58">
        <v>46213</v>
      </c>
      <c r="P36" s="56" t="s">
        <v>4</v>
      </c>
      <c r="Q36" s="56"/>
      <c r="R36" s="270">
        <v>45913</v>
      </c>
      <c r="S36" s="270">
        <v>45918</v>
      </c>
      <c r="T36" s="51">
        <f t="shared" si="0"/>
        <v>5</v>
      </c>
      <c r="U36" s="56">
        <v>1</v>
      </c>
      <c r="V36" s="56">
        <v>1</v>
      </c>
      <c r="W36" s="56">
        <v>0</v>
      </c>
      <c r="X36" s="56">
        <v>0</v>
      </c>
      <c r="Y36" s="56">
        <v>0</v>
      </c>
      <c r="Z36" s="56">
        <v>0</v>
      </c>
      <c r="AA36" s="56">
        <v>0</v>
      </c>
      <c r="AB36" s="56"/>
      <c r="AC36" s="58">
        <v>45913</v>
      </c>
      <c r="AD36" s="59">
        <v>0.27083333333575865</v>
      </c>
      <c r="AE36" s="56" t="s">
        <v>5024</v>
      </c>
      <c r="AF36" s="58">
        <v>45918</v>
      </c>
      <c r="AG36" s="59">
        <v>0.88194444444525288</v>
      </c>
      <c r="AH36" s="56" t="s">
        <v>5025</v>
      </c>
      <c r="AI36" s="56" t="s">
        <v>5015</v>
      </c>
      <c r="AJ36" s="56" t="s">
        <v>64</v>
      </c>
      <c r="AK36" s="56" t="s">
        <v>64</v>
      </c>
      <c r="AL36" s="56" t="s">
        <v>5016</v>
      </c>
      <c r="AM36" s="56" t="s">
        <v>65</v>
      </c>
      <c r="AN36" s="60"/>
      <c r="AO36" s="60"/>
      <c r="AP36" s="61"/>
    </row>
    <row r="37" spans="3:43" ht="14.25" customHeight="1">
      <c r="C37" s="55">
        <f>IF($X37=1,COUNTIF($C$10:C36,"&gt;0")+1,"")</f>
        <v>15</v>
      </c>
      <c r="D37" s="56">
        <v>70124328</v>
      </c>
      <c r="E37" s="56" t="s">
        <v>5007</v>
      </c>
      <c r="F37" s="57" t="s">
        <v>5115</v>
      </c>
      <c r="G37" s="56" t="s">
        <v>5115</v>
      </c>
      <c r="H37" s="56" t="s">
        <v>5116</v>
      </c>
      <c r="I37" s="56" t="s">
        <v>490</v>
      </c>
      <c r="J37" s="56" t="s">
        <v>68</v>
      </c>
      <c r="K37" s="56" t="s">
        <v>59</v>
      </c>
      <c r="L37" s="58">
        <v>26407</v>
      </c>
      <c r="M37" s="56">
        <v>53</v>
      </c>
      <c r="N37" s="56" t="s">
        <v>5117</v>
      </c>
      <c r="O37" s="58">
        <v>46549</v>
      </c>
      <c r="P37" s="56" t="s">
        <v>4</v>
      </c>
      <c r="Q37" s="56"/>
      <c r="R37" s="270">
        <v>45913</v>
      </c>
      <c r="S37" s="270">
        <v>45918</v>
      </c>
      <c r="T37" s="51">
        <f t="shared" si="0"/>
        <v>5</v>
      </c>
      <c r="U37" s="56">
        <v>1</v>
      </c>
      <c r="V37" s="56">
        <v>1</v>
      </c>
      <c r="W37" s="56">
        <v>0</v>
      </c>
      <c r="X37" s="56">
        <v>1</v>
      </c>
      <c r="Y37" s="56">
        <v>0</v>
      </c>
      <c r="Z37" s="56">
        <v>1</v>
      </c>
      <c r="AA37" s="56">
        <v>0</v>
      </c>
      <c r="AB37" s="56"/>
      <c r="AC37" s="58">
        <v>45913</v>
      </c>
      <c r="AD37" s="59">
        <v>0.27083333333575865</v>
      </c>
      <c r="AE37" s="56" t="s">
        <v>5024</v>
      </c>
      <c r="AF37" s="58" t="s">
        <v>64</v>
      </c>
      <c r="AG37" s="59" t="s">
        <v>64</v>
      </c>
      <c r="AH37" s="56" t="s">
        <v>1058</v>
      </c>
      <c r="AI37" s="56" t="s">
        <v>5015</v>
      </c>
      <c r="AJ37" s="56" t="s">
        <v>64</v>
      </c>
      <c r="AK37" s="56" t="s">
        <v>64</v>
      </c>
      <c r="AL37" s="56" t="s">
        <v>5016</v>
      </c>
      <c r="AM37" s="56" t="s">
        <v>65</v>
      </c>
      <c r="AN37" s="60"/>
      <c r="AO37" s="60"/>
      <c r="AP37" s="61"/>
    </row>
    <row r="38" spans="3:43" ht="14.25" customHeight="1">
      <c r="C38" s="55" t="str">
        <f>IF($X38=1,COUNTIF($C$10:C37,"&gt;0")+1,"")</f>
        <v/>
      </c>
      <c r="D38" s="56">
        <v>70124328</v>
      </c>
      <c r="E38" s="56" t="s">
        <v>5007</v>
      </c>
      <c r="F38" s="57" t="s">
        <v>5118</v>
      </c>
      <c r="G38" s="56" t="s">
        <v>5115</v>
      </c>
      <c r="H38" s="56" t="s">
        <v>5119</v>
      </c>
      <c r="I38" s="56" t="s">
        <v>490</v>
      </c>
      <c r="J38" s="56" t="s">
        <v>58</v>
      </c>
      <c r="K38" s="56" t="s">
        <v>59</v>
      </c>
      <c r="L38" s="58">
        <v>26505</v>
      </c>
      <c r="M38" s="56">
        <v>53</v>
      </c>
      <c r="N38" s="56" t="s">
        <v>5120</v>
      </c>
      <c r="O38" s="58">
        <v>46813</v>
      </c>
      <c r="P38" s="56" t="s">
        <v>4</v>
      </c>
      <c r="Q38" s="56"/>
      <c r="R38" s="270">
        <v>45913</v>
      </c>
      <c r="S38" s="270">
        <v>45918</v>
      </c>
      <c r="T38" s="51">
        <f t="shared" si="0"/>
        <v>5</v>
      </c>
      <c r="U38" s="56">
        <v>1</v>
      </c>
      <c r="V38" s="56">
        <v>1</v>
      </c>
      <c r="W38" s="56">
        <v>0</v>
      </c>
      <c r="X38" s="56">
        <v>0</v>
      </c>
      <c r="Y38" s="56">
        <v>0</v>
      </c>
      <c r="Z38" s="56">
        <v>0</v>
      </c>
      <c r="AA38" s="56">
        <v>0</v>
      </c>
      <c r="AB38" s="56"/>
      <c r="AC38" s="58">
        <v>45913</v>
      </c>
      <c r="AD38" s="59">
        <v>0.27083333333575865</v>
      </c>
      <c r="AE38" s="56" t="s">
        <v>5024</v>
      </c>
      <c r="AF38" s="58" t="s">
        <v>64</v>
      </c>
      <c r="AG38" s="59" t="s">
        <v>64</v>
      </c>
      <c r="AH38" s="56" t="s">
        <v>1058</v>
      </c>
      <c r="AI38" s="56" t="s">
        <v>5015</v>
      </c>
      <c r="AJ38" s="56" t="s">
        <v>64</v>
      </c>
      <c r="AK38" s="56" t="s">
        <v>64</v>
      </c>
      <c r="AL38" s="56" t="s">
        <v>5016</v>
      </c>
      <c r="AM38" s="56" t="s">
        <v>65</v>
      </c>
      <c r="AN38" s="60"/>
      <c r="AO38" s="60"/>
      <c r="AP38" s="61"/>
    </row>
    <row r="39" spans="3:43" ht="14.25" customHeight="1">
      <c r="C39" s="55">
        <f>IF($X39=1,COUNTIF($C$10:C38,"&gt;0")+1,"")</f>
        <v>16</v>
      </c>
      <c r="D39" s="56">
        <v>70498988</v>
      </c>
      <c r="E39" s="56" t="s">
        <v>5007</v>
      </c>
      <c r="F39" s="57" t="s">
        <v>5121</v>
      </c>
      <c r="G39" s="56" t="s">
        <v>5121</v>
      </c>
      <c r="H39" s="56" t="s">
        <v>5122</v>
      </c>
      <c r="I39" s="56" t="s">
        <v>5123</v>
      </c>
      <c r="J39" s="56" t="s">
        <v>68</v>
      </c>
      <c r="K39" s="56" t="s">
        <v>59</v>
      </c>
      <c r="L39" s="58">
        <v>28290</v>
      </c>
      <c r="M39" s="56">
        <v>48</v>
      </c>
      <c r="N39" s="56" t="s">
        <v>5124</v>
      </c>
      <c r="O39" s="58">
        <v>48521</v>
      </c>
      <c r="P39" s="56" t="s">
        <v>4</v>
      </c>
      <c r="Q39" s="56"/>
      <c r="R39" s="270">
        <v>45913</v>
      </c>
      <c r="S39" s="270">
        <v>45918</v>
      </c>
      <c r="T39" s="51">
        <f t="shared" si="0"/>
        <v>5</v>
      </c>
      <c r="U39" s="56">
        <v>1</v>
      </c>
      <c r="V39" s="56">
        <v>1</v>
      </c>
      <c r="W39" s="56">
        <v>0</v>
      </c>
      <c r="X39" s="56">
        <v>1</v>
      </c>
      <c r="Y39" s="56">
        <v>0</v>
      </c>
      <c r="Z39" s="56">
        <v>1</v>
      </c>
      <c r="AA39" s="56">
        <v>0</v>
      </c>
      <c r="AB39" s="56"/>
      <c r="AC39" s="58">
        <v>45913</v>
      </c>
      <c r="AD39" s="59">
        <v>0.63888888889050577</v>
      </c>
      <c r="AE39" s="56" t="s">
        <v>84</v>
      </c>
      <c r="AF39" s="58">
        <v>45918</v>
      </c>
      <c r="AG39" s="59">
        <v>0.80555555555474712</v>
      </c>
      <c r="AH39" s="56" t="s">
        <v>117</v>
      </c>
      <c r="AI39" s="56" t="s">
        <v>5015</v>
      </c>
      <c r="AJ39" s="56" t="s">
        <v>64</v>
      </c>
      <c r="AK39" s="56" t="s">
        <v>64</v>
      </c>
      <c r="AL39" s="56" t="s">
        <v>5016</v>
      </c>
      <c r="AM39" s="56" t="s">
        <v>65</v>
      </c>
      <c r="AN39" s="60" t="s">
        <v>5017</v>
      </c>
      <c r="AO39" s="60"/>
      <c r="AP39" s="61"/>
      <c r="AQ39" s="271" t="s">
        <v>5064</v>
      </c>
    </row>
    <row r="40" spans="3:43" ht="14.25" customHeight="1">
      <c r="C40" s="55" t="str">
        <f>IF($X40=1,COUNTIF($C$10:C39,"&gt;0")+1,"")</f>
        <v/>
      </c>
      <c r="D40" s="56">
        <v>70498988</v>
      </c>
      <c r="E40" s="56" t="s">
        <v>5007</v>
      </c>
      <c r="F40" s="57" t="s">
        <v>5125</v>
      </c>
      <c r="G40" s="56" t="s">
        <v>5121</v>
      </c>
      <c r="H40" s="56" t="s">
        <v>5126</v>
      </c>
      <c r="I40" s="56" t="s">
        <v>2378</v>
      </c>
      <c r="J40" s="56" t="s">
        <v>68</v>
      </c>
      <c r="K40" s="56" t="s">
        <v>59</v>
      </c>
      <c r="L40" s="58">
        <v>25767</v>
      </c>
      <c r="M40" s="56">
        <v>55</v>
      </c>
      <c r="N40" s="56" t="s">
        <v>5127</v>
      </c>
      <c r="O40" s="58">
        <v>48155</v>
      </c>
      <c r="P40" s="56" t="s">
        <v>4</v>
      </c>
      <c r="Q40" s="56"/>
      <c r="R40" s="270">
        <v>45913</v>
      </c>
      <c r="S40" s="270">
        <v>45918</v>
      </c>
      <c r="T40" s="51">
        <f t="shared" si="0"/>
        <v>5</v>
      </c>
      <c r="U40" s="56">
        <v>1</v>
      </c>
      <c r="V40" s="56">
        <v>1</v>
      </c>
      <c r="W40" s="56">
        <v>0</v>
      </c>
      <c r="X40" s="56">
        <v>0</v>
      </c>
      <c r="Y40" s="56">
        <v>0</v>
      </c>
      <c r="Z40" s="56">
        <v>0</v>
      </c>
      <c r="AA40" s="56">
        <v>0</v>
      </c>
      <c r="AB40" s="56"/>
      <c r="AC40" s="58">
        <v>45913</v>
      </c>
      <c r="AD40" s="59">
        <v>0.63888888889050577</v>
      </c>
      <c r="AE40" s="56" t="s">
        <v>84</v>
      </c>
      <c r="AF40" s="58">
        <v>45918</v>
      </c>
      <c r="AG40" s="59">
        <v>0.80555555555474712</v>
      </c>
      <c r="AH40" s="56" t="s">
        <v>117</v>
      </c>
      <c r="AI40" s="56" t="s">
        <v>5015</v>
      </c>
      <c r="AJ40" s="56" t="s">
        <v>64</v>
      </c>
      <c r="AK40" s="56" t="s">
        <v>64</v>
      </c>
      <c r="AL40" s="56" t="s">
        <v>5016</v>
      </c>
      <c r="AM40" s="56" t="s">
        <v>65</v>
      </c>
      <c r="AN40" s="60" t="s">
        <v>5017</v>
      </c>
      <c r="AO40" s="60"/>
      <c r="AP40" s="61"/>
      <c r="AQ40" s="271" t="s">
        <v>5064</v>
      </c>
    </row>
    <row r="41" spans="3:43" ht="14.25" customHeight="1">
      <c r="C41" s="55">
        <f>IF($X41=1,COUNTIF($C$10:C40,"&gt;0")+1,"")</f>
        <v>17</v>
      </c>
      <c r="D41" s="56">
        <v>70124293</v>
      </c>
      <c r="E41" s="56" t="s">
        <v>5007</v>
      </c>
      <c r="F41" s="57" t="s">
        <v>5128</v>
      </c>
      <c r="G41" s="56" t="s">
        <v>5128</v>
      </c>
      <c r="H41" s="56" t="s">
        <v>5129</v>
      </c>
      <c r="I41" s="56" t="s">
        <v>5130</v>
      </c>
      <c r="J41" s="56" t="s">
        <v>58</v>
      </c>
      <c r="K41" s="56" t="s">
        <v>59</v>
      </c>
      <c r="L41" s="58">
        <v>24159</v>
      </c>
      <c r="M41" s="56">
        <v>59</v>
      </c>
      <c r="N41" s="56" t="s">
        <v>5131</v>
      </c>
      <c r="O41" s="58">
        <v>46654</v>
      </c>
      <c r="P41" s="56" t="s">
        <v>4</v>
      </c>
      <c r="Q41" s="56"/>
      <c r="R41" s="270">
        <v>45913</v>
      </c>
      <c r="S41" s="270">
        <v>45918</v>
      </c>
      <c r="T41" s="51">
        <f t="shared" si="0"/>
        <v>5</v>
      </c>
      <c r="U41" s="56">
        <v>1</v>
      </c>
      <c r="V41" s="56">
        <v>1</v>
      </c>
      <c r="W41" s="56">
        <v>0</v>
      </c>
      <c r="X41" s="56">
        <v>1</v>
      </c>
      <c r="Y41" s="56">
        <v>0</v>
      </c>
      <c r="Z41" s="56">
        <v>1</v>
      </c>
      <c r="AA41" s="56">
        <v>0</v>
      </c>
      <c r="AB41" s="56"/>
      <c r="AC41" s="58">
        <v>45913</v>
      </c>
      <c r="AD41" s="59">
        <v>0.16666666666424135</v>
      </c>
      <c r="AE41" s="56" t="s">
        <v>625</v>
      </c>
      <c r="AF41" s="58">
        <v>45922</v>
      </c>
      <c r="AG41" s="59">
        <v>0.78472222221898846</v>
      </c>
      <c r="AH41" s="56" t="s">
        <v>3020</v>
      </c>
      <c r="AI41" s="56" t="s">
        <v>5015</v>
      </c>
      <c r="AJ41" s="56" t="s">
        <v>64</v>
      </c>
      <c r="AK41" s="56" t="s">
        <v>64</v>
      </c>
      <c r="AL41" s="56" t="s">
        <v>5016</v>
      </c>
      <c r="AM41" s="56" t="s">
        <v>65</v>
      </c>
      <c r="AN41" s="60"/>
      <c r="AO41" s="60"/>
      <c r="AP41" s="61"/>
    </row>
    <row r="42" spans="3:43" ht="14.25" customHeight="1">
      <c r="C42" s="55" t="str">
        <f>IF($X42=1,COUNTIF($C$10:C41,"&gt;0")+1,"")</f>
        <v/>
      </c>
      <c r="D42" s="56">
        <v>70124293</v>
      </c>
      <c r="E42" s="56" t="s">
        <v>5007</v>
      </c>
      <c r="F42" s="57" t="s">
        <v>5132</v>
      </c>
      <c r="G42" s="56" t="s">
        <v>5128</v>
      </c>
      <c r="H42" s="56" t="s">
        <v>5133</v>
      </c>
      <c r="I42" s="56" t="s">
        <v>5130</v>
      </c>
      <c r="J42" s="56" t="s">
        <v>68</v>
      </c>
      <c r="K42" s="56" t="s">
        <v>59</v>
      </c>
      <c r="L42" s="58">
        <v>24036</v>
      </c>
      <c r="M42" s="56">
        <v>59</v>
      </c>
      <c r="N42" s="56" t="s">
        <v>5134</v>
      </c>
      <c r="O42" s="58">
        <v>48173</v>
      </c>
      <c r="P42" s="56" t="s">
        <v>4</v>
      </c>
      <c r="Q42" s="56"/>
      <c r="R42" s="270">
        <v>45913</v>
      </c>
      <c r="S42" s="270">
        <v>45918</v>
      </c>
      <c r="T42" s="51">
        <f t="shared" si="0"/>
        <v>5</v>
      </c>
      <c r="U42" s="56">
        <v>1</v>
      </c>
      <c r="V42" s="56">
        <v>1</v>
      </c>
      <c r="W42" s="56">
        <v>0</v>
      </c>
      <c r="X42" s="56">
        <v>0</v>
      </c>
      <c r="Y42" s="56">
        <v>0</v>
      </c>
      <c r="Z42" s="56">
        <v>0</v>
      </c>
      <c r="AA42" s="56">
        <v>0</v>
      </c>
      <c r="AB42" s="56"/>
      <c r="AC42" s="58">
        <v>45913</v>
      </c>
      <c r="AD42" s="59">
        <v>0.16666666666424135</v>
      </c>
      <c r="AE42" s="56" t="s">
        <v>625</v>
      </c>
      <c r="AF42" s="58">
        <v>45922</v>
      </c>
      <c r="AG42" s="59">
        <v>0.78472222221898846</v>
      </c>
      <c r="AH42" s="56" t="s">
        <v>3020</v>
      </c>
      <c r="AI42" s="56" t="s">
        <v>5015</v>
      </c>
      <c r="AJ42" s="56" t="s">
        <v>64</v>
      </c>
      <c r="AK42" s="56" t="s">
        <v>64</v>
      </c>
      <c r="AL42" s="56" t="s">
        <v>5016</v>
      </c>
      <c r="AM42" s="56" t="s">
        <v>65</v>
      </c>
      <c r="AN42" s="60"/>
      <c r="AO42" s="60"/>
      <c r="AP42" s="61"/>
    </row>
    <row r="43" spans="3:43" ht="14.25" customHeight="1">
      <c r="C43" s="55">
        <f>IF($X43=1,COUNTIF($C$10:C42,"&gt;0")+1,"")</f>
        <v>18</v>
      </c>
      <c r="D43" s="56">
        <v>70273386</v>
      </c>
      <c r="E43" s="56" t="s">
        <v>5007</v>
      </c>
      <c r="F43" s="57" t="s">
        <v>5135</v>
      </c>
      <c r="G43" s="56" t="s">
        <v>5135</v>
      </c>
      <c r="H43" s="56" t="s">
        <v>5136</v>
      </c>
      <c r="I43" s="56" t="s">
        <v>5137</v>
      </c>
      <c r="J43" s="56" t="s">
        <v>68</v>
      </c>
      <c r="K43" s="56" t="s">
        <v>59</v>
      </c>
      <c r="L43" s="58">
        <v>27980</v>
      </c>
      <c r="M43" s="56">
        <v>49</v>
      </c>
      <c r="N43" s="56" t="s">
        <v>5138</v>
      </c>
      <c r="O43" s="58">
        <v>49421</v>
      </c>
      <c r="P43" s="56" t="s">
        <v>5</v>
      </c>
      <c r="Q43" s="56"/>
      <c r="R43" s="270">
        <v>45913</v>
      </c>
      <c r="S43" s="270">
        <v>45918</v>
      </c>
      <c r="T43" s="51">
        <f t="shared" si="0"/>
        <v>5</v>
      </c>
      <c r="U43" s="56">
        <v>1</v>
      </c>
      <c r="V43" s="56">
        <v>1</v>
      </c>
      <c r="W43" s="56">
        <v>0</v>
      </c>
      <c r="X43" s="56">
        <v>1</v>
      </c>
      <c r="Y43" s="56">
        <v>0</v>
      </c>
      <c r="Z43" s="56">
        <v>0</v>
      </c>
      <c r="AA43" s="56">
        <v>1</v>
      </c>
      <c r="AB43" s="56"/>
      <c r="AC43" s="58">
        <v>45913</v>
      </c>
      <c r="AD43" s="59">
        <v>0.58680555555474712</v>
      </c>
      <c r="AE43" s="56" t="s">
        <v>61</v>
      </c>
      <c r="AF43" s="58">
        <v>45920</v>
      </c>
      <c r="AG43" s="59">
        <v>0.83680555555474712</v>
      </c>
      <c r="AH43" s="56" t="s">
        <v>962</v>
      </c>
      <c r="AI43" s="56" t="s">
        <v>5015</v>
      </c>
      <c r="AJ43" s="56" t="s">
        <v>64</v>
      </c>
      <c r="AK43" s="56" t="s">
        <v>64</v>
      </c>
      <c r="AL43" s="56" t="s">
        <v>5016</v>
      </c>
      <c r="AM43" s="56" t="s">
        <v>65</v>
      </c>
      <c r="AN43" s="60"/>
      <c r="AO43" s="60"/>
      <c r="AP43" s="61"/>
    </row>
    <row r="44" spans="3:43" ht="14.25" customHeight="1">
      <c r="C44" s="55" t="str">
        <f>IF($X44=1,COUNTIF($C$10:C43,"&gt;0")+1,"")</f>
        <v/>
      </c>
      <c r="D44" s="56">
        <v>70273386</v>
      </c>
      <c r="E44" s="56" t="s">
        <v>5007</v>
      </c>
      <c r="F44" s="57" t="s">
        <v>5139</v>
      </c>
      <c r="G44" s="56" t="s">
        <v>5135</v>
      </c>
      <c r="H44" s="56" t="s">
        <v>5140</v>
      </c>
      <c r="I44" s="56" t="s">
        <v>5137</v>
      </c>
      <c r="J44" s="56" t="s">
        <v>58</v>
      </c>
      <c r="K44" s="56" t="s">
        <v>59</v>
      </c>
      <c r="L44" s="58">
        <v>37291</v>
      </c>
      <c r="M44" s="56">
        <v>23</v>
      </c>
      <c r="N44" s="56" t="s">
        <v>5141</v>
      </c>
      <c r="O44" s="58">
        <v>47928</v>
      </c>
      <c r="P44" s="56" t="s">
        <v>5</v>
      </c>
      <c r="Q44" s="56"/>
      <c r="R44" s="270">
        <v>45913</v>
      </c>
      <c r="S44" s="270">
        <v>45918</v>
      </c>
      <c r="T44" s="51">
        <f t="shared" si="0"/>
        <v>5</v>
      </c>
      <c r="U44" s="56">
        <v>1</v>
      </c>
      <c r="V44" s="56">
        <v>1</v>
      </c>
      <c r="W44" s="56">
        <v>0</v>
      </c>
      <c r="X44" s="56">
        <v>0</v>
      </c>
      <c r="Y44" s="56">
        <v>0</v>
      </c>
      <c r="Z44" s="56">
        <v>0</v>
      </c>
      <c r="AA44" s="56">
        <v>0</v>
      </c>
      <c r="AB44" s="56"/>
      <c r="AC44" s="58">
        <v>45913</v>
      </c>
      <c r="AD44" s="59">
        <v>0.58680555555474712</v>
      </c>
      <c r="AE44" s="56" t="s">
        <v>61</v>
      </c>
      <c r="AF44" s="58">
        <v>45920</v>
      </c>
      <c r="AG44" s="59">
        <v>0.83680555555474712</v>
      </c>
      <c r="AH44" s="56" t="s">
        <v>962</v>
      </c>
      <c r="AI44" s="56" t="s">
        <v>5015</v>
      </c>
      <c r="AJ44" s="56" t="s">
        <v>64</v>
      </c>
      <c r="AK44" s="56" t="s">
        <v>64</v>
      </c>
      <c r="AL44" s="56" t="s">
        <v>5016</v>
      </c>
      <c r="AM44" s="56" t="s">
        <v>65</v>
      </c>
      <c r="AN44" s="60"/>
      <c r="AO44" s="60"/>
      <c r="AP44" s="61"/>
    </row>
    <row r="45" spans="3:43" ht="14.25" customHeight="1">
      <c r="C45" s="55">
        <f>IF($X45=1,COUNTIF($C$10:C44,"&gt;0")+1,"")</f>
        <v>19</v>
      </c>
      <c r="D45" s="56">
        <v>70499001</v>
      </c>
      <c r="E45" s="56" t="s">
        <v>5007</v>
      </c>
      <c r="F45" s="57" t="s">
        <v>5142</v>
      </c>
      <c r="G45" s="56" t="s">
        <v>5142</v>
      </c>
      <c r="H45" s="56" t="s">
        <v>5143</v>
      </c>
      <c r="I45" s="56" t="s">
        <v>5144</v>
      </c>
      <c r="J45" s="56" t="s">
        <v>58</v>
      </c>
      <c r="K45" s="56" t="s">
        <v>59</v>
      </c>
      <c r="L45" s="58">
        <v>27069</v>
      </c>
      <c r="M45" s="56">
        <v>51</v>
      </c>
      <c r="N45" s="56" t="s">
        <v>5145</v>
      </c>
      <c r="O45" s="58">
        <v>49009</v>
      </c>
      <c r="P45" s="56" t="s">
        <v>4</v>
      </c>
      <c r="Q45" s="56"/>
      <c r="R45" s="270">
        <v>45913</v>
      </c>
      <c r="S45" s="270">
        <v>45918</v>
      </c>
      <c r="T45" s="51">
        <f t="shared" si="0"/>
        <v>5</v>
      </c>
      <c r="U45" s="56">
        <v>1</v>
      </c>
      <c r="V45" s="56">
        <v>1</v>
      </c>
      <c r="W45" s="56">
        <v>0</v>
      </c>
      <c r="X45" s="56">
        <v>1</v>
      </c>
      <c r="Y45" s="56">
        <v>0</v>
      </c>
      <c r="Z45" s="56">
        <v>1</v>
      </c>
      <c r="AA45" s="56">
        <v>0</v>
      </c>
      <c r="AB45" s="56"/>
      <c r="AC45" s="58">
        <v>45913</v>
      </c>
      <c r="AD45" s="59">
        <v>0.57638888889050577</v>
      </c>
      <c r="AE45" s="56" t="s">
        <v>5146</v>
      </c>
      <c r="AF45" s="58">
        <v>45918</v>
      </c>
      <c r="AG45" s="59">
        <v>0.34722222221898846</v>
      </c>
      <c r="AH45" s="56" t="s">
        <v>4006</v>
      </c>
      <c r="AI45" s="56" t="s">
        <v>5015</v>
      </c>
      <c r="AJ45" s="56" t="s">
        <v>64</v>
      </c>
      <c r="AK45" s="74" t="s">
        <v>5147</v>
      </c>
      <c r="AL45" s="56" t="s">
        <v>5016</v>
      </c>
      <c r="AM45" s="56" t="s">
        <v>65</v>
      </c>
      <c r="AN45" s="60" t="s">
        <v>5017</v>
      </c>
      <c r="AO45" s="60"/>
      <c r="AP45" s="61"/>
      <c r="AQ45" s="271" t="s">
        <v>5064</v>
      </c>
    </row>
    <row r="46" spans="3:43" ht="14.25" customHeight="1">
      <c r="C46" s="55" t="str">
        <f>IF($X46=1,COUNTIF($C$10:C45,"&gt;0")+1,"")</f>
        <v/>
      </c>
      <c r="D46" s="56">
        <v>70499001</v>
      </c>
      <c r="E46" s="56" t="s">
        <v>5007</v>
      </c>
      <c r="F46" s="57" t="s">
        <v>5148</v>
      </c>
      <c r="G46" s="56" t="s">
        <v>5142</v>
      </c>
      <c r="H46" s="56" t="s">
        <v>5149</v>
      </c>
      <c r="I46" s="56" t="s">
        <v>281</v>
      </c>
      <c r="J46" s="56" t="s">
        <v>68</v>
      </c>
      <c r="K46" s="56" t="s">
        <v>59</v>
      </c>
      <c r="L46" s="58">
        <v>27826</v>
      </c>
      <c r="M46" s="56">
        <v>49</v>
      </c>
      <c r="N46" s="56" t="s">
        <v>5150</v>
      </c>
      <c r="O46" s="58">
        <v>49219</v>
      </c>
      <c r="P46" s="56" t="s">
        <v>4</v>
      </c>
      <c r="Q46" s="56"/>
      <c r="R46" s="270">
        <v>45913</v>
      </c>
      <c r="S46" s="270">
        <v>45918</v>
      </c>
      <c r="T46" s="51">
        <f t="shared" si="0"/>
        <v>5</v>
      </c>
      <c r="U46" s="56">
        <v>1</v>
      </c>
      <c r="V46" s="56">
        <v>1</v>
      </c>
      <c r="W46" s="56">
        <v>0</v>
      </c>
      <c r="X46" s="56">
        <v>0</v>
      </c>
      <c r="Y46" s="56">
        <v>0</v>
      </c>
      <c r="Z46" s="56">
        <v>0</v>
      </c>
      <c r="AA46" s="56">
        <v>0</v>
      </c>
      <c r="AB46" s="56"/>
      <c r="AC46" s="58">
        <v>45913</v>
      </c>
      <c r="AD46" s="59">
        <v>0.57638888889050577</v>
      </c>
      <c r="AE46" s="56" t="s">
        <v>5146</v>
      </c>
      <c r="AF46" s="58">
        <v>45918</v>
      </c>
      <c r="AG46" s="59">
        <v>0.34722222221898846</v>
      </c>
      <c r="AH46" s="56" t="s">
        <v>4006</v>
      </c>
      <c r="AI46" s="56" t="s">
        <v>5015</v>
      </c>
      <c r="AJ46" s="56" t="s">
        <v>64</v>
      </c>
      <c r="AK46" s="74" t="s">
        <v>64</v>
      </c>
      <c r="AL46" s="56" t="s">
        <v>5016</v>
      </c>
      <c r="AM46" s="56" t="s">
        <v>65</v>
      </c>
      <c r="AN46" s="60" t="s">
        <v>5017</v>
      </c>
      <c r="AO46" s="60"/>
      <c r="AP46" s="61"/>
      <c r="AQ46" s="271" t="s">
        <v>5064</v>
      </c>
    </row>
    <row r="47" spans="3:43" ht="14.25" customHeight="1">
      <c r="C47" s="55">
        <f>IF($X47=1,COUNTIF($C$10:C46,"&gt;0")+1,"")</f>
        <v>20</v>
      </c>
      <c r="D47" s="56">
        <v>70273388</v>
      </c>
      <c r="E47" s="56" t="s">
        <v>5007</v>
      </c>
      <c r="F47" s="57" t="s">
        <v>5151</v>
      </c>
      <c r="G47" s="56" t="s">
        <v>5142</v>
      </c>
      <c r="H47" s="56" t="s">
        <v>5152</v>
      </c>
      <c r="I47" s="56" t="s">
        <v>3227</v>
      </c>
      <c r="J47" s="56" t="s">
        <v>68</v>
      </c>
      <c r="K47" s="56" t="s">
        <v>59</v>
      </c>
      <c r="L47" s="58">
        <v>21436</v>
      </c>
      <c r="M47" s="56">
        <v>67</v>
      </c>
      <c r="N47" s="56" t="s">
        <v>5153</v>
      </c>
      <c r="O47" s="58">
        <v>47271</v>
      </c>
      <c r="P47" s="56" t="s">
        <v>5</v>
      </c>
      <c r="Q47" s="56"/>
      <c r="R47" s="270">
        <v>45913</v>
      </c>
      <c r="S47" s="270">
        <v>45918</v>
      </c>
      <c r="T47" s="51">
        <f t="shared" si="0"/>
        <v>5</v>
      </c>
      <c r="U47" s="56">
        <v>1</v>
      </c>
      <c r="V47" s="56">
        <v>1</v>
      </c>
      <c r="W47" s="56">
        <v>0</v>
      </c>
      <c r="X47" s="56">
        <v>1</v>
      </c>
      <c r="Y47" s="56">
        <v>0</v>
      </c>
      <c r="Z47" s="56">
        <v>0</v>
      </c>
      <c r="AA47" s="56">
        <v>1</v>
      </c>
      <c r="AB47" s="56"/>
      <c r="AC47" s="58">
        <v>45911</v>
      </c>
      <c r="AD47" s="59">
        <v>0.80555555555474712</v>
      </c>
      <c r="AE47" s="56" t="s">
        <v>808</v>
      </c>
      <c r="AF47" s="58">
        <v>45918</v>
      </c>
      <c r="AG47" s="59">
        <v>0.62152777778101154</v>
      </c>
      <c r="AH47" s="56" t="s">
        <v>2384</v>
      </c>
      <c r="AI47" s="56" t="s">
        <v>5015</v>
      </c>
      <c r="AJ47" s="56" t="s">
        <v>64</v>
      </c>
      <c r="AK47" s="74" t="s">
        <v>5154</v>
      </c>
      <c r="AL47" s="56" t="s">
        <v>5016</v>
      </c>
      <c r="AM47" s="56" t="s">
        <v>65</v>
      </c>
      <c r="AN47" s="60"/>
      <c r="AO47" s="60"/>
      <c r="AP47" s="61"/>
    </row>
    <row r="48" spans="3:43" ht="14.25" customHeight="1">
      <c r="C48" s="55" t="str">
        <f>IF($X48=1,COUNTIF($C$10:C47,"&gt;0")+1,"")</f>
        <v/>
      </c>
      <c r="D48" s="56">
        <v>70273388</v>
      </c>
      <c r="E48" s="56" t="s">
        <v>5007</v>
      </c>
      <c r="F48" s="57" t="s">
        <v>5155</v>
      </c>
      <c r="G48" s="56" t="s">
        <v>5142</v>
      </c>
      <c r="H48" s="56" t="s">
        <v>5156</v>
      </c>
      <c r="I48" s="56" t="s">
        <v>281</v>
      </c>
      <c r="J48" s="56" t="s">
        <v>68</v>
      </c>
      <c r="K48" s="56" t="s">
        <v>59</v>
      </c>
      <c r="L48" s="58">
        <v>40706</v>
      </c>
      <c r="M48" s="56">
        <v>14</v>
      </c>
      <c r="N48" s="56" t="s">
        <v>5157</v>
      </c>
      <c r="O48" s="58">
        <v>46214</v>
      </c>
      <c r="P48" s="56" t="s">
        <v>5</v>
      </c>
      <c r="Q48" s="56"/>
      <c r="R48" s="270">
        <v>45913</v>
      </c>
      <c r="S48" s="270">
        <v>45918</v>
      </c>
      <c r="T48" s="51">
        <f t="shared" si="0"/>
        <v>5</v>
      </c>
      <c r="U48" s="56">
        <v>1</v>
      </c>
      <c r="V48" s="56">
        <v>1</v>
      </c>
      <c r="W48" s="56">
        <v>0</v>
      </c>
      <c r="X48" s="56">
        <v>0</v>
      </c>
      <c r="Y48" s="56">
        <v>0</v>
      </c>
      <c r="Z48" s="56">
        <v>0</v>
      </c>
      <c r="AA48" s="56">
        <v>0</v>
      </c>
      <c r="AB48" s="56"/>
      <c r="AC48" s="58">
        <v>45913</v>
      </c>
      <c r="AD48" s="59">
        <v>0.57638888889050577</v>
      </c>
      <c r="AE48" s="56" t="s">
        <v>5146</v>
      </c>
      <c r="AF48" s="58">
        <v>45918</v>
      </c>
      <c r="AG48" s="59">
        <v>0.34722222221898846</v>
      </c>
      <c r="AH48" s="56" t="s">
        <v>4006</v>
      </c>
      <c r="AI48" s="56" t="s">
        <v>5015</v>
      </c>
      <c r="AJ48" s="56" t="s">
        <v>64</v>
      </c>
      <c r="AK48" s="74" t="s">
        <v>64</v>
      </c>
      <c r="AL48" s="56" t="s">
        <v>5016</v>
      </c>
      <c r="AM48" s="56" t="s">
        <v>65</v>
      </c>
      <c r="AN48" s="60"/>
      <c r="AO48" s="60"/>
      <c r="AP48" s="61"/>
    </row>
    <row r="49" spans="3:43" ht="14.25" customHeight="1">
      <c r="C49" s="55">
        <f>IF($X49=1,COUNTIF($C$10:C48,"&gt;0")+1,"")</f>
        <v>21</v>
      </c>
      <c r="D49" s="56">
        <v>70124334</v>
      </c>
      <c r="E49" s="56" t="s">
        <v>5007</v>
      </c>
      <c r="F49" s="57" t="s">
        <v>5158</v>
      </c>
      <c r="G49" s="56" t="s">
        <v>5158</v>
      </c>
      <c r="H49" s="56" t="s">
        <v>5159</v>
      </c>
      <c r="I49" s="56" t="s">
        <v>5160</v>
      </c>
      <c r="J49" s="56" t="s">
        <v>68</v>
      </c>
      <c r="K49" s="56" t="s">
        <v>59</v>
      </c>
      <c r="L49" s="58">
        <v>25556</v>
      </c>
      <c r="M49" s="56">
        <v>55</v>
      </c>
      <c r="N49" s="56" t="s">
        <v>5161</v>
      </c>
      <c r="O49" s="58">
        <v>49104</v>
      </c>
      <c r="P49" s="56" t="s">
        <v>4</v>
      </c>
      <c r="Q49" s="56"/>
      <c r="R49" s="270">
        <v>45913</v>
      </c>
      <c r="S49" s="270">
        <v>45918</v>
      </c>
      <c r="T49" s="51">
        <f t="shared" si="0"/>
        <v>5</v>
      </c>
      <c r="U49" s="56">
        <v>1</v>
      </c>
      <c r="V49" s="56">
        <v>1</v>
      </c>
      <c r="W49" s="56">
        <v>0</v>
      </c>
      <c r="X49" s="56">
        <v>1</v>
      </c>
      <c r="Y49" s="56">
        <v>0</v>
      </c>
      <c r="Z49" s="56">
        <v>1</v>
      </c>
      <c r="AA49" s="56">
        <v>0</v>
      </c>
      <c r="AB49" s="56"/>
      <c r="AC49" s="58">
        <v>45911</v>
      </c>
      <c r="AD49" s="59">
        <v>0.80555555555474712</v>
      </c>
      <c r="AE49" s="56" t="s">
        <v>808</v>
      </c>
      <c r="AF49" s="58">
        <v>45918</v>
      </c>
      <c r="AG49" s="59">
        <v>0.62152777778101154</v>
      </c>
      <c r="AH49" s="56" t="s">
        <v>2384</v>
      </c>
      <c r="AI49" s="56" t="s">
        <v>5015</v>
      </c>
      <c r="AJ49" s="56" t="s">
        <v>64</v>
      </c>
      <c r="AK49" s="56" t="s">
        <v>64</v>
      </c>
      <c r="AL49" s="56" t="s">
        <v>5016</v>
      </c>
      <c r="AM49" s="56" t="s">
        <v>65</v>
      </c>
      <c r="AN49" s="60"/>
      <c r="AO49" s="60"/>
      <c r="AP49" s="61"/>
    </row>
    <row r="50" spans="3:43" ht="14.25" customHeight="1">
      <c r="C50" s="55" t="str">
        <f>IF($X50=1,COUNTIF($C$10:C49,"&gt;0")+1,"")</f>
        <v/>
      </c>
      <c r="D50" s="56">
        <v>70124334</v>
      </c>
      <c r="E50" s="56" t="s">
        <v>5007</v>
      </c>
      <c r="F50" s="57" t="s">
        <v>5162</v>
      </c>
      <c r="G50" s="56" t="s">
        <v>5158</v>
      </c>
      <c r="H50" s="56" t="s">
        <v>5163</v>
      </c>
      <c r="I50" s="56" t="s">
        <v>5160</v>
      </c>
      <c r="J50" s="56" t="s">
        <v>58</v>
      </c>
      <c r="K50" s="56" t="s">
        <v>59</v>
      </c>
      <c r="L50" s="58">
        <v>25470</v>
      </c>
      <c r="M50" s="56">
        <v>55</v>
      </c>
      <c r="N50" s="56" t="s">
        <v>5164</v>
      </c>
      <c r="O50" s="58">
        <v>48995</v>
      </c>
      <c r="P50" s="56" t="s">
        <v>4</v>
      </c>
      <c r="Q50" s="56"/>
      <c r="R50" s="270">
        <v>45913</v>
      </c>
      <c r="S50" s="270">
        <v>45918</v>
      </c>
      <c r="T50" s="51">
        <f t="shared" si="0"/>
        <v>5</v>
      </c>
      <c r="U50" s="56">
        <v>1</v>
      </c>
      <c r="V50" s="56">
        <v>1</v>
      </c>
      <c r="W50" s="56">
        <v>0</v>
      </c>
      <c r="X50" s="56">
        <v>0</v>
      </c>
      <c r="Y50" s="56">
        <v>0</v>
      </c>
      <c r="Z50" s="56">
        <v>0</v>
      </c>
      <c r="AA50" s="56">
        <v>0</v>
      </c>
      <c r="AB50" s="56"/>
      <c r="AC50" s="58">
        <v>45911</v>
      </c>
      <c r="AD50" s="59">
        <v>0.80555555555474712</v>
      </c>
      <c r="AE50" s="56" t="s">
        <v>808</v>
      </c>
      <c r="AF50" s="58">
        <v>45918</v>
      </c>
      <c r="AG50" s="59">
        <v>0.62152777778101154</v>
      </c>
      <c r="AH50" s="56" t="s">
        <v>2384</v>
      </c>
      <c r="AI50" s="56" t="s">
        <v>5015</v>
      </c>
      <c r="AJ50" s="56" t="s">
        <v>64</v>
      </c>
      <c r="AK50" s="56" t="s">
        <v>64</v>
      </c>
      <c r="AL50" s="56" t="s">
        <v>5016</v>
      </c>
      <c r="AM50" s="56" t="s">
        <v>65</v>
      </c>
      <c r="AN50" s="60"/>
      <c r="AO50" s="60"/>
      <c r="AP50" s="61"/>
    </row>
    <row r="51" spans="3:43" ht="14.25" customHeight="1">
      <c r="C51" s="55">
        <f>IF($X51=1,COUNTIF($C$10:C50,"&gt;0")+1,"")</f>
        <v>22</v>
      </c>
      <c r="D51" s="56">
        <v>70140208</v>
      </c>
      <c r="E51" s="56" t="s">
        <v>5007</v>
      </c>
      <c r="F51" s="57" t="s">
        <v>5165</v>
      </c>
      <c r="G51" s="56" t="s">
        <v>5165</v>
      </c>
      <c r="H51" s="56" t="s">
        <v>5166</v>
      </c>
      <c r="I51" s="56" t="s">
        <v>5167</v>
      </c>
      <c r="J51" s="56" t="s">
        <v>68</v>
      </c>
      <c r="K51" s="56" t="s">
        <v>59</v>
      </c>
      <c r="L51" s="58">
        <v>26133</v>
      </c>
      <c r="M51" s="56">
        <v>54</v>
      </c>
      <c r="N51" s="56" t="s">
        <v>5168</v>
      </c>
      <c r="O51" s="58">
        <v>46412</v>
      </c>
      <c r="P51" s="56" t="s">
        <v>4</v>
      </c>
      <c r="Q51" s="56"/>
      <c r="R51" s="270">
        <v>45913</v>
      </c>
      <c r="S51" s="270">
        <v>45918</v>
      </c>
      <c r="T51" s="51">
        <f t="shared" si="0"/>
        <v>5</v>
      </c>
      <c r="U51" s="56">
        <v>1</v>
      </c>
      <c r="V51" s="56">
        <v>1</v>
      </c>
      <c r="W51" s="56">
        <v>0</v>
      </c>
      <c r="X51" s="56">
        <v>1</v>
      </c>
      <c r="Y51" s="56">
        <v>0</v>
      </c>
      <c r="Z51" s="56">
        <v>1</v>
      </c>
      <c r="AA51" s="56">
        <v>0</v>
      </c>
      <c r="AB51" s="56"/>
      <c r="AC51" s="58">
        <v>45913</v>
      </c>
      <c r="AD51" s="59">
        <v>0.59722222221898846</v>
      </c>
      <c r="AE51" s="56" t="s">
        <v>5169</v>
      </c>
      <c r="AF51" s="58">
        <v>45918</v>
      </c>
      <c r="AG51" s="59">
        <v>0.53125</v>
      </c>
      <c r="AH51" s="56" t="s">
        <v>269</v>
      </c>
      <c r="AI51" s="56" t="s">
        <v>5015</v>
      </c>
      <c r="AJ51" s="56" t="s">
        <v>64</v>
      </c>
      <c r="AK51" s="56" t="s">
        <v>64</v>
      </c>
      <c r="AL51" s="56" t="s">
        <v>5016</v>
      </c>
      <c r="AM51" s="56" t="s">
        <v>65</v>
      </c>
      <c r="AN51" s="60"/>
      <c r="AO51" s="60"/>
      <c r="AP51" s="61"/>
    </row>
    <row r="52" spans="3:43" ht="14.25" customHeight="1">
      <c r="C52" s="55" t="str">
        <f>IF($X52=1,COUNTIF($C$10:C51,"&gt;0")+1,"")</f>
        <v/>
      </c>
      <c r="D52" s="56">
        <v>70140208</v>
      </c>
      <c r="E52" s="56" t="s">
        <v>5007</v>
      </c>
      <c r="F52" s="57" t="s">
        <v>5170</v>
      </c>
      <c r="G52" s="56" t="s">
        <v>5165</v>
      </c>
      <c r="H52" s="56" t="s">
        <v>5171</v>
      </c>
      <c r="I52" s="56" t="s">
        <v>5167</v>
      </c>
      <c r="J52" s="56" t="s">
        <v>58</v>
      </c>
      <c r="K52" s="56" t="s">
        <v>59</v>
      </c>
      <c r="L52" s="58">
        <v>23743</v>
      </c>
      <c r="M52" s="56">
        <v>60</v>
      </c>
      <c r="N52" s="56" t="s">
        <v>5172</v>
      </c>
      <c r="O52" s="58">
        <v>48156</v>
      </c>
      <c r="P52" s="56" t="s">
        <v>4</v>
      </c>
      <c r="Q52" s="56"/>
      <c r="R52" s="270">
        <v>45913</v>
      </c>
      <c r="S52" s="270">
        <v>45918</v>
      </c>
      <c r="T52" s="51">
        <f t="shared" si="0"/>
        <v>5</v>
      </c>
      <c r="U52" s="56">
        <v>1</v>
      </c>
      <c r="V52" s="56">
        <v>1</v>
      </c>
      <c r="W52" s="56">
        <v>0</v>
      </c>
      <c r="X52" s="56">
        <v>0</v>
      </c>
      <c r="Y52" s="56">
        <v>0</v>
      </c>
      <c r="Z52" s="56">
        <v>0</v>
      </c>
      <c r="AA52" s="56">
        <v>0</v>
      </c>
      <c r="AB52" s="56"/>
      <c r="AC52" s="58">
        <v>45913</v>
      </c>
      <c r="AD52" s="59">
        <v>0.59722222221898846</v>
      </c>
      <c r="AE52" s="56" t="s">
        <v>5169</v>
      </c>
      <c r="AF52" s="58">
        <v>45918</v>
      </c>
      <c r="AG52" s="59">
        <v>0.53125</v>
      </c>
      <c r="AH52" s="56" t="s">
        <v>269</v>
      </c>
      <c r="AI52" s="56" t="s">
        <v>5015</v>
      </c>
      <c r="AJ52" s="56" t="s">
        <v>64</v>
      </c>
      <c r="AK52" s="56" t="s">
        <v>64</v>
      </c>
      <c r="AL52" s="56" t="s">
        <v>5016</v>
      </c>
      <c r="AM52" s="56" t="s">
        <v>65</v>
      </c>
      <c r="AN52" s="60"/>
      <c r="AO52" s="60"/>
      <c r="AP52" s="61"/>
    </row>
    <row r="53" spans="3:43" ht="14.25" customHeight="1">
      <c r="C53" s="55">
        <f>IF($X53=1,COUNTIF($C$10:C52,"&gt;0")+1,"")</f>
        <v>23</v>
      </c>
      <c r="D53" s="56">
        <v>70140223</v>
      </c>
      <c r="E53" s="56" t="s">
        <v>5007</v>
      </c>
      <c r="F53" s="57" t="s">
        <v>5173</v>
      </c>
      <c r="G53" s="56" t="s">
        <v>5173</v>
      </c>
      <c r="H53" s="56" t="s">
        <v>5174</v>
      </c>
      <c r="I53" s="56" t="s">
        <v>5175</v>
      </c>
      <c r="J53" s="56" t="s">
        <v>58</v>
      </c>
      <c r="K53" s="56" t="s">
        <v>59</v>
      </c>
      <c r="L53" s="58">
        <v>25401</v>
      </c>
      <c r="M53" s="56">
        <v>56</v>
      </c>
      <c r="N53" s="56" t="s">
        <v>5176</v>
      </c>
      <c r="O53" s="58">
        <v>48187</v>
      </c>
      <c r="P53" s="56" t="s">
        <v>4</v>
      </c>
      <c r="Q53" s="56"/>
      <c r="R53" s="270">
        <v>45913</v>
      </c>
      <c r="S53" s="270">
        <v>45918</v>
      </c>
      <c r="T53" s="51">
        <f t="shared" si="0"/>
        <v>5</v>
      </c>
      <c r="U53" s="56">
        <v>1</v>
      </c>
      <c r="V53" s="56">
        <v>1</v>
      </c>
      <c r="W53" s="56">
        <v>0</v>
      </c>
      <c r="X53" s="56">
        <v>1</v>
      </c>
      <c r="Y53" s="56">
        <v>0</v>
      </c>
      <c r="Z53" s="56">
        <v>1</v>
      </c>
      <c r="AA53" s="56">
        <v>0</v>
      </c>
      <c r="AB53" s="56"/>
      <c r="AC53" s="58">
        <v>45913</v>
      </c>
      <c r="AD53" s="59">
        <v>0.19444444444525288</v>
      </c>
      <c r="AE53" s="56" t="s">
        <v>5081</v>
      </c>
      <c r="AF53" s="58">
        <v>45918</v>
      </c>
      <c r="AG53" s="59">
        <v>0.53125</v>
      </c>
      <c r="AH53" s="56" t="s">
        <v>269</v>
      </c>
      <c r="AI53" s="56" t="s">
        <v>5015</v>
      </c>
      <c r="AJ53" s="56" t="s">
        <v>64</v>
      </c>
      <c r="AK53" s="56" t="s">
        <v>64</v>
      </c>
      <c r="AL53" s="56" t="s">
        <v>5016</v>
      </c>
      <c r="AM53" s="56" t="s">
        <v>65</v>
      </c>
      <c r="AN53" s="60"/>
      <c r="AO53" s="60"/>
      <c r="AP53" s="61"/>
    </row>
    <row r="54" spans="3:43" ht="14.25" customHeight="1">
      <c r="C54" s="55" t="str">
        <f>IF($X54=1,COUNTIF($C$10:C53,"&gt;0")+1,"")</f>
        <v/>
      </c>
      <c r="D54" s="56">
        <v>70140223</v>
      </c>
      <c r="E54" s="56" t="s">
        <v>5007</v>
      </c>
      <c r="F54" s="57" t="s">
        <v>5177</v>
      </c>
      <c r="G54" s="56" t="s">
        <v>5173</v>
      </c>
      <c r="H54" s="56" t="s">
        <v>5178</v>
      </c>
      <c r="I54" s="56" t="s">
        <v>5179</v>
      </c>
      <c r="J54" s="56" t="s">
        <v>68</v>
      </c>
      <c r="K54" s="56" t="s">
        <v>59</v>
      </c>
      <c r="L54" s="58">
        <v>25123</v>
      </c>
      <c r="M54" s="56">
        <v>56</v>
      </c>
      <c r="N54" s="56" t="s">
        <v>5180</v>
      </c>
      <c r="O54" s="58">
        <v>48187</v>
      </c>
      <c r="P54" s="56" t="s">
        <v>4</v>
      </c>
      <c r="Q54" s="56"/>
      <c r="R54" s="270">
        <v>45913</v>
      </c>
      <c r="S54" s="270">
        <v>45918</v>
      </c>
      <c r="T54" s="51">
        <f t="shared" si="0"/>
        <v>5</v>
      </c>
      <c r="U54" s="56">
        <v>1</v>
      </c>
      <c r="V54" s="56">
        <v>1</v>
      </c>
      <c r="W54" s="56">
        <v>0</v>
      </c>
      <c r="X54" s="56">
        <v>0</v>
      </c>
      <c r="Y54" s="56">
        <v>0</v>
      </c>
      <c r="Z54" s="56">
        <v>0</v>
      </c>
      <c r="AA54" s="56">
        <v>0</v>
      </c>
      <c r="AB54" s="56"/>
      <c r="AC54" s="58">
        <v>45913</v>
      </c>
      <c r="AD54" s="59">
        <v>0.19444444444525288</v>
      </c>
      <c r="AE54" s="56" t="s">
        <v>5081</v>
      </c>
      <c r="AF54" s="58">
        <v>45918</v>
      </c>
      <c r="AG54" s="59">
        <v>0.53125</v>
      </c>
      <c r="AH54" s="56" t="s">
        <v>269</v>
      </c>
      <c r="AI54" s="56" t="s">
        <v>5015</v>
      </c>
      <c r="AJ54" s="56" t="s">
        <v>64</v>
      </c>
      <c r="AK54" s="56" t="s">
        <v>64</v>
      </c>
      <c r="AL54" s="56" t="s">
        <v>5016</v>
      </c>
      <c r="AM54" s="56" t="s">
        <v>65</v>
      </c>
      <c r="AN54" s="60"/>
      <c r="AO54" s="60"/>
      <c r="AP54" s="61"/>
    </row>
    <row r="55" spans="3:43" ht="14.25" customHeight="1">
      <c r="C55" s="55">
        <f>IF($X55=1,COUNTIF($C$10:C54,"&gt;0")+1,"")</f>
        <v>24</v>
      </c>
      <c r="D55" s="56">
        <v>70140224</v>
      </c>
      <c r="E55" s="56" t="s">
        <v>5007</v>
      </c>
      <c r="F55" s="57" t="s">
        <v>5181</v>
      </c>
      <c r="G55" s="56" t="s">
        <v>5181</v>
      </c>
      <c r="H55" s="56" t="s">
        <v>5182</v>
      </c>
      <c r="I55" s="56" t="s">
        <v>5183</v>
      </c>
      <c r="J55" s="56" t="s">
        <v>58</v>
      </c>
      <c r="K55" s="56" t="s">
        <v>59</v>
      </c>
      <c r="L55" s="58">
        <v>28128</v>
      </c>
      <c r="M55" s="56">
        <v>48</v>
      </c>
      <c r="N55" s="56" t="s">
        <v>5184</v>
      </c>
      <c r="O55" s="58">
        <v>47149</v>
      </c>
      <c r="P55" s="56" t="s">
        <v>4</v>
      </c>
      <c r="Q55" s="56"/>
      <c r="R55" s="270">
        <v>45913</v>
      </c>
      <c r="S55" s="270">
        <v>45918</v>
      </c>
      <c r="T55" s="51">
        <f t="shared" si="0"/>
        <v>5</v>
      </c>
      <c r="U55" s="56">
        <v>1</v>
      </c>
      <c r="V55" s="56">
        <v>1</v>
      </c>
      <c r="W55" s="56">
        <v>0</v>
      </c>
      <c r="X55" s="56">
        <v>1</v>
      </c>
      <c r="Y55" s="56">
        <v>0</v>
      </c>
      <c r="Z55" s="56">
        <v>1</v>
      </c>
      <c r="AA55" s="56">
        <v>0</v>
      </c>
      <c r="AB55" s="56"/>
      <c r="AC55" s="58">
        <v>45913</v>
      </c>
      <c r="AD55" s="59">
        <v>0.65625</v>
      </c>
      <c r="AE55" s="56" t="s">
        <v>1385</v>
      </c>
      <c r="AF55" s="58">
        <v>45918</v>
      </c>
      <c r="AG55" s="59">
        <v>0.53125</v>
      </c>
      <c r="AH55" s="56" t="s">
        <v>269</v>
      </c>
      <c r="AI55" s="56" t="s">
        <v>5015</v>
      </c>
      <c r="AJ55" s="56" t="s">
        <v>64</v>
      </c>
      <c r="AK55" s="56" t="s">
        <v>64</v>
      </c>
      <c r="AL55" s="56" t="s">
        <v>5016</v>
      </c>
      <c r="AM55" s="56" t="s">
        <v>65</v>
      </c>
      <c r="AN55" s="60"/>
      <c r="AO55" s="60"/>
      <c r="AP55" s="61"/>
    </row>
    <row r="56" spans="3:43" ht="14.25" customHeight="1">
      <c r="C56" s="55" t="str">
        <f>IF($X56=1,COUNTIF($C$10:C55,"&gt;0")+1,"")</f>
        <v/>
      </c>
      <c r="D56" s="56">
        <v>70140224</v>
      </c>
      <c r="E56" s="56" t="s">
        <v>5007</v>
      </c>
      <c r="F56" s="57" t="s">
        <v>5185</v>
      </c>
      <c r="G56" s="56" t="s">
        <v>5181</v>
      </c>
      <c r="H56" s="56" t="s">
        <v>5186</v>
      </c>
      <c r="I56" s="56" t="s">
        <v>5187</v>
      </c>
      <c r="J56" s="56" t="s">
        <v>68</v>
      </c>
      <c r="K56" s="56" t="s">
        <v>59</v>
      </c>
      <c r="L56" s="58">
        <v>28410</v>
      </c>
      <c r="M56" s="56">
        <v>47</v>
      </c>
      <c r="N56" s="56" t="s">
        <v>5188</v>
      </c>
      <c r="O56" s="58">
        <v>47150</v>
      </c>
      <c r="P56" s="56" t="s">
        <v>4</v>
      </c>
      <c r="Q56" s="56"/>
      <c r="R56" s="270">
        <v>45913</v>
      </c>
      <c r="S56" s="270">
        <v>45918</v>
      </c>
      <c r="T56" s="51">
        <f t="shared" si="0"/>
        <v>5</v>
      </c>
      <c r="U56" s="56">
        <v>1</v>
      </c>
      <c r="V56" s="56">
        <v>1</v>
      </c>
      <c r="W56" s="56">
        <v>0</v>
      </c>
      <c r="X56" s="56">
        <v>0</v>
      </c>
      <c r="Y56" s="56">
        <v>0</v>
      </c>
      <c r="Z56" s="56">
        <v>0</v>
      </c>
      <c r="AA56" s="56">
        <v>0</v>
      </c>
      <c r="AB56" s="56"/>
      <c r="AC56" s="58">
        <v>45913</v>
      </c>
      <c r="AD56" s="59">
        <v>0.65625</v>
      </c>
      <c r="AE56" s="56" t="s">
        <v>1385</v>
      </c>
      <c r="AF56" s="58">
        <v>45918</v>
      </c>
      <c r="AG56" s="59">
        <v>0.53125</v>
      </c>
      <c r="AH56" s="56" t="s">
        <v>269</v>
      </c>
      <c r="AI56" s="56" t="s">
        <v>5015</v>
      </c>
      <c r="AJ56" s="56" t="s">
        <v>64</v>
      </c>
      <c r="AK56" s="56" t="s">
        <v>64</v>
      </c>
      <c r="AL56" s="56" t="s">
        <v>5016</v>
      </c>
      <c r="AM56" s="56" t="s">
        <v>65</v>
      </c>
      <c r="AN56" s="60"/>
      <c r="AO56" s="60"/>
      <c r="AP56" s="61"/>
    </row>
    <row r="57" spans="3:43" ht="14.25" customHeight="1">
      <c r="C57" s="55">
        <f>IF($X57=1,COUNTIF($C$10:C56,"&gt;0")+1,"")</f>
        <v>25</v>
      </c>
      <c r="D57" s="56">
        <v>70273395</v>
      </c>
      <c r="E57" s="56" t="s">
        <v>5007</v>
      </c>
      <c r="F57" s="57" t="s">
        <v>5189</v>
      </c>
      <c r="G57" s="56" t="s">
        <v>5189</v>
      </c>
      <c r="H57" s="56" t="s">
        <v>5190</v>
      </c>
      <c r="I57" s="56" t="s">
        <v>5191</v>
      </c>
      <c r="J57" s="56" t="s">
        <v>68</v>
      </c>
      <c r="K57" s="56" t="s">
        <v>59</v>
      </c>
      <c r="L57" s="58">
        <v>36290</v>
      </c>
      <c r="M57" s="56">
        <v>26</v>
      </c>
      <c r="N57" s="56" t="s">
        <v>5192</v>
      </c>
      <c r="O57" s="58">
        <v>45820</v>
      </c>
      <c r="P57" s="56" t="s">
        <v>5</v>
      </c>
      <c r="Q57" s="56"/>
      <c r="R57" s="270">
        <v>45913</v>
      </c>
      <c r="S57" s="270">
        <v>45918</v>
      </c>
      <c r="T57" s="51">
        <f t="shared" si="0"/>
        <v>5</v>
      </c>
      <c r="U57" s="56">
        <v>1</v>
      </c>
      <c r="V57" s="56">
        <v>1</v>
      </c>
      <c r="W57" s="56">
        <v>0</v>
      </c>
      <c r="X57" s="56">
        <v>1</v>
      </c>
      <c r="Y57" s="56">
        <v>0</v>
      </c>
      <c r="Z57" s="56">
        <v>0</v>
      </c>
      <c r="AA57" s="56">
        <v>1</v>
      </c>
      <c r="AB57" s="56"/>
      <c r="AC57" s="58">
        <v>45913</v>
      </c>
      <c r="AD57" s="59">
        <v>0.65625</v>
      </c>
      <c r="AE57" s="56" t="s">
        <v>1385</v>
      </c>
      <c r="AF57" s="58">
        <v>45918</v>
      </c>
      <c r="AG57" s="59">
        <v>0.53125</v>
      </c>
      <c r="AH57" s="56" t="s">
        <v>269</v>
      </c>
      <c r="AI57" s="56" t="s">
        <v>5015</v>
      </c>
      <c r="AJ57" s="56" t="s">
        <v>64</v>
      </c>
      <c r="AK57" s="56" t="s">
        <v>64</v>
      </c>
      <c r="AL57" s="56" t="s">
        <v>5016</v>
      </c>
      <c r="AM57" s="56" t="s">
        <v>65</v>
      </c>
      <c r="AN57" s="60"/>
      <c r="AO57" s="60"/>
      <c r="AP57" s="61"/>
    </row>
    <row r="58" spans="3:43" ht="14.25" customHeight="1">
      <c r="C58" s="55" t="str">
        <f>IF($X58=1,COUNTIF($C$10:C57,"&gt;0")+1,"")</f>
        <v/>
      </c>
      <c r="D58" s="56">
        <v>70273395</v>
      </c>
      <c r="E58" s="56" t="s">
        <v>5007</v>
      </c>
      <c r="F58" s="57" t="s">
        <v>5193</v>
      </c>
      <c r="G58" s="56" t="s">
        <v>5189</v>
      </c>
      <c r="H58" s="56" t="s">
        <v>5194</v>
      </c>
      <c r="I58" s="56" t="s">
        <v>5191</v>
      </c>
      <c r="J58" s="56" t="s">
        <v>68</v>
      </c>
      <c r="K58" s="56" t="s">
        <v>59</v>
      </c>
      <c r="L58" s="58">
        <v>36784</v>
      </c>
      <c r="M58" s="56">
        <v>25</v>
      </c>
      <c r="N58" s="56" t="s">
        <v>5195</v>
      </c>
      <c r="O58" s="58">
        <v>49119</v>
      </c>
      <c r="P58" s="56" t="s">
        <v>5</v>
      </c>
      <c r="Q58" s="56"/>
      <c r="R58" s="270">
        <v>45913</v>
      </c>
      <c r="S58" s="270">
        <v>45918</v>
      </c>
      <c r="T58" s="51">
        <f t="shared" si="0"/>
        <v>5</v>
      </c>
      <c r="U58" s="56">
        <v>1</v>
      </c>
      <c r="V58" s="56">
        <v>1</v>
      </c>
      <c r="W58" s="56">
        <v>0</v>
      </c>
      <c r="X58" s="56">
        <v>0</v>
      </c>
      <c r="Y58" s="56">
        <v>0</v>
      </c>
      <c r="Z58" s="56">
        <v>0</v>
      </c>
      <c r="AA58" s="56">
        <v>0</v>
      </c>
      <c r="AB58" s="56"/>
      <c r="AC58" s="58">
        <v>45913</v>
      </c>
      <c r="AD58" s="59">
        <v>0.65625</v>
      </c>
      <c r="AE58" s="56" t="s">
        <v>1385</v>
      </c>
      <c r="AF58" s="58">
        <v>45918</v>
      </c>
      <c r="AG58" s="59">
        <v>0.53125</v>
      </c>
      <c r="AH58" s="56" t="s">
        <v>269</v>
      </c>
      <c r="AI58" s="56" t="s">
        <v>5015</v>
      </c>
      <c r="AJ58" s="56" t="s">
        <v>64</v>
      </c>
      <c r="AK58" s="56" t="s">
        <v>64</v>
      </c>
      <c r="AL58" s="56" t="s">
        <v>5016</v>
      </c>
      <c r="AM58" s="56" t="s">
        <v>65</v>
      </c>
      <c r="AN58" s="60"/>
      <c r="AO58" s="60"/>
      <c r="AP58" s="61"/>
    </row>
    <row r="59" spans="3:43" ht="14.25" customHeight="1">
      <c r="C59" s="55">
        <f>IF($X59=1,COUNTIF($C$10:C58,"&gt;0")+1,"")</f>
        <v>26</v>
      </c>
      <c r="D59" s="56">
        <v>70499026</v>
      </c>
      <c r="E59" s="56" t="s">
        <v>5007</v>
      </c>
      <c r="F59" s="57" t="s">
        <v>5196</v>
      </c>
      <c r="G59" s="56" t="s">
        <v>5196</v>
      </c>
      <c r="H59" s="56" t="s">
        <v>5197</v>
      </c>
      <c r="I59" s="56" t="s">
        <v>5198</v>
      </c>
      <c r="J59" s="56" t="s">
        <v>68</v>
      </c>
      <c r="K59" s="56" t="s">
        <v>59</v>
      </c>
      <c r="L59" s="58">
        <v>27533</v>
      </c>
      <c r="M59" s="56">
        <v>50</v>
      </c>
      <c r="N59" s="56" t="s">
        <v>5199</v>
      </c>
      <c r="O59" s="58">
        <v>48166</v>
      </c>
      <c r="P59" s="56" t="s">
        <v>4</v>
      </c>
      <c r="Q59" s="56"/>
      <c r="R59" s="270">
        <v>45913</v>
      </c>
      <c r="S59" s="270">
        <v>45918</v>
      </c>
      <c r="T59" s="51">
        <f t="shared" si="0"/>
        <v>5</v>
      </c>
      <c r="U59" s="56">
        <v>1</v>
      </c>
      <c r="V59" s="56">
        <v>1</v>
      </c>
      <c r="W59" s="56">
        <v>0</v>
      </c>
      <c r="X59" s="56">
        <v>1</v>
      </c>
      <c r="Y59" s="56">
        <v>0</v>
      </c>
      <c r="Z59" s="56">
        <v>1</v>
      </c>
      <c r="AA59" s="56">
        <v>0</v>
      </c>
      <c r="AB59" s="56"/>
      <c r="AC59" s="58">
        <v>45913</v>
      </c>
      <c r="AD59" s="59">
        <v>0.57638888889050577</v>
      </c>
      <c r="AE59" s="56" t="s">
        <v>5146</v>
      </c>
      <c r="AF59" s="58">
        <v>45918</v>
      </c>
      <c r="AG59" s="59">
        <v>0.34722222221898846</v>
      </c>
      <c r="AH59" s="56" t="s">
        <v>4006</v>
      </c>
      <c r="AI59" s="56" t="s">
        <v>5015</v>
      </c>
      <c r="AJ59" s="56" t="s">
        <v>64</v>
      </c>
      <c r="AK59" s="56" t="s">
        <v>64</v>
      </c>
      <c r="AL59" s="56" t="s">
        <v>5016</v>
      </c>
      <c r="AM59" s="56" t="s">
        <v>65</v>
      </c>
      <c r="AN59" s="60" t="s">
        <v>5017</v>
      </c>
      <c r="AO59" s="60"/>
      <c r="AP59" s="61"/>
      <c r="AQ59" s="271" t="s">
        <v>5064</v>
      </c>
    </row>
    <row r="60" spans="3:43" ht="14.25" customHeight="1">
      <c r="C60" s="55" t="str">
        <f>IF($X60=1,COUNTIF($C$10:C59,"&gt;0")+1,"")</f>
        <v/>
      </c>
      <c r="D60" s="56">
        <v>70499026</v>
      </c>
      <c r="E60" s="56" t="s">
        <v>5007</v>
      </c>
      <c r="F60" s="57" t="s">
        <v>5200</v>
      </c>
      <c r="G60" s="56" t="s">
        <v>5196</v>
      </c>
      <c r="H60" s="56" t="s">
        <v>5201</v>
      </c>
      <c r="I60" s="56" t="s">
        <v>5202</v>
      </c>
      <c r="J60" s="56" t="s">
        <v>68</v>
      </c>
      <c r="K60" s="56" t="s">
        <v>59</v>
      </c>
      <c r="L60" s="58">
        <v>25649</v>
      </c>
      <c r="M60" s="56">
        <v>55</v>
      </c>
      <c r="N60" s="56" t="s">
        <v>5203</v>
      </c>
      <c r="O60" s="58">
        <v>48166</v>
      </c>
      <c r="P60" s="56" t="s">
        <v>4</v>
      </c>
      <c r="Q60" s="56"/>
      <c r="R60" s="270">
        <v>45913</v>
      </c>
      <c r="S60" s="270">
        <v>45918</v>
      </c>
      <c r="T60" s="51">
        <f t="shared" si="0"/>
        <v>5</v>
      </c>
      <c r="U60" s="56">
        <v>1</v>
      </c>
      <c r="V60" s="56">
        <v>1</v>
      </c>
      <c r="W60" s="56">
        <v>0</v>
      </c>
      <c r="X60" s="56">
        <v>0</v>
      </c>
      <c r="Y60" s="56">
        <v>0</v>
      </c>
      <c r="Z60" s="56">
        <v>0</v>
      </c>
      <c r="AA60" s="56">
        <v>0</v>
      </c>
      <c r="AB60" s="56"/>
      <c r="AC60" s="58">
        <v>45913</v>
      </c>
      <c r="AD60" s="59">
        <v>0.57638888889050577</v>
      </c>
      <c r="AE60" s="56" t="s">
        <v>5146</v>
      </c>
      <c r="AF60" s="58">
        <v>45918</v>
      </c>
      <c r="AG60" s="59">
        <v>0.34722222221898846</v>
      </c>
      <c r="AH60" s="56" t="s">
        <v>4006</v>
      </c>
      <c r="AI60" s="56" t="s">
        <v>5015</v>
      </c>
      <c r="AJ60" s="56" t="s">
        <v>64</v>
      </c>
      <c r="AK60" s="56" t="s">
        <v>64</v>
      </c>
      <c r="AL60" s="56" t="s">
        <v>5016</v>
      </c>
      <c r="AM60" s="56" t="s">
        <v>65</v>
      </c>
      <c r="AN60" s="60" t="s">
        <v>5017</v>
      </c>
      <c r="AO60" s="60"/>
      <c r="AP60" s="61"/>
      <c r="AQ60" s="271" t="s">
        <v>5064</v>
      </c>
    </row>
    <row r="61" spans="3:43" ht="14.25" customHeight="1">
      <c r="C61" s="55">
        <f>IF($X61=1,COUNTIF($C$10:C60,"&gt;0")+1,"")</f>
        <v>27</v>
      </c>
      <c r="D61" s="56">
        <v>70273389</v>
      </c>
      <c r="E61" s="56" t="s">
        <v>5204</v>
      </c>
      <c r="F61" s="57" t="s">
        <v>5205</v>
      </c>
      <c r="G61" s="56" t="s">
        <v>5205</v>
      </c>
      <c r="H61" s="56" t="s">
        <v>5206</v>
      </c>
      <c r="I61" s="56" t="s">
        <v>993</v>
      </c>
      <c r="J61" s="56" t="s">
        <v>68</v>
      </c>
      <c r="K61" s="56" t="s">
        <v>59</v>
      </c>
      <c r="L61" s="58">
        <v>25707</v>
      </c>
      <c r="M61" s="56">
        <v>55</v>
      </c>
      <c r="N61" s="56" t="s">
        <v>5207</v>
      </c>
      <c r="O61" s="58">
        <v>48897</v>
      </c>
      <c r="P61" s="56" t="s">
        <v>5</v>
      </c>
      <c r="Q61" s="56"/>
      <c r="R61" s="270">
        <v>45913</v>
      </c>
      <c r="S61" s="270">
        <v>45918</v>
      </c>
      <c r="T61" s="51">
        <f t="shared" si="0"/>
        <v>5</v>
      </c>
      <c r="U61" s="56">
        <v>1</v>
      </c>
      <c r="V61" s="56">
        <v>1</v>
      </c>
      <c r="W61" s="56">
        <v>0</v>
      </c>
      <c r="X61" s="56">
        <v>1</v>
      </c>
      <c r="Y61" s="56">
        <v>0</v>
      </c>
      <c r="Z61" s="56">
        <v>0</v>
      </c>
      <c r="AA61" s="56">
        <v>1</v>
      </c>
      <c r="AB61" s="56"/>
      <c r="AC61" s="58">
        <v>45913</v>
      </c>
      <c r="AD61" s="59">
        <v>0.45833333333575865</v>
      </c>
      <c r="AE61" s="56" t="s">
        <v>244</v>
      </c>
      <c r="AF61" s="58">
        <v>45918</v>
      </c>
      <c r="AG61" s="59">
        <v>0.5</v>
      </c>
      <c r="AH61" s="56" t="s">
        <v>2915</v>
      </c>
      <c r="AI61" s="56" t="s">
        <v>5208</v>
      </c>
      <c r="AJ61" s="56" t="s">
        <v>64</v>
      </c>
      <c r="AK61" s="56" t="s">
        <v>64</v>
      </c>
      <c r="AL61" s="56" t="s">
        <v>5016</v>
      </c>
      <c r="AM61" s="56" t="s">
        <v>65</v>
      </c>
      <c r="AN61" s="60"/>
      <c r="AO61" s="60"/>
      <c r="AP61" s="61"/>
    </row>
    <row r="62" spans="3:43" ht="14.25" customHeight="1">
      <c r="C62" s="55" t="str">
        <f>IF($X62=1,COUNTIF($C$10:C61,"&gt;0")+1,"")</f>
        <v/>
      </c>
      <c r="D62" s="56">
        <v>70273389</v>
      </c>
      <c r="E62" s="56" t="s">
        <v>5204</v>
      </c>
      <c r="F62" s="57" t="s">
        <v>5209</v>
      </c>
      <c r="G62" s="56" t="s">
        <v>5205</v>
      </c>
      <c r="H62" s="56" t="s">
        <v>5210</v>
      </c>
      <c r="I62" s="56" t="s">
        <v>5211</v>
      </c>
      <c r="J62" s="56" t="s">
        <v>68</v>
      </c>
      <c r="K62" s="56" t="s">
        <v>59</v>
      </c>
      <c r="L62" s="58">
        <v>25636</v>
      </c>
      <c r="M62" s="56">
        <v>55</v>
      </c>
      <c r="N62" s="56" t="s">
        <v>5212</v>
      </c>
      <c r="O62" s="58">
        <v>47064</v>
      </c>
      <c r="P62" s="56" t="s">
        <v>5</v>
      </c>
      <c r="Q62" s="56"/>
      <c r="R62" s="270">
        <v>45913</v>
      </c>
      <c r="S62" s="270">
        <v>45918</v>
      </c>
      <c r="T62" s="51">
        <f t="shared" si="0"/>
        <v>5</v>
      </c>
      <c r="U62" s="56">
        <v>1</v>
      </c>
      <c r="V62" s="56">
        <v>1</v>
      </c>
      <c r="W62" s="56">
        <v>0</v>
      </c>
      <c r="X62" s="56">
        <v>0</v>
      </c>
      <c r="Y62" s="56">
        <v>0</v>
      </c>
      <c r="Z62" s="56">
        <v>0</v>
      </c>
      <c r="AA62" s="56">
        <v>0</v>
      </c>
      <c r="AB62" s="56"/>
      <c r="AC62" s="58">
        <v>45913</v>
      </c>
      <c r="AD62" s="59">
        <v>0.60416666666424135</v>
      </c>
      <c r="AE62" s="56" t="s">
        <v>5213</v>
      </c>
      <c r="AF62" s="58">
        <v>45918</v>
      </c>
      <c r="AG62" s="59">
        <v>0.77777777778101154</v>
      </c>
      <c r="AH62" s="56" t="s">
        <v>330</v>
      </c>
      <c r="AI62" s="56" t="s">
        <v>5208</v>
      </c>
      <c r="AJ62" s="56" t="s">
        <v>64</v>
      </c>
      <c r="AK62" s="56" t="s">
        <v>64</v>
      </c>
      <c r="AL62" s="56" t="s">
        <v>5016</v>
      </c>
      <c r="AM62" s="56" t="s">
        <v>65</v>
      </c>
      <c r="AN62" s="60"/>
      <c r="AO62" s="60"/>
      <c r="AP62" s="61"/>
    </row>
    <row r="63" spans="3:43" ht="14.25" customHeight="1">
      <c r="C63" s="55">
        <f>IF($X63=1,COUNTIF($C$10:C62,"&gt;0")+1,"")</f>
        <v>28</v>
      </c>
      <c r="D63" s="56">
        <v>70054452</v>
      </c>
      <c r="E63" s="56" t="s">
        <v>5204</v>
      </c>
      <c r="F63" s="57" t="s">
        <v>5214</v>
      </c>
      <c r="G63" s="56" t="s">
        <v>5205</v>
      </c>
      <c r="H63" s="56" t="s">
        <v>5215</v>
      </c>
      <c r="I63" s="56" t="s">
        <v>1436</v>
      </c>
      <c r="J63" s="56" t="s">
        <v>68</v>
      </c>
      <c r="K63" s="56" t="s">
        <v>369</v>
      </c>
      <c r="L63" s="58">
        <v>24559</v>
      </c>
      <c r="M63" s="56">
        <v>58</v>
      </c>
      <c r="N63" s="56" t="s">
        <v>5216</v>
      </c>
      <c r="O63" s="58">
        <v>47740</v>
      </c>
      <c r="P63" s="56" t="s">
        <v>3</v>
      </c>
      <c r="Q63" s="56"/>
      <c r="R63" s="270">
        <v>45913</v>
      </c>
      <c r="S63" s="270">
        <v>45918</v>
      </c>
      <c r="T63" s="51">
        <f t="shared" si="0"/>
        <v>5</v>
      </c>
      <c r="U63" s="56">
        <v>1</v>
      </c>
      <c r="V63" s="56">
        <v>1</v>
      </c>
      <c r="W63" s="56">
        <v>0</v>
      </c>
      <c r="X63" s="56">
        <v>1</v>
      </c>
      <c r="Y63" s="56">
        <v>1</v>
      </c>
      <c r="Z63" s="56">
        <v>0</v>
      </c>
      <c r="AA63" s="56">
        <v>0</v>
      </c>
      <c r="AB63" s="56"/>
      <c r="AC63" s="58">
        <v>45913</v>
      </c>
      <c r="AD63" s="59">
        <v>0.86458333333575865</v>
      </c>
      <c r="AE63" s="56" t="s">
        <v>5217</v>
      </c>
      <c r="AF63" s="58">
        <v>45918</v>
      </c>
      <c r="AG63" s="59">
        <v>0.37847222221898846</v>
      </c>
      <c r="AH63" s="56" t="s">
        <v>5218</v>
      </c>
      <c r="AI63" s="56" t="s">
        <v>5208</v>
      </c>
      <c r="AJ63" s="56" t="s">
        <v>64</v>
      </c>
      <c r="AK63" s="56" t="s">
        <v>64</v>
      </c>
      <c r="AL63" s="56" t="s">
        <v>5016</v>
      </c>
      <c r="AM63" s="56" t="s">
        <v>65</v>
      </c>
      <c r="AN63" s="60" t="s">
        <v>5040</v>
      </c>
      <c r="AO63" s="60" t="s">
        <v>331</v>
      </c>
      <c r="AP63" s="61"/>
    </row>
    <row r="64" spans="3:43" ht="14.25" customHeight="1">
      <c r="C64" s="55">
        <f>IF($X64=1,COUNTIF($C$10:C63,"&gt;0")+1,"")</f>
        <v>29</v>
      </c>
      <c r="D64" s="56">
        <v>70499073</v>
      </c>
      <c r="E64" s="56" t="s">
        <v>5204</v>
      </c>
      <c r="F64" s="57" t="s">
        <v>5219</v>
      </c>
      <c r="G64" s="56" t="s">
        <v>5219</v>
      </c>
      <c r="H64" s="56" t="s">
        <v>5220</v>
      </c>
      <c r="I64" s="56" t="s">
        <v>5221</v>
      </c>
      <c r="J64" s="56" t="s">
        <v>68</v>
      </c>
      <c r="K64" s="56" t="s">
        <v>59</v>
      </c>
      <c r="L64" s="58">
        <v>24017</v>
      </c>
      <c r="M64" s="56">
        <v>59</v>
      </c>
      <c r="N64" s="56" t="s">
        <v>5222</v>
      </c>
      <c r="O64" s="58">
        <v>46797</v>
      </c>
      <c r="P64" s="56" t="s">
        <v>4</v>
      </c>
      <c r="Q64" s="56"/>
      <c r="R64" s="270">
        <v>45913</v>
      </c>
      <c r="S64" s="270">
        <v>45918</v>
      </c>
      <c r="T64" s="51">
        <f t="shared" si="0"/>
        <v>5</v>
      </c>
      <c r="U64" s="56">
        <v>1</v>
      </c>
      <c r="V64" s="56">
        <v>1</v>
      </c>
      <c r="W64" s="56">
        <v>0</v>
      </c>
      <c r="X64" s="56">
        <v>1</v>
      </c>
      <c r="Y64" s="56">
        <v>0</v>
      </c>
      <c r="Z64" s="56">
        <v>1</v>
      </c>
      <c r="AA64" s="56">
        <v>0</v>
      </c>
      <c r="AB64" s="56"/>
      <c r="AC64" s="58">
        <v>45913</v>
      </c>
      <c r="AD64" s="59">
        <v>0.64583333333575865</v>
      </c>
      <c r="AE64" s="56" t="s">
        <v>312</v>
      </c>
      <c r="AF64" s="58">
        <v>45918</v>
      </c>
      <c r="AG64" s="59">
        <v>0.39930555555474712</v>
      </c>
      <c r="AH64" s="56" t="s">
        <v>1931</v>
      </c>
      <c r="AI64" s="56" t="s">
        <v>5208</v>
      </c>
      <c r="AJ64" s="56" t="s">
        <v>64</v>
      </c>
      <c r="AK64" s="56" t="s">
        <v>64</v>
      </c>
      <c r="AL64" s="56" t="s">
        <v>5016</v>
      </c>
      <c r="AM64" s="56" t="s">
        <v>65</v>
      </c>
      <c r="AN64" s="60" t="s">
        <v>5017</v>
      </c>
      <c r="AO64" s="60"/>
      <c r="AP64" s="61"/>
      <c r="AQ64" s="271" t="s">
        <v>5064</v>
      </c>
    </row>
    <row r="65" spans="3:43" ht="14.25" customHeight="1">
      <c r="C65" s="55" t="str">
        <f>IF($X65=1,COUNTIF($C$10:C64,"&gt;0")+1,"")</f>
        <v/>
      </c>
      <c r="D65" s="56">
        <v>70499073</v>
      </c>
      <c r="E65" s="56" t="s">
        <v>5204</v>
      </c>
      <c r="F65" s="57" t="s">
        <v>5223</v>
      </c>
      <c r="G65" s="56" t="s">
        <v>5219</v>
      </c>
      <c r="H65" s="56" t="s">
        <v>5224</v>
      </c>
      <c r="I65" s="56" t="s">
        <v>5225</v>
      </c>
      <c r="J65" s="56" t="s">
        <v>68</v>
      </c>
      <c r="K65" s="56" t="s">
        <v>59</v>
      </c>
      <c r="L65" s="58">
        <v>25983</v>
      </c>
      <c r="M65" s="56">
        <v>54</v>
      </c>
      <c r="N65" s="56" t="s">
        <v>5226</v>
      </c>
      <c r="O65" s="58">
        <v>46662</v>
      </c>
      <c r="P65" s="56" t="s">
        <v>4</v>
      </c>
      <c r="Q65" s="56"/>
      <c r="R65" s="270">
        <v>45913</v>
      </c>
      <c r="S65" s="270">
        <v>45918</v>
      </c>
      <c r="T65" s="51">
        <f t="shared" si="0"/>
        <v>5</v>
      </c>
      <c r="U65" s="56">
        <v>1</v>
      </c>
      <c r="V65" s="56">
        <v>1</v>
      </c>
      <c r="W65" s="56">
        <v>0</v>
      </c>
      <c r="X65" s="56">
        <v>0</v>
      </c>
      <c r="Y65" s="56">
        <v>0</v>
      </c>
      <c r="Z65" s="56">
        <v>0</v>
      </c>
      <c r="AA65" s="56">
        <v>0</v>
      </c>
      <c r="AB65" s="56"/>
      <c r="AC65" s="58">
        <v>45913</v>
      </c>
      <c r="AD65" s="59">
        <v>0.45833333333575865</v>
      </c>
      <c r="AE65" s="56" t="s">
        <v>244</v>
      </c>
      <c r="AF65" s="58">
        <v>45918</v>
      </c>
      <c r="AG65" s="59">
        <v>0.34722222221898846</v>
      </c>
      <c r="AH65" s="56" t="s">
        <v>5227</v>
      </c>
      <c r="AI65" s="56" t="s">
        <v>5208</v>
      </c>
      <c r="AJ65" s="56" t="s">
        <v>64</v>
      </c>
      <c r="AK65" s="56" t="s">
        <v>64</v>
      </c>
      <c r="AL65" s="56" t="s">
        <v>5016</v>
      </c>
      <c r="AM65" s="56" t="s">
        <v>65</v>
      </c>
      <c r="AN65" s="60" t="s">
        <v>5017</v>
      </c>
      <c r="AO65" s="60"/>
      <c r="AP65" s="61"/>
      <c r="AQ65" s="271" t="s">
        <v>5064</v>
      </c>
    </row>
    <row r="66" spans="3:43" ht="14.25" customHeight="1">
      <c r="C66" s="55">
        <f>IF($X66=1,COUNTIF($C$10:C65,"&gt;0")+1,"")</f>
        <v>30</v>
      </c>
      <c r="D66" s="56">
        <v>70522121</v>
      </c>
      <c r="E66" s="56" t="s">
        <v>5204</v>
      </c>
      <c r="F66" s="57" t="s">
        <v>5228</v>
      </c>
      <c r="G66" s="56" t="s">
        <v>5228</v>
      </c>
      <c r="H66" s="56" t="s">
        <v>5229</v>
      </c>
      <c r="I66" s="56" t="s">
        <v>5230</v>
      </c>
      <c r="J66" s="56" t="s">
        <v>68</v>
      </c>
      <c r="K66" s="56" t="s">
        <v>59</v>
      </c>
      <c r="L66" s="58">
        <v>23481</v>
      </c>
      <c r="M66" s="56">
        <v>61</v>
      </c>
      <c r="N66" s="56" t="s">
        <v>5231</v>
      </c>
      <c r="O66" s="58">
        <v>49364</v>
      </c>
      <c r="P66" s="56" t="s">
        <v>4</v>
      </c>
      <c r="Q66" s="56"/>
      <c r="R66" s="270">
        <v>45913</v>
      </c>
      <c r="S66" s="270">
        <v>45918</v>
      </c>
      <c r="T66" s="51">
        <f t="shared" si="0"/>
        <v>5</v>
      </c>
      <c r="U66" s="56">
        <v>1</v>
      </c>
      <c r="V66" s="56">
        <v>1</v>
      </c>
      <c r="W66" s="56">
        <v>0</v>
      </c>
      <c r="X66" s="56">
        <v>1</v>
      </c>
      <c r="Y66" s="56">
        <v>0</v>
      </c>
      <c r="Z66" s="56">
        <v>1</v>
      </c>
      <c r="AA66" s="56">
        <v>0</v>
      </c>
      <c r="AB66" s="56"/>
      <c r="AC66" s="58">
        <v>45913</v>
      </c>
      <c r="AD66" s="59">
        <v>0.45833333333575865</v>
      </c>
      <c r="AE66" s="56" t="s">
        <v>244</v>
      </c>
      <c r="AF66" s="58">
        <v>45918</v>
      </c>
      <c r="AG66" s="59">
        <v>0.54861111110949423</v>
      </c>
      <c r="AH66" s="56" t="s">
        <v>5232</v>
      </c>
      <c r="AI66" s="56" t="s">
        <v>5208</v>
      </c>
      <c r="AJ66" s="56" t="s">
        <v>598</v>
      </c>
      <c r="AK66" s="56" t="s">
        <v>5233</v>
      </c>
      <c r="AL66" s="56" t="s">
        <v>5016</v>
      </c>
      <c r="AM66" s="56" t="s">
        <v>65</v>
      </c>
      <c r="AN66" s="60" t="s">
        <v>5234</v>
      </c>
      <c r="AO66" s="60"/>
      <c r="AP66" s="61"/>
    </row>
    <row r="67" spans="3:43" ht="14.25" customHeight="1">
      <c r="C67" s="55" t="str">
        <f>IF($X67=1,COUNTIF($C$10:C66,"&gt;0")+1,"")</f>
        <v/>
      </c>
      <c r="D67" s="56">
        <v>70522121</v>
      </c>
      <c r="E67" s="56" t="s">
        <v>5204</v>
      </c>
      <c r="F67" s="57" t="s">
        <v>5235</v>
      </c>
      <c r="G67" s="56" t="s">
        <v>5228</v>
      </c>
      <c r="H67" s="56" t="s">
        <v>5236</v>
      </c>
      <c r="I67" s="56" t="s">
        <v>2156</v>
      </c>
      <c r="J67" s="56" t="s">
        <v>58</v>
      </c>
      <c r="K67" s="56" t="s">
        <v>59</v>
      </c>
      <c r="L67" s="58">
        <v>22891</v>
      </c>
      <c r="M67" s="56">
        <v>63</v>
      </c>
      <c r="N67" s="56" t="s">
        <v>5237</v>
      </c>
      <c r="O67" s="58">
        <v>46851</v>
      </c>
      <c r="P67" s="56" t="s">
        <v>4</v>
      </c>
      <c r="Q67" s="56"/>
      <c r="R67" s="270">
        <v>45913</v>
      </c>
      <c r="S67" s="270">
        <v>45918</v>
      </c>
      <c r="T67" s="51">
        <f t="shared" si="0"/>
        <v>5</v>
      </c>
      <c r="U67" s="56">
        <v>1</v>
      </c>
      <c r="V67" s="56">
        <v>1</v>
      </c>
      <c r="W67" s="56">
        <v>0</v>
      </c>
      <c r="X67" s="56">
        <v>0</v>
      </c>
      <c r="Y67" s="56">
        <v>0</v>
      </c>
      <c r="Z67" s="56">
        <v>0</v>
      </c>
      <c r="AA67" s="56">
        <v>0</v>
      </c>
      <c r="AB67" s="56"/>
      <c r="AC67" s="58">
        <v>45913</v>
      </c>
      <c r="AD67" s="70">
        <v>0.59375</v>
      </c>
      <c r="AE67" s="71" t="s">
        <v>5238</v>
      </c>
      <c r="AF67" s="58">
        <v>45918</v>
      </c>
      <c r="AG67" s="59">
        <v>0.54861111110949423</v>
      </c>
      <c r="AH67" s="56" t="s">
        <v>5232</v>
      </c>
      <c r="AI67" s="56" t="s">
        <v>5208</v>
      </c>
      <c r="AJ67" s="56" t="s">
        <v>64</v>
      </c>
      <c r="AK67" s="56" t="s">
        <v>64</v>
      </c>
      <c r="AL67" s="56" t="s">
        <v>5016</v>
      </c>
      <c r="AM67" s="56" t="s">
        <v>65</v>
      </c>
      <c r="AN67" s="60" t="s">
        <v>5234</v>
      </c>
      <c r="AO67" s="60"/>
      <c r="AP67" s="61"/>
    </row>
    <row r="68" spans="3:43" ht="14.25" customHeight="1">
      <c r="C68" s="55">
        <f>IF($X68=1,COUNTIF($C$10:C67,"&gt;0")+1,"")</f>
        <v>31</v>
      </c>
      <c r="D68" s="339">
        <v>96315828</v>
      </c>
      <c r="E68" s="56" t="s">
        <v>5204</v>
      </c>
      <c r="F68" s="57" t="s">
        <v>5239</v>
      </c>
      <c r="G68" s="56" t="s">
        <v>5239</v>
      </c>
      <c r="H68" s="56" t="s">
        <v>5240</v>
      </c>
      <c r="I68" s="56" t="s">
        <v>5241</v>
      </c>
      <c r="J68" s="56" t="s">
        <v>68</v>
      </c>
      <c r="K68" s="56" t="s">
        <v>59</v>
      </c>
      <c r="L68" s="58">
        <v>22103</v>
      </c>
      <c r="M68" s="56">
        <v>65</v>
      </c>
      <c r="N68" s="56" t="s">
        <v>5242</v>
      </c>
      <c r="O68" s="58">
        <v>46482</v>
      </c>
      <c r="P68" s="56" t="s">
        <v>4</v>
      </c>
      <c r="Q68" s="56" t="s">
        <v>1141</v>
      </c>
      <c r="R68" s="274">
        <v>45912</v>
      </c>
      <c r="S68" s="274">
        <v>45918</v>
      </c>
      <c r="T68" s="73">
        <f t="shared" si="0"/>
        <v>6</v>
      </c>
      <c r="U68" s="56">
        <v>1</v>
      </c>
      <c r="V68" s="56">
        <v>1</v>
      </c>
      <c r="W68" s="56">
        <v>0</v>
      </c>
      <c r="X68" s="56">
        <v>1</v>
      </c>
      <c r="Y68" s="56">
        <v>0</v>
      </c>
      <c r="Z68" s="56">
        <v>1</v>
      </c>
      <c r="AA68" s="56">
        <v>0</v>
      </c>
      <c r="AB68" s="56"/>
      <c r="AC68" s="58">
        <v>45912</v>
      </c>
      <c r="AD68" s="59">
        <v>0.18055555555474712</v>
      </c>
      <c r="AE68" s="56" t="s">
        <v>95</v>
      </c>
      <c r="AF68" s="58">
        <v>45920</v>
      </c>
      <c r="AG68" s="59">
        <v>0.69097222221898846</v>
      </c>
      <c r="AH68" s="56" t="s">
        <v>5243</v>
      </c>
      <c r="AI68" s="56" t="s">
        <v>5208</v>
      </c>
      <c r="AJ68" s="56" t="s">
        <v>64</v>
      </c>
      <c r="AK68" s="56"/>
      <c r="AL68" s="56" t="s">
        <v>5016</v>
      </c>
      <c r="AM68" s="56" t="s">
        <v>65</v>
      </c>
      <c r="AN68" s="60" t="s">
        <v>5026</v>
      </c>
      <c r="AO68" s="60"/>
      <c r="AP68" s="61"/>
    </row>
    <row r="69" spans="3:43" ht="14.25" customHeight="1">
      <c r="C69" s="55" t="str">
        <f>IF($X69=1,COUNTIF($C$10:C68,"&gt;0")+1,"")</f>
        <v/>
      </c>
      <c r="D69" s="340"/>
      <c r="E69" s="56" t="s">
        <v>5204</v>
      </c>
      <c r="F69" s="57" t="s">
        <v>5244</v>
      </c>
      <c r="G69" s="56" t="s">
        <v>5239</v>
      </c>
      <c r="H69" s="56" t="s">
        <v>5245</v>
      </c>
      <c r="I69" s="56" t="s">
        <v>5241</v>
      </c>
      <c r="J69" s="56" t="s">
        <v>58</v>
      </c>
      <c r="K69" s="56" t="s">
        <v>59</v>
      </c>
      <c r="L69" s="58">
        <v>18777</v>
      </c>
      <c r="M69" s="56">
        <v>74</v>
      </c>
      <c r="N69" s="56" t="s">
        <v>5246</v>
      </c>
      <c r="O69" s="58">
        <v>46482</v>
      </c>
      <c r="P69" s="56" t="s">
        <v>4</v>
      </c>
      <c r="Q69" s="56" t="s">
        <v>1141</v>
      </c>
      <c r="R69" s="274">
        <v>45912</v>
      </c>
      <c r="S69" s="274">
        <v>45918</v>
      </c>
      <c r="T69" s="73">
        <f t="shared" si="0"/>
        <v>6</v>
      </c>
      <c r="U69" s="56">
        <v>1</v>
      </c>
      <c r="V69" s="56">
        <v>1</v>
      </c>
      <c r="W69" s="56">
        <v>0</v>
      </c>
      <c r="X69" s="56">
        <v>0</v>
      </c>
      <c r="Y69" s="56">
        <v>0</v>
      </c>
      <c r="Z69" s="56">
        <v>0</v>
      </c>
      <c r="AA69" s="56">
        <v>0</v>
      </c>
      <c r="AB69" s="56"/>
      <c r="AC69" s="58">
        <v>45912</v>
      </c>
      <c r="AD69" s="59">
        <v>0.18055555555474712</v>
      </c>
      <c r="AE69" s="56" t="s">
        <v>95</v>
      </c>
      <c r="AF69" s="58">
        <v>45920</v>
      </c>
      <c r="AG69" s="59">
        <v>0.69097222221898846</v>
      </c>
      <c r="AH69" s="56" t="s">
        <v>5243</v>
      </c>
      <c r="AI69" s="56" t="s">
        <v>5208</v>
      </c>
      <c r="AJ69" s="56" t="s">
        <v>64</v>
      </c>
      <c r="AK69" s="56"/>
      <c r="AL69" s="56" t="s">
        <v>5016</v>
      </c>
      <c r="AM69" s="56" t="s">
        <v>65</v>
      </c>
      <c r="AN69" s="60" t="s">
        <v>5026</v>
      </c>
      <c r="AO69" s="60"/>
      <c r="AP69" s="61"/>
    </row>
    <row r="70" spans="3:43" ht="14.25" customHeight="1">
      <c r="C70" s="55">
        <f>IF($X70=1,COUNTIF($C$10:C69,"&gt;0")+1,"")</f>
        <v>32</v>
      </c>
      <c r="D70" s="56">
        <v>70273399</v>
      </c>
      <c r="E70" s="56" t="s">
        <v>5204</v>
      </c>
      <c r="F70" s="57" t="s">
        <v>5247</v>
      </c>
      <c r="G70" s="56" t="s">
        <v>5247</v>
      </c>
      <c r="H70" s="56" t="s">
        <v>5248</v>
      </c>
      <c r="I70" s="56" t="s">
        <v>1618</v>
      </c>
      <c r="J70" s="56" t="s">
        <v>68</v>
      </c>
      <c r="K70" s="56" t="s">
        <v>59</v>
      </c>
      <c r="L70" s="58">
        <v>28560</v>
      </c>
      <c r="M70" s="56">
        <v>47</v>
      </c>
      <c r="N70" s="56" t="s">
        <v>5249</v>
      </c>
      <c r="O70" s="58">
        <v>47195</v>
      </c>
      <c r="P70" s="56" t="s">
        <v>5</v>
      </c>
      <c r="Q70" s="56"/>
      <c r="R70" s="270">
        <v>45913</v>
      </c>
      <c r="S70" s="270">
        <v>45918</v>
      </c>
      <c r="T70" s="51">
        <f t="shared" si="0"/>
        <v>5</v>
      </c>
      <c r="U70" s="56">
        <v>1</v>
      </c>
      <c r="V70" s="56">
        <v>1</v>
      </c>
      <c r="W70" s="56">
        <v>0</v>
      </c>
      <c r="X70" s="56">
        <v>1</v>
      </c>
      <c r="Y70" s="56">
        <v>0</v>
      </c>
      <c r="Z70" s="56">
        <v>0</v>
      </c>
      <c r="AA70" s="56">
        <v>1</v>
      </c>
      <c r="AB70" s="56"/>
      <c r="AC70" s="58">
        <v>45912</v>
      </c>
      <c r="AD70" s="59">
        <v>0.67708333333575865</v>
      </c>
      <c r="AE70" s="56" t="s">
        <v>5250</v>
      </c>
      <c r="AF70" s="58">
        <v>45918</v>
      </c>
      <c r="AG70" s="59">
        <v>0.52430555555474712</v>
      </c>
      <c r="AH70" s="56" t="s">
        <v>5251</v>
      </c>
      <c r="AI70" s="56" t="s">
        <v>5208</v>
      </c>
      <c r="AJ70" s="56" t="s">
        <v>64</v>
      </c>
      <c r="AK70" s="56" t="s">
        <v>64</v>
      </c>
      <c r="AL70" s="56" t="s">
        <v>5016</v>
      </c>
      <c r="AM70" s="56" t="s">
        <v>65</v>
      </c>
      <c r="AN70" s="60"/>
      <c r="AO70" s="60"/>
      <c r="AP70" s="61"/>
    </row>
    <row r="71" spans="3:43" ht="14.25" customHeight="1">
      <c r="C71" s="55" t="str">
        <f>IF($X71=1,COUNTIF($C$10:C70,"&gt;0")+1,"")</f>
        <v/>
      </c>
      <c r="D71" s="56">
        <v>70273399</v>
      </c>
      <c r="E71" s="56" t="s">
        <v>5204</v>
      </c>
      <c r="F71" s="57" t="s">
        <v>5252</v>
      </c>
      <c r="G71" s="56" t="s">
        <v>5247</v>
      </c>
      <c r="H71" s="56" t="s">
        <v>5253</v>
      </c>
      <c r="I71" s="56" t="s">
        <v>993</v>
      </c>
      <c r="J71" s="56" t="s">
        <v>68</v>
      </c>
      <c r="K71" s="56" t="s">
        <v>369</v>
      </c>
      <c r="L71" s="58">
        <v>26249</v>
      </c>
      <c r="M71" s="56">
        <v>53</v>
      </c>
      <c r="N71" s="56" t="s">
        <v>5254</v>
      </c>
      <c r="O71" s="58">
        <v>49318</v>
      </c>
      <c r="P71" s="56" t="s">
        <v>5</v>
      </c>
      <c r="Q71" s="56"/>
      <c r="R71" s="270">
        <v>45913</v>
      </c>
      <c r="S71" s="270">
        <v>45918</v>
      </c>
      <c r="T71" s="51">
        <f t="shared" si="0"/>
        <v>5</v>
      </c>
      <c r="U71" s="56">
        <v>1</v>
      </c>
      <c r="V71" s="56">
        <v>1</v>
      </c>
      <c r="W71" s="56">
        <v>0</v>
      </c>
      <c r="X71" s="56">
        <v>0</v>
      </c>
      <c r="Y71" s="56">
        <v>0</v>
      </c>
      <c r="Z71" s="56">
        <v>0</v>
      </c>
      <c r="AA71" s="56">
        <v>0</v>
      </c>
      <c r="AB71" s="56"/>
      <c r="AC71" s="58">
        <v>45913</v>
      </c>
      <c r="AD71" s="59">
        <v>0.45833333333575865</v>
      </c>
      <c r="AE71" s="56" t="s">
        <v>244</v>
      </c>
      <c r="AF71" s="58">
        <v>45918</v>
      </c>
      <c r="AG71" s="59">
        <v>0.39930555555474712</v>
      </c>
      <c r="AH71" s="56" t="s">
        <v>1931</v>
      </c>
      <c r="AI71" s="56" t="s">
        <v>5208</v>
      </c>
      <c r="AJ71" s="56" t="s">
        <v>64</v>
      </c>
      <c r="AK71" s="56" t="s">
        <v>64</v>
      </c>
      <c r="AL71" s="56" t="s">
        <v>5016</v>
      </c>
      <c r="AM71" s="56" t="s">
        <v>65</v>
      </c>
      <c r="AN71" s="60"/>
      <c r="AO71" s="60"/>
      <c r="AP71" s="61"/>
    </row>
    <row r="72" spans="3:43" ht="14.25" customHeight="1">
      <c r="C72" s="55">
        <f>IF($X72=1,COUNTIF($C$10:C71,"&gt;0")+1,"")</f>
        <v>33</v>
      </c>
      <c r="D72" s="56">
        <v>70140181</v>
      </c>
      <c r="E72" s="56" t="s">
        <v>5204</v>
      </c>
      <c r="F72" s="57" t="s">
        <v>5255</v>
      </c>
      <c r="G72" s="56" t="s">
        <v>5255</v>
      </c>
      <c r="H72" s="56" t="s">
        <v>5256</v>
      </c>
      <c r="I72" s="56" t="s">
        <v>5211</v>
      </c>
      <c r="J72" s="56" t="s">
        <v>58</v>
      </c>
      <c r="K72" s="56" t="s">
        <v>59</v>
      </c>
      <c r="L72" s="58">
        <v>26519</v>
      </c>
      <c r="M72" s="56">
        <v>53</v>
      </c>
      <c r="N72" s="56" t="s">
        <v>5257</v>
      </c>
      <c r="O72" s="58">
        <v>48183</v>
      </c>
      <c r="P72" s="56" t="s">
        <v>4</v>
      </c>
      <c r="Q72" s="56"/>
      <c r="R72" s="270">
        <v>45913</v>
      </c>
      <c r="S72" s="270">
        <v>45918</v>
      </c>
      <c r="T72" s="51">
        <f t="shared" si="0"/>
        <v>5</v>
      </c>
      <c r="U72" s="56">
        <v>1</v>
      </c>
      <c r="V72" s="56">
        <v>1</v>
      </c>
      <c r="W72" s="56">
        <v>0</v>
      </c>
      <c r="X72" s="56">
        <v>1</v>
      </c>
      <c r="Y72" s="56">
        <v>0</v>
      </c>
      <c r="Z72" s="56">
        <v>1</v>
      </c>
      <c r="AA72" s="56">
        <v>0</v>
      </c>
      <c r="AB72" s="56"/>
      <c r="AC72" s="58">
        <v>45913</v>
      </c>
      <c r="AD72" s="59">
        <v>0.625</v>
      </c>
      <c r="AE72" s="56" t="s">
        <v>74</v>
      </c>
      <c r="AF72" s="58">
        <v>45918</v>
      </c>
      <c r="AG72" s="59">
        <v>0.47916666666424135</v>
      </c>
      <c r="AH72" s="56" t="s">
        <v>189</v>
      </c>
      <c r="AI72" s="56" t="s">
        <v>5208</v>
      </c>
      <c r="AJ72" s="56" t="s">
        <v>64</v>
      </c>
      <c r="AK72" s="56" t="s">
        <v>64</v>
      </c>
      <c r="AL72" s="56" t="s">
        <v>5016</v>
      </c>
      <c r="AM72" s="56" t="s">
        <v>65</v>
      </c>
      <c r="AN72" s="60"/>
      <c r="AO72" s="60"/>
      <c r="AP72" s="61"/>
    </row>
    <row r="73" spans="3:43" ht="14.25" customHeight="1">
      <c r="C73" s="55" t="str">
        <f>IF($X73=1,COUNTIF($C$10:C72,"&gt;0")+1,"")</f>
        <v/>
      </c>
      <c r="D73" s="56">
        <v>70140181</v>
      </c>
      <c r="E73" s="56" t="s">
        <v>5204</v>
      </c>
      <c r="F73" s="57" t="s">
        <v>5258</v>
      </c>
      <c r="G73" s="56" t="s">
        <v>5255</v>
      </c>
      <c r="H73" s="56" t="s">
        <v>5259</v>
      </c>
      <c r="I73" s="56" t="s">
        <v>5260</v>
      </c>
      <c r="J73" s="56" t="s">
        <v>68</v>
      </c>
      <c r="K73" s="56" t="s">
        <v>59</v>
      </c>
      <c r="L73" s="58">
        <v>26508</v>
      </c>
      <c r="M73" s="56">
        <v>53</v>
      </c>
      <c r="N73" s="56" t="s">
        <v>5261</v>
      </c>
      <c r="O73" s="58">
        <v>48862</v>
      </c>
      <c r="P73" s="56" t="s">
        <v>4</v>
      </c>
      <c r="Q73" s="56"/>
      <c r="R73" s="270">
        <v>45913</v>
      </c>
      <c r="S73" s="270">
        <v>45918</v>
      </c>
      <c r="T73" s="51">
        <f t="shared" si="0"/>
        <v>5</v>
      </c>
      <c r="U73" s="56">
        <v>1</v>
      </c>
      <c r="V73" s="56">
        <v>1</v>
      </c>
      <c r="W73" s="56">
        <v>0</v>
      </c>
      <c r="X73" s="56">
        <v>0</v>
      </c>
      <c r="Y73" s="56">
        <v>0</v>
      </c>
      <c r="Z73" s="56">
        <v>0</v>
      </c>
      <c r="AA73" s="56">
        <v>0</v>
      </c>
      <c r="AB73" s="56"/>
      <c r="AC73" s="58">
        <v>45913</v>
      </c>
      <c r="AD73" s="59">
        <v>0.625</v>
      </c>
      <c r="AE73" s="56" t="s">
        <v>74</v>
      </c>
      <c r="AF73" s="58">
        <v>45918</v>
      </c>
      <c r="AG73" s="59">
        <v>0.47916666666424135</v>
      </c>
      <c r="AH73" s="56" t="s">
        <v>189</v>
      </c>
      <c r="AI73" s="56" t="s">
        <v>5208</v>
      </c>
      <c r="AJ73" s="56" t="s">
        <v>64</v>
      </c>
      <c r="AK73" s="56" t="s">
        <v>64</v>
      </c>
      <c r="AL73" s="56" t="s">
        <v>5016</v>
      </c>
      <c r="AM73" s="56" t="s">
        <v>65</v>
      </c>
      <c r="AN73" s="60"/>
      <c r="AO73" s="60"/>
      <c r="AP73" s="61"/>
    </row>
    <row r="74" spans="3:43" ht="14.25" customHeight="1">
      <c r="C74" s="55">
        <f>IF($X74=1,COUNTIF($C$10:C73,"&gt;0")+1,"")</f>
        <v>34</v>
      </c>
      <c r="D74" s="56">
        <v>70273413</v>
      </c>
      <c r="E74" s="56" t="s">
        <v>5204</v>
      </c>
      <c r="F74" s="57" t="s">
        <v>5262</v>
      </c>
      <c r="G74" s="56" t="s">
        <v>5262</v>
      </c>
      <c r="H74" s="56" t="s">
        <v>5263</v>
      </c>
      <c r="I74" s="56" t="s">
        <v>3659</v>
      </c>
      <c r="J74" s="56" t="s">
        <v>68</v>
      </c>
      <c r="K74" s="56" t="s">
        <v>59</v>
      </c>
      <c r="L74" s="58">
        <v>23828</v>
      </c>
      <c r="M74" s="56">
        <v>60</v>
      </c>
      <c r="N74" s="56" t="s">
        <v>5264</v>
      </c>
      <c r="O74" s="58">
        <v>48161</v>
      </c>
      <c r="P74" s="56" t="s">
        <v>5</v>
      </c>
      <c r="Q74" s="56"/>
      <c r="R74" s="270">
        <v>45913</v>
      </c>
      <c r="S74" s="270">
        <v>45918</v>
      </c>
      <c r="T74" s="51">
        <f t="shared" si="0"/>
        <v>5</v>
      </c>
      <c r="U74" s="56">
        <v>1</v>
      </c>
      <c r="V74" s="56">
        <v>1</v>
      </c>
      <c r="W74" s="56">
        <v>0</v>
      </c>
      <c r="X74" s="56">
        <v>1</v>
      </c>
      <c r="Y74" s="56">
        <v>0</v>
      </c>
      <c r="Z74" s="56">
        <v>0</v>
      </c>
      <c r="AA74" s="56">
        <v>1</v>
      </c>
      <c r="AB74" s="56"/>
      <c r="AC74" s="58">
        <v>45913</v>
      </c>
      <c r="AD74" s="59">
        <v>0.45833333333575865</v>
      </c>
      <c r="AE74" s="56" t="s">
        <v>244</v>
      </c>
      <c r="AF74" s="58">
        <v>45918</v>
      </c>
      <c r="AG74" s="59">
        <v>0.39930555555474712</v>
      </c>
      <c r="AH74" s="56" t="s">
        <v>1931</v>
      </c>
      <c r="AI74" s="56" t="s">
        <v>5208</v>
      </c>
      <c r="AJ74" s="56" t="s">
        <v>64</v>
      </c>
      <c r="AK74" s="56" t="s">
        <v>64</v>
      </c>
      <c r="AL74" s="56" t="s">
        <v>5016</v>
      </c>
      <c r="AM74" s="56" t="s">
        <v>65</v>
      </c>
      <c r="AN74" s="60"/>
      <c r="AO74" s="60"/>
      <c r="AP74" s="61"/>
    </row>
    <row r="75" spans="3:43" ht="14.25" customHeight="1">
      <c r="C75" s="55" t="str">
        <f>IF($X75=1,COUNTIF($C$10:C74,"&gt;0")+1,"")</f>
        <v/>
      </c>
      <c r="D75" s="56">
        <v>70273413</v>
      </c>
      <c r="E75" s="56" t="s">
        <v>5204</v>
      </c>
      <c r="F75" s="57" t="s">
        <v>5265</v>
      </c>
      <c r="G75" s="56" t="s">
        <v>5262</v>
      </c>
      <c r="H75" s="56" t="s">
        <v>5266</v>
      </c>
      <c r="I75" s="56" t="s">
        <v>5267</v>
      </c>
      <c r="J75" s="56" t="s">
        <v>68</v>
      </c>
      <c r="K75" s="56" t="s">
        <v>59</v>
      </c>
      <c r="L75" s="58">
        <v>24903</v>
      </c>
      <c r="M75" s="56">
        <v>57</v>
      </c>
      <c r="N75" s="56" t="s">
        <v>5268</v>
      </c>
      <c r="O75" s="58">
        <v>47035</v>
      </c>
      <c r="P75" s="56" t="s">
        <v>5</v>
      </c>
      <c r="Q75" s="56"/>
      <c r="R75" s="270">
        <v>45913</v>
      </c>
      <c r="S75" s="270">
        <v>45918</v>
      </c>
      <c r="T75" s="51">
        <f t="shared" ref="T75:T138" si="1">S75-R75</f>
        <v>5</v>
      </c>
      <c r="U75" s="56">
        <v>1</v>
      </c>
      <c r="V75" s="56">
        <v>1</v>
      </c>
      <c r="W75" s="56">
        <v>0</v>
      </c>
      <c r="X75" s="56">
        <v>0</v>
      </c>
      <c r="Y75" s="56">
        <v>0</v>
      </c>
      <c r="Z75" s="56">
        <v>0</v>
      </c>
      <c r="AA75" s="56">
        <v>0</v>
      </c>
      <c r="AB75" s="56"/>
      <c r="AC75" s="58">
        <v>45913</v>
      </c>
      <c r="AD75" s="59">
        <v>0.45833333333575865</v>
      </c>
      <c r="AE75" s="56" t="s">
        <v>244</v>
      </c>
      <c r="AF75" s="58">
        <v>45918</v>
      </c>
      <c r="AG75" s="59">
        <v>0.39930555555474712</v>
      </c>
      <c r="AH75" s="56" t="s">
        <v>1931</v>
      </c>
      <c r="AI75" s="56" t="s">
        <v>5208</v>
      </c>
      <c r="AJ75" s="56" t="s">
        <v>64</v>
      </c>
      <c r="AK75" s="56" t="s">
        <v>64</v>
      </c>
      <c r="AL75" s="56" t="s">
        <v>5016</v>
      </c>
      <c r="AM75" s="56" t="s">
        <v>65</v>
      </c>
      <c r="AN75" s="60"/>
      <c r="AO75" s="60"/>
      <c r="AP75" s="61"/>
    </row>
    <row r="76" spans="3:43" ht="14.25" customHeight="1">
      <c r="C76" s="55">
        <f>IF($X76=1,COUNTIF($C$10:C75,"&gt;0")+1,"")</f>
        <v>35</v>
      </c>
      <c r="D76" s="56">
        <v>70499036</v>
      </c>
      <c r="E76" s="56" t="s">
        <v>5204</v>
      </c>
      <c r="F76" s="57" t="s">
        <v>5269</v>
      </c>
      <c r="G76" s="56" t="s">
        <v>5269</v>
      </c>
      <c r="H76" s="62" t="s">
        <v>5270</v>
      </c>
      <c r="I76" s="62" t="s">
        <v>5271</v>
      </c>
      <c r="J76" s="62" t="s">
        <v>68</v>
      </c>
      <c r="K76" s="62" t="s">
        <v>59</v>
      </c>
      <c r="L76" s="63">
        <v>25800</v>
      </c>
      <c r="M76" s="62">
        <v>55</v>
      </c>
      <c r="N76" s="62" t="s">
        <v>5272</v>
      </c>
      <c r="O76" s="63">
        <v>48513</v>
      </c>
      <c r="P76" s="62" t="s">
        <v>4</v>
      </c>
      <c r="Q76" s="62"/>
      <c r="R76" s="272">
        <v>45913</v>
      </c>
      <c r="S76" s="272">
        <v>45918</v>
      </c>
      <c r="T76" s="67">
        <f t="shared" si="1"/>
        <v>5</v>
      </c>
      <c r="U76" s="62">
        <v>1</v>
      </c>
      <c r="V76" s="62">
        <v>1</v>
      </c>
      <c r="W76" s="62">
        <v>0</v>
      </c>
      <c r="X76" s="62">
        <v>1</v>
      </c>
      <c r="Y76" s="62">
        <v>0</v>
      </c>
      <c r="Z76" s="62">
        <v>1</v>
      </c>
      <c r="AA76" s="62">
        <v>0</v>
      </c>
      <c r="AB76" s="62"/>
      <c r="AC76" s="63">
        <v>45913</v>
      </c>
      <c r="AD76" s="68">
        <v>0.45833333333575865</v>
      </c>
      <c r="AE76" s="62" t="s">
        <v>244</v>
      </c>
      <c r="AF76" s="63">
        <v>45918</v>
      </c>
      <c r="AG76" s="68">
        <v>0.51041666666424135</v>
      </c>
      <c r="AH76" s="62" t="s">
        <v>5273</v>
      </c>
      <c r="AI76" s="62" t="s">
        <v>5208</v>
      </c>
      <c r="AJ76" s="62" t="s">
        <v>64</v>
      </c>
      <c r="AK76" s="62"/>
      <c r="AL76" s="62" t="s">
        <v>5016</v>
      </c>
      <c r="AM76" s="62" t="s">
        <v>65</v>
      </c>
      <c r="AN76" s="273" t="s">
        <v>5017</v>
      </c>
      <c r="AO76" s="273"/>
      <c r="AP76" s="64" t="s">
        <v>504</v>
      </c>
      <c r="AQ76" s="271" t="s">
        <v>5064</v>
      </c>
    </row>
    <row r="77" spans="3:43" ht="14.25" customHeight="1">
      <c r="C77" s="55" t="str">
        <f>IF($X77=1,COUNTIF($C$10:C76,"&gt;0")+1,"")</f>
        <v/>
      </c>
      <c r="D77" s="56">
        <v>70499036</v>
      </c>
      <c r="E77" s="56" t="s">
        <v>5204</v>
      </c>
      <c r="F77" s="57" t="s">
        <v>5274</v>
      </c>
      <c r="G77" s="56" t="s">
        <v>5269</v>
      </c>
      <c r="H77" s="62" t="s">
        <v>5275</v>
      </c>
      <c r="I77" s="62" t="s">
        <v>993</v>
      </c>
      <c r="J77" s="62" t="s">
        <v>68</v>
      </c>
      <c r="K77" s="62" t="s">
        <v>59</v>
      </c>
      <c r="L77" s="63">
        <v>23517</v>
      </c>
      <c r="M77" s="62">
        <v>61</v>
      </c>
      <c r="N77" s="62" t="s">
        <v>5276</v>
      </c>
      <c r="O77" s="63">
        <v>48477</v>
      </c>
      <c r="P77" s="62" t="s">
        <v>4</v>
      </c>
      <c r="Q77" s="62"/>
      <c r="R77" s="272">
        <v>45913</v>
      </c>
      <c r="S77" s="272">
        <v>45918</v>
      </c>
      <c r="T77" s="67">
        <f t="shared" si="1"/>
        <v>5</v>
      </c>
      <c r="U77" s="62">
        <v>1</v>
      </c>
      <c r="V77" s="62">
        <v>1</v>
      </c>
      <c r="W77" s="62">
        <v>0</v>
      </c>
      <c r="X77" s="62">
        <v>0</v>
      </c>
      <c r="Y77" s="62">
        <v>0</v>
      </c>
      <c r="Z77" s="62">
        <v>0</v>
      </c>
      <c r="AA77" s="62">
        <v>0</v>
      </c>
      <c r="AB77" s="62"/>
      <c r="AC77" s="63">
        <v>45913</v>
      </c>
      <c r="AD77" s="68">
        <v>0.45833333333575865</v>
      </c>
      <c r="AE77" s="62" t="s">
        <v>244</v>
      </c>
      <c r="AF77" s="63">
        <v>45918</v>
      </c>
      <c r="AG77" s="68">
        <v>0.55555555555474712</v>
      </c>
      <c r="AH77" s="62" t="s">
        <v>5277</v>
      </c>
      <c r="AI77" s="62" t="s">
        <v>5208</v>
      </c>
      <c r="AJ77" s="62" t="s">
        <v>64</v>
      </c>
      <c r="AK77" s="62" t="s">
        <v>64</v>
      </c>
      <c r="AL77" s="62" t="s">
        <v>5016</v>
      </c>
      <c r="AM77" s="62" t="s">
        <v>65</v>
      </c>
      <c r="AN77" s="273" t="s">
        <v>5017</v>
      </c>
      <c r="AO77" s="273"/>
      <c r="AP77" s="64" t="s">
        <v>504</v>
      </c>
      <c r="AQ77" s="271" t="s">
        <v>5064</v>
      </c>
    </row>
    <row r="78" spans="3:43" ht="14.25" customHeight="1">
      <c r="C78" s="55">
        <f>IF($X78=1,COUNTIF($C$10:C77,"&gt;0")+1,"")</f>
        <v>36</v>
      </c>
      <c r="D78" s="56">
        <v>70273417</v>
      </c>
      <c r="E78" s="56" t="s">
        <v>5204</v>
      </c>
      <c r="F78" s="57" t="s">
        <v>5278</v>
      </c>
      <c r="G78" s="56" t="s">
        <v>5278</v>
      </c>
      <c r="H78" s="56" t="s">
        <v>5279</v>
      </c>
      <c r="I78" s="56" t="s">
        <v>993</v>
      </c>
      <c r="J78" s="56" t="s">
        <v>68</v>
      </c>
      <c r="K78" s="56" t="s">
        <v>59</v>
      </c>
      <c r="L78" s="58">
        <v>26060</v>
      </c>
      <c r="M78" s="56">
        <v>54</v>
      </c>
      <c r="N78" s="56" t="s">
        <v>5280</v>
      </c>
      <c r="O78" s="58">
        <v>47188</v>
      </c>
      <c r="P78" s="56" t="s">
        <v>5</v>
      </c>
      <c r="Q78" s="56"/>
      <c r="R78" s="270">
        <v>45913</v>
      </c>
      <c r="S78" s="270">
        <v>45918</v>
      </c>
      <c r="T78" s="51">
        <f t="shared" si="1"/>
        <v>5</v>
      </c>
      <c r="U78" s="56">
        <v>1</v>
      </c>
      <c r="V78" s="56">
        <v>1</v>
      </c>
      <c r="W78" s="56">
        <v>0</v>
      </c>
      <c r="X78" s="56">
        <v>1</v>
      </c>
      <c r="Y78" s="56">
        <v>0</v>
      </c>
      <c r="Z78" s="56">
        <v>0</v>
      </c>
      <c r="AA78" s="56">
        <v>1</v>
      </c>
      <c r="AB78" s="56"/>
      <c r="AC78" s="58">
        <v>45913</v>
      </c>
      <c r="AD78" s="59">
        <v>0.45833333333575865</v>
      </c>
      <c r="AE78" s="56" t="s">
        <v>244</v>
      </c>
      <c r="AF78" s="58">
        <v>45918</v>
      </c>
      <c r="AG78" s="59">
        <v>0.39930555555474712</v>
      </c>
      <c r="AH78" s="56" t="s">
        <v>1931</v>
      </c>
      <c r="AI78" s="56" t="s">
        <v>5208</v>
      </c>
      <c r="AJ78" s="56" t="s">
        <v>64</v>
      </c>
      <c r="AK78" s="56" t="s">
        <v>64</v>
      </c>
      <c r="AL78" s="56" t="s">
        <v>5016</v>
      </c>
      <c r="AM78" s="56" t="s">
        <v>65</v>
      </c>
      <c r="AN78" s="60"/>
      <c r="AO78" s="60"/>
      <c r="AP78" s="61"/>
    </row>
    <row r="79" spans="3:43" ht="14.25" customHeight="1">
      <c r="C79" s="55" t="str">
        <f>IF($X79=1,COUNTIF($C$10:C78,"&gt;0")+1,"")</f>
        <v/>
      </c>
      <c r="D79" s="56">
        <v>70273417</v>
      </c>
      <c r="E79" s="56" t="s">
        <v>5204</v>
      </c>
      <c r="F79" s="57" t="s">
        <v>5281</v>
      </c>
      <c r="G79" s="56" t="s">
        <v>5278</v>
      </c>
      <c r="H79" s="56" t="s">
        <v>356</v>
      </c>
      <c r="I79" s="56" t="s">
        <v>3659</v>
      </c>
      <c r="J79" s="56" t="s">
        <v>58</v>
      </c>
      <c r="K79" s="56" t="s">
        <v>59</v>
      </c>
      <c r="L79" s="58">
        <v>25639</v>
      </c>
      <c r="M79" s="56">
        <v>55</v>
      </c>
      <c r="N79" s="56" t="s">
        <v>5282</v>
      </c>
      <c r="O79" s="58">
        <v>47054</v>
      </c>
      <c r="P79" s="56" t="s">
        <v>5</v>
      </c>
      <c r="Q79" s="56"/>
      <c r="R79" s="270">
        <v>45913</v>
      </c>
      <c r="S79" s="270">
        <v>45918</v>
      </c>
      <c r="T79" s="51">
        <f t="shared" si="1"/>
        <v>5</v>
      </c>
      <c r="U79" s="56">
        <v>1</v>
      </c>
      <c r="V79" s="56">
        <v>1</v>
      </c>
      <c r="W79" s="56">
        <v>0</v>
      </c>
      <c r="X79" s="56">
        <v>0</v>
      </c>
      <c r="Y79" s="56">
        <v>0</v>
      </c>
      <c r="Z79" s="56">
        <v>0</v>
      </c>
      <c r="AA79" s="56">
        <v>0</v>
      </c>
      <c r="AB79" s="56"/>
      <c r="AC79" s="58">
        <v>45913</v>
      </c>
      <c r="AD79" s="59">
        <v>0.45833333333575865</v>
      </c>
      <c r="AE79" s="56" t="s">
        <v>244</v>
      </c>
      <c r="AF79" s="58">
        <v>45918</v>
      </c>
      <c r="AG79" s="59">
        <v>0.39930555555474712</v>
      </c>
      <c r="AH79" s="56" t="s">
        <v>1931</v>
      </c>
      <c r="AI79" s="56" t="s">
        <v>5208</v>
      </c>
      <c r="AJ79" s="56" t="s">
        <v>64</v>
      </c>
      <c r="AK79" s="56" t="s">
        <v>64</v>
      </c>
      <c r="AL79" s="56" t="s">
        <v>5016</v>
      </c>
      <c r="AM79" s="56" t="s">
        <v>65</v>
      </c>
      <c r="AN79" s="60"/>
      <c r="AO79" s="60"/>
      <c r="AP79" s="61"/>
    </row>
    <row r="80" spans="3:43" ht="14.25" customHeight="1">
      <c r="C80" s="55">
        <f>IF($X80=1,COUNTIF($C$10:C79,"&gt;0")+1,"")</f>
        <v>37</v>
      </c>
      <c r="D80" s="56">
        <v>70273424</v>
      </c>
      <c r="E80" s="56" t="s">
        <v>5204</v>
      </c>
      <c r="F80" s="57" t="s">
        <v>5283</v>
      </c>
      <c r="G80" s="56" t="s">
        <v>5283</v>
      </c>
      <c r="H80" s="56" t="s">
        <v>5284</v>
      </c>
      <c r="I80" s="56" t="s">
        <v>1618</v>
      </c>
      <c r="J80" s="56" t="s">
        <v>68</v>
      </c>
      <c r="K80" s="56" t="s">
        <v>59</v>
      </c>
      <c r="L80" s="58">
        <v>23156</v>
      </c>
      <c r="M80" s="56">
        <v>62</v>
      </c>
      <c r="N80" s="56" t="s">
        <v>5285</v>
      </c>
      <c r="O80" s="58">
        <v>48520</v>
      </c>
      <c r="P80" s="56" t="s">
        <v>5</v>
      </c>
      <c r="Q80" s="56"/>
      <c r="R80" s="270">
        <v>45913</v>
      </c>
      <c r="S80" s="270">
        <v>45918</v>
      </c>
      <c r="T80" s="51">
        <f t="shared" si="1"/>
        <v>5</v>
      </c>
      <c r="U80" s="56">
        <v>1</v>
      </c>
      <c r="V80" s="56">
        <v>1</v>
      </c>
      <c r="W80" s="56">
        <v>0</v>
      </c>
      <c r="X80" s="56">
        <v>1</v>
      </c>
      <c r="Y80" s="56">
        <v>0</v>
      </c>
      <c r="Z80" s="56">
        <v>0</v>
      </c>
      <c r="AA80" s="56">
        <v>1</v>
      </c>
      <c r="AB80" s="56"/>
      <c r="AC80" s="58">
        <v>45913</v>
      </c>
      <c r="AD80" s="59">
        <v>0.63888888889050577</v>
      </c>
      <c r="AE80" s="56" t="s">
        <v>84</v>
      </c>
      <c r="AF80" s="58">
        <v>45918</v>
      </c>
      <c r="AG80" s="59">
        <v>0.59375</v>
      </c>
      <c r="AH80" s="56" t="s">
        <v>5286</v>
      </c>
      <c r="AI80" s="56" t="s">
        <v>5208</v>
      </c>
      <c r="AJ80" s="56" t="s">
        <v>64</v>
      </c>
      <c r="AK80" s="56" t="s">
        <v>64</v>
      </c>
      <c r="AL80" s="56" t="s">
        <v>5016</v>
      </c>
      <c r="AM80" s="56" t="s">
        <v>65</v>
      </c>
      <c r="AN80" s="60"/>
      <c r="AO80" s="60"/>
      <c r="AP80" s="61"/>
    </row>
    <row r="81" spans="3:43" ht="14.25" customHeight="1">
      <c r="C81" s="55" t="str">
        <f>IF($X81=1,COUNTIF($C$10:C80,"&gt;0")+1,"")</f>
        <v/>
      </c>
      <c r="D81" s="56">
        <v>70273424</v>
      </c>
      <c r="E81" s="56" t="s">
        <v>5204</v>
      </c>
      <c r="F81" s="57" t="s">
        <v>5287</v>
      </c>
      <c r="G81" s="56" t="s">
        <v>5283</v>
      </c>
      <c r="H81" s="56" t="s">
        <v>5288</v>
      </c>
      <c r="I81" s="56" t="s">
        <v>5271</v>
      </c>
      <c r="J81" s="56" t="s">
        <v>58</v>
      </c>
      <c r="K81" s="56" t="s">
        <v>59</v>
      </c>
      <c r="L81" s="58">
        <v>21253</v>
      </c>
      <c r="M81" s="56">
        <v>67</v>
      </c>
      <c r="N81" s="56" t="s">
        <v>5289</v>
      </c>
      <c r="O81" s="58">
        <v>47162</v>
      </c>
      <c r="P81" s="56" t="s">
        <v>5</v>
      </c>
      <c r="Q81" s="56"/>
      <c r="R81" s="270">
        <v>45913</v>
      </c>
      <c r="S81" s="270">
        <v>45918</v>
      </c>
      <c r="T81" s="51">
        <f t="shared" si="1"/>
        <v>5</v>
      </c>
      <c r="U81" s="56">
        <v>1</v>
      </c>
      <c r="V81" s="56">
        <v>1</v>
      </c>
      <c r="W81" s="56">
        <v>0</v>
      </c>
      <c r="X81" s="56">
        <v>0</v>
      </c>
      <c r="Y81" s="56">
        <v>0</v>
      </c>
      <c r="Z81" s="56">
        <v>0</v>
      </c>
      <c r="AA81" s="56">
        <v>0</v>
      </c>
      <c r="AB81" s="56"/>
      <c r="AC81" s="58">
        <v>45913</v>
      </c>
      <c r="AD81" s="59">
        <v>0.63888888889050577</v>
      </c>
      <c r="AE81" s="56" t="s">
        <v>84</v>
      </c>
      <c r="AF81" s="58">
        <v>45918</v>
      </c>
      <c r="AG81" s="59">
        <v>0.59375</v>
      </c>
      <c r="AH81" s="56" t="s">
        <v>5286</v>
      </c>
      <c r="AI81" s="56" t="s">
        <v>5208</v>
      </c>
      <c r="AJ81" s="56" t="s">
        <v>64</v>
      </c>
      <c r="AK81" s="56" t="s">
        <v>64</v>
      </c>
      <c r="AL81" s="56" t="s">
        <v>5016</v>
      </c>
      <c r="AM81" s="56" t="s">
        <v>65</v>
      </c>
      <c r="AN81" s="60"/>
      <c r="AO81" s="60"/>
      <c r="AP81" s="61"/>
    </row>
    <row r="82" spans="3:43" ht="14.25" customHeight="1">
      <c r="C82" s="55">
        <f>IF($X82=1,COUNTIF($C$10:C81,"&gt;0")+1,"")</f>
        <v>38</v>
      </c>
      <c r="D82" s="56">
        <v>70140190</v>
      </c>
      <c r="E82" s="56" t="s">
        <v>5204</v>
      </c>
      <c r="F82" s="57" t="s">
        <v>5290</v>
      </c>
      <c r="G82" s="56" t="s">
        <v>5290</v>
      </c>
      <c r="H82" s="56" t="s">
        <v>5291</v>
      </c>
      <c r="I82" s="56" t="s">
        <v>5292</v>
      </c>
      <c r="J82" s="56" t="s">
        <v>68</v>
      </c>
      <c r="K82" s="56" t="s">
        <v>59</v>
      </c>
      <c r="L82" s="58">
        <v>25551</v>
      </c>
      <c r="M82" s="56">
        <v>55</v>
      </c>
      <c r="N82" s="56" t="s">
        <v>5293</v>
      </c>
      <c r="O82" s="58">
        <v>49024</v>
      </c>
      <c r="P82" s="56" t="s">
        <v>4</v>
      </c>
      <c r="Q82" s="56"/>
      <c r="R82" s="270">
        <v>45913</v>
      </c>
      <c r="S82" s="270">
        <v>45918</v>
      </c>
      <c r="T82" s="51">
        <f t="shared" si="1"/>
        <v>5</v>
      </c>
      <c r="U82" s="56">
        <v>1</v>
      </c>
      <c r="V82" s="56">
        <v>1</v>
      </c>
      <c r="W82" s="56">
        <v>0</v>
      </c>
      <c r="X82" s="56">
        <v>1</v>
      </c>
      <c r="Y82" s="56">
        <v>0</v>
      </c>
      <c r="Z82" s="56">
        <v>1</v>
      </c>
      <c r="AA82" s="56">
        <v>0</v>
      </c>
      <c r="AB82" s="56"/>
      <c r="AC82" s="58">
        <v>45913</v>
      </c>
      <c r="AD82" s="59">
        <v>0.63888888889050577</v>
      </c>
      <c r="AE82" s="56" t="s">
        <v>84</v>
      </c>
      <c r="AF82" s="58">
        <v>45918</v>
      </c>
      <c r="AG82" s="59">
        <v>0.57291666666424135</v>
      </c>
      <c r="AH82" s="56" t="s">
        <v>5294</v>
      </c>
      <c r="AI82" s="56" t="s">
        <v>5208</v>
      </c>
      <c r="AJ82" s="56" t="s">
        <v>64</v>
      </c>
      <c r="AK82" s="56" t="s">
        <v>64</v>
      </c>
      <c r="AL82" s="56" t="s">
        <v>5016</v>
      </c>
      <c r="AM82" s="56" t="s">
        <v>65</v>
      </c>
      <c r="AN82" s="60"/>
      <c r="AO82" s="60"/>
      <c r="AP82" s="61"/>
    </row>
    <row r="83" spans="3:43" ht="14.25" customHeight="1">
      <c r="C83" s="55" t="str">
        <f>IF($X83=1,COUNTIF($C$10:C82,"&gt;0")+1,"")</f>
        <v/>
      </c>
      <c r="D83" s="56">
        <v>70140190</v>
      </c>
      <c r="E83" s="56" t="s">
        <v>5204</v>
      </c>
      <c r="F83" s="57" t="s">
        <v>5295</v>
      </c>
      <c r="G83" s="56" t="s">
        <v>5290</v>
      </c>
      <c r="H83" s="56" t="s">
        <v>5279</v>
      </c>
      <c r="I83" s="56" t="s">
        <v>5296</v>
      </c>
      <c r="J83" s="56" t="s">
        <v>68</v>
      </c>
      <c r="K83" s="56" t="s">
        <v>369</v>
      </c>
      <c r="L83" s="58">
        <v>26513</v>
      </c>
      <c r="M83" s="56">
        <v>53</v>
      </c>
      <c r="N83" s="56" t="s">
        <v>5297</v>
      </c>
      <c r="O83" s="58">
        <v>48325</v>
      </c>
      <c r="P83" s="56" t="s">
        <v>4</v>
      </c>
      <c r="Q83" s="56"/>
      <c r="R83" s="270">
        <v>45913</v>
      </c>
      <c r="S83" s="270">
        <v>45918</v>
      </c>
      <c r="T83" s="51">
        <f t="shared" si="1"/>
        <v>5</v>
      </c>
      <c r="U83" s="56">
        <v>1</v>
      </c>
      <c r="V83" s="56">
        <v>1</v>
      </c>
      <c r="W83" s="56">
        <v>0</v>
      </c>
      <c r="X83" s="56">
        <v>0</v>
      </c>
      <c r="Y83" s="56">
        <v>0</v>
      </c>
      <c r="Z83" s="56">
        <v>0</v>
      </c>
      <c r="AA83" s="56">
        <v>0</v>
      </c>
      <c r="AB83" s="56"/>
      <c r="AC83" s="58">
        <v>45913</v>
      </c>
      <c r="AD83" s="59">
        <v>0.68402777778101154</v>
      </c>
      <c r="AE83" s="56" t="s">
        <v>688</v>
      </c>
      <c r="AF83" s="58">
        <v>45918</v>
      </c>
      <c r="AG83" s="59">
        <v>0.63541666666424135</v>
      </c>
      <c r="AH83" s="56" t="s">
        <v>5298</v>
      </c>
      <c r="AI83" s="56" t="s">
        <v>5208</v>
      </c>
      <c r="AJ83" s="56" t="s">
        <v>64</v>
      </c>
      <c r="AK83" s="56" t="s">
        <v>64</v>
      </c>
      <c r="AL83" s="56" t="s">
        <v>5016</v>
      </c>
      <c r="AM83" s="56" t="s">
        <v>65</v>
      </c>
      <c r="AN83" s="60"/>
      <c r="AO83" s="60"/>
      <c r="AP83" s="61"/>
    </row>
    <row r="84" spans="3:43" ht="14.25" customHeight="1">
      <c r="C84" s="55">
        <f>IF($X84=1,COUNTIF($C$10:C83,"&gt;0")+1,"")</f>
        <v>39</v>
      </c>
      <c r="D84" s="56">
        <v>70140189</v>
      </c>
      <c r="E84" s="56" t="s">
        <v>5204</v>
      </c>
      <c r="F84" s="57" t="s">
        <v>5299</v>
      </c>
      <c r="G84" s="56" t="s">
        <v>5299</v>
      </c>
      <c r="H84" s="56" t="s">
        <v>5266</v>
      </c>
      <c r="I84" s="56" t="s">
        <v>5300</v>
      </c>
      <c r="J84" s="56" t="s">
        <v>68</v>
      </c>
      <c r="K84" s="56" t="s">
        <v>59</v>
      </c>
      <c r="L84" s="58">
        <v>29204</v>
      </c>
      <c r="M84" s="56">
        <v>45</v>
      </c>
      <c r="N84" s="56" t="s">
        <v>5301</v>
      </c>
      <c r="O84" s="58">
        <v>46136</v>
      </c>
      <c r="P84" s="56" t="s">
        <v>4</v>
      </c>
      <c r="Q84" s="56"/>
      <c r="R84" s="270">
        <v>45913</v>
      </c>
      <c r="S84" s="270">
        <v>45918</v>
      </c>
      <c r="T84" s="51">
        <f t="shared" si="1"/>
        <v>5</v>
      </c>
      <c r="U84" s="56">
        <v>1</v>
      </c>
      <c r="V84" s="56">
        <v>1</v>
      </c>
      <c r="W84" s="56">
        <v>0</v>
      </c>
      <c r="X84" s="56">
        <v>1</v>
      </c>
      <c r="Y84" s="56">
        <v>0</v>
      </c>
      <c r="Z84" s="56">
        <v>1</v>
      </c>
      <c r="AA84" s="56">
        <v>0</v>
      </c>
      <c r="AB84" s="56"/>
      <c r="AC84" s="58">
        <v>45913</v>
      </c>
      <c r="AD84" s="59">
        <v>0.45833333333575865</v>
      </c>
      <c r="AE84" s="56" t="s">
        <v>244</v>
      </c>
      <c r="AF84" s="58">
        <v>45918</v>
      </c>
      <c r="AG84" s="59">
        <v>0.39930555555474712</v>
      </c>
      <c r="AH84" s="56" t="s">
        <v>1931</v>
      </c>
      <c r="AI84" s="56" t="s">
        <v>5208</v>
      </c>
      <c r="AJ84" s="56" t="s">
        <v>64</v>
      </c>
      <c r="AK84" s="56" t="s">
        <v>64</v>
      </c>
      <c r="AL84" s="56" t="s">
        <v>5016</v>
      </c>
      <c r="AM84" s="56" t="s">
        <v>65</v>
      </c>
      <c r="AN84" s="60"/>
      <c r="AO84" s="60"/>
      <c r="AP84" s="61"/>
    </row>
    <row r="85" spans="3:43" ht="14.25" customHeight="1">
      <c r="C85" s="55" t="str">
        <f>IF($X85=1,COUNTIF($C$10:C84,"&gt;0")+1,"")</f>
        <v/>
      </c>
      <c r="D85" s="56">
        <v>70140189</v>
      </c>
      <c r="E85" s="56" t="s">
        <v>5204</v>
      </c>
      <c r="F85" s="57" t="s">
        <v>5302</v>
      </c>
      <c r="G85" s="56" t="s">
        <v>5299</v>
      </c>
      <c r="H85" s="56" t="s">
        <v>333</v>
      </c>
      <c r="I85" s="56" t="s">
        <v>5300</v>
      </c>
      <c r="J85" s="56" t="s">
        <v>58</v>
      </c>
      <c r="K85" s="56" t="s">
        <v>59</v>
      </c>
      <c r="L85" s="58">
        <v>26931</v>
      </c>
      <c r="M85" s="56">
        <v>51</v>
      </c>
      <c r="N85" s="56" t="s">
        <v>5303</v>
      </c>
      <c r="O85" s="58">
        <v>47652</v>
      </c>
      <c r="P85" s="56" t="s">
        <v>4</v>
      </c>
      <c r="Q85" s="56"/>
      <c r="R85" s="270">
        <v>45913</v>
      </c>
      <c r="S85" s="270">
        <v>45918</v>
      </c>
      <c r="T85" s="51">
        <f t="shared" si="1"/>
        <v>5</v>
      </c>
      <c r="U85" s="56">
        <v>1</v>
      </c>
      <c r="V85" s="56">
        <v>1</v>
      </c>
      <c r="W85" s="56">
        <v>0</v>
      </c>
      <c r="X85" s="56">
        <v>0</v>
      </c>
      <c r="Y85" s="56">
        <v>0</v>
      </c>
      <c r="Z85" s="56">
        <v>0</v>
      </c>
      <c r="AA85" s="56">
        <v>0</v>
      </c>
      <c r="AB85" s="56"/>
      <c r="AC85" s="58">
        <v>45913</v>
      </c>
      <c r="AD85" s="59">
        <v>0.45833333333575865</v>
      </c>
      <c r="AE85" s="56" t="s">
        <v>244</v>
      </c>
      <c r="AF85" s="58">
        <v>45918</v>
      </c>
      <c r="AG85" s="59">
        <v>0.39930555555474712</v>
      </c>
      <c r="AH85" s="56" t="s">
        <v>1931</v>
      </c>
      <c r="AI85" s="56" t="s">
        <v>5208</v>
      </c>
      <c r="AJ85" s="56" t="s">
        <v>64</v>
      </c>
      <c r="AK85" s="56" t="s">
        <v>64</v>
      </c>
      <c r="AL85" s="56" t="s">
        <v>5016</v>
      </c>
      <c r="AM85" s="56" t="s">
        <v>65</v>
      </c>
      <c r="AN85" s="60"/>
      <c r="AO85" s="60"/>
      <c r="AP85" s="61"/>
    </row>
    <row r="86" spans="3:43" ht="14.25" customHeight="1">
      <c r="C86" s="55">
        <f>IF($X86=1,COUNTIF($C$10:C85,"&gt;0")+1,"")</f>
        <v>40</v>
      </c>
      <c r="D86" s="56">
        <v>70499013</v>
      </c>
      <c r="E86" s="56" t="s">
        <v>5204</v>
      </c>
      <c r="F86" s="57" t="s">
        <v>5304</v>
      </c>
      <c r="G86" s="56" t="s">
        <v>5304</v>
      </c>
      <c r="H86" s="62" t="s">
        <v>2255</v>
      </c>
      <c r="I86" s="62" t="s">
        <v>5305</v>
      </c>
      <c r="J86" s="62" t="s">
        <v>68</v>
      </c>
      <c r="K86" s="62" t="s">
        <v>59</v>
      </c>
      <c r="L86" s="63">
        <v>20192</v>
      </c>
      <c r="M86" s="62">
        <v>70</v>
      </c>
      <c r="N86" s="62" t="s">
        <v>5306</v>
      </c>
      <c r="O86" s="63">
        <v>46359</v>
      </c>
      <c r="P86" s="62" t="s">
        <v>4</v>
      </c>
      <c r="Q86" s="62"/>
      <c r="R86" s="272">
        <v>45913</v>
      </c>
      <c r="S86" s="272">
        <v>45918</v>
      </c>
      <c r="T86" s="67">
        <f t="shared" si="1"/>
        <v>5</v>
      </c>
      <c r="U86" s="62">
        <v>1</v>
      </c>
      <c r="V86" s="62">
        <v>1</v>
      </c>
      <c r="W86" s="62">
        <v>0</v>
      </c>
      <c r="X86" s="62">
        <v>1</v>
      </c>
      <c r="Y86" s="62">
        <v>0</v>
      </c>
      <c r="Z86" s="62">
        <v>1</v>
      </c>
      <c r="AA86" s="62">
        <v>0</v>
      </c>
      <c r="AB86" s="62"/>
      <c r="AC86" s="63">
        <v>45913</v>
      </c>
      <c r="AD86" s="68">
        <v>0.59027777778101154</v>
      </c>
      <c r="AE86" s="62" t="s">
        <v>547</v>
      </c>
      <c r="AF86" s="63">
        <v>45918</v>
      </c>
      <c r="AG86" s="68">
        <v>0.39930555555474712</v>
      </c>
      <c r="AH86" s="62" t="s">
        <v>1931</v>
      </c>
      <c r="AI86" s="62" t="s">
        <v>5208</v>
      </c>
      <c r="AJ86" s="62" t="s">
        <v>64</v>
      </c>
      <c r="AK86" s="62" t="s">
        <v>64</v>
      </c>
      <c r="AL86" s="62" t="s">
        <v>5016</v>
      </c>
      <c r="AM86" s="62" t="s">
        <v>65</v>
      </c>
      <c r="AN86" s="273" t="s">
        <v>5017</v>
      </c>
      <c r="AO86" s="273"/>
      <c r="AP86" s="64" t="s">
        <v>504</v>
      </c>
      <c r="AQ86" s="271" t="s">
        <v>5064</v>
      </c>
    </row>
    <row r="87" spans="3:43" ht="14.25" customHeight="1">
      <c r="C87" s="55" t="str">
        <f>IF($X87=1,COUNTIF($C$10:C86,"&gt;0")+1,"")</f>
        <v/>
      </c>
      <c r="D87" s="56">
        <v>70499013</v>
      </c>
      <c r="E87" s="56" t="s">
        <v>5204</v>
      </c>
      <c r="F87" s="57" t="s">
        <v>5307</v>
      </c>
      <c r="G87" s="56" t="s">
        <v>5304</v>
      </c>
      <c r="H87" s="62" t="s">
        <v>5308</v>
      </c>
      <c r="I87" s="62" t="s">
        <v>5309</v>
      </c>
      <c r="J87" s="62" t="s">
        <v>68</v>
      </c>
      <c r="K87" s="62" t="s">
        <v>59</v>
      </c>
      <c r="L87" s="63">
        <v>25650</v>
      </c>
      <c r="M87" s="62">
        <v>55</v>
      </c>
      <c r="N87" s="62" t="s">
        <v>5310</v>
      </c>
      <c r="O87" s="63">
        <v>49394</v>
      </c>
      <c r="P87" s="62" t="s">
        <v>4</v>
      </c>
      <c r="Q87" s="62"/>
      <c r="R87" s="272">
        <v>45913</v>
      </c>
      <c r="S87" s="272">
        <v>45918</v>
      </c>
      <c r="T87" s="67">
        <f t="shared" si="1"/>
        <v>5</v>
      </c>
      <c r="U87" s="62">
        <v>1</v>
      </c>
      <c r="V87" s="62">
        <v>1</v>
      </c>
      <c r="W87" s="62">
        <v>0</v>
      </c>
      <c r="X87" s="62">
        <v>0</v>
      </c>
      <c r="Y87" s="62">
        <v>0</v>
      </c>
      <c r="Z87" s="62">
        <v>0</v>
      </c>
      <c r="AA87" s="62">
        <v>0</v>
      </c>
      <c r="AB87" s="62"/>
      <c r="AC87" s="63">
        <v>45913</v>
      </c>
      <c r="AD87" s="68">
        <v>0.1875</v>
      </c>
      <c r="AE87" s="62" t="s">
        <v>220</v>
      </c>
      <c r="AF87" s="63">
        <v>45929</v>
      </c>
      <c r="AG87" s="68">
        <v>0.87152777778101154</v>
      </c>
      <c r="AH87" s="62" t="s">
        <v>102</v>
      </c>
      <c r="AI87" s="62" t="s">
        <v>5208</v>
      </c>
      <c r="AJ87" s="62" t="s">
        <v>64</v>
      </c>
      <c r="AK87" s="62" t="s">
        <v>64</v>
      </c>
      <c r="AL87" s="62" t="s">
        <v>5016</v>
      </c>
      <c r="AM87" s="62" t="s">
        <v>65</v>
      </c>
      <c r="AN87" s="273" t="s">
        <v>5017</v>
      </c>
      <c r="AO87" s="273"/>
      <c r="AP87" s="64" t="s">
        <v>504</v>
      </c>
      <c r="AQ87" s="271" t="s">
        <v>5064</v>
      </c>
    </row>
    <row r="88" spans="3:43" ht="14.25" customHeight="1">
      <c r="C88" s="55">
        <f>IF($X88=1,COUNTIF($C$10:C87,"&gt;0")+1,"")</f>
        <v>41</v>
      </c>
      <c r="D88" s="56">
        <v>70277555</v>
      </c>
      <c r="E88" s="56" t="s">
        <v>5204</v>
      </c>
      <c r="F88" s="57" t="s">
        <v>5311</v>
      </c>
      <c r="G88" s="56" t="s">
        <v>5311</v>
      </c>
      <c r="H88" s="56" t="s">
        <v>5312</v>
      </c>
      <c r="I88" s="56" t="s">
        <v>88</v>
      </c>
      <c r="J88" s="56" t="s">
        <v>68</v>
      </c>
      <c r="K88" s="56" t="s">
        <v>59</v>
      </c>
      <c r="L88" s="58">
        <v>25104</v>
      </c>
      <c r="M88" s="56">
        <v>56</v>
      </c>
      <c r="N88" s="56" t="s">
        <v>5313</v>
      </c>
      <c r="O88" s="58">
        <v>46536</v>
      </c>
      <c r="P88" s="56" t="s">
        <v>5</v>
      </c>
      <c r="Q88" s="56"/>
      <c r="R88" s="270">
        <v>45913</v>
      </c>
      <c r="S88" s="270">
        <v>45918</v>
      </c>
      <c r="T88" s="51">
        <f t="shared" si="1"/>
        <v>5</v>
      </c>
      <c r="U88" s="56">
        <v>1</v>
      </c>
      <c r="V88" s="56">
        <v>1</v>
      </c>
      <c r="W88" s="56">
        <v>0</v>
      </c>
      <c r="X88" s="56">
        <v>1</v>
      </c>
      <c r="Y88" s="56">
        <v>0</v>
      </c>
      <c r="Z88" s="56">
        <v>0</v>
      </c>
      <c r="AA88" s="56">
        <v>1</v>
      </c>
      <c r="AB88" s="56"/>
      <c r="AC88" s="58">
        <v>45913</v>
      </c>
      <c r="AD88" s="59">
        <v>0.67013888889050577</v>
      </c>
      <c r="AE88" s="56" t="s">
        <v>234</v>
      </c>
      <c r="AF88" s="58">
        <v>45918</v>
      </c>
      <c r="AG88" s="59">
        <v>0.39930555555474712</v>
      </c>
      <c r="AH88" s="56" t="s">
        <v>1931</v>
      </c>
      <c r="AI88" s="56" t="s">
        <v>5208</v>
      </c>
      <c r="AJ88" s="56" t="s">
        <v>64</v>
      </c>
      <c r="AK88" s="56" t="s">
        <v>64</v>
      </c>
      <c r="AL88" s="56" t="s">
        <v>5016</v>
      </c>
      <c r="AM88" s="56" t="s">
        <v>65</v>
      </c>
      <c r="AN88" s="60"/>
      <c r="AO88" s="60"/>
      <c r="AP88" s="61"/>
    </row>
    <row r="89" spans="3:43" ht="14.25" customHeight="1">
      <c r="C89" s="55" t="str">
        <f>IF($X89=1,COUNTIF($C$10:C88,"&gt;0")+1,"")</f>
        <v/>
      </c>
      <c r="D89" s="56">
        <v>70277555</v>
      </c>
      <c r="E89" s="56" t="s">
        <v>5204</v>
      </c>
      <c r="F89" s="57" t="s">
        <v>5314</v>
      </c>
      <c r="G89" s="56" t="s">
        <v>5311</v>
      </c>
      <c r="H89" s="56" t="s">
        <v>5315</v>
      </c>
      <c r="I89" s="56" t="s">
        <v>5316</v>
      </c>
      <c r="J89" s="56" t="s">
        <v>68</v>
      </c>
      <c r="K89" s="56" t="s">
        <v>59</v>
      </c>
      <c r="L89" s="58">
        <v>30305</v>
      </c>
      <c r="M89" s="56">
        <v>42</v>
      </c>
      <c r="N89" s="56" t="s">
        <v>5317</v>
      </c>
      <c r="O89" s="58">
        <v>45918</v>
      </c>
      <c r="P89" s="56" t="s">
        <v>5</v>
      </c>
      <c r="Q89" s="56"/>
      <c r="R89" s="270">
        <v>45913</v>
      </c>
      <c r="S89" s="270">
        <v>45918</v>
      </c>
      <c r="T89" s="51">
        <f t="shared" si="1"/>
        <v>5</v>
      </c>
      <c r="U89" s="56">
        <v>1</v>
      </c>
      <c r="V89" s="56">
        <v>1</v>
      </c>
      <c r="W89" s="56">
        <v>0</v>
      </c>
      <c r="X89" s="56">
        <v>0</v>
      </c>
      <c r="Y89" s="56">
        <v>0</v>
      </c>
      <c r="Z89" s="56">
        <v>0</v>
      </c>
      <c r="AA89" s="56">
        <v>0</v>
      </c>
      <c r="AB89" s="56"/>
      <c r="AC89" s="58">
        <v>45913</v>
      </c>
      <c r="AD89" s="59">
        <v>0.67013888889050577</v>
      </c>
      <c r="AE89" s="56" t="s">
        <v>234</v>
      </c>
      <c r="AF89" s="58">
        <v>45918</v>
      </c>
      <c r="AG89" s="59">
        <v>0.39930555555474712</v>
      </c>
      <c r="AH89" s="56" t="s">
        <v>1931</v>
      </c>
      <c r="AI89" s="56" t="s">
        <v>5208</v>
      </c>
      <c r="AJ89" s="56" t="s">
        <v>64</v>
      </c>
      <c r="AK89" s="56" t="s">
        <v>64</v>
      </c>
      <c r="AL89" s="56" t="s">
        <v>5016</v>
      </c>
      <c r="AM89" s="56" t="s">
        <v>65</v>
      </c>
      <c r="AN89" s="60"/>
      <c r="AO89" s="60"/>
      <c r="AP89" s="61"/>
    </row>
    <row r="90" spans="3:43" ht="14.25" customHeight="1">
      <c r="C90" s="55">
        <f>IF($X90=1,COUNTIF($C$10:C89,"&gt;0")+1,"")</f>
        <v>42</v>
      </c>
      <c r="D90" s="56">
        <v>70277564</v>
      </c>
      <c r="E90" s="56" t="s">
        <v>5204</v>
      </c>
      <c r="F90" s="57" t="s">
        <v>5318</v>
      </c>
      <c r="G90" s="56" t="s">
        <v>5318</v>
      </c>
      <c r="H90" s="56" t="s">
        <v>5319</v>
      </c>
      <c r="I90" s="56" t="s">
        <v>5316</v>
      </c>
      <c r="J90" s="56" t="s">
        <v>68</v>
      </c>
      <c r="K90" s="56" t="s">
        <v>59</v>
      </c>
      <c r="L90" s="58">
        <v>26933</v>
      </c>
      <c r="M90" s="56">
        <v>51</v>
      </c>
      <c r="N90" s="56" t="s">
        <v>5320</v>
      </c>
      <c r="O90" s="58">
        <v>48140</v>
      </c>
      <c r="P90" s="56" t="s">
        <v>5</v>
      </c>
      <c r="Q90" s="56"/>
      <c r="R90" s="270">
        <v>45913</v>
      </c>
      <c r="S90" s="270">
        <v>45918</v>
      </c>
      <c r="T90" s="51">
        <f t="shared" si="1"/>
        <v>5</v>
      </c>
      <c r="U90" s="56">
        <v>1</v>
      </c>
      <c r="V90" s="56">
        <v>1</v>
      </c>
      <c r="W90" s="56">
        <v>0</v>
      </c>
      <c r="X90" s="56">
        <v>1</v>
      </c>
      <c r="Y90" s="56">
        <v>0</v>
      </c>
      <c r="Z90" s="56">
        <v>0</v>
      </c>
      <c r="AA90" s="56">
        <v>1</v>
      </c>
      <c r="AB90" s="56"/>
      <c r="AC90" s="58">
        <v>45913</v>
      </c>
      <c r="AD90" s="59">
        <v>0.45833333333575865</v>
      </c>
      <c r="AE90" s="56" t="s">
        <v>244</v>
      </c>
      <c r="AF90" s="58">
        <v>45918</v>
      </c>
      <c r="AG90" s="59">
        <v>0.39930555555474712</v>
      </c>
      <c r="AH90" s="56" t="s">
        <v>1931</v>
      </c>
      <c r="AI90" s="56" t="s">
        <v>5208</v>
      </c>
      <c r="AJ90" s="56" t="s">
        <v>64</v>
      </c>
      <c r="AK90" s="56" t="s">
        <v>64</v>
      </c>
      <c r="AL90" s="56" t="s">
        <v>5016</v>
      </c>
      <c r="AM90" s="56" t="s">
        <v>65</v>
      </c>
      <c r="AN90" s="60"/>
      <c r="AO90" s="60"/>
      <c r="AP90" s="61"/>
    </row>
    <row r="91" spans="3:43" ht="14.25" customHeight="1">
      <c r="C91" s="55" t="str">
        <f>IF($X91=1,COUNTIF($C$10:C90,"&gt;0")+1,"")</f>
        <v/>
      </c>
      <c r="D91" s="56">
        <v>70277564</v>
      </c>
      <c r="E91" s="56" t="s">
        <v>5204</v>
      </c>
      <c r="F91" s="57" t="s">
        <v>5321</v>
      </c>
      <c r="G91" s="56" t="s">
        <v>5318</v>
      </c>
      <c r="H91" s="56" t="s">
        <v>5322</v>
      </c>
      <c r="I91" s="56" t="s">
        <v>5323</v>
      </c>
      <c r="J91" s="56" t="s">
        <v>68</v>
      </c>
      <c r="K91" s="56" t="s">
        <v>59</v>
      </c>
      <c r="L91" s="58">
        <v>26435</v>
      </c>
      <c r="M91" s="56">
        <v>53</v>
      </c>
      <c r="N91" s="56" t="s">
        <v>5324</v>
      </c>
      <c r="O91" s="58">
        <v>47124</v>
      </c>
      <c r="P91" s="56" t="s">
        <v>5</v>
      </c>
      <c r="Q91" s="56"/>
      <c r="R91" s="270">
        <v>45913</v>
      </c>
      <c r="S91" s="270">
        <v>45918</v>
      </c>
      <c r="T91" s="51">
        <f t="shared" si="1"/>
        <v>5</v>
      </c>
      <c r="U91" s="56">
        <v>1</v>
      </c>
      <c r="V91" s="56">
        <v>1</v>
      </c>
      <c r="W91" s="56">
        <v>0</v>
      </c>
      <c r="X91" s="56">
        <v>0</v>
      </c>
      <c r="Y91" s="56">
        <v>0</v>
      </c>
      <c r="Z91" s="56">
        <v>0</v>
      </c>
      <c r="AA91" s="56">
        <v>0</v>
      </c>
      <c r="AB91" s="56"/>
      <c r="AC91" s="58">
        <v>45913</v>
      </c>
      <c r="AD91" s="59">
        <v>0.45833333333575865</v>
      </c>
      <c r="AE91" s="56" t="s">
        <v>244</v>
      </c>
      <c r="AF91" s="58">
        <v>45918</v>
      </c>
      <c r="AG91" s="59">
        <v>0.39930555555474712</v>
      </c>
      <c r="AH91" s="56" t="s">
        <v>1931</v>
      </c>
      <c r="AI91" s="56" t="s">
        <v>5208</v>
      </c>
      <c r="AJ91" s="56" t="s">
        <v>64</v>
      </c>
      <c r="AK91" s="56" t="s">
        <v>64</v>
      </c>
      <c r="AL91" s="56" t="s">
        <v>5016</v>
      </c>
      <c r="AM91" s="56" t="s">
        <v>65</v>
      </c>
      <c r="AN91" s="60"/>
      <c r="AO91" s="60"/>
      <c r="AP91" s="61"/>
    </row>
    <row r="92" spans="3:43" ht="14.25" customHeight="1">
      <c r="C92" s="55">
        <f>IF($X92=1,COUNTIF($C$10:C91,"&gt;0")+1,"")</f>
        <v>43</v>
      </c>
      <c r="D92" s="56">
        <v>70277571</v>
      </c>
      <c r="E92" s="56" t="s">
        <v>5204</v>
      </c>
      <c r="F92" s="57" t="s">
        <v>5325</v>
      </c>
      <c r="G92" s="56" t="s">
        <v>5325</v>
      </c>
      <c r="H92" s="56" t="s">
        <v>5326</v>
      </c>
      <c r="I92" s="56" t="s">
        <v>1618</v>
      </c>
      <c r="J92" s="56" t="s">
        <v>68</v>
      </c>
      <c r="K92" s="56" t="s">
        <v>59</v>
      </c>
      <c r="L92" s="58">
        <v>29559</v>
      </c>
      <c r="M92" s="56">
        <v>44</v>
      </c>
      <c r="N92" s="56" t="s">
        <v>5327</v>
      </c>
      <c r="O92" s="58">
        <v>48275</v>
      </c>
      <c r="P92" s="56" t="s">
        <v>5</v>
      </c>
      <c r="Q92" s="56"/>
      <c r="R92" s="270">
        <v>45913</v>
      </c>
      <c r="S92" s="270">
        <v>45918</v>
      </c>
      <c r="T92" s="51">
        <f t="shared" si="1"/>
        <v>5</v>
      </c>
      <c r="U92" s="56">
        <v>1</v>
      </c>
      <c r="V92" s="56">
        <v>1</v>
      </c>
      <c r="W92" s="56">
        <v>0</v>
      </c>
      <c r="X92" s="56">
        <v>1</v>
      </c>
      <c r="Y92" s="56">
        <v>0</v>
      </c>
      <c r="Z92" s="56">
        <v>0</v>
      </c>
      <c r="AA92" s="56">
        <v>1</v>
      </c>
      <c r="AB92" s="56"/>
      <c r="AC92" s="58">
        <v>45913</v>
      </c>
      <c r="AD92" s="59">
        <v>0.625</v>
      </c>
      <c r="AE92" s="56" t="s">
        <v>74</v>
      </c>
      <c r="AF92" s="58">
        <v>45918</v>
      </c>
      <c r="AG92" s="59">
        <v>0.70138888889050577</v>
      </c>
      <c r="AH92" s="56" t="s">
        <v>96</v>
      </c>
      <c r="AI92" s="56" t="s">
        <v>5208</v>
      </c>
      <c r="AJ92" s="56" t="s">
        <v>64</v>
      </c>
      <c r="AK92" s="56" t="s">
        <v>64</v>
      </c>
      <c r="AL92" s="56" t="s">
        <v>5016</v>
      </c>
      <c r="AM92" s="56" t="s">
        <v>65</v>
      </c>
      <c r="AN92" s="60"/>
      <c r="AO92" s="60"/>
      <c r="AP92" s="61"/>
    </row>
    <row r="93" spans="3:43" ht="14.25" customHeight="1">
      <c r="C93" s="55" t="str">
        <f>IF($X93=1,COUNTIF($C$10:C92,"&gt;0")+1,"")</f>
        <v/>
      </c>
      <c r="D93" s="56">
        <v>70277571</v>
      </c>
      <c r="E93" s="56" t="s">
        <v>5204</v>
      </c>
      <c r="F93" s="57" t="s">
        <v>5328</v>
      </c>
      <c r="G93" s="56" t="s">
        <v>5325</v>
      </c>
      <c r="H93" s="56" t="s">
        <v>5329</v>
      </c>
      <c r="I93" s="56" t="s">
        <v>945</v>
      </c>
      <c r="J93" s="56" t="s">
        <v>68</v>
      </c>
      <c r="K93" s="56" t="s">
        <v>59</v>
      </c>
      <c r="L93" s="58">
        <v>25274</v>
      </c>
      <c r="M93" s="56">
        <v>56</v>
      </c>
      <c r="N93" s="56" t="s">
        <v>5330</v>
      </c>
      <c r="O93" s="58">
        <v>48283</v>
      </c>
      <c r="P93" s="56" t="s">
        <v>5</v>
      </c>
      <c r="Q93" s="56"/>
      <c r="R93" s="270">
        <v>45913</v>
      </c>
      <c r="S93" s="270">
        <v>45918</v>
      </c>
      <c r="T93" s="51">
        <f t="shared" si="1"/>
        <v>5</v>
      </c>
      <c r="U93" s="56">
        <v>1</v>
      </c>
      <c r="V93" s="56">
        <v>1</v>
      </c>
      <c r="W93" s="56">
        <v>0</v>
      </c>
      <c r="X93" s="56">
        <v>0</v>
      </c>
      <c r="Y93" s="56">
        <v>0</v>
      </c>
      <c r="Z93" s="56">
        <v>0</v>
      </c>
      <c r="AA93" s="56">
        <v>0</v>
      </c>
      <c r="AB93" s="56"/>
      <c r="AC93" s="58">
        <v>45913</v>
      </c>
      <c r="AD93" s="59">
        <v>0.6875</v>
      </c>
      <c r="AE93" s="56" t="s">
        <v>116</v>
      </c>
      <c r="AF93" s="58">
        <v>45918</v>
      </c>
      <c r="AG93" s="59">
        <v>0.39930555555474712</v>
      </c>
      <c r="AH93" s="56" t="s">
        <v>1931</v>
      </c>
      <c r="AI93" s="56" t="s">
        <v>5208</v>
      </c>
      <c r="AJ93" s="56" t="s">
        <v>64</v>
      </c>
      <c r="AK93" s="56" t="s">
        <v>64</v>
      </c>
      <c r="AL93" s="56" t="s">
        <v>5016</v>
      </c>
      <c r="AM93" s="56" t="s">
        <v>65</v>
      </c>
      <c r="AN93" s="60"/>
      <c r="AO93" s="60"/>
      <c r="AP93" s="61"/>
    </row>
    <row r="94" spans="3:43" ht="14.25" customHeight="1">
      <c r="C94" s="55">
        <f>IF($X94=1,COUNTIF($C$10:C93,"&gt;0")+1,"")</f>
        <v>44</v>
      </c>
      <c r="D94" s="56">
        <v>70140255</v>
      </c>
      <c r="E94" s="56" t="s">
        <v>5331</v>
      </c>
      <c r="F94" s="57" t="s">
        <v>5332</v>
      </c>
      <c r="G94" s="56" t="s">
        <v>5332</v>
      </c>
      <c r="H94" s="56" t="s">
        <v>5333</v>
      </c>
      <c r="I94" s="56" t="s">
        <v>5334</v>
      </c>
      <c r="J94" s="56" t="s">
        <v>68</v>
      </c>
      <c r="K94" s="56" t="s">
        <v>59</v>
      </c>
      <c r="L94" s="58">
        <v>24571</v>
      </c>
      <c r="M94" s="56">
        <v>58</v>
      </c>
      <c r="N94" s="56" t="s">
        <v>5335</v>
      </c>
      <c r="O94" s="58">
        <v>46235</v>
      </c>
      <c r="P94" s="56" t="s">
        <v>4</v>
      </c>
      <c r="Q94" s="56"/>
      <c r="R94" s="270">
        <v>45913</v>
      </c>
      <c r="S94" s="270">
        <v>45918</v>
      </c>
      <c r="T94" s="51">
        <f t="shared" si="1"/>
        <v>5</v>
      </c>
      <c r="U94" s="56">
        <v>1</v>
      </c>
      <c r="V94" s="56">
        <v>1</v>
      </c>
      <c r="W94" s="56">
        <v>0</v>
      </c>
      <c r="X94" s="56">
        <v>1</v>
      </c>
      <c r="Y94" s="56">
        <v>0</v>
      </c>
      <c r="Z94" s="56">
        <v>1</v>
      </c>
      <c r="AA94" s="56">
        <v>0</v>
      </c>
      <c r="AB94" s="56"/>
      <c r="AC94" s="58">
        <v>45913</v>
      </c>
      <c r="AD94" s="59">
        <v>0.64583333333575865</v>
      </c>
      <c r="AE94" s="56" t="s">
        <v>312</v>
      </c>
      <c r="AF94" s="58">
        <v>45918</v>
      </c>
      <c r="AG94" s="59">
        <v>0.38888888889050577</v>
      </c>
      <c r="AH94" s="56" t="s">
        <v>4376</v>
      </c>
      <c r="AI94" s="56" t="s">
        <v>5336</v>
      </c>
      <c r="AJ94" s="56" t="s">
        <v>64</v>
      </c>
      <c r="AK94" s="56" t="s">
        <v>64</v>
      </c>
      <c r="AL94" s="56" t="s">
        <v>5016</v>
      </c>
      <c r="AM94" s="56" t="s">
        <v>65</v>
      </c>
      <c r="AN94" s="60"/>
      <c r="AO94" s="60"/>
      <c r="AP94" s="61"/>
    </row>
    <row r="95" spans="3:43" ht="14.25" customHeight="1">
      <c r="C95" s="55" t="str">
        <f>IF($X95=1,COUNTIF($C$10:C94,"&gt;0")+1,"")</f>
        <v/>
      </c>
      <c r="D95" s="56">
        <v>70140255</v>
      </c>
      <c r="E95" s="56" t="s">
        <v>5331</v>
      </c>
      <c r="F95" s="57" t="s">
        <v>5337</v>
      </c>
      <c r="G95" s="56" t="s">
        <v>5332</v>
      </c>
      <c r="H95" s="56" t="s">
        <v>5338</v>
      </c>
      <c r="I95" s="56" t="s">
        <v>5334</v>
      </c>
      <c r="J95" s="56" t="s">
        <v>58</v>
      </c>
      <c r="K95" s="56" t="s">
        <v>59</v>
      </c>
      <c r="L95" s="58">
        <v>23745</v>
      </c>
      <c r="M95" s="56">
        <v>60</v>
      </c>
      <c r="N95" s="56" t="s">
        <v>5339</v>
      </c>
      <c r="O95" s="58">
        <v>46238</v>
      </c>
      <c r="P95" s="56" t="s">
        <v>4</v>
      </c>
      <c r="Q95" s="56"/>
      <c r="R95" s="270">
        <v>45913</v>
      </c>
      <c r="S95" s="270">
        <v>45918</v>
      </c>
      <c r="T95" s="51">
        <f t="shared" si="1"/>
        <v>5</v>
      </c>
      <c r="U95" s="56">
        <v>1</v>
      </c>
      <c r="V95" s="56">
        <v>1</v>
      </c>
      <c r="W95" s="56">
        <v>0</v>
      </c>
      <c r="X95" s="56">
        <v>0</v>
      </c>
      <c r="Y95" s="56">
        <v>0</v>
      </c>
      <c r="Z95" s="56">
        <v>0</v>
      </c>
      <c r="AA95" s="56">
        <v>0</v>
      </c>
      <c r="AB95" s="56"/>
      <c r="AC95" s="58">
        <v>45913</v>
      </c>
      <c r="AD95" s="59">
        <v>0.64583333333575865</v>
      </c>
      <c r="AE95" s="56" t="s">
        <v>312</v>
      </c>
      <c r="AF95" s="58">
        <v>45918</v>
      </c>
      <c r="AG95" s="59">
        <v>0.38888888889050577</v>
      </c>
      <c r="AH95" s="56" t="s">
        <v>4376</v>
      </c>
      <c r="AI95" s="56" t="s">
        <v>5336</v>
      </c>
      <c r="AJ95" s="56" t="s">
        <v>64</v>
      </c>
      <c r="AK95" s="56" t="s">
        <v>64</v>
      </c>
      <c r="AL95" s="56" t="s">
        <v>5016</v>
      </c>
      <c r="AM95" s="56" t="s">
        <v>65</v>
      </c>
      <c r="AN95" s="60"/>
      <c r="AO95" s="60"/>
      <c r="AP95" s="61"/>
    </row>
    <row r="96" spans="3:43" ht="14.25" customHeight="1">
      <c r="C96" s="55">
        <f>IF($X96=1,COUNTIF($C$10:C95,"&gt;0")+1,"")</f>
        <v>45</v>
      </c>
      <c r="D96" s="56">
        <v>70140231</v>
      </c>
      <c r="E96" s="56" t="s">
        <v>5331</v>
      </c>
      <c r="F96" s="57" t="s">
        <v>5340</v>
      </c>
      <c r="G96" s="56" t="s">
        <v>5340</v>
      </c>
      <c r="H96" s="56" t="s">
        <v>5341</v>
      </c>
      <c r="I96" s="56" t="s">
        <v>5342</v>
      </c>
      <c r="J96" s="56" t="s">
        <v>68</v>
      </c>
      <c r="K96" s="56" t="s">
        <v>59</v>
      </c>
      <c r="L96" s="58">
        <v>26331</v>
      </c>
      <c r="M96" s="56">
        <v>53</v>
      </c>
      <c r="N96" s="56" t="s">
        <v>5343</v>
      </c>
      <c r="O96" s="58">
        <v>47897</v>
      </c>
      <c r="P96" s="56" t="s">
        <v>4</v>
      </c>
      <c r="Q96" s="56"/>
      <c r="R96" s="270">
        <v>45913</v>
      </c>
      <c r="S96" s="270">
        <v>45918</v>
      </c>
      <c r="T96" s="51">
        <f t="shared" si="1"/>
        <v>5</v>
      </c>
      <c r="U96" s="56">
        <v>1</v>
      </c>
      <c r="V96" s="56">
        <v>1</v>
      </c>
      <c r="W96" s="56">
        <v>0</v>
      </c>
      <c r="X96" s="56">
        <v>1</v>
      </c>
      <c r="Y96" s="56">
        <v>0</v>
      </c>
      <c r="Z96" s="56">
        <v>1</v>
      </c>
      <c r="AA96" s="56">
        <v>0</v>
      </c>
      <c r="AB96" s="56"/>
      <c r="AC96" s="58">
        <v>45913</v>
      </c>
      <c r="AD96" s="59">
        <v>0.29513888889050577</v>
      </c>
      <c r="AE96" s="56" t="s">
        <v>5344</v>
      </c>
      <c r="AF96" s="58">
        <v>45918</v>
      </c>
      <c r="AG96" s="59">
        <v>0.38888888889050577</v>
      </c>
      <c r="AH96" s="56" t="s">
        <v>4376</v>
      </c>
      <c r="AI96" s="56" t="s">
        <v>5336</v>
      </c>
      <c r="AJ96" s="56" t="s">
        <v>64</v>
      </c>
      <c r="AK96" s="56" t="s">
        <v>64</v>
      </c>
      <c r="AL96" s="56" t="s">
        <v>5016</v>
      </c>
      <c r="AM96" s="56" t="s">
        <v>65</v>
      </c>
      <c r="AN96" s="60"/>
      <c r="AO96" s="60"/>
      <c r="AP96" s="61"/>
    </row>
    <row r="97" spans="3:42" ht="14.25" customHeight="1">
      <c r="C97" s="55" t="str">
        <f>IF($X97=1,COUNTIF($C$10:C96,"&gt;0")+1,"")</f>
        <v/>
      </c>
      <c r="D97" s="56">
        <v>70140231</v>
      </c>
      <c r="E97" s="56" t="s">
        <v>5331</v>
      </c>
      <c r="F97" s="57" t="s">
        <v>5345</v>
      </c>
      <c r="G97" s="56" t="s">
        <v>5340</v>
      </c>
      <c r="H97" s="56" t="s">
        <v>5346</v>
      </c>
      <c r="I97" s="56" t="s">
        <v>5347</v>
      </c>
      <c r="J97" s="56" t="s">
        <v>58</v>
      </c>
      <c r="K97" s="56" t="s">
        <v>59</v>
      </c>
      <c r="L97" s="58">
        <v>24838</v>
      </c>
      <c r="M97" s="56">
        <v>57</v>
      </c>
      <c r="N97" s="56" t="s">
        <v>5348</v>
      </c>
      <c r="O97" s="58">
        <v>46664</v>
      </c>
      <c r="P97" s="56" t="s">
        <v>4</v>
      </c>
      <c r="Q97" s="56"/>
      <c r="R97" s="270">
        <v>45913</v>
      </c>
      <c r="S97" s="270">
        <v>45918</v>
      </c>
      <c r="T97" s="51">
        <f t="shared" si="1"/>
        <v>5</v>
      </c>
      <c r="U97" s="56">
        <v>1</v>
      </c>
      <c r="V97" s="56">
        <v>1</v>
      </c>
      <c r="W97" s="56">
        <v>0</v>
      </c>
      <c r="X97" s="56">
        <v>0</v>
      </c>
      <c r="Y97" s="56">
        <v>0</v>
      </c>
      <c r="Z97" s="56">
        <v>0</v>
      </c>
      <c r="AA97" s="56">
        <v>0</v>
      </c>
      <c r="AB97" s="56"/>
      <c r="AC97" s="58">
        <v>45913</v>
      </c>
      <c r="AD97" s="59">
        <v>0.29513888889050577</v>
      </c>
      <c r="AE97" s="56" t="s">
        <v>5344</v>
      </c>
      <c r="AF97" s="58">
        <v>45918</v>
      </c>
      <c r="AG97" s="59">
        <v>0.38888888889050577</v>
      </c>
      <c r="AH97" s="56" t="s">
        <v>4376</v>
      </c>
      <c r="AI97" s="56" t="s">
        <v>5336</v>
      </c>
      <c r="AJ97" s="56" t="s">
        <v>64</v>
      </c>
      <c r="AK97" s="56" t="s">
        <v>64</v>
      </c>
      <c r="AL97" s="56" t="s">
        <v>5016</v>
      </c>
      <c r="AM97" s="56" t="s">
        <v>65</v>
      </c>
      <c r="AN97" s="60"/>
      <c r="AO97" s="60"/>
      <c r="AP97" s="61"/>
    </row>
    <row r="98" spans="3:42" ht="14.25" customHeight="1">
      <c r="C98" s="55">
        <f>IF($X98=1,COUNTIF($C$10:C97,"&gt;0")+1,"")</f>
        <v>46</v>
      </c>
      <c r="D98" s="56">
        <v>70140213</v>
      </c>
      <c r="E98" s="56" t="s">
        <v>5331</v>
      </c>
      <c r="F98" s="57" t="s">
        <v>5349</v>
      </c>
      <c r="G98" s="56" t="s">
        <v>5349</v>
      </c>
      <c r="H98" s="56" t="s">
        <v>5350</v>
      </c>
      <c r="I98" s="56" t="s">
        <v>5351</v>
      </c>
      <c r="J98" s="56" t="s">
        <v>68</v>
      </c>
      <c r="K98" s="56" t="s">
        <v>59</v>
      </c>
      <c r="L98" s="58">
        <v>21252</v>
      </c>
      <c r="M98" s="56">
        <v>67</v>
      </c>
      <c r="N98" s="56" t="s">
        <v>5352</v>
      </c>
      <c r="O98" s="58">
        <v>48463</v>
      </c>
      <c r="P98" s="56" t="s">
        <v>4</v>
      </c>
      <c r="Q98" s="56"/>
      <c r="R98" s="270">
        <v>45913</v>
      </c>
      <c r="S98" s="270">
        <v>45918</v>
      </c>
      <c r="T98" s="51">
        <f t="shared" si="1"/>
        <v>5</v>
      </c>
      <c r="U98" s="56">
        <v>1</v>
      </c>
      <c r="V98" s="56">
        <v>1</v>
      </c>
      <c r="W98" s="56">
        <v>0</v>
      </c>
      <c r="X98" s="56">
        <v>1</v>
      </c>
      <c r="Y98" s="56">
        <v>0</v>
      </c>
      <c r="Z98" s="56">
        <v>1</v>
      </c>
      <c r="AA98" s="56">
        <v>0</v>
      </c>
      <c r="AB98" s="56"/>
      <c r="AC98" s="58">
        <v>45913</v>
      </c>
      <c r="AD98" s="59">
        <v>0.59027777778101154</v>
      </c>
      <c r="AE98" s="56" t="s">
        <v>547</v>
      </c>
      <c r="AF98" s="58">
        <v>45918</v>
      </c>
      <c r="AG98" s="59">
        <v>0.78472222221898846</v>
      </c>
      <c r="AH98" s="56" t="s">
        <v>393</v>
      </c>
      <c r="AI98" s="56" t="s">
        <v>5336</v>
      </c>
      <c r="AJ98" s="56" t="s">
        <v>64</v>
      </c>
      <c r="AK98" s="56" t="s">
        <v>64</v>
      </c>
      <c r="AL98" s="56" t="s">
        <v>5016</v>
      </c>
      <c r="AM98" s="56" t="s">
        <v>65</v>
      </c>
      <c r="AN98" s="60"/>
      <c r="AO98" s="60"/>
      <c r="AP98" s="61"/>
    </row>
    <row r="99" spans="3:42" ht="14.25" customHeight="1">
      <c r="C99" s="55" t="str">
        <f>IF($X99=1,COUNTIF($C$10:C98,"&gt;0")+1,"")</f>
        <v/>
      </c>
      <c r="D99" s="56">
        <v>70140213</v>
      </c>
      <c r="E99" s="56" t="s">
        <v>5331</v>
      </c>
      <c r="F99" s="57" t="s">
        <v>5353</v>
      </c>
      <c r="G99" s="56" t="s">
        <v>5349</v>
      </c>
      <c r="H99" s="56" t="s">
        <v>5354</v>
      </c>
      <c r="I99" s="56" t="s">
        <v>5351</v>
      </c>
      <c r="J99" s="56" t="s">
        <v>58</v>
      </c>
      <c r="K99" s="56" t="s">
        <v>59</v>
      </c>
      <c r="L99" s="58">
        <v>21190</v>
      </c>
      <c r="M99" s="56">
        <v>67</v>
      </c>
      <c r="N99" s="56" t="s">
        <v>5355</v>
      </c>
      <c r="O99" s="58">
        <v>48463</v>
      </c>
      <c r="P99" s="56" t="s">
        <v>4</v>
      </c>
      <c r="Q99" s="56"/>
      <c r="R99" s="270">
        <v>45913</v>
      </c>
      <c r="S99" s="270">
        <v>45918</v>
      </c>
      <c r="T99" s="51">
        <f t="shared" si="1"/>
        <v>5</v>
      </c>
      <c r="U99" s="56">
        <v>1</v>
      </c>
      <c r="V99" s="56">
        <v>1</v>
      </c>
      <c r="W99" s="56">
        <v>0</v>
      </c>
      <c r="X99" s="56">
        <v>0</v>
      </c>
      <c r="Y99" s="56">
        <v>0</v>
      </c>
      <c r="Z99" s="56">
        <v>0</v>
      </c>
      <c r="AA99" s="56">
        <v>0</v>
      </c>
      <c r="AB99" s="56"/>
      <c r="AC99" s="58">
        <v>45913</v>
      </c>
      <c r="AD99" s="59">
        <v>0.59027777778101154</v>
      </c>
      <c r="AE99" s="56" t="s">
        <v>547</v>
      </c>
      <c r="AF99" s="58">
        <v>45918</v>
      </c>
      <c r="AG99" s="59">
        <v>0.78472222221898846</v>
      </c>
      <c r="AH99" s="56" t="s">
        <v>393</v>
      </c>
      <c r="AI99" s="56" t="s">
        <v>5336</v>
      </c>
      <c r="AJ99" s="56" t="s">
        <v>64</v>
      </c>
      <c r="AK99" s="56" t="s">
        <v>64</v>
      </c>
      <c r="AL99" s="56" t="s">
        <v>5016</v>
      </c>
      <c r="AM99" s="56" t="s">
        <v>65</v>
      </c>
      <c r="AN99" s="60"/>
      <c r="AO99" s="60"/>
      <c r="AP99" s="61"/>
    </row>
    <row r="100" spans="3:42" ht="14.25" customHeight="1">
      <c r="C100" s="55">
        <f>IF($X100=1,COUNTIF($C$10:C99,"&gt;0")+1,"")</f>
        <v>47</v>
      </c>
      <c r="D100" s="56">
        <v>70277573</v>
      </c>
      <c r="E100" s="56" t="s">
        <v>5331</v>
      </c>
      <c r="F100" s="57" t="s">
        <v>5356</v>
      </c>
      <c r="G100" s="56" t="s">
        <v>5356</v>
      </c>
      <c r="H100" s="56" t="s">
        <v>5357</v>
      </c>
      <c r="I100" s="56" t="s">
        <v>5358</v>
      </c>
      <c r="J100" s="56" t="s">
        <v>58</v>
      </c>
      <c r="K100" s="56" t="s">
        <v>59</v>
      </c>
      <c r="L100" s="58">
        <v>23710</v>
      </c>
      <c r="M100" s="56">
        <v>60</v>
      </c>
      <c r="N100" s="56" t="s">
        <v>5359</v>
      </c>
      <c r="O100" s="58">
        <v>48322</v>
      </c>
      <c r="P100" s="56" t="s">
        <v>5</v>
      </c>
      <c r="Q100" s="56"/>
      <c r="R100" s="270">
        <v>45913</v>
      </c>
      <c r="S100" s="270">
        <v>45918</v>
      </c>
      <c r="T100" s="51">
        <f t="shared" si="1"/>
        <v>5</v>
      </c>
      <c r="U100" s="56">
        <v>1</v>
      </c>
      <c r="V100" s="56">
        <v>1</v>
      </c>
      <c r="W100" s="56">
        <v>0</v>
      </c>
      <c r="X100" s="56">
        <v>1</v>
      </c>
      <c r="Y100" s="56">
        <v>0</v>
      </c>
      <c r="Z100" s="56">
        <v>0</v>
      </c>
      <c r="AA100" s="56">
        <v>1</v>
      </c>
      <c r="AB100" s="56"/>
      <c r="AC100" s="58">
        <v>45913</v>
      </c>
      <c r="AD100" s="59">
        <v>0.64583333333575865</v>
      </c>
      <c r="AE100" s="56" t="s">
        <v>312</v>
      </c>
      <c r="AF100" s="58">
        <v>45930</v>
      </c>
      <c r="AG100" s="59">
        <v>0.72569444444525288</v>
      </c>
      <c r="AH100" s="56" t="s">
        <v>313</v>
      </c>
      <c r="AI100" s="56" t="s">
        <v>5336</v>
      </c>
      <c r="AJ100" s="56" t="s">
        <v>64</v>
      </c>
      <c r="AK100" s="56" t="s">
        <v>64</v>
      </c>
      <c r="AL100" s="56" t="s">
        <v>5016</v>
      </c>
      <c r="AM100" s="56" t="s">
        <v>65</v>
      </c>
      <c r="AN100" s="60"/>
      <c r="AO100" s="60"/>
      <c r="AP100" s="61"/>
    </row>
    <row r="101" spans="3:42" ht="14.25" customHeight="1">
      <c r="C101" s="55" t="str">
        <f>IF($X101=1,COUNTIF($C$10:C100,"&gt;0")+1,"")</f>
        <v/>
      </c>
      <c r="D101" s="56">
        <v>70277573</v>
      </c>
      <c r="E101" s="56" t="s">
        <v>5331</v>
      </c>
      <c r="F101" s="57" t="s">
        <v>5360</v>
      </c>
      <c r="G101" s="56" t="s">
        <v>5356</v>
      </c>
      <c r="H101" s="56" t="s">
        <v>838</v>
      </c>
      <c r="I101" s="56" t="s">
        <v>5358</v>
      </c>
      <c r="J101" s="56" t="s">
        <v>68</v>
      </c>
      <c r="K101" s="56" t="s">
        <v>59</v>
      </c>
      <c r="L101" s="58">
        <v>32992</v>
      </c>
      <c r="M101" s="56">
        <v>35</v>
      </c>
      <c r="N101" s="56" t="s">
        <v>5361</v>
      </c>
      <c r="O101" s="58">
        <v>46099</v>
      </c>
      <c r="P101" s="56" t="s">
        <v>5</v>
      </c>
      <c r="Q101" s="56"/>
      <c r="R101" s="270">
        <v>45913</v>
      </c>
      <c r="S101" s="270">
        <v>45918</v>
      </c>
      <c r="T101" s="51">
        <f t="shared" si="1"/>
        <v>5</v>
      </c>
      <c r="U101" s="56">
        <v>1</v>
      </c>
      <c r="V101" s="56">
        <v>1</v>
      </c>
      <c r="W101" s="56">
        <v>0</v>
      </c>
      <c r="X101" s="56">
        <v>0</v>
      </c>
      <c r="Y101" s="56">
        <v>0</v>
      </c>
      <c r="Z101" s="56">
        <v>0</v>
      </c>
      <c r="AA101" s="56">
        <v>0</v>
      </c>
      <c r="AB101" s="56"/>
      <c r="AC101" s="58">
        <v>45913</v>
      </c>
      <c r="AD101" s="59">
        <v>0.64583333333575865</v>
      </c>
      <c r="AE101" s="56" t="s">
        <v>312</v>
      </c>
      <c r="AF101" s="58">
        <v>45918</v>
      </c>
      <c r="AG101" s="59">
        <v>0.72569444444525288</v>
      </c>
      <c r="AH101" s="56" t="s">
        <v>313</v>
      </c>
      <c r="AI101" s="56" t="s">
        <v>5336</v>
      </c>
      <c r="AJ101" s="56" t="s">
        <v>64</v>
      </c>
      <c r="AK101" s="56" t="s">
        <v>64</v>
      </c>
      <c r="AL101" s="56" t="s">
        <v>5016</v>
      </c>
      <c r="AM101" s="56" t="s">
        <v>65</v>
      </c>
      <c r="AN101" s="60"/>
      <c r="AO101" s="60"/>
      <c r="AP101" s="61"/>
    </row>
    <row r="102" spans="3:42" ht="14.25" customHeight="1">
      <c r="C102" s="55">
        <f>IF($X102=1,COUNTIF($C$10:C101,"&gt;0")+1,"")</f>
        <v>48</v>
      </c>
      <c r="D102" s="56">
        <v>70140254</v>
      </c>
      <c r="E102" s="56" t="s">
        <v>5331</v>
      </c>
      <c r="F102" s="57" t="s">
        <v>5362</v>
      </c>
      <c r="G102" s="56" t="s">
        <v>5362</v>
      </c>
      <c r="H102" s="56" t="s">
        <v>5363</v>
      </c>
      <c r="I102" s="56" t="s">
        <v>5364</v>
      </c>
      <c r="J102" s="56" t="s">
        <v>68</v>
      </c>
      <c r="K102" s="56" t="s">
        <v>59</v>
      </c>
      <c r="L102" s="58">
        <v>22541</v>
      </c>
      <c r="M102" s="56">
        <v>64</v>
      </c>
      <c r="N102" s="56" t="s">
        <v>5365</v>
      </c>
      <c r="O102" s="58">
        <v>48053</v>
      </c>
      <c r="P102" s="56" t="s">
        <v>4</v>
      </c>
      <c r="Q102" s="56"/>
      <c r="R102" s="270">
        <v>45913</v>
      </c>
      <c r="S102" s="270">
        <v>45918</v>
      </c>
      <c r="T102" s="51">
        <f t="shared" si="1"/>
        <v>5</v>
      </c>
      <c r="U102" s="56">
        <v>1</v>
      </c>
      <c r="V102" s="56">
        <v>1</v>
      </c>
      <c r="W102" s="56">
        <v>0</v>
      </c>
      <c r="X102" s="56">
        <v>1</v>
      </c>
      <c r="Y102" s="56">
        <v>0</v>
      </c>
      <c r="Z102" s="56">
        <v>1</v>
      </c>
      <c r="AA102" s="56">
        <v>0</v>
      </c>
      <c r="AB102" s="56"/>
      <c r="AC102" s="58">
        <v>45913</v>
      </c>
      <c r="AD102" s="59">
        <v>0.64583333333575865</v>
      </c>
      <c r="AE102" s="56" t="s">
        <v>312</v>
      </c>
      <c r="AF102" s="58">
        <v>45918</v>
      </c>
      <c r="AG102" s="59">
        <v>0.78472222221898846</v>
      </c>
      <c r="AH102" s="56" t="s">
        <v>5366</v>
      </c>
      <c r="AI102" s="56" t="s">
        <v>5336</v>
      </c>
      <c r="AJ102" s="56" t="s">
        <v>64</v>
      </c>
      <c r="AK102" s="56" t="s">
        <v>64</v>
      </c>
      <c r="AL102" s="56" t="s">
        <v>5016</v>
      </c>
      <c r="AM102" s="56" t="s">
        <v>65</v>
      </c>
      <c r="AN102" s="60"/>
      <c r="AO102" s="60"/>
      <c r="AP102" s="61"/>
    </row>
    <row r="103" spans="3:42" ht="14.25" customHeight="1">
      <c r="C103" s="55" t="str">
        <f>IF($X103=1,COUNTIF($C$10:C102,"&gt;0")+1,"")</f>
        <v/>
      </c>
      <c r="D103" s="56">
        <v>70140254</v>
      </c>
      <c r="E103" s="56" t="s">
        <v>5331</v>
      </c>
      <c r="F103" s="57" t="s">
        <v>5367</v>
      </c>
      <c r="G103" s="56" t="s">
        <v>5362</v>
      </c>
      <c r="H103" s="56" t="s">
        <v>5368</v>
      </c>
      <c r="I103" s="56" t="s">
        <v>5369</v>
      </c>
      <c r="J103" s="56" t="s">
        <v>68</v>
      </c>
      <c r="K103" s="56" t="s">
        <v>59</v>
      </c>
      <c r="L103" s="58">
        <v>27900</v>
      </c>
      <c r="M103" s="56">
        <v>49</v>
      </c>
      <c r="N103" s="56" t="s">
        <v>5370</v>
      </c>
      <c r="O103" s="58">
        <v>48063</v>
      </c>
      <c r="P103" s="56" t="s">
        <v>4</v>
      </c>
      <c r="Q103" s="56"/>
      <c r="R103" s="270">
        <v>45913</v>
      </c>
      <c r="S103" s="270">
        <v>45918</v>
      </c>
      <c r="T103" s="51">
        <f t="shared" si="1"/>
        <v>5</v>
      </c>
      <c r="U103" s="56">
        <v>1</v>
      </c>
      <c r="V103" s="56">
        <v>1</v>
      </c>
      <c r="W103" s="56">
        <v>0</v>
      </c>
      <c r="X103" s="56">
        <v>0</v>
      </c>
      <c r="Y103" s="56">
        <v>0</v>
      </c>
      <c r="Z103" s="56">
        <v>0</v>
      </c>
      <c r="AA103" s="56">
        <v>0</v>
      </c>
      <c r="AB103" s="56"/>
      <c r="AC103" s="58">
        <v>45913</v>
      </c>
      <c r="AD103" s="59">
        <v>0.16666666666424135</v>
      </c>
      <c r="AE103" s="56" t="s">
        <v>625</v>
      </c>
      <c r="AF103" s="58">
        <v>45918</v>
      </c>
      <c r="AG103" s="59">
        <v>0.78472222221898846</v>
      </c>
      <c r="AH103" s="56" t="s">
        <v>393</v>
      </c>
      <c r="AI103" s="56" t="s">
        <v>5336</v>
      </c>
      <c r="AJ103" s="56" t="s">
        <v>64</v>
      </c>
      <c r="AK103" s="56" t="s">
        <v>64</v>
      </c>
      <c r="AL103" s="56" t="s">
        <v>5016</v>
      </c>
      <c r="AM103" s="56" t="s">
        <v>65</v>
      </c>
      <c r="AN103" s="60"/>
      <c r="AO103" s="60"/>
      <c r="AP103" s="61"/>
    </row>
    <row r="104" spans="3:42" ht="14.25" customHeight="1">
      <c r="C104" s="55">
        <f>IF($X104=1,COUNTIF($C$10:C103,"&gt;0")+1,"")</f>
        <v>49</v>
      </c>
      <c r="D104" s="56">
        <v>70277574</v>
      </c>
      <c r="E104" s="56" t="s">
        <v>5331</v>
      </c>
      <c r="F104" s="57" t="s">
        <v>5371</v>
      </c>
      <c r="G104" s="56" t="s">
        <v>5371</v>
      </c>
      <c r="H104" s="56" t="s">
        <v>5372</v>
      </c>
      <c r="I104" s="56" t="s">
        <v>5373</v>
      </c>
      <c r="J104" s="56" t="s">
        <v>58</v>
      </c>
      <c r="K104" s="56" t="s">
        <v>59</v>
      </c>
      <c r="L104" s="58">
        <v>26062</v>
      </c>
      <c r="M104" s="56">
        <v>54</v>
      </c>
      <c r="N104" s="56" t="s">
        <v>5374</v>
      </c>
      <c r="O104" s="58">
        <v>48895</v>
      </c>
      <c r="P104" s="56" t="s">
        <v>5</v>
      </c>
      <c r="Q104" s="56"/>
      <c r="R104" s="270">
        <v>45913</v>
      </c>
      <c r="S104" s="270">
        <v>45918</v>
      </c>
      <c r="T104" s="51">
        <f t="shared" si="1"/>
        <v>5</v>
      </c>
      <c r="U104" s="56">
        <v>1</v>
      </c>
      <c r="V104" s="56">
        <v>1</v>
      </c>
      <c r="W104" s="56">
        <v>0</v>
      </c>
      <c r="X104" s="56">
        <v>1</v>
      </c>
      <c r="Y104" s="56">
        <v>0</v>
      </c>
      <c r="Z104" s="56">
        <v>0</v>
      </c>
      <c r="AA104" s="56">
        <v>1</v>
      </c>
      <c r="AB104" s="56"/>
      <c r="AC104" s="58">
        <v>45913</v>
      </c>
      <c r="AD104" s="59">
        <v>0.68402777778101154</v>
      </c>
      <c r="AE104" s="56" t="s">
        <v>688</v>
      </c>
      <c r="AF104" s="58">
        <v>45918</v>
      </c>
      <c r="AG104" s="59">
        <v>0.81944444444525288</v>
      </c>
      <c r="AH104" s="56" t="s">
        <v>770</v>
      </c>
      <c r="AI104" s="56" t="s">
        <v>5336</v>
      </c>
      <c r="AJ104" s="56" t="s">
        <v>64</v>
      </c>
      <c r="AK104" s="56" t="s">
        <v>64</v>
      </c>
      <c r="AL104" s="56" t="s">
        <v>5016</v>
      </c>
      <c r="AM104" s="56" t="s">
        <v>65</v>
      </c>
      <c r="AN104" s="60"/>
      <c r="AO104" s="60"/>
      <c r="AP104" s="61"/>
    </row>
    <row r="105" spans="3:42" ht="14.25" customHeight="1">
      <c r="C105" s="55" t="str">
        <f>IF($X105=1,COUNTIF($C$10:C104,"&gt;0")+1,"")</f>
        <v/>
      </c>
      <c r="D105" s="56">
        <v>70277574</v>
      </c>
      <c r="E105" s="56" t="s">
        <v>5331</v>
      </c>
      <c r="F105" s="57" t="s">
        <v>5375</v>
      </c>
      <c r="G105" s="56" t="s">
        <v>5371</v>
      </c>
      <c r="H105" s="56" t="s">
        <v>5376</v>
      </c>
      <c r="I105" s="56" t="s">
        <v>5377</v>
      </c>
      <c r="J105" s="56" t="s">
        <v>68</v>
      </c>
      <c r="K105" s="56" t="s">
        <v>59</v>
      </c>
      <c r="L105" s="58">
        <v>25676</v>
      </c>
      <c r="M105" s="56">
        <v>55</v>
      </c>
      <c r="N105" s="56" t="s">
        <v>5378</v>
      </c>
      <c r="O105" s="58">
        <v>49352</v>
      </c>
      <c r="P105" s="56" t="s">
        <v>5</v>
      </c>
      <c r="Q105" s="56"/>
      <c r="R105" s="270">
        <v>45913</v>
      </c>
      <c r="S105" s="270">
        <v>45918</v>
      </c>
      <c r="T105" s="51">
        <f t="shared" si="1"/>
        <v>5</v>
      </c>
      <c r="U105" s="56">
        <v>1</v>
      </c>
      <c r="V105" s="56">
        <v>1</v>
      </c>
      <c r="W105" s="56">
        <v>0</v>
      </c>
      <c r="X105" s="56">
        <v>0</v>
      </c>
      <c r="Y105" s="56">
        <v>0</v>
      </c>
      <c r="Z105" s="56">
        <v>0</v>
      </c>
      <c r="AA105" s="56">
        <v>0</v>
      </c>
      <c r="AB105" s="56"/>
      <c r="AC105" s="58">
        <v>45913</v>
      </c>
      <c r="AD105" s="59">
        <v>0.68402777778101154</v>
      </c>
      <c r="AE105" s="56" t="s">
        <v>688</v>
      </c>
      <c r="AF105" s="58">
        <v>45918</v>
      </c>
      <c r="AG105" s="59">
        <v>0.81944444444525288</v>
      </c>
      <c r="AH105" s="56" t="s">
        <v>770</v>
      </c>
      <c r="AI105" s="56" t="s">
        <v>5336</v>
      </c>
      <c r="AJ105" s="56" t="s">
        <v>64</v>
      </c>
      <c r="AK105" s="56" t="s">
        <v>64</v>
      </c>
      <c r="AL105" s="56" t="s">
        <v>5016</v>
      </c>
      <c r="AM105" s="56" t="s">
        <v>65</v>
      </c>
      <c r="AN105" s="60"/>
      <c r="AO105" s="60"/>
      <c r="AP105" s="61"/>
    </row>
    <row r="106" spans="3:42" ht="14.25" customHeight="1">
      <c r="C106" s="55">
        <f>IF($X106=1,COUNTIF($C$10:C105,"&gt;0")+1,"")</f>
        <v>50</v>
      </c>
      <c r="D106" s="56">
        <v>70147582</v>
      </c>
      <c r="E106" s="56" t="s">
        <v>5331</v>
      </c>
      <c r="F106" s="57" t="s">
        <v>5379</v>
      </c>
      <c r="G106" s="56" t="s">
        <v>5379</v>
      </c>
      <c r="H106" s="56" t="s">
        <v>5380</v>
      </c>
      <c r="I106" s="56" t="s">
        <v>5377</v>
      </c>
      <c r="J106" s="56" t="s">
        <v>68</v>
      </c>
      <c r="K106" s="56" t="s">
        <v>59</v>
      </c>
      <c r="L106" s="58">
        <v>27281</v>
      </c>
      <c r="M106" s="56">
        <v>51</v>
      </c>
      <c r="N106" s="56" t="s">
        <v>5381</v>
      </c>
      <c r="O106" s="58">
        <v>49007</v>
      </c>
      <c r="P106" s="56" t="s">
        <v>4</v>
      </c>
      <c r="Q106" s="56"/>
      <c r="R106" s="270">
        <v>45913</v>
      </c>
      <c r="S106" s="270">
        <v>45918</v>
      </c>
      <c r="T106" s="51">
        <f t="shared" si="1"/>
        <v>5</v>
      </c>
      <c r="U106" s="56">
        <v>1</v>
      </c>
      <c r="V106" s="56">
        <v>1</v>
      </c>
      <c r="W106" s="56">
        <v>0</v>
      </c>
      <c r="X106" s="56">
        <v>1</v>
      </c>
      <c r="Y106" s="56">
        <v>0</v>
      </c>
      <c r="Z106" s="56">
        <v>1</v>
      </c>
      <c r="AA106" s="56">
        <v>0</v>
      </c>
      <c r="AB106" s="56"/>
      <c r="AC106" s="58">
        <v>45913</v>
      </c>
      <c r="AD106" s="59">
        <v>0.74652777778101154</v>
      </c>
      <c r="AE106" s="56" t="s">
        <v>2214</v>
      </c>
      <c r="AF106" s="58">
        <v>45918</v>
      </c>
      <c r="AG106" s="59">
        <v>0.86458333333575865</v>
      </c>
      <c r="AH106" s="56" t="s">
        <v>463</v>
      </c>
      <c r="AI106" s="56" t="s">
        <v>5336</v>
      </c>
      <c r="AJ106" s="56" t="s">
        <v>64</v>
      </c>
      <c r="AK106" s="56" t="s">
        <v>64</v>
      </c>
      <c r="AL106" s="56" t="s">
        <v>5016</v>
      </c>
      <c r="AM106" s="56" t="s">
        <v>65</v>
      </c>
      <c r="AN106" s="60"/>
      <c r="AO106" s="60"/>
      <c r="AP106" s="61"/>
    </row>
    <row r="107" spans="3:42" ht="14.25" customHeight="1">
      <c r="C107" s="55" t="str">
        <f>IF($X107=1,COUNTIF($C$10:C106,"&gt;0")+1,"")</f>
        <v/>
      </c>
      <c r="D107" s="56">
        <v>70147582</v>
      </c>
      <c r="E107" s="56" t="s">
        <v>5331</v>
      </c>
      <c r="F107" s="57" t="s">
        <v>5382</v>
      </c>
      <c r="G107" s="56" t="s">
        <v>5379</v>
      </c>
      <c r="H107" s="56" t="s">
        <v>5383</v>
      </c>
      <c r="I107" s="56" t="s">
        <v>5377</v>
      </c>
      <c r="J107" s="56" t="s">
        <v>68</v>
      </c>
      <c r="K107" s="56" t="s">
        <v>59</v>
      </c>
      <c r="L107" s="58">
        <v>18082</v>
      </c>
      <c r="M107" s="56">
        <v>76</v>
      </c>
      <c r="N107" s="56" t="s">
        <v>5384</v>
      </c>
      <c r="O107" s="58">
        <v>49003</v>
      </c>
      <c r="P107" s="56" t="s">
        <v>4</v>
      </c>
      <c r="Q107" s="56"/>
      <c r="R107" s="270">
        <v>45913</v>
      </c>
      <c r="S107" s="270">
        <v>45918</v>
      </c>
      <c r="T107" s="51">
        <f t="shared" si="1"/>
        <v>5</v>
      </c>
      <c r="U107" s="56">
        <v>1</v>
      </c>
      <c r="V107" s="56">
        <v>1</v>
      </c>
      <c r="W107" s="56">
        <v>0</v>
      </c>
      <c r="X107" s="56">
        <v>0</v>
      </c>
      <c r="Y107" s="56">
        <v>0</v>
      </c>
      <c r="Z107" s="56">
        <v>0</v>
      </c>
      <c r="AA107" s="56">
        <v>0</v>
      </c>
      <c r="AB107" s="56"/>
      <c r="AC107" s="58">
        <v>45913</v>
      </c>
      <c r="AD107" s="59">
        <v>0.74652777778101154</v>
      </c>
      <c r="AE107" s="56" t="s">
        <v>2214</v>
      </c>
      <c r="AF107" s="58">
        <v>45918</v>
      </c>
      <c r="AG107" s="59">
        <v>0.86458333333575865</v>
      </c>
      <c r="AH107" s="56" t="s">
        <v>463</v>
      </c>
      <c r="AI107" s="56" t="s">
        <v>5336</v>
      </c>
      <c r="AJ107" s="56" t="s">
        <v>64</v>
      </c>
      <c r="AK107" s="56" t="s">
        <v>64</v>
      </c>
      <c r="AL107" s="56" t="s">
        <v>5016</v>
      </c>
      <c r="AM107" s="56" t="s">
        <v>65</v>
      </c>
      <c r="AN107" s="60"/>
      <c r="AO107" s="60"/>
      <c r="AP107" s="61"/>
    </row>
    <row r="108" spans="3:42" ht="14.25" customHeight="1">
      <c r="C108" s="55">
        <f>IF($X108=1,COUNTIF($C$10:C107,"&gt;0")+1,"")</f>
        <v>51</v>
      </c>
      <c r="D108" s="56">
        <v>70147590</v>
      </c>
      <c r="E108" s="56" t="s">
        <v>5331</v>
      </c>
      <c r="F108" s="57" t="s">
        <v>5385</v>
      </c>
      <c r="G108" s="56" t="s">
        <v>5379</v>
      </c>
      <c r="H108" s="56" t="s">
        <v>5386</v>
      </c>
      <c r="I108" s="56" t="s">
        <v>5387</v>
      </c>
      <c r="J108" s="56" t="s">
        <v>58</v>
      </c>
      <c r="K108" s="56" t="s">
        <v>59</v>
      </c>
      <c r="L108" s="58">
        <v>26518</v>
      </c>
      <c r="M108" s="56">
        <v>53</v>
      </c>
      <c r="N108" s="56" t="s">
        <v>5388</v>
      </c>
      <c r="O108" s="58">
        <v>49007</v>
      </c>
      <c r="P108" s="56" t="s">
        <v>4</v>
      </c>
      <c r="Q108" s="56"/>
      <c r="R108" s="270">
        <v>45913</v>
      </c>
      <c r="S108" s="270">
        <v>45918</v>
      </c>
      <c r="T108" s="51">
        <f t="shared" si="1"/>
        <v>5</v>
      </c>
      <c r="U108" s="56">
        <v>1</v>
      </c>
      <c r="V108" s="56">
        <v>1</v>
      </c>
      <c r="W108" s="56">
        <v>0</v>
      </c>
      <c r="X108" s="56">
        <v>1</v>
      </c>
      <c r="Y108" s="56">
        <v>0</v>
      </c>
      <c r="Z108" s="56">
        <v>1</v>
      </c>
      <c r="AA108" s="56">
        <v>0</v>
      </c>
      <c r="AB108" s="56"/>
      <c r="AC108" s="58">
        <v>45913</v>
      </c>
      <c r="AD108" s="59">
        <v>0.74652777778101154</v>
      </c>
      <c r="AE108" s="56" t="s">
        <v>2214</v>
      </c>
      <c r="AF108" s="58">
        <v>45918</v>
      </c>
      <c r="AG108" s="59">
        <v>0.86458333333575865</v>
      </c>
      <c r="AH108" s="56" t="s">
        <v>463</v>
      </c>
      <c r="AI108" s="56" t="s">
        <v>5336</v>
      </c>
      <c r="AJ108" s="56" t="s">
        <v>64</v>
      </c>
      <c r="AK108" s="56" t="s">
        <v>64</v>
      </c>
      <c r="AL108" s="56" t="s">
        <v>5016</v>
      </c>
      <c r="AM108" s="56" t="s">
        <v>65</v>
      </c>
      <c r="AN108" s="60"/>
      <c r="AO108" s="60"/>
      <c r="AP108" s="61"/>
    </row>
    <row r="109" spans="3:42" ht="14.25" customHeight="1">
      <c r="C109" s="55" t="str">
        <f>IF($X109=1,COUNTIF($C$10:C108,"&gt;0")+1,"")</f>
        <v/>
      </c>
      <c r="D109" s="56">
        <v>70147590</v>
      </c>
      <c r="E109" s="56" t="s">
        <v>5331</v>
      </c>
      <c r="F109" s="57" t="s">
        <v>5389</v>
      </c>
      <c r="G109" s="56" t="s">
        <v>5379</v>
      </c>
      <c r="H109" s="56" t="s">
        <v>5390</v>
      </c>
      <c r="I109" s="56" t="s">
        <v>5391</v>
      </c>
      <c r="J109" s="56" t="s">
        <v>58</v>
      </c>
      <c r="K109" s="56" t="s">
        <v>59</v>
      </c>
      <c r="L109" s="58">
        <v>38200</v>
      </c>
      <c r="M109" s="56">
        <v>21</v>
      </c>
      <c r="N109" s="56" t="s">
        <v>5392</v>
      </c>
      <c r="O109" s="58">
        <v>48028</v>
      </c>
      <c r="P109" s="56" t="s">
        <v>4</v>
      </c>
      <c r="Q109" s="56"/>
      <c r="R109" s="270">
        <v>45913</v>
      </c>
      <c r="S109" s="270">
        <v>45918</v>
      </c>
      <c r="T109" s="51">
        <f t="shared" si="1"/>
        <v>5</v>
      </c>
      <c r="U109" s="56">
        <v>1</v>
      </c>
      <c r="V109" s="56">
        <v>1</v>
      </c>
      <c r="W109" s="56">
        <v>0</v>
      </c>
      <c r="X109" s="56">
        <v>0</v>
      </c>
      <c r="Y109" s="56">
        <v>0</v>
      </c>
      <c r="Z109" s="56">
        <v>0</v>
      </c>
      <c r="AA109" s="56">
        <v>0</v>
      </c>
      <c r="AB109" s="56"/>
      <c r="AC109" s="58">
        <v>45913</v>
      </c>
      <c r="AD109" s="59">
        <v>0.74652777778101154</v>
      </c>
      <c r="AE109" s="56" t="s">
        <v>2214</v>
      </c>
      <c r="AF109" s="58">
        <v>45918</v>
      </c>
      <c r="AG109" s="59">
        <v>0.86458333333575865</v>
      </c>
      <c r="AH109" s="56" t="s">
        <v>463</v>
      </c>
      <c r="AI109" s="56" t="s">
        <v>5336</v>
      </c>
      <c r="AJ109" s="56" t="s">
        <v>64</v>
      </c>
      <c r="AK109" s="56" t="s">
        <v>64</v>
      </c>
      <c r="AL109" s="56" t="s">
        <v>5016</v>
      </c>
      <c r="AM109" s="56" t="s">
        <v>65</v>
      </c>
      <c r="AN109" s="60"/>
      <c r="AO109" s="60"/>
      <c r="AP109" s="61"/>
    </row>
    <row r="110" spans="3:42" ht="14.25" customHeight="1">
      <c r="C110" s="55">
        <f>IF($X110=1,COUNTIF($C$10:C109,"&gt;0")+1,"")</f>
        <v>52</v>
      </c>
      <c r="D110" s="56">
        <v>70277578</v>
      </c>
      <c r="E110" s="56" t="s">
        <v>5331</v>
      </c>
      <c r="F110" s="57" t="s">
        <v>5393</v>
      </c>
      <c r="G110" s="56" t="s">
        <v>5393</v>
      </c>
      <c r="H110" s="56" t="s">
        <v>5394</v>
      </c>
      <c r="I110" s="56" t="s">
        <v>5395</v>
      </c>
      <c r="J110" s="56" t="s">
        <v>68</v>
      </c>
      <c r="K110" s="56" t="s">
        <v>59</v>
      </c>
      <c r="L110" s="58">
        <v>35303</v>
      </c>
      <c r="M110" s="56">
        <v>29</v>
      </c>
      <c r="N110" s="56" t="s">
        <v>5396</v>
      </c>
      <c r="O110" s="58">
        <v>46154</v>
      </c>
      <c r="P110" s="56" t="s">
        <v>5</v>
      </c>
      <c r="Q110" s="56"/>
      <c r="R110" s="270">
        <v>45913</v>
      </c>
      <c r="S110" s="270">
        <v>45918</v>
      </c>
      <c r="T110" s="51">
        <f t="shared" si="1"/>
        <v>5</v>
      </c>
      <c r="U110" s="56">
        <v>1</v>
      </c>
      <c r="V110" s="56">
        <v>1</v>
      </c>
      <c r="W110" s="56">
        <v>0</v>
      </c>
      <c r="X110" s="56">
        <v>1</v>
      </c>
      <c r="Y110" s="56">
        <v>0</v>
      </c>
      <c r="Z110" s="56">
        <v>0</v>
      </c>
      <c r="AA110" s="56">
        <v>1</v>
      </c>
      <c r="AB110" s="56"/>
      <c r="AC110" s="58">
        <v>45913</v>
      </c>
      <c r="AD110" s="59">
        <v>0.74652777778101154</v>
      </c>
      <c r="AE110" s="56" t="s">
        <v>2214</v>
      </c>
      <c r="AF110" s="58">
        <v>45918</v>
      </c>
      <c r="AG110" s="59">
        <v>0.86458333333575865</v>
      </c>
      <c r="AH110" s="56" t="s">
        <v>463</v>
      </c>
      <c r="AI110" s="56" t="s">
        <v>5336</v>
      </c>
      <c r="AJ110" s="56" t="s">
        <v>64</v>
      </c>
      <c r="AK110" s="56" t="s">
        <v>64</v>
      </c>
      <c r="AL110" s="56" t="s">
        <v>5016</v>
      </c>
      <c r="AM110" s="56" t="s">
        <v>65</v>
      </c>
      <c r="AN110" s="60"/>
      <c r="AO110" s="60"/>
      <c r="AP110" s="61"/>
    </row>
    <row r="111" spans="3:42" ht="14.25" customHeight="1">
      <c r="C111" s="55" t="str">
        <f>IF($X111=1,COUNTIF($C$10:C110,"&gt;0")+1,"")</f>
        <v/>
      </c>
      <c r="D111" s="56">
        <v>70277578</v>
      </c>
      <c r="E111" s="56" t="s">
        <v>5331</v>
      </c>
      <c r="F111" s="57" t="s">
        <v>5397</v>
      </c>
      <c r="G111" s="56" t="s">
        <v>5393</v>
      </c>
      <c r="H111" s="56" t="s">
        <v>5398</v>
      </c>
      <c r="I111" s="56" t="s">
        <v>5399</v>
      </c>
      <c r="J111" s="56" t="s">
        <v>68</v>
      </c>
      <c r="K111" s="56" t="s">
        <v>59</v>
      </c>
      <c r="L111" s="58">
        <v>26360</v>
      </c>
      <c r="M111" s="56">
        <v>53</v>
      </c>
      <c r="N111" s="56" t="s">
        <v>5400</v>
      </c>
      <c r="O111" s="58">
        <v>49459</v>
      </c>
      <c r="P111" s="56" t="s">
        <v>5</v>
      </c>
      <c r="Q111" s="56"/>
      <c r="R111" s="270">
        <v>45913</v>
      </c>
      <c r="S111" s="270">
        <v>45918</v>
      </c>
      <c r="T111" s="51">
        <f t="shared" si="1"/>
        <v>5</v>
      </c>
      <c r="U111" s="56">
        <v>1</v>
      </c>
      <c r="V111" s="56">
        <v>1</v>
      </c>
      <c r="W111" s="56">
        <v>0</v>
      </c>
      <c r="X111" s="56">
        <v>0</v>
      </c>
      <c r="Y111" s="56">
        <v>0</v>
      </c>
      <c r="Z111" s="56">
        <v>0</v>
      </c>
      <c r="AA111" s="56">
        <v>0</v>
      </c>
      <c r="AB111" s="56"/>
      <c r="AC111" s="58">
        <v>45913</v>
      </c>
      <c r="AD111" s="59">
        <v>0.74652777778101154</v>
      </c>
      <c r="AE111" s="56" t="s">
        <v>2214</v>
      </c>
      <c r="AF111" s="58">
        <v>45918</v>
      </c>
      <c r="AG111" s="59">
        <v>0.86458333333575865</v>
      </c>
      <c r="AH111" s="56" t="s">
        <v>463</v>
      </c>
      <c r="AI111" s="56" t="s">
        <v>5336</v>
      </c>
      <c r="AJ111" s="56" t="s">
        <v>64</v>
      </c>
      <c r="AK111" s="56" t="s">
        <v>64</v>
      </c>
      <c r="AL111" s="56" t="s">
        <v>5016</v>
      </c>
      <c r="AM111" s="56" t="s">
        <v>65</v>
      </c>
      <c r="AN111" s="60"/>
      <c r="AO111" s="60"/>
      <c r="AP111" s="61"/>
    </row>
    <row r="112" spans="3:42" ht="14.25" customHeight="1">
      <c r="C112" s="55">
        <f>IF($X112=1,COUNTIF($C$10:C111,"&gt;0")+1,"")</f>
        <v>53</v>
      </c>
      <c r="D112" s="56">
        <v>70499008</v>
      </c>
      <c r="E112" s="56" t="s">
        <v>5401</v>
      </c>
      <c r="F112" s="57" t="s">
        <v>5402</v>
      </c>
      <c r="G112" s="56" t="s">
        <v>5402</v>
      </c>
      <c r="H112" s="56" t="s">
        <v>5403</v>
      </c>
      <c r="I112" s="56" t="s">
        <v>88</v>
      </c>
      <c r="J112" s="56" t="s">
        <v>58</v>
      </c>
      <c r="K112" s="56" t="s">
        <v>59</v>
      </c>
      <c r="L112" s="58">
        <v>19817</v>
      </c>
      <c r="M112" s="56">
        <v>71</v>
      </c>
      <c r="N112" s="56" t="s">
        <v>5404</v>
      </c>
      <c r="O112" s="58">
        <v>46830</v>
      </c>
      <c r="P112" s="56" t="s">
        <v>4</v>
      </c>
      <c r="Q112" s="56"/>
      <c r="R112" s="270">
        <v>45913</v>
      </c>
      <c r="S112" s="270">
        <v>45918</v>
      </c>
      <c r="T112" s="51">
        <f t="shared" si="1"/>
        <v>5</v>
      </c>
      <c r="U112" s="56">
        <v>1</v>
      </c>
      <c r="V112" s="56">
        <v>1</v>
      </c>
      <c r="W112" s="56">
        <v>0</v>
      </c>
      <c r="X112" s="56">
        <v>1</v>
      </c>
      <c r="Y112" s="56">
        <v>0</v>
      </c>
      <c r="Z112" s="56">
        <v>1</v>
      </c>
      <c r="AA112" s="56">
        <v>0</v>
      </c>
      <c r="AB112" s="56"/>
      <c r="AC112" s="58">
        <v>45913</v>
      </c>
      <c r="AD112" s="59">
        <v>0.70138888889050577</v>
      </c>
      <c r="AE112" s="56" t="s">
        <v>122</v>
      </c>
      <c r="AF112" s="58" t="s">
        <v>64</v>
      </c>
      <c r="AG112" s="59" t="s">
        <v>64</v>
      </c>
      <c r="AH112" s="56" t="s">
        <v>1058</v>
      </c>
      <c r="AI112" s="56" t="s">
        <v>5405</v>
      </c>
      <c r="AJ112" s="56" t="s">
        <v>598</v>
      </c>
      <c r="AK112" s="56"/>
      <c r="AL112" s="56" t="s">
        <v>5016</v>
      </c>
      <c r="AM112" s="56" t="s">
        <v>65</v>
      </c>
      <c r="AN112" s="53" t="s">
        <v>5017</v>
      </c>
      <c r="AO112" s="275"/>
      <c r="AP112" s="61"/>
    </row>
    <row r="113" spans="3:43" ht="14.25" customHeight="1">
      <c r="C113" s="55" t="str">
        <f>IF($X113=1,COUNTIF($C$10:C112,"&gt;0")+1,"")</f>
        <v/>
      </c>
      <c r="D113" s="56">
        <v>70499008</v>
      </c>
      <c r="E113" s="56" t="s">
        <v>5401</v>
      </c>
      <c r="F113" s="57" t="s">
        <v>5406</v>
      </c>
      <c r="G113" s="56" t="s">
        <v>5402</v>
      </c>
      <c r="H113" s="56" t="s">
        <v>5407</v>
      </c>
      <c r="I113" s="56" t="s">
        <v>5329</v>
      </c>
      <c r="J113" s="56" t="s">
        <v>68</v>
      </c>
      <c r="K113" s="56" t="s">
        <v>59</v>
      </c>
      <c r="L113" s="58">
        <v>24493</v>
      </c>
      <c r="M113" s="56">
        <v>58</v>
      </c>
      <c r="N113" s="56" t="s">
        <v>5408</v>
      </c>
      <c r="O113" s="58">
        <v>46311</v>
      </c>
      <c r="P113" s="56" t="s">
        <v>4</v>
      </c>
      <c r="Q113" s="56"/>
      <c r="R113" s="270">
        <v>45913</v>
      </c>
      <c r="S113" s="270">
        <v>45918</v>
      </c>
      <c r="T113" s="51">
        <f t="shared" si="1"/>
        <v>5</v>
      </c>
      <c r="U113" s="56">
        <v>1</v>
      </c>
      <c r="V113" s="56">
        <v>1</v>
      </c>
      <c r="W113" s="56">
        <v>0</v>
      </c>
      <c r="X113" s="56">
        <v>0</v>
      </c>
      <c r="Y113" s="56">
        <v>0</v>
      </c>
      <c r="Z113" s="56">
        <v>0</v>
      </c>
      <c r="AA113" s="56">
        <v>0</v>
      </c>
      <c r="AB113" s="56"/>
      <c r="AC113" s="58">
        <v>45913</v>
      </c>
      <c r="AD113" s="59">
        <v>0.70138888889050577</v>
      </c>
      <c r="AE113" s="56" t="s">
        <v>122</v>
      </c>
      <c r="AF113" s="58" t="s">
        <v>64</v>
      </c>
      <c r="AG113" s="59" t="s">
        <v>64</v>
      </c>
      <c r="AH113" s="56" t="s">
        <v>1058</v>
      </c>
      <c r="AI113" s="56" t="s">
        <v>5405</v>
      </c>
      <c r="AJ113" s="56" t="s">
        <v>64</v>
      </c>
      <c r="AK113" s="56" t="s">
        <v>64</v>
      </c>
      <c r="AL113" s="56" t="s">
        <v>5016</v>
      </c>
      <c r="AM113" s="56" t="s">
        <v>65</v>
      </c>
      <c r="AN113" s="53" t="s">
        <v>5017</v>
      </c>
      <c r="AO113" s="275"/>
      <c r="AP113" s="61"/>
    </row>
    <row r="114" spans="3:43" ht="14.25" customHeight="1">
      <c r="C114" s="55">
        <f>IF($X114=1,COUNTIF($C$10:C113,"&gt;0")+1,"")</f>
        <v>54</v>
      </c>
      <c r="D114" s="56">
        <v>70147639</v>
      </c>
      <c r="E114" s="56" t="s">
        <v>5401</v>
      </c>
      <c r="F114" s="57" t="s">
        <v>5409</v>
      </c>
      <c r="G114" s="56" t="s">
        <v>5409</v>
      </c>
      <c r="H114" s="56" t="s">
        <v>5410</v>
      </c>
      <c r="I114" s="56" t="s">
        <v>5411</v>
      </c>
      <c r="J114" s="56" t="s">
        <v>68</v>
      </c>
      <c r="K114" s="56" t="s">
        <v>59</v>
      </c>
      <c r="L114" s="58">
        <v>23413</v>
      </c>
      <c r="M114" s="56">
        <v>61</v>
      </c>
      <c r="N114" s="56" t="s">
        <v>5412</v>
      </c>
      <c r="O114" s="58">
        <v>48592</v>
      </c>
      <c r="P114" s="56" t="s">
        <v>4</v>
      </c>
      <c r="Q114" s="56"/>
      <c r="R114" s="270">
        <v>45913</v>
      </c>
      <c r="S114" s="270">
        <v>45918</v>
      </c>
      <c r="T114" s="51">
        <f t="shared" si="1"/>
        <v>5</v>
      </c>
      <c r="U114" s="56">
        <v>1</v>
      </c>
      <c r="V114" s="56">
        <v>1</v>
      </c>
      <c r="W114" s="56">
        <v>0</v>
      </c>
      <c r="X114" s="56">
        <v>1</v>
      </c>
      <c r="Y114" s="56">
        <v>0</v>
      </c>
      <c r="Z114" s="56">
        <v>1</v>
      </c>
      <c r="AA114" s="56">
        <v>0</v>
      </c>
      <c r="AB114" s="56"/>
      <c r="AC114" s="58">
        <v>45913</v>
      </c>
      <c r="AD114" s="59">
        <v>0.70138888889050577</v>
      </c>
      <c r="AE114" s="56" t="s">
        <v>122</v>
      </c>
      <c r="AF114" s="58" t="s">
        <v>64</v>
      </c>
      <c r="AG114" s="59" t="s">
        <v>64</v>
      </c>
      <c r="AH114" s="56" t="s">
        <v>1058</v>
      </c>
      <c r="AI114" s="56" t="s">
        <v>5405</v>
      </c>
      <c r="AJ114" s="56" t="s">
        <v>64</v>
      </c>
      <c r="AK114" s="56" t="s">
        <v>64</v>
      </c>
      <c r="AL114" s="56" t="s">
        <v>5016</v>
      </c>
      <c r="AM114" s="56" t="s">
        <v>65</v>
      </c>
      <c r="AN114" s="60"/>
      <c r="AO114" s="60"/>
      <c r="AP114" s="61"/>
    </row>
    <row r="115" spans="3:43" ht="14.25" customHeight="1">
      <c r="C115" s="55" t="str">
        <f>IF($X115=1,COUNTIF($C$10:C114,"&gt;0")+1,"")</f>
        <v/>
      </c>
      <c r="D115" s="56">
        <v>70147639</v>
      </c>
      <c r="E115" s="56" t="s">
        <v>5401</v>
      </c>
      <c r="F115" s="57" t="s">
        <v>5413</v>
      </c>
      <c r="G115" s="56" t="s">
        <v>5409</v>
      </c>
      <c r="H115" s="56" t="s">
        <v>5414</v>
      </c>
      <c r="I115" s="56" t="s">
        <v>5415</v>
      </c>
      <c r="J115" s="56" t="s">
        <v>58</v>
      </c>
      <c r="K115" s="56" t="s">
        <v>59</v>
      </c>
      <c r="L115" s="58">
        <v>22400</v>
      </c>
      <c r="M115" s="56">
        <v>64</v>
      </c>
      <c r="N115" s="56" t="s">
        <v>5416</v>
      </c>
      <c r="O115" s="58">
        <v>48592</v>
      </c>
      <c r="P115" s="56" t="s">
        <v>4</v>
      </c>
      <c r="Q115" s="56"/>
      <c r="R115" s="270">
        <v>45913</v>
      </c>
      <c r="S115" s="270">
        <v>45918</v>
      </c>
      <c r="T115" s="51">
        <f t="shared" si="1"/>
        <v>5</v>
      </c>
      <c r="U115" s="56">
        <v>1</v>
      </c>
      <c r="V115" s="56">
        <v>1</v>
      </c>
      <c r="W115" s="56">
        <v>0</v>
      </c>
      <c r="X115" s="56">
        <v>0</v>
      </c>
      <c r="Y115" s="56">
        <v>0</v>
      </c>
      <c r="Z115" s="56">
        <v>0</v>
      </c>
      <c r="AA115" s="56">
        <v>0</v>
      </c>
      <c r="AB115" s="56"/>
      <c r="AC115" s="58">
        <v>45913</v>
      </c>
      <c r="AD115" s="59">
        <v>0.70138888889050577</v>
      </c>
      <c r="AE115" s="56" t="s">
        <v>122</v>
      </c>
      <c r="AF115" s="58" t="s">
        <v>64</v>
      </c>
      <c r="AG115" s="59" t="s">
        <v>64</v>
      </c>
      <c r="AH115" s="56" t="s">
        <v>1058</v>
      </c>
      <c r="AI115" s="56" t="s">
        <v>5405</v>
      </c>
      <c r="AJ115" s="56" t="s">
        <v>64</v>
      </c>
      <c r="AK115" s="56" t="s">
        <v>64</v>
      </c>
      <c r="AL115" s="56" t="s">
        <v>5016</v>
      </c>
      <c r="AM115" s="56" t="s">
        <v>65</v>
      </c>
      <c r="AN115" s="60"/>
      <c r="AO115" s="60"/>
      <c r="AP115" s="61"/>
    </row>
    <row r="116" spans="3:43" ht="14.25" customHeight="1">
      <c r="C116" s="55">
        <f>IF($X116=1,COUNTIF($C$10:C115,"&gt;0")+1,"")</f>
        <v>55</v>
      </c>
      <c r="D116" s="56">
        <v>70147618</v>
      </c>
      <c r="E116" s="56" t="s">
        <v>5401</v>
      </c>
      <c r="F116" s="57" t="s">
        <v>5417</v>
      </c>
      <c r="G116" s="56" t="s">
        <v>5417</v>
      </c>
      <c r="H116" s="56" t="s">
        <v>5418</v>
      </c>
      <c r="I116" s="56" t="s">
        <v>5419</v>
      </c>
      <c r="J116" s="56" t="s">
        <v>68</v>
      </c>
      <c r="K116" s="56" t="s">
        <v>59</v>
      </c>
      <c r="L116" s="58">
        <v>19271</v>
      </c>
      <c r="M116" s="56">
        <v>72</v>
      </c>
      <c r="N116" s="56" t="s">
        <v>5420</v>
      </c>
      <c r="O116" s="58">
        <v>46222</v>
      </c>
      <c r="P116" s="56" t="s">
        <v>4</v>
      </c>
      <c r="Q116" s="56"/>
      <c r="R116" s="270">
        <v>45913</v>
      </c>
      <c r="S116" s="270">
        <v>45918</v>
      </c>
      <c r="T116" s="51">
        <f t="shared" si="1"/>
        <v>5</v>
      </c>
      <c r="U116" s="56">
        <v>1</v>
      </c>
      <c r="V116" s="56">
        <v>1</v>
      </c>
      <c r="W116" s="56">
        <v>0</v>
      </c>
      <c r="X116" s="56">
        <v>1</v>
      </c>
      <c r="Y116" s="56">
        <v>0</v>
      </c>
      <c r="Z116" s="56">
        <v>1</v>
      </c>
      <c r="AA116" s="56">
        <v>0</v>
      </c>
      <c r="AB116" s="56"/>
      <c r="AC116" s="58">
        <v>45913</v>
      </c>
      <c r="AD116" s="59">
        <v>0.46875</v>
      </c>
      <c r="AE116" s="56" t="s">
        <v>254</v>
      </c>
      <c r="AF116" s="58">
        <v>45918</v>
      </c>
      <c r="AG116" s="59">
        <v>0.52430555555474712</v>
      </c>
      <c r="AH116" s="56" t="s">
        <v>5421</v>
      </c>
      <c r="AI116" s="56" t="s">
        <v>5405</v>
      </c>
      <c r="AJ116" s="56" t="s">
        <v>64</v>
      </c>
      <c r="AK116" s="56" t="s">
        <v>64</v>
      </c>
      <c r="AL116" s="56" t="s">
        <v>5016</v>
      </c>
      <c r="AM116" s="56" t="s">
        <v>65</v>
      </c>
      <c r="AN116" s="60"/>
      <c r="AO116" s="60"/>
      <c r="AP116" s="61"/>
    </row>
    <row r="117" spans="3:43" ht="14.25" customHeight="1">
      <c r="C117" s="55" t="str">
        <f>IF($X117=1,COUNTIF($C$10:C116,"&gt;0")+1,"")</f>
        <v/>
      </c>
      <c r="D117" s="56">
        <v>70147618</v>
      </c>
      <c r="E117" s="56" t="s">
        <v>5401</v>
      </c>
      <c r="F117" s="57" t="s">
        <v>5422</v>
      </c>
      <c r="G117" s="56" t="s">
        <v>5417</v>
      </c>
      <c r="H117" s="56" t="s">
        <v>5423</v>
      </c>
      <c r="I117" s="56" t="s">
        <v>5424</v>
      </c>
      <c r="J117" s="56" t="s">
        <v>68</v>
      </c>
      <c r="K117" s="56" t="s">
        <v>59</v>
      </c>
      <c r="L117" s="58">
        <v>20898</v>
      </c>
      <c r="M117" s="56">
        <v>68</v>
      </c>
      <c r="N117" s="56" t="s">
        <v>5425</v>
      </c>
      <c r="O117" s="58">
        <v>46558</v>
      </c>
      <c r="P117" s="56" t="s">
        <v>4</v>
      </c>
      <c r="Q117" s="56"/>
      <c r="R117" s="270">
        <v>45913</v>
      </c>
      <c r="S117" s="270">
        <v>45918</v>
      </c>
      <c r="T117" s="51">
        <f t="shared" si="1"/>
        <v>5</v>
      </c>
      <c r="U117" s="56">
        <v>1</v>
      </c>
      <c r="V117" s="56">
        <v>1</v>
      </c>
      <c r="W117" s="56">
        <v>0</v>
      </c>
      <c r="X117" s="56">
        <v>0</v>
      </c>
      <c r="Y117" s="56">
        <v>0</v>
      </c>
      <c r="Z117" s="56">
        <v>0</v>
      </c>
      <c r="AA117" s="56">
        <v>0</v>
      </c>
      <c r="AB117" s="56"/>
      <c r="AC117" s="58">
        <v>45913</v>
      </c>
      <c r="AD117" s="59">
        <v>0.46875</v>
      </c>
      <c r="AE117" s="56" t="s">
        <v>254</v>
      </c>
      <c r="AF117" s="58">
        <v>45918</v>
      </c>
      <c r="AG117" s="59">
        <v>0.52430555555474712</v>
      </c>
      <c r="AH117" s="56" t="s">
        <v>5421</v>
      </c>
      <c r="AI117" s="56" t="s">
        <v>5405</v>
      </c>
      <c r="AJ117" s="56" t="s">
        <v>64</v>
      </c>
      <c r="AK117" s="56" t="s">
        <v>64</v>
      </c>
      <c r="AL117" s="56" t="s">
        <v>5016</v>
      </c>
      <c r="AM117" s="56" t="s">
        <v>65</v>
      </c>
      <c r="AN117" s="60"/>
      <c r="AO117" s="60"/>
      <c r="AP117" s="61"/>
    </row>
    <row r="118" spans="3:43" ht="14.25" customHeight="1">
      <c r="C118" s="55">
        <f>IF($X118=1,COUNTIF($C$10:C117,"&gt;0")+1,"")</f>
        <v>56</v>
      </c>
      <c r="D118" s="56">
        <v>70277581</v>
      </c>
      <c r="E118" s="56" t="s">
        <v>5401</v>
      </c>
      <c r="F118" s="57" t="s">
        <v>5426</v>
      </c>
      <c r="G118" s="56" t="s">
        <v>5426</v>
      </c>
      <c r="H118" s="56" t="s">
        <v>5427</v>
      </c>
      <c r="I118" s="56" t="s">
        <v>882</v>
      </c>
      <c r="J118" s="56" t="s">
        <v>68</v>
      </c>
      <c r="K118" s="56" t="s">
        <v>59</v>
      </c>
      <c r="L118" s="58">
        <v>24052</v>
      </c>
      <c r="M118" s="56">
        <v>59</v>
      </c>
      <c r="N118" s="56" t="s">
        <v>5428</v>
      </c>
      <c r="O118" s="58">
        <v>46101</v>
      </c>
      <c r="P118" s="56" t="s">
        <v>5</v>
      </c>
      <c r="Q118" s="56"/>
      <c r="R118" s="270">
        <v>45913</v>
      </c>
      <c r="S118" s="270">
        <v>45918</v>
      </c>
      <c r="T118" s="51">
        <f t="shared" si="1"/>
        <v>5</v>
      </c>
      <c r="U118" s="56">
        <v>1</v>
      </c>
      <c r="V118" s="56">
        <v>1</v>
      </c>
      <c r="W118" s="56">
        <v>0</v>
      </c>
      <c r="X118" s="56">
        <v>1</v>
      </c>
      <c r="Y118" s="56">
        <v>0</v>
      </c>
      <c r="Z118" s="56">
        <v>0</v>
      </c>
      <c r="AA118" s="56">
        <v>1</v>
      </c>
      <c r="AB118" s="56"/>
      <c r="AC118" s="58">
        <v>45913</v>
      </c>
      <c r="AD118" s="59">
        <v>0.58680555555474712</v>
      </c>
      <c r="AE118" s="56" t="s">
        <v>5429</v>
      </c>
      <c r="AF118" s="58">
        <v>45918</v>
      </c>
      <c r="AG118" s="59">
        <v>0.52430555555474712</v>
      </c>
      <c r="AH118" s="56" t="s">
        <v>5421</v>
      </c>
      <c r="AI118" s="56" t="s">
        <v>5405</v>
      </c>
      <c r="AJ118" s="56" t="s">
        <v>64</v>
      </c>
      <c r="AK118" s="56" t="s">
        <v>64</v>
      </c>
      <c r="AL118" s="56" t="s">
        <v>5016</v>
      </c>
      <c r="AM118" s="56" t="s">
        <v>65</v>
      </c>
      <c r="AN118" s="60"/>
      <c r="AO118" s="60"/>
      <c r="AP118" s="61"/>
    </row>
    <row r="119" spans="3:43" ht="14.25" customHeight="1">
      <c r="C119" s="55" t="str">
        <f>IF($X119=1,COUNTIF($C$10:C118,"&gt;0")+1,"")</f>
        <v/>
      </c>
      <c r="D119" s="56">
        <v>70277581</v>
      </c>
      <c r="E119" s="56" t="s">
        <v>5401</v>
      </c>
      <c r="F119" s="57" t="s">
        <v>5430</v>
      </c>
      <c r="G119" s="56" t="s">
        <v>5426</v>
      </c>
      <c r="H119" s="56" t="s">
        <v>5431</v>
      </c>
      <c r="I119" s="56" t="s">
        <v>993</v>
      </c>
      <c r="J119" s="56" t="s">
        <v>58</v>
      </c>
      <c r="K119" s="56" t="s">
        <v>59</v>
      </c>
      <c r="L119" s="58">
        <v>22921</v>
      </c>
      <c r="M119" s="56">
        <v>62</v>
      </c>
      <c r="N119" s="56" t="s">
        <v>5432</v>
      </c>
      <c r="O119" s="58">
        <v>47909</v>
      </c>
      <c r="P119" s="56" t="s">
        <v>5</v>
      </c>
      <c r="Q119" s="56"/>
      <c r="R119" s="270">
        <v>45913</v>
      </c>
      <c r="S119" s="270">
        <v>45918</v>
      </c>
      <c r="T119" s="51">
        <f t="shared" si="1"/>
        <v>5</v>
      </c>
      <c r="U119" s="56">
        <v>1</v>
      </c>
      <c r="V119" s="56">
        <v>1</v>
      </c>
      <c r="W119" s="56">
        <v>0</v>
      </c>
      <c r="X119" s="56">
        <v>0</v>
      </c>
      <c r="Y119" s="56">
        <v>0</v>
      </c>
      <c r="Z119" s="56">
        <v>0</v>
      </c>
      <c r="AA119" s="56">
        <v>0</v>
      </c>
      <c r="AB119" s="56"/>
      <c r="AC119" s="58">
        <v>45913</v>
      </c>
      <c r="AD119" s="59">
        <v>0.58680555555474712</v>
      </c>
      <c r="AE119" s="56" t="s">
        <v>5429</v>
      </c>
      <c r="AF119" s="58">
        <v>45918</v>
      </c>
      <c r="AG119" s="59">
        <v>0.52430555555474712</v>
      </c>
      <c r="AH119" s="56" t="s">
        <v>5421</v>
      </c>
      <c r="AI119" s="56" t="s">
        <v>5405</v>
      </c>
      <c r="AJ119" s="56" t="s">
        <v>64</v>
      </c>
      <c r="AK119" s="56" t="s">
        <v>64</v>
      </c>
      <c r="AL119" s="56" t="s">
        <v>5016</v>
      </c>
      <c r="AM119" s="56" t="s">
        <v>65</v>
      </c>
      <c r="AN119" s="60"/>
      <c r="AO119" s="60"/>
      <c r="AP119" s="61"/>
    </row>
    <row r="120" spans="3:43" ht="14.25" customHeight="1">
      <c r="C120" s="55">
        <f>IF($X120=1,COUNTIF($C$10:C119,"&gt;0")+1,"")</f>
        <v>57</v>
      </c>
      <c r="D120" s="56">
        <v>70522157</v>
      </c>
      <c r="E120" s="56" t="s">
        <v>5433</v>
      </c>
      <c r="F120" s="57" t="s">
        <v>5434</v>
      </c>
      <c r="G120" s="56" t="s">
        <v>5434</v>
      </c>
      <c r="H120" s="56" t="s">
        <v>5435</v>
      </c>
      <c r="I120" s="56" t="s">
        <v>999</v>
      </c>
      <c r="J120" s="56" t="s">
        <v>58</v>
      </c>
      <c r="K120" s="56" t="s">
        <v>59</v>
      </c>
      <c r="L120" s="58">
        <v>29573</v>
      </c>
      <c r="M120" s="56">
        <v>44</v>
      </c>
      <c r="N120" s="56" t="s">
        <v>5436</v>
      </c>
      <c r="O120" s="58">
        <v>48244</v>
      </c>
      <c r="P120" s="56" t="s">
        <v>4</v>
      </c>
      <c r="Q120" s="56"/>
      <c r="R120" s="270">
        <v>45913</v>
      </c>
      <c r="S120" s="270">
        <v>45918</v>
      </c>
      <c r="T120" s="51">
        <f t="shared" si="1"/>
        <v>5</v>
      </c>
      <c r="U120" s="56">
        <v>1</v>
      </c>
      <c r="V120" s="56">
        <v>1</v>
      </c>
      <c r="W120" s="56">
        <v>0</v>
      </c>
      <c r="X120" s="56">
        <v>1</v>
      </c>
      <c r="Y120" s="56">
        <v>0</v>
      </c>
      <c r="Z120" s="56">
        <v>1</v>
      </c>
      <c r="AA120" s="56">
        <v>0</v>
      </c>
      <c r="AB120" s="56"/>
      <c r="AC120" s="58">
        <v>45913</v>
      </c>
      <c r="AD120" s="59">
        <v>0.64583333333575865</v>
      </c>
      <c r="AE120" s="56" t="s">
        <v>312</v>
      </c>
      <c r="AF120" s="58">
        <v>45918</v>
      </c>
      <c r="AG120" s="59">
        <v>0.72569444444525288</v>
      </c>
      <c r="AH120" s="56" t="s">
        <v>313</v>
      </c>
      <c r="AI120" s="56" t="s">
        <v>5437</v>
      </c>
      <c r="AJ120" s="56" t="s">
        <v>598</v>
      </c>
      <c r="AK120" s="56" t="s">
        <v>5233</v>
      </c>
      <c r="AL120" s="56" t="s">
        <v>5016</v>
      </c>
      <c r="AM120" s="56" t="s">
        <v>65</v>
      </c>
      <c r="AN120" s="60" t="s">
        <v>5234</v>
      </c>
      <c r="AO120" s="60"/>
      <c r="AP120" s="61"/>
    </row>
    <row r="121" spans="3:43" ht="14.25" customHeight="1">
      <c r="C121" s="55" t="str">
        <f>IF($X121=1,COUNTIF($C$10:C120,"&gt;0")+1,"")</f>
        <v/>
      </c>
      <c r="D121" s="56">
        <v>70522157</v>
      </c>
      <c r="E121" s="56" t="s">
        <v>5433</v>
      </c>
      <c r="F121" s="57" t="s">
        <v>5438</v>
      </c>
      <c r="G121" s="56" t="s">
        <v>5434</v>
      </c>
      <c r="H121" s="56" t="s">
        <v>5439</v>
      </c>
      <c r="I121" s="56" t="s">
        <v>999</v>
      </c>
      <c r="J121" s="56" t="s">
        <v>68</v>
      </c>
      <c r="K121" s="56" t="s">
        <v>59</v>
      </c>
      <c r="L121" s="58">
        <v>30908</v>
      </c>
      <c r="M121" s="56">
        <v>41</v>
      </c>
      <c r="N121" s="56" t="s">
        <v>5440</v>
      </c>
      <c r="O121" s="58">
        <v>48159</v>
      </c>
      <c r="P121" s="56" t="s">
        <v>4</v>
      </c>
      <c r="Q121" s="56"/>
      <c r="R121" s="270">
        <v>45913</v>
      </c>
      <c r="S121" s="270">
        <v>45918</v>
      </c>
      <c r="T121" s="51">
        <f t="shared" si="1"/>
        <v>5</v>
      </c>
      <c r="U121" s="56">
        <v>1</v>
      </c>
      <c r="V121" s="56">
        <v>1</v>
      </c>
      <c r="W121" s="56">
        <v>0</v>
      </c>
      <c r="X121" s="56">
        <v>0</v>
      </c>
      <c r="Y121" s="56">
        <v>0</v>
      </c>
      <c r="Z121" s="56">
        <v>0</v>
      </c>
      <c r="AA121" s="56">
        <v>0</v>
      </c>
      <c r="AB121" s="56"/>
      <c r="AC121" s="58">
        <v>45913</v>
      </c>
      <c r="AD121" s="59">
        <v>0.64583333333575865</v>
      </c>
      <c r="AE121" s="56" t="s">
        <v>312</v>
      </c>
      <c r="AF121" s="58">
        <v>45918</v>
      </c>
      <c r="AG121" s="59">
        <v>0.72569444444525288</v>
      </c>
      <c r="AH121" s="56" t="s">
        <v>313</v>
      </c>
      <c r="AI121" s="56" t="s">
        <v>5437</v>
      </c>
      <c r="AJ121" s="56" t="s">
        <v>64</v>
      </c>
      <c r="AK121" s="56" t="s">
        <v>64</v>
      </c>
      <c r="AL121" s="56" t="s">
        <v>5016</v>
      </c>
      <c r="AM121" s="56" t="s">
        <v>65</v>
      </c>
      <c r="AN121" s="60" t="s">
        <v>5234</v>
      </c>
      <c r="AO121" s="60"/>
      <c r="AP121" s="61"/>
    </row>
    <row r="122" spans="3:43" ht="14.25" customHeight="1">
      <c r="C122" s="55">
        <f>IF($X122=1,COUNTIF($C$10:C121,"&gt;0")+1,"")</f>
        <v>58</v>
      </c>
      <c r="D122" s="56">
        <v>70508939</v>
      </c>
      <c r="E122" s="56" t="s">
        <v>5433</v>
      </c>
      <c r="F122" s="57" t="s">
        <v>5441</v>
      </c>
      <c r="G122" s="56" t="s">
        <v>5441</v>
      </c>
      <c r="H122" s="62" t="s">
        <v>5442</v>
      </c>
      <c r="I122" s="62" t="s">
        <v>88</v>
      </c>
      <c r="J122" s="62" t="s">
        <v>68</v>
      </c>
      <c r="K122" s="62" t="s">
        <v>59</v>
      </c>
      <c r="L122" s="63">
        <v>33222</v>
      </c>
      <c r="M122" s="62">
        <v>34</v>
      </c>
      <c r="N122" s="62" t="s">
        <v>5443</v>
      </c>
      <c r="O122" s="63">
        <v>47231</v>
      </c>
      <c r="P122" s="62" t="s">
        <v>4</v>
      </c>
      <c r="Q122" s="62"/>
      <c r="R122" s="272">
        <v>45913</v>
      </c>
      <c r="S122" s="272">
        <v>45918</v>
      </c>
      <c r="T122" s="67">
        <f t="shared" si="1"/>
        <v>5</v>
      </c>
      <c r="U122" s="62">
        <v>1</v>
      </c>
      <c r="V122" s="62">
        <v>1</v>
      </c>
      <c r="W122" s="62">
        <v>0</v>
      </c>
      <c r="X122" s="62">
        <v>1</v>
      </c>
      <c r="Y122" s="62">
        <v>0</v>
      </c>
      <c r="Z122" s="62">
        <v>1</v>
      </c>
      <c r="AA122" s="62">
        <v>0</v>
      </c>
      <c r="AB122" s="62"/>
      <c r="AC122" s="63">
        <v>45913</v>
      </c>
      <c r="AD122" s="68">
        <v>0.88888888889050577</v>
      </c>
      <c r="AE122" s="62" t="s">
        <v>5444</v>
      </c>
      <c r="AF122" s="63">
        <v>45918</v>
      </c>
      <c r="AG122" s="68">
        <v>0.73958333333575865</v>
      </c>
      <c r="AH122" s="62" t="s">
        <v>1117</v>
      </c>
      <c r="AI122" s="62" t="s">
        <v>5437</v>
      </c>
      <c r="AJ122" s="62" t="s">
        <v>64</v>
      </c>
      <c r="AK122" s="62" t="s">
        <v>64</v>
      </c>
      <c r="AL122" s="62" t="s">
        <v>5016</v>
      </c>
      <c r="AM122" s="62" t="s">
        <v>65</v>
      </c>
      <c r="AN122" s="273" t="s">
        <v>5017</v>
      </c>
      <c r="AO122" s="273"/>
      <c r="AP122" s="64" t="s">
        <v>504</v>
      </c>
      <c r="AQ122" s="271" t="s">
        <v>5064</v>
      </c>
    </row>
    <row r="123" spans="3:43" ht="14.25" customHeight="1">
      <c r="C123" s="55" t="str">
        <f>IF($X123=1,COUNTIF($C$10:C122,"&gt;0")+1,"")</f>
        <v/>
      </c>
      <c r="D123" s="56">
        <v>70508939</v>
      </c>
      <c r="E123" s="56" t="s">
        <v>5433</v>
      </c>
      <c r="F123" s="57" t="s">
        <v>5445</v>
      </c>
      <c r="G123" s="56" t="s">
        <v>5441</v>
      </c>
      <c r="H123" s="62" t="s">
        <v>5446</v>
      </c>
      <c r="I123" s="62" t="s">
        <v>88</v>
      </c>
      <c r="J123" s="62" t="s">
        <v>68</v>
      </c>
      <c r="K123" s="62" t="s">
        <v>59</v>
      </c>
      <c r="L123" s="63">
        <v>29724</v>
      </c>
      <c r="M123" s="62">
        <v>44</v>
      </c>
      <c r="N123" s="62" t="s">
        <v>5447</v>
      </c>
      <c r="O123" s="63">
        <v>46992</v>
      </c>
      <c r="P123" s="62" t="s">
        <v>4</v>
      </c>
      <c r="Q123" s="62"/>
      <c r="R123" s="272">
        <v>45913</v>
      </c>
      <c r="S123" s="272">
        <v>45918</v>
      </c>
      <c r="T123" s="67">
        <f t="shared" si="1"/>
        <v>5</v>
      </c>
      <c r="U123" s="62">
        <v>1</v>
      </c>
      <c r="V123" s="62">
        <v>1</v>
      </c>
      <c r="W123" s="62">
        <v>0</v>
      </c>
      <c r="X123" s="62">
        <v>0</v>
      </c>
      <c r="Y123" s="62">
        <v>0</v>
      </c>
      <c r="Z123" s="62">
        <v>0</v>
      </c>
      <c r="AA123" s="62">
        <v>0</v>
      </c>
      <c r="AB123" s="62"/>
      <c r="AC123" s="63">
        <v>45913</v>
      </c>
      <c r="AD123" s="68">
        <v>0.65277777778101154</v>
      </c>
      <c r="AE123" s="62" t="s">
        <v>5448</v>
      </c>
      <c r="AF123" s="63">
        <v>45918</v>
      </c>
      <c r="AG123" s="68">
        <v>0.34722222221898846</v>
      </c>
      <c r="AH123" s="62" t="s">
        <v>5449</v>
      </c>
      <c r="AI123" s="62" t="s">
        <v>5437</v>
      </c>
      <c r="AJ123" s="62" t="s">
        <v>64</v>
      </c>
      <c r="AK123" s="62" t="s">
        <v>64</v>
      </c>
      <c r="AL123" s="62" t="s">
        <v>5016</v>
      </c>
      <c r="AM123" s="62" t="s">
        <v>65</v>
      </c>
      <c r="AN123" s="273" t="s">
        <v>5017</v>
      </c>
      <c r="AO123" s="273"/>
      <c r="AP123" s="64" t="s">
        <v>504</v>
      </c>
      <c r="AQ123" s="271" t="s">
        <v>5064</v>
      </c>
    </row>
    <row r="124" spans="3:43" ht="14.25" customHeight="1">
      <c r="C124" s="55">
        <f>IF($X124=1,COUNTIF($C$10:C123,"&gt;0")+1,"")</f>
        <v>59</v>
      </c>
      <c r="D124" s="56">
        <v>70147614</v>
      </c>
      <c r="E124" s="56" t="s">
        <v>5433</v>
      </c>
      <c r="F124" s="57" t="s">
        <v>5450</v>
      </c>
      <c r="G124" s="56" t="s">
        <v>5450</v>
      </c>
      <c r="H124" s="56" t="s">
        <v>5451</v>
      </c>
      <c r="I124" s="56" t="s">
        <v>5452</v>
      </c>
      <c r="J124" s="56" t="s">
        <v>68</v>
      </c>
      <c r="K124" s="56" t="s">
        <v>59</v>
      </c>
      <c r="L124" s="58">
        <v>32865</v>
      </c>
      <c r="M124" s="56">
        <v>35</v>
      </c>
      <c r="N124" s="56" t="s">
        <v>5453</v>
      </c>
      <c r="O124" s="58">
        <v>48349</v>
      </c>
      <c r="P124" s="56" t="s">
        <v>4</v>
      </c>
      <c r="Q124" s="56"/>
      <c r="R124" s="270">
        <v>45913</v>
      </c>
      <c r="S124" s="270">
        <v>45918</v>
      </c>
      <c r="T124" s="51">
        <f t="shared" si="1"/>
        <v>5</v>
      </c>
      <c r="U124" s="56">
        <v>1</v>
      </c>
      <c r="V124" s="56">
        <v>1</v>
      </c>
      <c r="W124" s="56">
        <v>0</v>
      </c>
      <c r="X124" s="56">
        <v>1</v>
      </c>
      <c r="Y124" s="56">
        <v>0</v>
      </c>
      <c r="Z124" s="56">
        <v>1</v>
      </c>
      <c r="AA124" s="56">
        <v>0</v>
      </c>
      <c r="AB124" s="56"/>
      <c r="AC124" s="58">
        <v>45913</v>
      </c>
      <c r="AD124" s="59">
        <v>0.72222222221898846</v>
      </c>
      <c r="AE124" s="56" t="s">
        <v>1321</v>
      </c>
      <c r="AF124" s="58">
        <v>45918</v>
      </c>
      <c r="AG124" s="59">
        <v>0.77777777778101154</v>
      </c>
      <c r="AH124" s="56" t="s">
        <v>330</v>
      </c>
      <c r="AI124" s="56" t="s">
        <v>5437</v>
      </c>
      <c r="AJ124" s="56" t="s">
        <v>64</v>
      </c>
      <c r="AK124" s="56" t="s">
        <v>64</v>
      </c>
      <c r="AL124" s="56" t="s">
        <v>5016</v>
      </c>
      <c r="AM124" s="56" t="s">
        <v>65</v>
      </c>
      <c r="AN124" s="60"/>
      <c r="AO124" s="60"/>
      <c r="AP124" s="61"/>
    </row>
    <row r="125" spans="3:43" ht="14.25" customHeight="1">
      <c r="C125" s="55" t="str">
        <f>IF($X125=1,COUNTIF($C$10:C124,"&gt;0")+1,"")</f>
        <v/>
      </c>
      <c r="D125" s="56">
        <v>70147614</v>
      </c>
      <c r="E125" s="56" t="s">
        <v>5433</v>
      </c>
      <c r="F125" s="57" t="s">
        <v>5454</v>
      </c>
      <c r="G125" s="56" t="s">
        <v>5450</v>
      </c>
      <c r="H125" s="56" t="s">
        <v>2692</v>
      </c>
      <c r="I125" s="56" t="s">
        <v>5455</v>
      </c>
      <c r="J125" s="56" t="s">
        <v>58</v>
      </c>
      <c r="K125" s="56" t="s">
        <v>59</v>
      </c>
      <c r="L125" s="58">
        <v>32865</v>
      </c>
      <c r="M125" s="56">
        <v>35</v>
      </c>
      <c r="N125" s="56" t="s">
        <v>5456</v>
      </c>
      <c r="O125" s="58">
        <v>49379</v>
      </c>
      <c r="P125" s="56" t="s">
        <v>4</v>
      </c>
      <c r="Q125" s="56"/>
      <c r="R125" s="270">
        <v>45913</v>
      </c>
      <c r="S125" s="270">
        <v>45918</v>
      </c>
      <c r="T125" s="51">
        <f t="shared" si="1"/>
        <v>5</v>
      </c>
      <c r="U125" s="56">
        <v>1</v>
      </c>
      <c r="V125" s="56">
        <v>1</v>
      </c>
      <c r="W125" s="56">
        <v>0</v>
      </c>
      <c r="X125" s="56">
        <v>0</v>
      </c>
      <c r="Y125" s="56">
        <v>0</v>
      </c>
      <c r="Z125" s="56">
        <v>0</v>
      </c>
      <c r="AA125" s="56">
        <v>0</v>
      </c>
      <c r="AB125" s="56"/>
      <c r="AC125" s="58">
        <v>45913</v>
      </c>
      <c r="AD125" s="59">
        <v>0.72222222221898846</v>
      </c>
      <c r="AE125" s="56" t="s">
        <v>1321</v>
      </c>
      <c r="AF125" s="58">
        <v>45918</v>
      </c>
      <c r="AG125" s="59">
        <v>0.77777777778101154</v>
      </c>
      <c r="AH125" s="56" t="s">
        <v>330</v>
      </c>
      <c r="AI125" s="56" t="s">
        <v>5437</v>
      </c>
      <c r="AJ125" s="56" t="s">
        <v>64</v>
      </c>
      <c r="AK125" s="56" t="s">
        <v>64</v>
      </c>
      <c r="AL125" s="56" t="s">
        <v>5016</v>
      </c>
      <c r="AM125" s="56" t="s">
        <v>65</v>
      </c>
      <c r="AN125" s="60"/>
      <c r="AO125" s="60"/>
      <c r="AP125" s="61"/>
    </row>
    <row r="126" spans="3:43" ht="14.25" customHeight="1">
      <c r="C126" s="55">
        <f>IF($X126=1,COUNTIF($C$10:C125,"&gt;0")+1,"")</f>
        <v>60</v>
      </c>
      <c r="D126" s="56">
        <v>70503776</v>
      </c>
      <c r="E126" s="56" t="s">
        <v>5433</v>
      </c>
      <c r="F126" s="57" t="s">
        <v>5457</v>
      </c>
      <c r="G126" s="56" t="s">
        <v>5457</v>
      </c>
      <c r="H126" s="56" t="s">
        <v>5458</v>
      </c>
      <c r="I126" s="56" t="s">
        <v>5459</v>
      </c>
      <c r="J126" s="56" t="s">
        <v>58</v>
      </c>
      <c r="K126" s="56" t="s">
        <v>59</v>
      </c>
      <c r="L126" s="58">
        <v>27173</v>
      </c>
      <c r="M126" s="56">
        <v>51</v>
      </c>
      <c r="N126" s="56" t="s">
        <v>5460</v>
      </c>
      <c r="O126" s="58">
        <v>48352</v>
      </c>
      <c r="P126" s="56" t="s">
        <v>4</v>
      </c>
      <c r="Q126" s="56"/>
      <c r="R126" s="270">
        <v>45913</v>
      </c>
      <c r="S126" s="270">
        <v>45918</v>
      </c>
      <c r="T126" s="51">
        <f t="shared" si="1"/>
        <v>5</v>
      </c>
      <c r="U126" s="56">
        <v>1</v>
      </c>
      <c r="V126" s="56">
        <v>1</v>
      </c>
      <c r="W126" s="56">
        <v>0</v>
      </c>
      <c r="X126" s="56">
        <v>1</v>
      </c>
      <c r="Y126" s="56">
        <v>0</v>
      </c>
      <c r="Z126" s="56">
        <v>1</v>
      </c>
      <c r="AA126" s="56">
        <v>0</v>
      </c>
      <c r="AB126" s="56"/>
      <c r="AC126" s="58">
        <v>45913</v>
      </c>
      <c r="AD126" s="59">
        <v>0.72222222221898846</v>
      </c>
      <c r="AE126" s="56" t="s">
        <v>1321</v>
      </c>
      <c r="AF126" s="58">
        <v>45918</v>
      </c>
      <c r="AG126" s="59">
        <v>0.77777777778101154</v>
      </c>
      <c r="AH126" s="56" t="s">
        <v>330</v>
      </c>
      <c r="AI126" s="56" t="s">
        <v>5437</v>
      </c>
      <c r="AJ126" s="56" t="s">
        <v>64</v>
      </c>
      <c r="AK126" s="56" t="s">
        <v>64</v>
      </c>
      <c r="AL126" s="56" t="s">
        <v>5016</v>
      </c>
      <c r="AM126" s="56" t="s">
        <v>65</v>
      </c>
      <c r="AN126" s="60" t="s">
        <v>5017</v>
      </c>
      <c r="AO126" s="60"/>
      <c r="AP126" s="61"/>
    </row>
    <row r="127" spans="3:43" ht="14.25" customHeight="1">
      <c r="C127" s="55" t="str">
        <f>IF($X127=1,COUNTIF($C$10:C126,"&gt;0")+1,"")</f>
        <v/>
      </c>
      <c r="D127" s="56">
        <v>70503776</v>
      </c>
      <c r="E127" s="56" t="s">
        <v>5433</v>
      </c>
      <c r="F127" s="57" t="s">
        <v>5461</v>
      </c>
      <c r="G127" s="56" t="s">
        <v>5457</v>
      </c>
      <c r="H127" s="56" t="s">
        <v>5462</v>
      </c>
      <c r="I127" s="56" t="s">
        <v>5459</v>
      </c>
      <c r="J127" s="56" t="s">
        <v>68</v>
      </c>
      <c r="K127" s="56" t="s">
        <v>64</v>
      </c>
      <c r="L127" s="58">
        <v>26476</v>
      </c>
      <c r="M127" s="56">
        <v>53</v>
      </c>
      <c r="N127" s="56" t="s">
        <v>64</v>
      </c>
      <c r="O127" s="58" t="s">
        <v>64</v>
      </c>
      <c r="P127" s="56" t="s">
        <v>4</v>
      </c>
      <c r="Q127" s="56"/>
      <c r="R127" s="270">
        <v>45913</v>
      </c>
      <c r="S127" s="270">
        <v>45918</v>
      </c>
      <c r="T127" s="51">
        <f t="shared" si="1"/>
        <v>5</v>
      </c>
      <c r="U127" s="56">
        <v>1</v>
      </c>
      <c r="V127" s="56">
        <v>1</v>
      </c>
      <c r="W127" s="56">
        <v>0</v>
      </c>
      <c r="X127" s="56">
        <v>0</v>
      </c>
      <c r="Y127" s="56">
        <v>0</v>
      </c>
      <c r="Z127" s="56">
        <v>0</v>
      </c>
      <c r="AA127" s="56">
        <v>0</v>
      </c>
      <c r="AB127" s="56"/>
      <c r="AC127" s="58">
        <v>45913</v>
      </c>
      <c r="AD127" s="59">
        <v>0.72222222221898846</v>
      </c>
      <c r="AE127" s="56" t="s">
        <v>1321</v>
      </c>
      <c r="AF127" s="58">
        <v>45918</v>
      </c>
      <c r="AG127" s="59">
        <v>0.77777777778101154</v>
      </c>
      <c r="AH127" s="56" t="s">
        <v>330</v>
      </c>
      <c r="AI127" s="56" t="s">
        <v>5437</v>
      </c>
      <c r="AJ127" s="56" t="s">
        <v>64</v>
      </c>
      <c r="AK127" s="56" t="s">
        <v>64</v>
      </c>
      <c r="AL127" s="56" t="s">
        <v>5016</v>
      </c>
      <c r="AM127" s="56" t="s">
        <v>65</v>
      </c>
      <c r="AN127" s="60" t="s">
        <v>5017</v>
      </c>
      <c r="AO127" s="60"/>
      <c r="AP127" s="61"/>
    </row>
    <row r="128" spans="3:43" ht="14.25" customHeight="1">
      <c r="C128" s="55">
        <f>IF($X128=1,COUNTIF($C$10:C127,"&gt;0")+1,"")</f>
        <v>61</v>
      </c>
      <c r="D128" s="56">
        <v>70147592</v>
      </c>
      <c r="E128" s="56" t="s">
        <v>5433</v>
      </c>
      <c r="F128" s="57" t="s">
        <v>5463</v>
      </c>
      <c r="G128" s="56" t="s">
        <v>5463</v>
      </c>
      <c r="H128" s="56" t="s">
        <v>944</v>
      </c>
      <c r="I128" s="56" t="s">
        <v>5459</v>
      </c>
      <c r="J128" s="56" t="s">
        <v>68</v>
      </c>
      <c r="K128" s="56" t="s">
        <v>59</v>
      </c>
      <c r="L128" s="58">
        <v>37512</v>
      </c>
      <c r="M128" s="56">
        <v>23</v>
      </c>
      <c r="N128" s="56" t="s">
        <v>5464</v>
      </c>
      <c r="O128" s="58">
        <v>48454</v>
      </c>
      <c r="P128" s="56" t="s">
        <v>4</v>
      </c>
      <c r="Q128" s="56"/>
      <c r="R128" s="270">
        <v>45913</v>
      </c>
      <c r="S128" s="270">
        <v>45918</v>
      </c>
      <c r="T128" s="51">
        <f t="shared" si="1"/>
        <v>5</v>
      </c>
      <c r="U128" s="56">
        <v>1</v>
      </c>
      <c r="V128" s="56">
        <v>1</v>
      </c>
      <c r="W128" s="56">
        <v>0</v>
      </c>
      <c r="X128" s="56">
        <v>1</v>
      </c>
      <c r="Y128" s="56">
        <v>0</v>
      </c>
      <c r="Z128" s="56">
        <v>1</v>
      </c>
      <c r="AA128" s="56">
        <v>0</v>
      </c>
      <c r="AB128" s="56"/>
      <c r="AC128" s="58">
        <v>45913</v>
      </c>
      <c r="AD128" s="59">
        <v>0.72222222221898846</v>
      </c>
      <c r="AE128" s="56" t="s">
        <v>1321</v>
      </c>
      <c r="AF128" s="58">
        <v>45918</v>
      </c>
      <c r="AG128" s="59">
        <v>0.77777777778101154</v>
      </c>
      <c r="AH128" s="56" t="s">
        <v>330</v>
      </c>
      <c r="AI128" s="56" t="s">
        <v>5437</v>
      </c>
      <c r="AJ128" s="56" t="s">
        <v>64</v>
      </c>
      <c r="AK128" s="56" t="s">
        <v>64</v>
      </c>
      <c r="AL128" s="56" t="s">
        <v>5016</v>
      </c>
      <c r="AM128" s="56" t="s">
        <v>65</v>
      </c>
      <c r="AN128" s="60"/>
      <c r="AO128" s="60"/>
      <c r="AP128" s="61"/>
    </row>
    <row r="129" spans="3:42" ht="14.25" customHeight="1">
      <c r="C129" s="55" t="str">
        <f>IF($X129=1,COUNTIF($C$10:C128,"&gt;0")+1,"")</f>
        <v/>
      </c>
      <c r="D129" s="56">
        <v>70147592</v>
      </c>
      <c r="E129" s="56" t="s">
        <v>5433</v>
      </c>
      <c r="F129" s="57" t="s">
        <v>5465</v>
      </c>
      <c r="G129" s="56" t="s">
        <v>5463</v>
      </c>
      <c r="H129" s="56" t="s">
        <v>5466</v>
      </c>
      <c r="I129" s="56" t="s">
        <v>5459</v>
      </c>
      <c r="J129" s="56" t="s">
        <v>68</v>
      </c>
      <c r="K129" s="56" t="s">
        <v>59</v>
      </c>
      <c r="L129" s="58">
        <v>40702</v>
      </c>
      <c r="M129" s="56">
        <v>14</v>
      </c>
      <c r="N129" s="56" t="s">
        <v>5467</v>
      </c>
      <c r="O129" s="58">
        <v>46730</v>
      </c>
      <c r="P129" s="56" t="s">
        <v>4</v>
      </c>
      <c r="Q129" s="56"/>
      <c r="R129" s="270">
        <v>45913</v>
      </c>
      <c r="S129" s="270">
        <v>45918</v>
      </c>
      <c r="T129" s="51">
        <f t="shared" si="1"/>
        <v>5</v>
      </c>
      <c r="U129" s="56">
        <v>1</v>
      </c>
      <c r="V129" s="56">
        <v>1</v>
      </c>
      <c r="W129" s="56">
        <v>0</v>
      </c>
      <c r="X129" s="56">
        <v>0</v>
      </c>
      <c r="Y129" s="56">
        <v>0</v>
      </c>
      <c r="Z129" s="56">
        <v>0</v>
      </c>
      <c r="AA129" s="56">
        <v>0</v>
      </c>
      <c r="AB129" s="56"/>
      <c r="AC129" s="58">
        <v>45913</v>
      </c>
      <c r="AD129" s="59">
        <v>0.72222222221898846</v>
      </c>
      <c r="AE129" s="56" t="s">
        <v>1321</v>
      </c>
      <c r="AF129" s="58">
        <v>45918</v>
      </c>
      <c r="AG129" s="59">
        <v>0.77777777778101154</v>
      </c>
      <c r="AH129" s="56" t="s">
        <v>330</v>
      </c>
      <c r="AI129" s="56" t="s">
        <v>5437</v>
      </c>
      <c r="AJ129" s="56" t="s">
        <v>64</v>
      </c>
      <c r="AK129" s="56" t="s">
        <v>64</v>
      </c>
      <c r="AL129" s="56" t="s">
        <v>5016</v>
      </c>
      <c r="AM129" s="56" t="s">
        <v>65</v>
      </c>
      <c r="AN129" s="60"/>
      <c r="AO129" s="60"/>
      <c r="AP129" s="61"/>
    </row>
    <row r="130" spans="3:42" ht="14.25" customHeight="1">
      <c r="C130" s="55">
        <f>IF($X130=1,COUNTIF($C$10:C129,"&gt;0")+1,"")</f>
        <v>62</v>
      </c>
      <c r="D130" s="56">
        <v>70147585</v>
      </c>
      <c r="E130" s="56" t="s">
        <v>5433</v>
      </c>
      <c r="F130" s="57" t="s">
        <v>5468</v>
      </c>
      <c r="G130" s="56" t="s">
        <v>5468</v>
      </c>
      <c r="H130" s="56" t="s">
        <v>1901</v>
      </c>
      <c r="I130" s="56" t="s">
        <v>88</v>
      </c>
      <c r="J130" s="56" t="s">
        <v>68</v>
      </c>
      <c r="K130" s="56" t="s">
        <v>59</v>
      </c>
      <c r="L130" s="58">
        <v>31178</v>
      </c>
      <c r="M130" s="56">
        <v>40</v>
      </c>
      <c r="N130" s="56" t="s">
        <v>5469</v>
      </c>
      <c r="O130" s="58">
        <v>47213</v>
      </c>
      <c r="P130" s="56" t="s">
        <v>4</v>
      </c>
      <c r="Q130" s="56"/>
      <c r="R130" s="270">
        <v>45913</v>
      </c>
      <c r="S130" s="270">
        <v>45918</v>
      </c>
      <c r="T130" s="51">
        <f t="shared" si="1"/>
        <v>5</v>
      </c>
      <c r="U130" s="56">
        <v>1</v>
      </c>
      <c r="V130" s="56">
        <v>1</v>
      </c>
      <c r="W130" s="56">
        <v>0</v>
      </c>
      <c r="X130" s="56">
        <v>1</v>
      </c>
      <c r="Y130" s="56">
        <v>0</v>
      </c>
      <c r="Z130" s="56">
        <v>1</v>
      </c>
      <c r="AA130" s="56">
        <v>0</v>
      </c>
      <c r="AB130" s="56"/>
      <c r="AC130" s="58">
        <v>45913</v>
      </c>
      <c r="AD130" s="59">
        <v>0.88888888889050577</v>
      </c>
      <c r="AE130" s="56" t="s">
        <v>5444</v>
      </c>
      <c r="AF130" s="58">
        <v>45918</v>
      </c>
      <c r="AG130" s="59">
        <v>0.73958333333575865</v>
      </c>
      <c r="AH130" s="56" t="s">
        <v>1117</v>
      </c>
      <c r="AI130" s="56" t="s">
        <v>5437</v>
      </c>
      <c r="AJ130" s="56" t="s">
        <v>64</v>
      </c>
      <c r="AK130" s="56" t="s">
        <v>64</v>
      </c>
      <c r="AL130" s="56" t="s">
        <v>5016</v>
      </c>
      <c r="AM130" s="56" t="s">
        <v>65</v>
      </c>
      <c r="AN130" s="60"/>
      <c r="AO130" s="60"/>
      <c r="AP130" s="61"/>
    </row>
    <row r="131" spans="3:42" ht="14.25" customHeight="1">
      <c r="C131" s="55" t="str">
        <f>IF($X131=1,COUNTIF($C$10:C130,"&gt;0")+1,"")</f>
        <v/>
      </c>
      <c r="D131" s="56">
        <v>70147585</v>
      </c>
      <c r="E131" s="56" t="s">
        <v>5433</v>
      </c>
      <c r="F131" s="57" t="s">
        <v>5470</v>
      </c>
      <c r="G131" s="56" t="s">
        <v>5468</v>
      </c>
      <c r="H131" s="56" t="s">
        <v>5471</v>
      </c>
      <c r="I131" s="56" t="s">
        <v>5472</v>
      </c>
      <c r="J131" s="56" t="s">
        <v>58</v>
      </c>
      <c r="K131" s="56" t="s">
        <v>59</v>
      </c>
      <c r="L131" s="58">
        <v>30307</v>
      </c>
      <c r="M131" s="56">
        <v>42</v>
      </c>
      <c r="N131" s="56" t="s">
        <v>5473</v>
      </c>
      <c r="O131" s="58">
        <v>47504</v>
      </c>
      <c r="P131" s="56" t="s">
        <v>4</v>
      </c>
      <c r="Q131" s="56"/>
      <c r="R131" s="270">
        <v>45913</v>
      </c>
      <c r="S131" s="270">
        <v>45918</v>
      </c>
      <c r="T131" s="51">
        <f t="shared" si="1"/>
        <v>5</v>
      </c>
      <c r="U131" s="56">
        <v>1</v>
      </c>
      <c r="V131" s="56">
        <v>1</v>
      </c>
      <c r="W131" s="56">
        <v>0</v>
      </c>
      <c r="X131" s="56">
        <v>0</v>
      </c>
      <c r="Y131" s="56">
        <v>0</v>
      </c>
      <c r="Z131" s="56">
        <v>0</v>
      </c>
      <c r="AA131" s="56">
        <v>0</v>
      </c>
      <c r="AB131" s="56"/>
      <c r="AC131" s="58">
        <v>45913</v>
      </c>
      <c r="AD131" s="59">
        <v>0.88888888889050577</v>
      </c>
      <c r="AE131" s="56" t="s">
        <v>5444</v>
      </c>
      <c r="AF131" s="58">
        <v>45918</v>
      </c>
      <c r="AG131" s="59">
        <v>0.73958333333575865</v>
      </c>
      <c r="AH131" s="56" t="s">
        <v>1117</v>
      </c>
      <c r="AI131" s="56" t="s">
        <v>5437</v>
      </c>
      <c r="AJ131" s="56" t="s">
        <v>64</v>
      </c>
      <c r="AK131" s="56" t="s">
        <v>64</v>
      </c>
      <c r="AL131" s="56" t="s">
        <v>5016</v>
      </c>
      <c r="AM131" s="56" t="s">
        <v>65</v>
      </c>
      <c r="AN131" s="60"/>
      <c r="AO131" s="60"/>
      <c r="AP131" s="61"/>
    </row>
    <row r="132" spans="3:42" ht="14.25" customHeight="1">
      <c r="C132" s="55">
        <f>IF($X132=1,COUNTIF($C$10:C131,"&gt;0")+1,"")</f>
        <v>63</v>
      </c>
      <c r="D132" s="56">
        <v>70147611</v>
      </c>
      <c r="E132" s="56" t="s">
        <v>5433</v>
      </c>
      <c r="F132" s="57" t="s">
        <v>5474</v>
      </c>
      <c r="G132" s="56" t="s">
        <v>5474</v>
      </c>
      <c r="H132" s="56" t="s">
        <v>5475</v>
      </c>
      <c r="I132" s="56" t="s">
        <v>5476</v>
      </c>
      <c r="J132" s="56" t="s">
        <v>58</v>
      </c>
      <c r="K132" s="56" t="s">
        <v>59</v>
      </c>
      <c r="L132" s="58">
        <v>32508</v>
      </c>
      <c r="M132" s="56">
        <v>36</v>
      </c>
      <c r="N132" s="56" t="s">
        <v>5477</v>
      </c>
      <c r="O132" s="58">
        <v>48171</v>
      </c>
      <c r="P132" s="56" t="s">
        <v>4</v>
      </c>
      <c r="Q132" s="56"/>
      <c r="R132" s="270">
        <v>45913</v>
      </c>
      <c r="S132" s="270">
        <v>45918</v>
      </c>
      <c r="T132" s="51">
        <f t="shared" si="1"/>
        <v>5</v>
      </c>
      <c r="U132" s="56">
        <v>1</v>
      </c>
      <c r="V132" s="56">
        <v>1</v>
      </c>
      <c r="W132" s="56">
        <v>0</v>
      </c>
      <c r="X132" s="56">
        <v>1</v>
      </c>
      <c r="Y132" s="56">
        <v>0</v>
      </c>
      <c r="Z132" s="56">
        <v>1</v>
      </c>
      <c r="AA132" s="56">
        <v>0</v>
      </c>
      <c r="AB132" s="56"/>
      <c r="AC132" s="58">
        <v>45913</v>
      </c>
      <c r="AD132" s="59">
        <v>0.72222222221898846</v>
      </c>
      <c r="AE132" s="56" t="s">
        <v>1321</v>
      </c>
      <c r="AF132" s="58">
        <v>45918</v>
      </c>
      <c r="AG132" s="59">
        <v>0.77777777778101154</v>
      </c>
      <c r="AH132" s="56" t="s">
        <v>330</v>
      </c>
      <c r="AI132" s="56" t="s">
        <v>5437</v>
      </c>
      <c r="AJ132" s="56" t="s">
        <v>64</v>
      </c>
      <c r="AK132" s="56" t="s">
        <v>64</v>
      </c>
      <c r="AL132" s="56" t="s">
        <v>5016</v>
      </c>
      <c r="AM132" s="56" t="s">
        <v>65</v>
      </c>
      <c r="AN132" s="60"/>
      <c r="AO132" s="60"/>
      <c r="AP132" s="61"/>
    </row>
    <row r="133" spans="3:42" ht="14.25" customHeight="1">
      <c r="C133" s="55" t="str">
        <f>IF($X133=1,COUNTIF($C$10:C132,"&gt;0")+1,"")</f>
        <v/>
      </c>
      <c r="D133" s="56">
        <v>70147611</v>
      </c>
      <c r="E133" s="56" t="s">
        <v>5433</v>
      </c>
      <c r="F133" s="57" t="s">
        <v>5478</v>
      </c>
      <c r="G133" s="56" t="s">
        <v>5474</v>
      </c>
      <c r="H133" s="56" t="s">
        <v>5479</v>
      </c>
      <c r="I133" s="56" t="s">
        <v>5480</v>
      </c>
      <c r="J133" s="56" t="s">
        <v>68</v>
      </c>
      <c r="K133" s="56" t="s">
        <v>59</v>
      </c>
      <c r="L133" s="58">
        <v>31450</v>
      </c>
      <c r="M133" s="56">
        <v>39</v>
      </c>
      <c r="N133" s="56" t="s">
        <v>5481</v>
      </c>
      <c r="O133" s="58">
        <v>49437</v>
      </c>
      <c r="P133" s="56" t="s">
        <v>4</v>
      </c>
      <c r="Q133" s="56"/>
      <c r="R133" s="270">
        <v>45913</v>
      </c>
      <c r="S133" s="270">
        <v>45918</v>
      </c>
      <c r="T133" s="51">
        <f t="shared" si="1"/>
        <v>5</v>
      </c>
      <c r="U133" s="56">
        <v>1</v>
      </c>
      <c r="V133" s="56">
        <v>1</v>
      </c>
      <c r="W133" s="56">
        <v>0</v>
      </c>
      <c r="X133" s="56">
        <v>0</v>
      </c>
      <c r="Y133" s="56">
        <v>0</v>
      </c>
      <c r="Z133" s="56">
        <v>0</v>
      </c>
      <c r="AA133" s="56">
        <v>0</v>
      </c>
      <c r="AB133" s="56"/>
      <c r="AC133" s="58">
        <v>45913</v>
      </c>
      <c r="AD133" s="59">
        <v>0.72222222221898846</v>
      </c>
      <c r="AE133" s="56" t="s">
        <v>1321</v>
      </c>
      <c r="AF133" s="58">
        <v>45918</v>
      </c>
      <c r="AG133" s="59">
        <v>0.77777777778101154</v>
      </c>
      <c r="AH133" s="56" t="s">
        <v>330</v>
      </c>
      <c r="AI133" s="56" t="s">
        <v>5437</v>
      </c>
      <c r="AJ133" s="56" t="s">
        <v>64</v>
      </c>
      <c r="AK133" s="56" t="s">
        <v>64</v>
      </c>
      <c r="AL133" s="56" t="s">
        <v>5016</v>
      </c>
      <c r="AM133" s="56" t="s">
        <v>65</v>
      </c>
      <c r="AN133" s="60"/>
      <c r="AO133" s="60"/>
      <c r="AP133" s="61"/>
    </row>
    <row r="134" spans="3:42" ht="14.25" customHeight="1">
      <c r="C134" s="55" t="str">
        <f>IF($X134=1,COUNTIF($C$10:C133,"&gt;0")+1,"")</f>
        <v/>
      </c>
      <c r="D134" s="56">
        <v>70147611</v>
      </c>
      <c r="E134" s="56" t="s">
        <v>5433</v>
      </c>
      <c r="F134" s="57" t="s">
        <v>5482</v>
      </c>
      <c r="G134" s="56" t="s">
        <v>5474</v>
      </c>
      <c r="H134" s="56" t="s">
        <v>5483</v>
      </c>
      <c r="I134" s="56" t="s">
        <v>5476</v>
      </c>
      <c r="J134" s="56" t="s">
        <v>68</v>
      </c>
      <c r="K134" s="56" t="s">
        <v>59</v>
      </c>
      <c r="L134" s="58">
        <v>45632</v>
      </c>
      <c r="M134" s="56">
        <v>0</v>
      </c>
      <c r="N134" s="56" t="s">
        <v>5484</v>
      </c>
      <c r="O134" s="58">
        <v>47583</v>
      </c>
      <c r="P134" s="56" t="s">
        <v>4</v>
      </c>
      <c r="Q134" s="56"/>
      <c r="R134" s="270">
        <v>45913</v>
      </c>
      <c r="S134" s="270">
        <v>45918</v>
      </c>
      <c r="T134" s="51">
        <f t="shared" si="1"/>
        <v>5</v>
      </c>
      <c r="U134" s="56">
        <v>0</v>
      </c>
      <c r="V134" s="56">
        <v>0</v>
      </c>
      <c r="W134" s="56">
        <v>0</v>
      </c>
      <c r="X134" s="56">
        <v>0</v>
      </c>
      <c r="Y134" s="56">
        <v>0</v>
      </c>
      <c r="Z134" s="56">
        <v>0</v>
      </c>
      <c r="AA134" s="56">
        <v>0</v>
      </c>
      <c r="AB134" s="56"/>
      <c r="AC134" s="58">
        <v>45913</v>
      </c>
      <c r="AD134" s="59">
        <v>0.72222222221898846</v>
      </c>
      <c r="AE134" s="56" t="s">
        <v>1321</v>
      </c>
      <c r="AF134" s="58">
        <v>45918</v>
      </c>
      <c r="AG134" s="59">
        <v>0.77777777778101154</v>
      </c>
      <c r="AH134" s="56" t="s">
        <v>330</v>
      </c>
      <c r="AI134" s="56" t="s">
        <v>5437</v>
      </c>
      <c r="AJ134" s="56" t="s">
        <v>64</v>
      </c>
      <c r="AK134" s="56" t="s">
        <v>64</v>
      </c>
      <c r="AL134" s="56" t="s">
        <v>5016</v>
      </c>
      <c r="AM134" s="56" t="s">
        <v>65</v>
      </c>
      <c r="AN134" s="60"/>
      <c r="AO134" s="60"/>
      <c r="AP134" s="61"/>
    </row>
    <row r="135" spans="3:42" ht="14.25" customHeight="1">
      <c r="C135" s="55">
        <f>IF($X135=1,COUNTIF($C$10:C134,"&gt;0")+1,"")</f>
        <v>64</v>
      </c>
      <c r="D135" s="56">
        <v>70054440</v>
      </c>
      <c r="E135" s="56" t="s">
        <v>5433</v>
      </c>
      <c r="F135" s="57" t="s">
        <v>5485</v>
      </c>
      <c r="G135" s="56" t="s">
        <v>5474</v>
      </c>
      <c r="H135" s="56" t="s">
        <v>5486</v>
      </c>
      <c r="I135" s="56" t="s">
        <v>5487</v>
      </c>
      <c r="J135" s="56" t="s">
        <v>58</v>
      </c>
      <c r="K135" s="56" t="s">
        <v>59</v>
      </c>
      <c r="L135" s="58">
        <v>39669</v>
      </c>
      <c r="M135" s="56">
        <v>17</v>
      </c>
      <c r="N135" s="56" t="s">
        <v>5488</v>
      </c>
      <c r="O135" s="58">
        <v>46238</v>
      </c>
      <c r="P135" s="56" t="s">
        <v>3</v>
      </c>
      <c r="Q135" s="56"/>
      <c r="R135" s="270">
        <v>45913</v>
      </c>
      <c r="S135" s="270">
        <v>45918</v>
      </c>
      <c r="T135" s="51">
        <f t="shared" si="1"/>
        <v>5</v>
      </c>
      <c r="U135" s="56">
        <v>1</v>
      </c>
      <c r="V135" s="56">
        <v>1</v>
      </c>
      <c r="W135" s="56">
        <v>0</v>
      </c>
      <c r="X135" s="56">
        <v>1</v>
      </c>
      <c r="Y135" s="56">
        <v>1</v>
      </c>
      <c r="Z135" s="56">
        <v>0</v>
      </c>
      <c r="AA135" s="56">
        <v>0</v>
      </c>
      <c r="AB135" s="56"/>
      <c r="AC135" s="58">
        <v>45913</v>
      </c>
      <c r="AD135" s="59">
        <v>0.72222222221898846</v>
      </c>
      <c r="AE135" s="56" t="s">
        <v>1321</v>
      </c>
      <c r="AF135" s="58">
        <v>45918</v>
      </c>
      <c r="AG135" s="59">
        <v>0.77777777778101154</v>
      </c>
      <c r="AH135" s="56" t="s">
        <v>330</v>
      </c>
      <c r="AI135" s="56" t="s">
        <v>5437</v>
      </c>
      <c r="AJ135" s="56" t="s">
        <v>64</v>
      </c>
      <c r="AK135" s="56" t="s">
        <v>64</v>
      </c>
      <c r="AL135" s="56" t="s">
        <v>5016</v>
      </c>
      <c r="AM135" s="56" t="s">
        <v>65</v>
      </c>
      <c r="AN135" s="60" t="s">
        <v>5040</v>
      </c>
      <c r="AO135" s="60"/>
      <c r="AP135" s="61"/>
    </row>
    <row r="136" spans="3:42" ht="14.25" customHeight="1">
      <c r="C136" s="55">
        <f>IF($X136=1,COUNTIF($C$10:C135,"&gt;0")+1,"")</f>
        <v>65</v>
      </c>
      <c r="D136" s="56">
        <v>70054446</v>
      </c>
      <c r="E136" s="56" t="s">
        <v>5433</v>
      </c>
      <c r="F136" s="57" t="s">
        <v>5489</v>
      </c>
      <c r="G136" s="56" t="s">
        <v>5489</v>
      </c>
      <c r="H136" s="56" t="s">
        <v>5490</v>
      </c>
      <c r="I136" s="56" t="s">
        <v>5491</v>
      </c>
      <c r="J136" s="56" t="s">
        <v>68</v>
      </c>
      <c r="K136" s="56" t="s">
        <v>59</v>
      </c>
      <c r="L136" s="58">
        <v>34507</v>
      </c>
      <c r="M136" s="56">
        <v>31</v>
      </c>
      <c r="N136" s="56" t="s">
        <v>5492</v>
      </c>
      <c r="O136" s="58">
        <v>49165</v>
      </c>
      <c r="P136" s="56" t="s">
        <v>3</v>
      </c>
      <c r="Q136" s="56"/>
      <c r="R136" s="270">
        <v>45913</v>
      </c>
      <c r="S136" s="270">
        <v>45918</v>
      </c>
      <c r="T136" s="51">
        <f t="shared" si="1"/>
        <v>5</v>
      </c>
      <c r="U136" s="56">
        <v>1</v>
      </c>
      <c r="V136" s="56">
        <v>1</v>
      </c>
      <c r="W136" s="56">
        <v>0</v>
      </c>
      <c r="X136" s="56">
        <v>1</v>
      </c>
      <c r="Y136" s="56">
        <v>1</v>
      </c>
      <c r="Z136" s="56">
        <v>0</v>
      </c>
      <c r="AA136" s="56">
        <v>0</v>
      </c>
      <c r="AB136" s="56"/>
      <c r="AC136" s="58">
        <v>45913</v>
      </c>
      <c r="AD136" s="59">
        <v>0.64583333333575865</v>
      </c>
      <c r="AE136" s="56" t="s">
        <v>312</v>
      </c>
      <c r="AF136" s="58">
        <v>45918</v>
      </c>
      <c r="AG136" s="59">
        <v>0.72569444444525288</v>
      </c>
      <c r="AH136" s="56" t="s">
        <v>313</v>
      </c>
      <c r="AI136" s="56" t="s">
        <v>5437</v>
      </c>
      <c r="AJ136" s="56" t="s">
        <v>64</v>
      </c>
      <c r="AK136" s="56" t="s">
        <v>64</v>
      </c>
      <c r="AL136" s="56" t="s">
        <v>5016</v>
      </c>
      <c r="AM136" s="56" t="s">
        <v>65</v>
      </c>
      <c r="AN136" s="60" t="s">
        <v>5040</v>
      </c>
      <c r="AO136" s="60"/>
      <c r="AP136" s="61"/>
    </row>
    <row r="137" spans="3:42" ht="14.25" customHeight="1">
      <c r="C137" s="55">
        <f>IF($X137=1,COUNTIF($C$10:C136,"&gt;0")+1,"")</f>
        <v>66</v>
      </c>
      <c r="D137" s="56">
        <v>70147630</v>
      </c>
      <c r="E137" s="56" t="s">
        <v>5433</v>
      </c>
      <c r="F137" s="57" t="s">
        <v>5493</v>
      </c>
      <c r="G137" s="56" t="s">
        <v>5493</v>
      </c>
      <c r="H137" s="56" t="s">
        <v>5494</v>
      </c>
      <c r="I137" s="56" t="s">
        <v>5495</v>
      </c>
      <c r="J137" s="56" t="s">
        <v>68</v>
      </c>
      <c r="K137" s="56" t="s">
        <v>59</v>
      </c>
      <c r="L137" s="58">
        <v>28856</v>
      </c>
      <c r="M137" s="56">
        <v>46</v>
      </c>
      <c r="N137" s="56" t="s">
        <v>5496</v>
      </c>
      <c r="O137" s="58">
        <v>49206</v>
      </c>
      <c r="P137" s="56" t="s">
        <v>4</v>
      </c>
      <c r="Q137" s="56"/>
      <c r="R137" s="270">
        <v>45913</v>
      </c>
      <c r="S137" s="270">
        <v>45918</v>
      </c>
      <c r="T137" s="51">
        <f t="shared" si="1"/>
        <v>5</v>
      </c>
      <c r="U137" s="56">
        <v>1</v>
      </c>
      <c r="V137" s="56">
        <v>1</v>
      </c>
      <c r="W137" s="56">
        <v>0</v>
      </c>
      <c r="X137" s="56">
        <v>1</v>
      </c>
      <c r="Y137" s="56">
        <v>0</v>
      </c>
      <c r="Z137" s="56">
        <v>1</v>
      </c>
      <c r="AA137" s="56">
        <v>0</v>
      </c>
      <c r="AB137" s="56"/>
      <c r="AC137" s="69">
        <v>45913</v>
      </c>
      <c r="AD137" s="70">
        <v>0.72222222222222221</v>
      </c>
      <c r="AE137" s="71" t="s">
        <v>1321</v>
      </c>
      <c r="AF137" s="58">
        <v>45918</v>
      </c>
      <c r="AG137" s="59">
        <v>0.44097222222222221</v>
      </c>
      <c r="AH137" s="56" t="s">
        <v>2139</v>
      </c>
      <c r="AI137" s="56" t="s">
        <v>5437</v>
      </c>
      <c r="AJ137" s="56" t="s">
        <v>64</v>
      </c>
      <c r="AK137" s="74" t="s">
        <v>5497</v>
      </c>
      <c r="AL137" s="56" t="s">
        <v>5016</v>
      </c>
      <c r="AM137" s="56" t="s">
        <v>65</v>
      </c>
      <c r="AN137" s="60" t="s">
        <v>5026</v>
      </c>
      <c r="AO137" s="60"/>
      <c r="AP137" s="61"/>
    </row>
    <row r="138" spans="3:42" ht="14.25" customHeight="1">
      <c r="C138" s="55" t="str">
        <f>IF($X138=1,COUNTIF($C$10:C137,"&gt;0")+1,"")</f>
        <v/>
      </c>
      <c r="D138" s="56">
        <v>70147630</v>
      </c>
      <c r="E138" s="56" t="s">
        <v>5433</v>
      </c>
      <c r="F138" s="57" t="s">
        <v>5498</v>
      </c>
      <c r="G138" s="56" t="s">
        <v>5493</v>
      </c>
      <c r="H138" s="56" t="s">
        <v>5499</v>
      </c>
      <c r="I138" s="56" t="s">
        <v>5495</v>
      </c>
      <c r="J138" s="56" t="s">
        <v>68</v>
      </c>
      <c r="K138" s="56" t="s">
        <v>59</v>
      </c>
      <c r="L138" s="58">
        <v>38296</v>
      </c>
      <c r="M138" s="56">
        <v>20</v>
      </c>
      <c r="N138" s="56" t="s">
        <v>5500</v>
      </c>
      <c r="O138" s="58">
        <v>48794</v>
      </c>
      <c r="P138" s="56" t="s">
        <v>4</v>
      </c>
      <c r="Q138" s="56"/>
      <c r="R138" s="270">
        <v>45913</v>
      </c>
      <c r="S138" s="270">
        <v>45918</v>
      </c>
      <c r="T138" s="51">
        <f t="shared" si="1"/>
        <v>5</v>
      </c>
      <c r="U138" s="56">
        <v>1</v>
      </c>
      <c r="V138" s="56">
        <v>1</v>
      </c>
      <c r="W138" s="56">
        <v>0</v>
      </c>
      <c r="X138" s="56">
        <v>0</v>
      </c>
      <c r="Y138" s="56">
        <v>0</v>
      </c>
      <c r="Z138" s="56">
        <v>0</v>
      </c>
      <c r="AA138" s="56">
        <v>0</v>
      </c>
      <c r="AB138" s="56"/>
      <c r="AC138" s="69">
        <v>45913</v>
      </c>
      <c r="AD138" s="70">
        <v>0.72222222222222221</v>
      </c>
      <c r="AE138" s="71" t="s">
        <v>1321</v>
      </c>
      <c r="AF138" s="58">
        <v>45918</v>
      </c>
      <c r="AG138" s="59">
        <v>0.44097222222222221</v>
      </c>
      <c r="AH138" s="56" t="s">
        <v>2139</v>
      </c>
      <c r="AI138" s="56" t="s">
        <v>5437</v>
      </c>
      <c r="AJ138" s="56" t="s">
        <v>64</v>
      </c>
      <c r="AK138" s="74" t="s">
        <v>64</v>
      </c>
      <c r="AL138" s="56" t="s">
        <v>5016</v>
      </c>
      <c r="AM138" s="56" t="s">
        <v>65</v>
      </c>
      <c r="AN138" s="60" t="s">
        <v>5026</v>
      </c>
      <c r="AO138" s="60"/>
      <c r="AP138" s="61"/>
    </row>
    <row r="139" spans="3:42" ht="14.25" customHeight="1">
      <c r="C139" s="55">
        <f>IF($X139=1,COUNTIF($C$10:C138,"&gt;0")+1,"")</f>
        <v>67</v>
      </c>
      <c r="D139" s="56">
        <v>70147634</v>
      </c>
      <c r="E139" s="56" t="s">
        <v>5433</v>
      </c>
      <c r="F139" s="57" t="s">
        <v>5501</v>
      </c>
      <c r="G139" s="56" t="s">
        <v>5493</v>
      </c>
      <c r="H139" s="56" t="s">
        <v>1347</v>
      </c>
      <c r="I139" s="56" t="s">
        <v>5495</v>
      </c>
      <c r="J139" s="56" t="s">
        <v>68</v>
      </c>
      <c r="K139" s="56" t="s">
        <v>59</v>
      </c>
      <c r="L139" s="58">
        <v>40925</v>
      </c>
      <c r="M139" s="56">
        <v>13</v>
      </c>
      <c r="N139" s="56" t="s">
        <v>5502</v>
      </c>
      <c r="O139" s="58">
        <v>47587</v>
      </c>
      <c r="P139" s="56" t="s">
        <v>4</v>
      </c>
      <c r="Q139" s="56"/>
      <c r="R139" s="270">
        <v>45913</v>
      </c>
      <c r="S139" s="270">
        <v>45918</v>
      </c>
      <c r="T139" s="51">
        <f t="shared" ref="T139:T202" si="2">S139-R139</f>
        <v>5</v>
      </c>
      <c r="U139" s="56">
        <v>1</v>
      </c>
      <c r="V139" s="56">
        <v>1</v>
      </c>
      <c r="W139" s="56">
        <v>0</v>
      </c>
      <c r="X139" s="56">
        <v>1</v>
      </c>
      <c r="Y139" s="56">
        <v>0</v>
      </c>
      <c r="Z139" s="56">
        <v>1</v>
      </c>
      <c r="AA139" s="56">
        <v>0</v>
      </c>
      <c r="AB139" s="56"/>
      <c r="AC139" s="69">
        <v>45913</v>
      </c>
      <c r="AD139" s="70">
        <v>0.72222222222222221</v>
      </c>
      <c r="AE139" s="71" t="s">
        <v>1321</v>
      </c>
      <c r="AF139" s="58">
        <v>45918</v>
      </c>
      <c r="AG139" s="59">
        <v>0.44097222222222221</v>
      </c>
      <c r="AH139" s="56" t="s">
        <v>2139</v>
      </c>
      <c r="AI139" s="56" t="s">
        <v>5437</v>
      </c>
      <c r="AJ139" s="56" t="s">
        <v>64</v>
      </c>
      <c r="AK139" s="74" t="s">
        <v>5503</v>
      </c>
      <c r="AL139" s="56" t="s">
        <v>5016</v>
      </c>
      <c r="AM139" s="56" t="s">
        <v>65</v>
      </c>
      <c r="AN139" s="60" t="s">
        <v>5026</v>
      </c>
      <c r="AO139" s="60"/>
      <c r="AP139" s="61"/>
    </row>
    <row r="140" spans="3:42" ht="14.25" customHeight="1">
      <c r="C140" s="55" t="str">
        <f>IF($X140=1,COUNTIF($C$10:C139,"&gt;0")+1,"")</f>
        <v/>
      </c>
      <c r="D140" s="56">
        <v>70147634</v>
      </c>
      <c r="E140" s="56" t="s">
        <v>5433</v>
      </c>
      <c r="F140" s="57" t="s">
        <v>5504</v>
      </c>
      <c r="G140" s="56" t="s">
        <v>5493</v>
      </c>
      <c r="H140" s="56" t="s">
        <v>5505</v>
      </c>
      <c r="I140" s="56" t="s">
        <v>5495</v>
      </c>
      <c r="J140" s="56" t="s">
        <v>58</v>
      </c>
      <c r="K140" s="56" t="s">
        <v>59</v>
      </c>
      <c r="L140" s="58">
        <v>40925</v>
      </c>
      <c r="M140" s="56">
        <v>13</v>
      </c>
      <c r="N140" s="56" t="s">
        <v>5506</v>
      </c>
      <c r="O140" s="58">
        <v>47587</v>
      </c>
      <c r="P140" s="56" t="s">
        <v>4</v>
      </c>
      <c r="Q140" s="56"/>
      <c r="R140" s="270">
        <v>45913</v>
      </c>
      <c r="S140" s="270">
        <v>45918</v>
      </c>
      <c r="T140" s="51">
        <f t="shared" si="2"/>
        <v>5</v>
      </c>
      <c r="U140" s="56">
        <v>1</v>
      </c>
      <c r="V140" s="56">
        <v>1</v>
      </c>
      <c r="W140" s="56">
        <v>0</v>
      </c>
      <c r="X140" s="56">
        <v>0</v>
      </c>
      <c r="Y140" s="56">
        <v>0</v>
      </c>
      <c r="Z140" s="56">
        <v>0</v>
      </c>
      <c r="AA140" s="56">
        <v>0</v>
      </c>
      <c r="AB140" s="56"/>
      <c r="AC140" s="69">
        <v>45913</v>
      </c>
      <c r="AD140" s="70">
        <v>0.72222222222222221</v>
      </c>
      <c r="AE140" s="71" t="s">
        <v>1321</v>
      </c>
      <c r="AF140" s="58">
        <v>45918</v>
      </c>
      <c r="AG140" s="59">
        <v>0.44097222222222221</v>
      </c>
      <c r="AH140" s="56" t="s">
        <v>2139</v>
      </c>
      <c r="AI140" s="56" t="s">
        <v>5437</v>
      </c>
      <c r="AJ140" s="56" t="s">
        <v>64</v>
      </c>
      <c r="AK140" s="74" t="s">
        <v>64</v>
      </c>
      <c r="AL140" s="56" t="s">
        <v>5016</v>
      </c>
      <c r="AM140" s="56" t="s">
        <v>65</v>
      </c>
      <c r="AN140" s="60" t="s">
        <v>5026</v>
      </c>
      <c r="AO140" s="60"/>
      <c r="AP140" s="61"/>
    </row>
    <row r="141" spans="3:42" ht="14.25" customHeight="1">
      <c r="C141" s="55">
        <f>IF($X141=1,COUNTIF($C$10:C140,"&gt;0")+1,"")</f>
        <v>68</v>
      </c>
      <c r="D141" s="56">
        <v>70277586</v>
      </c>
      <c r="E141" s="56" t="s">
        <v>5433</v>
      </c>
      <c r="F141" s="57" t="s">
        <v>5507</v>
      </c>
      <c r="G141" s="56" t="s">
        <v>5493</v>
      </c>
      <c r="H141" s="56" t="s">
        <v>5508</v>
      </c>
      <c r="I141" s="56" t="s">
        <v>5509</v>
      </c>
      <c r="J141" s="56" t="s">
        <v>68</v>
      </c>
      <c r="K141" s="56" t="s">
        <v>59</v>
      </c>
      <c r="L141" s="58">
        <v>25391</v>
      </c>
      <c r="M141" s="56">
        <v>56</v>
      </c>
      <c r="N141" s="56" t="s">
        <v>5510</v>
      </c>
      <c r="O141" s="58">
        <v>48280</v>
      </c>
      <c r="P141" s="56" t="s">
        <v>5</v>
      </c>
      <c r="Q141" s="56"/>
      <c r="R141" s="270">
        <v>45913</v>
      </c>
      <c r="S141" s="270">
        <v>45918</v>
      </c>
      <c r="T141" s="51">
        <f t="shared" si="2"/>
        <v>5</v>
      </c>
      <c r="U141" s="56">
        <v>1</v>
      </c>
      <c r="V141" s="56">
        <v>1</v>
      </c>
      <c r="W141" s="56">
        <v>0</v>
      </c>
      <c r="X141" s="56">
        <v>1</v>
      </c>
      <c r="Y141" s="56">
        <v>0</v>
      </c>
      <c r="Z141" s="56">
        <v>0</v>
      </c>
      <c r="AA141" s="56">
        <v>1</v>
      </c>
      <c r="AB141" s="56"/>
      <c r="AC141" s="69">
        <v>45913</v>
      </c>
      <c r="AD141" s="70">
        <v>0.72222222222222221</v>
      </c>
      <c r="AE141" s="71" t="s">
        <v>1321</v>
      </c>
      <c r="AF141" s="58">
        <v>45918</v>
      </c>
      <c r="AG141" s="59">
        <v>0.77777777777777779</v>
      </c>
      <c r="AH141" s="56" t="s">
        <v>330</v>
      </c>
      <c r="AI141" s="56" t="s">
        <v>5437</v>
      </c>
      <c r="AJ141" s="56" t="s">
        <v>64</v>
      </c>
      <c r="AK141" s="74" t="s">
        <v>5503</v>
      </c>
      <c r="AL141" s="56" t="s">
        <v>5016</v>
      </c>
      <c r="AM141" s="56" t="s">
        <v>65</v>
      </c>
      <c r="AN141" s="60" t="s">
        <v>5511</v>
      </c>
      <c r="AO141" s="60"/>
      <c r="AP141" s="61"/>
    </row>
    <row r="142" spans="3:42" ht="14.25" customHeight="1">
      <c r="C142" s="55" t="str">
        <f>IF($X142=1,COUNTIF($C$10:C141,"&gt;0")+1,"")</f>
        <v/>
      </c>
      <c r="D142" s="56">
        <v>70277586</v>
      </c>
      <c r="E142" s="56" t="s">
        <v>5433</v>
      </c>
      <c r="F142" s="57" t="s">
        <v>5512</v>
      </c>
      <c r="G142" s="56" t="s">
        <v>5493</v>
      </c>
      <c r="H142" s="56" t="s">
        <v>5513</v>
      </c>
      <c r="I142" s="56" t="s">
        <v>5495</v>
      </c>
      <c r="J142" s="56" t="s">
        <v>68</v>
      </c>
      <c r="K142" s="56" t="s">
        <v>59</v>
      </c>
      <c r="L142" s="58">
        <v>40170</v>
      </c>
      <c r="M142" s="56">
        <v>15</v>
      </c>
      <c r="N142" s="56" t="s">
        <v>5514</v>
      </c>
      <c r="O142" s="58">
        <v>47587</v>
      </c>
      <c r="P142" s="56" t="s">
        <v>5</v>
      </c>
      <c r="Q142" s="56"/>
      <c r="R142" s="270">
        <v>45913</v>
      </c>
      <c r="S142" s="270">
        <v>45918</v>
      </c>
      <c r="T142" s="51">
        <f t="shared" si="2"/>
        <v>5</v>
      </c>
      <c r="U142" s="56">
        <v>1</v>
      </c>
      <c r="V142" s="56">
        <v>1</v>
      </c>
      <c r="W142" s="56">
        <v>0</v>
      </c>
      <c r="X142" s="56">
        <v>0</v>
      </c>
      <c r="Y142" s="56">
        <v>0</v>
      </c>
      <c r="Z142" s="56">
        <v>0</v>
      </c>
      <c r="AA142" s="56">
        <v>0</v>
      </c>
      <c r="AB142" s="56"/>
      <c r="AC142" s="69">
        <v>45913</v>
      </c>
      <c r="AD142" s="70">
        <v>0.72222222222222221</v>
      </c>
      <c r="AE142" s="71" t="s">
        <v>1321</v>
      </c>
      <c r="AF142" s="58">
        <v>45918</v>
      </c>
      <c r="AG142" s="59">
        <v>0.44097222222222221</v>
      </c>
      <c r="AH142" s="56" t="s">
        <v>2139</v>
      </c>
      <c r="AI142" s="56" t="s">
        <v>5437</v>
      </c>
      <c r="AJ142" s="56" t="s">
        <v>64</v>
      </c>
      <c r="AK142" s="74" t="s">
        <v>64</v>
      </c>
      <c r="AL142" s="56" t="s">
        <v>5016</v>
      </c>
      <c r="AM142" s="56" t="s">
        <v>65</v>
      </c>
      <c r="AN142" s="60" t="s">
        <v>5511</v>
      </c>
      <c r="AO142" s="60"/>
      <c r="AP142" s="61"/>
    </row>
    <row r="143" spans="3:42" ht="14.25" customHeight="1">
      <c r="C143" s="55">
        <f>IF($X143=1,COUNTIF($C$10:C142,"&gt;0")+1,"")</f>
        <v>69</v>
      </c>
      <c r="D143" s="56">
        <v>70160969</v>
      </c>
      <c r="E143" s="56" t="s">
        <v>5515</v>
      </c>
      <c r="F143" s="57" t="s">
        <v>5516</v>
      </c>
      <c r="G143" s="56" t="s">
        <v>5516</v>
      </c>
      <c r="H143" s="56" t="s">
        <v>5517</v>
      </c>
      <c r="I143" s="56" t="s">
        <v>1436</v>
      </c>
      <c r="J143" s="56" t="s">
        <v>68</v>
      </c>
      <c r="K143" s="56" t="s">
        <v>369</v>
      </c>
      <c r="L143" s="58">
        <v>32034</v>
      </c>
      <c r="M143" s="56">
        <v>38</v>
      </c>
      <c r="N143" s="56" t="s">
        <v>5518</v>
      </c>
      <c r="O143" s="58">
        <v>48379</v>
      </c>
      <c r="P143" s="56" t="s">
        <v>4</v>
      </c>
      <c r="Q143" s="56"/>
      <c r="R143" s="270">
        <v>45913</v>
      </c>
      <c r="S143" s="270">
        <v>45918</v>
      </c>
      <c r="T143" s="51">
        <f t="shared" si="2"/>
        <v>5</v>
      </c>
      <c r="U143" s="56">
        <v>1</v>
      </c>
      <c r="V143" s="56">
        <v>1</v>
      </c>
      <c r="W143" s="56">
        <v>0</v>
      </c>
      <c r="X143" s="56">
        <v>1</v>
      </c>
      <c r="Y143" s="56">
        <v>0</v>
      </c>
      <c r="Z143" s="56">
        <v>1</v>
      </c>
      <c r="AA143" s="56">
        <v>0</v>
      </c>
      <c r="AB143" s="56"/>
      <c r="AC143" s="58">
        <v>45913</v>
      </c>
      <c r="AD143" s="59">
        <v>0.65277777778101154</v>
      </c>
      <c r="AE143" s="56" t="s">
        <v>5448</v>
      </c>
      <c r="AF143" s="58">
        <v>45917</v>
      </c>
      <c r="AG143" s="59">
        <v>0.77777777778101154</v>
      </c>
      <c r="AH143" s="56" t="s">
        <v>330</v>
      </c>
      <c r="AI143" s="56" t="s">
        <v>5519</v>
      </c>
      <c r="AJ143" s="56" t="s">
        <v>64</v>
      </c>
      <c r="AK143" s="56" t="s">
        <v>64</v>
      </c>
      <c r="AL143" s="56" t="s">
        <v>5016</v>
      </c>
      <c r="AM143" s="56" t="s">
        <v>65</v>
      </c>
      <c r="AN143" s="60"/>
      <c r="AO143" s="60"/>
      <c r="AP143" s="61"/>
    </row>
    <row r="144" spans="3:42" ht="14.25" customHeight="1">
      <c r="C144" s="55" t="str">
        <f>IF($X144=1,COUNTIF($C$10:C143,"&gt;0")+1,"")</f>
        <v/>
      </c>
      <c r="D144" s="56">
        <v>70160969</v>
      </c>
      <c r="E144" s="56" t="s">
        <v>5515</v>
      </c>
      <c r="F144" s="57" t="s">
        <v>5520</v>
      </c>
      <c r="G144" s="56" t="s">
        <v>5516</v>
      </c>
      <c r="H144" s="56" t="s">
        <v>2987</v>
      </c>
      <c r="I144" s="56" t="s">
        <v>1634</v>
      </c>
      <c r="J144" s="56" t="s">
        <v>58</v>
      </c>
      <c r="K144" s="56" t="s">
        <v>59</v>
      </c>
      <c r="L144" s="58">
        <v>30164</v>
      </c>
      <c r="M144" s="56">
        <v>43</v>
      </c>
      <c r="N144" s="56" t="s">
        <v>5521</v>
      </c>
      <c r="O144" s="58">
        <v>49006</v>
      </c>
      <c r="P144" s="56" t="s">
        <v>4</v>
      </c>
      <c r="Q144" s="56"/>
      <c r="R144" s="270">
        <v>45913</v>
      </c>
      <c r="S144" s="270">
        <v>45918</v>
      </c>
      <c r="T144" s="51">
        <f t="shared" si="2"/>
        <v>5</v>
      </c>
      <c r="U144" s="56">
        <v>1</v>
      </c>
      <c r="V144" s="56">
        <v>1</v>
      </c>
      <c r="W144" s="56">
        <v>0</v>
      </c>
      <c r="X144" s="56">
        <v>0</v>
      </c>
      <c r="Y144" s="56">
        <v>0</v>
      </c>
      <c r="Z144" s="56">
        <v>0</v>
      </c>
      <c r="AA144" s="56">
        <v>0</v>
      </c>
      <c r="AB144" s="56"/>
      <c r="AC144" s="58">
        <v>45913</v>
      </c>
      <c r="AD144" s="59">
        <v>0.65277777778101154</v>
      </c>
      <c r="AE144" s="56" t="s">
        <v>5448</v>
      </c>
      <c r="AF144" s="58">
        <v>45917</v>
      </c>
      <c r="AG144" s="59">
        <v>0.77777777778101154</v>
      </c>
      <c r="AH144" s="56" t="s">
        <v>330</v>
      </c>
      <c r="AI144" s="56" t="s">
        <v>5519</v>
      </c>
      <c r="AJ144" s="56" t="s">
        <v>64</v>
      </c>
      <c r="AK144" s="56" t="s">
        <v>64</v>
      </c>
      <c r="AL144" s="56" t="s">
        <v>5016</v>
      </c>
      <c r="AM144" s="56" t="s">
        <v>65</v>
      </c>
      <c r="AN144" s="60"/>
      <c r="AO144" s="60"/>
      <c r="AP144" s="61"/>
    </row>
    <row r="145" spans="3:43" ht="14.25" customHeight="1">
      <c r="C145" s="55">
        <f>IF($X145=1,COUNTIF($C$10:C144,"&gt;0")+1,"")</f>
        <v>70</v>
      </c>
      <c r="D145" s="56">
        <v>82290421</v>
      </c>
      <c r="E145" s="56" t="s">
        <v>5515</v>
      </c>
      <c r="F145" s="57" t="s">
        <v>5522</v>
      </c>
      <c r="G145" s="56" t="s">
        <v>5522</v>
      </c>
      <c r="H145" s="56" t="s">
        <v>5523</v>
      </c>
      <c r="I145" s="56" t="s">
        <v>88</v>
      </c>
      <c r="J145" s="56" t="s">
        <v>58</v>
      </c>
      <c r="K145" s="56" t="s">
        <v>369</v>
      </c>
      <c r="L145" s="58">
        <v>30728</v>
      </c>
      <c r="M145" s="56">
        <v>41</v>
      </c>
      <c r="N145" s="56" t="s">
        <v>5524</v>
      </c>
      <c r="O145" s="58">
        <v>46054</v>
      </c>
      <c r="P145" s="56" t="s">
        <v>4</v>
      </c>
      <c r="Q145" s="56"/>
      <c r="R145" s="270">
        <v>45913</v>
      </c>
      <c r="S145" s="270">
        <v>45918</v>
      </c>
      <c r="T145" s="51">
        <f t="shared" si="2"/>
        <v>5</v>
      </c>
      <c r="U145" s="56">
        <v>1</v>
      </c>
      <c r="V145" s="56">
        <v>1</v>
      </c>
      <c r="W145" s="56">
        <v>0</v>
      </c>
      <c r="X145" s="56">
        <v>1</v>
      </c>
      <c r="Y145" s="56">
        <v>0</v>
      </c>
      <c r="Z145" s="56">
        <v>1</v>
      </c>
      <c r="AA145" s="56">
        <v>0</v>
      </c>
      <c r="AB145" s="56"/>
      <c r="AC145" s="58">
        <v>45913</v>
      </c>
      <c r="AD145" s="59">
        <v>0.61805555555474712</v>
      </c>
      <c r="AE145" s="56" t="s">
        <v>5525</v>
      </c>
      <c r="AF145" s="58">
        <v>45918</v>
      </c>
      <c r="AG145" s="59">
        <v>0.34722222221898846</v>
      </c>
      <c r="AH145" s="56" t="s">
        <v>5449</v>
      </c>
      <c r="AI145" s="56" t="s">
        <v>5519</v>
      </c>
      <c r="AJ145" s="56" t="s">
        <v>598</v>
      </c>
      <c r="AK145" s="56" t="s">
        <v>64</v>
      </c>
      <c r="AL145" s="56" t="s">
        <v>5016</v>
      </c>
      <c r="AM145" s="56" t="s">
        <v>65</v>
      </c>
      <c r="AN145" s="60" t="s">
        <v>5017</v>
      </c>
      <c r="AO145" s="60"/>
      <c r="AP145" s="61"/>
    </row>
    <row r="146" spans="3:43" ht="14.25" customHeight="1">
      <c r="C146" s="55" t="str">
        <f>IF($X146=1,COUNTIF($C$10:C145,"&gt;0")+1,"")</f>
        <v/>
      </c>
      <c r="D146" s="56">
        <v>82290421</v>
      </c>
      <c r="E146" s="56" t="s">
        <v>5515</v>
      </c>
      <c r="F146" s="57" t="s">
        <v>5526</v>
      </c>
      <c r="G146" s="56" t="s">
        <v>5522</v>
      </c>
      <c r="H146" s="56" t="s">
        <v>5527</v>
      </c>
      <c r="I146" s="56" t="s">
        <v>349</v>
      </c>
      <c r="J146" s="56" t="s">
        <v>68</v>
      </c>
      <c r="K146" s="56" t="s">
        <v>369</v>
      </c>
      <c r="L146" s="58">
        <v>32239</v>
      </c>
      <c r="M146" s="56">
        <v>37</v>
      </c>
      <c r="N146" s="56" t="s">
        <v>5528</v>
      </c>
      <c r="O146" s="58">
        <v>46858</v>
      </c>
      <c r="P146" s="56" t="s">
        <v>4</v>
      </c>
      <c r="Q146" s="56"/>
      <c r="R146" s="270">
        <v>45913</v>
      </c>
      <c r="S146" s="270">
        <v>45918</v>
      </c>
      <c r="T146" s="51">
        <f t="shared" si="2"/>
        <v>5</v>
      </c>
      <c r="U146" s="56">
        <v>1</v>
      </c>
      <c r="V146" s="56">
        <v>1</v>
      </c>
      <c r="W146" s="56">
        <v>0</v>
      </c>
      <c r="X146" s="56">
        <v>0</v>
      </c>
      <c r="Y146" s="56">
        <v>0</v>
      </c>
      <c r="Z146" s="56">
        <v>0</v>
      </c>
      <c r="AA146" s="56">
        <v>0</v>
      </c>
      <c r="AB146" s="56"/>
      <c r="AC146" s="58">
        <v>45913</v>
      </c>
      <c r="AD146" s="59">
        <v>0.61805555555474712</v>
      </c>
      <c r="AE146" s="56" t="s">
        <v>5525</v>
      </c>
      <c r="AF146" s="58">
        <v>45918</v>
      </c>
      <c r="AG146" s="59">
        <v>0.34722222221898846</v>
      </c>
      <c r="AH146" s="56" t="s">
        <v>5449</v>
      </c>
      <c r="AI146" s="56" t="s">
        <v>5519</v>
      </c>
      <c r="AJ146" s="56" t="s">
        <v>64</v>
      </c>
      <c r="AK146" s="56" t="s">
        <v>64</v>
      </c>
      <c r="AL146" s="56" t="s">
        <v>5016</v>
      </c>
      <c r="AM146" s="56" t="s">
        <v>65</v>
      </c>
      <c r="AN146" s="60" t="s">
        <v>5017</v>
      </c>
      <c r="AO146" s="60"/>
      <c r="AP146" s="61"/>
    </row>
    <row r="147" spans="3:43" ht="14.25" customHeight="1">
      <c r="C147" s="55">
        <f>IF($X147=1,COUNTIF($C$10:C146,"&gt;0")+1,"")</f>
        <v>71</v>
      </c>
      <c r="D147" s="56">
        <v>70160984</v>
      </c>
      <c r="E147" s="56" t="s">
        <v>5515</v>
      </c>
      <c r="F147" s="57" t="s">
        <v>5529</v>
      </c>
      <c r="G147" s="56" t="s">
        <v>5529</v>
      </c>
      <c r="H147" s="56" t="s">
        <v>5530</v>
      </c>
      <c r="I147" s="56" t="s">
        <v>5531</v>
      </c>
      <c r="J147" s="56" t="s">
        <v>68</v>
      </c>
      <c r="K147" s="56" t="s">
        <v>59</v>
      </c>
      <c r="L147" s="58">
        <v>30319</v>
      </c>
      <c r="M147" s="56">
        <v>42</v>
      </c>
      <c r="N147" s="56" t="s">
        <v>5532</v>
      </c>
      <c r="O147" s="58">
        <v>48651</v>
      </c>
      <c r="P147" s="56" t="s">
        <v>4</v>
      </c>
      <c r="Q147" s="56"/>
      <c r="R147" s="270">
        <v>45913</v>
      </c>
      <c r="S147" s="270">
        <v>45918</v>
      </c>
      <c r="T147" s="51">
        <f t="shared" si="2"/>
        <v>5</v>
      </c>
      <c r="U147" s="56">
        <v>1</v>
      </c>
      <c r="V147" s="56">
        <v>1</v>
      </c>
      <c r="W147" s="56">
        <v>0</v>
      </c>
      <c r="X147" s="56">
        <v>1</v>
      </c>
      <c r="Y147" s="56">
        <v>0</v>
      </c>
      <c r="Z147" s="56">
        <v>1</v>
      </c>
      <c r="AA147" s="56">
        <v>0</v>
      </c>
      <c r="AB147" s="56"/>
      <c r="AC147" s="58">
        <v>45913</v>
      </c>
      <c r="AD147" s="59">
        <v>0.61805555555474712</v>
      </c>
      <c r="AE147" s="56" t="s">
        <v>5525</v>
      </c>
      <c r="AF147" s="58">
        <v>45918</v>
      </c>
      <c r="AG147" s="59">
        <v>0.34722222221898846</v>
      </c>
      <c r="AH147" s="56" t="s">
        <v>5449</v>
      </c>
      <c r="AI147" s="56" t="s">
        <v>5519</v>
      </c>
      <c r="AJ147" s="56" t="s">
        <v>64</v>
      </c>
      <c r="AK147" s="56" t="s">
        <v>64</v>
      </c>
      <c r="AL147" s="56" t="s">
        <v>5016</v>
      </c>
      <c r="AM147" s="56" t="s">
        <v>65</v>
      </c>
      <c r="AN147" s="60"/>
      <c r="AO147" s="60"/>
      <c r="AP147" s="61"/>
    </row>
    <row r="148" spans="3:43" ht="14.25" customHeight="1">
      <c r="C148" s="55" t="str">
        <f>IF($X148=1,COUNTIF($C$10:C147,"&gt;0")+1,"")</f>
        <v/>
      </c>
      <c r="D148" s="56">
        <v>70160984</v>
      </c>
      <c r="E148" s="56" t="s">
        <v>5515</v>
      </c>
      <c r="F148" s="57" t="s">
        <v>5533</v>
      </c>
      <c r="G148" s="56" t="s">
        <v>5529</v>
      </c>
      <c r="H148" s="56" t="s">
        <v>5531</v>
      </c>
      <c r="I148" s="56" t="s">
        <v>88</v>
      </c>
      <c r="J148" s="56" t="s">
        <v>58</v>
      </c>
      <c r="K148" s="56" t="s">
        <v>64</v>
      </c>
      <c r="L148" s="58" t="s">
        <v>64</v>
      </c>
      <c r="M148" s="56" t="s">
        <v>64</v>
      </c>
      <c r="N148" s="56" t="s">
        <v>64</v>
      </c>
      <c r="O148" s="58" t="s">
        <v>64</v>
      </c>
      <c r="P148" s="56" t="s">
        <v>4</v>
      </c>
      <c r="Q148" s="56"/>
      <c r="R148" s="270">
        <v>45913</v>
      </c>
      <c r="S148" s="270">
        <v>45918</v>
      </c>
      <c r="T148" s="51">
        <f t="shared" si="2"/>
        <v>5</v>
      </c>
      <c r="U148" s="56">
        <v>1</v>
      </c>
      <c r="V148" s="56">
        <v>1</v>
      </c>
      <c r="W148" s="56">
        <v>0</v>
      </c>
      <c r="X148" s="56">
        <v>0</v>
      </c>
      <c r="Y148" s="56">
        <v>0</v>
      </c>
      <c r="Z148" s="56">
        <v>0</v>
      </c>
      <c r="AA148" s="56">
        <v>0</v>
      </c>
      <c r="AB148" s="56"/>
      <c r="AC148" s="58">
        <v>45913</v>
      </c>
      <c r="AD148" s="59">
        <v>0.61805555555474712</v>
      </c>
      <c r="AE148" s="56" t="s">
        <v>5525</v>
      </c>
      <c r="AF148" s="58">
        <v>45918</v>
      </c>
      <c r="AG148" s="59">
        <v>0.34722222221898846</v>
      </c>
      <c r="AH148" s="56" t="s">
        <v>5449</v>
      </c>
      <c r="AI148" s="56" t="s">
        <v>5519</v>
      </c>
      <c r="AJ148" s="56" t="s">
        <v>64</v>
      </c>
      <c r="AK148" s="56" t="s">
        <v>64</v>
      </c>
      <c r="AL148" s="56" t="s">
        <v>5016</v>
      </c>
      <c r="AM148" s="56" t="s">
        <v>65</v>
      </c>
      <c r="AN148" s="60"/>
      <c r="AO148" s="60"/>
      <c r="AP148" s="61"/>
    </row>
    <row r="149" spans="3:43" ht="14.25" customHeight="1">
      <c r="C149" s="55">
        <f>IF($X149=1,COUNTIF($C$10:C148,"&gt;0")+1,"")</f>
        <v>72</v>
      </c>
      <c r="D149" s="56">
        <v>70160973</v>
      </c>
      <c r="E149" s="56" t="s">
        <v>5515</v>
      </c>
      <c r="F149" s="57" t="s">
        <v>5534</v>
      </c>
      <c r="G149" s="56" t="s">
        <v>5534</v>
      </c>
      <c r="H149" s="56" t="s">
        <v>5535</v>
      </c>
      <c r="I149" s="56" t="s">
        <v>5279</v>
      </c>
      <c r="J149" s="56" t="s">
        <v>58</v>
      </c>
      <c r="K149" s="56" t="s">
        <v>369</v>
      </c>
      <c r="L149" s="58">
        <v>25255</v>
      </c>
      <c r="M149" s="56">
        <v>56</v>
      </c>
      <c r="N149" s="56" t="s">
        <v>5536</v>
      </c>
      <c r="O149" s="58">
        <v>48037</v>
      </c>
      <c r="P149" s="56" t="s">
        <v>4</v>
      </c>
      <c r="Q149" s="56"/>
      <c r="R149" s="270">
        <v>45913</v>
      </c>
      <c r="S149" s="270">
        <v>45918</v>
      </c>
      <c r="T149" s="51">
        <f t="shared" si="2"/>
        <v>5</v>
      </c>
      <c r="U149" s="56">
        <v>1</v>
      </c>
      <c r="V149" s="56">
        <v>1</v>
      </c>
      <c r="W149" s="56">
        <v>0</v>
      </c>
      <c r="X149" s="56">
        <v>1</v>
      </c>
      <c r="Y149" s="56">
        <v>0</v>
      </c>
      <c r="Z149" s="56">
        <v>1</v>
      </c>
      <c r="AA149" s="56">
        <v>0</v>
      </c>
      <c r="AB149" s="56"/>
      <c r="AC149" s="58">
        <v>45913</v>
      </c>
      <c r="AD149" s="59">
        <v>0.65277777778101154</v>
      </c>
      <c r="AE149" s="56" t="s">
        <v>5448</v>
      </c>
      <c r="AF149" s="58">
        <v>45918</v>
      </c>
      <c r="AG149" s="59">
        <v>0.53472222221898846</v>
      </c>
      <c r="AH149" s="56" t="s">
        <v>1599</v>
      </c>
      <c r="AI149" s="56" t="s">
        <v>5519</v>
      </c>
      <c r="AJ149" s="56" t="s">
        <v>64</v>
      </c>
      <c r="AK149" s="56" t="s">
        <v>64</v>
      </c>
      <c r="AL149" s="56" t="s">
        <v>5016</v>
      </c>
      <c r="AM149" s="56" t="s">
        <v>65</v>
      </c>
      <c r="AN149" s="60"/>
      <c r="AO149" s="60"/>
      <c r="AP149" s="61"/>
    </row>
    <row r="150" spans="3:43" ht="14.25" customHeight="1">
      <c r="C150" s="55" t="str">
        <f>IF($X150=1,COUNTIF($C$10:C149,"&gt;0")+1,"")</f>
        <v/>
      </c>
      <c r="D150" s="56">
        <v>70160973</v>
      </c>
      <c r="E150" s="56" t="s">
        <v>5515</v>
      </c>
      <c r="F150" s="57" t="s">
        <v>5537</v>
      </c>
      <c r="G150" s="56" t="s">
        <v>5534</v>
      </c>
      <c r="H150" s="56" t="s">
        <v>5538</v>
      </c>
      <c r="I150" s="56" t="s">
        <v>5309</v>
      </c>
      <c r="J150" s="56" t="s">
        <v>68</v>
      </c>
      <c r="K150" s="56" t="s">
        <v>64</v>
      </c>
      <c r="L150" s="58" t="s">
        <v>64</v>
      </c>
      <c r="M150" s="56" t="s">
        <v>64</v>
      </c>
      <c r="N150" s="56" t="s">
        <v>64</v>
      </c>
      <c r="O150" s="58" t="s">
        <v>64</v>
      </c>
      <c r="P150" s="56" t="s">
        <v>4</v>
      </c>
      <c r="Q150" s="56"/>
      <c r="R150" s="270">
        <v>45913</v>
      </c>
      <c r="S150" s="270">
        <v>45918</v>
      </c>
      <c r="T150" s="51">
        <f t="shared" si="2"/>
        <v>5</v>
      </c>
      <c r="U150" s="56">
        <v>1</v>
      </c>
      <c r="V150" s="56">
        <v>1</v>
      </c>
      <c r="W150" s="56">
        <v>0</v>
      </c>
      <c r="X150" s="56">
        <v>0</v>
      </c>
      <c r="Y150" s="56">
        <v>0</v>
      </c>
      <c r="Z150" s="56">
        <v>0</v>
      </c>
      <c r="AA150" s="56">
        <v>0</v>
      </c>
      <c r="AB150" s="56"/>
      <c r="AC150" s="58">
        <v>45913</v>
      </c>
      <c r="AD150" s="59">
        <v>0.65277777778101154</v>
      </c>
      <c r="AE150" s="56" t="s">
        <v>5448</v>
      </c>
      <c r="AF150" s="58">
        <v>45918</v>
      </c>
      <c r="AG150" s="59">
        <v>0.53472222221898846</v>
      </c>
      <c r="AH150" s="56" t="s">
        <v>1599</v>
      </c>
      <c r="AI150" s="56" t="s">
        <v>5519</v>
      </c>
      <c r="AJ150" s="56" t="s">
        <v>64</v>
      </c>
      <c r="AK150" s="56" t="s">
        <v>64</v>
      </c>
      <c r="AL150" s="56" t="s">
        <v>5016</v>
      </c>
      <c r="AM150" s="56" t="s">
        <v>65</v>
      </c>
      <c r="AN150" s="60"/>
      <c r="AO150" s="60"/>
      <c r="AP150" s="61"/>
    </row>
    <row r="151" spans="3:43" ht="14.25" customHeight="1">
      <c r="C151" s="55">
        <f>IF($X151=1,COUNTIF($C$10:C150,"&gt;0")+1,"")</f>
        <v>73</v>
      </c>
      <c r="D151" s="56">
        <v>70508959</v>
      </c>
      <c r="E151" s="56" t="s">
        <v>5539</v>
      </c>
      <c r="F151" s="57" t="s">
        <v>5540</v>
      </c>
      <c r="G151" s="56" t="s">
        <v>5540</v>
      </c>
      <c r="H151" s="56" t="s">
        <v>5541</v>
      </c>
      <c r="I151" s="56" t="s">
        <v>5542</v>
      </c>
      <c r="J151" s="56" t="s">
        <v>68</v>
      </c>
      <c r="K151" s="56" t="s">
        <v>59</v>
      </c>
      <c r="L151" s="58">
        <v>26855</v>
      </c>
      <c r="M151" s="56">
        <v>52</v>
      </c>
      <c r="N151" s="56" t="s">
        <v>5543</v>
      </c>
      <c r="O151" s="58">
        <v>48533</v>
      </c>
      <c r="P151" s="56" t="s">
        <v>4</v>
      </c>
      <c r="Q151" s="56"/>
      <c r="R151" s="270">
        <v>45913</v>
      </c>
      <c r="S151" s="270">
        <v>45918</v>
      </c>
      <c r="T151" s="51">
        <f t="shared" si="2"/>
        <v>5</v>
      </c>
      <c r="U151" s="56">
        <v>1</v>
      </c>
      <c r="V151" s="56">
        <v>1</v>
      </c>
      <c r="W151" s="56">
        <v>0</v>
      </c>
      <c r="X151" s="56">
        <v>1</v>
      </c>
      <c r="Y151" s="56">
        <v>0</v>
      </c>
      <c r="Z151" s="56">
        <v>1</v>
      </c>
      <c r="AA151" s="56">
        <v>0</v>
      </c>
      <c r="AB151" s="56"/>
      <c r="AC151" s="58">
        <v>45913</v>
      </c>
      <c r="AD151" s="59">
        <v>0.63888888889050577</v>
      </c>
      <c r="AE151" s="56" t="s">
        <v>84</v>
      </c>
      <c r="AF151" s="58">
        <v>45918</v>
      </c>
      <c r="AG151" s="59">
        <v>0.81944444444525288</v>
      </c>
      <c r="AH151" s="56" t="s">
        <v>770</v>
      </c>
      <c r="AI151" s="56" t="s">
        <v>5544</v>
      </c>
      <c r="AJ151" s="56" t="s">
        <v>64</v>
      </c>
      <c r="AK151" s="56" t="s">
        <v>64</v>
      </c>
      <c r="AL151" s="56" t="s">
        <v>5016</v>
      </c>
      <c r="AM151" s="56" t="s">
        <v>65</v>
      </c>
      <c r="AN151" s="60" t="s">
        <v>5017</v>
      </c>
      <c r="AO151" s="60"/>
      <c r="AP151" s="61"/>
    </row>
    <row r="152" spans="3:43" ht="14.25" customHeight="1">
      <c r="C152" s="55" t="str">
        <f>IF($X152=1,COUNTIF($C$10:C151,"&gt;0")+1,"")</f>
        <v/>
      </c>
      <c r="D152" s="56">
        <v>70508959</v>
      </c>
      <c r="E152" s="56" t="s">
        <v>5539</v>
      </c>
      <c r="F152" s="57" t="s">
        <v>5545</v>
      </c>
      <c r="G152" s="56" t="s">
        <v>5540</v>
      </c>
      <c r="H152" s="56" t="s">
        <v>5546</v>
      </c>
      <c r="I152" s="56" t="s">
        <v>5547</v>
      </c>
      <c r="J152" s="56" t="s">
        <v>58</v>
      </c>
      <c r="K152" s="56" t="s">
        <v>59</v>
      </c>
      <c r="L152" s="58">
        <v>30235</v>
      </c>
      <c r="M152" s="56">
        <v>42</v>
      </c>
      <c r="N152" s="56" t="s">
        <v>5548</v>
      </c>
      <c r="O152" s="58">
        <v>48507</v>
      </c>
      <c r="P152" s="56" t="s">
        <v>4</v>
      </c>
      <c r="Q152" s="56"/>
      <c r="R152" s="270">
        <v>45913</v>
      </c>
      <c r="S152" s="270">
        <v>45918</v>
      </c>
      <c r="T152" s="51">
        <f t="shared" si="2"/>
        <v>5</v>
      </c>
      <c r="U152" s="56">
        <v>1</v>
      </c>
      <c r="V152" s="56">
        <v>1</v>
      </c>
      <c r="W152" s="56">
        <v>0</v>
      </c>
      <c r="X152" s="56">
        <v>0</v>
      </c>
      <c r="Y152" s="56">
        <v>0</v>
      </c>
      <c r="Z152" s="56">
        <v>0</v>
      </c>
      <c r="AA152" s="56">
        <v>0</v>
      </c>
      <c r="AB152" s="56"/>
      <c r="AC152" s="58">
        <v>45913</v>
      </c>
      <c r="AD152" s="59">
        <v>0.63888888889050577</v>
      </c>
      <c r="AE152" s="56" t="s">
        <v>84</v>
      </c>
      <c r="AF152" s="58">
        <v>45918</v>
      </c>
      <c r="AG152" s="59">
        <v>0.81944444444525288</v>
      </c>
      <c r="AH152" s="56" t="s">
        <v>770</v>
      </c>
      <c r="AI152" s="56" t="s">
        <v>5544</v>
      </c>
      <c r="AJ152" s="56" t="s">
        <v>64</v>
      </c>
      <c r="AK152" s="56" t="s">
        <v>64</v>
      </c>
      <c r="AL152" s="56" t="s">
        <v>5016</v>
      </c>
      <c r="AM152" s="56" t="s">
        <v>65</v>
      </c>
      <c r="AN152" s="60" t="s">
        <v>5017</v>
      </c>
      <c r="AO152" s="60"/>
      <c r="AP152" s="61"/>
    </row>
    <row r="153" spans="3:43" ht="14.25" customHeight="1">
      <c r="C153" s="55" t="str">
        <f>IF($X153=1,COUNTIF($C$10:C152,"&gt;0")+1,"")</f>
        <v/>
      </c>
      <c r="D153" s="56">
        <v>70508959</v>
      </c>
      <c r="E153" s="56" t="s">
        <v>5539</v>
      </c>
      <c r="F153" s="57" t="s">
        <v>5549</v>
      </c>
      <c r="G153" s="56" t="s">
        <v>5540</v>
      </c>
      <c r="H153" s="56" t="s">
        <v>5550</v>
      </c>
      <c r="I153" s="56" t="s">
        <v>5547</v>
      </c>
      <c r="J153" s="56" t="s">
        <v>68</v>
      </c>
      <c r="K153" s="56" t="s">
        <v>59</v>
      </c>
      <c r="L153" s="58">
        <v>42359</v>
      </c>
      <c r="M153" s="56">
        <v>9</v>
      </c>
      <c r="N153" s="56" t="s">
        <v>5551</v>
      </c>
      <c r="O153" s="58">
        <v>46706</v>
      </c>
      <c r="P153" s="56" t="s">
        <v>4</v>
      </c>
      <c r="Q153" s="56"/>
      <c r="R153" s="270">
        <v>45913</v>
      </c>
      <c r="S153" s="270">
        <v>45918</v>
      </c>
      <c r="T153" s="51">
        <f t="shared" si="2"/>
        <v>5</v>
      </c>
      <c r="U153" s="56">
        <v>1</v>
      </c>
      <c r="V153" s="56">
        <v>0</v>
      </c>
      <c r="W153" s="56">
        <v>1</v>
      </c>
      <c r="X153" s="56">
        <v>0</v>
      </c>
      <c r="Y153" s="56">
        <v>0</v>
      </c>
      <c r="Z153" s="56">
        <v>0</v>
      </c>
      <c r="AA153" s="56">
        <v>0</v>
      </c>
      <c r="AB153" s="56"/>
      <c r="AC153" s="58">
        <v>45913</v>
      </c>
      <c r="AD153" s="59">
        <v>0.63888888889050577</v>
      </c>
      <c r="AE153" s="56" t="s">
        <v>84</v>
      </c>
      <c r="AF153" s="58">
        <v>45918</v>
      </c>
      <c r="AG153" s="59">
        <v>0.81944444444525288</v>
      </c>
      <c r="AH153" s="56" t="s">
        <v>770</v>
      </c>
      <c r="AI153" s="56" t="s">
        <v>5544</v>
      </c>
      <c r="AJ153" s="56" t="s">
        <v>64</v>
      </c>
      <c r="AK153" s="56" t="s">
        <v>64</v>
      </c>
      <c r="AL153" s="56" t="s">
        <v>5016</v>
      </c>
      <c r="AM153" s="56" t="s">
        <v>65</v>
      </c>
      <c r="AN153" s="60" t="s">
        <v>5017</v>
      </c>
      <c r="AO153" s="60"/>
      <c r="AP153" s="61"/>
    </row>
    <row r="154" spans="3:43" ht="14.25" customHeight="1">
      <c r="C154" s="55">
        <f>IF($X154=1,COUNTIF($C$10:C153,"&gt;0")+1,"")</f>
        <v>74</v>
      </c>
      <c r="D154" s="56">
        <v>70054443</v>
      </c>
      <c r="E154" s="56" t="s">
        <v>5539</v>
      </c>
      <c r="F154" s="57" t="s">
        <v>5552</v>
      </c>
      <c r="G154" s="56" t="s">
        <v>5552</v>
      </c>
      <c r="H154" s="56" t="s">
        <v>5553</v>
      </c>
      <c r="I154" s="56" t="s">
        <v>5554</v>
      </c>
      <c r="J154" s="56" t="s">
        <v>68</v>
      </c>
      <c r="K154" s="56" t="s">
        <v>59</v>
      </c>
      <c r="L154" s="58">
        <v>21212</v>
      </c>
      <c r="M154" s="56">
        <v>67</v>
      </c>
      <c r="N154" s="56" t="s">
        <v>5555</v>
      </c>
      <c r="O154" s="58">
        <v>49402</v>
      </c>
      <c r="P154" s="56" t="s">
        <v>3</v>
      </c>
      <c r="Q154" s="56"/>
      <c r="R154" s="270">
        <v>45913</v>
      </c>
      <c r="S154" s="270">
        <v>45918</v>
      </c>
      <c r="T154" s="51">
        <f t="shared" si="2"/>
        <v>5</v>
      </c>
      <c r="U154" s="56">
        <v>1</v>
      </c>
      <c r="V154" s="56">
        <v>1</v>
      </c>
      <c r="W154" s="56">
        <v>0</v>
      </c>
      <c r="X154" s="56">
        <v>1</v>
      </c>
      <c r="Y154" s="56">
        <v>1</v>
      </c>
      <c r="Z154" s="56">
        <v>0</v>
      </c>
      <c r="AA154" s="56">
        <v>0</v>
      </c>
      <c r="AB154" s="56"/>
      <c r="AC154" s="58">
        <v>45913</v>
      </c>
      <c r="AD154" s="59">
        <v>0.63888888889050577</v>
      </c>
      <c r="AE154" s="56" t="s">
        <v>84</v>
      </c>
      <c r="AF154" s="58">
        <v>45918</v>
      </c>
      <c r="AG154" s="59">
        <v>0.81944444444525288</v>
      </c>
      <c r="AH154" s="56" t="s">
        <v>770</v>
      </c>
      <c r="AI154" s="56" t="s">
        <v>5544</v>
      </c>
      <c r="AJ154" s="56" t="s">
        <v>64</v>
      </c>
      <c r="AK154" s="56" t="s">
        <v>64</v>
      </c>
      <c r="AL154" s="56" t="s">
        <v>5016</v>
      </c>
      <c r="AM154" s="56" t="s">
        <v>65</v>
      </c>
      <c r="AN154" s="60" t="s">
        <v>5040</v>
      </c>
      <c r="AO154" s="60"/>
      <c r="AP154" s="61"/>
    </row>
    <row r="155" spans="3:43" ht="14.25" customHeight="1">
      <c r="C155" s="55">
        <f>IF($X155=1,COUNTIF($C$10:C154,"&gt;0")+1,"")</f>
        <v>75</v>
      </c>
      <c r="D155" s="56">
        <v>70161003</v>
      </c>
      <c r="E155" s="56" t="s">
        <v>5539</v>
      </c>
      <c r="F155" s="57" t="s">
        <v>5556</v>
      </c>
      <c r="G155" s="56" t="s">
        <v>5556</v>
      </c>
      <c r="H155" s="56" t="s">
        <v>5557</v>
      </c>
      <c r="I155" s="56" t="s">
        <v>5558</v>
      </c>
      <c r="J155" s="56" t="s">
        <v>58</v>
      </c>
      <c r="K155" s="56" t="s">
        <v>59</v>
      </c>
      <c r="L155" s="58">
        <v>31321</v>
      </c>
      <c r="M155" s="56">
        <v>39</v>
      </c>
      <c r="N155" s="56" t="s">
        <v>5559</v>
      </c>
      <c r="O155" s="58">
        <v>48370</v>
      </c>
      <c r="P155" s="56" t="s">
        <v>4</v>
      </c>
      <c r="Q155" s="56"/>
      <c r="R155" s="270">
        <v>45913</v>
      </c>
      <c r="S155" s="270">
        <v>45918</v>
      </c>
      <c r="T155" s="51">
        <f t="shared" si="2"/>
        <v>5</v>
      </c>
      <c r="U155" s="56">
        <v>1</v>
      </c>
      <c r="V155" s="56">
        <v>1</v>
      </c>
      <c r="W155" s="56">
        <v>0</v>
      </c>
      <c r="X155" s="56">
        <v>1</v>
      </c>
      <c r="Y155" s="56">
        <v>0</v>
      </c>
      <c r="Z155" s="56">
        <v>1</v>
      </c>
      <c r="AA155" s="56">
        <v>0</v>
      </c>
      <c r="AB155" s="56"/>
      <c r="AC155" s="58">
        <v>45913</v>
      </c>
      <c r="AD155" s="59">
        <v>0.63888888889050577</v>
      </c>
      <c r="AE155" s="56" t="s">
        <v>84</v>
      </c>
      <c r="AF155" s="58">
        <v>45918</v>
      </c>
      <c r="AG155" s="59">
        <v>0.81944444444525288</v>
      </c>
      <c r="AH155" s="56" t="s">
        <v>770</v>
      </c>
      <c r="AI155" s="56" t="s">
        <v>5544</v>
      </c>
      <c r="AJ155" s="56" t="s">
        <v>64</v>
      </c>
      <c r="AK155" s="56" t="s">
        <v>64</v>
      </c>
      <c r="AL155" s="56" t="s">
        <v>5016</v>
      </c>
      <c r="AM155" s="56" t="s">
        <v>65</v>
      </c>
      <c r="AN155" s="60"/>
      <c r="AO155" s="60"/>
      <c r="AP155" s="61"/>
    </row>
    <row r="156" spans="3:43" ht="14.25" customHeight="1">
      <c r="C156" s="55" t="str">
        <f>IF($X156=1,COUNTIF($C$10:C155,"&gt;0")+1,"")</f>
        <v/>
      </c>
      <c r="D156" s="56">
        <v>70161003</v>
      </c>
      <c r="E156" s="56" t="s">
        <v>5539</v>
      </c>
      <c r="F156" s="57" t="s">
        <v>5560</v>
      </c>
      <c r="G156" s="56" t="s">
        <v>5556</v>
      </c>
      <c r="H156" s="56" t="s">
        <v>5561</v>
      </c>
      <c r="I156" s="56" t="s">
        <v>5547</v>
      </c>
      <c r="J156" s="56" t="s">
        <v>58</v>
      </c>
      <c r="K156" s="56" t="s">
        <v>59</v>
      </c>
      <c r="L156" s="58">
        <v>41331</v>
      </c>
      <c r="M156" s="56">
        <v>12</v>
      </c>
      <c r="N156" s="56" t="s">
        <v>5562</v>
      </c>
      <c r="O156" s="58">
        <v>46706</v>
      </c>
      <c r="P156" s="56" t="s">
        <v>4</v>
      </c>
      <c r="Q156" s="56"/>
      <c r="R156" s="270">
        <v>45913</v>
      </c>
      <c r="S156" s="270">
        <v>45918</v>
      </c>
      <c r="T156" s="51">
        <f t="shared" si="2"/>
        <v>5</v>
      </c>
      <c r="U156" s="56">
        <v>1</v>
      </c>
      <c r="V156" s="56">
        <v>1</v>
      </c>
      <c r="W156" s="56">
        <v>0</v>
      </c>
      <c r="X156" s="56">
        <v>0</v>
      </c>
      <c r="Y156" s="56">
        <v>0</v>
      </c>
      <c r="Z156" s="56">
        <v>0</v>
      </c>
      <c r="AA156" s="56">
        <v>0</v>
      </c>
      <c r="AB156" s="56"/>
      <c r="AC156" s="58">
        <v>45913</v>
      </c>
      <c r="AD156" s="59">
        <v>0.63888888889050577</v>
      </c>
      <c r="AE156" s="56" t="s">
        <v>84</v>
      </c>
      <c r="AF156" s="58">
        <v>45918</v>
      </c>
      <c r="AG156" s="59">
        <v>0.81944444444525288</v>
      </c>
      <c r="AH156" s="56" t="s">
        <v>770</v>
      </c>
      <c r="AI156" s="56" t="s">
        <v>5544</v>
      </c>
      <c r="AJ156" s="56" t="s">
        <v>64</v>
      </c>
      <c r="AK156" s="56" t="s">
        <v>64</v>
      </c>
      <c r="AL156" s="56" t="s">
        <v>5016</v>
      </c>
      <c r="AM156" s="56" t="s">
        <v>65</v>
      </c>
      <c r="AN156" s="60"/>
      <c r="AO156" s="60"/>
      <c r="AP156" s="61"/>
    </row>
    <row r="157" spans="3:43" ht="14.25" customHeight="1">
      <c r="C157" s="55">
        <f>IF($X157=1,COUNTIF($C$10:C156,"&gt;0")+1,"")</f>
        <v>76</v>
      </c>
      <c r="D157" s="56">
        <v>70160997</v>
      </c>
      <c r="E157" s="56" t="s">
        <v>5539</v>
      </c>
      <c r="F157" s="57" t="s">
        <v>5563</v>
      </c>
      <c r="G157" s="56" t="s">
        <v>5563</v>
      </c>
      <c r="H157" s="56" t="s">
        <v>1266</v>
      </c>
      <c r="I157" s="56" t="s">
        <v>736</v>
      </c>
      <c r="J157" s="56" t="s">
        <v>68</v>
      </c>
      <c r="K157" s="56" t="s">
        <v>59</v>
      </c>
      <c r="L157" s="58">
        <v>24362</v>
      </c>
      <c r="M157" s="56">
        <v>59</v>
      </c>
      <c r="N157" s="56" t="s">
        <v>5564</v>
      </c>
      <c r="O157" s="58">
        <v>46421</v>
      </c>
      <c r="P157" s="56" t="s">
        <v>4</v>
      </c>
      <c r="Q157" s="56"/>
      <c r="R157" s="270">
        <v>45913</v>
      </c>
      <c r="S157" s="270">
        <v>45918</v>
      </c>
      <c r="T157" s="51">
        <f t="shared" si="2"/>
        <v>5</v>
      </c>
      <c r="U157" s="56">
        <v>1</v>
      </c>
      <c r="V157" s="56">
        <v>1</v>
      </c>
      <c r="W157" s="56">
        <v>0</v>
      </c>
      <c r="X157" s="56">
        <v>1</v>
      </c>
      <c r="Y157" s="56">
        <v>0</v>
      </c>
      <c r="Z157" s="56">
        <v>1</v>
      </c>
      <c r="AA157" s="56">
        <v>0</v>
      </c>
      <c r="AB157" s="56"/>
      <c r="AC157" s="58">
        <v>45913</v>
      </c>
      <c r="AD157" s="59">
        <v>0.45833333333575865</v>
      </c>
      <c r="AE157" s="56" t="s">
        <v>244</v>
      </c>
      <c r="AF157" s="58">
        <v>45921</v>
      </c>
      <c r="AG157" s="59">
        <v>0.5</v>
      </c>
      <c r="AH157" s="56" t="s">
        <v>2915</v>
      </c>
      <c r="AI157" s="56" t="s">
        <v>5544</v>
      </c>
      <c r="AJ157" s="56" t="s">
        <v>64</v>
      </c>
      <c r="AK157" s="56" t="s">
        <v>64</v>
      </c>
      <c r="AL157" s="56" t="s">
        <v>5016</v>
      </c>
      <c r="AM157" s="56" t="s">
        <v>65</v>
      </c>
      <c r="AN157" s="60"/>
      <c r="AO157" s="60"/>
      <c r="AP157" s="61"/>
    </row>
    <row r="158" spans="3:43" ht="14.25" customHeight="1">
      <c r="C158" s="55" t="str">
        <f>IF($X158=1,COUNTIF($C$10:C157,"&gt;0")+1,"")</f>
        <v/>
      </c>
      <c r="D158" s="56">
        <v>70160997</v>
      </c>
      <c r="E158" s="56" t="s">
        <v>5539</v>
      </c>
      <c r="F158" s="57" t="s">
        <v>5565</v>
      </c>
      <c r="G158" s="56" t="s">
        <v>5563</v>
      </c>
      <c r="H158" s="56" t="s">
        <v>5566</v>
      </c>
      <c r="I158" s="56" t="s">
        <v>736</v>
      </c>
      <c r="J158" s="56" t="s">
        <v>58</v>
      </c>
      <c r="K158" s="56" t="s">
        <v>59</v>
      </c>
      <c r="L158" s="58">
        <v>23384</v>
      </c>
      <c r="M158" s="56">
        <v>61</v>
      </c>
      <c r="N158" s="56" t="s">
        <v>5567</v>
      </c>
      <c r="O158" s="58">
        <v>46421</v>
      </c>
      <c r="P158" s="56" t="s">
        <v>4</v>
      </c>
      <c r="Q158" s="56"/>
      <c r="R158" s="270">
        <v>45913</v>
      </c>
      <c r="S158" s="270">
        <v>45918</v>
      </c>
      <c r="T158" s="51">
        <f t="shared" si="2"/>
        <v>5</v>
      </c>
      <c r="U158" s="56">
        <v>1</v>
      </c>
      <c r="V158" s="56">
        <v>1</v>
      </c>
      <c r="W158" s="56">
        <v>0</v>
      </c>
      <c r="X158" s="56">
        <v>0</v>
      </c>
      <c r="Y158" s="56">
        <v>0</v>
      </c>
      <c r="Z158" s="56">
        <v>0</v>
      </c>
      <c r="AA158" s="56">
        <v>0</v>
      </c>
      <c r="AB158" s="56"/>
      <c r="AC158" s="58">
        <v>45913</v>
      </c>
      <c r="AD158" s="59">
        <v>0.45833333333575865</v>
      </c>
      <c r="AE158" s="56" t="s">
        <v>244</v>
      </c>
      <c r="AF158" s="58">
        <v>45921</v>
      </c>
      <c r="AG158" s="59">
        <v>0.5</v>
      </c>
      <c r="AH158" s="56" t="s">
        <v>2915</v>
      </c>
      <c r="AI158" s="56" t="s">
        <v>5544</v>
      </c>
      <c r="AJ158" s="56" t="s">
        <v>64</v>
      </c>
      <c r="AK158" s="56" t="s">
        <v>64</v>
      </c>
      <c r="AL158" s="56" t="s">
        <v>5016</v>
      </c>
      <c r="AM158" s="56" t="s">
        <v>65</v>
      </c>
      <c r="AN158" s="60"/>
      <c r="AO158" s="60"/>
      <c r="AP158" s="61"/>
    </row>
    <row r="159" spans="3:43" ht="14.25" customHeight="1">
      <c r="C159" s="55">
        <f>IF($X159=1,COUNTIF($C$10:C158,"&gt;0")+1,"")</f>
        <v>77</v>
      </c>
      <c r="D159" s="56">
        <v>70054437</v>
      </c>
      <c r="E159" s="56" t="s">
        <v>5539</v>
      </c>
      <c r="F159" s="57" t="s">
        <v>5568</v>
      </c>
      <c r="G159" s="56" t="s">
        <v>5568</v>
      </c>
      <c r="H159" s="56" t="s">
        <v>5569</v>
      </c>
      <c r="I159" s="56" t="s">
        <v>5570</v>
      </c>
      <c r="J159" s="56" t="s">
        <v>58</v>
      </c>
      <c r="K159" s="56" t="s">
        <v>59</v>
      </c>
      <c r="L159" s="58">
        <v>21239</v>
      </c>
      <c r="M159" s="56">
        <v>67</v>
      </c>
      <c r="N159" s="56" t="s">
        <v>5571</v>
      </c>
      <c r="O159" s="58">
        <v>46868</v>
      </c>
      <c r="P159" s="56" t="s">
        <v>3</v>
      </c>
      <c r="Q159" s="56"/>
      <c r="R159" s="270">
        <v>45913</v>
      </c>
      <c r="S159" s="270">
        <v>45918</v>
      </c>
      <c r="T159" s="51">
        <f t="shared" si="2"/>
        <v>5</v>
      </c>
      <c r="U159" s="56">
        <v>1</v>
      </c>
      <c r="V159" s="56">
        <v>1</v>
      </c>
      <c r="W159" s="56">
        <v>0</v>
      </c>
      <c r="X159" s="56">
        <v>1</v>
      </c>
      <c r="Y159" s="56">
        <v>1</v>
      </c>
      <c r="Z159" s="56">
        <v>0</v>
      </c>
      <c r="AA159" s="56">
        <v>0</v>
      </c>
      <c r="AB159" s="56"/>
      <c r="AC159" s="58" t="s">
        <v>64</v>
      </c>
      <c r="AD159" s="59" t="s">
        <v>64</v>
      </c>
      <c r="AE159" s="56" t="s">
        <v>64</v>
      </c>
      <c r="AF159" s="58" t="s">
        <v>64</v>
      </c>
      <c r="AG159" s="59" t="s">
        <v>64</v>
      </c>
      <c r="AH159" s="56" t="s">
        <v>64</v>
      </c>
      <c r="AI159" s="56" t="s">
        <v>5544</v>
      </c>
      <c r="AJ159" s="56" t="s">
        <v>64</v>
      </c>
      <c r="AK159" s="56" t="s">
        <v>64</v>
      </c>
      <c r="AL159" s="56" t="s">
        <v>5016</v>
      </c>
      <c r="AM159" s="56" t="s">
        <v>65</v>
      </c>
      <c r="AN159" s="60" t="s">
        <v>5040</v>
      </c>
      <c r="AO159" s="60"/>
      <c r="AP159" s="61"/>
    </row>
    <row r="160" spans="3:43" ht="14.25" customHeight="1">
      <c r="C160" s="55">
        <f>IF($X160=1,COUNTIF($C$10:C159,"&gt;0")+1,"")</f>
        <v>78</v>
      </c>
      <c r="D160" s="56">
        <v>70499076</v>
      </c>
      <c r="E160" s="56" t="s">
        <v>5539</v>
      </c>
      <c r="F160" s="57" t="s">
        <v>5572</v>
      </c>
      <c r="G160" s="56" t="s">
        <v>5572</v>
      </c>
      <c r="H160" s="56" t="s">
        <v>5573</v>
      </c>
      <c r="I160" s="56" t="s">
        <v>5574</v>
      </c>
      <c r="J160" s="56" t="s">
        <v>68</v>
      </c>
      <c r="K160" s="56" t="s">
        <v>59</v>
      </c>
      <c r="L160" s="58">
        <v>23070</v>
      </c>
      <c r="M160" s="56">
        <v>62</v>
      </c>
      <c r="N160" s="56" t="s">
        <v>5575</v>
      </c>
      <c r="O160" s="58">
        <v>47013</v>
      </c>
      <c r="P160" s="56" t="s">
        <v>4</v>
      </c>
      <c r="Q160" s="56"/>
      <c r="R160" s="270">
        <v>45913</v>
      </c>
      <c r="S160" s="270">
        <v>45918</v>
      </c>
      <c r="T160" s="51">
        <f t="shared" si="2"/>
        <v>5</v>
      </c>
      <c r="U160" s="56">
        <v>1</v>
      </c>
      <c r="V160" s="56">
        <v>1</v>
      </c>
      <c r="W160" s="56">
        <v>0</v>
      </c>
      <c r="X160" s="56">
        <v>1</v>
      </c>
      <c r="Y160" s="56">
        <v>0</v>
      </c>
      <c r="Z160" s="56">
        <v>1</v>
      </c>
      <c r="AA160" s="56">
        <v>0</v>
      </c>
      <c r="AB160" s="56"/>
      <c r="AC160" s="58">
        <v>45912</v>
      </c>
      <c r="AD160" s="59">
        <v>0.625</v>
      </c>
      <c r="AE160" s="56" t="s">
        <v>74</v>
      </c>
      <c r="AF160" s="58">
        <v>45918</v>
      </c>
      <c r="AG160" s="59">
        <v>0.47916666666424135</v>
      </c>
      <c r="AH160" s="56" t="s">
        <v>189</v>
      </c>
      <c r="AI160" s="56" t="s">
        <v>5544</v>
      </c>
      <c r="AJ160" s="56" t="s">
        <v>64</v>
      </c>
      <c r="AK160" s="56" t="s">
        <v>64</v>
      </c>
      <c r="AL160" s="56" t="s">
        <v>5016</v>
      </c>
      <c r="AM160" s="56" t="s">
        <v>65</v>
      </c>
      <c r="AN160" s="60" t="s">
        <v>5017</v>
      </c>
      <c r="AO160" s="60"/>
      <c r="AP160" s="61"/>
      <c r="AQ160" s="271" t="s">
        <v>5064</v>
      </c>
    </row>
    <row r="161" spans="3:43" ht="14.25" customHeight="1">
      <c r="C161" s="55" t="str">
        <f>IF($X161=1,COUNTIF($C$10:C160,"&gt;0")+1,"")</f>
        <v/>
      </c>
      <c r="D161" s="56">
        <v>70499076</v>
      </c>
      <c r="E161" s="56" t="s">
        <v>5539</v>
      </c>
      <c r="F161" s="57" t="s">
        <v>5576</v>
      </c>
      <c r="G161" s="56" t="s">
        <v>5572</v>
      </c>
      <c r="H161" s="56" t="s">
        <v>5577</v>
      </c>
      <c r="I161" s="56" t="s">
        <v>5578</v>
      </c>
      <c r="J161" s="56" t="s">
        <v>68</v>
      </c>
      <c r="K161" s="56" t="s">
        <v>59</v>
      </c>
      <c r="L161" s="58">
        <v>20452</v>
      </c>
      <c r="M161" s="56">
        <v>69</v>
      </c>
      <c r="N161" s="56" t="s">
        <v>5579</v>
      </c>
      <c r="O161" s="58">
        <v>48750</v>
      </c>
      <c r="P161" s="56" t="s">
        <v>4</v>
      </c>
      <c r="Q161" s="56"/>
      <c r="R161" s="270">
        <v>45913</v>
      </c>
      <c r="S161" s="270">
        <v>45918</v>
      </c>
      <c r="T161" s="51">
        <f t="shared" si="2"/>
        <v>5</v>
      </c>
      <c r="U161" s="56">
        <v>1</v>
      </c>
      <c r="V161" s="56">
        <v>1</v>
      </c>
      <c r="W161" s="56">
        <v>0</v>
      </c>
      <c r="X161" s="56">
        <v>0</v>
      </c>
      <c r="Y161" s="56">
        <v>0</v>
      </c>
      <c r="Z161" s="56">
        <v>0</v>
      </c>
      <c r="AA161" s="56">
        <v>0</v>
      </c>
      <c r="AB161" s="56"/>
      <c r="AC161" s="58">
        <v>45912</v>
      </c>
      <c r="AD161" s="59">
        <v>0.625</v>
      </c>
      <c r="AE161" s="56" t="s">
        <v>74</v>
      </c>
      <c r="AF161" s="58">
        <v>45918</v>
      </c>
      <c r="AG161" s="59">
        <v>0.47916666666424135</v>
      </c>
      <c r="AH161" s="56" t="s">
        <v>189</v>
      </c>
      <c r="AI161" s="56" t="s">
        <v>5544</v>
      </c>
      <c r="AJ161" s="56" t="s">
        <v>64</v>
      </c>
      <c r="AK161" s="56" t="s">
        <v>64</v>
      </c>
      <c r="AL161" s="56" t="s">
        <v>5016</v>
      </c>
      <c r="AM161" s="56" t="s">
        <v>65</v>
      </c>
      <c r="AN161" s="60" t="s">
        <v>5017</v>
      </c>
      <c r="AO161" s="60"/>
      <c r="AP161" s="61"/>
      <c r="AQ161" s="271" t="s">
        <v>5064</v>
      </c>
    </row>
    <row r="162" spans="3:43" ht="14.25" customHeight="1">
      <c r="C162" s="55">
        <f>IF($X162=1,COUNTIF($C$10:C161,"&gt;0")+1,"")</f>
        <v>79</v>
      </c>
      <c r="D162" s="56">
        <v>70277591</v>
      </c>
      <c r="E162" s="56" t="s">
        <v>5539</v>
      </c>
      <c r="F162" s="57" t="s">
        <v>5580</v>
      </c>
      <c r="G162" s="56" t="s">
        <v>5580</v>
      </c>
      <c r="H162" s="56" t="s">
        <v>5581</v>
      </c>
      <c r="I162" s="56" t="s">
        <v>5582</v>
      </c>
      <c r="J162" s="56" t="s">
        <v>68</v>
      </c>
      <c r="K162" s="56" t="s">
        <v>59</v>
      </c>
      <c r="L162" s="58">
        <v>20768</v>
      </c>
      <c r="M162" s="56">
        <v>68</v>
      </c>
      <c r="N162" s="56" t="s">
        <v>64</v>
      </c>
      <c r="O162" s="58" t="s">
        <v>64</v>
      </c>
      <c r="P162" s="56" t="s">
        <v>5</v>
      </c>
      <c r="Q162" s="56"/>
      <c r="R162" s="270">
        <v>45913</v>
      </c>
      <c r="S162" s="270">
        <v>45918</v>
      </c>
      <c r="T162" s="51">
        <f t="shared" si="2"/>
        <v>5</v>
      </c>
      <c r="U162" s="56">
        <v>1</v>
      </c>
      <c r="V162" s="56">
        <v>1</v>
      </c>
      <c r="W162" s="56">
        <v>0</v>
      </c>
      <c r="X162" s="56">
        <v>1</v>
      </c>
      <c r="Y162" s="56">
        <v>0</v>
      </c>
      <c r="Z162" s="56">
        <v>0</v>
      </c>
      <c r="AA162" s="56">
        <v>1</v>
      </c>
      <c r="AB162" s="56"/>
      <c r="AC162" s="58">
        <v>45910</v>
      </c>
      <c r="AD162" s="59">
        <v>0.625</v>
      </c>
      <c r="AE162" s="56" t="s">
        <v>74</v>
      </c>
      <c r="AF162" s="58">
        <v>45918</v>
      </c>
      <c r="AG162" s="59">
        <v>0.47916666666424135</v>
      </c>
      <c r="AH162" s="56" t="s">
        <v>189</v>
      </c>
      <c r="AI162" s="56" t="s">
        <v>5544</v>
      </c>
      <c r="AJ162" s="56" t="s">
        <v>64</v>
      </c>
      <c r="AK162" s="56"/>
      <c r="AL162" s="56" t="s">
        <v>5016</v>
      </c>
      <c r="AM162" s="56" t="s">
        <v>65</v>
      </c>
      <c r="AN162" s="60"/>
      <c r="AO162" s="60"/>
      <c r="AP162" s="61"/>
    </row>
    <row r="163" spans="3:43" ht="14.25" customHeight="1">
      <c r="C163" s="55" t="str">
        <f>IF($X163=1,COUNTIF($C$10:C162,"&gt;0")+1,"")</f>
        <v/>
      </c>
      <c r="D163" s="56">
        <v>70277591</v>
      </c>
      <c r="E163" s="56" t="s">
        <v>5539</v>
      </c>
      <c r="F163" s="57" t="s">
        <v>5583</v>
      </c>
      <c r="G163" s="56" t="s">
        <v>5580</v>
      </c>
      <c r="H163" s="56" t="s">
        <v>5584</v>
      </c>
      <c r="I163" s="56" t="s">
        <v>1397</v>
      </c>
      <c r="J163" s="56" t="s">
        <v>68</v>
      </c>
      <c r="K163" s="56" t="s">
        <v>59</v>
      </c>
      <c r="L163" s="58">
        <v>20043</v>
      </c>
      <c r="M163" s="56">
        <v>70</v>
      </c>
      <c r="N163" s="56" t="s">
        <v>5585</v>
      </c>
      <c r="O163" s="58">
        <v>46897</v>
      </c>
      <c r="P163" s="56" t="s">
        <v>5</v>
      </c>
      <c r="Q163" s="56"/>
      <c r="R163" s="270">
        <v>45913</v>
      </c>
      <c r="S163" s="270">
        <v>45918</v>
      </c>
      <c r="T163" s="51">
        <f t="shared" si="2"/>
        <v>5</v>
      </c>
      <c r="U163" s="56">
        <v>1</v>
      </c>
      <c r="V163" s="56">
        <v>1</v>
      </c>
      <c r="W163" s="56">
        <v>0</v>
      </c>
      <c r="X163" s="56">
        <v>0</v>
      </c>
      <c r="Y163" s="56">
        <v>0</v>
      </c>
      <c r="Z163" s="56">
        <v>0</v>
      </c>
      <c r="AA163" s="56">
        <v>0</v>
      </c>
      <c r="AB163" s="56"/>
      <c r="AC163" s="58">
        <v>45911</v>
      </c>
      <c r="AD163" s="59">
        <v>0.44097222221898846</v>
      </c>
      <c r="AE163" s="56" t="s">
        <v>1058</v>
      </c>
      <c r="AF163" s="58">
        <v>45918</v>
      </c>
      <c r="AG163" s="59">
        <v>0.47916666666424135</v>
      </c>
      <c r="AH163" s="56" t="s">
        <v>189</v>
      </c>
      <c r="AI163" s="56" t="s">
        <v>5544</v>
      </c>
      <c r="AJ163" s="56" t="s">
        <v>64</v>
      </c>
      <c r="AK163" s="56"/>
      <c r="AL163" s="56" t="s">
        <v>5016</v>
      </c>
      <c r="AM163" s="56" t="s">
        <v>65</v>
      </c>
      <c r="AN163" s="60"/>
      <c r="AO163" s="60"/>
      <c r="AP163" s="61"/>
    </row>
    <row r="164" spans="3:43" ht="14.25" customHeight="1">
      <c r="C164" s="55">
        <f>IF($X164=1,COUNTIF($C$10:C163,"&gt;0")+1,"")</f>
        <v>80</v>
      </c>
      <c r="D164" s="56">
        <v>72252696</v>
      </c>
      <c r="E164" s="56" t="s">
        <v>5586</v>
      </c>
      <c r="F164" s="57" t="s">
        <v>5587</v>
      </c>
      <c r="G164" s="56" t="s">
        <v>5587</v>
      </c>
      <c r="H164" s="62" t="s">
        <v>5588</v>
      </c>
      <c r="I164" s="62" t="s">
        <v>1634</v>
      </c>
      <c r="J164" s="62" t="s">
        <v>68</v>
      </c>
      <c r="K164" s="62" t="s">
        <v>59</v>
      </c>
      <c r="L164" s="63">
        <v>31861</v>
      </c>
      <c r="M164" s="62">
        <v>38</v>
      </c>
      <c r="N164" s="62" t="s">
        <v>5589</v>
      </c>
      <c r="O164" s="63">
        <v>47428</v>
      </c>
      <c r="P164" s="62" t="s">
        <v>4</v>
      </c>
      <c r="Q164" s="62"/>
      <c r="R164" s="272">
        <v>45913</v>
      </c>
      <c r="S164" s="272">
        <v>45918</v>
      </c>
      <c r="T164" s="67">
        <f t="shared" si="2"/>
        <v>5</v>
      </c>
      <c r="U164" s="62">
        <v>1</v>
      </c>
      <c r="V164" s="62">
        <v>1</v>
      </c>
      <c r="W164" s="62">
        <v>0</v>
      </c>
      <c r="X164" s="62">
        <v>1</v>
      </c>
      <c r="Y164" s="62">
        <v>0</v>
      </c>
      <c r="Z164" s="62">
        <v>1</v>
      </c>
      <c r="AA164" s="62">
        <v>0</v>
      </c>
      <c r="AB164" s="62"/>
      <c r="AC164" s="63">
        <v>45912</v>
      </c>
      <c r="AD164" s="68">
        <v>0.74305555555474712</v>
      </c>
      <c r="AE164" s="62" t="s">
        <v>5590</v>
      </c>
      <c r="AF164" s="63">
        <v>45918</v>
      </c>
      <c r="AG164" s="68">
        <v>0.42708333333575865</v>
      </c>
      <c r="AH164" s="62" t="s">
        <v>689</v>
      </c>
      <c r="AI164" s="62" t="s">
        <v>5591</v>
      </c>
      <c r="AJ164" s="62" t="s">
        <v>64</v>
      </c>
      <c r="AK164" s="62" t="s">
        <v>64</v>
      </c>
      <c r="AL164" s="62" t="s">
        <v>5016</v>
      </c>
      <c r="AM164" s="62" t="s">
        <v>65</v>
      </c>
      <c r="AN164" s="273" t="s">
        <v>5017</v>
      </c>
      <c r="AO164" s="273"/>
      <c r="AP164" s="64" t="s">
        <v>504</v>
      </c>
      <c r="AQ164" s="271" t="s">
        <v>5064</v>
      </c>
    </row>
    <row r="165" spans="3:43" ht="14.25" customHeight="1">
      <c r="C165" s="55" t="str">
        <f>IF($X165=1,COUNTIF($C$10:C164,"&gt;0")+1,"")</f>
        <v/>
      </c>
      <c r="D165" s="56">
        <v>72252696</v>
      </c>
      <c r="E165" s="56" t="s">
        <v>5586</v>
      </c>
      <c r="F165" s="57" t="s">
        <v>5592</v>
      </c>
      <c r="G165" s="56" t="s">
        <v>5587</v>
      </c>
      <c r="H165" s="62" t="s">
        <v>5263</v>
      </c>
      <c r="I165" s="62" t="s">
        <v>1634</v>
      </c>
      <c r="J165" s="62" t="s">
        <v>68</v>
      </c>
      <c r="K165" s="62" t="s">
        <v>369</v>
      </c>
      <c r="L165" s="63">
        <v>32538</v>
      </c>
      <c r="M165" s="62">
        <v>36</v>
      </c>
      <c r="N165" s="62" t="s">
        <v>5593</v>
      </c>
      <c r="O165" s="63">
        <v>49226</v>
      </c>
      <c r="P165" s="62" t="s">
        <v>4</v>
      </c>
      <c r="Q165" s="62"/>
      <c r="R165" s="272">
        <v>45913</v>
      </c>
      <c r="S165" s="272">
        <v>45918</v>
      </c>
      <c r="T165" s="67">
        <f t="shared" si="2"/>
        <v>5</v>
      </c>
      <c r="U165" s="62">
        <v>1</v>
      </c>
      <c r="V165" s="62">
        <v>1</v>
      </c>
      <c r="W165" s="62">
        <v>0</v>
      </c>
      <c r="X165" s="62">
        <v>0</v>
      </c>
      <c r="Y165" s="62">
        <v>0</v>
      </c>
      <c r="Z165" s="62">
        <v>0</v>
      </c>
      <c r="AA165" s="62">
        <v>0</v>
      </c>
      <c r="AB165" s="62"/>
      <c r="AC165" s="63" t="s">
        <v>64</v>
      </c>
      <c r="AD165" s="68" t="s">
        <v>64</v>
      </c>
      <c r="AE165" s="62" t="s">
        <v>64</v>
      </c>
      <c r="AF165" s="63" t="s">
        <v>64</v>
      </c>
      <c r="AG165" s="68" t="s">
        <v>64</v>
      </c>
      <c r="AH165" s="62" t="s">
        <v>64</v>
      </c>
      <c r="AI165" s="62" t="s">
        <v>5591</v>
      </c>
      <c r="AJ165" s="62" t="s">
        <v>64</v>
      </c>
      <c r="AK165" s="62" t="s">
        <v>64</v>
      </c>
      <c r="AL165" s="62" t="s">
        <v>5016</v>
      </c>
      <c r="AM165" s="62" t="s">
        <v>65</v>
      </c>
      <c r="AN165" s="273" t="s">
        <v>5017</v>
      </c>
      <c r="AO165" s="273"/>
      <c r="AP165" s="64" t="s">
        <v>504</v>
      </c>
      <c r="AQ165" s="271" t="s">
        <v>5064</v>
      </c>
    </row>
    <row r="166" spans="3:43" ht="14.25" customHeight="1">
      <c r="C166" s="55">
        <f>IF($X166=1,COUNTIF($C$10:C165,"&gt;0")+1,"")</f>
        <v>81</v>
      </c>
      <c r="D166" s="56">
        <v>72253239</v>
      </c>
      <c r="E166" s="56" t="s">
        <v>5586</v>
      </c>
      <c r="F166" s="57" t="s">
        <v>5594</v>
      </c>
      <c r="G166" s="56" t="s">
        <v>5587</v>
      </c>
      <c r="H166" s="62" t="s">
        <v>5595</v>
      </c>
      <c r="I166" s="62" t="s">
        <v>993</v>
      </c>
      <c r="J166" s="62" t="s">
        <v>68</v>
      </c>
      <c r="K166" s="62" t="s">
        <v>369</v>
      </c>
      <c r="L166" s="63">
        <v>23232</v>
      </c>
      <c r="M166" s="62">
        <v>62</v>
      </c>
      <c r="N166" s="62" t="s">
        <v>5596</v>
      </c>
      <c r="O166" s="63">
        <v>49318</v>
      </c>
      <c r="P166" s="62" t="s">
        <v>4</v>
      </c>
      <c r="Q166" s="62"/>
      <c r="R166" s="272">
        <v>45913</v>
      </c>
      <c r="S166" s="272">
        <v>45918</v>
      </c>
      <c r="T166" s="67">
        <f t="shared" si="2"/>
        <v>5</v>
      </c>
      <c r="U166" s="62">
        <v>1</v>
      </c>
      <c r="V166" s="62">
        <v>1</v>
      </c>
      <c r="W166" s="62">
        <v>0</v>
      </c>
      <c r="X166" s="62">
        <v>1</v>
      </c>
      <c r="Y166" s="62">
        <v>0</v>
      </c>
      <c r="Z166" s="62">
        <v>1</v>
      </c>
      <c r="AA166" s="62">
        <v>0</v>
      </c>
      <c r="AB166" s="62"/>
      <c r="AC166" s="63">
        <v>45912</v>
      </c>
      <c r="AD166" s="68">
        <v>0.74305555555474712</v>
      </c>
      <c r="AE166" s="62" t="s">
        <v>5590</v>
      </c>
      <c r="AF166" s="63">
        <v>45918</v>
      </c>
      <c r="AG166" s="68">
        <v>0.8125</v>
      </c>
      <c r="AH166" s="62" t="s">
        <v>620</v>
      </c>
      <c r="AI166" s="62" t="s">
        <v>5591</v>
      </c>
      <c r="AJ166" s="62" t="s">
        <v>64</v>
      </c>
      <c r="AK166" s="62" t="s">
        <v>64</v>
      </c>
      <c r="AL166" s="62" t="s">
        <v>5016</v>
      </c>
      <c r="AM166" s="62" t="s">
        <v>65</v>
      </c>
      <c r="AN166" s="273" t="s">
        <v>5017</v>
      </c>
      <c r="AO166" s="273"/>
      <c r="AP166" s="64" t="s">
        <v>504</v>
      </c>
      <c r="AQ166" s="271" t="s">
        <v>5064</v>
      </c>
    </row>
    <row r="167" spans="3:43" ht="14.25" customHeight="1">
      <c r="C167" s="55" t="str">
        <f>IF($X167=1,COUNTIF($C$10:C166,"&gt;0")+1,"")</f>
        <v/>
      </c>
      <c r="D167" s="56">
        <v>72253239</v>
      </c>
      <c r="E167" s="56" t="s">
        <v>5586</v>
      </c>
      <c r="F167" s="57" t="s">
        <v>5597</v>
      </c>
      <c r="G167" s="56" t="s">
        <v>5587</v>
      </c>
      <c r="H167" s="62" t="s">
        <v>5598</v>
      </c>
      <c r="I167" s="62" t="s">
        <v>1634</v>
      </c>
      <c r="J167" s="62" t="s">
        <v>58</v>
      </c>
      <c r="K167" s="62" t="s">
        <v>369</v>
      </c>
      <c r="L167" s="63">
        <v>23080</v>
      </c>
      <c r="M167" s="62">
        <v>62</v>
      </c>
      <c r="N167" s="62" t="s">
        <v>5599</v>
      </c>
      <c r="O167" s="63">
        <v>49318</v>
      </c>
      <c r="P167" s="62" t="s">
        <v>4</v>
      </c>
      <c r="Q167" s="62"/>
      <c r="R167" s="272">
        <v>45913</v>
      </c>
      <c r="S167" s="272">
        <v>45918</v>
      </c>
      <c r="T167" s="67">
        <f t="shared" si="2"/>
        <v>5</v>
      </c>
      <c r="U167" s="62">
        <v>1</v>
      </c>
      <c r="V167" s="62">
        <v>1</v>
      </c>
      <c r="W167" s="62">
        <v>0</v>
      </c>
      <c r="X167" s="62">
        <v>0</v>
      </c>
      <c r="Y167" s="62">
        <v>0</v>
      </c>
      <c r="Z167" s="62">
        <v>0</v>
      </c>
      <c r="AA167" s="62">
        <v>0</v>
      </c>
      <c r="AB167" s="62"/>
      <c r="AC167" s="63">
        <v>45912</v>
      </c>
      <c r="AD167" s="68">
        <v>0.74305555555474712</v>
      </c>
      <c r="AE167" s="62" t="s">
        <v>5590</v>
      </c>
      <c r="AF167" s="63">
        <v>45918</v>
      </c>
      <c r="AG167" s="68">
        <v>0.8125</v>
      </c>
      <c r="AH167" s="62" t="s">
        <v>620</v>
      </c>
      <c r="AI167" s="62" t="s">
        <v>5591</v>
      </c>
      <c r="AJ167" s="62" t="s">
        <v>64</v>
      </c>
      <c r="AK167" s="62" t="s">
        <v>64</v>
      </c>
      <c r="AL167" s="62" t="s">
        <v>5016</v>
      </c>
      <c r="AM167" s="62" t="s">
        <v>65</v>
      </c>
      <c r="AN167" s="273" t="s">
        <v>5017</v>
      </c>
      <c r="AO167" s="273"/>
      <c r="AP167" s="64" t="s">
        <v>504</v>
      </c>
      <c r="AQ167" s="271" t="s">
        <v>5064</v>
      </c>
    </row>
    <row r="168" spans="3:43" ht="14.25" customHeight="1">
      <c r="C168" s="55">
        <f>IF($X168=1,COUNTIF($C$10:C167,"&gt;0")+1,"")</f>
        <v>82</v>
      </c>
      <c r="D168" s="56">
        <v>70522134</v>
      </c>
      <c r="E168" s="56" t="s">
        <v>5586</v>
      </c>
      <c r="F168" s="57" t="s">
        <v>5600</v>
      </c>
      <c r="G168" s="56" t="s">
        <v>5600</v>
      </c>
      <c r="H168" s="56" t="s">
        <v>5601</v>
      </c>
      <c r="I168" s="56" t="s">
        <v>2156</v>
      </c>
      <c r="J168" s="56" t="s">
        <v>68</v>
      </c>
      <c r="K168" s="56" t="s">
        <v>59</v>
      </c>
      <c r="L168" s="58">
        <v>23649</v>
      </c>
      <c r="M168" s="56">
        <v>60</v>
      </c>
      <c r="N168" s="56" t="s">
        <v>5602</v>
      </c>
      <c r="O168" s="58">
        <v>48232</v>
      </c>
      <c r="P168" s="56" t="s">
        <v>4</v>
      </c>
      <c r="Q168" s="56"/>
      <c r="R168" s="270">
        <v>45913</v>
      </c>
      <c r="S168" s="270">
        <v>45918</v>
      </c>
      <c r="T168" s="51">
        <f t="shared" si="2"/>
        <v>5</v>
      </c>
      <c r="U168" s="56">
        <v>1</v>
      </c>
      <c r="V168" s="56">
        <v>1</v>
      </c>
      <c r="W168" s="56">
        <v>0</v>
      </c>
      <c r="X168" s="56">
        <v>1</v>
      </c>
      <c r="Y168" s="56">
        <v>0</v>
      </c>
      <c r="Z168" s="56">
        <v>1</v>
      </c>
      <c r="AA168" s="56">
        <v>0</v>
      </c>
      <c r="AB168" s="56"/>
      <c r="AC168" s="58">
        <v>45913</v>
      </c>
      <c r="AD168" s="59">
        <v>0.625</v>
      </c>
      <c r="AE168" s="56" t="s">
        <v>74</v>
      </c>
      <c r="AF168" s="58">
        <v>45918</v>
      </c>
      <c r="AG168" s="59">
        <v>0.34375</v>
      </c>
      <c r="AH168" s="56" t="s">
        <v>5603</v>
      </c>
      <c r="AI168" s="56" t="s">
        <v>5591</v>
      </c>
      <c r="AJ168" s="56" t="s">
        <v>598</v>
      </c>
      <c r="AK168" s="56" t="s">
        <v>5233</v>
      </c>
      <c r="AL168" s="56" t="s">
        <v>5016</v>
      </c>
      <c r="AM168" s="56" t="s">
        <v>65</v>
      </c>
      <c r="AN168" s="60" t="s">
        <v>5234</v>
      </c>
      <c r="AO168" s="60"/>
      <c r="AP168" s="61"/>
    </row>
    <row r="169" spans="3:43" ht="14.25" customHeight="1">
      <c r="C169" s="55" t="str">
        <f>IF($X169=1,COUNTIF($C$10:C168,"&gt;0")+1,"")</f>
        <v/>
      </c>
      <c r="D169" s="56">
        <v>70522134</v>
      </c>
      <c r="E169" s="56" t="s">
        <v>5586</v>
      </c>
      <c r="F169" s="57" t="s">
        <v>5604</v>
      </c>
      <c r="G169" s="56" t="s">
        <v>5600</v>
      </c>
      <c r="H169" s="56" t="s">
        <v>5605</v>
      </c>
      <c r="I169" s="56" t="s">
        <v>5606</v>
      </c>
      <c r="J169" s="56" t="s">
        <v>58</v>
      </c>
      <c r="K169" s="56" t="s">
        <v>59</v>
      </c>
      <c r="L169" s="58">
        <v>23455</v>
      </c>
      <c r="M169" s="56">
        <v>61</v>
      </c>
      <c r="N169" s="56" t="s">
        <v>5607</v>
      </c>
      <c r="O169" s="58">
        <v>49153</v>
      </c>
      <c r="P169" s="56" t="s">
        <v>4</v>
      </c>
      <c r="Q169" s="56"/>
      <c r="R169" s="270">
        <v>45913</v>
      </c>
      <c r="S169" s="270">
        <v>45918</v>
      </c>
      <c r="T169" s="51">
        <f t="shared" si="2"/>
        <v>5</v>
      </c>
      <c r="U169" s="56">
        <v>1</v>
      </c>
      <c r="V169" s="56">
        <v>1</v>
      </c>
      <c r="W169" s="56">
        <v>0</v>
      </c>
      <c r="X169" s="56">
        <v>0</v>
      </c>
      <c r="Y169" s="56">
        <v>0</v>
      </c>
      <c r="Z169" s="56">
        <v>0</v>
      </c>
      <c r="AA169" s="56">
        <v>0</v>
      </c>
      <c r="AB169" s="56"/>
      <c r="AC169" s="58">
        <v>45913</v>
      </c>
      <c r="AD169" s="59">
        <v>0.72916666666424135</v>
      </c>
      <c r="AE169" s="56" t="s">
        <v>575</v>
      </c>
      <c r="AF169" s="58">
        <v>45918</v>
      </c>
      <c r="AG169" s="59">
        <v>0.34375</v>
      </c>
      <c r="AH169" s="56" t="s">
        <v>5603</v>
      </c>
      <c r="AI169" s="56" t="s">
        <v>5591</v>
      </c>
      <c r="AJ169" s="56" t="s">
        <v>64</v>
      </c>
      <c r="AK169" s="56" t="s">
        <v>64</v>
      </c>
      <c r="AL169" s="56" t="s">
        <v>5016</v>
      </c>
      <c r="AM169" s="56" t="s">
        <v>65</v>
      </c>
      <c r="AN169" s="60" t="s">
        <v>5234</v>
      </c>
      <c r="AO169" s="60"/>
      <c r="AP169" s="61"/>
    </row>
    <row r="170" spans="3:43" ht="14.25" customHeight="1">
      <c r="C170" s="55">
        <f>IF($X170=1,COUNTIF($C$10:C169,"&gt;0")+1,"")</f>
        <v>83</v>
      </c>
      <c r="D170" s="56">
        <v>70160970</v>
      </c>
      <c r="E170" s="56" t="s">
        <v>5586</v>
      </c>
      <c r="F170" s="57" t="s">
        <v>5608</v>
      </c>
      <c r="G170" s="56" t="s">
        <v>5608</v>
      </c>
      <c r="H170" s="56" t="s">
        <v>5609</v>
      </c>
      <c r="I170" s="56" t="s">
        <v>5610</v>
      </c>
      <c r="J170" s="56" t="s">
        <v>68</v>
      </c>
      <c r="K170" s="56" t="s">
        <v>59</v>
      </c>
      <c r="L170" s="58">
        <v>26476</v>
      </c>
      <c r="M170" s="56">
        <v>53</v>
      </c>
      <c r="N170" s="56" t="s">
        <v>5611</v>
      </c>
      <c r="O170" s="58">
        <v>49390</v>
      </c>
      <c r="P170" s="56" t="s">
        <v>4</v>
      </c>
      <c r="Q170" s="56"/>
      <c r="R170" s="270">
        <v>45913</v>
      </c>
      <c r="S170" s="270">
        <v>45918</v>
      </c>
      <c r="T170" s="51">
        <f t="shared" si="2"/>
        <v>5</v>
      </c>
      <c r="U170" s="56">
        <v>1</v>
      </c>
      <c r="V170" s="56">
        <v>1</v>
      </c>
      <c r="W170" s="56">
        <v>0</v>
      </c>
      <c r="X170" s="56">
        <v>1</v>
      </c>
      <c r="Y170" s="56">
        <v>0</v>
      </c>
      <c r="Z170" s="56">
        <v>1</v>
      </c>
      <c r="AA170" s="56">
        <v>0</v>
      </c>
      <c r="AB170" s="56"/>
      <c r="AC170" s="58">
        <v>45913</v>
      </c>
      <c r="AD170" s="59">
        <v>0.72916666666424135</v>
      </c>
      <c r="AE170" s="56" t="s">
        <v>575</v>
      </c>
      <c r="AF170" s="58">
        <v>45918</v>
      </c>
      <c r="AG170" s="59">
        <v>0.34027777778101154</v>
      </c>
      <c r="AH170" s="56" t="s">
        <v>5612</v>
      </c>
      <c r="AI170" s="56" t="s">
        <v>5591</v>
      </c>
      <c r="AJ170" s="56" t="s">
        <v>64</v>
      </c>
      <c r="AK170" s="56" t="s">
        <v>64</v>
      </c>
      <c r="AL170" s="56" t="s">
        <v>5016</v>
      </c>
      <c r="AM170" s="56" t="s">
        <v>65</v>
      </c>
      <c r="AN170" s="60"/>
      <c r="AO170" s="60"/>
      <c r="AP170" s="61"/>
    </row>
    <row r="171" spans="3:43" ht="14.25" customHeight="1">
      <c r="C171" s="55" t="str">
        <f>IF($X171=1,COUNTIF($C$10:C170,"&gt;0")+1,"")</f>
        <v/>
      </c>
      <c r="D171" s="56">
        <v>70160970</v>
      </c>
      <c r="E171" s="56" t="s">
        <v>5586</v>
      </c>
      <c r="F171" s="57" t="s">
        <v>5613</v>
      </c>
      <c r="G171" s="56" t="s">
        <v>5608</v>
      </c>
      <c r="H171" s="56" t="s">
        <v>5614</v>
      </c>
      <c r="I171" s="56" t="s">
        <v>5610</v>
      </c>
      <c r="J171" s="56" t="s">
        <v>68</v>
      </c>
      <c r="K171" s="56" t="s">
        <v>59</v>
      </c>
      <c r="L171" s="58">
        <v>36464</v>
      </c>
      <c r="M171" s="56">
        <v>25</v>
      </c>
      <c r="N171" s="56" t="s">
        <v>5615</v>
      </c>
      <c r="O171" s="58">
        <v>47016</v>
      </c>
      <c r="P171" s="56" t="s">
        <v>4</v>
      </c>
      <c r="Q171" s="56"/>
      <c r="R171" s="270">
        <v>45913</v>
      </c>
      <c r="S171" s="270">
        <v>45918</v>
      </c>
      <c r="T171" s="51">
        <f t="shared" si="2"/>
        <v>5</v>
      </c>
      <c r="U171" s="56">
        <v>1</v>
      </c>
      <c r="V171" s="56">
        <v>1</v>
      </c>
      <c r="W171" s="56">
        <v>0</v>
      </c>
      <c r="X171" s="56">
        <v>0</v>
      </c>
      <c r="Y171" s="56">
        <v>0</v>
      </c>
      <c r="Z171" s="56">
        <v>0</v>
      </c>
      <c r="AA171" s="56">
        <v>0</v>
      </c>
      <c r="AB171" s="56"/>
      <c r="AC171" s="58">
        <v>45913</v>
      </c>
      <c r="AD171" s="59">
        <v>0.72916666666424135</v>
      </c>
      <c r="AE171" s="56" t="s">
        <v>575</v>
      </c>
      <c r="AF171" s="58">
        <v>45918</v>
      </c>
      <c r="AG171" s="59">
        <v>0.34027777778101154</v>
      </c>
      <c r="AH171" s="56" t="s">
        <v>5612</v>
      </c>
      <c r="AI171" s="56" t="s">
        <v>5591</v>
      </c>
      <c r="AJ171" s="56" t="s">
        <v>64</v>
      </c>
      <c r="AK171" s="56" t="s">
        <v>64</v>
      </c>
      <c r="AL171" s="56" t="s">
        <v>5016</v>
      </c>
      <c r="AM171" s="56" t="s">
        <v>65</v>
      </c>
      <c r="AN171" s="60"/>
      <c r="AO171" s="60"/>
      <c r="AP171" s="61"/>
    </row>
    <row r="172" spans="3:43" ht="14.25" customHeight="1">
      <c r="C172" s="55">
        <f>IF($X172=1,COUNTIF($C$10:C171,"&gt;0")+1,"")</f>
        <v>84</v>
      </c>
      <c r="D172" s="56">
        <v>70161005</v>
      </c>
      <c r="E172" s="56" t="s">
        <v>5586</v>
      </c>
      <c r="F172" s="57" t="s">
        <v>5616</v>
      </c>
      <c r="G172" s="56" t="s">
        <v>5616</v>
      </c>
      <c r="H172" s="56" t="s">
        <v>5617</v>
      </c>
      <c r="I172" s="56" t="s">
        <v>2987</v>
      </c>
      <c r="J172" s="56" t="s">
        <v>68</v>
      </c>
      <c r="K172" s="56" t="s">
        <v>59</v>
      </c>
      <c r="L172" s="58">
        <v>26838</v>
      </c>
      <c r="M172" s="56">
        <v>52</v>
      </c>
      <c r="N172" s="56" t="s">
        <v>5618</v>
      </c>
      <c r="O172" s="58">
        <v>48968</v>
      </c>
      <c r="P172" s="56" t="s">
        <v>4</v>
      </c>
      <c r="Q172" s="56"/>
      <c r="R172" s="270">
        <v>45913</v>
      </c>
      <c r="S172" s="270">
        <v>45918</v>
      </c>
      <c r="T172" s="51">
        <f t="shared" si="2"/>
        <v>5</v>
      </c>
      <c r="U172" s="56">
        <v>1</v>
      </c>
      <c r="V172" s="56">
        <v>1</v>
      </c>
      <c r="W172" s="56">
        <v>0</v>
      </c>
      <c r="X172" s="56">
        <v>1</v>
      </c>
      <c r="Y172" s="56">
        <v>0</v>
      </c>
      <c r="Z172" s="56">
        <v>1</v>
      </c>
      <c r="AA172" s="56">
        <v>0</v>
      </c>
      <c r="AB172" s="56"/>
      <c r="AC172" s="58">
        <v>45913</v>
      </c>
      <c r="AD172" s="59">
        <v>0.72916666666424135</v>
      </c>
      <c r="AE172" s="56" t="s">
        <v>575</v>
      </c>
      <c r="AF172" s="58">
        <v>45918</v>
      </c>
      <c r="AG172" s="59">
        <v>0.34027777778101154</v>
      </c>
      <c r="AH172" s="56" t="s">
        <v>5612</v>
      </c>
      <c r="AI172" s="56" t="s">
        <v>5591</v>
      </c>
      <c r="AJ172" s="56" t="s">
        <v>64</v>
      </c>
      <c r="AK172" s="56" t="s">
        <v>64</v>
      </c>
      <c r="AL172" s="56" t="s">
        <v>5016</v>
      </c>
      <c r="AM172" s="56" t="s">
        <v>65</v>
      </c>
      <c r="AN172" s="60"/>
      <c r="AO172" s="60"/>
      <c r="AP172" s="61"/>
    </row>
    <row r="173" spans="3:43" ht="14.25" customHeight="1">
      <c r="C173" s="55" t="str">
        <f>IF($X173=1,COUNTIF($C$10:C172,"&gt;0")+1,"")</f>
        <v/>
      </c>
      <c r="D173" s="56">
        <v>70161005</v>
      </c>
      <c r="E173" s="56" t="s">
        <v>5586</v>
      </c>
      <c r="F173" s="57" t="s">
        <v>5619</v>
      </c>
      <c r="G173" s="56" t="s">
        <v>5616</v>
      </c>
      <c r="H173" s="56" t="s">
        <v>5620</v>
      </c>
      <c r="I173" s="56" t="s">
        <v>5531</v>
      </c>
      <c r="J173" s="56" t="s">
        <v>64</v>
      </c>
      <c r="K173" s="56" t="s">
        <v>64</v>
      </c>
      <c r="L173" s="58" t="s">
        <v>64</v>
      </c>
      <c r="M173" s="56" t="s">
        <v>64</v>
      </c>
      <c r="N173" s="56" t="s">
        <v>64</v>
      </c>
      <c r="O173" s="58" t="s">
        <v>64</v>
      </c>
      <c r="P173" s="56" t="s">
        <v>4</v>
      </c>
      <c r="Q173" s="56"/>
      <c r="R173" s="270">
        <v>45913</v>
      </c>
      <c r="S173" s="270">
        <v>45918</v>
      </c>
      <c r="T173" s="51">
        <f t="shared" si="2"/>
        <v>5</v>
      </c>
      <c r="U173" s="56">
        <v>1</v>
      </c>
      <c r="V173" s="56">
        <v>1</v>
      </c>
      <c r="W173" s="56">
        <v>0</v>
      </c>
      <c r="X173" s="56">
        <v>0</v>
      </c>
      <c r="Y173" s="56">
        <v>0</v>
      </c>
      <c r="Z173" s="56">
        <v>0</v>
      </c>
      <c r="AA173" s="56">
        <v>0</v>
      </c>
      <c r="AB173" s="56"/>
      <c r="AC173" s="58">
        <v>45913</v>
      </c>
      <c r="AD173" s="59">
        <v>0.72916666666424135</v>
      </c>
      <c r="AE173" s="56" t="s">
        <v>575</v>
      </c>
      <c r="AF173" s="58">
        <v>45918</v>
      </c>
      <c r="AG173" s="59">
        <v>0.34027777778101154</v>
      </c>
      <c r="AH173" s="56" t="s">
        <v>5612</v>
      </c>
      <c r="AI173" s="56" t="s">
        <v>5591</v>
      </c>
      <c r="AJ173" s="56" t="s">
        <v>64</v>
      </c>
      <c r="AK173" s="56" t="s">
        <v>64</v>
      </c>
      <c r="AL173" s="56" t="s">
        <v>5016</v>
      </c>
      <c r="AM173" s="56" t="s">
        <v>65</v>
      </c>
      <c r="AN173" s="60"/>
      <c r="AO173" s="60"/>
      <c r="AP173" s="61"/>
    </row>
    <row r="174" spans="3:43" ht="14.25" customHeight="1">
      <c r="C174" s="55">
        <f>IF($X174=1,COUNTIF($C$10:C173,"&gt;0")+1,"")</f>
        <v>85</v>
      </c>
      <c r="D174" s="56">
        <v>70277593</v>
      </c>
      <c r="E174" s="56" t="s">
        <v>5586</v>
      </c>
      <c r="F174" s="57" t="s">
        <v>5621</v>
      </c>
      <c r="G174" s="56" t="s">
        <v>5621</v>
      </c>
      <c r="H174" s="56" t="s">
        <v>5622</v>
      </c>
      <c r="I174" s="56" t="s">
        <v>993</v>
      </c>
      <c r="J174" s="56" t="s">
        <v>68</v>
      </c>
      <c r="K174" s="56" t="s">
        <v>59</v>
      </c>
      <c r="L174" s="58">
        <v>21409</v>
      </c>
      <c r="M174" s="56">
        <v>67</v>
      </c>
      <c r="N174" s="56" t="s">
        <v>5623</v>
      </c>
      <c r="O174" s="58">
        <v>48730</v>
      </c>
      <c r="P174" s="56" t="s">
        <v>5</v>
      </c>
      <c r="Q174" s="56"/>
      <c r="R174" s="270">
        <v>45913</v>
      </c>
      <c r="S174" s="270">
        <v>45918</v>
      </c>
      <c r="T174" s="51">
        <f t="shared" si="2"/>
        <v>5</v>
      </c>
      <c r="U174" s="56">
        <v>1</v>
      </c>
      <c r="V174" s="56">
        <v>1</v>
      </c>
      <c r="W174" s="56">
        <v>0</v>
      </c>
      <c r="X174" s="56">
        <v>1</v>
      </c>
      <c r="Y174" s="56">
        <v>0</v>
      </c>
      <c r="Z174" s="56">
        <v>0</v>
      </c>
      <c r="AA174" s="56">
        <v>1</v>
      </c>
      <c r="AB174" s="56"/>
      <c r="AC174" s="58">
        <v>45913</v>
      </c>
      <c r="AD174" s="59">
        <v>0.68402777778101154</v>
      </c>
      <c r="AE174" s="56" t="s">
        <v>688</v>
      </c>
      <c r="AF174" s="58">
        <v>45918</v>
      </c>
      <c r="AG174" s="59">
        <v>0.64583333333575865</v>
      </c>
      <c r="AH174" s="56" t="s">
        <v>2995</v>
      </c>
      <c r="AI174" s="56" t="s">
        <v>5591</v>
      </c>
      <c r="AJ174" s="56" t="s">
        <v>64</v>
      </c>
      <c r="AK174" s="56" t="s">
        <v>64</v>
      </c>
      <c r="AL174" s="56" t="s">
        <v>5016</v>
      </c>
      <c r="AM174" s="56" t="s">
        <v>65</v>
      </c>
      <c r="AN174" s="60"/>
      <c r="AO174" s="60"/>
      <c r="AP174" s="61"/>
    </row>
    <row r="175" spans="3:43" ht="14.25" customHeight="1">
      <c r="C175" s="55" t="str">
        <f>IF($X175=1,COUNTIF($C$10:C174,"&gt;0")+1,"")</f>
        <v/>
      </c>
      <c r="D175" s="56">
        <v>70277593</v>
      </c>
      <c r="E175" s="56" t="s">
        <v>5586</v>
      </c>
      <c r="F175" s="57" t="s">
        <v>5624</v>
      </c>
      <c r="G175" s="56" t="s">
        <v>5621</v>
      </c>
      <c r="H175" s="56" t="s">
        <v>5625</v>
      </c>
      <c r="I175" s="56" t="s">
        <v>5626</v>
      </c>
      <c r="J175" s="56" t="s">
        <v>68</v>
      </c>
      <c r="K175" s="56" t="s">
        <v>59</v>
      </c>
      <c r="L175" s="58">
        <v>25832</v>
      </c>
      <c r="M175" s="56">
        <v>54</v>
      </c>
      <c r="N175" s="56" t="s">
        <v>5627</v>
      </c>
      <c r="O175" s="58">
        <v>47441</v>
      </c>
      <c r="P175" s="56" t="s">
        <v>5</v>
      </c>
      <c r="Q175" s="56"/>
      <c r="R175" s="270">
        <v>45913</v>
      </c>
      <c r="S175" s="270">
        <v>45918</v>
      </c>
      <c r="T175" s="51">
        <f t="shared" si="2"/>
        <v>5</v>
      </c>
      <c r="U175" s="56">
        <v>1</v>
      </c>
      <c r="V175" s="56">
        <v>1</v>
      </c>
      <c r="W175" s="56">
        <v>0</v>
      </c>
      <c r="X175" s="56">
        <v>0</v>
      </c>
      <c r="Y175" s="56">
        <v>0</v>
      </c>
      <c r="Z175" s="56">
        <v>0</v>
      </c>
      <c r="AA175" s="56">
        <v>0</v>
      </c>
      <c r="AB175" s="56"/>
      <c r="AC175" s="58">
        <v>45913</v>
      </c>
      <c r="AD175" s="59">
        <v>0.68402777778101154</v>
      </c>
      <c r="AE175" s="56" t="s">
        <v>688</v>
      </c>
      <c r="AF175" s="58">
        <v>45918</v>
      </c>
      <c r="AG175" s="59">
        <v>0.64583333333575865</v>
      </c>
      <c r="AH175" s="56" t="s">
        <v>2995</v>
      </c>
      <c r="AI175" s="56" t="s">
        <v>5591</v>
      </c>
      <c r="AJ175" s="56" t="s">
        <v>64</v>
      </c>
      <c r="AK175" s="56" t="s">
        <v>64</v>
      </c>
      <c r="AL175" s="56" t="s">
        <v>5016</v>
      </c>
      <c r="AM175" s="56" t="s">
        <v>65</v>
      </c>
      <c r="AN175" s="60"/>
      <c r="AO175" s="60"/>
      <c r="AP175" s="61"/>
    </row>
    <row r="176" spans="3:43" ht="14.25" customHeight="1">
      <c r="C176" s="55">
        <f>IF($X176=1,COUNTIF($C$10:C175,"&gt;0")+1,"")</f>
        <v>86</v>
      </c>
      <c r="D176" s="56">
        <v>70161013</v>
      </c>
      <c r="E176" s="56" t="s">
        <v>5586</v>
      </c>
      <c r="F176" s="57" t="s">
        <v>5628</v>
      </c>
      <c r="G176" s="56" t="s">
        <v>5628</v>
      </c>
      <c r="H176" s="56" t="s">
        <v>5629</v>
      </c>
      <c r="I176" s="56" t="s">
        <v>5630</v>
      </c>
      <c r="J176" s="56" t="s">
        <v>58</v>
      </c>
      <c r="K176" s="56" t="s">
        <v>59</v>
      </c>
      <c r="L176" s="58">
        <v>28609</v>
      </c>
      <c r="M176" s="56">
        <v>47</v>
      </c>
      <c r="N176" s="56" t="s">
        <v>5631</v>
      </c>
      <c r="O176" s="58">
        <v>47057</v>
      </c>
      <c r="P176" s="56" t="s">
        <v>4</v>
      </c>
      <c r="Q176" s="56"/>
      <c r="R176" s="270">
        <v>45913</v>
      </c>
      <c r="S176" s="270">
        <v>45918</v>
      </c>
      <c r="T176" s="51">
        <f t="shared" si="2"/>
        <v>5</v>
      </c>
      <c r="U176" s="56">
        <v>1</v>
      </c>
      <c r="V176" s="56">
        <v>1</v>
      </c>
      <c r="W176" s="56">
        <v>0</v>
      </c>
      <c r="X176" s="56">
        <v>1</v>
      </c>
      <c r="Y176" s="56">
        <v>0</v>
      </c>
      <c r="Z176" s="56">
        <v>1</v>
      </c>
      <c r="AA176" s="56">
        <v>0</v>
      </c>
      <c r="AB176" s="56"/>
      <c r="AC176" s="58">
        <v>45913</v>
      </c>
      <c r="AD176" s="59">
        <v>0.64583333333575865</v>
      </c>
      <c r="AE176" s="56" t="s">
        <v>312</v>
      </c>
      <c r="AF176" s="58">
        <v>45918</v>
      </c>
      <c r="AG176" s="59">
        <v>0.35069444444525288</v>
      </c>
      <c r="AH176" s="56" t="s">
        <v>5632</v>
      </c>
      <c r="AI176" s="56" t="s">
        <v>5591</v>
      </c>
      <c r="AJ176" s="56" t="s">
        <v>64</v>
      </c>
      <c r="AK176" s="74" t="s">
        <v>5633</v>
      </c>
      <c r="AL176" s="56" t="s">
        <v>5016</v>
      </c>
      <c r="AM176" s="56" t="s">
        <v>65</v>
      </c>
      <c r="AN176" s="60" t="s">
        <v>5026</v>
      </c>
      <c r="AO176" s="60"/>
      <c r="AP176" s="61"/>
    </row>
    <row r="177" spans="3:43" ht="14.25" customHeight="1">
      <c r="C177" s="55" t="str">
        <f>IF($X177=1,COUNTIF($C$10:C176,"&gt;0")+1,"")</f>
        <v/>
      </c>
      <c r="D177" s="56">
        <v>70161013</v>
      </c>
      <c r="E177" s="56" t="s">
        <v>5586</v>
      </c>
      <c r="F177" s="57" t="s">
        <v>5634</v>
      </c>
      <c r="G177" s="56" t="s">
        <v>5628</v>
      </c>
      <c r="H177" s="56" t="s">
        <v>5635</v>
      </c>
      <c r="I177" s="56" t="s">
        <v>5630</v>
      </c>
      <c r="J177" s="56" t="s">
        <v>68</v>
      </c>
      <c r="K177" s="56" t="s">
        <v>59</v>
      </c>
      <c r="L177" s="58">
        <v>41465</v>
      </c>
      <c r="M177" s="56">
        <v>12</v>
      </c>
      <c r="N177" s="56" t="s">
        <v>5636</v>
      </c>
      <c r="O177" s="58">
        <v>46877</v>
      </c>
      <c r="P177" s="56" t="s">
        <v>4</v>
      </c>
      <c r="Q177" s="56"/>
      <c r="R177" s="270">
        <v>45913</v>
      </c>
      <c r="S177" s="270">
        <v>45918</v>
      </c>
      <c r="T177" s="51">
        <f t="shared" si="2"/>
        <v>5</v>
      </c>
      <c r="U177" s="56">
        <v>1</v>
      </c>
      <c r="V177" s="56">
        <v>1</v>
      </c>
      <c r="W177" s="56">
        <v>0</v>
      </c>
      <c r="X177" s="56">
        <v>0</v>
      </c>
      <c r="Y177" s="56">
        <v>0</v>
      </c>
      <c r="Z177" s="56">
        <v>0</v>
      </c>
      <c r="AA177" s="56">
        <v>0</v>
      </c>
      <c r="AB177" s="56"/>
      <c r="AC177" s="58">
        <v>45913</v>
      </c>
      <c r="AD177" s="59">
        <v>0.64583333333575865</v>
      </c>
      <c r="AE177" s="56" t="s">
        <v>312</v>
      </c>
      <c r="AF177" s="58">
        <v>45918</v>
      </c>
      <c r="AG177" s="59">
        <v>0.35069444444525288</v>
      </c>
      <c r="AH177" s="56" t="s">
        <v>5632</v>
      </c>
      <c r="AI177" s="56" t="s">
        <v>5591</v>
      </c>
      <c r="AJ177" s="56" t="s">
        <v>64</v>
      </c>
      <c r="AK177" s="74" t="s">
        <v>64</v>
      </c>
      <c r="AL177" s="56" t="s">
        <v>5016</v>
      </c>
      <c r="AM177" s="56" t="s">
        <v>65</v>
      </c>
      <c r="AN177" s="60" t="s">
        <v>5026</v>
      </c>
      <c r="AO177" s="60"/>
      <c r="AP177" s="61"/>
    </row>
    <row r="178" spans="3:43" ht="14.25" customHeight="1">
      <c r="C178" s="55" t="str">
        <f>IF($X178=1,COUNTIF($C$10:C177,"&gt;0")+1,"")</f>
        <v/>
      </c>
      <c r="D178" s="56">
        <v>70161013</v>
      </c>
      <c r="E178" s="56" t="s">
        <v>5586</v>
      </c>
      <c r="F178" s="57" t="s">
        <v>5637</v>
      </c>
      <c r="G178" s="56" t="s">
        <v>5628</v>
      </c>
      <c r="H178" s="56" t="s">
        <v>5638</v>
      </c>
      <c r="I178" s="56" t="s">
        <v>5630</v>
      </c>
      <c r="J178" s="56" t="s">
        <v>58</v>
      </c>
      <c r="K178" s="56" t="s">
        <v>59</v>
      </c>
      <c r="L178" s="58">
        <v>42596</v>
      </c>
      <c r="M178" s="56">
        <v>9</v>
      </c>
      <c r="N178" s="56" t="s">
        <v>5639</v>
      </c>
      <c r="O178" s="58">
        <v>46648</v>
      </c>
      <c r="P178" s="56" t="s">
        <v>4</v>
      </c>
      <c r="Q178" s="56"/>
      <c r="R178" s="270">
        <v>45913</v>
      </c>
      <c r="S178" s="270">
        <v>45918</v>
      </c>
      <c r="T178" s="51">
        <f t="shared" si="2"/>
        <v>5</v>
      </c>
      <c r="U178" s="56">
        <v>1</v>
      </c>
      <c r="V178" s="56">
        <v>0</v>
      </c>
      <c r="W178" s="56">
        <v>1</v>
      </c>
      <c r="X178" s="56">
        <v>0</v>
      </c>
      <c r="Y178" s="56">
        <v>0</v>
      </c>
      <c r="Z178" s="56">
        <v>0</v>
      </c>
      <c r="AA178" s="56">
        <v>0</v>
      </c>
      <c r="AB178" s="56"/>
      <c r="AC178" s="58">
        <v>45913</v>
      </c>
      <c r="AD178" s="59">
        <v>0.64583333333575865</v>
      </c>
      <c r="AE178" s="56" t="s">
        <v>312</v>
      </c>
      <c r="AF178" s="58">
        <v>45918</v>
      </c>
      <c r="AG178" s="59">
        <v>0.35069444444525288</v>
      </c>
      <c r="AH178" s="56" t="s">
        <v>5632</v>
      </c>
      <c r="AI178" s="56" t="s">
        <v>5591</v>
      </c>
      <c r="AJ178" s="56" t="s">
        <v>64</v>
      </c>
      <c r="AK178" s="74" t="s">
        <v>64</v>
      </c>
      <c r="AL178" s="56" t="s">
        <v>5016</v>
      </c>
      <c r="AM178" s="56" t="s">
        <v>65</v>
      </c>
      <c r="AN178" s="60" t="s">
        <v>5026</v>
      </c>
      <c r="AO178" s="60"/>
      <c r="AP178" s="61"/>
    </row>
    <row r="179" spans="3:43" ht="14.25" customHeight="1">
      <c r="C179" s="55">
        <f>IF($X179=1,COUNTIF($C$10:C178,"&gt;0")+1,"")</f>
        <v>87</v>
      </c>
      <c r="D179" s="56">
        <v>70054432</v>
      </c>
      <c r="E179" s="56" t="s">
        <v>5586</v>
      </c>
      <c r="F179" s="57" t="s">
        <v>5640</v>
      </c>
      <c r="G179" s="56" t="s">
        <v>5640</v>
      </c>
      <c r="H179" s="56" t="s">
        <v>5225</v>
      </c>
      <c r="I179" s="56" t="s">
        <v>5309</v>
      </c>
      <c r="J179" s="56" t="s">
        <v>68</v>
      </c>
      <c r="K179" s="56" t="s">
        <v>59</v>
      </c>
      <c r="L179" s="58">
        <v>28504</v>
      </c>
      <c r="M179" s="56">
        <v>47</v>
      </c>
      <c r="N179" s="56" t="s">
        <v>5641</v>
      </c>
      <c r="O179" s="58">
        <v>46738</v>
      </c>
      <c r="P179" s="56" t="s">
        <v>3</v>
      </c>
      <c r="Q179" s="56"/>
      <c r="R179" s="270">
        <v>45913</v>
      </c>
      <c r="S179" s="270">
        <v>45918</v>
      </c>
      <c r="T179" s="51">
        <f t="shared" si="2"/>
        <v>5</v>
      </c>
      <c r="U179" s="56">
        <v>1</v>
      </c>
      <c r="V179" s="56">
        <v>1</v>
      </c>
      <c r="W179" s="56">
        <v>0</v>
      </c>
      <c r="X179" s="56">
        <v>1</v>
      </c>
      <c r="Y179" s="56">
        <v>1</v>
      </c>
      <c r="Z179" s="56">
        <v>0</v>
      </c>
      <c r="AA179" s="56">
        <v>0</v>
      </c>
      <c r="AB179" s="56"/>
      <c r="AC179" s="58">
        <v>45913</v>
      </c>
      <c r="AD179" s="59">
        <v>0.64583333333575865</v>
      </c>
      <c r="AE179" s="56" t="s">
        <v>312</v>
      </c>
      <c r="AF179" s="58">
        <v>45918</v>
      </c>
      <c r="AG179" s="59">
        <v>0.35069444444525288</v>
      </c>
      <c r="AH179" s="56" t="s">
        <v>5632</v>
      </c>
      <c r="AI179" s="56" t="s">
        <v>5591</v>
      </c>
      <c r="AJ179" s="56" t="s">
        <v>64</v>
      </c>
      <c r="AK179" s="74" t="s">
        <v>5642</v>
      </c>
      <c r="AL179" s="56" t="s">
        <v>5016</v>
      </c>
      <c r="AM179" s="56" t="s">
        <v>65</v>
      </c>
      <c r="AN179" s="60" t="s">
        <v>5040</v>
      </c>
      <c r="AO179" s="60"/>
      <c r="AP179" s="61"/>
    </row>
    <row r="180" spans="3:43" ht="14.25" customHeight="1">
      <c r="C180" s="55" t="str">
        <f>IF($X180=1,COUNTIF($C$10:C179,"&gt;0")+1,"")</f>
        <v/>
      </c>
      <c r="D180" s="56">
        <v>70054432</v>
      </c>
      <c r="E180" s="56" t="s">
        <v>5586</v>
      </c>
      <c r="F180" s="57" t="s">
        <v>5643</v>
      </c>
      <c r="G180" s="56" t="s">
        <v>5640</v>
      </c>
      <c r="H180" s="56" t="s">
        <v>5644</v>
      </c>
      <c r="I180" s="56" t="s">
        <v>5630</v>
      </c>
      <c r="J180" s="56" t="s">
        <v>68</v>
      </c>
      <c r="K180" s="56" t="s">
        <v>59</v>
      </c>
      <c r="L180" s="58">
        <v>43337</v>
      </c>
      <c r="M180" s="56">
        <v>7</v>
      </c>
      <c r="N180" s="56" t="s">
        <v>5645</v>
      </c>
      <c r="O180" s="58">
        <v>46877</v>
      </c>
      <c r="P180" s="56" t="s">
        <v>3</v>
      </c>
      <c r="Q180" s="56"/>
      <c r="R180" s="270">
        <v>45913</v>
      </c>
      <c r="S180" s="270">
        <v>45918</v>
      </c>
      <c r="T180" s="51">
        <f t="shared" si="2"/>
        <v>5</v>
      </c>
      <c r="U180" s="56">
        <v>1</v>
      </c>
      <c r="V180" s="56">
        <v>0</v>
      </c>
      <c r="W180" s="56">
        <v>1</v>
      </c>
      <c r="X180" s="56">
        <v>0</v>
      </c>
      <c r="Y180" s="56">
        <v>0</v>
      </c>
      <c r="Z180" s="56">
        <v>0</v>
      </c>
      <c r="AA180" s="56">
        <v>0</v>
      </c>
      <c r="AB180" s="56"/>
      <c r="AC180" s="58">
        <v>45913</v>
      </c>
      <c r="AD180" s="59">
        <v>0.64583333333575865</v>
      </c>
      <c r="AE180" s="56" t="s">
        <v>312</v>
      </c>
      <c r="AF180" s="58">
        <v>45918</v>
      </c>
      <c r="AG180" s="59">
        <v>0.35069444444525288</v>
      </c>
      <c r="AH180" s="56" t="s">
        <v>5632</v>
      </c>
      <c r="AI180" s="56" t="s">
        <v>5591</v>
      </c>
      <c r="AJ180" s="56" t="s">
        <v>64</v>
      </c>
      <c r="AK180" s="74" t="s">
        <v>64</v>
      </c>
      <c r="AL180" s="56" t="s">
        <v>5016</v>
      </c>
      <c r="AM180" s="56" t="s">
        <v>65</v>
      </c>
      <c r="AN180" s="60" t="s">
        <v>5040</v>
      </c>
      <c r="AO180" s="60"/>
      <c r="AP180" s="61"/>
    </row>
    <row r="181" spans="3:43" ht="14.25" customHeight="1">
      <c r="C181" s="55">
        <f>IF($X181=1,COUNTIF($C$10:C180,"&gt;0")+1,"")</f>
        <v>88</v>
      </c>
      <c r="D181" s="56">
        <v>70054419</v>
      </c>
      <c r="E181" s="56" t="s">
        <v>5586</v>
      </c>
      <c r="F181" s="57" t="s">
        <v>5646</v>
      </c>
      <c r="G181" s="56" t="s">
        <v>5646</v>
      </c>
      <c r="H181" s="56" t="s">
        <v>5647</v>
      </c>
      <c r="I181" s="56" t="s">
        <v>882</v>
      </c>
      <c r="J181" s="56" t="s">
        <v>68</v>
      </c>
      <c r="K181" s="56" t="s">
        <v>59</v>
      </c>
      <c r="L181" s="58">
        <v>24010</v>
      </c>
      <c r="M181" s="56">
        <v>59</v>
      </c>
      <c r="N181" s="56" t="s">
        <v>5648</v>
      </c>
      <c r="O181" s="58">
        <v>48753</v>
      </c>
      <c r="P181" s="56" t="s">
        <v>3</v>
      </c>
      <c r="Q181" s="56"/>
      <c r="R181" s="270">
        <v>45913</v>
      </c>
      <c r="S181" s="270">
        <v>45918</v>
      </c>
      <c r="T181" s="51">
        <f t="shared" si="2"/>
        <v>5</v>
      </c>
      <c r="U181" s="56">
        <v>1</v>
      </c>
      <c r="V181" s="56">
        <v>1</v>
      </c>
      <c r="W181" s="56">
        <v>0</v>
      </c>
      <c r="X181" s="56">
        <v>1</v>
      </c>
      <c r="Y181" s="56">
        <v>1</v>
      </c>
      <c r="Z181" s="56">
        <v>0</v>
      </c>
      <c r="AA181" s="56">
        <v>0</v>
      </c>
      <c r="AB181" s="56"/>
      <c r="AC181" s="58">
        <v>45913</v>
      </c>
      <c r="AD181" s="59">
        <v>0.63888888889050577</v>
      </c>
      <c r="AE181" s="56" t="s">
        <v>84</v>
      </c>
      <c r="AF181" s="58">
        <v>45918</v>
      </c>
      <c r="AG181" s="59">
        <v>0.68402777778101154</v>
      </c>
      <c r="AH181" s="56" t="s">
        <v>274</v>
      </c>
      <c r="AI181" s="56" t="s">
        <v>5591</v>
      </c>
      <c r="AJ181" s="56" t="s">
        <v>64</v>
      </c>
      <c r="AK181" s="56" t="s">
        <v>64</v>
      </c>
      <c r="AL181" s="56" t="s">
        <v>5016</v>
      </c>
      <c r="AM181" s="56" t="s">
        <v>65</v>
      </c>
      <c r="AN181" s="60" t="s">
        <v>5040</v>
      </c>
      <c r="AO181" s="60"/>
      <c r="AP181" s="61"/>
    </row>
    <row r="182" spans="3:43" ht="14.25" customHeight="1">
      <c r="C182" s="55">
        <f>IF($X182=1,COUNTIF($C$10:C181,"&gt;0")+1,"")</f>
        <v>89</v>
      </c>
      <c r="D182" s="56">
        <v>70499074</v>
      </c>
      <c r="E182" s="56" t="s">
        <v>5586</v>
      </c>
      <c r="F182" s="57" t="s">
        <v>5649</v>
      </c>
      <c r="G182" s="56" t="s">
        <v>5649</v>
      </c>
      <c r="H182" s="62" t="s">
        <v>5650</v>
      </c>
      <c r="I182" s="62" t="s">
        <v>1618</v>
      </c>
      <c r="J182" s="62" t="s">
        <v>68</v>
      </c>
      <c r="K182" s="62" t="s">
        <v>59</v>
      </c>
      <c r="L182" s="63">
        <v>26490</v>
      </c>
      <c r="M182" s="62">
        <v>53</v>
      </c>
      <c r="N182" s="62" t="s">
        <v>5651</v>
      </c>
      <c r="O182" s="63">
        <v>46154</v>
      </c>
      <c r="P182" s="62" t="s">
        <v>4</v>
      </c>
      <c r="Q182" s="62"/>
      <c r="R182" s="272">
        <v>45913</v>
      </c>
      <c r="S182" s="272">
        <v>45918</v>
      </c>
      <c r="T182" s="67">
        <f t="shared" si="2"/>
        <v>5</v>
      </c>
      <c r="U182" s="62">
        <v>1</v>
      </c>
      <c r="V182" s="62">
        <v>1</v>
      </c>
      <c r="W182" s="62">
        <v>0</v>
      </c>
      <c r="X182" s="62">
        <v>1</v>
      </c>
      <c r="Y182" s="62">
        <v>0</v>
      </c>
      <c r="Z182" s="62">
        <v>1</v>
      </c>
      <c r="AA182" s="62">
        <v>0</v>
      </c>
      <c r="AB182" s="62"/>
      <c r="AC182" s="63">
        <v>45913</v>
      </c>
      <c r="AD182" s="68">
        <v>0.63888888889050577</v>
      </c>
      <c r="AE182" s="62" t="s">
        <v>84</v>
      </c>
      <c r="AF182" s="63">
        <v>45918</v>
      </c>
      <c r="AG182" s="68">
        <v>0.68402777778101154</v>
      </c>
      <c r="AH182" s="62" t="s">
        <v>274</v>
      </c>
      <c r="AI182" s="62" t="s">
        <v>5591</v>
      </c>
      <c r="AJ182" s="62" t="s">
        <v>64</v>
      </c>
      <c r="AK182" s="62" t="s">
        <v>64</v>
      </c>
      <c r="AL182" s="62" t="s">
        <v>5016</v>
      </c>
      <c r="AM182" s="62" t="s">
        <v>65</v>
      </c>
      <c r="AN182" s="273" t="s">
        <v>5017</v>
      </c>
      <c r="AO182" s="273"/>
      <c r="AP182" s="64" t="s">
        <v>504</v>
      </c>
      <c r="AQ182" s="271" t="s">
        <v>5064</v>
      </c>
    </row>
    <row r="183" spans="3:43" ht="14.25" customHeight="1">
      <c r="C183" s="55" t="str">
        <f>IF($X183=1,COUNTIF($C$10:C182,"&gt;0")+1,"")</f>
        <v/>
      </c>
      <c r="D183" s="56">
        <v>70499074</v>
      </c>
      <c r="E183" s="56" t="s">
        <v>5586</v>
      </c>
      <c r="F183" s="57" t="s">
        <v>5652</v>
      </c>
      <c r="G183" s="56" t="s">
        <v>5649</v>
      </c>
      <c r="H183" s="62" t="s">
        <v>5653</v>
      </c>
      <c r="I183" s="62" t="s">
        <v>5654</v>
      </c>
      <c r="J183" s="62" t="s">
        <v>68</v>
      </c>
      <c r="K183" s="62" t="s">
        <v>59</v>
      </c>
      <c r="L183" s="63">
        <v>21361</v>
      </c>
      <c r="M183" s="62">
        <v>67</v>
      </c>
      <c r="N183" s="62" t="s">
        <v>5655</v>
      </c>
      <c r="O183" s="63">
        <v>46794</v>
      </c>
      <c r="P183" s="62" t="s">
        <v>4</v>
      </c>
      <c r="Q183" s="62"/>
      <c r="R183" s="272">
        <v>45913</v>
      </c>
      <c r="S183" s="272">
        <v>45918</v>
      </c>
      <c r="T183" s="67">
        <f t="shared" si="2"/>
        <v>5</v>
      </c>
      <c r="U183" s="62">
        <v>1</v>
      </c>
      <c r="V183" s="62">
        <v>1</v>
      </c>
      <c r="W183" s="62">
        <v>0</v>
      </c>
      <c r="X183" s="62">
        <v>0</v>
      </c>
      <c r="Y183" s="62">
        <v>0</v>
      </c>
      <c r="Z183" s="62">
        <v>0</v>
      </c>
      <c r="AA183" s="62">
        <v>0</v>
      </c>
      <c r="AB183" s="62"/>
      <c r="AC183" s="63">
        <v>45913</v>
      </c>
      <c r="AD183" s="68">
        <v>0.72916666666424135</v>
      </c>
      <c r="AE183" s="62" t="s">
        <v>575</v>
      </c>
      <c r="AF183" s="63">
        <v>45918</v>
      </c>
      <c r="AG183" s="68">
        <v>0.34027777778101154</v>
      </c>
      <c r="AH183" s="62" t="s">
        <v>5612</v>
      </c>
      <c r="AI183" s="62" t="s">
        <v>5591</v>
      </c>
      <c r="AJ183" s="62" t="s">
        <v>64</v>
      </c>
      <c r="AK183" s="62" t="s">
        <v>64</v>
      </c>
      <c r="AL183" s="62" t="s">
        <v>5016</v>
      </c>
      <c r="AM183" s="62" t="s">
        <v>65</v>
      </c>
      <c r="AN183" s="273" t="s">
        <v>5017</v>
      </c>
      <c r="AO183" s="273"/>
      <c r="AP183" s="64" t="s">
        <v>504</v>
      </c>
      <c r="AQ183" s="271" t="s">
        <v>5064</v>
      </c>
    </row>
    <row r="184" spans="3:43" ht="14.25" customHeight="1">
      <c r="C184" s="55">
        <f>IF($X184=1,COUNTIF($C$10:C183,"&gt;0")+1,"")</f>
        <v>90</v>
      </c>
      <c r="D184" s="56">
        <v>70485492</v>
      </c>
      <c r="E184" s="56" t="s">
        <v>5656</v>
      </c>
      <c r="F184" s="57" t="s">
        <v>5657</v>
      </c>
      <c r="G184" s="56" t="s">
        <v>5657</v>
      </c>
      <c r="H184" s="56" t="s">
        <v>5658</v>
      </c>
      <c r="I184" s="56" t="s">
        <v>5659</v>
      </c>
      <c r="J184" s="56" t="s">
        <v>68</v>
      </c>
      <c r="K184" s="56" t="s">
        <v>3236</v>
      </c>
      <c r="L184" s="58">
        <v>24879</v>
      </c>
      <c r="M184" s="56">
        <v>57</v>
      </c>
      <c r="N184" s="56" t="s">
        <v>5660</v>
      </c>
      <c r="O184" s="58">
        <v>48491</v>
      </c>
      <c r="P184" s="56" t="s">
        <v>5</v>
      </c>
      <c r="Q184" s="56"/>
      <c r="R184" s="270">
        <v>45913</v>
      </c>
      <c r="S184" s="270">
        <v>45918</v>
      </c>
      <c r="T184" s="51">
        <f t="shared" si="2"/>
        <v>5</v>
      </c>
      <c r="U184" s="56">
        <v>1</v>
      </c>
      <c r="V184" s="56">
        <v>1</v>
      </c>
      <c r="W184" s="56">
        <v>0</v>
      </c>
      <c r="X184" s="56">
        <v>1</v>
      </c>
      <c r="Y184" s="56">
        <v>0</v>
      </c>
      <c r="Z184" s="56">
        <v>0</v>
      </c>
      <c r="AA184" s="56">
        <v>1</v>
      </c>
      <c r="AB184" s="56"/>
      <c r="AC184" s="58">
        <v>45913</v>
      </c>
      <c r="AD184" s="59">
        <v>0.64583333333575865</v>
      </c>
      <c r="AE184" s="56" t="s">
        <v>312</v>
      </c>
      <c r="AF184" s="58">
        <v>45918</v>
      </c>
      <c r="AG184" s="59">
        <v>0.72569444444525288</v>
      </c>
      <c r="AH184" s="56" t="s">
        <v>313</v>
      </c>
      <c r="AI184" s="56" t="s">
        <v>5661</v>
      </c>
      <c r="AJ184" s="56" t="s">
        <v>64</v>
      </c>
      <c r="AK184" s="56" t="s">
        <v>64</v>
      </c>
      <c r="AL184" s="56" t="s">
        <v>5016</v>
      </c>
      <c r="AM184" s="56" t="s">
        <v>65</v>
      </c>
      <c r="AN184" s="60"/>
      <c r="AO184" s="60"/>
      <c r="AP184" s="61"/>
    </row>
    <row r="185" spans="3:43" ht="14.25" customHeight="1">
      <c r="C185" s="55" t="str">
        <f>IF($X185=1,COUNTIF($C$10:C184,"&gt;0")+1,"")</f>
        <v/>
      </c>
      <c r="D185" s="56">
        <v>70485492</v>
      </c>
      <c r="E185" s="56" t="s">
        <v>5656</v>
      </c>
      <c r="F185" s="57" t="s">
        <v>5662</v>
      </c>
      <c r="G185" s="56" t="s">
        <v>5657</v>
      </c>
      <c r="H185" s="56" t="s">
        <v>5663</v>
      </c>
      <c r="I185" s="56" t="s">
        <v>5664</v>
      </c>
      <c r="J185" s="56" t="s">
        <v>68</v>
      </c>
      <c r="K185" s="56" t="s">
        <v>59</v>
      </c>
      <c r="L185" s="58">
        <v>35860</v>
      </c>
      <c r="M185" s="56">
        <v>27</v>
      </c>
      <c r="N185" s="56" t="s">
        <v>5665</v>
      </c>
      <c r="O185" s="58">
        <v>45755</v>
      </c>
      <c r="P185" s="56" t="s">
        <v>5</v>
      </c>
      <c r="Q185" s="56"/>
      <c r="R185" s="270">
        <v>45913</v>
      </c>
      <c r="S185" s="270">
        <v>45918</v>
      </c>
      <c r="T185" s="51">
        <f t="shared" si="2"/>
        <v>5</v>
      </c>
      <c r="U185" s="56">
        <v>1</v>
      </c>
      <c r="V185" s="56">
        <v>1</v>
      </c>
      <c r="W185" s="56">
        <v>0</v>
      </c>
      <c r="X185" s="56">
        <v>0</v>
      </c>
      <c r="Y185" s="56">
        <v>0</v>
      </c>
      <c r="Z185" s="56">
        <v>0</v>
      </c>
      <c r="AA185" s="56">
        <v>0</v>
      </c>
      <c r="AB185" s="56"/>
      <c r="AC185" s="58">
        <v>45913</v>
      </c>
      <c r="AD185" s="59">
        <v>0.64583333333575865</v>
      </c>
      <c r="AE185" s="56" t="s">
        <v>312</v>
      </c>
      <c r="AF185" s="58">
        <v>45918</v>
      </c>
      <c r="AG185" s="59">
        <v>0.72569444444525288</v>
      </c>
      <c r="AH185" s="56" t="s">
        <v>313</v>
      </c>
      <c r="AI185" s="56" t="s">
        <v>5661</v>
      </c>
      <c r="AJ185" s="56" t="s">
        <v>64</v>
      </c>
      <c r="AK185" s="56" t="s">
        <v>64</v>
      </c>
      <c r="AL185" s="56" t="s">
        <v>5016</v>
      </c>
      <c r="AM185" s="56" t="s">
        <v>65</v>
      </c>
      <c r="AN185" s="60"/>
      <c r="AO185" s="60"/>
      <c r="AP185" s="61"/>
    </row>
    <row r="186" spans="3:43" ht="14.25" customHeight="1">
      <c r="C186" s="55">
        <f>IF($X186=1,COUNTIF($C$10:C185,"&gt;0")+1,"")</f>
        <v>91</v>
      </c>
      <c r="D186" s="56">
        <v>70485499</v>
      </c>
      <c r="E186" s="56" t="s">
        <v>5656</v>
      </c>
      <c r="F186" s="57" t="s">
        <v>5666</v>
      </c>
      <c r="G186" s="56" t="s">
        <v>5666</v>
      </c>
      <c r="H186" s="56" t="s">
        <v>5667</v>
      </c>
      <c r="I186" s="56" t="s">
        <v>5668</v>
      </c>
      <c r="J186" s="56" t="s">
        <v>68</v>
      </c>
      <c r="K186" s="56" t="s">
        <v>59</v>
      </c>
      <c r="L186" s="58">
        <v>34943</v>
      </c>
      <c r="M186" s="56">
        <v>30</v>
      </c>
      <c r="N186" s="56" t="s">
        <v>5669</v>
      </c>
      <c r="O186" s="58">
        <v>47363</v>
      </c>
      <c r="P186" s="56" t="s">
        <v>5</v>
      </c>
      <c r="Q186" s="56"/>
      <c r="R186" s="270">
        <v>45913</v>
      </c>
      <c r="S186" s="270">
        <v>45918</v>
      </c>
      <c r="T186" s="51">
        <f t="shared" si="2"/>
        <v>5</v>
      </c>
      <c r="U186" s="56">
        <v>1</v>
      </c>
      <c r="V186" s="56">
        <v>1</v>
      </c>
      <c r="W186" s="56">
        <v>0</v>
      </c>
      <c r="X186" s="56">
        <v>1</v>
      </c>
      <c r="Y186" s="56">
        <v>0</v>
      </c>
      <c r="Z186" s="56">
        <v>0</v>
      </c>
      <c r="AA186" s="56">
        <v>1</v>
      </c>
      <c r="AB186" s="56"/>
      <c r="AC186" s="58">
        <v>45913</v>
      </c>
      <c r="AD186" s="59">
        <v>0.64583333333575865</v>
      </c>
      <c r="AE186" s="56" t="s">
        <v>312</v>
      </c>
      <c r="AF186" s="58">
        <v>45918</v>
      </c>
      <c r="AG186" s="59">
        <v>0.72569444444525288</v>
      </c>
      <c r="AH186" s="56" t="s">
        <v>313</v>
      </c>
      <c r="AI186" s="56" t="s">
        <v>5661</v>
      </c>
      <c r="AJ186" s="56" t="s">
        <v>64</v>
      </c>
      <c r="AK186" s="56" t="s">
        <v>64</v>
      </c>
      <c r="AL186" s="56" t="s">
        <v>5016</v>
      </c>
      <c r="AM186" s="56" t="s">
        <v>65</v>
      </c>
      <c r="AN186" s="60"/>
      <c r="AO186" s="60"/>
      <c r="AP186" s="61"/>
    </row>
    <row r="187" spans="3:43" ht="14.25" customHeight="1">
      <c r="C187" s="55" t="str">
        <f>IF($X187=1,COUNTIF($C$10:C186,"&gt;0")+1,"")</f>
        <v/>
      </c>
      <c r="D187" s="56">
        <v>70485499</v>
      </c>
      <c r="E187" s="56" t="s">
        <v>5656</v>
      </c>
      <c r="F187" s="57" t="s">
        <v>5670</v>
      </c>
      <c r="G187" s="56" t="s">
        <v>5666</v>
      </c>
      <c r="H187" s="56" t="s">
        <v>5671</v>
      </c>
      <c r="I187" s="56" t="s">
        <v>5659</v>
      </c>
      <c r="J187" s="56" t="s">
        <v>68</v>
      </c>
      <c r="K187" s="56" t="s">
        <v>59</v>
      </c>
      <c r="L187" s="58">
        <v>24879</v>
      </c>
      <c r="M187" s="56">
        <v>57</v>
      </c>
      <c r="N187" s="56" t="s">
        <v>5672</v>
      </c>
      <c r="O187" s="58">
        <v>46357</v>
      </c>
      <c r="P187" s="56" t="s">
        <v>5</v>
      </c>
      <c r="Q187" s="56"/>
      <c r="R187" s="270">
        <v>45913</v>
      </c>
      <c r="S187" s="270">
        <v>45918</v>
      </c>
      <c r="T187" s="51">
        <f t="shared" si="2"/>
        <v>5</v>
      </c>
      <c r="U187" s="56">
        <v>1</v>
      </c>
      <c r="V187" s="56">
        <v>1</v>
      </c>
      <c r="W187" s="56">
        <v>0</v>
      </c>
      <c r="X187" s="56">
        <v>0</v>
      </c>
      <c r="Y187" s="56">
        <v>0</v>
      </c>
      <c r="Z187" s="56">
        <v>0</v>
      </c>
      <c r="AA187" s="56">
        <v>0</v>
      </c>
      <c r="AB187" s="56"/>
      <c r="AC187" s="58">
        <v>45913</v>
      </c>
      <c r="AD187" s="59">
        <v>0.64583333333575865</v>
      </c>
      <c r="AE187" s="56" t="s">
        <v>312</v>
      </c>
      <c r="AF187" s="58">
        <v>45918</v>
      </c>
      <c r="AG187" s="59">
        <v>0.72569444444525288</v>
      </c>
      <c r="AH187" s="56" t="s">
        <v>313</v>
      </c>
      <c r="AI187" s="56" t="s">
        <v>5661</v>
      </c>
      <c r="AJ187" s="56" t="s">
        <v>64</v>
      </c>
      <c r="AK187" s="56" t="s">
        <v>64</v>
      </c>
      <c r="AL187" s="56" t="s">
        <v>5016</v>
      </c>
      <c r="AM187" s="56" t="s">
        <v>65</v>
      </c>
      <c r="AN187" s="60"/>
      <c r="AO187" s="60"/>
      <c r="AP187" s="61"/>
    </row>
    <row r="188" spans="3:43" ht="14.25" customHeight="1">
      <c r="C188" s="55">
        <f>IF($X188=1,COUNTIF($C$10:C187,"&gt;0")+1,"")</f>
        <v>92</v>
      </c>
      <c r="D188" s="56">
        <v>70171469</v>
      </c>
      <c r="E188" s="56" t="s">
        <v>5656</v>
      </c>
      <c r="F188" s="57" t="s">
        <v>5673</v>
      </c>
      <c r="G188" s="56" t="s">
        <v>5673</v>
      </c>
      <c r="H188" s="56" t="s">
        <v>5674</v>
      </c>
      <c r="I188" s="56" t="s">
        <v>5606</v>
      </c>
      <c r="J188" s="56" t="s">
        <v>58</v>
      </c>
      <c r="K188" s="56" t="s">
        <v>59</v>
      </c>
      <c r="L188" s="58">
        <v>34470</v>
      </c>
      <c r="M188" s="56">
        <v>31</v>
      </c>
      <c r="N188" s="56" t="s">
        <v>5675</v>
      </c>
      <c r="O188" s="58">
        <v>48232</v>
      </c>
      <c r="P188" s="56" t="s">
        <v>4</v>
      </c>
      <c r="Q188" s="56"/>
      <c r="R188" s="270">
        <v>45913</v>
      </c>
      <c r="S188" s="270">
        <v>45918</v>
      </c>
      <c r="T188" s="51">
        <f t="shared" si="2"/>
        <v>5</v>
      </c>
      <c r="U188" s="56">
        <v>1</v>
      </c>
      <c r="V188" s="56">
        <v>1</v>
      </c>
      <c r="W188" s="56">
        <v>0</v>
      </c>
      <c r="X188" s="56">
        <v>1</v>
      </c>
      <c r="Y188" s="56">
        <v>0</v>
      </c>
      <c r="Z188" s="56">
        <v>1</v>
      </c>
      <c r="AA188" s="56">
        <v>0</v>
      </c>
      <c r="AB188" s="56"/>
      <c r="AC188" s="58">
        <v>45913</v>
      </c>
      <c r="AD188" s="59">
        <v>0.68402777778101154</v>
      </c>
      <c r="AE188" s="56" t="s">
        <v>688</v>
      </c>
      <c r="AF188" s="58">
        <v>45918</v>
      </c>
      <c r="AG188" s="59">
        <v>0.34375</v>
      </c>
      <c r="AH188" s="56" t="s">
        <v>5603</v>
      </c>
      <c r="AI188" s="56" t="s">
        <v>5661</v>
      </c>
      <c r="AJ188" s="56" t="s">
        <v>64</v>
      </c>
      <c r="AK188" s="56" t="s">
        <v>64</v>
      </c>
      <c r="AL188" s="56" t="s">
        <v>5016</v>
      </c>
      <c r="AM188" s="56" t="s">
        <v>65</v>
      </c>
      <c r="AN188" s="60"/>
      <c r="AO188" s="60"/>
      <c r="AP188" s="61"/>
    </row>
    <row r="189" spans="3:43" ht="14.25" customHeight="1">
      <c r="C189" s="55" t="str">
        <f>IF($X189=1,COUNTIF($C$10:C188,"&gt;0")+1,"")</f>
        <v/>
      </c>
      <c r="D189" s="56">
        <v>70171469</v>
      </c>
      <c r="E189" s="56" t="s">
        <v>5656</v>
      </c>
      <c r="F189" s="57" t="s">
        <v>5676</v>
      </c>
      <c r="G189" s="56" t="s">
        <v>5673</v>
      </c>
      <c r="H189" s="56" t="s">
        <v>5677</v>
      </c>
      <c r="I189" s="56" t="s">
        <v>1376</v>
      </c>
      <c r="J189" s="56" t="s">
        <v>68</v>
      </c>
      <c r="K189" s="56" t="s">
        <v>59</v>
      </c>
      <c r="L189" s="58">
        <v>34270</v>
      </c>
      <c r="M189" s="56">
        <v>31</v>
      </c>
      <c r="N189" s="56" t="s">
        <v>5678</v>
      </c>
      <c r="O189" s="58">
        <v>46791</v>
      </c>
      <c r="P189" s="56" t="s">
        <v>4</v>
      </c>
      <c r="Q189" s="56"/>
      <c r="R189" s="270">
        <v>45913</v>
      </c>
      <c r="S189" s="270">
        <v>45918</v>
      </c>
      <c r="T189" s="51">
        <f t="shared" si="2"/>
        <v>5</v>
      </c>
      <c r="U189" s="56">
        <v>1</v>
      </c>
      <c r="V189" s="56">
        <v>1</v>
      </c>
      <c r="W189" s="56">
        <v>0</v>
      </c>
      <c r="X189" s="56">
        <v>0</v>
      </c>
      <c r="Y189" s="56">
        <v>0</v>
      </c>
      <c r="Z189" s="56">
        <v>0</v>
      </c>
      <c r="AA189" s="56">
        <v>0</v>
      </c>
      <c r="AB189" s="56"/>
      <c r="AC189" s="58">
        <v>45913</v>
      </c>
      <c r="AD189" s="59">
        <v>0.68402777778101154</v>
      </c>
      <c r="AE189" s="56" t="s">
        <v>688</v>
      </c>
      <c r="AF189" s="58">
        <v>45918</v>
      </c>
      <c r="AG189" s="59">
        <v>0.34375</v>
      </c>
      <c r="AH189" s="56" t="s">
        <v>5603</v>
      </c>
      <c r="AI189" s="56" t="s">
        <v>5661</v>
      </c>
      <c r="AJ189" s="56" t="s">
        <v>64</v>
      </c>
      <c r="AK189" s="56" t="s">
        <v>64</v>
      </c>
      <c r="AL189" s="56" t="s">
        <v>5016</v>
      </c>
      <c r="AM189" s="56" t="s">
        <v>65</v>
      </c>
      <c r="AN189" s="60"/>
      <c r="AO189" s="60"/>
      <c r="AP189" s="61"/>
    </row>
    <row r="190" spans="3:43" ht="14.25" customHeight="1">
      <c r="C190" s="55">
        <f>IF($X190=1,COUNTIF($C$10:C189,"&gt;0")+1,"")</f>
        <v>93</v>
      </c>
      <c r="D190" s="56">
        <v>70503756</v>
      </c>
      <c r="E190" s="56" t="s">
        <v>5656</v>
      </c>
      <c r="F190" s="57" t="s">
        <v>5679</v>
      </c>
      <c r="G190" s="56" t="s">
        <v>5679</v>
      </c>
      <c r="H190" s="56" t="s">
        <v>5680</v>
      </c>
      <c r="I190" s="56" t="s">
        <v>5681</v>
      </c>
      <c r="J190" s="56" t="s">
        <v>68</v>
      </c>
      <c r="K190" s="56" t="s">
        <v>59</v>
      </c>
      <c r="L190" s="58">
        <v>28523</v>
      </c>
      <c r="M190" s="56">
        <v>47</v>
      </c>
      <c r="N190" s="56" t="s">
        <v>5682</v>
      </c>
      <c r="O190" s="58">
        <v>48847</v>
      </c>
      <c r="P190" s="56" t="s">
        <v>4</v>
      </c>
      <c r="Q190" s="56"/>
      <c r="R190" s="270">
        <v>45913</v>
      </c>
      <c r="S190" s="270">
        <v>45918</v>
      </c>
      <c r="T190" s="51">
        <f t="shared" si="2"/>
        <v>5</v>
      </c>
      <c r="U190" s="56">
        <v>1</v>
      </c>
      <c r="V190" s="56">
        <v>1</v>
      </c>
      <c r="W190" s="56">
        <v>0</v>
      </c>
      <c r="X190" s="56">
        <v>1</v>
      </c>
      <c r="Y190" s="56">
        <v>0</v>
      </c>
      <c r="Z190" s="56">
        <v>1</v>
      </c>
      <c r="AA190" s="56">
        <v>0</v>
      </c>
      <c r="AB190" s="56"/>
      <c r="AC190" s="58">
        <v>45913</v>
      </c>
      <c r="AD190" s="59">
        <v>0.65972222221898846</v>
      </c>
      <c r="AE190" s="56" t="s">
        <v>101</v>
      </c>
      <c r="AF190" s="58">
        <v>45918</v>
      </c>
      <c r="AG190" s="59">
        <v>0.70138888889050577</v>
      </c>
      <c r="AH190" s="56" t="s">
        <v>96</v>
      </c>
      <c r="AI190" s="56" t="s">
        <v>5661</v>
      </c>
      <c r="AJ190" s="56" t="s">
        <v>64</v>
      </c>
      <c r="AK190" s="56" t="s">
        <v>64</v>
      </c>
      <c r="AL190" s="56" t="s">
        <v>5016</v>
      </c>
      <c r="AM190" s="56" t="s">
        <v>65</v>
      </c>
      <c r="AN190" s="60" t="s">
        <v>5017</v>
      </c>
      <c r="AO190" s="60"/>
      <c r="AP190" s="61"/>
      <c r="AQ190" s="271" t="s">
        <v>5064</v>
      </c>
    </row>
    <row r="191" spans="3:43" ht="14.25" customHeight="1">
      <c r="C191" s="55" t="str">
        <f>IF($X191=1,COUNTIF($C$10:C190,"&gt;0")+1,"")</f>
        <v/>
      </c>
      <c r="D191" s="56">
        <v>70503756</v>
      </c>
      <c r="E191" s="56" t="s">
        <v>5656</v>
      </c>
      <c r="F191" s="57" t="s">
        <v>5683</v>
      </c>
      <c r="G191" s="56" t="s">
        <v>5679</v>
      </c>
      <c r="H191" s="56" t="s">
        <v>5684</v>
      </c>
      <c r="I191" s="56" t="s">
        <v>5685</v>
      </c>
      <c r="J191" s="56" t="s">
        <v>68</v>
      </c>
      <c r="K191" s="56" t="s">
        <v>59</v>
      </c>
      <c r="L191" s="58">
        <v>37097</v>
      </c>
      <c r="M191" s="56">
        <v>24</v>
      </c>
      <c r="N191" s="56" t="s">
        <v>5686</v>
      </c>
      <c r="O191" s="58">
        <v>46945</v>
      </c>
      <c r="P191" s="56" t="s">
        <v>4</v>
      </c>
      <c r="Q191" s="56"/>
      <c r="R191" s="270">
        <v>45913</v>
      </c>
      <c r="S191" s="270">
        <v>45918</v>
      </c>
      <c r="T191" s="51">
        <f t="shared" si="2"/>
        <v>5</v>
      </c>
      <c r="U191" s="56">
        <v>1</v>
      </c>
      <c r="V191" s="56">
        <v>1</v>
      </c>
      <c r="W191" s="56">
        <v>0</v>
      </c>
      <c r="X191" s="56">
        <v>0</v>
      </c>
      <c r="Y191" s="56">
        <v>0</v>
      </c>
      <c r="Z191" s="56">
        <v>0</v>
      </c>
      <c r="AA191" s="56">
        <v>0</v>
      </c>
      <c r="AB191" s="56"/>
      <c r="AC191" s="58" t="s">
        <v>64</v>
      </c>
      <c r="AD191" s="59" t="s">
        <v>64</v>
      </c>
      <c r="AE191" s="56" t="s">
        <v>64</v>
      </c>
      <c r="AF191" s="58" t="s">
        <v>64</v>
      </c>
      <c r="AG191" s="59" t="s">
        <v>64</v>
      </c>
      <c r="AH191" s="56" t="s">
        <v>64</v>
      </c>
      <c r="AI191" s="56" t="s">
        <v>5661</v>
      </c>
      <c r="AJ191" s="56" t="s">
        <v>64</v>
      </c>
      <c r="AK191" s="56" t="s">
        <v>64</v>
      </c>
      <c r="AL191" s="56" t="s">
        <v>5016</v>
      </c>
      <c r="AM191" s="56" t="s">
        <v>65</v>
      </c>
      <c r="AN191" s="60" t="s">
        <v>5017</v>
      </c>
      <c r="AO191" s="60"/>
      <c r="AP191" s="61"/>
      <c r="AQ191" s="271" t="s">
        <v>5064</v>
      </c>
    </row>
    <row r="192" spans="3:43" ht="14.25" customHeight="1">
      <c r="C192" s="55">
        <f>IF($X192=1,COUNTIF($C$10:C191,"&gt;0")+1,"")</f>
        <v>94</v>
      </c>
      <c r="D192" s="56">
        <v>70485503</v>
      </c>
      <c r="E192" s="56" t="s">
        <v>5656</v>
      </c>
      <c r="F192" s="57" t="s">
        <v>5687</v>
      </c>
      <c r="G192" s="56" t="s">
        <v>5687</v>
      </c>
      <c r="H192" s="56" t="s">
        <v>5688</v>
      </c>
      <c r="I192" s="56" t="s">
        <v>1376</v>
      </c>
      <c r="J192" s="56" t="s">
        <v>58</v>
      </c>
      <c r="K192" s="56" t="s">
        <v>59</v>
      </c>
      <c r="L192" s="58">
        <v>32921</v>
      </c>
      <c r="M192" s="56">
        <v>35</v>
      </c>
      <c r="N192" s="56" t="s">
        <v>5689</v>
      </c>
      <c r="O192" s="58">
        <v>49461</v>
      </c>
      <c r="P192" s="56" t="s">
        <v>5</v>
      </c>
      <c r="Q192" s="56"/>
      <c r="R192" s="270">
        <v>45913</v>
      </c>
      <c r="S192" s="270">
        <v>45918</v>
      </c>
      <c r="T192" s="51">
        <f t="shared" si="2"/>
        <v>5</v>
      </c>
      <c r="U192" s="56">
        <v>1</v>
      </c>
      <c r="V192" s="56">
        <v>1</v>
      </c>
      <c r="W192" s="56">
        <v>0</v>
      </c>
      <c r="X192" s="56">
        <v>1</v>
      </c>
      <c r="Y192" s="56">
        <v>0</v>
      </c>
      <c r="Z192" s="56">
        <v>0</v>
      </c>
      <c r="AA192" s="56">
        <v>1</v>
      </c>
      <c r="AB192" s="56"/>
      <c r="AC192" s="58">
        <v>45913</v>
      </c>
      <c r="AD192" s="59">
        <v>0.49652777778101154</v>
      </c>
      <c r="AE192" s="56" t="s">
        <v>5690</v>
      </c>
      <c r="AF192" s="58">
        <v>45918</v>
      </c>
      <c r="AG192" s="59">
        <v>0.34375</v>
      </c>
      <c r="AH192" s="56" t="s">
        <v>5603</v>
      </c>
      <c r="AI192" s="56" t="s">
        <v>5661</v>
      </c>
      <c r="AJ192" s="56" t="s">
        <v>64</v>
      </c>
      <c r="AK192" s="56" t="s">
        <v>64</v>
      </c>
      <c r="AL192" s="56" t="s">
        <v>5016</v>
      </c>
      <c r="AM192" s="56" t="s">
        <v>65</v>
      </c>
      <c r="AN192" s="60"/>
      <c r="AO192" s="60"/>
      <c r="AP192" s="61"/>
    </row>
    <row r="193" spans="3:43" ht="14.25" customHeight="1">
      <c r="C193" s="55" t="str">
        <f>IF($X193=1,COUNTIF($C$10:C192,"&gt;0")+1,"")</f>
        <v/>
      </c>
      <c r="D193" s="56">
        <v>70485503</v>
      </c>
      <c r="E193" s="56" t="s">
        <v>5656</v>
      </c>
      <c r="F193" s="57" t="s">
        <v>5691</v>
      </c>
      <c r="G193" s="56" t="s">
        <v>5687</v>
      </c>
      <c r="H193" s="56" t="s">
        <v>5692</v>
      </c>
      <c r="I193" s="56" t="s">
        <v>1380</v>
      </c>
      <c r="J193" s="56" t="s">
        <v>58</v>
      </c>
      <c r="K193" s="56" t="s">
        <v>59</v>
      </c>
      <c r="L193" s="58">
        <v>38945</v>
      </c>
      <c r="M193" s="56">
        <v>19</v>
      </c>
      <c r="N193" s="56" t="s">
        <v>5693</v>
      </c>
      <c r="O193" s="58">
        <v>49057</v>
      </c>
      <c r="P193" s="56" t="s">
        <v>5</v>
      </c>
      <c r="Q193" s="56"/>
      <c r="R193" s="270">
        <v>45913</v>
      </c>
      <c r="S193" s="270">
        <v>45918</v>
      </c>
      <c r="T193" s="51">
        <f t="shared" si="2"/>
        <v>5</v>
      </c>
      <c r="U193" s="56">
        <v>1</v>
      </c>
      <c r="V193" s="56">
        <v>1</v>
      </c>
      <c r="W193" s="56">
        <v>0</v>
      </c>
      <c r="X193" s="56">
        <v>0</v>
      </c>
      <c r="Y193" s="56">
        <v>0</v>
      </c>
      <c r="Z193" s="56">
        <v>0</v>
      </c>
      <c r="AA193" s="56">
        <v>0</v>
      </c>
      <c r="AB193" s="56"/>
      <c r="AC193" s="58">
        <v>45913</v>
      </c>
      <c r="AD193" s="59">
        <v>0.45833333333575865</v>
      </c>
      <c r="AE193" s="56" t="s">
        <v>244</v>
      </c>
      <c r="AF193" s="58">
        <v>45918</v>
      </c>
      <c r="AG193" s="59">
        <v>0.34375</v>
      </c>
      <c r="AH193" s="56" t="s">
        <v>5603</v>
      </c>
      <c r="AI193" s="56" t="s">
        <v>5661</v>
      </c>
      <c r="AJ193" s="56" t="s">
        <v>64</v>
      </c>
      <c r="AK193" s="56" t="s">
        <v>64</v>
      </c>
      <c r="AL193" s="56" t="s">
        <v>5016</v>
      </c>
      <c r="AM193" s="56" t="s">
        <v>65</v>
      </c>
      <c r="AN193" s="60"/>
      <c r="AO193" s="60"/>
      <c r="AP193" s="61"/>
    </row>
    <row r="194" spans="3:43" ht="14.25" customHeight="1">
      <c r="C194" s="55">
        <f>IF($X194=1,COUNTIF($C$10:C193,"&gt;0")+1,"")</f>
        <v>95</v>
      </c>
      <c r="D194" s="56">
        <v>70171513</v>
      </c>
      <c r="E194" s="56" t="s">
        <v>5656</v>
      </c>
      <c r="F194" s="57" t="s">
        <v>5694</v>
      </c>
      <c r="G194" s="56" t="s">
        <v>5694</v>
      </c>
      <c r="H194" s="56" t="s">
        <v>5695</v>
      </c>
      <c r="I194" s="56" t="s">
        <v>1905</v>
      </c>
      <c r="J194" s="56" t="s">
        <v>68</v>
      </c>
      <c r="K194" s="56" t="s">
        <v>59</v>
      </c>
      <c r="L194" s="58">
        <v>25370</v>
      </c>
      <c r="M194" s="56">
        <v>56</v>
      </c>
      <c r="N194" s="56" t="s">
        <v>5696</v>
      </c>
      <c r="O194" s="58">
        <v>48595</v>
      </c>
      <c r="P194" s="56" t="s">
        <v>4</v>
      </c>
      <c r="Q194" s="56"/>
      <c r="R194" s="270">
        <v>45913</v>
      </c>
      <c r="S194" s="270">
        <v>45918</v>
      </c>
      <c r="T194" s="51">
        <f t="shared" si="2"/>
        <v>5</v>
      </c>
      <c r="U194" s="56">
        <v>1</v>
      </c>
      <c r="V194" s="56">
        <v>1</v>
      </c>
      <c r="W194" s="56">
        <v>0</v>
      </c>
      <c r="X194" s="56">
        <v>1</v>
      </c>
      <c r="Y194" s="56">
        <v>0</v>
      </c>
      <c r="Z194" s="56">
        <v>1</v>
      </c>
      <c r="AA194" s="56">
        <v>0</v>
      </c>
      <c r="AB194" s="56"/>
      <c r="AC194" s="58">
        <v>45913</v>
      </c>
      <c r="AD194" s="59">
        <v>0.65972222221898846</v>
      </c>
      <c r="AE194" s="56" t="s">
        <v>101</v>
      </c>
      <c r="AF194" s="58">
        <v>45918</v>
      </c>
      <c r="AG194" s="59">
        <v>0.70138888889050577</v>
      </c>
      <c r="AH194" s="56" t="s">
        <v>96</v>
      </c>
      <c r="AI194" s="56" t="s">
        <v>5661</v>
      </c>
      <c r="AJ194" s="56" t="s">
        <v>64</v>
      </c>
      <c r="AK194" s="56" t="s">
        <v>64</v>
      </c>
      <c r="AL194" s="56" t="s">
        <v>5016</v>
      </c>
      <c r="AM194" s="56" t="s">
        <v>65</v>
      </c>
      <c r="AN194" s="60"/>
      <c r="AO194" s="60"/>
      <c r="AP194" s="61"/>
    </row>
    <row r="195" spans="3:43" ht="14.25" customHeight="1">
      <c r="C195" s="55" t="str">
        <f>IF($X195=1,COUNTIF($C$10:C194,"&gt;0")+1,"")</f>
        <v/>
      </c>
      <c r="D195" s="56">
        <v>70171513</v>
      </c>
      <c r="E195" s="56" t="s">
        <v>5656</v>
      </c>
      <c r="F195" s="57" t="s">
        <v>5697</v>
      </c>
      <c r="G195" s="56" t="s">
        <v>5694</v>
      </c>
      <c r="H195" s="56" t="s">
        <v>5698</v>
      </c>
      <c r="I195" s="56" t="s">
        <v>1905</v>
      </c>
      <c r="J195" s="56" t="s">
        <v>68</v>
      </c>
      <c r="K195" s="56" t="s">
        <v>59</v>
      </c>
      <c r="L195" s="58">
        <v>36807</v>
      </c>
      <c r="M195" s="56">
        <v>24</v>
      </c>
      <c r="N195" s="56" t="s">
        <v>5699</v>
      </c>
      <c r="O195" s="58">
        <v>47188</v>
      </c>
      <c r="P195" s="56" t="s">
        <v>4</v>
      </c>
      <c r="Q195" s="56"/>
      <c r="R195" s="270">
        <v>45913</v>
      </c>
      <c r="S195" s="270">
        <v>45918</v>
      </c>
      <c r="T195" s="51">
        <f t="shared" si="2"/>
        <v>5</v>
      </c>
      <c r="U195" s="56">
        <v>1</v>
      </c>
      <c r="V195" s="56">
        <v>1</v>
      </c>
      <c r="W195" s="56">
        <v>0</v>
      </c>
      <c r="X195" s="56">
        <v>0</v>
      </c>
      <c r="Y195" s="56">
        <v>0</v>
      </c>
      <c r="Z195" s="56">
        <v>0</v>
      </c>
      <c r="AA195" s="56">
        <v>0</v>
      </c>
      <c r="AB195" s="56"/>
      <c r="AC195" s="58">
        <v>45913</v>
      </c>
      <c r="AD195" s="59">
        <v>0.65972222221898846</v>
      </c>
      <c r="AE195" s="56" t="s">
        <v>101</v>
      </c>
      <c r="AF195" s="58">
        <v>45918</v>
      </c>
      <c r="AG195" s="59">
        <v>0.70138888889050577</v>
      </c>
      <c r="AH195" s="56" t="s">
        <v>96</v>
      </c>
      <c r="AI195" s="56" t="s">
        <v>5661</v>
      </c>
      <c r="AJ195" s="56" t="s">
        <v>64</v>
      </c>
      <c r="AK195" s="56" t="s">
        <v>64</v>
      </c>
      <c r="AL195" s="56" t="s">
        <v>5016</v>
      </c>
      <c r="AM195" s="56" t="s">
        <v>65</v>
      </c>
      <c r="AN195" s="60"/>
      <c r="AO195" s="60"/>
      <c r="AP195" s="61"/>
    </row>
    <row r="196" spans="3:43" ht="14.25" customHeight="1">
      <c r="C196" s="55">
        <f>IF($X196=1,COUNTIF($C$10:C195,"&gt;0")+1,"")</f>
        <v>96</v>
      </c>
      <c r="D196" s="56">
        <v>70522147</v>
      </c>
      <c r="E196" s="56" t="s">
        <v>5656</v>
      </c>
      <c r="F196" s="57" t="s">
        <v>5700</v>
      </c>
      <c r="G196" s="56" t="s">
        <v>5700</v>
      </c>
      <c r="H196" s="56" t="s">
        <v>5701</v>
      </c>
      <c r="I196" s="56" t="s">
        <v>1376</v>
      </c>
      <c r="J196" s="56" t="s">
        <v>58</v>
      </c>
      <c r="K196" s="56" t="s">
        <v>59</v>
      </c>
      <c r="L196" s="58">
        <v>21117</v>
      </c>
      <c r="M196" s="56">
        <v>67</v>
      </c>
      <c r="N196" s="56" t="s">
        <v>5702</v>
      </c>
      <c r="O196" s="58">
        <v>48433</v>
      </c>
      <c r="P196" s="56" t="s">
        <v>4</v>
      </c>
      <c r="Q196" s="56"/>
      <c r="R196" s="270">
        <v>45913</v>
      </c>
      <c r="S196" s="270">
        <v>45918</v>
      </c>
      <c r="T196" s="51">
        <f t="shared" si="2"/>
        <v>5</v>
      </c>
      <c r="U196" s="56">
        <v>1</v>
      </c>
      <c r="V196" s="56">
        <v>1</v>
      </c>
      <c r="W196" s="56">
        <v>0</v>
      </c>
      <c r="X196" s="56">
        <v>1</v>
      </c>
      <c r="Y196" s="56">
        <v>0</v>
      </c>
      <c r="Z196" s="56">
        <v>1</v>
      </c>
      <c r="AA196" s="56">
        <v>0</v>
      </c>
      <c r="AB196" s="56"/>
      <c r="AC196" s="58">
        <v>45913</v>
      </c>
      <c r="AD196" s="59">
        <v>0.45833333333575865</v>
      </c>
      <c r="AE196" s="56" t="s">
        <v>244</v>
      </c>
      <c r="AF196" s="58">
        <v>45918</v>
      </c>
      <c r="AG196" s="59">
        <v>0.34375</v>
      </c>
      <c r="AH196" s="56" t="s">
        <v>5603</v>
      </c>
      <c r="AI196" s="56" t="s">
        <v>5661</v>
      </c>
      <c r="AJ196" s="56" t="s">
        <v>598</v>
      </c>
      <c r="AK196" s="56" t="s">
        <v>5233</v>
      </c>
      <c r="AL196" s="56" t="s">
        <v>5016</v>
      </c>
      <c r="AM196" s="56" t="s">
        <v>65</v>
      </c>
      <c r="AN196" s="60" t="s">
        <v>5234</v>
      </c>
      <c r="AO196" s="60"/>
      <c r="AP196" s="61"/>
    </row>
    <row r="197" spans="3:43" ht="14.25" customHeight="1">
      <c r="C197" s="55" t="str">
        <f>IF($X197=1,COUNTIF($C$10:C196,"&gt;0")+1,"")</f>
        <v/>
      </c>
      <c r="D197" s="56">
        <v>70522147</v>
      </c>
      <c r="E197" s="56" t="s">
        <v>5656</v>
      </c>
      <c r="F197" s="57" t="s">
        <v>5703</v>
      </c>
      <c r="G197" s="56" t="s">
        <v>5700</v>
      </c>
      <c r="H197" s="56" t="s">
        <v>5704</v>
      </c>
      <c r="I197" s="56" t="s">
        <v>5705</v>
      </c>
      <c r="J197" s="56" t="s">
        <v>68</v>
      </c>
      <c r="K197" s="56" t="s">
        <v>59</v>
      </c>
      <c r="L197" s="58">
        <v>23117</v>
      </c>
      <c r="M197" s="56">
        <v>62</v>
      </c>
      <c r="N197" s="56" t="s">
        <v>5706</v>
      </c>
      <c r="O197" s="58">
        <v>46550</v>
      </c>
      <c r="P197" s="56" t="s">
        <v>4</v>
      </c>
      <c r="Q197" s="56"/>
      <c r="R197" s="270">
        <v>45913</v>
      </c>
      <c r="S197" s="270">
        <v>45918</v>
      </c>
      <c r="T197" s="51">
        <f t="shared" si="2"/>
        <v>5</v>
      </c>
      <c r="U197" s="56">
        <v>1</v>
      </c>
      <c r="V197" s="56">
        <v>1</v>
      </c>
      <c r="W197" s="56">
        <v>0</v>
      </c>
      <c r="X197" s="56">
        <v>0</v>
      </c>
      <c r="Y197" s="56">
        <v>0</v>
      </c>
      <c r="Z197" s="56">
        <v>0</v>
      </c>
      <c r="AA197" s="56">
        <v>0</v>
      </c>
      <c r="AB197" s="56"/>
      <c r="AC197" s="58">
        <v>45913</v>
      </c>
      <c r="AD197" s="59">
        <v>0.45833333333575865</v>
      </c>
      <c r="AE197" s="56" t="s">
        <v>244</v>
      </c>
      <c r="AF197" s="58">
        <v>45918</v>
      </c>
      <c r="AG197" s="59">
        <v>0.34375</v>
      </c>
      <c r="AH197" s="56" t="s">
        <v>5603</v>
      </c>
      <c r="AI197" s="56" t="s">
        <v>5661</v>
      </c>
      <c r="AJ197" s="56" t="s">
        <v>64</v>
      </c>
      <c r="AK197" s="56" t="s">
        <v>64</v>
      </c>
      <c r="AL197" s="56" t="s">
        <v>5016</v>
      </c>
      <c r="AM197" s="56" t="s">
        <v>65</v>
      </c>
      <c r="AN197" s="60" t="s">
        <v>5234</v>
      </c>
      <c r="AO197" s="60"/>
      <c r="AP197" s="61"/>
    </row>
    <row r="198" spans="3:43" ht="14.25" customHeight="1">
      <c r="C198" s="55">
        <f>IF($X198=1,COUNTIF($C$10:C197,"&gt;0")+1,"")</f>
        <v>97</v>
      </c>
      <c r="D198" s="56">
        <v>70171610</v>
      </c>
      <c r="E198" s="56" t="s">
        <v>5656</v>
      </c>
      <c r="F198" s="57" t="s">
        <v>5707</v>
      </c>
      <c r="G198" s="56" t="s">
        <v>5707</v>
      </c>
      <c r="H198" s="56" t="s">
        <v>5708</v>
      </c>
      <c r="I198" s="56" t="s">
        <v>82</v>
      </c>
      <c r="J198" s="56" t="s">
        <v>68</v>
      </c>
      <c r="K198" s="56" t="s">
        <v>59</v>
      </c>
      <c r="L198" s="58">
        <v>27036</v>
      </c>
      <c r="M198" s="56">
        <v>51</v>
      </c>
      <c r="N198" s="56" t="s">
        <v>5709</v>
      </c>
      <c r="O198" s="58">
        <v>49126</v>
      </c>
      <c r="P198" s="56" t="s">
        <v>4</v>
      </c>
      <c r="Q198" s="56"/>
      <c r="R198" s="270">
        <v>45913</v>
      </c>
      <c r="S198" s="270">
        <v>45918</v>
      </c>
      <c r="T198" s="51">
        <f t="shared" si="2"/>
        <v>5</v>
      </c>
      <c r="U198" s="56">
        <v>1</v>
      </c>
      <c r="V198" s="56">
        <v>1</v>
      </c>
      <c r="W198" s="56">
        <v>0</v>
      </c>
      <c r="X198" s="56">
        <v>1</v>
      </c>
      <c r="Y198" s="56">
        <v>0</v>
      </c>
      <c r="Z198" s="56">
        <v>1</v>
      </c>
      <c r="AA198" s="56">
        <v>0</v>
      </c>
      <c r="AB198" s="56"/>
      <c r="AC198" s="58">
        <v>45913</v>
      </c>
      <c r="AD198" s="59">
        <v>0.81944444444525288</v>
      </c>
      <c r="AE198" s="56" t="s">
        <v>2138</v>
      </c>
      <c r="AF198" s="58">
        <v>45918</v>
      </c>
      <c r="AG198" s="59">
        <v>0.61805555555474712</v>
      </c>
      <c r="AH198" s="56" t="s">
        <v>5710</v>
      </c>
      <c r="AI198" s="56" t="s">
        <v>5661</v>
      </c>
      <c r="AJ198" s="56" t="s">
        <v>64</v>
      </c>
      <c r="AK198" s="56" t="s">
        <v>64</v>
      </c>
      <c r="AL198" s="56" t="s">
        <v>5016</v>
      </c>
      <c r="AM198" s="56" t="s">
        <v>65</v>
      </c>
      <c r="AN198" s="60"/>
      <c r="AO198" s="60" t="s">
        <v>331</v>
      </c>
      <c r="AP198" s="61"/>
    </row>
    <row r="199" spans="3:43" ht="14.25" customHeight="1">
      <c r="C199" s="55" t="str">
        <f>IF($X199=1,COUNTIF($C$10:C198,"&gt;0")+1,"")</f>
        <v/>
      </c>
      <c r="D199" s="56">
        <v>70171610</v>
      </c>
      <c r="E199" s="56" t="s">
        <v>5656</v>
      </c>
      <c r="F199" s="57" t="s">
        <v>5711</v>
      </c>
      <c r="G199" s="56" t="s">
        <v>5707</v>
      </c>
      <c r="H199" s="56" t="s">
        <v>5712</v>
      </c>
      <c r="I199" s="56" t="s">
        <v>1319</v>
      </c>
      <c r="J199" s="56" t="s">
        <v>68</v>
      </c>
      <c r="K199" s="56" t="s">
        <v>59</v>
      </c>
      <c r="L199" s="58">
        <v>25099</v>
      </c>
      <c r="M199" s="56">
        <v>57</v>
      </c>
      <c r="N199" s="56" t="s">
        <v>5713</v>
      </c>
      <c r="O199" s="58">
        <v>49496</v>
      </c>
      <c r="P199" s="56" t="s">
        <v>4</v>
      </c>
      <c r="Q199" s="56"/>
      <c r="R199" s="270">
        <v>45913</v>
      </c>
      <c r="S199" s="270">
        <v>45918</v>
      </c>
      <c r="T199" s="51">
        <f t="shared" si="2"/>
        <v>5</v>
      </c>
      <c r="U199" s="56">
        <v>1</v>
      </c>
      <c r="V199" s="56">
        <v>1</v>
      </c>
      <c r="W199" s="56">
        <v>0</v>
      </c>
      <c r="X199" s="56">
        <v>0</v>
      </c>
      <c r="Y199" s="56">
        <v>0</v>
      </c>
      <c r="Z199" s="56">
        <v>0</v>
      </c>
      <c r="AA199" s="56">
        <v>0</v>
      </c>
      <c r="AB199" s="56"/>
      <c r="AC199" s="58">
        <v>45913</v>
      </c>
      <c r="AD199" s="59">
        <v>0.27777777778101154</v>
      </c>
      <c r="AE199" s="56" t="s">
        <v>5714</v>
      </c>
      <c r="AF199" s="58">
        <v>45918</v>
      </c>
      <c r="AG199" s="59">
        <v>0.74652777778101154</v>
      </c>
      <c r="AH199" s="56" t="s">
        <v>2346</v>
      </c>
      <c r="AI199" s="56" t="s">
        <v>5661</v>
      </c>
      <c r="AJ199" s="56" t="s">
        <v>64</v>
      </c>
      <c r="AK199" s="56" t="s">
        <v>64</v>
      </c>
      <c r="AL199" s="56" t="s">
        <v>5016</v>
      </c>
      <c r="AM199" s="56" t="s">
        <v>65</v>
      </c>
      <c r="AN199" s="60"/>
      <c r="AO199" s="60"/>
      <c r="AP199" s="61"/>
    </row>
    <row r="200" spans="3:43" ht="14.25" customHeight="1">
      <c r="C200" s="55">
        <f>IF($X200=1,COUNTIF($C$10:C199,"&gt;0")+1,"")</f>
        <v>98</v>
      </c>
      <c r="D200" s="56">
        <v>70503769</v>
      </c>
      <c r="E200" s="56" t="s">
        <v>5656</v>
      </c>
      <c r="F200" s="57" t="s">
        <v>5715</v>
      </c>
      <c r="G200" s="56" t="s">
        <v>5715</v>
      </c>
      <c r="H200" s="56" t="s">
        <v>5716</v>
      </c>
      <c r="I200" s="56" t="s">
        <v>390</v>
      </c>
      <c r="J200" s="56" t="s">
        <v>58</v>
      </c>
      <c r="K200" s="56" t="s">
        <v>59</v>
      </c>
      <c r="L200" s="58">
        <v>23878</v>
      </c>
      <c r="M200" s="56">
        <v>60</v>
      </c>
      <c r="N200" s="56" t="s">
        <v>5717</v>
      </c>
      <c r="O200" s="58">
        <v>46787</v>
      </c>
      <c r="P200" s="56" t="s">
        <v>4</v>
      </c>
      <c r="Q200" s="56"/>
      <c r="R200" s="270">
        <v>45913</v>
      </c>
      <c r="S200" s="270">
        <v>45918</v>
      </c>
      <c r="T200" s="51">
        <f t="shared" si="2"/>
        <v>5</v>
      </c>
      <c r="U200" s="56">
        <v>1</v>
      </c>
      <c r="V200" s="56">
        <v>1</v>
      </c>
      <c r="W200" s="56">
        <v>0</v>
      </c>
      <c r="X200" s="56">
        <v>1</v>
      </c>
      <c r="Y200" s="56">
        <v>0</v>
      </c>
      <c r="Z200" s="56">
        <v>1</v>
      </c>
      <c r="AA200" s="56">
        <v>0</v>
      </c>
      <c r="AB200" s="56"/>
      <c r="AC200" s="58">
        <v>45913</v>
      </c>
      <c r="AD200" s="59">
        <v>0.45833333333575865</v>
      </c>
      <c r="AE200" s="56" t="s">
        <v>244</v>
      </c>
      <c r="AF200" s="58">
        <v>45918</v>
      </c>
      <c r="AG200" s="59">
        <v>0.34375</v>
      </c>
      <c r="AH200" s="56" t="s">
        <v>5603</v>
      </c>
      <c r="AI200" s="56" t="s">
        <v>5661</v>
      </c>
      <c r="AJ200" s="56" t="s">
        <v>64</v>
      </c>
      <c r="AK200" s="74" t="s">
        <v>5718</v>
      </c>
      <c r="AL200" s="56" t="s">
        <v>5016</v>
      </c>
      <c r="AM200" s="56" t="s">
        <v>65</v>
      </c>
      <c r="AN200" s="60" t="s">
        <v>5017</v>
      </c>
      <c r="AO200" s="60"/>
      <c r="AP200" s="61"/>
      <c r="AQ200" s="271" t="s">
        <v>5064</v>
      </c>
    </row>
    <row r="201" spans="3:43" ht="14.25" customHeight="1">
      <c r="C201" s="55" t="str">
        <f>IF($X201=1,COUNTIF($C$10:C200,"&gt;0")+1,"")</f>
        <v/>
      </c>
      <c r="D201" s="56">
        <v>70503769</v>
      </c>
      <c r="E201" s="56" t="s">
        <v>5656</v>
      </c>
      <c r="F201" s="57" t="s">
        <v>5719</v>
      </c>
      <c r="G201" s="56" t="s">
        <v>5715</v>
      </c>
      <c r="H201" s="56" t="s">
        <v>5720</v>
      </c>
      <c r="I201" s="56" t="s">
        <v>390</v>
      </c>
      <c r="J201" s="56" t="s">
        <v>68</v>
      </c>
      <c r="K201" s="56" t="s">
        <v>59</v>
      </c>
      <c r="L201" s="58">
        <v>37062</v>
      </c>
      <c r="M201" s="56">
        <v>24</v>
      </c>
      <c r="N201" s="56" t="s">
        <v>5721</v>
      </c>
      <c r="O201" s="58">
        <v>47978</v>
      </c>
      <c r="P201" s="56" t="s">
        <v>4</v>
      </c>
      <c r="Q201" s="56"/>
      <c r="R201" s="270">
        <v>45913</v>
      </c>
      <c r="S201" s="270">
        <v>45918</v>
      </c>
      <c r="T201" s="51">
        <f t="shared" si="2"/>
        <v>5</v>
      </c>
      <c r="U201" s="56">
        <v>1</v>
      </c>
      <c r="V201" s="56">
        <v>1</v>
      </c>
      <c r="W201" s="56">
        <v>0</v>
      </c>
      <c r="X201" s="56">
        <v>0</v>
      </c>
      <c r="Y201" s="56">
        <v>0</v>
      </c>
      <c r="Z201" s="56">
        <v>0</v>
      </c>
      <c r="AA201" s="56">
        <v>0</v>
      </c>
      <c r="AB201" s="56"/>
      <c r="AC201" s="58">
        <v>45913</v>
      </c>
      <c r="AD201" s="59">
        <v>0.45833333333575865</v>
      </c>
      <c r="AE201" s="56" t="s">
        <v>244</v>
      </c>
      <c r="AF201" s="58">
        <v>45918</v>
      </c>
      <c r="AG201" s="59">
        <v>0.34375</v>
      </c>
      <c r="AH201" s="56" t="s">
        <v>5603</v>
      </c>
      <c r="AI201" s="56" t="s">
        <v>5661</v>
      </c>
      <c r="AJ201" s="56" t="s">
        <v>64</v>
      </c>
      <c r="AK201" s="74" t="s">
        <v>64</v>
      </c>
      <c r="AL201" s="56" t="s">
        <v>5016</v>
      </c>
      <c r="AM201" s="56" t="s">
        <v>65</v>
      </c>
      <c r="AN201" s="60" t="s">
        <v>5017</v>
      </c>
      <c r="AO201" s="60"/>
      <c r="AP201" s="61"/>
      <c r="AQ201" s="271" t="s">
        <v>5064</v>
      </c>
    </row>
    <row r="202" spans="3:43" ht="14.25" customHeight="1">
      <c r="C202" s="55">
        <f>IF($X202=1,COUNTIF($C$10:C201,"&gt;0")+1,"")</f>
        <v>99</v>
      </c>
      <c r="D202" s="56">
        <v>70485511</v>
      </c>
      <c r="E202" s="56" t="s">
        <v>5656</v>
      </c>
      <c r="F202" s="57" t="s">
        <v>5722</v>
      </c>
      <c r="G202" s="56" t="s">
        <v>5715</v>
      </c>
      <c r="H202" s="56" t="s">
        <v>5308</v>
      </c>
      <c r="I202" s="56" t="s">
        <v>390</v>
      </c>
      <c r="J202" s="56" t="s">
        <v>68</v>
      </c>
      <c r="K202" s="56" t="s">
        <v>59</v>
      </c>
      <c r="L202" s="58">
        <v>22098</v>
      </c>
      <c r="M202" s="56">
        <v>65</v>
      </c>
      <c r="N202" s="56" t="s">
        <v>5723</v>
      </c>
      <c r="O202" s="58">
        <v>47356</v>
      </c>
      <c r="P202" s="56" t="s">
        <v>5</v>
      </c>
      <c r="Q202" s="56"/>
      <c r="R202" s="270">
        <v>45913</v>
      </c>
      <c r="S202" s="270">
        <v>45918</v>
      </c>
      <c r="T202" s="51">
        <f t="shared" si="2"/>
        <v>5</v>
      </c>
      <c r="U202" s="56">
        <v>1</v>
      </c>
      <c r="V202" s="56">
        <v>1</v>
      </c>
      <c r="W202" s="56">
        <v>0</v>
      </c>
      <c r="X202" s="56">
        <v>1</v>
      </c>
      <c r="Y202" s="56">
        <v>0</v>
      </c>
      <c r="Z202" s="56">
        <v>0</v>
      </c>
      <c r="AA202" s="56">
        <v>1</v>
      </c>
      <c r="AB202" s="56"/>
      <c r="AC202" s="58">
        <v>45913</v>
      </c>
      <c r="AD202" s="59">
        <v>0.45833333333575865</v>
      </c>
      <c r="AE202" s="56" t="s">
        <v>244</v>
      </c>
      <c r="AF202" s="58">
        <v>45918</v>
      </c>
      <c r="AG202" s="59">
        <v>0.34375</v>
      </c>
      <c r="AH202" s="56" t="s">
        <v>5603</v>
      </c>
      <c r="AI202" s="56" t="s">
        <v>5661</v>
      </c>
      <c r="AJ202" s="56" t="s">
        <v>64</v>
      </c>
      <c r="AK202" s="74" t="s">
        <v>5724</v>
      </c>
      <c r="AL202" s="56" t="s">
        <v>5016</v>
      </c>
      <c r="AM202" s="56" t="s">
        <v>65</v>
      </c>
      <c r="AN202" s="60" t="s">
        <v>5511</v>
      </c>
      <c r="AO202" s="60"/>
      <c r="AP202" s="61"/>
    </row>
    <row r="203" spans="3:43" ht="14.25" customHeight="1">
      <c r="C203" s="55" t="str">
        <f>IF($X203=1,COUNTIF($C$10:C202,"&gt;0")+1,"")</f>
        <v/>
      </c>
      <c r="D203" s="56">
        <v>70485511</v>
      </c>
      <c r="E203" s="56" t="s">
        <v>5656</v>
      </c>
      <c r="F203" s="57" t="s">
        <v>5725</v>
      </c>
      <c r="G203" s="56" t="s">
        <v>5715</v>
      </c>
      <c r="H203" s="56" t="s">
        <v>5726</v>
      </c>
      <c r="I203" s="56" t="s">
        <v>2692</v>
      </c>
      <c r="J203" s="56" t="s">
        <v>68</v>
      </c>
      <c r="K203" s="56" t="s">
        <v>59</v>
      </c>
      <c r="L203" s="58">
        <v>21897</v>
      </c>
      <c r="M203" s="56">
        <v>65</v>
      </c>
      <c r="N203" s="56" t="s">
        <v>5727</v>
      </c>
      <c r="O203" s="58">
        <v>47134</v>
      </c>
      <c r="P203" s="56" t="s">
        <v>5</v>
      </c>
      <c r="Q203" s="56"/>
      <c r="R203" s="270">
        <v>45913</v>
      </c>
      <c r="S203" s="270">
        <v>45918</v>
      </c>
      <c r="T203" s="51">
        <f t="shared" ref="T203:T266" si="3">S203-R203</f>
        <v>5</v>
      </c>
      <c r="U203" s="56">
        <v>1</v>
      </c>
      <c r="V203" s="56">
        <v>1</v>
      </c>
      <c r="W203" s="56">
        <v>0</v>
      </c>
      <c r="X203" s="56">
        <v>0</v>
      </c>
      <c r="Y203" s="56">
        <v>0</v>
      </c>
      <c r="Z203" s="56">
        <v>0</v>
      </c>
      <c r="AA203" s="56">
        <v>0</v>
      </c>
      <c r="AB203" s="56"/>
      <c r="AC203" s="58">
        <v>45913</v>
      </c>
      <c r="AD203" s="59">
        <v>0.45833333333575865</v>
      </c>
      <c r="AE203" s="56" t="s">
        <v>244</v>
      </c>
      <c r="AF203" s="58">
        <v>45918</v>
      </c>
      <c r="AG203" s="59">
        <v>0.34375</v>
      </c>
      <c r="AH203" s="56" t="s">
        <v>5603</v>
      </c>
      <c r="AI203" s="56" t="s">
        <v>5661</v>
      </c>
      <c r="AJ203" s="56" t="s">
        <v>64</v>
      </c>
      <c r="AK203" s="74" t="s">
        <v>64</v>
      </c>
      <c r="AL203" s="56" t="s">
        <v>5016</v>
      </c>
      <c r="AM203" s="56" t="s">
        <v>65</v>
      </c>
      <c r="AN203" s="60" t="s">
        <v>5511</v>
      </c>
      <c r="AO203" s="60"/>
      <c r="AP203" s="61"/>
    </row>
    <row r="204" spans="3:43" ht="14.25" customHeight="1">
      <c r="C204" s="55">
        <f>IF($X204=1,COUNTIF($C$10:C203,"&gt;0")+1,"")</f>
        <v>100</v>
      </c>
      <c r="D204" s="56">
        <v>70485514</v>
      </c>
      <c r="E204" s="56" t="s">
        <v>5656</v>
      </c>
      <c r="F204" s="57" t="s">
        <v>5728</v>
      </c>
      <c r="G204" s="56" t="s">
        <v>5728</v>
      </c>
      <c r="H204" s="56" t="s">
        <v>5729</v>
      </c>
      <c r="I204" s="56" t="s">
        <v>82</v>
      </c>
      <c r="J204" s="56" t="s">
        <v>68</v>
      </c>
      <c r="K204" s="56" t="s">
        <v>748</v>
      </c>
      <c r="L204" s="58">
        <v>26994</v>
      </c>
      <c r="M204" s="56">
        <v>51</v>
      </c>
      <c r="N204" s="56" t="s">
        <v>5730</v>
      </c>
      <c r="O204" s="58">
        <v>46442</v>
      </c>
      <c r="P204" s="56" t="s">
        <v>5</v>
      </c>
      <c r="Q204" s="56"/>
      <c r="R204" s="270">
        <v>45913</v>
      </c>
      <c r="S204" s="270">
        <v>45918</v>
      </c>
      <c r="T204" s="51">
        <f t="shared" si="3"/>
        <v>5</v>
      </c>
      <c r="U204" s="56">
        <v>1</v>
      </c>
      <c r="V204" s="56">
        <v>1</v>
      </c>
      <c r="W204" s="56">
        <v>0</v>
      </c>
      <c r="X204" s="56">
        <v>1</v>
      </c>
      <c r="Y204" s="56">
        <v>0</v>
      </c>
      <c r="Z204" s="56">
        <v>0</v>
      </c>
      <c r="AA204" s="56">
        <v>1</v>
      </c>
      <c r="AB204" s="56"/>
      <c r="AC204" s="58">
        <v>45913</v>
      </c>
      <c r="AD204" s="59">
        <v>0.27777777778101154</v>
      </c>
      <c r="AE204" s="56" t="s">
        <v>5714</v>
      </c>
      <c r="AF204" s="58">
        <v>45918</v>
      </c>
      <c r="AG204" s="59">
        <v>0.74652777778101154</v>
      </c>
      <c r="AH204" s="56" t="s">
        <v>2346</v>
      </c>
      <c r="AI204" s="56" t="s">
        <v>5661</v>
      </c>
      <c r="AJ204" s="56" t="s">
        <v>64</v>
      </c>
      <c r="AK204" s="56" t="s">
        <v>64</v>
      </c>
      <c r="AL204" s="56" t="s">
        <v>5016</v>
      </c>
      <c r="AM204" s="56" t="s">
        <v>65</v>
      </c>
      <c r="AN204" s="60"/>
      <c r="AO204" s="60"/>
      <c r="AP204" s="61"/>
    </row>
    <row r="205" spans="3:43" ht="14.25" customHeight="1">
      <c r="C205" s="55" t="str">
        <f>IF($X205=1,COUNTIF($C$10:C204,"&gt;0")+1,"")</f>
        <v/>
      </c>
      <c r="D205" s="56">
        <v>70485514</v>
      </c>
      <c r="E205" s="56" t="s">
        <v>5656</v>
      </c>
      <c r="F205" s="57" t="s">
        <v>5731</v>
      </c>
      <c r="G205" s="56" t="s">
        <v>5728</v>
      </c>
      <c r="H205" s="56" t="s">
        <v>5732</v>
      </c>
      <c r="I205" s="56" t="s">
        <v>82</v>
      </c>
      <c r="J205" s="56" t="s">
        <v>58</v>
      </c>
      <c r="K205" s="56" t="s">
        <v>748</v>
      </c>
      <c r="L205" s="58">
        <v>22977</v>
      </c>
      <c r="M205" s="56">
        <v>62</v>
      </c>
      <c r="N205" s="56" t="s">
        <v>5733</v>
      </c>
      <c r="O205" s="58">
        <v>46442</v>
      </c>
      <c r="P205" s="56" t="s">
        <v>5</v>
      </c>
      <c r="Q205" s="56"/>
      <c r="R205" s="270">
        <v>45913</v>
      </c>
      <c r="S205" s="270">
        <v>45918</v>
      </c>
      <c r="T205" s="51">
        <f t="shared" si="3"/>
        <v>5</v>
      </c>
      <c r="U205" s="56">
        <v>1</v>
      </c>
      <c r="V205" s="56">
        <v>1</v>
      </c>
      <c r="W205" s="56">
        <v>0</v>
      </c>
      <c r="X205" s="56">
        <v>0</v>
      </c>
      <c r="Y205" s="56">
        <v>0</v>
      </c>
      <c r="Z205" s="56">
        <v>0</v>
      </c>
      <c r="AA205" s="56">
        <v>0</v>
      </c>
      <c r="AB205" s="56"/>
      <c r="AC205" s="58">
        <v>45913</v>
      </c>
      <c r="AD205" s="59">
        <v>0.27777777778101154</v>
      </c>
      <c r="AE205" s="56" t="s">
        <v>5714</v>
      </c>
      <c r="AF205" s="58">
        <v>45918</v>
      </c>
      <c r="AG205" s="59">
        <v>0.74652777778101154</v>
      </c>
      <c r="AH205" s="56" t="s">
        <v>2346</v>
      </c>
      <c r="AI205" s="56" t="s">
        <v>5661</v>
      </c>
      <c r="AJ205" s="56" t="s">
        <v>64</v>
      </c>
      <c r="AK205" s="56" t="s">
        <v>64</v>
      </c>
      <c r="AL205" s="56" t="s">
        <v>5016</v>
      </c>
      <c r="AM205" s="56" t="s">
        <v>65</v>
      </c>
      <c r="AN205" s="60"/>
      <c r="AO205" s="60"/>
      <c r="AP205" s="61"/>
    </row>
    <row r="206" spans="3:43" ht="14.25" customHeight="1">
      <c r="C206" s="55">
        <f>IF($X206=1,COUNTIF($C$10:C205,"&gt;0")+1,"")</f>
        <v>101</v>
      </c>
      <c r="D206" s="56">
        <v>70171536</v>
      </c>
      <c r="E206" s="56" t="s">
        <v>5656</v>
      </c>
      <c r="F206" s="57" t="s">
        <v>5734</v>
      </c>
      <c r="G206" s="56" t="s">
        <v>5734</v>
      </c>
      <c r="H206" s="56" t="s">
        <v>5735</v>
      </c>
      <c r="I206" s="56" t="s">
        <v>82</v>
      </c>
      <c r="J206" s="56" t="s">
        <v>68</v>
      </c>
      <c r="K206" s="56" t="s">
        <v>59</v>
      </c>
      <c r="L206" s="58">
        <v>27946</v>
      </c>
      <c r="M206" s="56">
        <v>49</v>
      </c>
      <c r="N206" s="56" t="s">
        <v>5736</v>
      </c>
      <c r="O206" s="58">
        <v>414214</v>
      </c>
      <c r="P206" s="56" t="s">
        <v>4</v>
      </c>
      <c r="Q206" s="56"/>
      <c r="R206" s="270">
        <v>45913</v>
      </c>
      <c r="S206" s="270">
        <v>45918</v>
      </c>
      <c r="T206" s="51">
        <f t="shared" si="3"/>
        <v>5</v>
      </c>
      <c r="U206" s="56">
        <v>1</v>
      </c>
      <c r="V206" s="56">
        <v>1</v>
      </c>
      <c r="W206" s="56">
        <v>0</v>
      </c>
      <c r="X206" s="56">
        <v>1</v>
      </c>
      <c r="Y206" s="56">
        <v>0</v>
      </c>
      <c r="Z206" s="56">
        <v>1</v>
      </c>
      <c r="AA206" s="56">
        <v>0</v>
      </c>
      <c r="AB206" s="56"/>
      <c r="AC206" s="58">
        <v>45913</v>
      </c>
      <c r="AD206" s="59">
        <v>0.45833333333575865</v>
      </c>
      <c r="AE206" s="56" t="s">
        <v>244</v>
      </c>
      <c r="AF206" s="58">
        <v>45918</v>
      </c>
      <c r="AG206" s="59">
        <v>0.44097222221898846</v>
      </c>
      <c r="AH206" s="56" t="s">
        <v>1846</v>
      </c>
      <c r="AI206" s="56" t="s">
        <v>5661</v>
      </c>
      <c r="AJ206" s="56" t="s">
        <v>64</v>
      </c>
      <c r="AK206" s="56" t="s">
        <v>64</v>
      </c>
      <c r="AL206" s="56" t="s">
        <v>5016</v>
      </c>
      <c r="AM206" s="56" t="s">
        <v>65</v>
      </c>
      <c r="AN206" s="60"/>
      <c r="AO206" s="60"/>
      <c r="AP206" s="61"/>
    </row>
    <row r="207" spans="3:43" ht="14.25" customHeight="1">
      <c r="C207" s="55" t="str">
        <f>IF($X207=1,COUNTIF($C$10:C206,"&gt;0")+1,"")</f>
        <v/>
      </c>
      <c r="D207" s="56">
        <v>70171536</v>
      </c>
      <c r="E207" s="56" t="s">
        <v>5656</v>
      </c>
      <c r="F207" s="57" t="s">
        <v>5737</v>
      </c>
      <c r="G207" s="56" t="s">
        <v>5734</v>
      </c>
      <c r="H207" s="56" t="s">
        <v>5738</v>
      </c>
      <c r="I207" s="56" t="s">
        <v>5739</v>
      </c>
      <c r="J207" s="56" t="s">
        <v>58</v>
      </c>
      <c r="K207" s="56" t="s">
        <v>59</v>
      </c>
      <c r="L207" s="58">
        <v>25116</v>
      </c>
      <c r="M207" s="56">
        <v>56</v>
      </c>
      <c r="N207" s="56" t="s">
        <v>5740</v>
      </c>
      <c r="O207" s="58">
        <v>47462</v>
      </c>
      <c r="P207" s="56" t="s">
        <v>4</v>
      </c>
      <c r="Q207" s="56"/>
      <c r="R207" s="270">
        <v>45913</v>
      </c>
      <c r="S207" s="270">
        <v>45918</v>
      </c>
      <c r="T207" s="51">
        <f t="shared" si="3"/>
        <v>5</v>
      </c>
      <c r="U207" s="56">
        <v>1</v>
      </c>
      <c r="V207" s="56">
        <v>1</v>
      </c>
      <c r="W207" s="56">
        <v>0</v>
      </c>
      <c r="X207" s="56">
        <v>0</v>
      </c>
      <c r="Y207" s="56">
        <v>0</v>
      </c>
      <c r="Z207" s="56">
        <v>0</v>
      </c>
      <c r="AA207" s="56">
        <v>0</v>
      </c>
      <c r="AB207" s="56"/>
      <c r="AC207" s="58">
        <v>45913</v>
      </c>
      <c r="AD207" s="59">
        <v>0.72916666666424135</v>
      </c>
      <c r="AE207" s="56" t="s">
        <v>575</v>
      </c>
      <c r="AF207" s="58">
        <v>45918</v>
      </c>
      <c r="AG207" s="59">
        <v>0.44097222221898846</v>
      </c>
      <c r="AH207" s="56" t="s">
        <v>1846</v>
      </c>
      <c r="AI207" s="56" t="s">
        <v>5661</v>
      </c>
      <c r="AJ207" s="56" t="s">
        <v>64</v>
      </c>
      <c r="AK207" s="56" t="s">
        <v>64</v>
      </c>
      <c r="AL207" s="56" t="s">
        <v>5016</v>
      </c>
      <c r="AM207" s="56" t="s">
        <v>65</v>
      </c>
      <c r="AN207" s="60"/>
      <c r="AO207" s="60"/>
      <c r="AP207" s="61"/>
    </row>
    <row r="208" spans="3:43" ht="14.25" customHeight="1">
      <c r="C208" s="55">
        <f>IF($X208=1,COUNTIF($C$10:C207,"&gt;0")+1,"")</f>
        <v>102</v>
      </c>
      <c r="D208" s="56">
        <v>70171595</v>
      </c>
      <c r="E208" s="56" t="s">
        <v>5741</v>
      </c>
      <c r="F208" s="57" t="s">
        <v>5742</v>
      </c>
      <c r="G208" s="56" t="s">
        <v>5742</v>
      </c>
      <c r="H208" s="56" t="s">
        <v>5743</v>
      </c>
      <c r="I208" s="56" t="s">
        <v>5744</v>
      </c>
      <c r="J208" s="56" t="s">
        <v>68</v>
      </c>
      <c r="K208" s="56" t="s">
        <v>59</v>
      </c>
      <c r="L208" s="58">
        <v>27557</v>
      </c>
      <c r="M208" s="56">
        <v>50</v>
      </c>
      <c r="N208" s="56" t="s">
        <v>5745</v>
      </c>
      <c r="O208" s="58">
        <v>46228</v>
      </c>
      <c r="P208" s="56" t="s">
        <v>4</v>
      </c>
      <c r="Q208" s="56"/>
      <c r="R208" s="270">
        <v>45913</v>
      </c>
      <c r="S208" s="270">
        <v>45918</v>
      </c>
      <c r="T208" s="51">
        <f t="shared" si="3"/>
        <v>5</v>
      </c>
      <c r="U208" s="56">
        <v>1</v>
      </c>
      <c r="V208" s="56">
        <v>1</v>
      </c>
      <c r="W208" s="56">
        <v>0</v>
      </c>
      <c r="X208" s="56">
        <v>1</v>
      </c>
      <c r="Y208" s="56">
        <v>0</v>
      </c>
      <c r="Z208" s="56">
        <v>1</v>
      </c>
      <c r="AA208" s="56">
        <v>0</v>
      </c>
      <c r="AB208" s="56"/>
      <c r="AC208" s="58">
        <v>45913</v>
      </c>
      <c r="AD208" s="59">
        <v>0.6875</v>
      </c>
      <c r="AE208" s="56" t="s">
        <v>116</v>
      </c>
      <c r="AF208" s="58">
        <v>45918</v>
      </c>
      <c r="AG208" s="59">
        <v>0.80555555555474712</v>
      </c>
      <c r="AH208" s="56" t="s">
        <v>117</v>
      </c>
      <c r="AI208" s="56" t="s">
        <v>5746</v>
      </c>
      <c r="AJ208" s="56" t="s">
        <v>64</v>
      </c>
      <c r="AK208" s="56" t="s">
        <v>64</v>
      </c>
      <c r="AL208" s="56" t="s">
        <v>5016</v>
      </c>
      <c r="AM208" s="56" t="s">
        <v>65</v>
      </c>
      <c r="AN208" s="60"/>
      <c r="AO208" s="60"/>
      <c r="AP208" s="61"/>
    </row>
    <row r="209" spans="3:42" ht="14.25" customHeight="1">
      <c r="C209" s="55" t="str">
        <f>IF($X209=1,COUNTIF($C$10:C208,"&gt;0")+1,"")</f>
        <v/>
      </c>
      <c r="D209" s="56">
        <v>70171595</v>
      </c>
      <c r="E209" s="56" t="s">
        <v>5741</v>
      </c>
      <c r="F209" s="57" t="s">
        <v>5747</v>
      </c>
      <c r="G209" s="56" t="s">
        <v>5742</v>
      </c>
      <c r="H209" s="56" t="s">
        <v>5748</v>
      </c>
      <c r="I209" s="56" t="s">
        <v>5749</v>
      </c>
      <c r="J209" s="56" t="s">
        <v>68</v>
      </c>
      <c r="K209" s="56" t="s">
        <v>180</v>
      </c>
      <c r="L209" s="58">
        <v>29400</v>
      </c>
      <c r="M209" s="56">
        <v>45</v>
      </c>
      <c r="N209" s="56" t="s">
        <v>5750</v>
      </c>
      <c r="O209" s="58">
        <v>47276</v>
      </c>
      <c r="P209" s="56" t="s">
        <v>4</v>
      </c>
      <c r="Q209" s="56"/>
      <c r="R209" s="270">
        <v>45913</v>
      </c>
      <c r="S209" s="270">
        <v>45918</v>
      </c>
      <c r="T209" s="51">
        <f t="shared" si="3"/>
        <v>5</v>
      </c>
      <c r="U209" s="56">
        <v>1</v>
      </c>
      <c r="V209" s="56">
        <v>1</v>
      </c>
      <c r="W209" s="56">
        <v>0</v>
      </c>
      <c r="X209" s="56">
        <v>0</v>
      </c>
      <c r="Y209" s="56">
        <v>0</v>
      </c>
      <c r="Z209" s="56">
        <v>0</v>
      </c>
      <c r="AA209" s="56">
        <v>0</v>
      </c>
      <c r="AB209" s="56"/>
      <c r="AC209" s="58">
        <v>45913</v>
      </c>
      <c r="AD209" s="59">
        <v>0.6875</v>
      </c>
      <c r="AE209" s="56" t="s">
        <v>116</v>
      </c>
      <c r="AF209" s="58">
        <v>45918</v>
      </c>
      <c r="AG209" s="59">
        <v>0.80555555555474712</v>
      </c>
      <c r="AH209" s="56" t="s">
        <v>117</v>
      </c>
      <c r="AI209" s="56" t="s">
        <v>5746</v>
      </c>
      <c r="AJ209" s="56" t="s">
        <v>64</v>
      </c>
      <c r="AK209" s="56" t="s">
        <v>64</v>
      </c>
      <c r="AL209" s="56" t="s">
        <v>5016</v>
      </c>
      <c r="AM209" s="56" t="s">
        <v>65</v>
      </c>
      <c r="AN209" s="60"/>
      <c r="AO209" s="60"/>
      <c r="AP209" s="61"/>
    </row>
    <row r="210" spans="3:42" ht="14.25" customHeight="1">
      <c r="C210" s="55">
        <f>IF($X210=1,COUNTIF($C$10:C209,"&gt;0")+1,"")</f>
        <v>103</v>
      </c>
      <c r="D210" s="56">
        <v>70171598</v>
      </c>
      <c r="E210" s="56" t="s">
        <v>5741</v>
      </c>
      <c r="F210" s="57" t="s">
        <v>5751</v>
      </c>
      <c r="G210" s="56" t="s">
        <v>5751</v>
      </c>
      <c r="H210" s="56" t="s">
        <v>5752</v>
      </c>
      <c r="I210" s="56" t="s">
        <v>5753</v>
      </c>
      <c r="J210" s="56" t="s">
        <v>58</v>
      </c>
      <c r="K210" s="56" t="s">
        <v>59</v>
      </c>
      <c r="L210" s="58">
        <v>28978</v>
      </c>
      <c r="M210" s="56">
        <v>46</v>
      </c>
      <c r="N210" s="56" t="s">
        <v>5754</v>
      </c>
      <c r="O210" s="58">
        <v>46993</v>
      </c>
      <c r="P210" s="56" t="s">
        <v>4</v>
      </c>
      <c r="Q210" s="56"/>
      <c r="R210" s="270">
        <v>45913</v>
      </c>
      <c r="S210" s="270">
        <v>45918</v>
      </c>
      <c r="T210" s="51">
        <f t="shared" si="3"/>
        <v>5</v>
      </c>
      <c r="U210" s="56">
        <v>1</v>
      </c>
      <c r="V210" s="56">
        <v>1</v>
      </c>
      <c r="W210" s="56">
        <v>0</v>
      </c>
      <c r="X210" s="56">
        <v>1</v>
      </c>
      <c r="Y210" s="56">
        <v>0</v>
      </c>
      <c r="Z210" s="56">
        <v>1</v>
      </c>
      <c r="AA210" s="56">
        <v>0</v>
      </c>
      <c r="AB210" s="56"/>
      <c r="AC210" s="58">
        <v>45913</v>
      </c>
      <c r="AD210" s="59">
        <v>0.64583333333575865</v>
      </c>
      <c r="AE210" s="56" t="s">
        <v>312</v>
      </c>
      <c r="AF210" s="58">
        <v>45918</v>
      </c>
      <c r="AG210" s="59">
        <v>0.72569444444525288</v>
      </c>
      <c r="AH210" s="56" t="s">
        <v>313</v>
      </c>
      <c r="AI210" s="56" t="s">
        <v>5746</v>
      </c>
      <c r="AJ210" s="56" t="s">
        <v>64</v>
      </c>
      <c r="AK210" s="56" t="s">
        <v>64</v>
      </c>
      <c r="AL210" s="56" t="s">
        <v>5016</v>
      </c>
      <c r="AM210" s="56" t="s">
        <v>65</v>
      </c>
      <c r="AN210" s="60"/>
      <c r="AO210" s="60"/>
      <c r="AP210" s="61"/>
    </row>
    <row r="211" spans="3:42" ht="14.25" customHeight="1">
      <c r="C211" s="55" t="str">
        <f>IF($X211=1,COUNTIF($C$10:C210,"&gt;0")+1,"")</f>
        <v/>
      </c>
      <c r="D211" s="56">
        <v>70171598</v>
      </c>
      <c r="E211" s="56" t="s">
        <v>5741</v>
      </c>
      <c r="F211" s="57" t="s">
        <v>5755</v>
      </c>
      <c r="G211" s="56" t="s">
        <v>5751</v>
      </c>
      <c r="H211" s="56" t="s">
        <v>5756</v>
      </c>
      <c r="I211" s="56" t="s">
        <v>5753</v>
      </c>
      <c r="J211" s="56" t="s">
        <v>68</v>
      </c>
      <c r="K211" s="56" t="s">
        <v>59</v>
      </c>
      <c r="L211" s="58">
        <v>29422</v>
      </c>
      <c r="M211" s="56">
        <v>45</v>
      </c>
      <c r="N211" s="56" t="s">
        <v>5757</v>
      </c>
      <c r="O211" s="58">
        <v>46943</v>
      </c>
      <c r="P211" s="56" t="s">
        <v>4</v>
      </c>
      <c r="Q211" s="56"/>
      <c r="R211" s="270">
        <v>45913</v>
      </c>
      <c r="S211" s="270">
        <v>45918</v>
      </c>
      <c r="T211" s="51">
        <f t="shared" si="3"/>
        <v>5</v>
      </c>
      <c r="U211" s="56">
        <v>1</v>
      </c>
      <c r="V211" s="56">
        <v>1</v>
      </c>
      <c r="W211" s="56">
        <v>0</v>
      </c>
      <c r="X211" s="56">
        <v>0</v>
      </c>
      <c r="Y211" s="56">
        <v>0</v>
      </c>
      <c r="Z211" s="56">
        <v>0</v>
      </c>
      <c r="AA211" s="56">
        <v>0</v>
      </c>
      <c r="AB211" s="56"/>
      <c r="AC211" s="58">
        <v>45913</v>
      </c>
      <c r="AD211" s="59">
        <v>0.64583333333575865</v>
      </c>
      <c r="AE211" s="56" t="s">
        <v>312</v>
      </c>
      <c r="AF211" s="58">
        <v>45918</v>
      </c>
      <c r="AG211" s="59">
        <v>0.72569444444525288</v>
      </c>
      <c r="AH211" s="56" t="s">
        <v>313</v>
      </c>
      <c r="AI211" s="56" t="s">
        <v>5746</v>
      </c>
      <c r="AJ211" s="56" t="s">
        <v>64</v>
      </c>
      <c r="AK211" s="56" t="s">
        <v>64</v>
      </c>
      <c r="AL211" s="56" t="s">
        <v>5016</v>
      </c>
      <c r="AM211" s="56" t="s">
        <v>65</v>
      </c>
      <c r="AN211" s="60"/>
      <c r="AO211" s="60"/>
      <c r="AP211" s="61"/>
    </row>
    <row r="212" spans="3:42" ht="14.25" customHeight="1">
      <c r="C212" s="55">
        <f>IF($X212=1,COUNTIF($C$10:C211,"&gt;0")+1,"")</f>
        <v>104</v>
      </c>
      <c r="D212" s="56">
        <v>70171523</v>
      </c>
      <c r="E212" s="56" t="s">
        <v>5741</v>
      </c>
      <c r="F212" s="57" t="s">
        <v>5758</v>
      </c>
      <c r="G212" s="56" t="s">
        <v>5758</v>
      </c>
      <c r="H212" s="56" t="s">
        <v>5759</v>
      </c>
      <c r="I212" s="56" t="s">
        <v>5760</v>
      </c>
      <c r="J212" s="56" t="s">
        <v>68</v>
      </c>
      <c r="K212" s="56" t="s">
        <v>59</v>
      </c>
      <c r="L212" s="58">
        <v>29052</v>
      </c>
      <c r="M212" s="56">
        <v>46</v>
      </c>
      <c r="N212" s="56" t="s">
        <v>5761</v>
      </c>
      <c r="O212" s="58">
        <v>48104</v>
      </c>
      <c r="P212" s="56" t="s">
        <v>4</v>
      </c>
      <c r="Q212" s="56"/>
      <c r="R212" s="270">
        <v>45913</v>
      </c>
      <c r="S212" s="270">
        <v>45918</v>
      </c>
      <c r="T212" s="51">
        <f t="shared" si="3"/>
        <v>5</v>
      </c>
      <c r="U212" s="56">
        <v>1</v>
      </c>
      <c r="V212" s="56">
        <v>1</v>
      </c>
      <c r="W212" s="56">
        <v>0</v>
      </c>
      <c r="X212" s="56">
        <v>1</v>
      </c>
      <c r="Y212" s="56">
        <v>0</v>
      </c>
      <c r="Z212" s="56">
        <v>1</v>
      </c>
      <c r="AA212" s="56">
        <v>0</v>
      </c>
      <c r="AB212" s="56"/>
      <c r="AC212" s="58">
        <v>45913</v>
      </c>
      <c r="AD212" s="59">
        <v>0.78125</v>
      </c>
      <c r="AE212" s="56" t="s">
        <v>462</v>
      </c>
      <c r="AF212" s="58">
        <v>45925</v>
      </c>
      <c r="AG212" s="59">
        <v>0.82291666666424135</v>
      </c>
      <c r="AH212" s="56" t="s">
        <v>848</v>
      </c>
      <c r="AI212" s="56" t="s">
        <v>5746</v>
      </c>
      <c r="AJ212" s="56" t="s">
        <v>64</v>
      </c>
      <c r="AK212" s="56" t="s">
        <v>64</v>
      </c>
      <c r="AL212" s="56" t="s">
        <v>5016</v>
      </c>
      <c r="AM212" s="56" t="s">
        <v>65</v>
      </c>
      <c r="AN212" s="60"/>
      <c r="AO212" s="60" t="s">
        <v>331</v>
      </c>
      <c r="AP212" s="61"/>
    </row>
    <row r="213" spans="3:42" ht="14.25" customHeight="1">
      <c r="C213" s="55" t="str">
        <f>IF($X213=1,COUNTIF($C$10:C212,"&gt;0")+1,"")</f>
        <v/>
      </c>
      <c r="D213" s="56">
        <v>70171523</v>
      </c>
      <c r="E213" s="56" t="s">
        <v>5741</v>
      </c>
      <c r="F213" s="57" t="s">
        <v>5762</v>
      </c>
      <c r="G213" s="56" t="s">
        <v>5758</v>
      </c>
      <c r="H213" s="56" t="s">
        <v>5763</v>
      </c>
      <c r="I213" s="56" t="s">
        <v>5760</v>
      </c>
      <c r="J213" s="56" t="s">
        <v>68</v>
      </c>
      <c r="K213" s="56" t="s">
        <v>59</v>
      </c>
      <c r="L213" s="58">
        <v>37514</v>
      </c>
      <c r="M213" s="56">
        <v>23</v>
      </c>
      <c r="N213" s="56" t="s">
        <v>5764</v>
      </c>
      <c r="O213" s="58">
        <v>48512</v>
      </c>
      <c r="P213" s="56" t="s">
        <v>4</v>
      </c>
      <c r="Q213" s="56"/>
      <c r="R213" s="270">
        <v>45913</v>
      </c>
      <c r="S213" s="270">
        <v>45918</v>
      </c>
      <c r="T213" s="51">
        <f t="shared" si="3"/>
        <v>5</v>
      </c>
      <c r="U213" s="56">
        <v>1</v>
      </c>
      <c r="V213" s="56">
        <v>1</v>
      </c>
      <c r="W213" s="56">
        <v>0</v>
      </c>
      <c r="X213" s="56">
        <v>0</v>
      </c>
      <c r="Y213" s="56">
        <v>0</v>
      </c>
      <c r="Z213" s="56">
        <v>0</v>
      </c>
      <c r="AA213" s="56">
        <v>0</v>
      </c>
      <c r="AB213" s="56"/>
      <c r="AC213" s="58">
        <v>45913</v>
      </c>
      <c r="AD213" s="59">
        <v>0.78125</v>
      </c>
      <c r="AE213" s="56" t="s">
        <v>462</v>
      </c>
      <c r="AF213" s="58">
        <v>45925</v>
      </c>
      <c r="AG213" s="59">
        <v>0.82291666666424135</v>
      </c>
      <c r="AH213" s="56" t="s">
        <v>848</v>
      </c>
      <c r="AI213" s="56" t="s">
        <v>5746</v>
      </c>
      <c r="AJ213" s="56" t="s">
        <v>64</v>
      </c>
      <c r="AK213" s="56" t="s">
        <v>64</v>
      </c>
      <c r="AL213" s="56" t="s">
        <v>5016</v>
      </c>
      <c r="AM213" s="56" t="s">
        <v>65</v>
      </c>
      <c r="AN213" s="60"/>
      <c r="AO213" s="60" t="s">
        <v>331</v>
      </c>
      <c r="AP213" s="61"/>
    </row>
    <row r="214" spans="3:42" ht="14.25" customHeight="1">
      <c r="C214" s="55">
        <f>IF($X214=1,COUNTIF($C$10:C213,"&gt;0")+1,"")</f>
        <v>105</v>
      </c>
      <c r="D214" s="56">
        <v>70171516</v>
      </c>
      <c r="E214" s="56" t="s">
        <v>5741</v>
      </c>
      <c r="F214" s="57" t="s">
        <v>5765</v>
      </c>
      <c r="G214" s="56" t="s">
        <v>5765</v>
      </c>
      <c r="H214" s="56" t="s">
        <v>5766</v>
      </c>
      <c r="I214" s="56" t="s">
        <v>5767</v>
      </c>
      <c r="J214" s="56" t="s">
        <v>68</v>
      </c>
      <c r="K214" s="56" t="s">
        <v>59</v>
      </c>
      <c r="L214" s="58">
        <v>29284</v>
      </c>
      <c r="M214" s="56">
        <v>45</v>
      </c>
      <c r="N214" s="56" t="s">
        <v>5768</v>
      </c>
      <c r="O214" s="58">
        <v>47365</v>
      </c>
      <c r="P214" s="56" t="s">
        <v>4</v>
      </c>
      <c r="Q214" s="56"/>
      <c r="R214" s="270">
        <v>45913</v>
      </c>
      <c r="S214" s="270">
        <v>45918</v>
      </c>
      <c r="T214" s="51">
        <f t="shared" si="3"/>
        <v>5</v>
      </c>
      <c r="U214" s="56">
        <v>1</v>
      </c>
      <c r="V214" s="56">
        <v>1</v>
      </c>
      <c r="W214" s="56">
        <v>0</v>
      </c>
      <c r="X214" s="56">
        <v>1</v>
      </c>
      <c r="Y214" s="56">
        <v>0</v>
      </c>
      <c r="Z214" s="56">
        <v>1</v>
      </c>
      <c r="AA214" s="56">
        <v>0</v>
      </c>
      <c r="AB214" s="56"/>
      <c r="AC214" s="58">
        <v>45913</v>
      </c>
      <c r="AD214" s="59">
        <v>0.69444444444525288</v>
      </c>
      <c r="AE214" s="56" t="s">
        <v>995</v>
      </c>
      <c r="AF214" s="58">
        <v>45918</v>
      </c>
      <c r="AG214" s="59">
        <v>0.80208333333575865</v>
      </c>
      <c r="AH214" s="56" t="s">
        <v>221</v>
      </c>
      <c r="AI214" s="56" t="s">
        <v>5746</v>
      </c>
      <c r="AJ214" s="56" t="s">
        <v>64</v>
      </c>
      <c r="AK214" s="74" t="s">
        <v>5769</v>
      </c>
      <c r="AL214" s="56" t="s">
        <v>5016</v>
      </c>
      <c r="AM214" s="56" t="s">
        <v>65</v>
      </c>
      <c r="AN214" s="60" t="s">
        <v>5026</v>
      </c>
      <c r="AO214" s="60"/>
      <c r="AP214" s="61"/>
    </row>
    <row r="215" spans="3:42" ht="14.25" customHeight="1">
      <c r="C215" s="55" t="str">
        <f>IF($X215=1,COUNTIF($C$10:C214,"&gt;0")+1,"")</f>
        <v/>
      </c>
      <c r="D215" s="56">
        <v>70171516</v>
      </c>
      <c r="E215" s="56" t="s">
        <v>5741</v>
      </c>
      <c r="F215" s="57" t="s">
        <v>5770</v>
      </c>
      <c r="G215" s="56" t="s">
        <v>5765</v>
      </c>
      <c r="H215" s="56" t="s">
        <v>5771</v>
      </c>
      <c r="I215" s="56" t="s">
        <v>5767</v>
      </c>
      <c r="J215" s="56" t="s">
        <v>58</v>
      </c>
      <c r="K215" s="56" t="s">
        <v>59</v>
      </c>
      <c r="L215" s="58">
        <v>29418</v>
      </c>
      <c r="M215" s="56">
        <v>45</v>
      </c>
      <c r="N215" s="56" t="s">
        <v>5772</v>
      </c>
      <c r="O215" s="58">
        <v>47365</v>
      </c>
      <c r="P215" s="56" t="s">
        <v>4</v>
      </c>
      <c r="Q215" s="56"/>
      <c r="R215" s="270">
        <v>45913</v>
      </c>
      <c r="S215" s="270">
        <v>45918</v>
      </c>
      <c r="T215" s="51">
        <f t="shared" si="3"/>
        <v>5</v>
      </c>
      <c r="U215" s="56">
        <v>1</v>
      </c>
      <c r="V215" s="56">
        <v>1</v>
      </c>
      <c r="W215" s="56">
        <v>0</v>
      </c>
      <c r="X215" s="56">
        <v>0</v>
      </c>
      <c r="Y215" s="56">
        <v>0</v>
      </c>
      <c r="Z215" s="56">
        <v>0</v>
      </c>
      <c r="AA215" s="56">
        <v>0</v>
      </c>
      <c r="AB215" s="56"/>
      <c r="AC215" s="58">
        <v>45913</v>
      </c>
      <c r="AD215" s="59">
        <v>0.69444444444525288</v>
      </c>
      <c r="AE215" s="56" t="s">
        <v>995</v>
      </c>
      <c r="AF215" s="58">
        <v>45918</v>
      </c>
      <c r="AG215" s="59">
        <v>0.80208333333575865</v>
      </c>
      <c r="AH215" s="56" t="s">
        <v>221</v>
      </c>
      <c r="AI215" s="56" t="s">
        <v>5746</v>
      </c>
      <c r="AJ215" s="56" t="s">
        <v>64</v>
      </c>
      <c r="AK215" s="74" t="s">
        <v>64</v>
      </c>
      <c r="AL215" s="56" t="s">
        <v>5016</v>
      </c>
      <c r="AM215" s="56" t="s">
        <v>65</v>
      </c>
      <c r="AN215" s="60" t="s">
        <v>5026</v>
      </c>
      <c r="AO215" s="60"/>
      <c r="AP215" s="61"/>
    </row>
    <row r="216" spans="3:42" ht="14.25" customHeight="1">
      <c r="C216" s="55">
        <f>IF($X216=1,COUNTIF($C$10:C215,"&gt;0")+1,"")</f>
        <v>106</v>
      </c>
      <c r="D216" s="56">
        <v>91083259</v>
      </c>
      <c r="E216" s="56" t="s">
        <v>5741</v>
      </c>
      <c r="F216" s="57" t="s">
        <v>5773</v>
      </c>
      <c r="G216" s="56" t="s">
        <v>5765</v>
      </c>
      <c r="H216" s="56" t="s">
        <v>5774</v>
      </c>
      <c r="I216" s="56" t="s">
        <v>3529</v>
      </c>
      <c r="J216" s="56" t="s">
        <v>68</v>
      </c>
      <c r="K216" s="56" t="s">
        <v>180</v>
      </c>
      <c r="L216" s="58">
        <v>23325</v>
      </c>
      <c r="M216" s="56">
        <v>61</v>
      </c>
      <c r="N216" s="56" t="s">
        <v>5775</v>
      </c>
      <c r="O216" s="58">
        <v>48452</v>
      </c>
      <c r="P216" s="56" t="s">
        <v>4</v>
      </c>
      <c r="Q216" s="56"/>
      <c r="R216" s="270">
        <v>45913</v>
      </c>
      <c r="S216" s="270">
        <v>45918</v>
      </c>
      <c r="T216" s="51">
        <f t="shared" si="3"/>
        <v>5</v>
      </c>
      <c r="U216" s="56">
        <v>1</v>
      </c>
      <c r="V216" s="56">
        <v>1</v>
      </c>
      <c r="W216" s="56">
        <v>0</v>
      </c>
      <c r="X216" s="56">
        <v>1</v>
      </c>
      <c r="Y216" s="56">
        <v>0</v>
      </c>
      <c r="Z216" s="56">
        <v>1</v>
      </c>
      <c r="AA216" s="56">
        <v>0</v>
      </c>
      <c r="AB216" s="56"/>
      <c r="AC216" s="58">
        <v>45913</v>
      </c>
      <c r="AD216" s="59">
        <v>0.69444444444525288</v>
      </c>
      <c r="AE216" s="56" t="s">
        <v>995</v>
      </c>
      <c r="AF216" s="58">
        <v>45918</v>
      </c>
      <c r="AG216" s="59">
        <v>0.80208333333575865</v>
      </c>
      <c r="AH216" s="56" t="s">
        <v>221</v>
      </c>
      <c r="AI216" s="56" t="s">
        <v>5746</v>
      </c>
      <c r="AJ216" s="56" t="s">
        <v>64</v>
      </c>
      <c r="AK216" s="74" t="s">
        <v>5776</v>
      </c>
      <c r="AL216" s="56" t="s">
        <v>5016</v>
      </c>
      <c r="AM216" s="56" t="s">
        <v>65</v>
      </c>
      <c r="AN216" s="60" t="s">
        <v>5026</v>
      </c>
      <c r="AO216" s="60"/>
      <c r="AP216" s="61"/>
    </row>
    <row r="217" spans="3:42" ht="14.25" customHeight="1">
      <c r="C217" s="55" t="str">
        <f>IF($X217=1,COUNTIF($C$10:C216,"&gt;0")+1,"")</f>
        <v/>
      </c>
      <c r="D217" s="56">
        <v>91083259</v>
      </c>
      <c r="E217" s="56" t="s">
        <v>5741</v>
      </c>
      <c r="F217" s="57" t="s">
        <v>5777</v>
      </c>
      <c r="G217" s="56" t="s">
        <v>5765</v>
      </c>
      <c r="H217" s="56" t="s">
        <v>5778</v>
      </c>
      <c r="I217" s="56" t="s">
        <v>5767</v>
      </c>
      <c r="J217" s="56" t="s">
        <v>68</v>
      </c>
      <c r="K217" s="56" t="s">
        <v>59</v>
      </c>
      <c r="L217" s="58">
        <v>39501</v>
      </c>
      <c r="M217" s="56">
        <v>17</v>
      </c>
      <c r="N217" s="56" t="s">
        <v>5779</v>
      </c>
      <c r="O217" s="58">
        <v>49153</v>
      </c>
      <c r="P217" s="56" t="s">
        <v>4</v>
      </c>
      <c r="Q217" s="56"/>
      <c r="R217" s="270">
        <v>45913</v>
      </c>
      <c r="S217" s="270">
        <v>45918</v>
      </c>
      <c r="T217" s="51">
        <f t="shared" si="3"/>
        <v>5</v>
      </c>
      <c r="U217" s="56">
        <v>1</v>
      </c>
      <c r="V217" s="56">
        <v>1</v>
      </c>
      <c r="W217" s="56">
        <v>0</v>
      </c>
      <c r="X217" s="56">
        <v>0</v>
      </c>
      <c r="Y217" s="56">
        <v>0</v>
      </c>
      <c r="Z217" s="56">
        <v>0</v>
      </c>
      <c r="AA217" s="56">
        <v>0</v>
      </c>
      <c r="AB217" s="56"/>
      <c r="AC217" s="58">
        <v>45913</v>
      </c>
      <c r="AD217" s="59">
        <v>0.69444444444525288</v>
      </c>
      <c r="AE217" s="56" t="s">
        <v>995</v>
      </c>
      <c r="AF217" s="58">
        <v>45918</v>
      </c>
      <c r="AG217" s="59">
        <v>0.80208333333575865</v>
      </c>
      <c r="AH217" s="56" t="s">
        <v>221</v>
      </c>
      <c r="AI217" s="56" t="s">
        <v>5746</v>
      </c>
      <c r="AJ217" s="56" t="s">
        <v>64</v>
      </c>
      <c r="AK217" s="74" t="s">
        <v>64</v>
      </c>
      <c r="AL217" s="56" t="s">
        <v>5016</v>
      </c>
      <c r="AM217" s="56" t="s">
        <v>65</v>
      </c>
      <c r="AN217" s="60" t="s">
        <v>5026</v>
      </c>
      <c r="AO217" s="60"/>
      <c r="AP217" s="61"/>
    </row>
    <row r="218" spans="3:42" ht="14.25" customHeight="1">
      <c r="C218" s="55" t="str">
        <f>IF($X218=1,COUNTIF($C$10:C217,"&gt;0")+1,"")</f>
        <v/>
      </c>
      <c r="D218" s="56">
        <v>91083259</v>
      </c>
      <c r="E218" s="56" t="s">
        <v>5741</v>
      </c>
      <c r="F218" s="57" t="s">
        <v>5780</v>
      </c>
      <c r="G218" s="56" t="s">
        <v>5765</v>
      </c>
      <c r="H218" s="56" t="s">
        <v>5781</v>
      </c>
      <c r="I218" s="56" t="s">
        <v>5767</v>
      </c>
      <c r="J218" s="56" t="s">
        <v>58</v>
      </c>
      <c r="K218" s="56" t="s">
        <v>59</v>
      </c>
      <c r="L218" s="58">
        <v>43601</v>
      </c>
      <c r="M218" s="56">
        <v>6</v>
      </c>
      <c r="N218" s="56" t="s">
        <v>5782</v>
      </c>
      <c r="O218" s="58">
        <v>47327</v>
      </c>
      <c r="P218" s="56" t="s">
        <v>4</v>
      </c>
      <c r="Q218" s="56"/>
      <c r="R218" s="270">
        <v>45913</v>
      </c>
      <c r="S218" s="270">
        <v>45918</v>
      </c>
      <c r="T218" s="51">
        <f t="shared" si="3"/>
        <v>5</v>
      </c>
      <c r="U218" s="56">
        <v>1</v>
      </c>
      <c r="V218" s="56">
        <v>0</v>
      </c>
      <c r="W218" s="56">
        <v>1</v>
      </c>
      <c r="X218" s="56">
        <v>0</v>
      </c>
      <c r="Y218" s="56">
        <v>0</v>
      </c>
      <c r="Z218" s="56">
        <v>0</v>
      </c>
      <c r="AA218" s="56">
        <v>0</v>
      </c>
      <c r="AB218" s="56"/>
      <c r="AC218" s="58">
        <v>45913</v>
      </c>
      <c r="AD218" s="59">
        <v>0.69444444444525288</v>
      </c>
      <c r="AE218" s="56" t="s">
        <v>995</v>
      </c>
      <c r="AF218" s="58">
        <v>45918</v>
      </c>
      <c r="AG218" s="59">
        <v>0.80208333333575865</v>
      </c>
      <c r="AH218" s="56" t="s">
        <v>221</v>
      </c>
      <c r="AI218" s="56" t="s">
        <v>5746</v>
      </c>
      <c r="AJ218" s="56" t="s">
        <v>64</v>
      </c>
      <c r="AK218" s="74" t="s">
        <v>64</v>
      </c>
      <c r="AL218" s="56" t="s">
        <v>5016</v>
      </c>
      <c r="AM218" s="56" t="s">
        <v>65</v>
      </c>
      <c r="AN218" s="60" t="s">
        <v>5026</v>
      </c>
      <c r="AO218" s="60"/>
      <c r="AP218" s="61"/>
    </row>
    <row r="219" spans="3:42" ht="14.25" customHeight="1">
      <c r="C219" s="55">
        <f>IF($X219=1,COUNTIF($C$10:C218,"&gt;0")+1,"")</f>
        <v>107</v>
      </c>
      <c r="D219" s="56">
        <v>70171494</v>
      </c>
      <c r="E219" s="56" t="s">
        <v>5741</v>
      </c>
      <c r="F219" s="57" t="s">
        <v>5783</v>
      </c>
      <c r="G219" s="56" t="s">
        <v>5783</v>
      </c>
      <c r="H219" s="56" t="s">
        <v>5784</v>
      </c>
      <c r="I219" s="56" t="s">
        <v>5785</v>
      </c>
      <c r="J219" s="56" t="s">
        <v>58</v>
      </c>
      <c r="K219" s="56" t="s">
        <v>59</v>
      </c>
      <c r="L219" s="58">
        <v>27079</v>
      </c>
      <c r="M219" s="56">
        <v>51</v>
      </c>
      <c r="N219" s="56" t="s">
        <v>5786</v>
      </c>
      <c r="O219" s="58">
        <v>48608</v>
      </c>
      <c r="P219" s="56" t="s">
        <v>4</v>
      </c>
      <c r="Q219" s="56"/>
      <c r="R219" s="270">
        <v>45913</v>
      </c>
      <c r="S219" s="270">
        <v>45918</v>
      </c>
      <c r="T219" s="51">
        <f t="shared" si="3"/>
        <v>5</v>
      </c>
      <c r="U219" s="56">
        <v>1</v>
      </c>
      <c r="V219" s="56">
        <v>1</v>
      </c>
      <c r="W219" s="56">
        <v>0</v>
      </c>
      <c r="X219" s="56">
        <v>1</v>
      </c>
      <c r="Y219" s="56">
        <v>0</v>
      </c>
      <c r="Z219" s="56">
        <v>1</v>
      </c>
      <c r="AA219" s="56">
        <v>0</v>
      </c>
      <c r="AB219" s="56"/>
      <c r="AC219" s="58">
        <v>45913</v>
      </c>
      <c r="AD219" s="70">
        <v>0.69444444444525288</v>
      </c>
      <c r="AE219" s="71" t="s">
        <v>995</v>
      </c>
      <c r="AF219" s="58">
        <v>45918</v>
      </c>
      <c r="AG219" s="70">
        <v>0.78472222221898846</v>
      </c>
      <c r="AH219" s="71" t="s">
        <v>3020</v>
      </c>
      <c r="AI219" s="56" t="s">
        <v>5746</v>
      </c>
      <c r="AJ219" s="56" t="s">
        <v>64</v>
      </c>
      <c r="AK219" s="56"/>
      <c r="AL219" s="56" t="s">
        <v>5016</v>
      </c>
      <c r="AM219" s="56" t="s">
        <v>65</v>
      </c>
      <c r="AN219" s="60"/>
      <c r="AO219" s="60"/>
      <c r="AP219" s="61"/>
    </row>
    <row r="220" spans="3:42" ht="14.25" customHeight="1">
      <c r="C220" s="55" t="str">
        <f>IF($X220=1,COUNTIF($C$10:C219,"&gt;0")+1,"")</f>
        <v/>
      </c>
      <c r="D220" s="56">
        <v>70171494</v>
      </c>
      <c r="E220" s="56" t="s">
        <v>5741</v>
      </c>
      <c r="F220" s="57" t="s">
        <v>5787</v>
      </c>
      <c r="G220" s="56" t="s">
        <v>5783</v>
      </c>
      <c r="H220" s="56" t="s">
        <v>5788</v>
      </c>
      <c r="I220" s="56" t="s">
        <v>5785</v>
      </c>
      <c r="J220" s="56" t="s">
        <v>68</v>
      </c>
      <c r="K220" s="56" t="s">
        <v>59</v>
      </c>
      <c r="L220" s="58">
        <v>38905</v>
      </c>
      <c r="M220" s="56">
        <v>19</v>
      </c>
      <c r="N220" s="56" t="s">
        <v>5789</v>
      </c>
      <c r="O220" s="58">
        <v>48671</v>
      </c>
      <c r="P220" s="56" t="s">
        <v>4</v>
      </c>
      <c r="Q220" s="56"/>
      <c r="R220" s="270">
        <v>45913</v>
      </c>
      <c r="S220" s="270">
        <v>45918</v>
      </c>
      <c r="T220" s="51">
        <f t="shared" si="3"/>
        <v>5</v>
      </c>
      <c r="U220" s="56">
        <v>1</v>
      </c>
      <c r="V220" s="56">
        <v>1</v>
      </c>
      <c r="W220" s="56">
        <v>0</v>
      </c>
      <c r="X220" s="56">
        <v>0</v>
      </c>
      <c r="Y220" s="56">
        <v>0</v>
      </c>
      <c r="Z220" s="56">
        <v>0</v>
      </c>
      <c r="AA220" s="56">
        <v>0</v>
      </c>
      <c r="AB220" s="56"/>
      <c r="AC220" s="58">
        <v>45913</v>
      </c>
      <c r="AD220" s="70">
        <v>0.69444444444525288</v>
      </c>
      <c r="AE220" s="71" t="s">
        <v>995</v>
      </c>
      <c r="AF220" s="58">
        <v>45918</v>
      </c>
      <c r="AG220" s="70">
        <v>0.78472222221898846</v>
      </c>
      <c r="AH220" s="71" t="s">
        <v>3020</v>
      </c>
      <c r="AI220" s="56" t="s">
        <v>5746</v>
      </c>
      <c r="AJ220" s="56" t="s">
        <v>64</v>
      </c>
      <c r="AK220" s="56" t="s">
        <v>64</v>
      </c>
      <c r="AL220" s="56" t="s">
        <v>5016</v>
      </c>
      <c r="AM220" s="56" t="s">
        <v>65</v>
      </c>
      <c r="AN220" s="60"/>
      <c r="AO220" s="60"/>
      <c r="AP220" s="61"/>
    </row>
    <row r="221" spans="3:42" ht="14.25" customHeight="1">
      <c r="C221" s="55">
        <f>IF($X221=1,COUNTIF($C$10:C220,"&gt;0")+1,"")</f>
        <v>108</v>
      </c>
      <c r="D221" s="56">
        <v>70503762</v>
      </c>
      <c r="E221" s="56" t="s">
        <v>5741</v>
      </c>
      <c r="F221" s="57" t="s">
        <v>5790</v>
      </c>
      <c r="G221" s="56" t="s">
        <v>5790</v>
      </c>
      <c r="H221" s="56" t="s">
        <v>5791</v>
      </c>
      <c r="I221" s="56" t="s">
        <v>5785</v>
      </c>
      <c r="J221" s="56" t="s">
        <v>68</v>
      </c>
      <c r="K221" s="56" t="s">
        <v>59</v>
      </c>
      <c r="L221" s="58">
        <v>27900</v>
      </c>
      <c r="M221" s="56">
        <v>49</v>
      </c>
      <c r="N221" s="56" t="s">
        <v>5792</v>
      </c>
      <c r="O221" s="58">
        <v>48608</v>
      </c>
      <c r="P221" s="56" t="s">
        <v>4</v>
      </c>
      <c r="Q221" s="56"/>
      <c r="R221" s="270">
        <v>45913</v>
      </c>
      <c r="S221" s="270">
        <v>45918</v>
      </c>
      <c r="T221" s="51">
        <f t="shared" si="3"/>
        <v>5</v>
      </c>
      <c r="U221" s="56">
        <v>1</v>
      </c>
      <c r="V221" s="56">
        <v>1</v>
      </c>
      <c r="W221" s="56">
        <v>0</v>
      </c>
      <c r="X221" s="56">
        <v>1</v>
      </c>
      <c r="Y221" s="56">
        <v>0</v>
      </c>
      <c r="Z221" s="56">
        <v>1</v>
      </c>
      <c r="AA221" s="56">
        <v>0</v>
      </c>
      <c r="AB221" s="56"/>
      <c r="AC221" s="58">
        <v>45913</v>
      </c>
      <c r="AD221" s="70">
        <v>0.69444444444525288</v>
      </c>
      <c r="AE221" s="71" t="s">
        <v>995</v>
      </c>
      <c r="AF221" s="58">
        <v>45918</v>
      </c>
      <c r="AG221" s="70">
        <v>0.78472222221898846</v>
      </c>
      <c r="AH221" s="71" t="s">
        <v>3020</v>
      </c>
      <c r="AI221" s="56" t="s">
        <v>5746</v>
      </c>
      <c r="AJ221" s="56" t="s">
        <v>64</v>
      </c>
      <c r="AK221" s="56" t="s">
        <v>64</v>
      </c>
      <c r="AL221" s="56" t="s">
        <v>5016</v>
      </c>
      <c r="AM221" s="56" t="s">
        <v>65</v>
      </c>
      <c r="AN221" s="263" t="s">
        <v>5017</v>
      </c>
      <c r="AO221" s="264"/>
      <c r="AP221" s="61"/>
    </row>
    <row r="222" spans="3:42" ht="14.25" customHeight="1">
      <c r="C222" s="55" t="str">
        <f>IF($X222=1,COUNTIF($C$10:C221,"&gt;0")+1,"")</f>
        <v/>
      </c>
      <c r="D222" s="56">
        <v>70503762</v>
      </c>
      <c r="E222" s="56" t="s">
        <v>5741</v>
      </c>
      <c r="F222" s="57" t="s">
        <v>5793</v>
      </c>
      <c r="G222" s="56" t="s">
        <v>5790</v>
      </c>
      <c r="H222" s="56" t="s">
        <v>5794</v>
      </c>
      <c r="I222" s="56" t="s">
        <v>790</v>
      </c>
      <c r="J222" s="56" t="s">
        <v>68</v>
      </c>
      <c r="K222" s="56" t="s">
        <v>59</v>
      </c>
      <c r="L222" s="58">
        <v>19708</v>
      </c>
      <c r="M222" s="56">
        <v>71</v>
      </c>
      <c r="N222" s="56" t="s">
        <v>5795</v>
      </c>
      <c r="O222" s="58">
        <v>48891</v>
      </c>
      <c r="P222" s="56" t="s">
        <v>4</v>
      </c>
      <c r="Q222" s="56"/>
      <c r="R222" s="270">
        <v>45913</v>
      </c>
      <c r="S222" s="270">
        <v>45918</v>
      </c>
      <c r="T222" s="51">
        <f t="shared" si="3"/>
        <v>5</v>
      </c>
      <c r="U222" s="56">
        <v>1</v>
      </c>
      <c r="V222" s="56">
        <v>1</v>
      </c>
      <c r="W222" s="56">
        <v>0</v>
      </c>
      <c r="X222" s="56">
        <v>0</v>
      </c>
      <c r="Y222" s="56">
        <v>0</v>
      </c>
      <c r="Z222" s="56">
        <v>0</v>
      </c>
      <c r="AA222" s="56">
        <v>0</v>
      </c>
      <c r="AB222" s="56"/>
      <c r="AC222" s="58">
        <v>45913</v>
      </c>
      <c r="AD222" s="59">
        <v>0.64583333333575865</v>
      </c>
      <c r="AE222" s="56" t="s">
        <v>312</v>
      </c>
      <c r="AF222" s="58">
        <v>45918</v>
      </c>
      <c r="AG222" s="59">
        <v>0.79513888889050577</v>
      </c>
      <c r="AH222" s="56" t="s">
        <v>359</v>
      </c>
      <c r="AI222" s="56" t="s">
        <v>5746</v>
      </c>
      <c r="AJ222" s="56" t="s">
        <v>64</v>
      </c>
      <c r="AK222" s="56" t="s">
        <v>64</v>
      </c>
      <c r="AL222" s="56" t="s">
        <v>5016</v>
      </c>
      <c r="AM222" s="56" t="s">
        <v>65</v>
      </c>
      <c r="AN222" s="276" t="s">
        <v>5017</v>
      </c>
      <c r="AO222" s="276"/>
      <c r="AP222" s="61"/>
    </row>
    <row r="223" spans="3:42" ht="14.25" customHeight="1">
      <c r="C223" s="55">
        <f>IF($X223=1,COUNTIF($C$10:C222,"&gt;0")+1,"")</f>
        <v>109</v>
      </c>
      <c r="D223" s="56">
        <v>70171522</v>
      </c>
      <c r="E223" s="56" t="s">
        <v>5741</v>
      </c>
      <c r="F223" s="57" t="s">
        <v>5796</v>
      </c>
      <c r="G223" s="56" t="s">
        <v>5796</v>
      </c>
      <c r="H223" s="56" t="s">
        <v>5797</v>
      </c>
      <c r="I223" s="56" t="s">
        <v>5798</v>
      </c>
      <c r="J223" s="56" t="s">
        <v>68</v>
      </c>
      <c r="K223" s="56" t="s">
        <v>59</v>
      </c>
      <c r="L223" s="58">
        <v>33078</v>
      </c>
      <c r="M223" s="56">
        <v>35</v>
      </c>
      <c r="N223" s="56" t="s">
        <v>5799</v>
      </c>
      <c r="O223" s="58">
        <v>47500</v>
      </c>
      <c r="P223" s="56" t="s">
        <v>4</v>
      </c>
      <c r="Q223" s="56"/>
      <c r="R223" s="270">
        <v>45913</v>
      </c>
      <c r="S223" s="270">
        <v>45918</v>
      </c>
      <c r="T223" s="51">
        <f t="shared" si="3"/>
        <v>5</v>
      </c>
      <c r="U223" s="56">
        <v>1</v>
      </c>
      <c r="V223" s="56">
        <v>1</v>
      </c>
      <c r="W223" s="56">
        <v>0</v>
      </c>
      <c r="X223" s="56">
        <v>1</v>
      </c>
      <c r="Y223" s="56">
        <v>0</v>
      </c>
      <c r="Z223" s="56">
        <v>1</v>
      </c>
      <c r="AA223" s="56">
        <v>0</v>
      </c>
      <c r="AB223" s="56"/>
      <c r="AC223" s="58">
        <v>45913</v>
      </c>
      <c r="AD223" s="59">
        <v>0.30555555555474712</v>
      </c>
      <c r="AE223" s="56" t="s">
        <v>1080</v>
      </c>
      <c r="AF223" s="58">
        <v>45920</v>
      </c>
      <c r="AG223" s="59">
        <v>0.31944444444525288</v>
      </c>
      <c r="AH223" s="56" t="s">
        <v>5800</v>
      </c>
      <c r="AI223" s="56" t="s">
        <v>5746</v>
      </c>
      <c r="AJ223" s="56" t="s">
        <v>64</v>
      </c>
      <c r="AK223" s="56" t="s">
        <v>64</v>
      </c>
      <c r="AL223" s="56" t="s">
        <v>5016</v>
      </c>
      <c r="AM223" s="56" t="s">
        <v>65</v>
      </c>
      <c r="AN223" s="60"/>
      <c r="AO223" s="60"/>
      <c r="AP223" s="61"/>
    </row>
    <row r="224" spans="3:42" ht="14.25" customHeight="1">
      <c r="C224" s="55" t="str">
        <f>IF($X224=1,COUNTIF($C$10:C223,"&gt;0")+1,"")</f>
        <v/>
      </c>
      <c r="D224" s="56">
        <v>70171522</v>
      </c>
      <c r="E224" s="56" t="s">
        <v>5741</v>
      </c>
      <c r="F224" s="57" t="s">
        <v>5801</v>
      </c>
      <c r="G224" s="56" t="s">
        <v>5796</v>
      </c>
      <c r="H224" s="56" t="s">
        <v>5802</v>
      </c>
      <c r="I224" s="56" t="s">
        <v>5798</v>
      </c>
      <c r="J224" s="56" t="s">
        <v>58</v>
      </c>
      <c r="K224" s="56" t="s">
        <v>59</v>
      </c>
      <c r="L224" s="58">
        <v>32481</v>
      </c>
      <c r="M224" s="56">
        <v>36</v>
      </c>
      <c r="N224" s="56" t="s">
        <v>5803</v>
      </c>
      <c r="O224" s="58">
        <v>49226</v>
      </c>
      <c r="P224" s="56" t="s">
        <v>4</v>
      </c>
      <c r="Q224" s="56"/>
      <c r="R224" s="270">
        <v>45913</v>
      </c>
      <c r="S224" s="270">
        <v>45918</v>
      </c>
      <c r="T224" s="51">
        <f t="shared" si="3"/>
        <v>5</v>
      </c>
      <c r="U224" s="56">
        <v>1</v>
      </c>
      <c r="V224" s="56">
        <v>1</v>
      </c>
      <c r="W224" s="56">
        <v>0</v>
      </c>
      <c r="X224" s="56">
        <v>0</v>
      </c>
      <c r="Y224" s="56">
        <v>0</v>
      </c>
      <c r="Z224" s="56">
        <v>0</v>
      </c>
      <c r="AA224" s="56">
        <v>0</v>
      </c>
      <c r="AB224" s="56"/>
      <c r="AC224" s="58">
        <v>45913</v>
      </c>
      <c r="AD224" s="59">
        <v>0.30555555555474712</v>
      </c>
      <c r="AE224" s="56" t="s">
        <v>1080</v>
      </c>
      <c r="AF224" s="58">
        <v>45920</v>
      </c>
      <c r="AG224" s="59">
        <v>0.31944444444525288</v>
      </c>
      <c r="AH224" s="56" t="s">
        <v>5800</v>
      </c>
      <c r="AI224" s="56" t="s">
        <v>5746</v>
      </c>
      <c r="AJ224" s="56" t="s">
        <v>64</v>
      </c>
      <c r="AK224" s="56" t="s">
        <v>64</v>
      </c>
      <c r="AL224" s="56" t="s">
        <v>5016</v>
      </c>
      <c r="AM224" s="56" t="s">
        <v>65</v>
      </c>
      <c r="AN224" s="60"/>
      <c r="AO224" s="60"/>
      <c r="AP224" s="61"/>
    </row>
    <row r="225" spans="3:42" ht="14.25" customHeight="1">
      <c r="C225" s="55">
        <f>IF($X225=1,COUNTIF($C$10:C224,"&gt;0")+1,"")</f>
        <v>110</v>
      </c>
      <c r="D225" s="56">
        <v>70181251</v>
      </c>
      <c r="E225" s="56" t="s">
        <v>5741</v>
      </c>
      <c r="F225" s="57" t="s">
        <v>5804</v>
      </c>
      <c r="G225" s="56" t="s">
        <v>5804</v>
      </c>
      <c r="H225" s="56" t="s">
        <v>5805</v>
      </c>
      <c r="I225" s="56" t="s">
        <v>5806</v>
      </c>
      <c r="J225" s="56" t="s">
        <v>58</v>
      </c>
      <c r="K225" s="56" t="s">
        <v>59</v>
      </c>
      <c r="L225" s="58">
        <v>27828</v>
      </c>
      <c r="M225" s="56">
        <v>49</v>
      </c>
      <c r="N225" s="56" t="s">
        <v>5807</v>
      </c>
      <c r="O225" s="58">
        <v>46538</v>
      </c>
      <c r="P225" s="56" t="s">
        <v>4</v>
      </c>
      <c r="Q225" s="56"/>
      <c r="R225" s="270">
        <v>45913</v>
      </c>
      <c r="S225" s="270">
        <v>45918</v>
      </c>
      <c r="T225" s="51">
        <f t="shared" si="3"/>
        <v>5</v>
      </c>
      <c r="U225" s="56">
        <v>1</v>
      </c>
      <c r="V225" s="56">
        <v>1</v>
      </c>
      <c r="W225" s="56">
        <v>0</v>
      </c>
      <c r="X225" s="56">
        <v>1</v>
      </c>
      <c r="Y225" s="56">
        <v>0</v>
      </c>
      <c r="Z225" s="56">
        <v>1</v>
      </c>
      <c r="AA225" s="56">
        <v>0</v>
      </c>
      <c r="AB225" s="56"/>
      <c r="AC225" s="58">
        <v>45913</v>
      </c>
      <c r="AD225" s="59">
        <v>0.30555555555474712</v>
      </c>
      <c r="AE225" s="56" t="s">
        <v>1080</v>
      </c>
      <c r="AF225" s="58">
        <v>45920</v>
      </c>
      <c r="AG225" s="59">
        <v>0.34722222221898846</v>
      </c>
      <c r="AH225" s="56" t="s">
        <v>4006</v>
      </c>
      <c r="AI225" s="56" t="s">
        <v>5746</v>
      </c>
      <c r="AJ225" s="56" t="s">
        <v>64</v>
      </c>
      <c r="AK225" s="56" t="s">
        <v>64</v>
      </c>
      <c r="AL225" s="56" t="s">
        <v>5016</v>
      </c>
      <c r="AM225" s="56" t="s">
        <v>65</v>
      </c>
      <c r="AN225" s="60"/>
      <c r="AO225" s="60"/>
      <c r="AP225" s="61"/>
    </row>
    <row r="226" spans="3:42" ht="14.25" customHeight="1">
      <c r="C226" s="55" t="str">
        <f>IF($X226=1,COUNTIF($C$10:C225,"&gt;0")+1,"")</f>
        <v/>
      </c>
      <c r="D226" s="56">
        <v>70181251</v>
      </c>
      <c r="E226" s="56" t="s">
        <v>5741</v>
      </c>
      <c r="F226" s="57" t="s">
        <v>5808</v>
      </c>
      <c r="G226" s="56" t="s">
        <v>5804</v>
      </c>
      <c r="H226" s="56" t="s">
        <v>5809</v>
      </c>
      <c r="I226" s="56" t="s">
        <v>5806</v>
      </c>
      <c r="J226" s="56" t="s">
        <v>68</v>
      </c>
      <c r="K226" s="56" t="s">
        <v>59</v>
      </c>
      <c r="L226" s="58">
        <v>26723</v>
      </c>
      <c r="M226" s="56">
        <v>52</v>
      </c>
      <c r="N226" s="56" t="s">
        <v>5810</v>
      </c>
      <c r="O226" s="58">
        <v>46538</v>
      </c>
      <c r="P226" s="56" t="s">
        <v>4</v>
      </c>
      <c r="Q226" s="56"/>
      <c r="R226" s="270">
        <v>45913</v>
      </c>
      <c r="S226" s="270">
        <v>45918</v>
      </c>
      <c r="T226" s="51">
        <f t="shared" si="3"/>
        <v>5</v>
      </c>
      <c r="U226" s="56">
        <v>1</v>
      </c>
      <c r="V226" s="56">
        <v>1</v>
      </c>
      <c r="W226" s="56">
        <v>0</v>
      </c>
      <c r="X226" s="56">
        <v>0</v>
      </c>
      <c r="Y226" s="56">
        <v>0</v>
      </c>
      <c r="Z226" s="56">
        <v>0</v>
      </c>
      <c r="AA226" s="56">
        <v>0</v>
      </c>
      <c r="AB226" s="56"/>
      <c r="AC226" s="58">
        <v>45913</v>
      </c>
      <c r="AD226" s="59">
        <v>0.30555555555474712</v>
      </c>
      <c r="AE226" s="56" t="s">
        <v>1080</v>
      </c>
      <c r="AF226" s="58">
        <v>45920</v>
      </c>
      <c r="AG226" s="59">
        <v>0.34722222221898846</v>
      </c>
      <c r="AH226" s="56" t="s">
        <v>4006</v>
      </c>
      <c r="AI226" s="56" t="s">
        <v>5746</v>
      </c>
      <c r="AJ226" s="56" t="s">
        <v>64</v>
      </c>
      <c r="AK226" s="56" t="s">
        <v>64</v>
      </c>
      <c r="AL226" s="56" t="s">
        <v>5016</v>
      </c>
      <c r="AM226" s="56" t="s">
        <v>65</v>
      </c>
      <c r="AN226" s="60"/>
      <c r="AO226" s="60"/>
      <c r="AP226" s="61"/>
    </row>
    <row r="227" spans="3:42" ht="14.25" customHeight="1">
      <c r="C227" s="55">
        <f>IF($X227=1,COUNTIF($C$10:C226,"&gt;0")+1,"")</f>
        <v>111</v>
      </c>
      <c r="D227" s="56">
        <v>70181281</v>
      </c>
      <c r="E227" s="56" t="s">
        <v>5741</v>
      </c>
      <c r="F227" s="57" t="s">
        <v>5811</v>
      </c>
      <c r="G227" s="56" t="s">
        <v>5811</v>
      </c>
      <c r="H227" s="56" t="s">
        <v>5812</v>
      </c>
      <c r="I227" s="56" t="s">
        <v>5813</v>
      </c>
      <c r="J227" s="56" t="s">
        <v>58</v>
      </c>
      <c r="K227" s="56" t="s">
        <v>460</v>
      </c>
      <c r="L227" s="58">
        <v>25986</v>
      </c>
      <c r="M227" s="56">
        <v>54</v>
      </c>
      <c r="N227" s="56" t="s">
        <v>5814</v>
      </c>
      <c r="O227" s="58">
        <v>48415</v>
      </c>
      <c r="P227" s="56" t="s">
        <v>4</v>
      </c>
      <c r="Q227" s="56"/>
      <c r="R227" s="270">
        <v>45913</v>
      </c>
      <c r="S227" s="270">
        <v>45918</v>
      </c>
      <c r="T227" s="51">
        <f t="shared" si="3"/>
        <v>5</v>
      </c>
      <c r="U227" s="56">
        <v>1</v>
      </c>
      <c r="V227" s="56">
        <v>1</v>
      </c>
      <c r="W227" s="56">
        <v>0</v>
      </c>
      <c r="X227" s="56">
        <v>1</v>
      </c>
      <c r="Y227" s="56">
        <v>0</v>
      </c>
      <c r="Z227" s="56">
        <v>1</v>
      </c>
      <c r="AA227" s="56">
        <v>0</v>
      </c>
      <c r="AB227" s="56"/>
      <c r="AC227" s="58">
        <v>45913</v>
      </c>
      <c r="AD227" s="59">
        <v>0.78125</v>
      </c>
      <c r="AE227" s="56" t="s">
        <v>462</v>
      </c>
      <c r="AF227" s="58">
        <v>45918</v>
      </c>
      <c r="AG227" s="59">
        <v>0.86458333333575865</v>
      </c>
      <c r="AH227" s="56" t="s">
        <v>463</v>
      </c>
      <c r="AI227" s="56" t="s">
        <v>5746</v>
      </c>
      <c r="AJ227" s="56" t="s">
        <v>64</v>
      </c>
      <c r="AK227" s="56" t="s">
        <v>64</v>
      </c>
      <c r="AL227" s="56" t="s">
        <v>5016</v>
      </c>
      <c r="AM227" s="56" t="s">
        <v>65</v>
      </c>
      <c r="AN227" s="60"/>
      <c r="AO227" s="60" t="s">
        <v>331</v>
      </c>
      <c r="AP227" s="61"/>
    </row>
    <row r="228" spans="3:42" ht="14.25" customHeight="1">
      <c r="C228" s="55" t="str">
        <f>IF($X228=1,COUNTIF($C$10:C227,"&gt;0")+1,"")</f>
        <v/>
      </c>
      <c r="D228" s="56">
        <v>70181281</v>
      </c>
      <c r="E228" s="56" t="s">
        <v>5741</v>
      </c>
      <c r="F228" s="57" t="s">
        <v>5815</v>
      </c>
      <c r="G228" s="56" t="s">
        <v>5811</v>
      </c>
      <c r="H228" s="56" t="s">
        <v>5816</v>
      </c>
      <c r="I228" s="56" t="s">
        <v>5817</v>
      </c>
      <c r="J228" s="56" t="s">
        <v>58</v>
      </c>
      <c r="K228" s="56" t="s">
        <v>460</v>
      </c>
      <c r="L228" s="58">
        <v>27616</v>
      </c>
      <c r="M228" s="56">
        <v>50</v>
      </c>
      <c r="N228" s="56" t="s">
        <v>5818</v>
      </c>
      <c r="O228" s="58">
        <v>47571</v>
      </c>
      <c r="P228" s="56" t="s">
        <v>4</v>
      </c>
      <c r="Q228" s="56"/>
      <c r="R228" s="270">
        <v>45913</v>
      </c>
      <c r="S228" s="270">
        <v>45918</v>
      </c>
      <c r="T228" s="51">
        <f t="shared" si="3"/>
        <v>5</v>
      </c>
      <c r="U228" s="56">
        <v>1</v>
      </c>
      <c r="V228" s="56">
        <v>1</v>
      </c>
      <c r="W228" s="56">
        <v>0</v>
      </c>
      <c r="X228" s="56">
        <v>0</v>
      </c>
      <c r="Y228" s="56">
        <v>0</v>
      </c>
      <c r="Z228" s="56">
        <v>0</v>
      </c>
      <c r="AA228" s="56">
        <v>0</v>
      </c>
      <c r="AB228" s="56"/>
      <c r="AC228" s="58">
        <v>45913</v>
      </c>
      <c r="AD228" s="59">
        <v>0.78125</v>
      </c>
      <c r="AE228" s="56" t="s">
        <v>462</v>
      </c>
      <c r="AF228" s="58">
        <v>45918</v>
      </c>
      <c r="AG228" s="59">
        <v>0.86458333333575865</v>
      </c>
      <c r="AH228" s="56" t="s">
        <v>463</v>
      </c>
      <c r="AI228" s="56" t="s">
        <v>5746</v>
      </c>
      <c r="AJ228" s="56" t="s">
        <v>64</v>
      </c>
      <c r="AK228" s="56" t="s">
        <v>64</v>
      </c>
      <c r="AL228" s="56" t="s">
        <v>5016</v>
      </c>
      <c r="AM228" s="56" t="s">
        <v>65</v>
      </c>
      <c r="AN228" s="60"/>
      <c r="AO228" s="60" t="s">
        <v>331</v>
      </c>
      <c r="AP228" s="61"/>
    </row>
    <row r="229" spans="3:42" ht="14.25" customHeight="1">
      <c r="C229" s="55">
        <f>IF($X229=1,COUNTIF($C$10:C228,"&gt;0")+1,"")</f>
        <v>112</v>
      </c>
      <c r="D229" s="56">
        <v>70181309</v>
      </c>
      <c r="E229" s="56" t="s">
        <v>5741</v>
      </c>
      <c r="F229" s="57" t="s">
        <v>5819</v>
      </c>
      <c r="G229" s="56" t="s">
        <v>5819</v>
      </c>
      <c r="H229" s="56" t="s">
        <v>5820</v>
      </c>
      <c r="I229" s="56" t="s">
        <v>736</v>
      </c>
      <c r="J229" s="56" t="s">
        <v>68</v>
      </c>
      <c r="K229" s="56" t="s">
        <v>59</v>
      </c>
      <c r="L229" s="58">
        <v>33350</v>
      </c>
      <c r="M229" s="56">
        <v>34</v>
      </c>
      <c r="N229" s="56" t="s">
        <v>5821</v>
      </c>
      <c r="O229" s="58">
        <v>46909</v>
      </c>
      <c r="P229" s="56" t="s">
        <v>4</v>
      </c>
      <c r="Q229" s="56"/>
      <c r="R229" s="270">
        <v>45913</v>
      </c>
      <c r="S229" s="270">
        <v>45918</v>
      </c>
      <c r="T229" s="51">
        <f t="shared" si="3"/>
        <v>5</v>
      </c>
      <c r="U229" s="56">
        <v>1</v>
      </c>
      <c r="V229" s="56">
        <v>1</v>
      </c>
      <c r="W229" s="56">
        <v>0</v>
      </c>
      <c r="X229" s="56">
        <v>1</v>
      </c>
      <c r="Y229" s="56">
        <v>0</v>
      </c>
      <c r="Z229" s="56">
        <v>1</v>
      </c>
      <c r="AA229" s="56">
        <v>0</v>
      </c>
      <c r="AB229" s="56"/>
      <c r="AC229" s="58">
        <v>45913</v>
      </c>
      <c r="AD229" s="59">
        <v>0.64583333333575865</v>
      </c>
      <c r="AE229" s="56" t="s">
        <v>312</v>
      </c>
      <c r="AF229" s="58">
        <v>45921</v>
      </c>
      <c r="AG229" s="59">
        <v>5.2083333335758653E-2</v>
      </c>
      <c r="AH229" s="56" t="s">
        <v>1103</v>
      </c>
      <c r="AI229" s="56" t="s">
        <v>5746</v>
      </c>
      <c r="AJ229" s="56" t="s">
        <v>64</v>
      </c>
      <c r="AK229" s="56" t="s">
        <v>64</v>
      </c>
      <c r="AL229" s="56" t="s">
        <v>5016</v>
      </c>
      <c r="AM229" s="56" t="s">
        <v>65</v>
      </c>
      <c r="AN229" s="60"/>
      <c r="AO229" s="60"/>
      <c r="AP229" s="61"/>
    </row>
    <row r="230" spans="3:42" ht="14.25" customHeight="1">
      <c r="C230" s="55" t="str">
        <f>IF($X230=1,COUNTIF($C$10:C229,"&gt;0")+1,"")</f>
        <v/>
      </c>
      <c r="D230" s="56">
        <v>70181309</v>
      </c>
      <c r="E230" s="56" t="s">
        <v>5741</v>
      </c>
      <c r="F230" s="57" t="s">
        <v>5822</v>
      </c>
      <c r="G230" s="56" t="s">
        <v>5819</v>
      </c>
      <c r="H230" s="56" t="s">
        <v>5823</v>
      </c>
      <c r="I230" s="56" t="s">
        <v>736</v>
      </c>
      <c r="J230" s="56" t="s">
        <v>68</v>
      </c>
      <c r="K230" s="56" t="s">
        <v>59</v>
      </c>
      <c r="L230" s="58">
        <v>23131</v>
      </c>
      <c r="M230" s="56">
        <v>62</v>
      </c>
      <c r="N230" s="56" t="s">
        <v>5824</v>
      </c>
      <c r="O230" s="58">
        <v>48818</v>
      </c>
      <c r="P230" s="56" t="s">
        <v>4</v>
      </c>
      <c r="Q230" s="56"/>
      <c r="R230" s="270">
        <v>45913</v>
      </c>
      <c r="S230" s="270">
        <v>45918</v>
      </c>
      <c r="T230" s="51">
        <f t="shared" si="3"/>
        <v>5</v>
      </c>
      <c r="U230" s="56">
        <v>1</v>
      </c>
      <c r="V230" s="56">
        <v>1</v>
      </c>
      <c r="W230" s="56">
        <v>0</v>
      </c>
      <c r="X230" s="56">
        <v>0</v>
      </c>
      <c r="Y230" s="56">
        <v>0</v>
      </c>
      <c r="Z230" s="56">
        <v>0</v>
      </c>
      <c r="AA230" s="56">
        <v>0</v>
      </c>
      <c r="AB230" s="56"/>
      <c r="AC230" s="58">
        <v>45913</v>
      </c>
      <c r="AD230" s="59">
        <v>0.64583333333575865</v>
      </c>
      <c r="AE230" s="56" t="s">
        <v>312</v>
      </c>
      <c r="AF230" s="58">
        <v>45921</v>
      </c>
      <c r="AG230" s="59">
        <v>5.2083333335758653E-2</v>
      </c>
      <c r="AH230" s="56" t="s">
        <v>1103</v>
      </c>
      <c r="AI230" s="56" t="s">
        <v>5746</v>
      </c>
      <c r="AJ230" s="56" t="s">
        <v>64</v>
      </c>
      <c r="AK230" s="56" t="s">
        <v>64</v>
      </c>
      <c r="AL230" s="56" t="s">
        <v>5016</v>
      </c>
      <c r="AM230" s="56" t="s">
        <v>65</v>
      </c>
      <c r="AN230" s="60"/>
      <c r="AO230" s="60"/>
      <c r="AP230" s="61"/>
    </row>
    <row r="231" spans="3:42" ht="14.25" customHeight="1">
      <c r="C231" s="55">
        <f>IF($X231=1,COUNTIF($C$10:C230,"&gt;0")+1,"")</f>
        <v>113</v>
      </c>
      <c r="D231" s="56">
        <v>70485532</v>
      </c>
      <c r="E231" s="56" t="s">
        <v>5741</v>
      </c>
      <c r="F231" s="57" t="s">
        <v>5825</v>
      </c>
      <c r="G231" s="56" t="s">
        <v>5825</v>
      </c>
      <c r="H231" s="56" t="s">
        <v>5826</v>
      </c>
      <c r="I231" s="56" t="s">
        <v>5827</v>
      </c>
      <c r="J231" s="56" t="s">
        <v>68</v>
      </c>
      <c r="K231" s="56" t="s">
        <v>59</v>
      </c>
      <c r="L231" s="58">
        <v>25679</v>
      </c>
      <c r="M231" s="56">
        <v>55</v>
      </c>
      <c r="N231" s="56" t="s">
        <v>5828</v>
      </c>
      <c r="O231" s="58">
        <v>47541</v>
      </c>
      <c r="P231" s="56" t="s">
        <v>5</v>
      </c>
      <c r="Q231" s="56"/>
      <c r="R231" s="270">
        <v>45913</v>
      </c>
      <c r="S231" s="270">
        <v>45918</v>
      </c>
      <c r="T231" s="51">
        <f t="shared" si="3"/>
        <v>5</v>
      </c>
      <c r="U231" s="56">
        <v>1</v>
      </c>
      <c r="V231" s="56">
        <v>1</v>
      </c>
      <c r="W231" s="56">
        <v>0</v>
      </c>
      <c r="X231" s="56">
        <v>1</v>
      </c>
      <c r="Y231" s="56">
        <v>0</v>
      </c>
      <c r="Z231" s="56">
        <v>0</v>
      </c>
      <c r="AA231" s="56">
        <v>1</v>
      </c>
      <c r="AB231" s="56"/>
      <c r="AC231" s="58">
        <v>45913</v>
      </c>
      <c r="AD231" s="59">
        <v>0.30555555555474712</v>
      </c>
      <c r="AE231" s="56" t="s">
        <v>1080</v>
      </c>
      <c r="AF231" s="58">
        <v>45920</v>
      </c>
      <c r="AG231" s="59">
        <v>5.2083333335758653E-2</v>
      </c>
      <c r="AH231" s="56" t="s">
        <v>1103</v>
      </c>
      <c r="AI231" s="56" t="s">
        <v>5746</v>
      </c>
      <c r="AJ231" s="56" t="s">
        <v>64</v>
      </c>
      <c r="AK231" s="56" t="s">
        <v>64</v>
      </c>
      <c r="AL231" s="56" t="s">
        <v>5016</v>
      </c>
      <c r="AM231" s="56" t="s">
        <v>65</v>
      </c>
      <c r="AN231" s="60"/>
      <c r="AO231" s="60"/>
      <c r="AP231" s="61"/>
    </row>
    <row r="232" spans="3:42" ht="14.25" customHeight="1">
      <c r="C232" s="55" t="str">
        <f>IF($X232=1,COUNTIF($C$10:C231,"&gt;0")+1,"")</f>
        <v/>
      </c>
      <c r="D232" s="56">
        <v>70485532</v>
      </c>
      <c r="E232" s="56" t="s">
        <v>5741</v>
      </c>
      <c r="F232" s="57" t="s">
        <v>5829</v>
      </c>
      <c r="G232" s="56" t="s">
        <v>5825</v>
      </c>
      <c r="H232" s="56" t="s">
        <v>5830</v>
      </c>
      <c r="I232" s="56" t="s">
        <v>5831</v>
      </c>
      <c r="J232" s="56" t="s">
        <v>68</v>
      </c>
      <c r="K232" s="56" t="s">
        <v>59</v>
      </c>
      <c r="L232" s="58">
        <v>16977</v>
      </c>
      <c r="M232" s="56">
        <v>79</v>
      </c>
      <c r="N232" s="56" t="s">
        <v>5832</v>
      </c>
      <c r="O232" s="58">
        <v>48904</v>
      </c>
      <c r="P232" s="56" t="s">
        <v>5</v>
      </c>
      <c r="Q232" s="56"/>
      <c r="R232" s="270">
        <v>45913</v>
      </c>
      <c r="S232" s="270">
        <v>45918</v>
      </c>
      <c r="T232" s="51">
        <f t="shared" si="3"/>
        <v>5</v>
      </c>
      <c r="U232" s="56">
        <v>1</v>
      </c>
      <c r="V232" s="56">
        <v>1</v>
      </c>
      <c r="W232" s="56">
        <v>0</v>
      </c>
      <c r="X232" s="56">
        <v>0</v>
      </c>
      <c r="Y232" s="56">
        <v>0</v>
      </c>
      <c r="Z232" s="56">
        <v>0</v>
      </c>
      <c r="AA232" s="56">
        <v>0</v>
      </c>
      <c r="AB232" s="56"/>
      <c r="AC232" s="58">
        <v>45914</v>
      </c>
      <c r="AD232" s="59">
        <v>0.1875</v>
      </c>
      <c r="AE232" s="56" t="s">
        <v>64</v>
      </c>
      <c r="AF232" s="58">
        <v>45918</v>
      </c>
      <c r="AG232" s="59">
        <v>0.87152777778101154</v>
      </c>
      <c r="AH232" s="56" t="s">
        <v>64</v>
      </c>
      <c r="AI232" s="56" t="s">
        <v>5746</v>
      </c>
      <c r="AJ232" s="56" t="s">
        <v>64</v>
      </c>
      <c r="AK232" s="56" t="s">
        <v>64</v>
      </c>
      <c r="AL232" s="56" t="s">
        <v>5016</v>
      </c>
      <c r="AM232" s="56" t="s">
        <v>65</v>
      </c>
      <c r="AN232" s="60"/>
      <c r="AO232" s="60"/>
      <c r="AP232" s="61"/>
    </row>
    <row r="233" spans="3:42" ht="14.25" customHeight="1">
      <c r="C233" s="55">
        <f>IF($X233=1,COUNTIF($C$10:C232,"&gt;0")+1,"")</f>
        <v>114</v>
      </c>
      <c r="D233" s="56">
        <v>7018301</v>
      </c>
      <c r="E233" s="56" t="s">
        <v>5741</v>
      </c>
      <c r="F233" s="57" t="s">
        <v>5833</v>
      </c>
      <c r="G233" s="56" t="s">
        <v>5833</v>
      </c>
      <c r="H233" s="56" t="s">
        <v>5834</v>
      </c>
      <c r="I233" s="56" t="s">
        <v>5835</v>
      </c>
      <c r="J233" s="56" t="s">
        <v>68</v>
      </c>
      <c r="K233" s="56" t="s">
        <v>59</v>
      </c>
      <c r="L233" s="58">
        <v>26543</v>
      </c>
      <c r="M233" s="56">
        <v>53</v>
      </c>
      <c r="N233" s="56" t="s">
        <v>5836</v>
      </c>
      <c r="O233" s="58">
        <v>46869</v>
      </c>
      <c r="P233" s="56" t="s">
        <v>4</v>
      </c>
      <c r="Q233" s="56"/>
      <c r="R233" s="270">
        <v>45913</v>
      </c>
      <c r="S233" s="270">
        <v>45918</v>
      </c>
      <c r="T233" s="51">
        <f t="shared" si="3"/>
        <v>5</v>
      </c>
      <c r="U233" s="56">
        <v>1</v>
      </c>
      <c r="V233" s="56">
        <v>1</v>
      </c>
      <c r="W233" s="56">
        <v>0</v>
      </c>
      <c r="X233" s="56">
        <v>1</v>
      </c>
      <c r="Y233" s="56">
        <v>0</v>
      </c>
      <c r="Z233" s="56">
        <v>1</v>
      </c>
      <c r="AA233" s="56">
        <v>0</v>
      </c>
      <c r="AB233" s="56"/>
      <c r="AC233" s="58">
        <v>45913</v>
      </c>
      <c r="AD233" s="59">
        <v>0.30555555555474712</v>
      </c>
      <c r="AE233" s="56" t="s">
        <v>1080</v>
      </c>
      <c r="AF233" s="58">
        <v>45920</v>
      </c>
      <c r="AG233" s="59">
        <v>0.34722222221898846</v>
      </c>
      <c r="AH233" s="56" t="s">
        <v>4006</v>
      </c>
      <c r="AI233" s="56" t="s">
        <v>5746</v>
      </c>
      <c r="AJ233" s="56" t="s">
        <v>64</v>
      </c>
      <c r="AK233" s="56" t="s">
        <v>64</v>
      </c>
      <c r="AL233" s="56" t="s">
        <v>5016</v>
      </c>
      <c r="AM233" s="56" t="s">
        <v>65</v>
      </c>
      <c r="AN233" s="60"/>
      <c r="AO233" s="60"/>
      <c r="AP233" s="61"/>
    </row>
    <row r="234" spans="3:42" ht="14.25" customHeight="1">
      <c r="C234" s="55" t="str">
        <f>IF($X234=1,COUNTIF($C$10:C233,"&gt;0")+1,"")</f>
        <v/>
      </c>
      <c r="D234" s="56">
        <v>7018301</v>
      </c>
      <c r="E234" s="56" t="s">
        <v>5741</v>
      </c>
      <c r="F234" s="57" t="s">
        <v>5837</v>
      </c>
      <c r="G234" s="56" t="s">
        <v>5833</v>
      </c>
      <c r="H234" s="56" t="s">
        <v>5838</v>
      </c>
      <c r="I234" s="56" t="s">
        <v>5839</v>
      </c>
      <c r="J234" s="56" t="s">
        <v>68</v>
      </c>
      <c r="K234" s="56" t="s">
        <v>59</v>
      </c>
      <c r="L234" s="58">
        <v>26521</v>
      </c>
      <c r="M234" s="56">
        <v>53</v>
      </c>
      <c r="N234" s="56" t="s">
        <v>5840</v>
      </c>
      <c r="O234" s="58">
        <v>46208</v>
      </c>
      <c r="P234" s="56" t="s">
        <v>4</v>
      </c>
      <c r="Q234" s="56"/>
      <c r="R234" s="270">
        <v>45913</v>
      </c>
      <c r="S234" s="270">
        <v>45918</v>
      </c>
      <c r="T234" s="51">
        <f t="shared" si="3"/>
        <v>5</v>
      </c>
      <c r="U234" s="56">
        <v>1</v>
      </c>
      <c r="V234" s="56">
        <v>1</v>
      </c>
      <c r="W234" s="56">
        <v>0</v>
      </c>
      <c r="X234" s="56">
        <v>0</v>
      </c>
      <c r="Y234" s="56">
        <v>0</v>
      </c>
      <c r="Z234" s="56">
        <v>0</v>
      </c>
      <c r="AA234" s="56">
        <v>0</v>
      </c>
      <c r="AB234" s="56"/>
      <c r="AC234" s="58">
        <v>45913</v>
      </c>
      <c r="AD234" s="59">
        <v>0.30555555555474712</v>
      </c>
      <c r="AE234" s="56" t="s">
        <v>1080</v>
      </c>
      <c r="AF234" s="58">
        <v>45920</v>
      </c>
      <c r="AG234" s="59">
        <v>0.34722222221898846</v>
      </c>
      <c r="AH234" s="56" t="s">
        <v>4006</v>
      </c>
      <c r="AI234" s="56" t="s">
        <v>5746</v>
      </c>
      <c r="AJ234" s="56" t="s">
        <v>64</v>
      </c>
      <c r="AK234" s="56" t="s">
        <v>64</v>
      </c>
      <c r="AL234" s="56" t="s">
        <v>5016</v>
      </c>
      <c r="AM234" s="56" t="s">
        <v>65</v>
      </c>
      <c r="AN234" s="60"/>
      <c r="AO234" s="60"/>
      <c r="AP234" s="61"/>
    </row>
    <row r="235" spans="3:42" ht="14.25" customHeight="1">
      <c r="C235" s="55">
        <f>IF($X235=1,COUNTIF($C$10:C234,"&gt;0")+1,"")</f>
        <v>115</v>
      </c>
      <c r="D235" s="56">
        <v>70503782</v>
      </c>
      <c r="E235" s="56" t="s">
        <v>5741</v>
      </c>
      <c r="F235" s="57" t="s">
        <v>5841</v>
      </c>
      <c r="G235" s="56" t="s">
        <v>5841</v>
      </c>
      <c r="H235" s="56" t="s">
        <v>5842</v>
      </c>
      <c r="I235" s="56" t="s">
        <v>5843</v>
      </c>
      <c r="J235" s="56" t="s">
        <v>68</v>
      </c>
      <c r="K235" s="56" t="s">
        <v>59</v>
      </c>
      <c r="L235" s="58">
        <v>31247</v>
      </c>
      <c r="M235" s="56">
        <v>40</v>
      </c>
      <c r="N235" s="56" t="s">
        <v>5844</v>
      </c>
      <c r="O235" s="58">
        <v>47330</v>
      </c>
      <c r="P235" s="56" t="s">
        <v>4</v>
      </c>
      <c r="Q235" s="56"/>
      <c r="R235" s="270">
        <v>45913</v>
      </c>
      <c r="S235" s="270">
        <v>45918</v>
      </c>
      <c r="T235" s="51">
        <f t="shared" si="3"/>
        <v>5</v>
      </c>
      <c r="U235" s="56">
        <v>1</v>
      </c>
      <c r="V235" s="56">
        <v>1</v>
      </c>
      <c r="W235" s="56">
        <v>0</v>
      </c>
      <c r="X235" s="56">
        <v>1</v>
      </c>
      <c r="Y235" s="56">
        <v>0</v>
      </c>
      <c r="Z235" s="56">
        <v>1</v>
      </c>
      <c r="AA235" s="56">
        <v>0</v>
      </c>
      <c r="AB235" s="56"/>
      <c r="AC235" s="58">
        <v>45913</v>
      </c>
      <c r="AD235" s="59">
        <v>0.16666666666424135</v>
      </c>
      <c r="AE235" s="56" t="s">
        <v>625</v>
      </c>
      <c r="AF235" s="58">
        <v>45921</v>
      </c>
      <c r="AG235" s="59">
        <v>5.2083333335758653E-2</v>
      </c>
      <c r="AH235" s="56" t="s">
        <v>1103</v>
      </c>
      <c r="AI235" s="56" t="s">
        <v>5746</v>
      </c>
      <c r="AJ235" s="56" t="s">
        <v>64</v>
      </c>
      <c r="AK235" s="56" t="s">
        <v>64</v>
      </c>
      <c r="AL235" s="56" t="s">
        <v>5016</v>
      </c>
      <c r="AM235" s="56" t="s">
        <v>65</v>
      </c>
      <c r="AN235" s="60" t="s">
        <v>5017</v>
      </c>
      <c r="AO235" s="60"/>
      <c r="AP235" s="61"/>
    </row>
    <row r="236" spans="3:42" ht="14.25" customHeight="1">
      <c r="C236" s="55" t="str">
        <f>IF($X236=1,COUNTIF($C$10:C235,"&gt;0")+1,"")</f>
        <v/>
      </c>
      <c r="D236" s="56">
        <v>70503782</v>
      </c>
      <c r="E236" s="56" t="s">
        <v>5741</v>
      </c>
      <c r="F236" s="57" t="s">
        <v>5845</v>
      </c>
      <c r="G236" s="56" t="s">
        <v>5841</v>
      </c>
      <c r="H236" s="56" t="s">
        <v>5846</v>
      </c>
      <c r="I236" s="56" t="s">
        <v>5847</v>
      </c>
      <c r="J236" s="56" t="s">
        <v>68</v>
      </c>
      <c r="K236" s="56" t="s">
        <v>59</v>
      </c>
      <c r="L236" s="58">
        <v>32007</v>
      </c>
      <c r="M236" s="56">
        <v>38</v>
      </c>
      <c r="N236" s="56" t="s">
        <v>5848</v>
      </c>
      <c r="O236" s="58">
        <v>45811</v>
      </c>
      <c r="P236" s="56" t="s">
        <v>4</v>
      </c>
      <c r="Q236" s="56"/>
      <c r="R236" s="270">
        <v>45913</v>
      </c>
      <c r="S236" s="270">
        <v>45918</v>
      </c>
      <c r="T236" s="51">
        <f t="shared" si="3"/>
        <v>5</v>
      </c>
      <c r="U236" s="56">
        <v>1</v>
      </c>
      <c r="V236" s="56">
        <v>1</v>
      </c>
      <c r="W236" s="56">
        <v>0</v>
      </c>
      <c r="X236" s="56">
        <v>0</v>
      </c>
      <c r="Y236" s="56">
        <v>0</v>
      </c>
      <c r="Z236" s="56">
        <v>0</v>
      </c>
      <c r="AA236" s="56">
        <v>0</v>
      </c>
      <c r="AB236" s="56"/>
      <c r="AC236" s="58">
        <v>45913</v>
      </c>
      <c r="AD236" s="59">
        <v>0.20833333333575865</v>
      </c>
      <c r="AE236" s="56" t="s">
        <v>5849</v>
      </c>
      <c r="AF236" s="58">
        <v>45920</v>
      </c>
      <c r="AG236" s="59">
        <v>5.2083333335758653E-2</v>
      </c>
      <c r="AH236" s="56" t="s">
        <v>1103</v>
      </c>
      <c r="AI236" s="56" t="s">
        <v>5746</v>
      </c>
      <c r="AJ236" s="56" t="s">
        <v>64</v>
      </c>
      <c r="AK236" s="56" t="s">
        <v>64</v>
      </c>
      <c r="AL236" s="56" t="s">
        <v>5016</v>
      </c>
      <c r="AM236" s="56" t="s">
        <v>65</v>
      </c>
      <c r="AN236" s="60" t="s">
        <v>5017</v>
      </c>
      <c r="AO236" s="60"/>
      <c r="AP236" s="61"/>
    </row>
    <row r="237" spans="3:42" ht="14.25" customHeight="1">
      <c r="C237" s="55" t="str">
        <f>IF($X237=1,COUNTIF($C$10:C236,"&gt;0")+1,"")</f>
        <v/>
      </c>
      <c r="D237" s="56">
        <v>70503782</v>
      </c>
      <c r="E237" s="56" t="s">
        <v>5741</v>
      </c>
      <c r="F237" s="57" t="s">
        <v>5850</v>
      </c>
      <c r="G237" s="56" t="s">
        <v>5841</v>
      </c>
      <c r="H237" s="56" t="s">
        <v>5851</v>
      </c>
      <c r="I237" s="56" t="s">
        <v>5847</v>
      </c>
      <c r="J237" s="56" t="s">
        <v>58</v>
      </c>
      <c r="K237" s="56" t="s">
        <v>59</v>
      </c>
      <c r="L237" s="58">
        <v>43214</v>
      </c>
      <c r="M237" s="56">
        <v>7</v>
      </c>
      <c r="N237" s="56" t="s">
        <v>5852</v>
      </c>
      <c r="O237" s="58">
        <v>47329</v>
      </c>
      <c r="P237" s="56" t="s">
        <v>4</v>
      </c>
      <c r="Q237" s="56"/>
      <c r="R237" s="270">
        <v>45913</v>
      </c>
      <c r="S237" s="270">
        <v>45918</v>
      </c>
      <c r="T237" s="51">
        <f t="shared" si="3"/>
        <v>5</v>
      </c>
      <c r="U237" s="56">
        <v>1</v>
      </c>
      <c r="V237" s="56">
        <v>0</v>
      </c>
      <c r="W237" s="56">
        <v>1</v>
      </c>
      <c r="X237" s="56">
        <v>0</v>
      </c>
      <c r="Y237" s="56">
        <v>0</v>
      </c>
      <c r="Z237" s="56">
        <v>0</v>
      </c>
      <c r="AA237" s="56">
        <v>0</v>
      </c>
      <c r="AB237" s="56"/>
      <c r="AC237" s="58">
        <v>45913</v>
      </c>
      <c r="AD237" s="59">
        <v>0.20833333333575865</v>
      </c>
      <c r="AE237" s="56" t="s">
        <v>5849</v>
      </c>
      <c r="AF237" s="58">
        <v>45920</v>
      </c>
      <c r="AG237" s="59">
        <v>5.2083333335758653E-2</v>
      </c>
      <c r="AH237" s="56" t="s">
        <v>1103</v>
      </c>
      <c r="AI237" s="56" t="s">
        <v>5746</v>
      </c>
      <c r="AJ237" s="56" t="s">
        <v>64</v>
      </c>
      <c r="AK237" s="56" t="s">
        <v>64</v>
      </c>
      <c r="AL237" s="56" t="s">
        <v>5016</v>
      </c>
      <c r="AM237" s="56" t="s">
        <v>65</v>
      </c>
      <c r="AN237" s="60" t="s">
        <v>5017</v>
      </c>
      <c r="AO237" s="60"/>
      <c r="AP237" s="61"/>
    </row>
    <row r="238" spans="3:42" ht="14.25" customHeight="1">
      <c r="C238" s="55">
        <f>IF($X238=1,COUNTIF($C$10:C237,"&gt;0")+1,"")</f>
        <v>116</v>
      </c>
      <c r="D238" s="56">
        <v>70517324</v>
      </c>
      <c r="E238" s="56" t="s">
        <v>5741</v>
      </c>
      <c r="F238" s="57" t="s">
        <v>5853</v>
      </c>
      <c r="G238" s="56" t="s">
        <v>5853</v>
      </c>
      <c r="H238" s="56" t="s">
        <v>5854</v>
      </c>
      <c r="I238" s="56" t="s">
        <v>5855</v>
      </c>
      <c r="J238" s="56" t="s">
        <v>68</v>
      </c>
      <c r="K238" s="56" t="s">
        <v>59</v>
      </c>
      <c r="L238" s="58">
        <v>32857</v>
      </c>
      <c r="M238" s="56">
        <v>35</v>
      </c>
      <c r="N238" s="56" t="s">
        <v>5856</v>
      </c>
      <c r="O238" s="58">
        <v>45831</v>
      </c>
      <c r="P238" s="56" t="s">
        <v>5</v>
      </c>
      <c r="Q238" s="56"/>
      <c r="R238" s="270">
        <v>45913</v>
      </c>
      <c r="S238" s="270">
        <v>45918</v>
      </c>
      <c r="T238" s="51">
        <f t="shared" si="3"/>
        <v>5</v>
      </c>
      <c r="U238" s="56">
        <v>1</v>
      </c>
      <c r="V238" s="56">
        <v>1</v>
      </c>
      <c r="W238" s="56">
        <v>0</v>
      </c>
      <c r="X238" s="56">
        <v>1</v>
      </c>
      <c r="Y238" s="56">
        <v>0</v>
      </c>
      <c r="Z238" s="56">
        <v>0</v>
      </c>
      <c r="AA238" s="56">
        <v>1</v>
      </c>
      <c r="AB238" s="56"/>
      <c r="AC238" s="58">
        <v>45913</v>
      </c>
      <c r="AD238" s="59">
        <v>0.30555555555474712</v>
      </c>
      <c r="AE238" s="56" t="s">
        <v>1080</v>
      </c>
      <c r="AF238" s="58">
        <v>45920</v>
      </c>
      <c r="AG238" s="59">
        <v>0.31944444444525288</v>
      </c>
      <c r="AH238" s="56" t="s">
        <v>5800</v>
      </c>
      <c r="AI238" s="56" t="s">
        <v>5746</v>
      </c>
      <c r="AJ238" s="56" t="s">
        <v>64</v>
      </c>
      <c r="AK238" s="56" t="s">
        <v>64</v>
      </c>
      <c r="AL238" s="56" t="s">
        <v>5016</v>
      </c>
      <c r="AM238" s="56" t="s">
        <v>65</v>
      </c>
      <c r="AN238" s="60" t="s">
        <v>5857</v>
      </c>
      <c r="AO238" s="60"/>
      <c r="AP238" s="61"/>
    </row>
    <row r="239" spans="3:42" ht="14.25" customHeight="1">
      <c r="C239" s="55" t="str">
        <f>IF($X239=1,COUNTIF($C$10:C238,"&gt;0")+1,"")</f>
        <v/>
      </c>
      <c r="D239" s="56">
        <v>70517324</v>
      </c>
      <c r="E239" s="56" t="s">
        <v>5741</v>
      </c>
      <c r="F239" s="57" t="s">
        <v>5858</v>
      </c>
      <c r="G239" s="56" t="s">
        <v>5853</v>
      </c>
      <c r="H239" s="56" t="s">
        <v>5859</v>
      </c>
      <c r="I239" s="56" t="s">
        <v>5855</v>
      </c>
      <c r="J239" s="56" t="s">
        <v>58</v>
      </c>
      <c r="K239" s="56" t="s">
        <v>59</v>
      </c>
      <c r="L239" s="58">
        <v>27203</v>
      </c>
      <c r="M239" s="56">
        <v>51</v>
      </c>
      <c r="N239" s="56" t="s">
        <v>5860</v>
      </c>
      <c r="O239" s="58">
        <v>47282</v>
      </c>
      <c r="P239" s="56" t="s">
        <v>5</v>
      </c>
      <c r="Q239" s="56"/>
      <c r="R239" s="270">
        <v>45913</v>
      </c>
      <c r="S239" s="270">
        <v>45918</v>
      </c>
      <c r="T239" s="51">
        <f t="shared" si="3"/>
        <v>5</v>
      </c>
      <c r="U239" s="56">
        <v>1</v>
      </c>
      <c r="V239" s="56">
        <v>1</v>
      </c>
      <c r="W239" s="56">
        <v>0</v>
      </c>
      <c r="X239" s="56">
        <v>0</v>
      </c>
      <c r="Y239" s="56">
        <v>0</v>
      </c>
      <c r="Z239" s="56">
        <v>0</v>
      </c>
      <c r="AA239" s="56">
        <v>0</v>
      </c>
      <c r="AB239" s="56"/>
      <c r="AC239" s="58">
        <v>45913</v>
      </c>
      <c r="AD239" s="59">
        <v>0.30555555555474712</v>
      </c>
      <c r="AE239" s="56" t="s">
        <v>1080</v>
      </c>
      <c r="AF239" s="58">
        <v>45920</v>
      </c>
      <c r="AG239" s="59">
        <v>0.31944444444525288</v>
      </c>
      <c r="AH239" s="56" t="s">
        <v>5800</v>
      </c>
      <c r="AI239" s="56" t="s">
        <v>5746</v>
      </c>
      <c r="AJ239" s="56" t="s">
        <v>64</v>
      </c>
      <c r="AK239" s="56" t="s">
        <v>64</v>
      </c>
      <c r="AL239" s="56" t="s">
        <v>5016</v>
      </c>
      <c r="AM239" s="56" t="s">
        <v>65</v>
      </c>
      <c r="AN239" s="60" t="s">
        <v>5857</v>
      </c>
      <c r="AO239" s="60"/>
      <c r="AP239" s="61"/>
    </row>
    <row r="240" spans="3:42" ht="14.25" customHeight="1">
      <c r="C240" s="55">
        <f>IF($X240=1,COUNTIF($C$10:C239,"&gt;0")+1,"")</f>
        <v>117</v>
      </c>
      <c r="D240" s="56">
        <v>70485540</v>
      </c>
      <c r="E240" s="56" t="s">
        <v>5741</v>
      </c>
      <c r="F240" s="57" t="s">
        <v>5861</v>
      </c>
      <c r="G240" s="56" t="s">
        <v>5861</v>
      </c>
      <c r="H240" s="56" t="s">
        <v>5862</v>
      </c>
      <c r="I240" s="56" t="s">
        <v>5863</v>
      </c>
      <c r="J240" s="56" t="s">
        <v>58</v>
      </c>
      <c r="K240" s="56" t="s">
        <v>59</v>
      </c>
      <c r="L240" s="58">
        <v>31207</v>
      </c>
      <c r="M240" s="56">
        <v>40</v>
      </c>
      <c r="N240" s="56" t="s">
        <v>5864</v>
      </c>
      <c r="O240" s="58">
        <v>48934</v>
      </c>
      <c r="P240" s="56" t="s">
        <v>5</v>
      </c>
      <c r="Q240" s="56"/>
      <c r="R240" s="270">
        <v>45913</v>
      </c>
      <c r="S240" s="270">
        <v>45918</v>
      </c>
      <c r="T240" s="51">
        <f t="shared" si="3"/>
        <v>5</v>
      </c>
      <c r="U240" s="56">
        <v>1</v>
      </c>
      <c r="V240" s="56">
        <v>1</v>
      </c>
      <c r="W240" s="56">
        <v>0</v>
      </c>
      <c r="X240" s="56">
        <v>1</v>
      </c>
      <c r="Y240" s="56">
        <v>0</v>
      </c>
      <c r="Z240" s="56">
        <v>0</v>
      </c>
      <c r="AA240" s="56">
        <v>1</v>
      </c>
      <c r="AB240" s="56"/>
      <c r="AC240" s="58">
        <v>45913</v>
      </c>
      <c r="AD240" s="59">
        <v>0.30555555555474712</v>
      </c>
      <c r="AE240" s="56" t="s">
        <v>1080</v>
      </c>
      <c r="AF240" s="58" t="s">
        <v>64</v>
      </c>
      <c r="AG240" s="59" t="s">
        <v>64</v>
      </c>
      <c r="AH240" s="56" t="s">
        <v>1058</v>
      </c>
      <c r="AI240" s="56" t="s">
        <v>5746</v>
      </c>
      <c r="AJ240" s="56" t="s">
        <v>64</v>
      </c>
      <c r="AK240" s="56" t="s">
        <v>64</v>
      </c>
      <c r="AL240" s="56" t="s">
        <v>5016</v>
      </c>
      <c r="AM240" s="56" t="s">
        <v>65</v>
      </c>
      <c r="AN240" s="60"/>
      <c r="AO240" s="60"/>
      <c r="AP240" s="61"/>
    </row>
    <row r="241" spans="3:43" ht="14.25" customHeight="1">
      <c r="C241" s="55" t="str">
        <f>IF($X241=1,COUNTIF($C$10:C240,"&gt;0")+1,"")</f>
        <v/>
      </c>
      <c r="D241" s="56">
        <v>70485540</v>
      </c>
      <c r="E241" s="56" t="s">
        <v>5741</v>
      </c>
      <c r="F241" s="57" t="s">
        <v>5865</v>
      </c>
      <c r="G241" s="56" t="s">
        <v>5861</v>
      </c>
      <c r="H241" s="56" t="s">
        <v>5866</v>
      </c>
      <c r="I241" s="56" t="s">
        <v>5863</v>
      </c>
      <c r="J241" s="56" t="s">
        <v>68</v>
      </c>
      <c r="K241" s="56" t="s">
        <v>59</v>
      </c>
      <c r="L241" s="58">
        <v>21452</v>
      </c>
      <c r="M241" s="56">
        <v>66</v>
      </c>
      <c r="N241" s="56" t="s">
        <v>5867</v>
      </c>
      <c r="O241" s="58">
        <v>47127</v>
      </c>
      <c r="P241" s="56" t="s">
        <v>5</v>
      </c>
      <c r="Q241" s="56"/>
      <c r="R241" s="270">
        <v>45913</v>
      </c>
      <c r="S241" s="270">
        <v>45918</v>
      </c>
      <c r="T241" s="51">
        <f t="shared" si="3"/>
        <v>5</v>
      </c>
      <c r="U241" s="56">
        <v>1</v>
      </c>
      <c r="V241" s="56">
        <v>1</v>
      </c>
      <c r="W241" s="56">
        <v>0</v>
      </c>
      <c r="X241" s="56">
        <v>0</v>
      </c>
      <c r="Y241" s="56">
        <v>0</v>
      </c>
      <c r="Z241" s="56">
        <v>0</v>
      </c>
      <c r="AA241" s="56">
        <v>0</v>
      </c>
      <c r="AB241" s="56"/>
      <c r="AC241" s="58">
        <v>45913</v>
      </c>
      <c r="AD241" s="59">
        <v>0.30555555555474712</v>
      </c>
      <c r="AE241" s="56" t="s">
        <v>1080</v>
      </c>
      <c r="AF241" s="58" t="s">
        <v>64</v>
      </c>
      <c r="AG241" s="59" t="s">
        <v>64</v>
      </c>
      <c r="AH241" s="56" t="s">
        <v>1058</v>
      </c>
      <c r="AI241" s="56" t="s">
        <v>5746</v>
      </c>
      <c r="AJ241" s="56" t="s">
        <v>64</v>
      </c>
      <c r="AK241" s="56" t="s">
        <v>64</v>
      </c>
      <c r="AL241" s="56" t="s">
        <v>5016</v>
      </c>
      <c r="AM241" s="56" t="s">
        <v>65</v>
      </c>
      <c r="AN241" s="60"/>
      <c r="AO241" s="60"/>
      <c r="AP241" s="61"/>
    </row>
    <row r="242" spans="3:43" ht="14.25" customHeight="1">
      <c r="C242" s="55">
        <f>IF($X242=1,COUNTIF($C$10:C241,"&gt;0")+1,"")</f>
        <v>118</v>
      </c>
      <c r="D242" s="56">
        <v>70181305</v>
      </c>
      <c r="E242" s="56" t="s">
        <v>5741</v>
      </c>
      <c r="F242" s="57" t="s">
        <v>5868</v>
      </c>
      <c r="G242" s="56" t="s">
        <v>5868</v>
      </c>
      <c r="H242" s="56" t="s">
        <v>5869</v>
      </c>
      <c r="I242" s="56" t="s">
        <v>4261</v>
      </c>
      <c r="J242" s="56" t="s">
        <v>68</v>
      </c>
      <c r="K242" s="56" t="s">
        <v>59</v>
      </c>
      <c r="L242" s="58">
        <v>30428</v>
      </c>
      <c r="M242" s="56">
        <v>42</v>
      </c>
      <c r="N242" s="56" t="s">
        <v>5870</v>
      </c>
      <c r="O242" s="58">
        <v>47040</v>
      </c>
      <c r="P242" s="56" t="s">
        <v>4</v>
      </c>
      <c r="Q242" s="56"/>
      <c r="R242" s="270">
        <v>45913</v>
      </c>
      <c r="S242" s="270">
        <v>45918</v>
      </c>
      <c r="T242" s="51">
        <f t="shared" si="3"/>
        <v>5</v>
      </c>
      <c r="U242" s="56">
        <v>1</v>
      </c>
      <c r="V242" s="56">
        <v>1</v>
      </c>
      <c r="W242" s="56">
        <v>0</v>
      </c>
      <c r="X242" s="56">
        <v>1</v>
      </c>
      <c r="Y242" s="56">
        <v>0</v>
      </c>
      <c r="Z242" s="56">
        <v>1</v>
      </c>
      <c r="AA242" s="56">
        <v>0</v>
      </c>
      <c r="AB242" s="56"/>
      <c r="AC242" s="58">
        <v>45913</v>
      </c>
      <c r="AD242" s="59">
        <v>0.93055555555474712</v>
      </c>
      <c r="AE242" s="56" t="s">
        <v>5871</v>
      </c>
      <c r="AF242" s="58">
        <v>45920</v>
      </c>
      <c r="AG242" s="59">
        <v>0.31944444444525288</v>
      </c>
      <c r="AH242" s="56" t="s">
        <v>5800</v>
      </c>
      <c r="AI242" s="56" t="s">
        <v>5746</v>
      </c>
      <c r="AJ242" s="56" t="s">
        <v>64</v>
      </c>
      <c r="AK242" s="56" t="s">
        <v>64</v>
      </c>
      <c r="AL242" s="56" t="s">
        <v>5016</v>
      </c>
      <c r="AM242" s="56" t="s">
        <v>65</v>
      </c>
      <c r="AN242" s="60"/>
      <c r="AO242" s="60"/>
      <c r="AP242" s="61"/>
    </row>
    <row r="243" spans="3:43" ht="14.25" customHeight="1">
      <c r="C243" s="55" t="str">
        <f>IF($X243=1,COUNTIF($C$10:C242,"&gt;0")+1,"")</f>
        <v/>
      </c>
      <c r="D243" s="56">
        <v>70181305</v>
      </c>
      <c r="E243" s="56" t="s">
        <v>5741</v>
      </c>
      <c r="F243" s="57" t="s">
        <v>5872</v>
      </c>
      <c r="G243" s="56" t="s">
        <v>5868</v>
      </c>
      <c r="H243" s="56" t="s">
        <v>5873</v>
      </c>
      <c r="I243" s="56" t="s">
        <v>4261</v>
      </c>
      <c r="J243" s="56" t="s">
        <v>58</v>
      </c>
      <c r="K243" s="56" t="s">
        <v>59</v>
      </c>
      <c r="L243" s="58">
        <v>28603</v>
      </c>
      <c r="M243" s="56">
        <v>47</v>
      </c>
      <c r="N243" s="56" t="s">
        <v>5874</v>
      </c>
      <c r="O243" s="58">
        <v>47040</v>
      </c>
      <c r="P243" s="56" t="s">
        <v>4</v>
      </c>
      <c r="Q243" s="56"/>
      <c r="R243" s="270">
        <v>45913</v>
      </c>
      <c r="S243" s="270">
        <v>45918</v>
      </c>
      <c r="T243" s="51">
        <f t="shared" si="3"/>
        <v>5</v>
      </c>
      <c r="U243" s="56">
        <v>1</v>
      </c>
      <c r="V243" s="56">
        <v>1</v>
      </c>
      <c r="W243" s="56">
        <v>0</v>
      </c>
      <c r="X243" s="56">
        <v>0</v>
      </c>
      <c r="Y243" s="56">
        <v>0</v>
      </c>
      <c r="Z243" s="56">
        <v>0</v>
      </c>
      <c r="AA243" s="56">
        <v>0</v>
      </c>
      <c r="AB243" s="56"/>
      <c r="AC243" s="58">
        <v>45913</v>
      </c>
      <c r="AD243" s="59">
        <v>0.93055555555474712</v>
      </c>
      <c r="AE243" s="56" t="s">
        <v>5871</v>
      </c>
      <c r="AF243" s="58">
        <v>45920</v>
      </c>
      <c r="AG243" s="59">
        <v>0.31944444444525288</v>
      </c>
      <c r="AH243" s="56" t="s">
        <v>5800</v>
      </c>
      <c r="AI243" s="56" t="s">
        <v>5746</v>
      </c>
      <c r="AJ243" s="56" t="s">
        <v>64</v>
      </c>
      <c r="AK243" s="56" t="s">
        <v>64</v>
      </c>
      <c r="AL243" s="56" t="s">
        <v>5016</v>
      </c>
      <c r="AM243" s="56" t="s">
        <v>65</v>
      </c>
      <c r="AN243" s="60"/>
      <c r="AO243" s="60"/>
      <c r="AP243" s="61"/>
    </row>
    <row r="244" spans="3:43" ht="14.25" customHeight="1">
      <c r="C244" s="55">
        <f>IF($X244=1,COUNTIF($C$10:C243,"&gt;0")+1,"")</f>
        <v>119</v>
      </c>
      <c r="D244" s="56">
        <v>70503759</v>
      </c>
      <c r="E244" s="56" t="s">
        <v>5741</v>
      </c>
      <c r="F244" s="57" t="s">
        <v>5875</v>
      </c>
      <c r="G244" s="56" t="s">
        <v>5875</v>
      </c>
      <c r="H244" s="56" t="s">
        <v>5876</v>
      </c>
      <c r="I244" s="56" t="s">
        <v>5877</v>
      </c>
      <c r="J244" s="56" t="s">
        <v>68</v>
      </c>
      <c r="K244" s="56" t="s">
        <v>59</v>
      </c>
      <c r="L244" s="58">
        <v>29164</v>
      </c>
      <c r="M244" s="56">
        <v>45</v>
      </c>
      <c r="N244" s="56" t="s">
        <v>5878</v>
      </c>
      <c r="O244" s="58">
        <v>48246</v>
      </c>
      <c r="P244" s="56" t="s">
        <v>4</v>
      </c>
      <c r="Q244" s="56"/>
      <c r="R244" s="270">
        <v>45913</v>
      </c>
      <c r="S244" s="270">
        <v>45918</v>
      </c>
      <c r="T244" s="51">
        <f t="shared" si="3"/>
        <v>5</v>
      </c>
      <c r="U244" s="56">
        <v>1</v>
      </c>
      <c r="V244" s="56">
        <v>1</v>
      </c>
      <c r="W244" s="56">
        <v>0</v>
      </c>
      <c r="X244" s="56">
        <v>1</v>
      </c>
      <c r="Y244" s="56">
        <v>0</v>
      </c>
      <c r="Z244" s="56">
        <v>1</v>
      </c>
      <c r="AA244" s="56">
        <v>0</v>
      </c>
      <c r="AB244" s="56"/>
      <c r="AC244" s="58">
        <v>45913</v>
      </c>
      <c r="AD244" s="59">
        <v>0.30555555555474712</v>
      </c>
      <c r="AE244" s="56" t="s">
        <v>1080</v>
      </c>
      <c r="AF244" s="58" t="s">
        <v>64</v>
      </c>
      <c r="AG244" s="59" t="s">
        <v>64</v>
      </c>
      <c r="AH244" s="56" t="s">
        <v>64</v>
      </c>
      <c r="AI244" s="56" t="s">
        <v>5746</v>
      </c>
      <c r="AJ244" s="56" t="s">
        <v>64</v>
      </c>
      <c r="AK244" s="56" t="s">
        <v>64</v>
      </c>
      <c r="AL244" s="56" t="s">
        <v>5016</v>
      </c>
      <c r="AM244" s="56" t="s">
        <v>65</v>
      </c>
      <c r="AN244" s="60" t="s">
        <v>5017</v>
      </c>
      <c r="AO244" s="60"/>
      <c r="AP244" s="61"/>
    </row>
    <row r="245" spans="3:43" ht="14.25" customHeight="1">
      <c r="C245" s="55" t="str">
        <f>IF($X245=1,COUNTIF($C$10:C244,"&gt;0")+1,"")</f>
        <v/>
      </c>
      <c r="D245" s="56">
        <v>70503759</v>
      </c>
      <c r="E245" s="56" t="s">
        <v>5741</v>
      </c>
      <c r="F245" s="57" t="s">
        <v>5879</v>
      </c>
      <c r="G245" s="56" t="s">
        <v>5875</v>
      </c>
      <c r="H245" s="56" t="s">
        <v>5880</v>
      </c>
      <c r="I245" s="56" t="s">
        <v>5877</v>
      </c>
      <c r="J245" s="56" t="s">
        <v>58</v>
      </c>
      <c r="K245" s="56" t="s">
        <v>59</v>
      </c>
      <c r="L245" s="58">
        <v>29641</v>
      </c>
      <c r="M245" s="56">
        <v>44</v>
      </c>
      <c r="N245" s="56" t="s">
        <v>5881</v>
      </c>
      <c r="O245" s="58">
        <v>48246</v>
      </c>
      <c r="P245" s="56" t="s">
        <v>4</v>
      </c>
      <c r="Q245" s="56"/>
      <c r="R245" s="270">
        <v>45913</v>
      </c>
      <c r="S245" s="270">
        <v>45918</v>
      </c>
      <c r="T245" s="51">
        <f t="shared" si="3"/>
        <v>5</v>
      </c>
      <c r="U245" s="56">
        <v>1</v>
      </c>
      <c r="V245" s="56">
        <v>1</v>
      </c>
      <c r="W245" s="56">
        <v>0</v>
      </c>
      <c r="X245" s="56">
        <v>0</v>
      </c>
      <c r="Y245" s="56">
        <v>0</v>
      </c>
      <c r="Z245" s="56">
        <v>0</v>
      </c>
      <c r="AA245" s="56">
        <v>0</v>
      </c>
      <c r="AB245" s="56"/>
      <c r="AC245" s="58">
        <v>45913</v>
      </c>
      <c r="AD245" s="59">
        <v>0.30555555555474712</v>
      </c>
      <c r="AE245" s="56" t="s">
        <v>1080</v>
      </c>
      <c r="AF245" s="58" t="s">
        <v>64</v>
      </c>
      <c r="AG245" s="59" t="s">
        <v>64</v>
      </c>
      <c r="AH245" s="56" t="s">
        <v>64</v>
      </c>
      <c r="AI245" s="56" t="s">
        <v>5746</v>
      </c>
      <c r="AJ245" s="56" t="s">
        <v>64</v>
      </c>
      <c r="AK245" s="56" t="s">
        <v>64</v>
      </c>
      <c r="AL245" s="56" t="s">
        <v>5016</v>
      </c>
      <c r="AM245" s="56" t="s">
        <v>65</v>
      </c>
      <c r="AN245" s="60" t="s">
        <v>5017</v>
      </c>
      <c r="AO245" s="60"/>
      <c r="AP245" s="61"/>
    </row>
    <row r="246" spans="3:43" ht="14.25" customHeight="1">
      <c r="C246" s="55" t="str">
        <f>IF($X246=1,COUNTIF($C$10:C245,"&gt;0")+1,"")</f>
        <v/>
      </c>
      <c r="D246" s="56">
        <v>70503759</v>
      </c>
      <c r="E246" s="56" t="s">
        <v>5741</v>
      </c>
      <c r="F246" s="57" t="s">
        <v>5882</v>
      </c>
      <c r="G246" s="56" t="s">
        <v>5875</v>
      </c>
      <c r="H246" s="56" t="s">
        <v>5883</v>
      </c>
      <c r="I246" s="56" t="s">
        <v>5877</v>
      </c>
      <c r="J246" s="56" t="s">
        <v>58</v>
      </c>
      <c r="K246" s="56" t="s">
        <v>59</v>
      </c>
      <c r="L246" s="58">
        <v>42459</v>
      </c>
      <c r="M246" s="56">
        <v>9</v>
      </c>
      <c r="N246" s="56" t="s">
        <v>5884</v>
      </c>
      <c r="O246" s="58">
        <v>46820</v>
      </c>
      <c r="P246" s="56" t="s">
        <v>4</v>
      </c>
      <c r="Q246" s="56"/>
      <c r="R246" s="270">
        <v>45913</v>
      </c>
      <c r="S246" s="270">
        <v>45918</v>
      </c>
      <c r="T246" s="51">
        <f t="shared" si="3"/>
        <v>5</v>
      </c>
      <c r="U246" s="56">
        <v>1</v>
      </c>
      <c r="V246" s="56">
        <v>0</v>
      </c>
      <c r="W246" s="56">
        <v>1</v>
      </c>
      <c r="X246" s="56">
        <v>0</v>
      </c>
      <c r="Y246" s="56">
        <v>0</v>
      </c>
      <c r="Z246" s="56">
        <v>0</v>
      </c>
      <c r="AA246" s="56">
        <v>0</v>
      </c>
      <c r="AB246" s="56"/>
      <c r="AC246" s="58">
        <v>45913</v>
      </c>
      <c r="AD246" s="59">
        <v>0.30555555555474712</v>
      </c>
      <c r="AE246" s="56" t="s">
        <v>1080</v>
      </c>
      <c r="AF246" s="58" t="s">
        <v>64</v>
      </c>
      <c r="AG246" s="59" t="s">
        <v>64</v>
      </c>
      <c r="AH246" s="56" t="s">
        <v>64</v>
      </c>
      <c r="AI246" s="56" t="s">
        <v>5746</v>
      </c>
      <c r="AJ246" s="56" t="s">
        <v>64</v>
      </c>
      <c r="AK246" s="56" t="s">
        <v>64</v>
      </c>
      <c r="AL246" s="56" t="s">
        <v>5016</v>
      </c>
      <c r="AM246" s="56" t="s">
        <v>65</v>
      </c>
      <c r="AN246" s="60" t="s">
        <v>5017</v>
      </c>
      <c r="AO246" s="60"/>
      <c r="AP246" s="61"/>
    </row>
    <row r="247" spans="3:43" ht="14.25" customHeight="1">
      <c r="C247" s="55">
        <f>IF($X247=1,COUNTIF($C$10:C246,"&gt;0")+1,"")</f>
        <v>120</v>
      </c>
      <c r="D247" s="56">
        <v>70054435</v>
      </c>
      <c r="E247" s="56" t="s">
        <v>5885</v>
      </c>
      <c r="F247" s="57" t="s">
        <v>5886</v>
      </c>
      <c r="G247" s="56" t="s">
        <v>5886</v>
      </c>
      <c r="H247" s="56" t="s">
        <v>5887</v>
      </c>
      <c r="I247" s="56" t="s">
        <v>5888</v>
      </c>
      <c r="J247" s="56" t="s">
        <v>58</v>
      </c>
      <c r="K247" s="56" t="s">
        <v>59</v>
      </c>
      <c r="L247" s="58">
        <v>37815</v>
      </c>
      <c r="M247" s="56">
        <v>22</v>
      </c>
      <c r="N247" s="56" t="s">
        <v>5889</v>
      </c>
      <c r="O247" s="58">
        <v>45424</v>
      </c>
      <c r="P247" s="56" t="s">
        <v>3</v>
      </c>
      <c r="Q247" s="56"/>
      <c r="R247" s="270">
        <v>45913</v>
      </c>
      <c r="S247" s="270">
        <v>45918</v>
      </c>
      <c r="T247" s="51">
        <f t="shared" si="3"/>
        <v>5</v>
      </c>
      <c r="U247" s="56">
        <v>1</v>
      </c>
      <c r="V247" s="56">
        <v>1</v>
      </c>
      <c r="W247" s="56">
        <v>0</v>
      </c>
      <c r="X247" s="56">
        <v>1</v>
      </c>
      <c r="Y247" s="56">
        <v>1</v>
      </c>
      <c r="Z247" s="56">
        <v>0</v>
      </c>
      <c r="AA247" s="56">
        <v>0</v>
      </c>
      <c r="AB247" s="56"/>
      <c r="AC247" s="58" t="s">
        <v>64</v>
      </c>
      <c r="AD247" s="59" t="s">
        <v>64</v>
      </c>
      <c r="AE247" s="56" t="s">
        <v>64</v>
      </c>
      <c r="AF247" s="58" t="s">
        <v>64</v>
      </c>
      <c r="AG247" s="59" t="s">
        <v>64</v>
      </c>
      <c r="AH247" s="56" t="s">
        <v>64</v>
      </c>
      <c r="AI247" s="56" t="s">
        <v>5890</v>
      </c>
      <c r="AJ247" s="56" t="s">
        <v>64</v>
      </c>
      <c r="AK247" s="56" t="s">
        <v>64</v>
      </c>
      <c r="AL247" s="56" t="s">
        <v>5016</v>
      </c>
      <c r="AM247" s="56" t="s">
        <v>65</v>
      </c>
      <c r="AN247" s="60" t="s">
        <v>5040</v>
      </c>
      <c r="AO247" s="60"/>
      <c r="AP247" s="61"/>
    </row>
    <row r="248" spans="3:43" ht="14.25" customHeight="1">
      <c r="C248" s="55">
        <f>IF($X248=1,COUNTIF($C$10:C247,"&gt;0")+1,"")</f>
        <v>121</v>
      </c>
      <c r="D248" s="56">
        <v>70503785</v>
      </c>
      <c r="E248" s="56" t="s">
        <v>5885</v>
      </c>
      <c r="F248" s="57" t="s">
        <v>5891</v>
      </c>
      <c r="G248" s="56" t="s">
        <v>5891</v>
      </c>
      <c r="H248" s="56" t="s">
        <v>5892</v>
      </c>
      <c r="I248" s="56" t="s">
        <v>5893</v>
      </c>
      <c r="J248" s="56" t="s">
        <v>68</v>
      </c>
      <c r="K248" s="56" t="s">
        <v>59</v>
      </c>
      <c r="L248" s="58">
        <v>35846</v>
      </c>
      <c r="M248" s="56">
        <v>27</v>
      </c>
      <c r="N248" s="56" t="s">
        <v>5894</v>
      </c>
      <c r="O248" s="58">
        <v>46340</v>
      </c>
      <c r="P248" s="56" t="s">
        <v>4</v>
      </c>
      <c r="Q248" s="56"/>
      <c r="R248" s="270">
        <v>45913</v>
      </c>
      <c r="S248" s="270">
        <v>45918</v>
      </c>
      <c r="T248" s="51">
        <f t="shared" si="3"/>
        <v>5</v>
      </c>
      <c r="U248" s="56">
        <v>1</v>
      </c>
      <c r="V248" s="56">
        <v>1</v>
      </c>
      <c r="W248" s="56">
        <v>0</v>
      </c>
      <c r="X248" s="56">
        <v>1</v>
      </c>
      <c r="Y248" s="56">
        <v>0</v>
      </c>
      <c r="Z248" s="56">
        <v>1</v>
      </c>
      <c r="AA248" s="56">
        <v>0</v>
      </c>
      <c r="AB248" s="56"/>
      <c r="AC248" s="58">
        <v>45913</v>
      </c>
      <c r="AD248" s="59">
        <v>0.625</v>
      </c>
      <c r="AE248" s="56" t="s">
        <v>74</v>
      </c>
      <c r="AF248" s="58">
        <v>45919</v>
      </c>
      <c r="AG248" s="59">
        <v>0.70138888889050577</v>
      </c>
      <c r="AH248" s="56" t="s">
        <v>96</v>
      </c>
      <c r="AI248" s="56" t="s">
        <v>5890</v>
      </c>
      <c r="AJ248" s="56" t="s">
        <v>64</v>
      </c>
      <c r="AK248" s="56" t="s">
        <v>64</v>
      </c>
      <c r="AL248" s="56" t="s">
        <v>5016</v>
      </c>
      <c r="AM248" s="56" t="s">
        <v>65</v>
      </c>
      <c r="AN248" s="60" t="s">
        <v>5017</v>
      </c>
      <c r="AO248" s="60"/>
      <c r="AP248" s="61"/>
      <c r="AQ248" s="271" t="s">
        <v>5064</v>
      </c>
    </row>
    <row r="249" spans="3:43" ht="14.25" customHeight="1">
      <c r="C249" s="55" t="str">
        <f>IF($X249=1,COUNTIF($C$10:C248,"&gt;0")+1,"")</f>
        <v/>
      </c>
      <c r="D249" s="56">
        <v>70503785</v>
      </c>
      <c r="E249" s="56" t="s">
        <v>5885</v>
      </c>
      <c r="F249" s="57" t="s">
        <v>5895</v>
      </c>
      <c r="G249" s="56" t="s">
        <v>5891</v>
      </c>
      <c r="H249" s="56" t="s">
        <v>5896</v>
      </c>
      <c r="I249" s="56" t="s">
        <v>5897</v>
      </c>
      <c r="J249" s="56" t="s">
        <v>68</v>
      </c>
      <c r="K249" s="56" t="s">
        <v>59</v>
      </c>
      <c r="L249" s="58">
        <v>27523</v>
      </c>
      <c r="M249" s="56">
        <v>50</v>
      </c>
      <c r="N249" s="56" t="s">
        <v>5898</v>
      </c>
      <c r="O249" s="58">
        <v>48271</v>
      </c>
      <c r="P249" s="56" t="s">
        <v>4</v>
      </c>
      <c r="Q249" s="56"/>
      <c r="R249" s="270">
        <v>45913</v>
      </c>
      <c r="S249" s="270">
        <v>45918</v>
      </c>
      <c r="T249" s="51">
        <f t="shared" si="3"/>
        <v>5</v>
      </c>
      <c r="U249" s="56">
        <v>1</v>
      </c>
      <c r="V249" s="56">
        <v>1</v>
      </c>
      <c r="W249" s="56">
        <v>0</v>
      </c>
      <c r="X249" s="56">
        <v>0</v>
      </c>
      <c r="Y249" s="56">
        <v>0</v>
      </c>
      <c r="Z249" s="56">
        <v>0</v>
      </c>
      <c r="AA249" s="56">
        <v>0</v>
      </c>
      <c r="AB249" s="56"/>
      <c r="AC249" s="58">
        <v>45913</v>
      </c>
      <c r="AD249" s="59">
        <v>0.625</v>
      </c>
      <c r="AE249" s="56" t="s">
        <v>74</v>
      </c>
      <c r="AF249" s="58">
        <v>45919</v>
      </c>
      <c r="AG249" s="59">
        <v>0.70138888889050577</v>
      </c>
      <c r="AH249" s="56" t="s">
        <v>96</v>
      </c>
      <c r="AI249" s="56" t="s">
        <v>5890</v>
      </c>
      <c r="AJ249" s="56" t="s">
        <v>64</v>
      </c>
      <c r="AK249" s="56" t="s">
        <v>64</v>
      </c>
      <c r="AL249" s="56" t="s">
        <v>5016</v>
      </c>
      <c r="AM249" s="56" t="s">
        <v>65</v>
      </c>
      <c r="AN249" s="60" t="s">
        <v>5017</v>
      </c>
      <c r="AO249" s="60"/>
      <c r="AP249" s="61"/>
      <c r="AQ249" s="271" t="s">
        <v>5064</v>
      </c>
    </row>
    <row r="250" spans="3:43" ht="14.25" customHeight="1">
      <c r="C250" s="55">
        <f>IF($X250=1,COUNTIF($C$10:C249,"&gt;0")+1,"")</f>
        <v>122</v>
      </c>
      <c r="D250" s="56">
        <v>80073295</v>
      </c>
      <c r="E250" s="56" t="s">
        <v>5885</v>
      </c>
      <c r="F250" s="57" t="s">
        <v>5899</v>
      </c>
      <c r="G250" s="56" t="s">
        <v>5899</v>
      </c>
      <c r="H250" s="56" t="s">
        <v>5900</v>
      </c>
      <c r="I250" s="56" t="s">
        <v>5901</v>
      </c>
      <c r="J250" s="56" t="s">
        <v>68</v>
      </c>
      <c r="K250" s="56" t="s">
        <v>180</v>
      </c>
      <c r="L250" s="58">
        <v>32408</v>
      </c>
      <c r="M250" s="56">
        <v>36</v>
      </c>
      <c r="N250" s="56" t="s">
        <v>5902</v>
      </c>
      <c r="O250" s="58">
        <v>47009</v>
      </c>
      <c r="P250" s="56" t="s">
        <v>4</v>
      </c>
      <c r="Q250" s="56"/>
      <c r="R250" s="270">
        <v>45913</v>
      </c>
      <c r="S250" s="270">
        <v>45918</v>
      </c>
      <c r="T250" s="51">
        <f t="shared" si="3"/>
        <v>5</v>
      </c>
      <c r="U250" s="56">
        <v>1</v>
      </c>
      <c r="V250" s="56">
        <v>1</v>
      </c>
      <c r="W250" s="56">
        <v>0</v>
      </c>
      <c r="X250" s="56">
        <v>1</v>
      </c>
      <c r="Y250" s="56">
        <v>0</v>
      </c>
      <c r="Z250" s="56">
        <v>1</v>
      </c>
      <c r="AA250" s="56">
        <v>0</v>
      </c>
      <c r="AB250" s="56"/>
      <c r="AC250" s="58">
        <v>45909</v>
      </c>
      <c r="AD250" s="59">
        <v>0.625</v>
      </c>
      <c r="AE250" s="56" t="s">
        <v>74</v>
      </c>
      <c r="AF250" s="58">
        <v>45918</v>
      </c>
      <c r="AG250" s="59">
        <v>0.70138888889050577</v>
      </c>
      <c r="AH250" s="56" t="s">
        <v>96</v>
      </c>
      <c r="AI250" s="56" t="s">
        <v>5890</v>
      </c>
      <c r="AJ250" s="56" t="s">
        <v>64</v>
      </c>
      <c r="AK250" s="74" t="s">
        <v>5903</v>
      </c>
      <c r="AL250" s="56" t="s">
        <v>5016</v>
      </c>
      <c r="AM250" s="56" t="s">
        <v>65</v>
      </c>
      <c r="AN250" s="60" t="s">
        <v>5017</v>
      </c>
      <c r="AO250" s="60"/>
      <c r="AP250" s="61"/>
    </row>
    <row r="251" spans="3:43" ht="14.25" customHeight="1">
      <c r="C251" s="55" t="str">
        <f>IF($X251=1,COUNTIF($C$10:C250,"&gt;0")+1,"")</f>
        <v/>
      </c>
      <c r="D251" s="56">
        <v>80073295</v>
      </c>
      <c r="E251" s="56" t="s">
        <v>5885</v>
      </c>
      <c r="F251" s="57" t="s">
        <v>5904</v>
      </c>
      <c r="G251" s="56" t="s">
        <v>5899</v>
      </c>
      <c r="H251" s="56" t="s">
        <v>5905</v>
      </c>
      <c r="I251" s="56" t="s">
        <v>5906</v>
      </c>
      <c r="J251" s="56" t="s">
        <v>58</v>
      </c>
      <c r="K251" s="56" t="s">
        <v>59</v>
      </c>
      <c r="L251" s="58">
        <v>31693</v>
      </c>
      <c r="M251" s="56">
        <v>38</v>
      </c>
      <c r="N251" s="56" t="s">
        <v>5907</v>
      </c>
      <c r="O251" s="58">
        <v>46346</v>
      </c>
      <c r="P251" s="56" t="s">
        <v>4</v>
      </c>
      <c r="Q251" s="56"/>
      <c r="R251" s="270">
        <v>45913</v>
      </c>
      <c r="S251" s="270">
        <v>45918</v>
      </c>
      <c r="T251" s="51">
        <f t="shared" si="3"/>
        <v>5</v>
      </c>
      <c r="U251" s="56">
        <v>1</v>
      </c>
      <c r="V251" s="56">
        <v>1</v>
      </c>
      <c r="W251" s="56">
        <v>0</v>
      </c>
      <c r="X251" s="56">
        <v>0</v>
      </c>
      <c r="Y251" s="56">
        <v>0</v>
      </c>
      <c r="Z251" s="56">
        <v>0</v>
      </c>
      <c r="AA251" s="56">
        <v>0</v>
      </c>
      <c r="AB251" s="56"/>
      <c r="AC251" s="58">
        <v>45909</v>
      </c>
      <c r="AD251" s="59">
        <v>0.625</v>
      </c>
      <c r="AE251" s="56" t="s">
        <v>74</v>
      </c>
      <c r="AF251" s="58">
        <v>45918</v>
      </c>
      <c r="AG251" s="59">
        <v>0.70138888889050577</v>
      </c>
      <c r="AH251" s="56" t="s">
        <v>96</v>
      </c>
      <c r="AI251" s="56" t="s">
        <v>5890</v>
      </c>
      <c r="AJ251" s="56" t="s">
        <v>64</v>
      </c>
      <c r="AK251" s="74" t="s">
        <v>64</v>
      </c>
      <c r="AL251" s="56" t="s">
        <v>5016</v>
      </c>
      <c r="AM251" s="56" t="s">
        <v>65</v>
      </c>
      <c r="AN251" s="60" t="s">
        <v>5017</v>
      </c>
      <c r="AO251" s="60"/>
      <c r="AP251" s="61"/>
    </row>
    <row r="252" spans="3:43" ht="14.25" customHeight="1">
      <c r="C252" s="55" t="str">
        <f>IF($X252=1,COUNTIF($C$10:C251,"&gt;0")+1,"")</f>
        <v/>
      </c>
      <c r="D252" s="56">
        <v>80073295</v>
      </c>
      <c r="E252" s="56" t="s">
        <v>5885</v>
      </c>
      <c r="F252" s="57" t="s">
        <v>5908</v>
      </c>
      <c r="G252" s="56" t="s">
        <v>5899</v>
      </c>
      <c r="H252" s="56" t="s">
        <v>5909</v>
      </c>
      <c r="I252" s="56" t="s">
        <v>5906</v>
      </c>
      <c r="J252" s="56" t="s">
        <v>58</v>
      </c>
      <c r="K252" s="56" t="s">
        <v>59</v>
      </c>
      <c r="L252" s="58">
        <v>43714</v>
      </c>
      <c r="M252" s="56">
        <v>6</v>
      </c>
      <c r="N252" s="56" t="s">
        <v>5910</v>
      </c>
      <c r="O252" s="58">
        <v>46670</v>
      </c>
      <c r="P252" s="56" t="s">
        <v>4</v>
      </c>
      <c r="Q252" s="56"/>
      <c r="R252" s="270">
        <v>45913</v>
      </c>
      <c r="S252" s="270">
        <v>45918</v>
      </c>
      <c r="T252" s="51">
        <f t="shared" si="3"/>
        <v>5</v>
      </c>
      <c r="U252" s="56">
        <v>1</v>
      </c>
      <c r="V252" s="56">
        <v>0</v>
      </c>
      <c r="W252" s="56">
        <v>1</v>
      </c>
      <c r="X252" s="56">
        <v>0</v>
      </c>
      <c r="Y252" s="56">
        <v>0</v>
      </c>
      <c r="Z252" s="56">
        <v>0</v>
      </c>
      <c r="AA252" s="56">
        <v>0</v>
      </c>
      <c r="AB252" s="56"/>
      <c r="AC252" s="58">
        <v>45909</v>
      </c>
      <c r="AD252" s="59">
        <v>0.625</v>
      </c>
      <c r="AE252" s="56" t="s">
        <v>74</v>
      </c>
      <c r="AF252" s="58">
        <v>45918</v>
      </c>
      <c r="AG252" s="59">
        <v>0.70138888889050577</v>
      </c>
      <c r="AH252" s="56" t="s">
        <v>96</v>
      </c>
      <c r="AI252" s="56" t="s">
        <v>5890</v>
      </c>
      <c r="AJ252" s="56" t="s">
        <v>64</v>
      </c>
      <c r="AK252" s="74" t="s">
        <v>64</v>
      </c>
      <c r="AL252" s="56" t="s">
        <v>5016</v>
      </c>
      <c r="AM252" s="56" t="s">
        <v>65</v>
      </c>
      <c r="AN252" s="60" t="s">
        <v>5017</v>
      </c>
      <c r="AO252" s="60"/>
      <c r="AP252" s="61"/>
    </row>
    <row r="253" spans="3:43" ht="14.25" customHeight="1">
      <c r="C253" s="55">
        <f>IF($X253=1,COUNTIF($C$10:C252,"&gt;0")+1,"")</f>
        <v>123</v>
      </c>
      <c r="D253" s="56">
        <v>80073294</v>
      </c>
      <c r="E253" s="56" t="s">
        <v>5885</v>
      </c>
      <c r="F253" s="57" t="s">
        <v>5911</v>
      </c>
      <c r="G253" s="56" t="s">
        <v>5899</v>
      </c>
      <c r="H253" s="56" t="s">
        <v>5912</v>
      </c>
      <c r="I253" s="56" t="s">
        <v>5901</v>
      </c>
      <c r="J253" s="56" t="s">
        <v>68</v>
      </c>
      <c r="K253" s="56" t="s">
        <v>180</v>
      </c>
      <c r="L253" s="58">
        <v>21110</v>
      </c>
      <c r="M253" s="56">
        <v>67</v>
      </c>
      <c r="N253" s="56" t="s">
        <v>5913</v>
      </c>
      <c r="O253" s="58">
        <v>48063</v>
      </c>
      <c r="P253" s="56" t="s">
        <v>4</v>
      </c>
      <c r="Q253" s="56"/>
      <c r="R253" s="270">
        <v>45913</v>
      </c>
      <c r="S253" s="270">
        <v>45918</v>
      </c>
      <c r="T253" s="51">
        <f t="shared" si="3"/>
        <v>5</v>
      </c>
      <c r="U253" s="56">
        <v>1</v>
      </c>
      <c r="V253" s="56">
        <v>1</v>
      </c>
      <c r="W253" s="56">
        <v>0</v>
      </c>
      <c r="X253" s="56">
        <v>1</v>
      </c>
      <c r="Y253" s="56">
        <v>0</v>
      </c>
      <c r="Z253" s="56">
        <v>1</v>
      </c>
      <c r="AA253" s="56">
        <v>0</v>
      </c>
      <c r="AB253" s="56"/>
      <c r="AC253" s="58">
        <v>45909</v>
      </c>
      <c r="AD253" s="59">
        <v>0.625</v>
      </c>
      <c r="AE253" s="56" t="s">
        <v>74</v>
      </c>
      <c r="AF253" s="58">
        <v>45918</v>
      </c>
      <c r="AG253" s="59">
        <v>0.70138888889050577</v>
      </c>
      <c r="AH253" s="56" t="s">
        <v>96</v>
      </c>
      <c r="AI253" s="56" t="s">
        <v>5890</v>
      </c>
      <c r="AJ253" s="56" t="s">
        <v>64</v>
      </c>
      <c r="AK253" s="74" t="s">
        <v>5914</v>
      </c>
      <c r="AL253" s="56" t="s">
        <v>5016</v>
      </c>
      <c r="AM253" s="56" t="s">
        <v>65</v>
      </c>
      <c r="AN253" s="60" t="s">
        <v>5026</v>
      </c>
      <c r="AO253" s="60"/>
      <c r="AP253" s="61"/>
    </row>
    <row r="254" spans="3:43" ht="14.25" customHeight="1">
      <c r="C254" s="55" t="str">
        <f>IF($X254=1,COUNTIF($C$10:C253,"&gt;0")+1,"")</f>
        <v/>
      </c>
      <c r="D254" s="56">
        <v>80073294</v>
      </c>
      <c r="E254" s="56" t="s">
        <v>5885</v>
      </c>
      <c r="F254" s="57" t="s">
        <v>5915</v>
      </c>
      <c r="G254" s="56" t="s">
        <v>5899</v>
      </c>
      <c r="H254" s="56" t="s">
        <v>5916</v>
      </c>
      <c r="I254" s="56" t="s">
        <v>5901</v>
      </c>
      <c r="J254" s="56" t="s">
        <v>58</v>
      </c>
      <c r="K254" s="56" t="s">
        <v>180</v>
      </c>
      <c r="L254" s="58">
        <v>20705</v>
      </c>
      <c r="M254" s="56">
        <v>69</v>
      </c>
      <c r="N254" s="56" t="s">
        <v>5917</v>
      </c>
      <c r="O254" s="58">
        <v>48063</v>
      </c>
      <c r="P254" s="56" t="s">
        <v>4</v>
      </c>
      <c r="Q254" s="56"/>
      <c r="R254" s="270">
        <v>45913</v>
      </c>
      <c r="S254" s="270">
        <v>45918</v>
      </c>
      <c r="T254" s="51">
        <f t="shared" si="3"/>
        <v>5</v>
      </c>
      <c r="U254" s="56">
        <v>1</v>
      </c>
      <c r="V254" s="56">
        <v>1</v>
      </c>
      <c r="W254" s="56">
        <v>0</v>
      </c>
      <c r="X254" s="56">
        <v>0</v>
      </c>
      <c r="Y254" s="56">
        <v>0</v>
      </c>
      <c r="Z254" s="56">
        <v>0</v>
      </c>
      <c r="AA254" s="56">
        <v>0</v>
      </c>
      <c r="AB254" s="56"/>
      <c r="AC254" s="58">
        <v>45909</v>
      </c>
      <c r="AD254" s="59">
        <v>0.625</v>
      </c>
      <c r="AE254" s="56" t="s">
        <v>74</v>
      </c>
      <c r="AF254" s="58">
        <v>45918</v>
      </c>
      <c r="AG254" s="59">
        <v>0.70138888889050577</v>
      </c>
      <c r="AH254" s="56" t="s">
        <v>96</v>
      </c>
      <c r="AI254" s="56" t="s">
        <v>5890</v>
      </c>
      <c r="AJ254" s="56" t="s">
        <v>64</v>
      </c>
      <c r="AK254" s="74" t="s">
        <v>64</v>
      </c>
      <c r="AL254" s="56" t="s">
        <v>5016</v>
      </c>
      <c r="AM254" s="56" t="s">
        <v>65</v>
      </c>
      <c r="AN254" s="60" t="s">
        <v>5026</v>
      </c>
      <c r="AO254" s="60"/>
      <c r="AP254" s="61"/>
    </row>
    <row r="255" spans="3:43" ht="14.25" customHeight="1">
      <c r="C255" s="55">
        <f>IF($X255=1,COUNTIF($C$10:C254,"&gt;0")+1,"")</f>
        <v>124</v>
      </c>
      <c r="D255" s="56">
        <v>70065030</v>
      </c>
      <c r="E255" s="56" t="s">
        <v>5885</v>
      </c>
      <c r="F255" s="57" t="s">
        <v>5918</v>
      </c>
      <c r="G255" s="56" t="s">
        <v>5918</v>
      </c>
      <c r="H255" s="56" t="s">
        <v>5919</v>
      </c>
      <c r="I255" s="56" t="s">
        <v>5920</v>
      </c>
      <c r="J255" s="56" t="s">
        <v>58</v>
      </c>
      <c r="K255" s="56" t="s">
        <v>64</v>
      </c>
      <c r="L255" s="58" t="s">
        <v>64</v>
      </c>
      <c r="M255" s="56" t="s">
        <v>64</v>
      </c>
      <c r="N255" s="56" t="s">
        <v>64</v>
      </c>
      <c r="O255" s="58" t="s">
        <v>64</v>
      </c>
      <c r="P255" s="56" t="s">
        <v>4</v>
      </c>
      <c r="Q255" s="56"/>
      <c r="R255" s="270">
        <v>45913</v>
      </c>
      <c r="S255" s="270">
        <v>45918</v>
      </c>
      <c r="T255" s="51">
        <f t="shared" si="3"/>
        <v>5</v>
      </c>
      <c r="U255" s="56">
        <v>1</v>
      </c>
      <c r="V255" s="56">
        <v>1</v>
      </c>
      <c r="W255" s="56">
        <v>0</v>
      </c>
      <c r="X255" s="56">
        <v>1</v>
      </c>
      <c r="Y255" s="56">
        <v>0</v>
      </c>
      <c r="Z255" s="56">
        <v>1</v>
      </c>
      <c r="AA255" s="56">
        <v>0</v>
      </c>
      <c r="AB255" s="56"/>
      <c r="AC255" s="58" t="s">
        <v>64</v>
      </c>
      <c r="AD255" s="59" t="s">
        <v>64</v>
      </c>
      <c r="AE255" s="56" t="s">
        <v>64</v>
      </c>
      <c r="AF255" s="58" t="s">
        <v>64</v>
      </c>
      <c r="AG255" s="59" t="s">
        <v>64</v>
      </c>
      <c r="AH255" s="56" t="s">
        <v>64</v>
      </c>
      <c r="AI255" s="56" t="s">
        <v>5890</v>
      </c>
      <c r="AJ255" s="56" t="s">
        <v>64</v>
      </c>
      <c r="AK255" s="56" t="s">
        <v>64</v>
      </c>
      <c r="AL255" s="56" t="s">
        <v>5016</v>
      </c>
      <c r="AM255" s="56" t="s">
        <v>65</v>
      </c>
      <c r="AN255" s="60" t="s">
        <v>5040</v>
      </c>
      <c r="AO255" s="60"/>
      <c r="AP255" s="61"/>
    </row>
    <row r="256" spans="3:43" ht="14.25" customHeight="1">
      <c r="C256" s="55" t="str">
        <f>IF($X256=1,COUNTIF($C$10:C255,"&gt;0")+1,"")</f>
        <v/>
      </c>
      <c r="D256" s="56">
        <v>70065030</v>
      </c>
      <c r="E256" s="56" t="s">
        <v>5885</v>
      </c>
      <c r="F256" s="57" t="s">
        <v>5921</v>
      </c>
      <c r="G256" s="56" t="s">
        <v>5918</v>
      </c>
      <c r="H256" s="56" t="s">
        <v>5922</v>
      </c>
      <c r="I256" s="56" t="s">
        <v>5920</v>
      </c>
      <c r="J256" s="56" t="s">
        <v>64</v>
      </c>
      <c r="K256" s="56" t="s">
        <v>64</v>
      </c>
      <c r="L256" s="58" t="s">
        <v>64</v>
      </c>
      <c r="M256" s="56" t="s">
        <v>64</v>
      </c>
      <c r="N256" s="56" t="s">
        <v>64</v>
      </c>
      <c r="O256" s="58" t="s">
        <v>64</v>
      </c>
      <c r="P256" s="56" t="s">
        <v>4</v>
      </c>
      <c r="Q256" s="56"/>
      <c r="R256" s="270">
        <v>45913</v>
      </c>
      <c r="S256" s="270">
        <v>45918</v>
      </c>
      <c r="T256" s="51">
        <f t="shared" si="3"/>
        <v>5</v>
      </c>
      <c r="U256" s="56">
        <v>1</v>
      </c>
      <c r="V256" s="56">
        <v>1</v>
      </c>
      <c r="W256" s="56">
        <v>0</v>
      </c>
      <c r="X256" s="56">
        <v>0</v>
      </c>
      <c r="Y256" s="56">
        <v>0</v>
      </c>
      <c r="Z256" s="56">
        <v>0</v>
      </c>
      <c r="AA256" s="56">
        <v>0</v>
      </c>
      <c r="AB256" s="56"/>
      <c r="AC256" s="58" t="s">
        <v>64</v>
      </c>
      <c r="AD256" s="59" t="s">
        <v>64</v>
      </c>
      <c r="AE256" s="56" t="s">
        <v>64</v>
      </c>
      <c r="AF256" s="58" t="s">
        <v>64</v>
      </c>
      <c r="AG256" s="59" t="s">
        <v>64</v>
      </c>
      <c r="AH256" s="56" t="s">
        <v>64</v>
      </c>
      <c r="AI256" s="56" t="s">
        <v>5890</v>
      </c>
      <c r="AJ256" s="56" t="s">
        <v>64</v>
      </c>
      <c r="AK256" s="56" t="s">
        <v>64</v>
      </c>
      <c r="AL256" s="56" t="s">
        <v>5016</v>
      </c>
      <c r="AM256" s="56" t="s">
        <v>65</v>
      </c>
      <c r="AN256" s="60" t="s">
        <v>5040</v>
      </c>
      <c r="AO256" s="60"/>
      <c r="AP256" s="61"/>
    </row>
    <row r="257" spans="3:42" ht="14.25" customHeight="1">
      <c r="C257" s="55">
        <f>IF($X257=1,COUNTIF($C$10:C256,"&gt;0")+1,"")</f>
        <v>125</v>
      </c>
      <c r="D257" s="56">
        <v>70181303</v>
      </c>
      <c r="E257" s="56" t="s">
        <v>5885</v>
      </c>
      <c r="F257" s="57" t="s">
        <v>5923</v>
      </c>
      <c r="G257" s="56" t="s">
        <v>5923</v>
      </c>
      <c r="H257" s="56" t="s">
        <v>5924</v>
      </c>
      <c r="I257" s="56" t="s">
        <v>5925</v>
      </c>
      <c r="J257" s="56" t="s">
        <v>58</v>
      </c>
      <c r="K257" s="56" t="s">
        <v>59</v>
      </c>
      <c r="L257" s="58">
        <v>32387</v>
      </c>
      <c r="M257" s="56">
        <v>37</v>
      </c>
      <c r="N257" s="56" t="s">
        <v>5926</v>
      </c>
      <c r="O257" s="58">
        <v>48294</v>
      </c>
      <c r="P257" s="56" t="s">
        <v>4</v>
      </c>
      <c r="Q257" s="56"/>
      <c r="R257" s="270">
        <v>45913</v>
      </c>
      <c r="S257" s="270">
        <v>45918</v>
      </c>
      <c r="T257" s="51">
        <f t="shared" si="3"/>
        <v>5</v>
      </c>
      <c r="U257" s="56">
        <v>1</v>
      </c>
      <c r="V257" s="56">
        <v>1</v>
      </c>
      <c r="W257" s="56">
        <v>0</v>
      </c>
      <c r="X257" s="56">
        <v>1</v>
      </c>
      <c r="Y257" s="56">
        <v>0</v>
      </c>
      <c r="Z257" s="56">
        <v>1</v>
      </c>
      <c r="AA257" s="56">
        <v>0</v>
      </c>
      <c r="AB257" s="56"/>
      <c r="AC257" s="58">
        <v>45913</v>
      </c>
      <c r="AD257" s="59">
        <v>0.625</v>
      </c>
      <c r="AE257" s="56" t="s">
        <v>74</v>
      </c>
      <c r="AF257" s="58">
        <v>45918</v>
      </c>
      <c r="AG257" s="59">
        <v>0.70138888889050577</v>
      </c>
      <c r="AH257" s="56" t="s">
        <v>96</v>
      </c>
      <c r="AI257" s="56" t="s">
        <v>5890</v>
      </c>
      <c r="AJ257" s="56" t="s">
        <v>64</v>
      </c>
      <c r="AK257" s="56" t="s">
        <v>64</v>
      </c>
      <c r="AL257" s="56" t="s">
        <v>5016</v>
      </c>
      <c r="AM257" s="56" t="s">
        <v>65</v>
      </c>
      <c r="AN257" s="60"/>
      <c r="AO257" s="60"/>
      <c r="AP257" s="61"/>
    </row>
    <row r="258" spans="3:42" ht="14.25" customHeight="1">
      <c r="C258" s="55" t="str">
        <f>IF($X258=1,COUNTIF($C$10:C257,"&gt;0")+1,"")</f>
        <v/>
      </c>
      <c r="D258" s="56">
        <v>70181303</v>
      </c>
      <c r="E258" s="56" t="s">
        <v>5885</v>
      </c>
      <c r="F258" s="57" t="s">
        <v>5927</v>
      </c>
      <c r="G258" s="56" t="s">
        <v>5923</v>
      </c>
      <c r="H258" s="56" t="s">
        <v>5928</v>
      </c>
      <c r="I258" s="56" t="s">
        <v>5925</v>
      </c>
      <c r="J258" s="56" t="s">
        <v>68</v>
      </c>
      <c r="K258" s="56" t="s">
        <v>59</v>
      </c>
      <c r="L258" s="58">
        <v>31983</v>
      </c>
      <c r="M258" s="56">
        <v>38</v>
      </c>
      <c r="N258" s="56" t="s">
        <v>5929</v>
      </c>
      <c r="O258" s="58">
        <v>48294</v>
      </c>
      <c r="P258" s="56" t="s">
        <v>4</v>
      </c>
      <c r="Q258" s="56"/>
      <c r="R258" s="270">
        <v>45913</v>
      </c>
      <c r="S258" s="270">
        <v>45918</v>
      </c>
      <c r="T258" s="51">
        <f t="shared" si="3"/>
        <v>5</v>
      </c>
      <c r="U258" s="56">
        <v>1</v>
      </c>
      <c r="V258" s="56">
        <v>1</v>
      </c>
      <c r="W258" s="56">
        <v>0</v>
      </c>
      <c r="X258" s="56">
        <v>0</v>
      </c>
      <c r="Y258" s="56">
        <v>0</v>
      </c>
      <c r="Z258" s="56">
        <v>0</v>
      </c>
      <c r="AA258" s="56">
        <v>0</v>
      </c>
      <c r="AB258" s="56"/>
      <c r="AC258" s="58">
        <v>45913</v>
      </c>
      <c r="AD258" s="59">
        <v>0.625</v>
      </c>
      <c r="AE258" s="56" t="s">
        <v>74</v>
      </c>
      <c r="AF258" s="58">
        <v>45918</v>
      </c>
      <c r="AG258" s="59">
        <v>0.70138888889050577</v>
      </c>
      <c r="AH258" s="56" t="s">
        <v>96</v>
      </c>
      <c r="AI258" s="56" t="s">
        <v>5890</v>
      </c>
      <c r="AJ258" s="56" t="s">
        <v>64</v>
      </c>
      <c r="AK258" s="56" t="s">
        <v>64</v>
      </c>
      <c r="AL258" s="56" t="s">
        <v>5016</v>
      </c>
      <c r="AM258" s="56" t="s">
        <v>65</v>
      </c>
      <c r="AN258" s="60"/>
      <c r="AO258" s="60"/>
      <c r="AP258" s="61"/>
    </row>
    <row r="259" spans="3:42" ht="14.25" customHeight="1">
      <c r="C259" s="55">
        <f>IF($X259=1,COUNTIF($C$10:C258,"&gt;0")+1,"")</f>
        <v>126</v>
      </c>
      <c r="D259" s="56">
        <v>70079271</v>
      </c>
      <c r="E259" s="56" t="s">
        <v>5885</v>
      </c>
      <c r="F259" s="57" t="s">
        <v>5930</v>
      </c>
      <c r="G259" s="56" t="s">
        <v>5930</v>
      </c>
      <c r="H259" s="56" t="s">
        <v>5931</v>
      </c>
      <c r="I259" s="56" t="s">
        <v>5932</v>
      </c>
      <c r="J259" s="56" t="s">
        <v>58</v>
      </c>
      <c r="K259" s="56" t="s">
        <v>64</v>
      </c>
      <c r="L259" s="58" t="s">
        <v>64</v>
      </c>
      <c r="M259" s="56" t="s">
        <v>64</v>
      </c>
      <c r="N259" s="56" t="s">
        <v>64</v>
      </c>
      <c r="O259" s="58" t="s">
        <v>64</v>
      </c>
      <c r="P259" s="56" t="s">
        <v>3</v>
      </c>
      <c r="Q259" s="56"/>
      <c r="R259" s="270">
        <v>45913</v>
      </c>
      <c r="S259" s="270">
        <v>45918</v>
      </c>
      <c r="T259" s="51">
        <f t="shared" si="3"/>
        <v>5</v>
      </c>
      <c r="U259" s="56">
        <v>1</v>
      </c>
      <c r="V259" s="56">
        <v>1</v>
      </c>
      <c r="W259" s="56">
        <v>0</v>
      </c>
      <c r="X259" s="56">
        <v>1</v>
      </c>
      <c r="Y259" s="56">
        <v>1</v>
      </c>
      <c r="Z259" s="56">
        <v>0</v>
      </c>
      <c r="AA259" s="56">
        <v>0</v>
      </c>
      <c r="AB259" s="56"/>
      <c r="AC259" s="58" t="s">
        <v>64</v>
      </c>
      <c r="AD259" s="59" t="s">
        <v>64</v>
      </c>
      <c r="AE259" s="56" t="s">
        <v>64</v>
      </c>
      <c r="AF259" s="58" t="s">
        <v>64</v>
      </c>
      <c r="AG259" s="59" t="s">
        <v>64</v>
      </c>
      <c r="AH259" s="56" t="s">
        <v>64</v>
      </c>
      <c r="AI259" s="56" t="s">
        <v>5890</v>
      </c>
      <c r="AJ259" s="56" t="s">
        <v>64</v>
      </c>
      <c r="AK259" s="56" t="s">
        <v>64</v>
      </c>
      <c r="AL259" s="56" t="s">
        <v>5016</v>
      </c>
      <c r="AM259" s="56" t="s">
        <v>65</v>
      </c>
      <c r="AN259" s="60" t="s">
        <v>5040</v>
      </c>
      <c r="AO259" s="60"/>
      <c r="AP259" s="61"/>
    </row>
    <row r="260" spans="3:42" ht="14.25" customHeight="1">
      <c r="C260" s="55">
        <f>IF($X260=1,COUNTIF($C$10:C259,"&gt;0")+1,"")</f>
        <v>127</v>
      </c>
      <c r="D260" s="56">
        <v>70181297</v>
      </c>
      <c r="E260" s="56" t="s">
        <v>5885</v>
      </c>
      <c r="F260" s="57" t="s">
        <v>5933</v>
      </c>
      <c r="G260" s="56" t="s">
        <v>5933</v>
      </c>
      <c r="H260" s="56" t="s">
        <v>5934</v>
      </c>
      <c r="I260" s="56" t="s">
        <v>5935</v>
      </c>
      <c r="J260" s="56" t="s">
        <v>58</v>
      </c>
      <c r="K260" s="56" t="s">
        <v>59</v>
      </c>
      <c r="L260" s="58">
        <v>23612</v>
      </c>
      <c r="M260" s="56">
        <v>61</v>
      </c>
      <c r="N260" s="56" t="s">
        <v>5936</v>
      </c>
      <c r="O260" s="58">
        <v>49525</v>
      </c>
      <c r="P260" s="56" t="s">
        <v>4</v>
      </c>
      <c r="Q260" s="56"/>
      <c r="R260" s="270">
        <v>45913</v>
      </c>
      <c r="S260" s="270">
        <v>45918</v>
      </c>
      <c r="T260" s="51">
        <f t="shared" si="3"/>
        <v>5</v>
      </c>
      <c r="U260" s="56">
        <v>1</v>
      </c>
      <c r="V260" s="56">
        <v>1</v>
      </c>
      <c r="W260" s="56">
        <v>0</v>
      </c>
      <c r="X260" s="56">
        <v>1</v>
      </c>
      <c r="Y260" s="56">
        <v>0</v>
      </c>
      <c r="Z260" s="56">
        <v>1</v>
      </c>
      <c r="AA260" s="56">
        <v>0</v>
      </c>
      <c r="AB260" s="56"/>
      <c r="AC260" s="58">
        <v>45913</v>
      </c>
      <c r="AD260" s="59">
        <v>0.5625</v>
      </c>
      <c r="AE260" s="56" t="s">
        <v>2642</v>
      </c>
      <c r="AF260" s="58">
        <v>45918</v>
      </c>
      <c r="AG260" s="59">
        <v>0.88194444444525288</v>
      </c>
      <c r="AH260" s="56" t="s">
        <v>5937</v>
      </c>
      <c r="AI260" s="56" t="s">
        <v>5890</v>
      </c>
      <c r="AJ260" s="56" t="s">
        <v>64</v>
      </c>
      <c r="AK260" s="56"/>
      <c r="AL260" s="56" t="s">
        <v>5016</v>
      </c>
      <c r="AM260" s="56" t="s">
        <v>65</v>
      </c>
      <c r="AN260" s="60"/>
      <c r="AO260" s="60"/>
      <c r="AP260" s="61"/>
    </row>
    <row r="261" spans="3:42" ht="14.25" customHeight="1">
      <c r="C261" s="55" t="str">
        <f>IF($X261=1,COUNTIF($C$10:C260,"&gt;0")+1,"")</f>
        <v/>
      </c>
      <c r="D261" s="56">
        <v>70181297</v>
      </c>
      <c r="E261" s="56" t="s">
        <v>5885</v>
      </c>
      <c r="F261" s="57" t="s">
        <v>5938</v>
      </c>
      <c r="G261" s="56" t="s">
        <v>5933</v>
      </c>
      <c r="H261" s="56" t="s">
        <v>5939</v>
      </c>
      <c r="I261" s="56" t="s">
        <v>5940</v>
      </c>
      <c r="J261" s="56" t="s">
        <v>68</v>
      </c>
      <c r="K261" s="56" t="s">
        <v>59</v>
      </c>
      <c r="L261" s="58">
        <v>25462</v>
      </c>
      <c r="M261" s="56">
        <v>56</v>
      </c>
      <c r="N261" s="56" t="s">
        <v>5941</v>
      </c>
      <c r="O261" s="58">
        <v>49525</v>
      </c>
      <c r="P261" s="56" t="s">
        <v>4</v>
      </c>
      <c r="Q261" s="56"/>
      <c r="R261" s="270">
        <v>45913</v>
      </c>
      <c r="S261" s="270">
        <v>45918</v>
      </c>
      <c r="T261" s="51">
        <f t="shared" si="3"/>
        <v>5</v>
      </c>
      <c r="U261" s="56">
        <v>1</v>
      </c>
      <c r="V261" s="56">
        <v>1</v>
      </c>
      <c r="W261" s="56">
        <v>0</v>
      </c>
      <c r="X261" s="56">
        <v>0</v>
      </c>
      <c r="Y261" s="56">
        <v>0</v>
      </c>
      <c r="Z261" s="56">
        <v>0</v>
      </c>
      <c r="AA261" s="56">
        <v>0</v>
      </c>
      <c r="AB261" s="56"/>
      <c r="AC261" s="58">
        <v>45913</v>
      </c>
      <c r="AD261" s="59">
        <v>0.5625</v>
      </c>
      <c r="AE261" s="56" t="s">
        <v>2642</v>
      </c>
      <c r="AF261" s="58">
        <v>45918</v>
      </c>
      <c r="AG261" s="59">
        <v>0.88194444444525288</v>
      </c>
      <c r="AH261" s="56" t="s">
        <v>5937</v>
      </c>
      <c r="AI261" s="56" t="s">
        <v>5890</v>
      </c>
      <c r="AJ261" s="56" t="s">
        <v>64</v>
      </c>
      <c r="AK261" s="56"/>
      <c r="AL261" s="56" t="s">
        <v>5016</v>
      </c>
      <c r="AM261" s="56" t="s">
        <v>65</v>
      </c>
      <c r="AN261" s="60"/>
      <c r="AO261" s="60"/>
      <c r="AP261" s="61"/>
    </row>
    <row r="262" spans="3:42" ht="14.25" customHeight="1">
      <c r="C262" s="55">
        <f>IF($X262=1,COUNTIF($C$10:C261,"&gt;0")+1,"")</f>
        <v>128</v>
      </c>
      <c r="D262" s="56">
        <v>70181285</v>
      </c>
      <c r="E262" s="56" t="s">
        <v>5885</v>
      </c>
      <c r="F262" s="57" t="s">
        <v>5942</v>
      </c>
      <c r="G262" s="56" t="s">
        <v>5933</v>
      </c>
      <c r="H262" s="56" t="s">
        <v>5943</v>
      </c>
      <c r="I262" s="56" t="s">
        <v>5935</v>
      </c>
      <c r="J262" s="56" t="s">
        <v>68</v>
      </c>
      <c r="K262" s="56" t="s">
        <v>59</v>
      </c>
      <c r="L262" s="58">
        <v>40554</v>
      </c>
      <c r="M262" s="56">
        <v>14</v>
      </c>
      <c r="N262" s="56" t="s">
        <v>5944</v>
      </c>
      <c r="O262" s="58">
        <v>46982</v>
      </c>
      <c r="P262" s="56" t="s">
        <v>4</v>
      </c>
      <c r="Q262" s="56"/>
      <c r="R262" s="270">
        <v>45913</v>
      </c>
      <c r="S262" s="270">
        <v>45918</v>
      </c>
      <c r="T262" s="51">
        <f t="shared" si="3"/>
        <v>5</v>
      </c>
      <c r="U262" s="56">
        <v>1</v>
      </c>
      <c r="V262" s="56">
        <v>1</v>
      </c>
      <c r="W262" s="56">
        <v>0</v>
      </c>
      <c r="X262" s="56">
        <v>1</v>
      </c>
      <c r="Y262" s="56">
        <v>0</v>
      </c>
      <c r="Z262" s="56">
        <v>1</v>
      </c>
      <c r="AA262" s="56">
        <v>0</v>
      </c>
      <c r="AB262" s="56"/>
      <c r="AC262" s="58">
        <v>45913</v>
      </c>
      <c r="AD262" s="59">
        <v>0.5625</v>
      </c>
      <c r="AE262" s="56" t="s">
        <v>2642</v>
      </c>
      <c r="AF262" s="58">
        <v>45918</v>
      </c>
      <c r="AG262" s="59">
        <v>0.88194444444525288</v>
      </c>
      <c r="AH262" s="56" t="s">
        <v>5937</v>
      </c>
      <c r="AI262" s="56" t="s">
        <v>5890</v>
      </c>
      <c r="AJ262" s="56" t="s">
        <v>64</v>
      </c>
      <c r="AK262" s="56"/>
      <c r="AL262" s="56" t="s">
        <v>5016</v>
      </c>
      <c r="AM262" s="56" t="s">
        <v>65</v>
      </c>
      <c r="AN262" s="60"/>
      <c r="AO262" s="60"/>
      <c r="AP262" s="61"/>
    </row>
    <row r="263" spans="3:42" ht="14.25" customHeight="1">
      <c r="C263" s="55" t="str">
        <f>IF($X263=1,COUNTIF($C$10:C262,"&gt;0")+1,"")</f>
        <v/>
      </c>
      <c r="D263" s="56">
        <v>70181285</v>
      </c>
      <c r="E263" s="56" t="s">
        <v>5885</v>
      </c>
      <c r="F263" s="57" t="s">
        <v>5945</v>
      </c>
      <c r="G263" s="56" t="s">
        <v>5933</v>
      </c>
      <c r="H263" s="56" t="s">
        <v>5946</v>
      </c>
      <c r="I263" s="56" t="s">
        <v>5935</v>
      </c>
      <c r="J263" s="56" t="s">
        <v>68</v>
      </c>
      <c r="K263" s="56" t="s">
        <v>59</v>
      </c>
      <c r="L263" s="58">
        <v>20729</v>
      </c>
      <c r="M263" s="56">
        <v>68</v>
      </c>
      <c r="N263" s="56" t="s">
        <v>5947</v>
      </c>
      <c r="O263" s="58">
        <v>46529</v>
      </c>
      <c r="P263" s="56" t="s">
        <v>4</v>
      </c>
      <c r="Q263" s="56"/>
      <c r="R263" s="270">
        <v>45913</v>
      </c>
      <c r="S263" s="270">
        <v>45918</v>
      </c>
      <c r="T263" s="51">
        <f t="shared" si="3"/>
        <v>5</v>
      </c>
      <c r="U263" s="56">
        <v>1</v>
      </c>
      <c r="V263" s="56">
        <v>1</v>
      </c>
      <c r="W263" s="56">
        <v>0</v>
      </c>
      <c r="X263" s="56">
        <v>0</v>
      </c>
      <c r="Y263" s="56">
        <v>0</v>
      </c>
      <c r="Z263" s="56">
        <v>0</v>
      </c>
      <c r="AA263" s="56">
        <v>0</v>
      </c>
      <c r="AB263" s="56"/>
      <c r="AC263" s="58">
        <v>45913</v>
      </c>
      <c r="AD263" s="59">
        <v>0.5625</v>
      </c>
      <c r="AE263" s="56" t="s">
        <v>2642</v>
      </c>
      <c r="AF263" s="58">
        <v>45918</v>
      </c>
      <c r="AG263" s="59">
        <v>0.88194444444525288</v>
      </c>
      <c r="AH263" s="56" t="s">
        <v>5025</v>
      </c>
      <c r="AI263" s="56" t="s">
        <v>5890</v>
      </c>
      <c r="AJ263" s="56" t="s">
        <v>64</v>
      </c>
      <c r="AK263" s="56"/>
      <c r="AL263" s="56" t="s">
        <v>5016</v>
      </c>
      <c r="AM263" s="56" t="s">
        <v>65</v>
      </c>
      <c r="AN263" s="60"/>
      <c r="AO263" s="60"/>
      <c r="AP263" s="61"/>
    </row>
    <row r="264" spans="3:42" ht="14.25" customHeight="1">
      <c r="C264" s="55">
        <f>IF($X264=1,COUNTIF($C$10:C263,"&gt;0")+1,"")</f>
        <v>129</v>
      </c>
      <c r="D264" s="56">
        <v>70503758</v>
      </c>
      <c r="E264" s="56" t="s">
        <v>5885</v>
      </c>
      <c r="F264" s="57" t="s">
        <v>5948</v>
      </c>
      <c r="G264" s="56" t="s">
        <v>5948</v>
      </c>
      <c r="H264" s="56" t="s">
        <v>5949</v>
      </c>
      <c r="I264" s="56" t="s">
        <v>2011</v>
      </c>
      <c r="J264" s="56" t="s">
        <v>58</v>
      </c>
      <c r="K264" s="56" t="s">
        <v>59</v>
      </c>
      <c r="L264" s="58">
        <v>31198</v>
      </c>
      <c r="M264" s="56">
        <v>40</v>
      </c>
      <c r="N264" s="56" t="s">
        <v>5950</v>
      </c>
      <c r="O264" s="58">
        <v>48792</v>
      </c>
      <c r="P264" s="56" t="s">
        <v>4</v>
      </c>
      <c r="Q264" s="56"/>
      <c r="R264" s="270">
        <v>45913</v>
      </c>
      <c r="S264" s="270">
        <v>45918</v>
      </c>
      <c r="T264" s="51">
        <f t="shared" si="3"/>
        <v>5</v>
      </c>
      <c r="U264" s="56">
        <v>1</v>
      </c>
      <c r="V264" s="56">
        <v>1</v>
      </c>
      <c r="W264" s="56">
        <v>0</v>
      </c>
      <c r="X264" s="56">
        <v>1</v>
      </c>
      <c r="Y264" s="56">
        <v>0</v>
      </c>
      <c r="Z264" s="56">
        <v>1</v>
      </c>
      <c r="AA264" s="56">
        <v>0</v>
      </c>
      <c r="AB264" s="56"/>
      <c r="AC264" s="58">
        <v>45913</v>
      </c>
      <c r="AD264" s="59">
        <v>0.18055555555474712</v>
      </c>
      <c r="AE264" s="56" t="s">
        <v>95</v>
      </c>
      <c r="AF264" s="58">
        <v>45918</v>
      </c>
      <c r="AG264" s="59">
        <v>0.47916666666424135</v>
      </c>
      <c r="AH264" s="56" t="s">
        <v>189</v>
      </c>
      <c r="AI264" s="56" t="s">
        <v>5890</v>
      </c>
      <c r="AJ264" s="56" t="s">
        <v>598</v>
      </c>
      <c r="AK264" s="56" t="s">
        <v>64</v>
      </c>
      <c r="AL264" s="56" t="s">
        <v>5016</v>
      </c>
      <c r="AM264" s="56" t="s">
        <v>65</v>
      </c>
      <c r="AN264" s="53" t="s">
        <v>5017</v>
      </c>
      <c r="AO264" s="275"/>
      <c r="AP264" s="61"/>
    </row>
    <row r="265" spans="3:42" ht="14.25" customHeight="1">
      <c r="C265" s="55" t="str">
        <f>IF($X265=1,COUNTIF($C$10:C264,"&gt;0")+1,"")</f>
        <v/>
      </c>
      <c r="D265" s="56">
        <v>70503758</v>
      </c>
      <c r="E265" s="56" t="s">
        <v>5885</v>
      </c>
      <c r="F265" s="57" t="s">
        <v>5951</v>
      </c>
      <c r="G265" s="56" t="s">
        <v>5948</v>
      </c>
      <c r="H265" s="56" t="s">
        <v>5952</v>
      </c>
      <c r="I265" s="56" t="s">
        <v>2011</v>
      </c>
      <c r="J265" s="56" t="s">
        <v>68</v>
      </c>
      <c r="K265" s="56" t="s">
        <v>59</v>
      </c>
      <c r="L265" s="58">
        <v>31302</v>
      </c>
      <c r="M265" s="56">
        <v>40</v>
      </c>
      <c r="N265" s="56" t="s">
        <v>5953</v>
      </c>
      <c r="O265" s="58">
        <v>48792</v>
      </c>
      <c r="P265" s="56" t="s">
        <v>4</v>
      </c>
      <c r="Q265" s="56"/>
      <c r="R265" s="270">
        <v>45913</v>
      </c>
      <c r="S265" s="270">
        <v>45918</v>
      </c>
      <c r="T265" s="51">
        <f t="shared" si="3"/>
        <v>5</v>
      </c>
      <c r="U265" s="56">
        <v>1</v>
      </c>
      <c r="V265" s="56">
        <v>1</v>
      </c>
      <c r="W265" s="56">
        <v>0</v>
      </c>
      <c r="X265" s="56">
        <v>0</v>
      </c>
      <c r="Y265" s="56">
        <v>0</v>
      </c>
      <c r="Z265" s="56">
        <v>0</v>
      </c>
      <c r="AA265" s="56">
        <v>0</v>
      </c>
      <c r="AB265" s="56"/>
      <c r="AC265" s="58">
        <v>45913</v>
      </c>
      <c r="AD265" s="59">
        <v>0.18055555555474712</v>
      </c>
      <c r="AE265" s="56" t="s">
        <v>95</v>
      </c>
      <c r="AF265" s="58">
        <v>45918</v>
      </c>
      <c r="AG265" s="59">
        <v>0.47916666666424135</v>
      </c>
      <c r="AH265" s="56" t="s">
        <v>189</v>
      </c>
      <c r="AI265" s="56" t="s">
        <v>5890</v>
      </c>
      <c r="AJ265" s="56" t="s">
        <v>64</v>
      </c>
      <c r="AK265" s="56" t="s">
        <v>64</v>
      </c>
      <c r="AL265" s="56" t="s">
        <v>5016</v>
      </c>
      <c r="AM265" s="56" t="s">
        <v>65</v>
      </c>
      <c r="AN265" s="53" t="s">
        <v>5017</v>
      </c>
      <c r="AO265" s="275"/>
      <c r="AP265" s="61"/>
    </row>
    <row r="266" spans="3:42" ht="14.25" customHeight="1">
      <c r="C266" s="55" t="str">
        <f>IF($X266=1,COUNTIF($C$10:C265,"&gt;0")+1,"")</f>
        <v/>
      </c>
      <c r="D266" s="56">
        <v>70503758</v>
      </c>
      <c r="E266" s="56" t="s">
        <v>5885</v>
      </c>
      <c r="F266" s="57" t="s">
        <v>5954</v>
      </c>
      <c r="G266" s="56" t="s">
        <v>5948</v>
      </c>
      <c r="H266" s="56" t="s">
        <v>5955</v>
      </c>
      <c r="I266" s="56" t="s">
        <v>2011</v>
      </c>
      <c r="J266" s="56" t="s">
        <v>58</v>
      </c>
      <c r="K266" s="56" t="s">
        <v>59</v>
      </c>
      <c r="L266" s="58">
        <v>43693</v>
      </c>
      <c r="M266" s="56">
        <v>6</v>
      </c>
      <c r="N266" s="56" t="s">
        <v>5956</v>
      </c>
      <c r="O266" s="58">
        <v>46222</v>
      </c>
      <c r="P266" s="56" t="s">
        <v>4</v>
      </c>
      <c r="Q266" s="56"/>
      <c r="R266" s="270">
        <v>45913</v>
      </c>
      <c r="S266" s="270">
        <v>45918</v>
      </c>
      <c r="T266" s="51">
        <f t="shared" si="3"/>
        <v>5</v>
      </c>
      <c r="U266" s="56">
        <v>1</v>
      </c>
      <c r="V266" s="56">
        <v>0</v>
      </c>
      <c r="W266" s="56">
        <v>1</v>
      </c>
      <c r="X266" s="56">
        <v>0</v>
      </c>
      <c r="Y266" s="56">
        <v>0</v>
      </c>
      <c r="Z266" s="56">
        <v>0</v>
      </c>
      <c r="AA266" s="56">
        <v>0</v>
      </c>
      <c r="AB266" s="56"/>
      <c r="AC266" s="58">
        <v>45913</v>
      </c>
      <c r="AD266" s="59">
        <v>0.18055555555474712</v>
      </c>
      <c r="AE266" s="56" t="s">
        <v>95</v>
      </c>
      <c r="AF266" s="58">
        <v>45918</v>
      </c>
      <c r="AG266" s="59">
        <v>0.47916666666424135</v>
      </c>
      <c r="AH266" s="56" t="s">
        <v>189</v>
      </c>
      <c r="AI266" s="56" t="s">
        <v>5890</v>
      </c>
      <c r="AJ266" s="56" t="s">
        <v>64</v>
      </c>
      <c r="AK266" s="56" t="s">
        <v>64</v>
      </c>
      <c r="AL266" s="56" t="s">
        <v>5016</v>
      </c>
      <c r="AM266" s="56" t="s">
        <v>65</v>
      </c>
      <c r="AN266" s="53" t="s">
        <v>5017</v>
      </c>
      <c r="AO266" s="275"/>
      <c r="AP266" s="61"/>
    </row>
    <row r="267" spans="3:42" ht="14.25" customHeight="1">
      <c r="C267" s="55">
        <f>IF($X267=1,COUNTIF($C$10:C266,"&gt;0")+1,"")</f>
        <v>130</v>
      </c>
      <c r="D267" s="56">
        <v>70181266</v>
      </c>
      <c r="E267" s="56" t="s">
        <v>5885</v>
      </c>
      <c r="F267" s="57" t="s">
        <v>5957</v>
      </c>
      <c r="G267" s="62" t="s">
        <v>5948</v>
      </c>
      <c r="H267" s="62" t="s">
        <v>5958</v>
      </c>
      <c r="I267" s="62" t="s">
        <v>2011</v>
      </c>
      <c r="J267" s="62" t="s">
        <v>58</v>
      </c>
      <c r="K267" s="62" t="s">
        <v>59</v>
      </c>
      <c r="L267" s="63">
        <v>20004</v>
      </c>
      <c r="M267" s="62">
        <v>70</v>
      </c>
      <c r="N267" s="62">
        <v>552121275</v>
      </c>
      <c r="O267" s="63">
        <v>46340</v>
      </c>
      <c r="P267" s="56" t="s">
        <v>4</v>
      </c>
      <c r="Q267" s="56"/>
      <c r="R267" s="270">
        <v>45913</v>
      </c>
      <c r="S267" s="270">
        <v>45918</v>
      </c>
      <c r="T267" s="51">
        <f t="shared" ref="T267:T330" si="4">S267-R267</f>
        <v>5</v>
      </c>
      <c r="U267" s="56">
        <v>1</v>
      </c>
      <c r="V267" s="56">
        <v>1</v>
      </c>
      <c r="W267" s="56">
        <v>0</v>
      </c>
      <c r="X267" s="56">
        <v>1</v>
      </c>
      <c r="Y267" s="56">
        <v>0</v>
      </c>
      <c r="Z267" s="56">
        <v>1</v>
      </c>
      <c r="AA267" s="56">
        <v>0</v>
      </c>
      <c r="AB267" s="56"/>
      <c r="AC267" s="58">
        <v>45913</v>
      </c>
      <c r="AD267" s="59">
        <v>0.18055555555474712</v>
      </c>
      <c r="AE267" s="56" t="s">
        <v>95</v>
      </c>
      <c r="AF267" s="58">
        <v>45918</v>
      </c>
      <c r="AG267" s="59">
        <v>0.47916666666424135</v>
      </c>
      <c r="AH267" s="56" t="s">
        <v>189</v>
      </c>
      <c r="AI267" s="56" t="s">
        <v>5890</v>
      </c>
      <c r="AJ267" s="56" t="s">
        <v>64</v>
      </c>
      <c r="AK267" s="56" t="s">
        <v>64</v>
      </c>
      <c r="AL267" s="56" t="s">
        <v>5016</v>
      </c>
      <c r="AM267" s="56" t="s">
        <v>65</v>
      </c>
      <c r="AN267" s="60" t="s">
        <v>5026</v>
      </c>
      <c r="AO267" s="60"/>
      <c r="AP267" s="64" t="s">
        <v>1888</v>
      </c>
    </row>
    <row r="268" spans="3:42" ht="14.25" customHeight="1">
      <c r="C268" s="55" t="str">
        <f>IF($X268=1,COUNTIF($C$10:C267,"&gt;0")+1,"")</f>
        <v/>
      </c>
      <c r="D268" s="56">
        <v>70181266</v>
      </c>
      <c r="E268" s="56" t="s">
        <v>5885</v>
      </c>
      <c r="F268" s="57" t="s">
        <v>5959</v>
      </c>
      <c r="G268" s="62" t="s">
        <v>5948</v>
      </c>
      <c r="H268" s="62" t="s">
        <v>5960</v>
      </c>
      <c r="I268" s="62" t="s">
        <v>5961</v>
      </c>
      <c r="J268" s="62" t="s">
        <v>68</v>
      </c>
      <c r="K268" s="62" t="s">
        <v>59</v>
      </c>
      <c r="L268" s="63">
        <v>21496</v>
      </c>
      <c r="M268" s="62">
        <v>66</v>
      </c>
      <c r="N268" s="62">
        <v>552083117</v>
      </c>
      <c r="O268" s="63">
        <v>46339</v>
      </c>
      <c r="P268" s="56" t="s">
        <v>4</v>
      </c>
      <c r="Q268" s="56"/>
      <c r="R268" s="270">
        <v>45913</v>
      </c>
      <c r="S268" s="270">
        <v>45918</v>
      </c>
      <c r="T268" s="51">
        <f t="shared" si="4"/>
        <v>5</v>
      </c>
      <c r="U268" s="56">
        <v>1</v>
      </c>
      <c r="V268" s="56">
        <v>1</v>
      </c>
      <c r="W268" s="56">
        <v>0</v>
      </c>
      <c r="X268" s="56">
        <v>0</v>
      </c>
      <c r="Y268" s="56">
        <v>0</v>
      </c>
      <c r="Z268" s="56">
        <v>0</v>
      </c>
      <c r="AA268" s="56">
        <v>0</v>
      </c>
      <c r="AB268" s="56"/>
      <c r="AC268" s="58">
        <v>45913</v>
      </c>
      <c r="AD268" s="59">
        <v>0.18055555555474712</v>
      </c>
      <c r="AE268" s="56" t="s">
        <v>95</v>
      </c>
      <c r="AF268" s="58">
        <v>45918</v>
      </c>
      <c r="AG268" s="59">
        <v>0.47916666666424135</v>
      </c>
      <c r="AH268" s="56" t="s">
        <v>189</v>
      </c>
      <c r="AI268" s="56" t="s">
        <v>5890</v>
      </c>
      <c r="AJ268" s="56" t="s">
        <v>64</v>
      </c>
      <c r="AK268" s="56" t="s">
        <v>64</v>
      </c>
      <c r="AL268" s="56" t="s">
        <v>5016</v>
      </c>
      <c r="AM268" s="56" t="s">
        <v>65</v>
      </c>
      <c r="AN268" s="60" t="s">
        <v>5026</v>
      </c>
      <c r="AO268" s="60"/>
      <c r="AP268" s="64" t="s">
        <v>1888</v>
      </c>
    </row>
    <row r="269" spans="3:42" ht="14.25" customHeight="1">
      <c r="C269" s="55">
        <f>IF($X269=1,COUNTIF($C$10:C268,"&gt;0")+1,"")</f>
        <v>131</v>
      </c>
      <c r="D269" s="56">
        <v>70079182</v>
      </c>
      <c r="E269" s="56" t="s">
        <v>5885</v>
      </c>
      <c r="F269" s="57" t="s">
        <v>5962</v>
      </c>
      <c r="G269" s="62" t="s">
        <v>5948</v>
      </c>
      <c r="H269" s="62" t="s">
        <v>5963</v>
      </c>
      <c r="I269" s="62" t="s">
        <v>5964</v>
      </c>
      <c r="J269" s="62" t="s">
        <v>68</v>
      </c>
      <c r="K269" s="62" t="s">
        <v>59</v>
      </c>
      <c r="L269" s="63">
        <v>21812</v>
      </c>
      <c r="M269" s="62">
        <v>65</v>
      </c>
      <c r="N269" s="62">
        <v>640280406</v>
      </c>
      <c r="O269" s="63">
        <v>47135</v>
      </c>
      <c r="P269" s="56" t="s">
        <v>3</v>
      </c>
      <c r="Q269" s="56"/>
      <c r="R269" s="270">
        <v>45913</v>
      </c>
      <c r="S269" s="270">
        <v>45918</v>
      </c>
      <c r="T269" s="51">
        <f t="shared" si="4"/>
        <v>5</v>
      </c>
      <c r="U269" s="56">
        <v>1</v>
      </c>
      <c r="V269" s="56">
        <v>1</v>
      </c>
      <c r="W269" s="56">
        <v>0</v>
      </c>
      <c r="X269" s="56">
        <v>1</v>
      </c>
      <c r="Y269" s="56">
        <v>1</v>
      </c>
      <c r="Z269" s="56">
        <v>0</v>
      </c>
      <c r="AA269" s="56">
        <v>0</v>
      </c>
      <c r="AB269" s="56"/>
      <c r="AC269" s="58">
        <v>45913</v>
      </c>
      <c r="AD269" s="59">
        <v>0.18055555555474712</v>
      </c>
      <c r="AE269" s="56" t="s">
        <v>95</v>
      </c>
      <c r="AF269" s="58">
        <v>45918</v>
      </c>
      <c r="AG269" s="59">
        <v>0.47916666666424135</v>
      </c>
      <c r="AH269" s="56" t="s">
        <v>189</v>
      </c>
      <c r="AI269" s="56" t="s">
        <v>5890</v>
      </c>
      <c r="AJ269" s="56" t="s">
        <v>64</v>
      </c>
      <c r="AK269" s="56" t="s">
        <v>64</v>
      </c>
      <c r="AL269" s="56" t="s">
        <v>5016</v>
      </c>
      <c r="AM269" s="56" t="s">
        <v>65</v>
      </c>
      <c r="AN269" s="60" t="s">
        <v>5040</v>
      </c>
      <c r="AO269" s="60"/>
      <c r="AP269" s="64" t="s">
        <v>1888</v>
      </c>
    </row>
    <row r="270" spans="3:42" ht="14.25" customHeight="1">
      <c r="C270" s="55" t="str">
        <f>IF($X270=1,COUNTIF($C$10:C269,"&gt;0")+1,"")</f>
        <v/>
      </c>
      <c r="D270" s="56">
        <v>70079182</v>
      </c>
      <c r="E270" s="56" t="s">
        <v>5885</v>
      </c>
      <c r="F270" s="57" t="s">
        <v>5965</v>
      </c>
      <c r="G270" s="56" t="s">
        <v>5948</v>
      </c>
      <c r="H270" s="56" t="s">
        <v>5966</v>
      </c>
      <c r="I270" s="56" t="s">
        <v>2011</v>
      </c>
      <c r="J270" s="56" t="s">
        <v>68</v>
      </c>
      <c r="K270" s="56" t="s">
        <v>59</v>
      </c>
      <c r="L270" s="58">
        <v>44726</v>
      </c>
      <c r="M270" s="56">
        <v>3</v>
      </c>
      <c r="N270" s="56" t="s">
        <v>5967</v>
      </c>
      <c r="O270" s="58">
        <v>46926</v>
      </c>
      <c r="P270" s="56" t="s">
        <v>3</v>
      </c>
      <c r="Q270" s="56"/>
      <c r="R270" s="270">
        <v>45913</v>
      </c>
      <c r="S270" s="270">
        <v>45918</v>
      </c>
      <c r="T270" s="51">
        <f t="shared" si="4"/>
        <v>5</v>
      </c>
      <c r="U270" s="56">
        <v>1</v>
      </c>
      <c r="V270" s="56">
        <v>0</v>
      </c>
      <c r="W270" s="56">
        <v>1</v>
      </c>
      <c r="X270" s="56">
        <v>0</v>
      </c>
      <c r="Y270" s="56">
        <v>0</v>
      </c>
      <c r="Z270" s="56">
        <v>0</v>
      </c>
      <c r="AA270" s="56">
        <v>0</v>
      </c>
      <c r="AB270" s="56"/>
      <c r="AC270" s="58">
        <v>45913</v>
      </c>
      <c r="AD270" s="59">
        <v>0.18055555555474712</v>
      </c>
      <c r="AE270" s="56" t="s">
        <v>95</v>
      </c>
      <c r="AF270" s="58">
        <v>45918</v>
      </c>
      <c r="AG270" s="59">
        <v>0.47916666666424135</v>
      </c>
      <c r="AH270" s="56" t="s">
        <v>189</v>
      </c>
      <c r="AI270" s="56" t="s">
        <v>5890</v>
      </c>
      <c r="AJ270" s="56" t="s">
        <v>64</v>
      </c>
      <c r="AK270" s="56" t="s">
        <v>64</v>
      </c>
      <c r="AL270" s="56" t="s">
        <v>5016</v>
      </c>
      <c r="AM270" s="56" t="s">
        <v>65</v>
      </c>
      <c r="AN270" s="60" t="s">
        <v>5040</v>
      </c>
      <c r="AO270" s="60"/>
      <c r="AP270" s="61"/>
    </row>
    <row r="271" spans="3:42" ht="14.25" customHeight="1">
      <c r="C271" s="55">
        <f>IF($X271=1,COUNTIF($C$10:C270,"&gt;0")+1,"")</f>
        <v>132</v>
      </c>
      <c r="D271" s="56">
        <v>70181288</v>
      </c>
      <c r="E271" s="56" t="s">
        <v>5885</v>
      </c>
      <c r="F271" s="57" t="s">
        <v>5968</v>
      </c>
      <c r="G271" s="62" t="s">
        <v>5969</v>
      </c>
      <c r="H271" s="62" t="s">
        <v>5970</v>
      </c>
      <c r="I271" s="62" t="s">
        <v>1061</v>
      </c>
      <c r="J271" s="62" t="s">
        <v>68</v>
      </c>
      <c r="K271" s="62" t="s">
        <v>59</v>
      </c>
      <c r="L271" s="63" t="s">
        <v>64</v>
      </c>
      <c r="M271" s="62" t="s">
        <v>64</v>
      </c>
      <c r="N271" s="62" t="s">
        <v>64</v>
      </c>
      <c r="O271" s="63" t="s">
        <v>64</v>
      </c>
      <c r="P271" s="62" t="s">
        <v>4</v>
      </c>
      <c r="Q271" s="62"/>
      <c r="R271" s="272">
        <v>45913</v>
      </c>
      <c r="S271" s="272">
        <v>45918</v>
      </c>
      <c r="T271" s="67">
        <f t="shared" si="4"/>
        <v>5</v>
      </c>
      <c r="U271" s="62">
        <v>1</v>
      </c>
      <c r="V271" s="62">
        <v>1</v>
      </c>
      <c r="W271" s="62">
        <v>0</v>
      </c>
      <c r="X271" s="62">
        <v>1</v>
      </c>
      <c r="Y271" s="62">
        <v>0</v>
      </c>
      <c r="Z271" s="62">
        <v>1</v>
      </c>
      <c r="AA271" s="62">
        <v>0</v>
      </c>
      <c r="AB271" s="62"/>
      <c r="AC271" s="63" t="s">
        <v>64</v>
      </c>
      <c r="AD271" s="68" t="s">
        <v>64</v>
      </c>
      <c r="AE271" s="62" t="s">
        <v>64</v>
      </c>
      <c r="AF271" s="63" t="s">
        <v>64</v>
      </c>
      <c r="AG271" s="68" t="s">
        <v>64</v>
      </c>
      <c r="AH271" s="62" t="s">
        <v>64</v>
      </c>
      <c r="AI271" s="62" t="s">
        <v>5890</v>
      </c>
      <c r="AJ271" s="62" t="s">
        <v>64</v>
      </c>
      <c r="AK271" s="62" t="s">
        <v>64</v>
      </c>
      <c r="AL271" s="62" t="s">
        <v>5016</v>
      </c>
      <c r="AM271" s="62" t="s">
        <v>65</v>
      </c>
      <c r="AN271" s="273"/>
      <c r="AO271" s="273"/>
      <c r="AP271" s="64" t="s">
        <v>5971</v>
      </c>
    </row>
    <row r="272" spans="3:42" ht="14.25" customHeight="1">
      <c r="C272" s="55" t="str">
        <f>IF($X272=1,COUNTIF($C$10:C271,"&gt;0")+1,"")</f>
        <v/>
      </c>
      <c r="D272" s="56">
        <v>70181288</v>
      </c>
      <c r="E272" s="56" t="s">
        <v>5885</v>
      </c>
      <c r="F272" s="57" t="s">
        <v>5972</v>
      </c>
      <c r="G272" s="62" t="s">
        <v>5969</v>
      </c>
      <c r="H272" s="62" t="s">
        <v>5973</v>
      </c>
      <c r="I272" s="62" t="s">
        <v>5974</v>
      </c>
      <c r="J272" s="62" t="s">
        <v>58</v>
      </c>
      <c r="K272" s="62" t="s">
        <v>59</v>
      </c>
      <c r="L272" s="63">
        <v>38012</v>
      </c>
      <c r="M272" s="62">
        <v>21</v>
      </c>
      <c r="N272" s="62" t="s">
        <v>5975</v>
      </c>
      <c r="O272" s="63">
        <v>49141</v>
      </c>
      <c r="P272" s="62" t="s">
        <v>4</v>
      </c>
      <c r="Q272" s="62"/>
      <c r="R272" s="272">
        <v>45913</v>
      </c>
      <c r="S272" s="272">
        <v>45918</v>
      </c>
      <c r="T272" s="67">
        <f t="shared" si="4"/>
        <v>5</v>
      </c>
      <c r="U272" s="62">
        <v>1</v>
      </c>
      <c r="V272" s="62">
        <v>1</v>
      </c>
      <c r="W272" s="62">
        <v>0</v>
      </c>
      <c r="X272" s="62">
        <v>0</v>
      </c>
      <c r="Y272" s="62">
        <v>0</v>
      </c>
      <c r="Z272" s="62">
        <v>0</v>
      </c>
      <c r="AA272" s="62">
        <v>0</v>
      </c>
      <c r="AB272" s="62"/>
      <c r="AC272" s="63" t="s">
        <v>64</v>
      </c>
      <c r="AD272" s="68" t="s">
        <v>64</v>
      </c>
      <c r="AE272" s="62" t="s">
        <v>64</v>
      </c>
      <c r="AF272" s="63" t="s">
        <v>64</v>
      </c>
      <c r="AG272" s="68" t="s">
        <v>64</v>
      </c>
      <c r="AH272" s="62" t="s">
        <v>64</v>
      </c>
      <c r="AI272" s="62" t="s">
        <v>5890</v>
      </c>
      <c r="AJ272" s="62" t="s">
        <v>64</v>
      </c>
      <c r="AK272" s="62" t="s">
        <v>64</v>
      </c>
      <c r="AL272" s="62" t="s">
        <v>5016</v>
      </c>
      <c r="AM272" s="62" t="s">
        <v>65</v>
      </c>
      <c r="AN272" s="273"/>
      <c r="AO272" s="273"/>
      <c r="AP272" s="64" t="s">
        <v>5976</v>
      </c>
    </row>
    <row r="273" spans="3:42" ht="14.25" customHeight="1">
      <c r="C273" s="55">
        <f>IF($X273=1,COUNTIF($C$10:C272,"&gt;0")+1,"")</f>
        <v>133</v>
      </c>
      <c r="D273" s="56">
        <v>70101997</v>
      </c>
      <c r="E273" s="56" t="s">
        <v>5885</v>
      </c>
      <c r="F273" s="57" t="s">
        <v>5977</v>
      </c>
      <c r="G273" s="56" t="s">
        <v>5977</v>
      </c>
      <c r="H273" s="56" t="s">
        <v>5978</v>
      </c>
      <c r="I273" s="56" t="s">
        <v>5979</v>
      </c>
      <c r="J273" s="56" t="s">
        <v>58</v>
      </c>
      <c r="K273" s="56" t="s">
        <v>59</v>
      </c>
      <c r="L273" s="58">
        <v>37268</v>
      </c>
      <c r="M273" s="56">
        <v>23</v>
      </c>
      <c r="N273" s="56" t="s">
        <v>5980</v>
      </c>
      <c r="O273" s="58">
        <v>48110</v>
      </c>
      <c r="P273" s="56" t="s">
        <v>4</v>
      </c>
      <c r="Q273" s="56"/>
      <c r="R273" s="270">
        <v>45913</v>
      </c>
      <c r="S273" s="270">
        <v>45918</v>
      </c>
      <c r="T273" s="51">
        <f t="shared" si="4"/>
        <v>5</v>
      </c>
      <c r="U273" s="56">
        <v>1</v>
      </c>
      <c r="V273" s="56">
        <v>1</v>
      </c>
      <c r="W273" s="56">
        <v>0</v>
      </c>
      <c r="X273" s="56">
        <v>1</v>
      </c>
      <c r="Y273" s="56">
        <v>0</v>
      </c>
      <c r="Z273" s="56">
        <v>1</v>
      </c>
      <c r="AA273" s="56">
        <v>0</v>
      </c>
      <c r="AB273" s="56"/>
      <c r="AC273" s="58">
        <v>45913</v>
      </c>
      <c r="AD273" s="59">
        <v>0.625</v>
      </c>
      <c r="AE273" s="56" t="s">
        <v>74</v>
      </c>
      <c r="AF273" s="58">
        <v>45918</v>
      </c>
      <c r="AG273" s="59">
        <v>0.70138888889050577</v>
      </c>
      <c r="AH273" s="56" t="s">
        <v>96</v>
      </c>
      <c r="AI273" s="56" t="s">
        <v>5890</v>
      </c>
      <c r="AJ273" s="56" t="s">
        <v>64</v>
      </c>
      <c r="AK273" s="56" t="s">
        <v>64</v>
      </c>
      <c r="AL273" s="56" t="s">
        <v>5016</v>
      </c>
      <c r="AM273" s="56" t="s">
        <v>65</v>
      </c>
      <c r="AN273" s="60"/>
      <c r="AO273" s="60"/>
      <c r="AP273" s="61"/>
    </row>
    <row r="274" spans="3:42" ht="14.25" customHeight="1">
      <c r="C274" s="55" t="str">
        <f>IF($X274=1,COUNTIF($C$10:C273,"&gt;0")+1,"")</f>
        <v/>
      </c>
      <c r="D274" s="56">
        <v>70101997</v>
      </c>
      <c r="E274" s="56" t="s">
        <v>5885</v>
      </c>
      <c r="F274" s="57" t="s">
        <v>5981</v>
      </c>
      <c r="G274" s="56" t="s">
        <v>5977</v>
      </c>
      <c r="H274" s="56" t="s">
        <v>5982</v>
      </c>
      <c r="I274" s="56" t="s">
        <v>5979</v>
      </c>
      <c r="J274" s="56" t="s">
        <v>68</v>
      </c>
      <c r="K274" s="56" t="s">
        <v>59</v>
      </c>
      <c r="L274" s="58">
        <v>23622</v>
      </c>
      <c r="M274" s="56">
        <v>61</v>
      </c>
      <c r="N274" s="56" t="s">
        <v>5983</v>
      </c>
      <c r="O274" s="58">
        <v>48160</v>
      </c>
      <c r="P274" s="56" t="s">
        <v>4</v>
      </c>
      <c r="Q274" s="56"/>
      <c r="R274" s="270">
        <v>45913</v>
      </c>
      <c r="S274" s="270">
        <v>45918</v>
      </c>
      <c r="T274" s="51">
        <f t="shared" si="4"/>
        <v>5</v>
      </c>
      <c r="U274" s="56">
        <v>1</v>
      </c>
      <c r="V274" s="56">
        <v>1</v>
      </c>
      <c r="W274" s="56">
        <v>0</v>
      </c>
      <c r="X274" s="56">
        <v>0</v>
      </c>
      <c r="Y274" s="56">
        <v>0</v>
      </c>
      <c r="Z274" s="56">
        <v>0</v>
      </c>
      <c r="AA274" s="56">
        <v>0</v>
      </c>
      <c r="AB274" s="56"/>
      <c r="AC274" s="58">
        <v>45913</v>
      </c>
      <c r="AD274" s="59">
        <v>0.625</v>
      </c>
      <c r="AE274" s="56" t="s">
        <v>74</v>
      </c>
      <c r="AF274" s="58">
        <v>45918</v>
      </c>
      <c r="AG274" s="59">
        <v>0.70138888889050577</v>
      </c>
      <c r="AH274" s="56" t="s">
        <v>96</v>
      </c>
      <c r="AI274" s="56" t="s">
        <v>5890</v>
      </c>
      <c r="AJ274" s="56" t="s">
        <v>64</v>
      </c>
      <c r="AK274" s="56" t="s">
        <v>64</v>
      </c>
      <c r="AL274" s="56" t="s">
        <v>5016</v>
      </c>
      <c r="AM274" s="56" t="s">
        <v>65</v>
      </c>
      <c r="AN274" s="60"/>
      <c r="AO274" s="60"/>
      <c r="AP274" s="61"/>
    </row>
    <row r="275" spans="3:42" ht="14.25" customHeight="1">
      <c r="C275" s="55">
        <f>IF($X275=1,COUNTIF($C$10:C274,"&gt;0")+1,"")</f>
        <v>134</v>
      </c>
      <c r="D275" s="56">
        <v>70503787</v>
      </c>
      <c r="E275" s="56" t="s">
        <v>5885</v>
      </c>
      <c r="F275" s="57" t="s">
        <v>5984</v>
      </c>
      <c r="G275" s="56" t="s">
        <v>5984</v>
      </c>
      <c r="H275" s="56" t="s">
        <v>5985</v>
      </c>
      <c r="I275" s="56" t="s">
        <v>5986</v>
      </c>
      <c r="J275" s="56" t="s">
        <v>68</v>
      </c>
      <c r="K275" s="56" t="s">
        <v>59</v>
      </c>
      <c r="L275" s="58">
        <v>35221</v>
      </c>
      <c r="M275" s="56">
        <v>29</v>
      </c>
      <c r="N275" s="56" t="s">
        <v>5987</v>
      </c>
      <c r="O275" s="58">
        <v>48382</v>
      </c>
      <c r="P275" s="56" t="s">
        <v>4</v>
      </c>
      <c r="Q275" s="56"/>
      <c r="R275" s="270">
        <v>45913</v>
      </c>
      <c r="S275" s="270">
        <v>45918</v>
      </c>
      <c r="T275" s="51">
        <f t="shared" si="4"/>
        <v>5</v>
      </c>
      <c r="U275" s="56">
        <v>1</v>
      </c>
      <c r="V275" s="56">
        <v>1</v>
      </c>
      <c r="W275" s="56">
        <v>0</v>
      </c>
      <c r="X275" s="56">
        <v>1</v>
      </c>
      <c r="Y275" s="56">
        <v>0</v>
      </c>
      <c r="Z275" s="56">
        <v>1</v>
      </c>
      <c r="AA275" s="56">
        <v>0</v>
      </c>
      <c r="AB275" s="56"/>
      <c r="AC275" s="58">
        <v>45913</v>
      </c>
      <c r="AD275" s="59">
        <v>0.625</v>
      </c>
      <c r="AE275" s="56" t="s">
        <v>74</v>
      </c>
      <c r="AF275" s="58">
        <v>45918</v>
      </c>
      <c r="AG275" s="59">
        <v>0.70138888889050577</v>
      </c>
      <c r="AH275" s="56" t="s">
        <v>96</v>
      </c>
      <c r="AI275" s="56" t="s">
        <v>5890</v>
      </c>
      <c r="AJ275" s="56" t="s">
        <v>64</v>
      </c>
      <c r="AK275" s="56"/>
      <c r="AL275" s="56" t="s">
        <v>5016</v>
      </c>
      <c r="AM275" s="56" t="s">
        <v>65</v>
      </c>
      <c r="AN275" s="60" t="s">
        <v>5017</v>
      </c>
      <c r="AO275" s="60"/>
      <c r="AP275" s="61"/>
    </row>
    <row r="276" spans="3:42" ht="14.25" customHeight="1">
      <c r="C276" s="55" t="str">
        <f>IF($X276=1,COUNTIF($C$10:C275,"&gt;0")+1,"")</f>
        <v/>
      </c>
      <c r="D276" s="56">
        <v>70503787</v>
      </c>
      <c r="E276" s="56" t="s">
        <v>5885</v>
      </c>
      <c r="F276" s="57" t="s">
        <v>5988</v>
      </c>
      <c r="G276" s="56" t="s">
        <v>5984</v>
      </c>
      <c r="H276" s="56" t="s">
        <v>5989</v>
      </c>
      <c r="I276" s="56" t="s">
        <v>5990</v>
      </c>
      <c r="J276" s="56" t="s">
        <v>58</v>
      </c>
      <c r="K276" s="56" t="s">
        <v>59</v>
      </c>
      <c r="L276" s="58">
        <v>35392</v>
      </c>
      <c r="M276" s="56">
        <v>28</v>
      </c>
      <c r="N276" s="56" t="s">
        <v>5991</v>
      </c>
      <c r="O276" s="58">
        <v>48382</v>
      </c>
      <c r="P276" s="56" t="s">
        <v>4</v>
      </c>
      <c r="Q276" s="56"/>
      <c r="R276" s="270">
        <v>45913</v>
      </c>
      <c r="S276" s="270">
        <v>45918</v>
      </c>
      <c r="T276" s="51">
        <f t="shared" si="4"/>
        <v>5</v>
      </c>
      <c r="U276" s="56">
        <v>1</v>
      </c>
      <c r="V276" s="56">
        <v>1</v>
      </c>
      <c r="W276" s="56">
        <v>0</v>
      </c>
      <c r="X276" s="56">
        <v>0</v>
      </c>
      <c r="Y276" s="56">
        <v>0</v>
      </c>
      <c r="Z276" s="56">
        <v>0</v>
      </c>
      <c r="AA276" s="56">
        <v>0</v>
      </c>
      <c r="AB276" s="56"/>
      <c r="AC276" s="58">
        <v>45913</v>
      </c>
      <c r="AD276" s="59">
        <v>0.625</v>
      </c>
      <c r="AE276" s="56" t="s">
        <v>74</v>
      </c>
      <c r="AF276" s="58">
        <v>45918</v>
      </c>
      <c r="AG276" s="59">
        <v>0.70138888889050577</v>
      </c>
      <c r="AH276" s="56" t="s">
        <v>96</v>
      </c>
      <c r="AI276" s="56" t="s">
        <v>5890</v>
      </c>
      <c r="AJ276" s="56" t="s">
        <v>64</v>
      </c>
      <c r="AK276" s="56" t="s">
        <v>64</v>
      </c>
      <c r="AL276" s="56" t="s">
        <v>5016</v>
      </c>
      <c r="AM276" s="56" t="s">
        <v>65</v>
      </c>
      <c r="AN276" s="60" t="s">
        <v>5017</v>
      </c>
      <c r="AO276" s="60"/>
      <c r="AP276" s="61"/>
    </row>
    <row r="277" spans="3:42" ht="14.25" customHeight="1">
      <c r="C277" s="55" t="str">
        <f>IF($X277=1,COUNTIF($C$10:C276,"&gt;0")+1,"")</f>
        <v/>
      </c>
      <c r="D277" s="56">
        <v>70503787</v>
      </c>
      <c r="E277" s="56" t="s">
        <v>5885</v>
      </c>
      <c r="F277" s="57" t="s">
        <v>5992</v>
      </c>
      <c r="G277" s="56" t="s">
        <v>5984</v>
      </c>
      <c r="H277" s="56" t="s">
        <v>5993</v>
      </c>
      <c r="I277" s="56" t="s">
        <v>5990</v>
      </c>
      <c r="J277" s="56" t="s">
        <v>68</v>
      </c>
      <c r="K277" s="56" t="s">
        <v>59</v>
      </c>
      <c r="L277" s="58">
        <v>45800</v>
      </c>
      <c r="M277" s="56">
        <v>0</v>
      </c>
      <c r="N277" s="56" t="s">
        <v>5994</v>
      </c>
      <c r="O277" s="58">
        <v>47670</v>
      </c>
      <c r="P277" s="56" t="s">
        <v>4</v>
      </c>
      <c r="Q277" s="56"/>
      <c r="R277" s="270">
        <v>45913</v>
      </c>
      <c r="S277" s="270">
        <v>45918</v>
      </c>
      <c r="T277" s="51">
        <f t="shared" si="4"/>
        <v>5</v>
      </c>
      <c r="U277" s="56">
        <v>0</v>
      </c>
      <c r="V277" s="56">
        <v>0</v>
      </c>
      <c r="W277" s="56">
        <v>0</v>
      </c>
      <c r="X277" s="56">
        <v>0</v>
      </c>
      <c r="Y277" s="56">
        <v>0</v>
      </c>
      <c r="Z277" s="56">
        <v>0</v>
      </c>
      <c r="AA277" s="56">
        <v>0</v>
      </c>
      <c r="AB277" s="56"/>
      <c r="AC277" s="58">
        <v>45913</v>
      </c>
      <c r="AD277" s="59">
        <v>0.625</v>
      </c>
      <c r="AE277" s="56" t="s">
        <v>74</v>
      </c>
      <c r="AF277" s="58">
        <v>45918</v>
      </c>
      <c r="AG277" s="59">
        <v>0.70138888889050577</v>
      </c>
      <c r="AH277" s="56" t="s">
        <v>96</v>
      </c>
      <c r="AI277" s="56" t="s">
        <v>5890</v>
      </c>
      <c r="AJ277" s="56" t="s">
        <v>64</v>
      </c>
      <c r="AK277" s="56" t="s">
        <v>64</v>
      </c>
      <c r="AL277" s="56" t="s">
        <v>5016</v>
      </c>
      <c r="AM277" s="56" t="s">
        <v>65</v>
      </c>
      <c r="AN277" s="60" t="s">
        <v>5017</v>
      </c>
      <c r="AO277" s="60"/>
      <c r="AP277" s="61"/>
    </row>
    <row r="278" spans="3:42" ht="14.25" customHeight="1">
      <c r="C278" s="55" t="str">
        <f>IF($X278=1,COUNTIF($C$10:C277,"&gt;0")+1,"")</f>
        <v/>
      </c>
      <c r="D278" s="56">
        <v>70503787</v>
      </c>
      <c r="E278" s="56" t="s">
        <v>5885</v>
      </c>
      <c r="F278" s="57" t="s">
        <v>5995</v>
      </c>
      <c r="G278" s="56" t="s">
        <v>5984</v>
      </c>
      <c r="H278" s="56" t="s">
        <v>5996</v>
      </c>
      <c r="I278" s="56" t="s">
        <v>5990</v>
      </c>
      <c r="J278" s="56" t="s">
        <v>68</v>
      </c>
      <c r="K278" s="56" t="s">
        <v>59</v>
      </c>
      <c r="L278" s="58">
        <v>43903</v>
      </c>
      <c r="M278" s="56">
        <v>5</v>
      </c>
      <c r="N278" s="56" t="s">
        <v>5997</v>
      </c>
      <c r="O278" s="58">
        <v>47672</v>
      </c>
      <c r="P278" s="56" t="s">
        <v>4</v>
      </c>
      <c r="Q278" s="56"/>
      <c r="R278" s="270">
        <v>45913</v>
      </c>
      <c r="S278" s="270">
        <v>45918</v>
      </c>
      <c r="T278" s="51">
        <f t="shared" si="4"/>
        <v>5</v>
      </c>
      <c r="U278" s="56">
        <v>1</v>
      </c>
      <c r="V278" s="56">
        <v>0</v>
      </c>
      <c r="W278" s="56">
        <v>1</v>
      </c>
      <c r="X278" s="56">
        <v>0</v>
      </c>
      <c r="Y278" s="56">
        <v>0</v>
      </c>
      <c r="Z278" s="56">
        <v>0</v>
      </c>
      <c r="AA278" s="56">
        <v>0</v>
      </c>
      <c r="AB278" s="56"/>
      <c r="AC278" s="58">
        <v>45913</v>
      </c>
      <c r="AD278" s="59">
        <v>0.625</v>
      </c>
      <c r="AE278" s="56" t="s">
        <v>74</v>
      </c>
      <c r="AF278" s="58">
        <v>45918</v>
      </c>
      <c r="AG278" s="59">
        <v>0.70138888889050577</v>
      </c>
      <c r="AH278" s="56" t="s">
        <v>96</v>
      </c>
      <c r="AI278" s="56" t="s">
        <v>5890</v>
      </c>
      <c r="AJ278" s="56" t="s">
        <v>64</v>
      </c>
      <c r="AK278" s="56" t="s">
        <v>64</v>
      </c>
      <c r="AL278" s="56" t="s">
        <v>5016</v>
      </c>
      <c r="AM278" s="56" t="s">
        <v>65</v>
      </c>
      <c r="AN278" s="60" t="s">
        <v>5017</v>
      </c>
      <c r="AO278" s="60"/>
      <c r="AP278" s="61"/>
    </row>
    <row r="279" spans="3:42" ht="14.25" customHeight="1">
      <c r="C279" s="55">
        <f>IF($X279=1,COUNTIF($C$10:C278,"&gt;0")+1,"")</f>
        <v>135</v>
      </c>
      <c r="D279" s="56">
        <v>70079197</v>
      </c>
      <c r="E279" s="56" t="s">
        <v>5885</v>
      </c>
      <c r="F279" s="57" t="s">
        <v>5998</v>
      </c>
      <c r="G279" s="56" t="s">
        <v>5984</v>
      </c>
      <c r="H279" s="56" t="s">
        <v>5999</v>
      </c>
      <c r="I279" s="56" t="s">
        <v>419</v>
      </c>
      <c r="J279" s="56" t="s">
        <v>68</v>
      </c>
      <c r="K279" s="56" t="s">
        <v>59</v>
      </c>
      <c r="L279" s="58">
        <v>26019</v>
      </c>
      <c r="M279" s="56">
        <v>54</v>
      </c>
      <c r="N279" s="56" t="s">
        <v>6000</v>
      </c>
      <c r="O279" s="58">
        <v>48779</v>
      </c>
      <c r="P279" s="56" t="s">
        <v>3</v>
      </c>
      <c r="Q279" s="56"/>
      <c r="R279" s="270">
        <v>45913</v>
      </c>
      <c r="S279" s="270">
        <v>45918</v>
      </c>
      <c r="T279" s="51">
        <f t="shared" si="4"/>
        <v>5</v>
      </c>
      <c r="U279" s="56">
        <v>1</v>
      </c>
      <c r="V279" s="56">
        <v>1</v>
      </c>
      <c r="W279" s="56">
        <v>0</v>
      </c>
      <c r="X279" s="56">
        <v>1</v>
      </c>
      <c r="Y279" s="56">
        <v>1</v>
      </c>
      <c r="Z279" s="56">
        <v>0</v>
      </c>
      <c r="AA279" s="56">
        <v>0</v>
      </c>
      <c r="AB279" s="56"/>
      <c r="AC279" s="58">
        <v>45913</v>
      </c>
      <c r="AD279" s="59">
        <v>0.625</v>
      </c>
      <c r="AE279" s="56" t="s">
        <v>74</v>
      </c>
      <c r="AF279" s="58">
        <v>45918</v>
      </c>
      <c r="AG279" s="59">
        <v>0.70138888889050577</v>
      </c>
      <c r="AH279" s="56" t="s">
        <v>96</v>
      </c>
      <c r="AI279" s="56" t="s">
        <v>5890</v>
      </c>
      <c r="AJ279" s="56" t="s">
        <v>64</v>
      </c>
      <c r="AK279" s="56" t="s">
        <v>64</v>
      </c>
      <c r="AL279" s="56" t="s">
        <v>5016</v>
      </c>
      <c r="AM279" s="56" t="s">
        <v>65</v>
      </c>
      <c r="AN279" s="60" t="s">
        <v>5040</v>
      </c>
      <c r="AO279" s="60"/>
      <c r="AP279" s="61"/>
    </row>
    <row r="280" spans="3:42" ht="14.25" customHeight="1">
      <c r="C280" s="55" t="str">
        <f>IF($X280=1,COUNTIF($C$10:C279,"&gt;0")+1,"")</f>
        <v/>
      </c>
      <c r="D280" s="56">
        <v>70079197</v>
      </c>
      <c r="E280" s="56" t="s">
        <v>5885</v>
      </c>
      <c r="F280" s="57" t="s">
        <v>6001</v>
      </c>
      <c r="G280" s="56" t="s">
        <v>5984</v>
      </c>
      <c r="H280" s="56" t="s">
        <v>6002</v>
      </c>
      <c r="I280" s="56" t="s">
        <v>5990</v>
      </c>
      <c r="J280" s="56" t="s">
        <v>58</v>
      </c>
      <c r="K280" s="56" t="s">
        <v>59</v>
      </c>
      <c r="L280" s="58">
        <v>42164</v>
      </c>
      <c r="M280" s="56">
        <v>10</v>
      </c>
      <c r="N280" s="56" t="s">
        <v>6003</v>
      </c>
      <c r="O280" s="58">
        <v>47672</v>
      </c>
      <c r="P280" s="56" t="s">
        <v>3</v>
      </c>
      <c r="Q280" s="56"/>
      <c r="R280" s="270">
        <v>45913</v>
      </c>
      <c r="S280" s="270">
        <v>45918</v>
      </c>
      <c r="T280" s="51">
        <f t="shared" si="4"/>
        <v>5</v>
      </c>
      <c r="U280" s="56">
        <v>1</v>
      </c>
      <c r="V280" s="56">
        <v>0</v>
      </c>
      <c r="W280" s="56">
        <v>1</v>
      </c>
      <c r="X280" s="56">
        <v>0</v>
      </c>
      <c r="Y280" s="56">
        <v>0</v>
      </c>
      <c r="Z280" s="56">
        <v>0</v>
      </c>
      <c r="AA280" s="56">
        <v>0</v>
      </c>
      <c r="AB280" s="56"/>
      <c r="AC280" s="58">
        <v>45913</v>
      </c>
      <c r="AD280" s="59">
        <v>0.625</v>
      </c>
      <c r="AE280" s="56" t="s">
        <v>74</v>
      </c>
      <c r="AF280" s="58">
        <v>45918</v>
      </c>
      <c r="AG280" s="59">
        <v>0.70138888889050577</v>
      </c>
      <c r="AH280" s="56" t="s">
        <v>96</v>
      </c>
      <c r="AI280" s="56" t="s">
        <v>5890</v>
      </c>
      <c r="AJ280" s="56" t="s">
        <v>64</v>
      </c>
      <c r="AK280" s="56" t="s">
        <v>64</v>
      </c>
      <c r="AL280" s="56" t="s">
        <v>5016</v>
      </c>
      <c r="AM280" s="56" t="s">
        <v>65</v>
      </c>
      <c r="AN280" s="60" t="s">
        <v>5040</v>
      </c>
      <c r="AO280" s="60"/>
      <c r="AP280" s="61"/>
    </row>
    <row r="281" spans="3:42" ht="14.25" customHeight="1">
      <c r="C281" s="55">
        <f>IF($X281=1,COUNTIF($C$10:C280,"&gt;0")+1,"")</f>
        <v>136</v>
      </c>
      <c r="D281" s="56">
        <v>70079199</v>
      </c>
      <c r="E281" s="56" t="s">
        <v>6004</v>
      </c>
      <c r="F281" s="57" t="s">
        <v>6005</v>
      </c>
      <c r="G281" s="56" t="s">
        <v>6005</v>
      </c>
      <c r="H281" s="56" t="s">
        <v>6006</v>
      </c>
      <c r="I281" s="56" t="s">
        <v>6007</v>
      </c>
      <c r="J281" s="56" t="s">
        <v>58</v>
      </c>
      <c r="K281" s="56" t="s">
        <v>59</v>
      </c>
      <c r="L281" s="58">
        <v>25452</v>
      </c>
      <c r="M281" s="56">
        <v>56</v>
      </c>
      <c r="N281" s="56" t="s">
        <v>6008</v>
      </c>
      <c r="O281" s="58">
        <v>47293</v>
      </c>
      <c r="P281" s="56" t="s">
        <v>3</v>
      </c>
      <c r="Q281" s="56"/>
      <c r="R281" s="270">
        <v>45913</v>
      </c>
      <c r="S281" s="270">
        <v>45918</v>
      </c>
      <c r="T281" s="51">
        <f t="shared" si="4"/>
        <v>5</v>
      </c>
      <c r="U281" s="56">
        <v>1</v>
      </c>
      <c r="V281" s="56">
        <v>1</v>
      </c>
      <c r="W281" s="56">
        <v>0</v>
      </c>
      <c r="X281" s="56">
        <v>1</v>
      </c>
      <c r="Y281" s="56">
        <v>1</v>
      </c>
      <c r="Z281" s="56">
        <v>0</v>
      </c>
      <c r="AA281" s="56">
        <v>0</v>
      </c>
      <c r="AB281" s="56"/>
      <c r="AC281" s="58">
        <v>45913</v>
      </c>
      <c r="AD281" s="59">
        <v>0.73611111110949423</v>
      </c>
      <c r="AE281" s="56" t="s">
        <v>1734</v>
      </c>
      <c r="AF281" s="58">
        <v>45918</v>
      </c>
      <c r="AG281" s="59">
        <v>0.43402777778101154</v>
      </c>
      <c r="AH281" s="56" t="s">
        <v>1745</v>
      </c>
      <c r="AI281" s="56" t="s">
        <v>6009</v>
      </c>
      <c r="AJ281" s="56" t="s">
        <v>64</v>
      </c>
      <c r="AK281" s="56" t="s">
        <v>64</v>
      </c>
      <c r="AL281" s="56" t="s">
        <v>5016</v>
      </c>
      <c r="AM281" s="56" t="s">
        <v>65</v>
      </c>
      <c r="AN281" s="60" t="s">
        <v>5040</v>
      </c>
      <c r="AO281" s="60"/>
      <c r="AP281" s="61"/>
    </row>
    <row r="282" spans="3:42" ht="14.25" customHeight="1">
      <c r="C282" s="55">
        <f>IF($X282=1,COUNTIF($C$10:C281,"&gt;0")+1,"")</f>
        <v>137</v>
      </c>
      <c r="D282" s="56">
        <v>70102019</v>
      </c>
      <c r="E282" s="56" t="s">
        <v>6004</v>
      </c>
      <c r="F282" s="57" t="s">
        <v>6010</v>
      </c>
      <c r="G282" s="56" t="s">
        <v>6010</v>
      </c>
      <c r="H282" s="56" t="s">
        <v>6011</v>
      </c>
      <c r="I282" s="56" t="s">
        <v>6012</v>
      </c>
      <c r="J282" s="56" t="s">
        <v>68</v>
      </c>
      <c r="K282" s="56" t="s">
        <v>59</v>
      </c>
      <c r="L282" s="58">
        <v>22134</v>
      </c>
      <c r="M282" s="56">
        <v>65</v>
      </c>
      <c r="N282" s="56" t="s">
        <v>6013</v>
      </c>
      <c r="O282" s="58">
        <v>48149</v>
      </c>
      <c r="P282" s="56" t="s">
        <v>4</v>
      </c>
      <c r="Q282" s="56"/>
      <c r="R282" s="270">
        <v>45913</v>
      </c>
      <c r="S282" s="270">
        <v>45918</v>
      </c>
      <c r="T282" s="51">
        <f t="shared" si="4"/>
        <v>5</v>
      </c>
      <c r="U282" s="56">
        <v>1</v>
      </c>
      <c r="V282" s="56">
        <v>1</v>
      </c>
      <c r="W282" s="56">
        <v>0</v>
      </c>
      <c r="X282" s="56">
        <v>1</v>
      </c>
      <c r="Y282" s="56">
        <v>0</v>
      </c>
      <c r="Z282" s="56">
        <v>1</v>
      </c>
      <c r="AA282" s="56">
        <v>0</v>
      </c>
      <c r="AB282" s="56"/>
      <c r="AC282" s="58">
        <v>45913</v>
      </c>
      <c r="AD282" s="59">
        <v>0.59027777778101154</v>
      </c>
      <c r="AE282" s="56" t="s">
        <v>547</v>
      </c>
      <c r="AF282" s="58">
        <v>45918</v>
      </c>
      <c r="AG282" s="59">
        <v>0.68402777778101154</v>
      </c>
      <c r="AH282" s="56" t="s">
        <v>274</v>
      </c>
      <c r="AI282" s="56" t="s">
        <v>6009</v>
      </c>
      <c r="AJ282" s="56" t="s">
        <v>64</v>
      </c>
      <c r="AK282" s="56" t="s">
        <v>64</v>
      </c>
      <c r="AL282" s="56" t="s">
        <v>5016</v>
      </c>
      <c r="AM282" s="56" t="s">
        <v>65</v>
      </c>
      <c r="AN282" s="60" t="s">
        <v>5017</v>
      </c>
      <c r="AO282" s="60"/>
      <c r="AP282" s="61"/>
    </row>
    <row r="283" spans="3:42" ht="14.25" customHeight="1">
      <c r="C283" s="55" t="str">
        <f>IF($X283=1,COUNTIF($C$10:C282,"&gt;0")+1,"")</f>
        <v/>
      </c>
      <c r="D283" s="56">
        <v>70102019</v>
      </c>
      <c r="E283" s="56" t="s">
        <v>6004</v>
      </c>
      <c r="F283" s="57" t="s">
        <v>6014</v>
      </c>
      <c r="G283" s="56" t="s">
        <v>6010</v>
      </c>
      <c r="H283" s="56" t="s">
        <v>6015</v>
      </c>
      <c r="I283" s="56" t="s">
        <v>6012</v>
      </c>
      <c r="J283" s="56" t="s">
        <v>58</v>
      </c>
      <c r="K283" s="56" t="s">
        <v>59</v>
      </c>
      <c r="L283" s="58">
        <v>21014</v>
      </c>
      <c r="M283" s="56">
        <v>68</v>
      </c>
      <c r="N283" s="56" t="s">
        <v>6016</v>
      </c>
      <c r="O283" s="58">
        <v>48497</v>
      </c>
      <c r="P283" s="56" t="s">
        <v>4</v>
      </c>
      <c r="Q283" s="56"/>
      <c r="R283" s="270">
        <v>45913</v>
      </c>
      <c r="S283" s="270">
        <v>45918</v>
      </c>
      <c r="T283" s="51">
        <f t="shared" si="4"/>
        <v>5</v>
      </c>
      <c r="U283" s="56">
        <v>1</v>
      </c>
      <c r="V283" s="56">
        <v>1</v>
      </c>
      <c r="W283" s="56">
        <v>0</v>
      </c>
      <c r="X283" s="56">
        <v>0</v>
      </c>
      <c r="Y283" s="56">
        <v>0</v>
      </c>
      <c r="Z283" s="56">
        <v>0</v>
      </c>
      <c r="AA283" s="56">
        <v>0</v>
      </c>
      <c r="AB283" s="56"/>
      <c r="AC283" s="58">
        <v>45913</v>
      </c>
      <c r="AD283" s="59">
        <v>0.59027777778101154</v>
      </c>
      <c r="AE283" s="56" t="s">
        <v>547</v>
      </c>
      <c r="AF283" s="58">
        <v>45918</v>
      </c>
      <c r="AG283" s="59">
        <v>0.68402777778101154</v>
      </c>
      <c r="AH283" s="56" t="s">
        <v>274</v>
      </c>
      <c r="AI283" s="56" t="s">
        <v>6009</v>
      </c>
      <c r="AJ283" s="56" t="s">
        <v>64</v>
      </c>
      <c r="AK283" s="56" t="s">
        <v>64</v>
      </c>
      <c r="AL283" s="56" t="s">
        <v>5016</v>
      </c>
      <c r="AM283" s="56" t="s">
        <v>65</v>
      </c>
      <c r="AN283" s="60" t="s">
        <v>5017</v>
      </c>
      <c r="AO283" s="60"/>
      <c r="AP283" s="61"/>
    </row>
    <row r="284" spans="3:42" ht="14.25" customHeight="1">
      <c r="C284" s="55">
        <f>IF($X284=1,COUNTIF($C$10:C283,"&gt;0")+1,"")</f>
        <v>138</v>
      </c>
      <c r="D284" s="56">
        <v>70079213</v>
      </c>
      <c r="E284" s="56" t="s">
        <v>6004</v>
      </c>
      <c r="F284" s="57" t="s">
        <v>6017</v>
      </c>
      <c r="G284" s="56" t="s">
        <v>6017</v>
      </c>
      <c r="H284" s="56" t="s">
        <v>6018</v>
      </c>
      <c r="I284" s="56" t="s">
        <v>6019</v>
      </c>
      <c r="J284" s="56" t="s">
        <v>68</v>
      </c>
      <c r="K284" s="56" t="s">
        <v>59</v>
      </c>
      <c r="L284" s="58">
        <v>22606</v>
      </c>
      <c r="M284" s="56">
        <v>63</v>
      </c>
      <c r="N284" s="56" t="s">
        <v>6020</v>
      </c>
      <c r="O284" s="58">
        <v>47202</v>
      </c>
      <c r="P284" s="56" t="s">
        <v>3</v>
      </c>
      <c r="Q284" s="56"/>
      <c r="R284" s="270">
        <v>45913</v>
      </c>
      <c r="S284" s="270">
        <v>45918</v>
      </c>
      <c r="T284" s="51">
        <f t="shared" si="4"/>
        <v>5</v>
      </c>
      <c r="U284" s="56">
        <v>1</v>
      </c>
      <c r="V284" s="56">
        <v>1</v>
      </c>
      <c r="W284" s="56">
        <v>0</v>
      </c>
      <c r="X284" s="56">
        <v>1</v>
      </c>
      <c r="Y284" s="56">
        <v>1</v>
      </c>
      <c r="Z284" s="56">
        <v>0</v>
      </c>
      <c r="AA284" s="56">
        <v>0</v>
      </c>
      <c r="AB284" s="56"/>
      <c r="AC284" s="58">
        <v>45913</v>
      </c>
      <c r="AD284" s="59">
        <v>0.59027777778101154</v>
      </c>
      <c r="AE284" s="56" t="s">
        <v>547</v>
      </c>
      <c r="AF284" s="58">
        <v>45918</v>
      </c>
      <c r="AG284" s="59">
        <v>0.68402777778101154</v>
      </c>
      <c r="AH284" s="56" t="s">
        <v>274</v>
      </c>
      <c r="AI284" s="56" t="s">
        <v>6009</v>
      </c>
      <c r="AJ284" s="56" t="s">
        <v>64</v>
      </c>
      <c r="AK284" s="56" t="s">
        <v>64</v>
      </c>
      <c r="AL284" s="56" t="s">
        <v>5016</v>
      </c>
      <c r="AM284" s="56" t="s">
        <v>65</v>
      </c>
      <c r="AN284" s="60" t="s">
        <v>5040</v>
      </c>
      <c r="AO284" s="60"/>
      <c r="AP284" s="61"/>
    </row>
    <row r="285" spans="3:42" ht="14.25" customHeight="1">
      <c r="C285" s="55">
        <f>IF($X285=1,COUNTIF($C$10:C284,"&gt;0")+1,"")</f>
        <v>139</v>
      </c>
      <c r="D285" s="56">
        <v>70079200</v>
      </c>
      <c r="E285" s="56" t="s">
        <v>6004</v>
      </c>
      <c r="F285" s="57" t="s">
        <v>6021</v>
      </c>
      <c r="G285" s="56" t="s">
        <v>6021</v>
      </c>
      <c r="H285" s="56" t="s">
        <v>6022</v>
      </c>
      <c r="I285" s="56" t="s">
        <v>6023</v>
      </c>
      <c r="J285" s="56" t="s">
        <v>68</v>
      </c>
      <c r="K285" s="56" t="s">
        <v>59</v>
      </c>
      <c r="L285" s="58">
        <v>25808</v>
      </c>
      <c r="M285" s="56">
        <v>55</v>
      </c>
      <c r="N285" s="56" t="s">
        <v>6024</v>
      </c>
      <c r="O285" s="58">
        <v>47507</v>
      </c>
      <c r="P285" s="56" t="s">
        <v>3</v>
      </c>
      <c r="Q285" s="56"/>
      <c r="R285" s="270">
        <v>45913</v>
      </c>
      <c r="S285" s="270">
        <v>45918</v>
      </c>
      <c r="T285" s="51">
        <f t="shared" si="4"/>
        <v>5</v>
      </c>
      <c r="U285" s="56">
        <v>1</v>
      </c>
      <c r="V285" s="56">
        <v>1</v>
      </c>
      <c r="W285" s="56">
        <v>0</v>
      </c>
      <c r="X285" s="56">
        <v>1</v>
      </c>
      <c r="Y285" s="56">
        <v>1</v>
      </c>
      <c r="Z285" s="56">
        <v>0</v>
      </c>
      <c r="AA285" s="56">
        <v>0</v>
      </c>
      <c r="AB285" s="56"/>
      <c r="AC285" s="58">
        <v>45913</v>
      </c>
      <c r="AD285" s="59">
        <v>0.18055555555474712</v>
      </c>
      <c r="AE285" s="56" t="s">
        <v>95</v>
      </c>
      <c r="AF285" s="58">
        <v>45918</v>
      </c>
      <c r="AG285" s="59">
        <v>0.47916666666424135</v>
      </c>
      <c r="AH285" s="56" t="s">
        <v>189</v>
      </c>
      <c r="AI285" s="56" t="s">
        <v>6009</v>
      </c>
      <c r="AJ285" s="56" t="s">
        <v>64</v>
      </c>
      <c r="AK285" s="56" t="s">
        <v>64</v>
      </c>
      <c r="AL285" s="56" t="s">
        <v>5016</v>
      </c>
      <c r="AM285" s="56" t="s">
        <v>65</v>
      </c>
      <c r="AN285" s="60" t="s">
        <v>5040</v>
      </c>
      <c r="AO285" s="60"/>
      <c r="AP285" s="61"/>
    </row>
    <row r="286" spans="3:42" ht="14.25" customHeight="1">
      <c r="C286" s="55">
        <f>IF($X286=1,COUNTIF($C$10:C285,"&gt;0")+1,"")</f>
        <v>140</v>
      </c>
      <c r="D286" s="56">
        <v>70102054</v>
      </c>
      <c r="E286" s="56" t="s">
        <v>6004</v>
      </c>
      <c r="F286" s="57" t="s">
        <v>6025</v>
      </c>
      <c r="G286" s="56" t="s">
        <v>6025</v>
      </c>
      <c r="H286" s="56" t="s">
        <v>6026</v>
      </c>
      <c r="I286" s="56" t="s">
        <v>6027</v>
      </c>
      <c r="J286" s="56" t="s">
        <v>68</v>
      </c>
      <c r="K286" s="56" t="s">
        <v>59</v>
      </c>
      <c r="L286" s="58">
        <v>24432</v>
      </c>
      <c r="M286" s="56">
        <v>58</v>
      </c>
      <c r="N286" s="56" t="s">
        <v>6028</v>
      </c>
      <c r="O286" s="58">
        <v>48250</v>
      </c>
      <c r="P286" s="56" t="s">
        <v>4</v>
      </c>
      <c r="Q286" s="56"/>
      <c r="R286" s="270">
        <v>45913</v>
      </c>
      <c r="S286" s="270">
        <v>45918</v>
      </c>
      <c r="T286" s="51">
        <f t="shared" si="4"/>
        <v>5</v>
      </c>
      <c r="U286" s="56">
        <v>1</v>
      </c>
      <c r="V286" s="56">
        <v>1</v>
      </c>
      <c r="W286" s="56">
        <v>0</v>
      </c>
      <c r="X286" s="56">
        <v>1</v>
      </c>
      <c r="Y286" s="56">
        <v>0</v>
      </c>
      <c r="Z286" s="56">
        <v>1</v>
      </c>
      <c r="AA286" s="56">
        <v>0</v>
      </c>
      <c r="AB286" s="56"/>
      <c r="AC286" s="58">
        <v>45913</v>
      </c>
      <c r="AD286" s="59">
        <v>0.18055555555474712</v>
      </c>
      <c r="AE286" s="56" t="s">
        <v>95</v>
      </c>
      <c r="AF286" s="58">
        <v>45918</v>
      </c>
      <c r="AG286" s="59">
        <v>0.70138888889050577</v>
      </c>
      <c r="AH286" s="56" t="s">
        <v>96</v>
      </c>
      <c r="AI286" s="56" t="s">
        <v>6009</v>
      </c>
      <c r="AJ286" s="56" t="s">
        <v>64</v>
      </c>
      <c r="AK286" s="56" t="s">
        <v>64</v>
      </c>
      <c r="AL286" s="56" t="s">
        <v>5016</v>
      </c>
      <c r="AM286" s="56" t="s">
        <v>65</v>
      </c>
      <c r="AN286" s="60"/>
      <c r="AO286" s="60"/>
      <c r="AP286" s="61"/>
    </row>
    <row r="287" spans="3:42" ht="14.25" customHeight="1">
      <c r="C287" s="55" t="str">
        <f>IF($X287=1,COUNTIF($C$10:C286,"&gt;0")+1,"")</f>
        <v/>
      </c>
      <c r="D287" s="56">
        <v>70102054</v>
      </c>
      <c r="E287" s="56" t="s">
        <v>6004</v>
      </c>
      <c r="F287" s="57" t="s">
        <v>6029</v>
      </c>
      <c r="G287" s="56" t="s">
        <v>6025</v>
      </c>
      <c r="H287" s="56" t="s">
        <v>340</v>
      </c>
      <c r="I287" s="56" t="s">
        <v>6030</v>
      </c>
      <c r="J287" s="56" t="s">
        <v>58</v>
      </c>
      <c r="K287" s="56" t="s">
        <v>59</v>
      </c>
      <c r="L287" s="58">
        <v>23903</v>
      </c>
      <c r="M287" s="56">
        <v>60</v>
      </c>
      <c r="N287" s="56" t="s">
        <v>6031</v>
      </c>
      <c r="O287" s="58">
        <v>47254</v>
      </c>
      <c r="P287" s="56" t="s">
        <v>4</v>
      </c>
      <c r="Q287" s="56"/>
      <c r="R287" s="270">
        <v>45913</v>
      </c>
      <c r="S287" s="270">
        <v>45918</v>
      </c>
      <c r="T287" s="51">
        <f t="shared" si="4"/>
        <v>5</v>
      </c>
      <c r="U287" s="56">
        <v>1</v>
      </c>
      <c r="V287" s="56">
        <v>1</v>
      </c>
      <c r="W287" s="56">
        <v>0</v>
      </c>
      <c r="X287" s="56">
        <v>0</v>
      </c>
      <c r="Y287" s="56">
        <v>0</v>
      </c>
      <c r="Z287" s="56">
        <v>0</v>
      </c>
      <c r="AA287" s="56">
        <v>0</v>
      </c>
      <c r="AB287" s="56"/>
      <c r="AC287" s="58">
        <v>45913</v>
      </c>
      <c r="AD287" s="59">
        <v>0.18055555555474712</v>
      </c>
      <c r="AE287" s="56" t="s">
        <v>95</v>
      </c>
      <c r="AF287" s="58">
        <v>45918</v>
      </c>
      <c r="AG287" s="59">
        <v>0.70138888889050577</v>
      </c>
      <c r="AH287" s="56" t="s">
        <v>96</v>
      </c>
      <c r="AI287" s="56" t="s">
        <v>6009</v>
      </c>
      <c r="AJ287" s="56" t="s">
        <v>64</v>
      </c>
      <c r="AK287" s="56" t="s">
        <v>64</v>
      </c>
      <c r="AL287" s="56" t="s">
        <v>5016</v>
      </c>
      <c r="AM287" s="56" t="s">
        <v>65</v>
      </c>
      <c r="AN287" s="60"/>
      <c r="AO287" s="60"/>
      <c r="AP287" s="61"/>
    </row>
    <row r="288" spans="3:42" ht="14.25" customHeight="1">
      <c r="C288" s="55">
        <f>IF($X288=1,COUNTIF($C$10:C287,"&gt;0")+1,"")</f>
        <v>141</v>
      </c>
      <c r="D288" s="56">
        <v>70079220</v>
      </c>
      <c r="E288" s="56" t="s">
        <v>6004</v>
      </c>
      <c r="F288" s="57" t="s">
        <v>6032</v>
      </c>
      <c r="G288" s="56" t="s">
        <v>6032</v>
      </c>
      <c r="H288" s="56" t="s">
        <v>6033</v>
      </c>
      <c r="I288" s="56" t="s">
        <v>6034</v>
      </c>
      <c r="J288" s="56" t="s">
        <v>68</v>
      </c>
      <c r="K288" s="56" t="s">
        <v>59</v>
      </c>
      <c r="L288" s="58">
        <v>20566</v>
      </c>
      <c r="M288" s="56">
        <v>69</v>
      </c>
      <c r="N288" s="56" t="s">
        <v>6035</v>
      </c>
      <c r="O288" s="58">
        <v>47196</v>
      </c>
      <c r="P288" s="56" t="s">
        <v>3</v>
      </c>
      <c r="Q288" s="56"/>
      <c r="R288" s="270">
        <v>45913</v>
      </c>
      <c r="S288" s="270">
        <v>45918</v>
      </c>
      <c r="T288" s="51">
        <f t="shared" si="4"/>
        <v>5</v>
      </c>
      <c r="U288" s="56">
        <v>1</v>
      </c>
      <c r="V288" s="56">
        <v>1</v>
      </c>
      <c r="W288" s="56">
        <v>0</v>
      </c>
      <c r="X288" s="56">
        <v>1</v>
      </c>
      <c r="Y288" s="56">
        <v>1</v>
      </c>
      <c r="Z288" s="56">
        <v>0</v>
      </c>
      <c r="AA288" s="56">
        <v>0</v>
      </c>
      <c r="AB288" s="56"/>
      <c r="AC288" s="58">
        <v>45913</v>
      </c>
      <c r="AD288" s="59">
        <v>0.63888888889050577</v>
      </c>
      <c r="AE288" s="56" t="s">
        <v>84</v>
      </c>
      <c r="AF288" s="58">
        <v>45918</v>
      </c>
      <c r="AG288" s="59">
        <v>0.42361111110949423</v>
      </c>
      <c r="AH288" s="56" t="s">
        <v>6036</v>
      </c>
      <c r="AI288" s="56" t="s">
        <v>6009</v>
      </c>
      <c r="AJ288" s="56" t="s">
        <v>64</v>
      </c>
      <c r="AK288" s="56" t="s">
        <v>64</v>
      </c>
      <c r="AL288" s="56" t="s">
        <v>5016</v>
      </c>
      <c r="AM288" s="56" t="s">
        <v>65</v>
      </c>
      <c r="AN288" s="60" t="s">
        <v>5040</v>
      </c>
      <c r="AO288" s="60"/>
      <c r="AP288" s="61"/>
    </row>
    <row r="289" spans="3:43" ht="14.25" customHeight="1">
      <c r="C289" s="55">
        <f>IF($X289=1,COUNTIF($C$10:C288,"&gt;0")+1,"")</f>
        <v>142</v>
      </c>
      <c r="D289" s="56">
        <v>70508906</v>
      </c>
      <c r="E289" s="56" t="s">
        <v>6004</v>
      </c>
      <c r="F289" s="57" t="s">
        <v>6037</v>
      </c>
      <c r="G289" s="56" t="s">
        <v>6037</v>
      </c>
      <c r="H289" s="56" t="s">
        <v>6038</v>
      </c>
      <c r="I289" s="56" t="s">
        <v>6039</v>
      </c>
      <c r="J289" s="56" t="s">
        <v>68</v>
      </c>
      <c r="K289" s="56" t="s">
        <v>59</v>
      </c>
      <c r="L289" s="58">
        <v>26395</v>
      </c>
      <c r="M289" s="56">
        <v>53</v>
      </c>
      <c r="N289" s="56" t="s">
        <v>6040</v>
      </c>
      <c r="O289" s="58">
        <v>49153</v>
      </c>
      <c r="P289" s="56" t="s">
        <v>4</v>
      </c>
      <c r="Q289" s="56"/>
      <c r="R289" s="270">
        <v>45913</v>
      </c>
      <c r="S289" s="270">
        <v>45918</v>
      </c>
      <c r="T289" s="51">
        <f t="shared" si="4"/>
        <v>5</v>
      </c>
      <c r="U289" s="56">
        <v>1</v>
      </c>
      <c r="V289" s="56">
        <v>1</v>
      </c>
      <c r="W289" s="56">
        <v>0</v>
      </c>
      <c r="X289" s="56">
        <v>1</v>
      </c>
      <c r="Y289" s="56">
        <v>0</v>
      </c>
      <c r="Z289" s="56">
        <v>1</v>
      </c>
      <c r="AA289" s="56">
        <v>0</v>
      </c>
      <c r="AB289" s="56"/>
      <c r="AC289" s="58">
        <v>45913</v>
      </c>
      <c r="AD289" s="59">
        <v>0.72916666666424135</v>
      </c>
      <c r="AE289" s="56" t="s">
        <v>575</v>
      </c>
      <c r="AF289" s="58">
        <v>45918</v>
      </c>
      <c r="AG289" s="59">
        <v>0.73958333333575865</v>
      </c>
      <c r="AH289" s="56" t="s">
        <v>1117</v>
      </c>
      <c r="AI289" s="56" t="s">
        <v>6009</v>
      </c>
      <c r="AJ289" s="56" t="s">
        <v>64</v>
      </c>
      <c r="AK289" s="56" t="s">
        <v>64</v>
      </c>
      <c r="AL289" s="56" t="s">
        <v>5016</v>
      </c>
      <c r="AM289" s="56" t="s">
        <v>65</v>
      </c>
      <c r="AN289" s="60" t="s">
        <v>5017</v>
      </c>
      <c r="AO289" s="60"/>
      <c r="AP289" s="61"/>
      <c r="AQ289" s="271" t="s">
        <v>5064</v>
      </c>
    </row>
    <row r="290" spans="3:43" ht="14.25" customHeight="1">
      <c r="C290" s="55" t="str">
        <f>IF($X290=1,COUNTIF($C$10:C289,"&gt;0")+1,"")</f>
        <v/>
      </c>
      <c r="D290" s="56">
        <v>70508906</v>
      </c>
      <c r="E290" s="56" t="s">
        <v>6004</v>
      </c>
      <c r="F290" s="57" t="s">
        <v>6041</v>
      </c>
      <c r="G290" s="56" t="s">
        <v>6037</v>
      </c>
      <c r="H290" s="56" t="s">
        <v>6042</v>
      </c>
      <c r="I290" s="56" t="s">
        <v>6043</v>
      </c>
      <c r="J290" s="56" t="s">
        <v>68</v>
      </c>
      <c r="K290" s="56" t="s">
        <v>59</v>
      </c>
      <c r="L290" s="58">
        <v>26611</v>
      </c>
      <c r="M290" s="56">
        <v>52</v>
      </c>
      <c r="N290" s="56" t="s">
        <v>6044</v>
      </c>
      <c r="O290" s="58">
        <v>46654</v>
      </c>
      <c r="P290" s="56" t="s">
        <v>4</v>
      </c>
      <c r="Q290" s="56"/>
      <c r="R290" s="270">
        <v>45913</v>
      </c>
      <c r="S290" s="270">
        <v>45918</v>
      </c>
      <c r="T290" s="51">
        <f t="shared" si="4"/>
        <v>5</v>
      </c>
      <c r="U290" s="56">
        <v>1</v>
      </c>
      <c r="V290" s="56">
        <v>1</v>
      </c>
      <c r="W290" s="56">
        <v>0</v>
      </c>
      <c r="X290" s="56">
        <v>0</v>
      </c>
      <c r="Y290" s="56">
        <v>0</v>
      </c>
      <c r="Z290" s="56">
        <v>0</v>
      </c>
      <c r="AA290" s="56">
        <v>0</v>
      </c>
      <c r="AB290" s="56"/>
      <c r="AC290" s="58">
        <v>45913</v>
      </c>
      <c r="AD290" s="59">
        <v>0.72916666666424135</v>
      </c>
      <c r="AE290" s="56" t="s">
        <v>575</v>
      </c>
      <c r="AF290" s="58">
        <v>45918</v>
      </c>
      <c r="AG290" s="59">
        <v>0.73958333333575865</v>
      </c>
      <c r="AH290" s="56" t="s">
        <v>1117</v>
      </c>
      <c r="AI290" s="56" t="s">
        <v>6009</v>
      </c>
      <c r="AJ290" s="56" t="s">
        <v>64</v>
      </c>
      <c r="AK290" s="56" t="s">
        <v>64</v>
      </c>
      <c r="AL290" s="56" t="s">
        <v>5016</v>
      </c>
      <c r="AM290" s="56" t="s">
        <v>65</v>
      </c>
      <c r="AN290" s="60" t="s">
        <v>5017</v>
      </c>
      <c r="AO290" s="60"/>
      <c r="AP290" s="61"/>
      <c r="AQ290" s="271" t="s">
        <v>5064</v>
      </c>
    </row>
    <row r="291" spans="3:43" ht="14.25" customHeight="1">
      <c r="C291" s="55">
        <f>IF($X291=1,COUNTIF($C$10:C290,"&gt;0")+1,"")</f>
        <v>143</v>
      </c>
      <c r="D291" s="56">
        <v>70079250</v>
      </c>
      <c r="E291" s="56" t="s">
        <v>6004</v>
      </c>
      <c r="F291" s="57" t="s">
        <v>6045</v>
      </c>
      <c r="G291" s="56" t="s">
        <v>6045</v>
      </c>
      <c r="H291" s="56" t="s">
        <v>5513</v>
      </c>
      <c r="I291" s="56" t="s">
        <v>6046</v>
      </c>
      <c r="J291" s="56" t="s">
        <v>68</v>
      </c>
      <c r="K291" s="56" t="s">
        <v>59</v>
      </c>
      <c r="L291" s="58">
        <v>22812</v>
      </c>
      <c r="M291" s="56">
        <v>63</v>
      </c>
      <c r="N291" s="56" t="s">
        <v>6047</v>
      </c>
      <c r="O291" s="58">
        <v>47975</v>
      </c>
      <c r="P291" s="56" t="s">
        <v>3</v>
      </c>
      <c r="Q291" s="56"/>
      <c r="R291" s="270">
        <v>45913</v>
      </c>
      <c r="S291" s="270">
        <v>45918</v>
      </c>
      <c r="T291" s="51">
        <f t="shared" si="4"/>
        <v>5</v>
      </c>
      <c r="U291" s="56">
        <v>1</v>
      </c>
      <c r="V291" s="56">
        <v>1</v>
      </c>
      <c r="W291" s="56">
        <v>0</v>
      </c>
      <c r="X291" s="56">
        <v>1</v>
      </c>
      <c r="Y291" s="56">
        <v>1</v>
      </c>
      <c r="Z291" s="56">
        <v>0</v>
      </c>
      <c r="AA291" s="56">
        <v>0</v>
      </c>
      <c r="AB291" s="56"/>
      <c r="AC291" s="58">
        <v>45913</v>
      </c>
      <c r="AD291" s="59">
        <v>0.74305555555474712</v>
      </c>
      <c r="AE291" s="56" t="s">
        <v>6048</v>
      </c>
      <c r="AF291" s="58">
        <v>45918</v>
      </c>
      <c r="AG291" s="59">
        <v>0.41666666666424135</v>
      </c>
      <c r="AH291" s="56" t="s">
        <v>6049</v>
      </c>
      <c r="AI291" s="56" t="s">
        <v>6009</v>
      </c>
      <c r="AJ291" s="56" t="s">
        <v>64</v>
      </c>
      <c r="AK291" s="56" t="s">
        <v>64</v>
      </c>
      <c r="AL291" s="56" t="s">
        <v>5016</v>
      </c>
      <c r="AM291" s="56" t="s">
        <v>65</v>
      </c>
      <c r="AN291" s="60" t="s">
        <v>5040</v>
      </c>
      <c r="AO291" s="60"/>
      <c r="AP291" s="61"/>
    </row>
    <row r="292" spans="3:43" ht="14.25" customHeight="1">
      <c r="C292" s="55">
        <f>IF($X292=1,COUNTIF($C$10:C291,"&gt;0")+1,"")</f>
        <v>144</v>
      </c>
      <c r="D292" s="56">
        <v>70102051</v>
      </c>
      <c r="E292" s="56" t="s">
        <v>6004</v>
      </c>
      <c r="F292" s="57" t="s">
        <v>6050</v>
      </c>
      <c r="G292" s="56" t="s">
        <v>6050</v>
      </c>
      <c r="H292" s="56" t="s">
        <v>6051</v>
      </c>
      <c r="I292" s="56" t="s">
        <v>531</v>
      </c>
      <c r="J292" s="56" t="s">
        <v>68</v>
      </c>
      <c r="K292" s="56" t="s">
        <v>59</v>
      </c>
      <c r="L292" s="58">
        <v>20411</v>
      </c>
      <c r="M292" s="56">
        <v>69</v>
      </c>
      <c r="N292" s="56" t="s">
        <v>6052</v>
      </c>
      <c r="O292" s="58">
        <v>49350</v>
      </c>
      <c r="P292" s="56" t="s">
        <v>4</v>
      </c>
      <c r="Q292" s="56"/>
      <c r="R292" s="270">
        <v>45913</v>
      </c>
      <c r="S292" s="270">
        <v>45918</v>
      </c>
      <c r="T292" s="51">
        <f t="shared" si="4"/>
        <v>5</v>
      </c>
      <c r="U292" s="56">
        <v>1</v>
      </c>
      <c r="V292" s="56">
        <v>1</v>
      </c>
      <c r="W292" s="56">
        <v>0</v>
      </c>
      <c r="X292" s="56">
        <v>1</v>
      </c>
      <c r="Y292" s="56">
        <v>0</v>
      </c>
      <c r="Z292" s="56">
        <v>1</v>
      </c>
      <c r="AA292" s="56">
        <v>0</v>
      </c>
      <c r="AB292" s="56"/>
      <c r="AC292" s="58">
        <v>45912</v>
      </c>
      <c r="AD292" s="59">
        <v>0.65972222221898846</v>
      </c>
      <c r="AE292" s="56" t="s">
        <v>101</v>
      </c>
      <c r="AF292" s="58">
        <v>45918</v>
      </c>
      <c r="AG292" s="59">
        <v>0.97222222221898846</v>
      </c>
      <c r="AH292" s="56" t="s">
        <v>6053</v>
      </c>
      <c r="AI292" s="56" t="s">
        <v>6009</v>
      </c>
      <c r="AJ292" s="56" t="s">
        <v>64</v>
      </c>
      <c r="AK292" s="56" t="s">
        <v>64</v>
      </c>
      <c r="AL292" s="56" t="s">
        <v>5016</v>
      </c>
      <c r="AM292" s="56" t="s">
        <v>65</v>
      </c>
      <c r="AN292" s="60"/>
      <c r="AO292" s="60"/>
      <c r="AP292" s="61"/>
    </row>
    <row r="293" spans="3:43" ht="14.25" customHeight="1">
      <c r="C293" s="55" t="str">
        <f>IF($X293=1,COUNTIF($C$10:C292,"&gt;0")+1,"")</f>
        <v/>
      </c>
      <c r="D293" s="56">
        <v>70102051</v>
      </c>
      <c r="E293" s="56" t="s">
        <v>6004</v>
      </c>
      <c r="F293" s="57" t="s">
        <v>6054</v>
      </c>
      <c r="G293" s="56" t="s">
        <v>6050</v>
      </c>
      <c r="H293" s="56" t="s">
        <v>6055</v>
      </c>
      <c r="I293" s="56" t="s">
        <v>6056</v>
      </c>
      <c r="J293" s="56" t="s">
        <v>68</v>
      </c>
      <c r="K293" s="56" t="s">
        <v>59</v>
      </c>
      <c r="L293" s="58">
        <v>21984</v>
      </c>
      <c r="M293" s="56">
        <v>65</v>
      </c>
      <c r="N293" s="56" t="s">
        <v>6057</v>
      </c>
      <c r="O293" s="58">
        <v>47764</v>
      </c>
      <c r="P293" s="56" t="s">
        <v>4</v>
      </c>
      <c r="Q293" s="56"/>
      <c r="R293" s="270">
        <v>45913</v>
      </c>
      <c r="S293" s="270">
        <v>45918</v>
      </c>
      <c r="T293" s="51">
        <f t="shared" si="4"/>
        <v>5</v>
      </c>
      <c r="U293" s="56">
        <v>1</v>
      </c>
      <c r="V293" s="56">
        <v>1</v>
      </c>
      <c r="W293" s="56">
        <v>0</v>
      </c>
      <c r="X293" s="56">
        <v>0</v>
      </c>
      <c r="Y293" s="56">
        <v>0</v>
      </c>
      <c r="Z293" s="56">
        <v>0</v>
      </c>
      <c r="AA293" s="56">
        <v>0</v>
      </c>
      <c r="AB293" s="56"/>
      <c r="AC293" s="58">
        <v>45912</v>
      </c>
      <c r="AD293" s="59">
        <v>0.65972222221898846</v>
      </c>
      <c r="AE293" s="56" t="s">
        <v>101</v>
      </c>
      <c r="AF293" s="58">
        <v>45918</v>
      </c>
      <c r="AG293" s="59">
        <v>0.97222222221898846</v>
      </c>
      <c r="AH293" s="56" t="s">
        <v>6053</v>
      </c>
      <c r="AI293" s="56" t="s">
        <v>6009</v>
      </c>
      <c r="AJ293" s="56" t="s">
        <v>64</v>
      </c>
      <c r="AK293" s="56" t="s">
        <v>64</v>
      </c>
      <c r="AL293" s="56" t="s">
        <v>5016</v>
      </c>
      <c r="AM293" s="56" t="s">
        <v>65</v>
      </c>
      <c r="AN293" s="60"/>
      <c r="AO293" s="60"/>
      <c r="AP293" s="61"/>
    </row>
    <row r="294" spans="3:43" ht="14.25" customHeight="1">
      <c r="C294" s="55">
        <f>IF($X294=1,COUNTIF($C$10:C293,"&gt;0")+1,"")</f>
        <v>145</v>
      </c>
      <c r="D294" s="56">
        <v>70079238</v>
      </c>
      <c r="E294" s="56" t="s">
        <v>6004</v>
      </c>
      <c r="F294" s="57" t="s">
        <v>6058</v>
      </c>
      <c r="G294" s="56" t="s">
        <v>6058</v>
      </c>
      <c r="H294" s="56" t="s">
        <v>6059</v>
      </c>
      <c r="I294" s="56" t="s">
        <v>6060</v>
      </c>
      <c r="J294" s="56" t="s">
        <v>68</v>
      </c>
      <c r="K294" s="56" t="s">
        <v>3888</v>
      </c>
      <c r="L294" s="58">
        <v>27003</v>
      </c>
      <c r="M294" s="56">
        <v>51</v>
      </c>
      <c r="N294" s="56" t="s">
        <v>6061</v>
      </c>
      <c r="O294" s="58">
        <v>48546</v>
      </c>
      <c r="P294" s="56" t="s">
        <v>3</v>
      </c>
      <c r="Q294" s="56"/>
      <c r="R294" s="270">
        <v>45913</v>
      </c>
      <c r="S294" s="270">
        <v>45918</v>
      </c>
      <c r="T294" s="51">
        <f t="shared" si="4"/>
        <v>5</v>
      </c>
      <c r="U294" s="56">
        <v>1</v>
      </c>
      <c r="V294" s="56">
        <v>1</v>
      </c>
      <c r="W294" s="56">
        <v>0</v>
      </c>
      <c r="X294" s="56">
        <v>1</v>
      </c>
      <c r="Y294" s="56">
        <v>1</v>
      </c>
      <c r="Z294" s="56">
        <v>0</v>
      </c>
      <c r="AA294" s="56">
        <v>0</v>
      </c>
      <c r="AB294" s="56"/>
      <c r="AC294" s="58">
        <v>45913</v>
      </c>
      <c r="AD294" s="59">
        <v>0.73611111110949423</v>
      </c>
      <c r="AE294" s="56" t="s">
        <v>1734</v>
      </c>
      <c r="AF294" s="58">
        <v>45918</v>
      </c>
      <c r="AG294" s="59">
        <v>0.43402777778101154</v>
      </c>
      <c r="AH294" s="56" t="s">
        <v>1745</v>
      </c>
      <c r="AI294" s="56" t="s">
        <v>6009</v>
      </c>
      <c r="AJ294" s="56" t="s">
        <v>64</v>
      </c>
      <c r="AK294" s="56" t="s">
        <v>64</v>
      </c>
      <c r="AL294" s="56" t="s">
        <v>5016</v>
      </c>
      <c r="AM294" s="56" t="s">
        <v>65</v>
      </c>
      <c r="AN294" s="60" t="s">
        <v>5040</v>
      </c>
      <c r="AO294" s="60"/>
      <c r="AP294" s="61"/>
    </row>
    <row r="295" spans="3:43" ht="14.25" customHeight="1">
      <c r="C295" s="55">
        <f>IF($X295=1,COUNTIF($C$10:C294,"&gt;0")+1,"")</f>
        <v>146</v>
      </c>
      <c r="D295" s="56">
        <v>70508907</v>
      </c>
      <c r="E295" s="56" t="s">
        <v>6004</v>
      </c>
      <c r="F295" s="57" t="s">
        <v>6062</v>
      </c>
      <c r="G295" s="56" t="s">
        <v>6062</v>
      </c>
      <c r="H295" s="56" t="s">
        <v>6063</v>
      </c>
      <c r="I295" s="56" t="s">
        <v>6064</v>
      </c>
      <c r="J295" s="56" t="s">
        <v>68</v>
      </c>
      <c r="K295" s="56" t="s">
        <v>59</v>
      </c>
      <c r="L295" s="58">
        <v>22185</v>
      </c>
      <c r="M295" s="56">
        <v>64</v>
      </c>
      <c r="N295" s="56" t="s">
        <v>6065</v>
      </c>
      <c r="O295" s="58">
        <v>47236</v>
      </c>
      <c r="P295" s="56" t="s">
        <v>4</v>
      </c>
      <c r="Q295" s="56"/>
      <c r="R295" s="270">
        <v>45913</v>
      </c>
      <c r="S295" s="270">
        <v>45918</v>
      </c>
      <c r="T295" s="51">
        <f t="shared" si="4"/>
        <v>5</v>
      </c>
      <c r="U295" s="56">
        <v>1</v>
      </c>
      <c r="V295" s="56">
        <v>1</v>
      </c>
      <c r="W295" s="56">
        <v>0</v>
      </c>
      <c r="X295" s="56">
        <v>1</v>
      </c>
      <c r="Y295" s="56">
        <v>0</v>
      </c>
      <c r="Z295" s="56">
        <v>1</v>
      </c>
      <c r="AA295" s="56">
        <v>0</v>
      </c>
      <c r="AB295" s="56"/>
      <c r="AC295" s="58">
        <v>45913</v>
      </c>
      <c r="AD295" s="59">
        <v>0.64583333333575865</v>
      </c>
      <c r="AE295" s="56" t="s">
        <v>312</v>
      </c>
      <c r="AF295" s="58">
        <v>45918</v>
      </c>
      <c r="AG295" s="59">
        <v>0.72569444444525288</v>
      </c>
      <c r="AH295" s="56" t="s">
        <v>313</v>
      </c>
      <c r="AI295" s="56" t="s">
        <v>6009</v>
      </c>
      <c r="AJ295" s="56" t="s">
        <v>64</v>
      </c>
      <c r="AK295" s="56" t="s">
        <v>64</v>
      </c>
      <c r="AL295" s="56" t="s">
        <v>5016</v>
      </c>
      <c r="AM295" s="56" t="s">
        <v>65</v>
      </c>
      <c r="AN295" s="60" t="s">
        <v>5017</v>
      </c>
      <c r="AO295" s="60"/>
      <c r="AP295" s="61"/>
      <c r="AQ295" s="271" t="s">
        <v>5064</v>
      </c>
    </row>
    <row r="296" spans="3:43" ht="14.25" customHeight="1">
      <c r="C296" s="55" t="str">
        <f>IF($X296=1,COUNTIF($C$10:C295,"&gt;0")+1,"")</f>
        <v/>
      </c>
      <c r="D296" s="56">
        <v>70508907</v>
      </c>
      <c r="E296" s="56" t="s">
        <v>6004</v>
      </c>
      <c r="F296" s="57" t="s">
        <v>6066</v>
      </c>
      <c r="G296" s="56" t="s">
        <v>6062</v>
      </c>
      <c r="H296" s="56" t="s">
        <v>6067</v>
      </c>
      <c r="I296" s="56" t="s">
        <v>6064</v>
      </c>
      <c r="J296" s="56" t="s">
        <v>68</v>
      </c>
      <c r="K296" s="56" t="s">
        <v>59</v>
      </c>
      <c r="L296" s="58">
        <v>34999</v>
      </c>
      <c r="M296" s="56">
        <v>29</v>
      </c>
      <c r="N296" s="56" t="s">
        <v>6068</v>
      </c>
      <c r="O296" s="58">
        <v>45486</v>
      </c>
      <c r="P296" s="56" t="s">
        <v>4</v>
      </c>
      <c r="Q296" s="56"/>
      <c r="R296" s="270">
        <v>45913</v>
      </c>
      <c r="S296" s="270">
        <v>45918</v>
      </c>
      <c r="T296" s="51">
        <f t="shared" si="4"/>
        <v>5</v>
      </c>
      <c r="U296" s="56">
        <v>1</v>
      </c>
      <c r="V296" s="56">
        <v>1</v>
      </c>
      <c r="W296" s="56">
        <v>0</v>
      </c>
      <c r="X296" s="56">
        <v>0</v>
      </c>
      <c r="Y296" s="56">
        <v>0</v>
      </c>
      <c r="Z296" s="56">
        <v>0</v>
      </c>
      <c r="AA296" s="56">
        <v>0</v>
      </c>
      <c r="AB296" s="56"/>
      <c r="AC296" s="58">
        <v>45913</v>
      </c>
      <c r="AD296" s="59">
        <v>0.64583333333575865</v>
      </c>
      <c r="AE296" s="56" t="s">
        <v>312</v>
      </c>
      <c r="AF296" s="58">
        <v>45918</v>
      </c>
      <c r="AG296" s="59">
        <v>0.72569444444525288</v>
      </c>
      <c r="AH296" s="56" t="s">
        <v>313</v>
      </c>
      <c r="AI296" s="56" t="s">
        <v>6009</v>
      </c>
      <c r="AJ296" s="56" t="s">
        <v>64</v>
      </c>
      <c r="AK296" s="56" t="s">
        <v>64</v>
      </c>
      <c r="AL296" s="56" t="s">
        <v>5016</v>
      </c>
      <c r="AM296" s="56" t="s">
        <v>65</v>
      </c>
      <c r="AN296" s="60" t="s">
        <v>5017</v>
      </c>
      <c r="AO296" s="60"/>
      <c r="AP296" s="61"/>
      <c r="AQ296" s="271" t="s">
        <v>5064</v>
      </c>
    </row>
    <row r="297" spans="3:43" ht="14.25" customHeight="1">
      <c r="C297" s="55">
        <f>IF($X297=1,COUNTIF($C$10:C296,"&gt;0")+1,"")</f>
        <v>147</v>
      </c>
      <c r="D297" s="56">
        <v>70079264</v>
      </c>
      <c r="E297" s="56" t="s">
        <v>6004</v>
      </c>
      <c r="F297" s="57" t="s">
        <v>6069</v>
      </c>
      <c r="G297" s="56" t="s">
        <v>6069</v>
      </c>
      <c r="H297" s="56" t="s">
        <v>147</v>
      </c>
      <c r="I297" s="56" t="s">
        <v>6070</v>
      </c>
      <c r="J297" s="56" t="s">
        <v>68</v>
      </c>
      <c r="K297" s="56" t="s">
        <v>59</v>
      </c>
      <c r="L297" s="58">
        <v>19861</v>
      </c>
      <c r="M297" s="56">
        <v>71</v>
      </c>
      <c r="N297" s="56" t="s">
        <v>6071</v>
      </c>
      <c r="O297" s="58">
        <v>46907</v>
      </c>
      <c r="P297" s="56" t="s">
        <v>3</v>
      </c>
      <c r="Q297" s="56"/>
      <c r="R297" s="270">
        <v>45913</v>
      </c>
      <c r="S297" s="270">
        <v>45918</v>
      </c>
      <c r="T297" s="51">
        <f t="shared" si="4"/>
        <v>5</v>
      </c>
      <c r="U297" s="56">
        <v>1</v>
      </c>
      <c r="V297" s="56">
        <v>1</v>
      </c>
      <c r="W297" s="56">
        <v>0</v>
      </c>
      <c r="X297" s="56">
        <v>1</v>
      </c>
      <c r="Y297" s="56">
        <v>1</v>
      </c>
      <c r="Z297" s="56">
        <v>0</v>
      </c>
      <c r="AA297" s="56">
        <v>0</v>
      </c>
      <c r="AB297" s="56"/>
      <c r="AC297" s="58">
        <v>45913</v>
      </c>
      <c r="AD297" s="59">
        <v>0.64583333333575865</v>
      </c>
      <c r="AE297" s="56" t="s">
        <v>312</v>
      </c>
      <c r="AF297" s="58">
        <v>45918</v>
      </c>
      <c r="AG297" s="59">
        <v>0.72569444444525288</v>
      </c>
      <c r="AH297" s="56" t="s">
        <v>313</v>
      </c>
      <c r="AI297" s="56" t="s">
        <v>6009</v>
      </c>
      <c r="AJ297" s="56" t="s">
        <v>64</v>
      </c>
      <c r="AK297" s="56" t="s">
        <v>64</v>
      </c>
      <c r="AL297" s="56" t="s">
        <v>5016</v>
      </c>
      <c r="AM297" s="56" t="s">
        <v>65</v>
      </c>
      <c r="AN297" s="60" t="s">
        <v>5040</v>
      </c>
      <c r="AO297" s="60"/>
      <c r="AP297" s="61"/>
    </row>
    <row r="298" spans="3:43" ht="14.25" customHeight="1">
      <c r="C298" s="55">
        <f>IF($X298=1,COUNTIF($C$10:C297,"&gt;0")+1,"")</f>
        <v>148</v>
      </c>
      <c r="D298" s="56">
        <v>70102056</v>
      </c>
      <c r="E298" s="56" t="s">
        <v>6004</v>
      </c>
      <c r="F298" s="57" t="s">
        <v>6072</v>
      </c>
      <c r="G298" s="56" t="s">
        <v>6072</v>
      </c>
      <c r="H298" s="56" t="s">
        <v>6073</v>
      </c>
      <c r="I298" s="56" t="s">
        <v>6074</v>
      </c>
      <c r="J298" s="56" t="s">
        <v>68</v>
      </c>
      <c r="K298" s="56" t="s">
        <v>59</v>
      </c>
      <c r="L298" s="58">
        <v>22733</v>
      </c>
      <c r="M298" s="56">
        <v>63</v>
      </c>
      <c r="N298" s="56" t="s">
        <v>6075</v>
      </c>
      <c r="O298" s="58">
        <v>48791</v>
      </c>
      <c r="P298" s="56" t="s">
        <v>4</v>
      </c>
      <c r="Q298" s="56"/>
      <c r="R298" s="270">
        <v>45913</v>
      </c>
      <c r="S298" s="270">
        <v>45918</v>
      </c>
      <c r="T298" s="51">
        <f t="shared" si="4"/>
        <v>5</v>
      </c>
      <c r="U298" s="56">
        <v>1</v>
      </c>
      <c r="V298" s="56">
        <v>1</v>
      </c>
      <c r="W298" s="56">
        <v>0</v>
      </c>
      <c r="X298" s="56">
        <v>1</v>
      </c>
      <c r="Y298" s="56">
        <v>0</v>
      </c>
      <c r="Z298" s="56">
        <v>1</v>
      </c>
      <c r="AA298" s="56">
        <v>0</v>
      </c>
      <c r="AB298" s="56"/>
      <c r="AC298" s="58">
        <v>45913</v>
      </c>
      <c r="AD298" s="59">
        <v>0.64583333333575865</v>
      </c>
      <c r="AE298" s="56" t="s">
        <v>312</v>
      </c>
      <c r="AF298" s="58">
        <v>45918</v>
      </c>
      <c r="AG298" s="59">
        <v>0.72569444444525288</v>
      </c>
      <c r="AH298" s="56" t="s">
        <v>313</v>
      </c>
      <c r="AI298" s="56" t="s">
        <v>6009</v>
      </c>
      <c r="AJ298" s="56" t="s">
        <v>64</v>
      </c>
      <c r="AK298" s="56" t="s">
        <v>64</v>
      </c>
      <c r="AL298" s="56" t="s">
        <v>5016</v>
      </c>
      <c r="AM298" s="56" t="s">
        <v>65</v>
      </c>
      <c r="AN298" s="60"/>
      <c r="AO298" s="60"/>
      <c r="AP298" s="61"/>
    </row>
    <row r="299" spans="3:43" ht="14.25" customHeight="1">
      <c r="C299" s="55" t="str">
        <f>IF($X299=1,COUNTIF($C$10:C298,"&gt;0")+1,"")</f>
        <v/>
      </c>
      <c r="D299" s="56">
        <v>70102056</v>
      </c>
      <c r="E299" s="56" t="s">
        <v>6004</v>
      </c>
      <c r="F299" s="57" t="s">
        <v>6076</v>
      </c>
      <c r="G299" s="56" t="s">
        <v>6072</v>
      </c>
      <c r="H299" s="56" t="s">
        <v>6077</v>
      </c>
      <c r="I299" s="56" t="s">
        <v>6078</v>
      </c>
      <c r="J299" s="56" t="s">
        <v>68</v>
      </c>
      <c r="K299" s="56" t="s">
        <v>59</v>
      </c>
      <c r="L299" s="58">
        <v>18803</v>
      </c>
      <c r="M299" s="56">
        <v>74</v>
      </c>
      <c r="N299" s="56" t="s">
        <v>6079</v>
      </c>
      <c r="O299" s="58">
        <v>46184</v>
      </c>
      <c r="P299" s="56" t="s">
        <v>4</v>
      </c>
      <c r="Q299" s="56"/>
      <c r="R299" s="270">
        <v>45913</v>
      </c>
      <c r="S299" s="270">
        <v>45918</v>
      </c>
      <c r="T299" s="51">
        <f t="shared" si="4"/>
        <v>5</v>
      </c>
      <c r="U299" s="56">
        <v>1</v>
      </c>
      <c r="V299" s="56">
        <v>1</v>
      </c>
      <c r="W299" s="56">
        <v>0</v>
      </c>
      <c r="X299" s="56">
        <v>0</v>
      </c>
      <c r="Y299" s="56">
        <v>0</v>
      </c>
      <c r="Z299" s="56">
        <v>0</v>
      </c>
      <c r="AA299" s="56">
        <v>0</v>
      </c>
      <c r="AB299" s="56"/>
      <c r="AC299" s="58">
        <v>45913</v>
      </c>
      <c r="AD299" s="59">
        <v>0.64583333333575865</v>
      </c>
      <c r="AE299" s="56" t="s">
        <v>312</v>
      </c>
      <c r="AF299" s="58">
        <v>45918</v>
      </c>
      <c r="AG299" s="59">
        <v>0.72569444444525288</v>
      </c>
      <c r="AH299" s="56" t="s">
        <v>313</v>
      </c>
      <c r="AI299" s="56" t="s">
        <v>6009</v>
      </c>
      <c r="AJ299" s="56" t="s">
        <v>64</v>
      </c>
      <c r="AK299" s="56" t="s">
        <v>64</v>
      </c>
      <c r="AL299" s="56" t="s">
        <v>5016</v>
      </c>
      <c r="AM299" s="56" t="s">
        <v>65</v>
      </c>
      <c r="AN299" s="60"/>
      <c r="AO299" s="60"/>
      <c r="AP299" s="61"/>
    </row>
    <row r="300" spans="3:43" ht="14.25" customHeight="1">
      <c r="C300" s="55">
        <f>IF($X300=1,COUNTIF($C$10:C299,"&gt;0")+1,"")</f>
        <v>149</v>
      </c>
      <c r="D300" s="56">
        <v>70102062</v>
      </c>
      <c r="E300" s="56" t="s">
        <v>6004</v>
      </c>
      <c r="F300" s="57" t="s">
        <v>6080</v>
      </c>
      <c r="G300" s="56" t="s">
        <v>6080</v>
      </c>
      <c r="H300" s="56" t="s">
        <v>1970</v>
      </c>
      <c r="I300" s="56" t="s">
        <v>6081</v>
      </c>
      <c r="J300" s="56" t="s">
        <v>68</v>
      </c>
      <c r="K300" s="56" t="s">
        <v>59</v>
      </c>
      <c r="L300" s="58">
        <v>26239</v>
      </c>
      <c r="M300" s="56">
        <v>53</v>
      </c>
      <c r="N300" s="56" t="s">
        <v>6082</v>
      </c>
      <c r="O300" s="58">
        <v>49464</v>
      </c>
      <c r="P300" s="56" t="s">
        <v>4</v>
      </c>
      <c r="Q300" s="56"/>
      <c r="R300" s="270">
        <v>45913</v>
      </c>
      <c r="S300" s="270">
        <v>45918</v>
      </c>
      <c r="T300" s="51">
        <f t="shared" si="4"/>
        <v>5</v>
      </c>
      <c r="U300" s="56">
        <v>1</v>
      </c>
      <c r="V300" s="56">
        <v>1</v>
      </c>
      <c r="W300" s="56">
        <v>0</v>
      </c>
      <c r="X300" s="56">
        <v>1</v>
      </c>
      <c r="Y300" s="56">
        <v>0</v>
      </c>
      <c r="Z300" s="56">
        <v>1</v>
      </c>
      <c r="AA300" s="56">
        <v>0</v>
      </c>
      <c r="AB300" s="56"/>
      <c r="AC300" s="58">
        <v>45912</v>
      </c>
      <c r="AD300" s="59">
        <v>0.67708333333575865</v>
      </c>
      <c r="AE300" s="56" t="s">
        <v>5250</v>
      </c>
      <c r="AF300" s="58">
        <v>45920</v>
      </c>
      <c r="AG300" s="59">
        <v>0.79513888889050577</v>
      </c>
      <c r="AH300" s="56" t="s">
        <v>359</v>
      </c>
      <c r="AI300" s="56" t="s">
        <v>6009</v>
      </c>
      <c r="AJ300" s="56" t="s">
        <v>64</v>
      </c>
      <c r="AK300" s="56" t="s">
        <v>64</v>
      </c>
      <c r="AL300" s="56" t="s">
        <v>5016</v>
      </c>
      <c r="AM300" s="56" t="s">
        <v>65</v>
      </c>
      <c r="AN300" s="60"/>
      <c r="AO300" s="60"/>
      <c r="AP300" s="61"/>
    </row>
    <row r="301" spans="3:43" ht="14.25" customHeight="1">
      <c r="C301" s="55" t="str">
        <f>IF($X301=1,COUNTIF($C$10:C300,"&gt;0")+1,"")</f>
        <v/>
      </c>
      <c r="D301" s="56">
        <v>70102062</v>
      </c>
      <c r="E301" s="56" t="s">
        <v>6004</v>
      </c>
      <c r="F301" s="57" t="s">
        <v>6083</v>
      </c>
      <c r="G301" s="56" t="s">
        <v>6080</v>
      </c>
      <c r="H301" s="56" t="s">
        <v>6084</v>
      </c>
      <c r="I301" s="56" t="s">
        <v>6085</v>
      </c>
      <c r="J301" s="56" t="s">
        <v>68</v>
      </c>
      <c r="K301" s="56" t="s">
        <v>59</v>
      </c>
      <c r="L301" s="58">
        <v>25667</v>
      </c>
      <c r="M301" s="56">
        <v>55</v>
      </c>
      <c r="N301" s="56" t="s">
        <v>6086</v>
      </c>
      <c r="O301" s="58">
        <v>48677</v>
      </c>
      <c r="P301" s="56" t="s">
        <v>4</v>
      </c>
      <c r="Q301" s="56"/>
      <c r="R301" s="270">
        <v>45913</v>
      </c>
      <c r="S301" s="270">
        <v>45918</v>
      </c>
      <c r="T301" s="51">
        <f t="shared" si="4"/>
        <v>5</v>
      </c>
      <c r="U301" s="56">
        <v>1</v>
      </c>
      <c r="V301" s="56">
        <v>1</v>
      </c>
      <c r="W301" s="56">
        <v>0</v>
      </c>
      <c r="X301" s="56">
        <v>0</v>
      </c>
      <c r="Y301" s="56">
        <v>0</v>
      </c>
      <c r="Z301" s="56">
        <v>0</v>
      </c>
      <c r="AA301" s="56">
        <v>0</v>
      </c>
      <c r="AB301" s="56"/>
      <c r="AC301" s="58" t="s">
        <v>64</v>
      </c>
      <c r="AD301" s="59" t="s">
        <v>64</v>
      </c>
      <c r="AE301" s="56" t="s">
        <v>64</v>
      </c>
      <c r="AF301" s="58" t="s">
        <v>64</v>
      </c>
      <c r="AG301" s="59" t="s">
        <v>64</v>
      </c>
      <c r="AH301" s="56" t="s">
        <v>64</v>
      </c>
      <c r="AI301" s="56" t="s">
        <v>6009</v>
      </c>
      <c r="AJ301" s="56" t="s">
        <v>64</v>
      </c>
      <c r="AK301" s="56" t="s">
        <v>64</v>
      </c>
      <c r="AL301" s="56" t="s">
        <v>5016</v>
      </c>
      <c r="AM301" s="56" t="s">
        <v>65</v>
      </c>
      <c r="AN301" s="60"/>
      <c r="AO301" s="60"/>
      <c r="AP301" s="61"/>
    </row>
    <row r="302" spans="3:43" ht="14.25" customHeight="1">
      <c r="C302" s="55">
        <f>IF($X302=1,COUNTIF($C$10:C301,"&gt;0")+1,"")</f>
        <v>150</v>
      </c>
      <c r="D302" s="56">
        <v>70485546</v>
      </c>
      <c r="E302" s="56" t="s">
        <v>6004</v>
      </c>
      <c r="F302" s="57" t="s">
        <v>6087</v>
      </c>
      <c r="G302" s="56" t="s">
        <v>6087</v>
      </c>
      <c r="H302" s="56" t="s">
        <v>6088</v>
      </c>
      <c r="I302" s="56" t="s">
        <v>6089</v>
      </c>
      <c r="J302" s="56" t="s">
        <v>58</v>
      </c>
      <c r="K302" s="56" t="s">
        <v>59</v>
      </c>
      <c r="L302" s="58">
        <v>29142</v>
      </c>
      <c r="M302" s="56">
        <v>45</v>
      </c>
      <c r="N302" s="56" t="s">
        <v>6090</v>
      </c>
      <c r="O302" s="58">
        <v>46112</v>
      </c>
      <c r="P302" s="56" t="s">
        <v>5</v>
      </c>
      <c r="Q302" s="56"/>
      <c r="R302" s="270">
        <v>45913</v>
      </c>
      <c r="S302" s="270">
        <v>45918</v>
      </c>
      <c r="T302" s="51">
        <f t="shared" si="4"/>
        <v>5</v>
      </c>
      <c r="U302" s="56">
        <v>1</v>
      </c>
      <c r="V302" s="56">
        <v>1</v>
      </c>
      <c r="W302" s="56">
        <v>0</v>
      </c>
      <c r="X302" s="56">
        <v>1</v>
      </c>
      <c r="Y302" s="56">
        <v>0</v>
      </c>
      <c r="Z302" s="56">
        <v>0</v>
      </c>
      <c r="AA302" s="56">
        <v>1</v>
      </c>
      <c r="AB302" s="56"/>
      <c r="AC302" s="58">
        <v>45913</v>
      </c>
      <c r="AD302" s="59">
        <v>0.72916666666424135</v>
      </c>
      <c r="AE302" s="56" t="s">
        <v>575</v>
      </c>
      <c r="AF302" s="58">
        <v>45918</v>
      </c>
      <c r="AG302" s="59">
        <v>0.79513888889050577</v>
      </c>
      <c r="AH302" s="56" t="s">
        <v>359</v>
      </c>
      <c r="AI302" s="56" t="s">
        <v>6009</v>
      </c>
      <c r="AJ302" s="56" t="s">
        <v>64</v>
      </c>
      <c r="AK302" s="56" t="s">
        <v>64</v>
      </c>
      <c r="AL302" s="56" t="s">
        <v>5016</v>
      </c>
      <c r="AM302" s="56" t="s">
        <v>65</v>
      </c>
      <c r="AN302" s="60"/>
      <c r="AO302" s="60"/>
      <c r="AP302" s="61"/>
    </row>
    <row r="303" spans="3:43" ht="14.25" customHeight="1">
      <c r="C303" s="55" t="str">
        <f>IF($X303=1,COUNTIF($C$10:C302,"&gt;0")+1,"")</f>
        <v/>
      </c>
      <c r="D303" s="56">
        <v>70485546</v>
      </c>
      <c r="E303" s="56" t="s">
        <v>6004</v>
      </c>
      <c r="F303" s="57" t="s">
        <v>6091</v>
      </c>
      <c r="G303" s="56" t="s">
        <v>6087</v>
      </c>
      <c r="H303" s="56" t="s">
        <v>6092</v>
      </c>
      <c r="I303" s="56" t="s">
        <v>6093</v>
      </c>
      <c r="J303" s="56" t="s">
        <v>58</v>
      </c>
      <c r="K303" s="56" t="s">
        <v>59</v>
      </c>
      <c r="L303" s="58">
        <v>30195</v>
      </c>
      <c r="M303" s="56">
        <v>43</v>
      </c>
      <c r="N303" s="56" t="s">
        <v>6094</v>
      </c>
      <c r="O303" s="58">
        <v>47796</v>
      </c>
      <c r="P303" s="56" t="s">
        <v>5</v>
      </c>
      <c r="Q303" s="56"/>
      <c r="R303" s="270">
        <v>45913</v>
      </c>
      <c r="S303" s="270">
        <v>45918</v>
      </c>
      <c r="T303" s="51">
        <f t="shared" si="4"/>
        <v>5</v>
      </c>
      <c r="U303" s="56">
        <v>1</v>
      </c>
      <c r="V303" s="56">
        <v>1</v>
      </c>
      <c r="W303" s="56">
        <v>0</v>
      </c>
      <c r="X303" s="56">
        <v>0</v>
      </c>
      <c r="Y303" s="56">
        <v>0</v>
      </c>
      <c r="Z303" s="56">
        <v>0</v>
      </c>
      <c r="AA303" s="56">
        <v>0</v>
      </c>
      <c r="AB303" s="56"/>
      <c r="AC303" s="69">
        <v>45913</v>
      </c>
      <c r="AD303" s="70">
        <v>0.72916666666424135</v>
      </c>
      <c r="AE303" s="71" t="s">
        <v>575</v>
      </c>
      <c r="AF303" s="69">
        <v>45918</v>
      </c>
      <c r="AG303" s="70">
        <v>0.79513888889050577</v>
      </c>
      <c r="AH303" s="71" t="s">
        <v>359</v>
      </c>
      <c r="AI303" s="56" t="s">
        <v>6009</v>
      </c>
      <c r="AJ303" s="56" t="s">
        <v>64</v>
      </c>
      <c r="AK303" s="56" t="s">
        <v>64</v>
      </c>
      <c r="AL303" s="56" t="s">
        <v>5016</v>
      </c>
      <c r="AM303" s="56" t="s">
        <v>65</v>
      </c>
      <c r="AN303" s="60"/>
      <c r="AO303" s="60"/>
      <c r="AP303" s="61"/>
    </row>
    <row r="304" spans="3:43" ht="14.25" customHeight="1">
      <c r="C304" s="55">
        <f>IF($X304=1,COUNTIF($C$10:C303,"&gt;0")+1,"")</f>
        <v>151</v>
      </c>
      <c r="D304" s="56">
        <v>70485552</v>
      </c>
      <c r="E304" s="56" t="s">
        <v>6004</v>
      </c>
      <c r="F304" s="57" t="s">
        <v>6095</v>
      </c>
      <c r="G304" s="56" t="s">
        <v>6095</v>
      </c>
      <c r="H304" s="56" t="s">
        <v>6096</v>
      </c>
      <c r="I304" s="56" t="s">
        <v>6097</v>
      </c>
      <c r="J304" s="56" t="s">
        <v>68</v>
      </c>
      <c r="K304" s="56" t="s">
        <v>59</v>
      </c>
      <c r="L304" s="58">
        <v>24092</v>
      </c>
      <c r="M304" s="56">
        <v>59</v>
      </c>
      <c r="N304" s="56" t="s">
        <v>6098</v>
      </c>
      <c r="O304" s="58">
        <v>49442</v>
      </c>
      <c r="P304" s="56" t="s">
        <v>5</v>
      </c>
      <c r="Q304" s="56"/>
      <c r="R304" s="270">
        <v>45913</v>
      </c>
      <c r="S304" s="270">
        <v>45918</v>
      </c>
      <c r="T304" s="51">
        <f t="shared" si="4"/>
        <v>5</v>
      </c>
      <c r="U304" s="56">
        <v>1</v>
      </c>
      <c r="V304" s="56">
        <v>1</v>
      </c>
      <c r="W304" s="56">
        <v>0</v>
      </c>
      <c r="X304" s="56">
        <v>1</v>
      </c>
      <c r="Y304" s="56">
        <v>0</v>
      </c>
      <c r="Z304" s="56">
        <v>0</v>
      </c>
      <c r="AA304" s="56">
        <v>1</v>
      </c>
      <c r="AB304" s="56"/>
      <c r="AC304" s="58">
        <v>45913</v>
      </c>
      <c r="AD304" s="59">
        <v>0.73611111110949423</v>
      </c>
      <c r="AE304" s="56" t="s">
        <v>1734</v>
      </c>
      <c r="AF304" s="58">
        <v>45918</v>
      </c>
      <c r="AG304" s="59">
        <v>0.43402777778101154</v>
      </c>
      <c r="AH304" s="56" t="s">
        <v>1745</v>
      </c>
      <c r="AI304" s="56" t="s">
        <v>6009</v>
      </c>
      <c r="AJ304" s="56" t="s">
        <v>64</v>
      </c>
      <c r="AK304" s="56" t="s">
        <v>64</v>
      </c>
      <c r="AL304" s="56" t="s">
        <v>5016</v>
      </c>
      <c r="AM304" s="56" t="s">
        <v>65</v>
      </c>
      <c r="AN304" s="60"/>
      <c r="AO304" s="60"/>
      <c r="AP304" s="61"/>
    </row>
    <row r="305" spans="3:42" ht="14.25" customHeight="1">
      <c r="C305" s="55" t="str">
        <f>IF($X305=1,COUNTIF($C$10:C304,"&gt;0")+1,"")</f>
        <v/>
      </c>
      <c r="D305" s="56">
        <v>70485552</v>
      </c>
      <c r="E305" s="56" t="s">
        <v>6004</v>
      </c>
      <c r="F305" s="57" t="s">
        <v>6099</v>
      </c>
      <c r="G305" s="56" t="s">
        <v>6095</v>
      </c>
      <c r="H305" s="56" t="s">
        <v>6100</v>
      </c>
      <c r="I305" s="56" t="s">
        <v>6101</v>
      </c>
      <c r="J305" s="56" t="s">
        <v>68</v>
      </c>
      <c r="K305" s="56" t="s">
        <v>59</v>
      </c>
      <c r="L305" s="58">
        <v>29110</v>
      </c>
      <c r="M305" s="56">
        <v>46</v>
      </c>
      <c r="N305" s="56" t="s">
        <v>6102</v>
      </c>
      <c r="O305" s="58">
        <v>48959</v>
      </c>
      <c r="P305" s="56" t="s">
        <v>5</v>
      </c>
      <c r="Q305" s="56"/>
      <c r="R305" s="270">
        <v>45913</v>
      </c>
      <c r="S305" s="270">
        <v>45918</v>
      </c>
      <c r="T305" s="51">
        <f t="shared" si="4"/>
        <v>5</v>
      </c>
      <c r="U305" s="56">
        <v>1</v>
      </c>
      <c r="V305" s="56">
        <v>1</v>
      </c>
      <c r="W305" s="56">
        <v>0</v>
      </c>
      <c r="X305" s="56">
        <v>0</v>
      </c>
      <c r="Y305" s="56">
        <v>0</v>
      </c>
      <c r="Z305" s="56">
        <v>0</v>
      </c>
      <c r="AA305" s="56">
        <v>0</v>
      </c>
      <c r="AB305" s="56"/>
      <c r="AC305" s="58">
        <v>45913</v>
      </c>
      <c r="AD305" s="59">
        <v>0.73611111110949423</v>
      </c>
      <c r="AE305" s="56" t="s">
        <v>1734</v>
      </c>
      <c r="AF305" s="58">
        <v>45918</v>
      </c>
      <c r="AG305" s="59">
        <v>0.43402777778101154</v>
      </c>
      <c r="AH305" s="56" t="s">
        <v>1745</v>
      </c>
      <c r="AI305" s="56" t="s">
        <v>6009</v>
      </c>
      <c r="AJ305" s="56" t="s">
        <v>64</v>
      </c>
      <c r="AK305" s="56" t="s">
        <v>64</v>
      </c>
      <c r="AL305" s="56" t="s">
        <v>5016</v>
      </c>
      <c r="AM305" s="56" t="s">
        <v>65</v>
      </c>
      <c r="AN305" s="60"/>
      <c r="AO305" s="60"/>
      <c r="AP305" s="61"/>
    </row>
    <row r="306" spans="3:42" ht="14.25" customHeight="1">
      <c r="C306" s="55">
        <f>IF($X306=1,COUNTIF($C$10:C305,"&gt;0")+1,"")</f>
        <v>152</v>
      </c>
      <c r="D306" s="56">
        <v>70508911</v>
      </c>
      <c r="E306" s="56" t="s">
        <v>6004</v>
      </c>
      <c r="F306" s="57" t="s">
        <v>6103</v>
      </c>
      <c r="G306" s="56" t="s">
        <v>6103</v>
      </c>
      <c r="H306" s="56" t="s">
        <v>6104</v>
      </c>
      <c r="I306" s="56" t="s">
        <v>6105</v>
      </c>
      <c r="J306" s="56" t="s">
        <v>68</v>
      </c>
      <c r="K306" s="56" t="s">
        <v>3888</v>
      </c>
      <c r="L306" s="58">
        <v>22706</v>
      </c>
      <c r="M306" s="56">
        <v>63</v>
      </c>
      <c r="N306" s="56" t="s">
        <v>6106</v>
      </c>
      <c r="O306" s="58">
        <v>46137</v>
      </c>
      <c r="P306" s="56" t="s">
        <v>4</v>
      </c>
      <c r="Q306" s="56"/>
      <c r="R306" s="270">
        <v>45913</v>
      </c>
      <c r="S306" s="270">
        <v>45918</v>
      </c>
      <c r="T306" s="51">
        <f t="shared" si="4"/>
        <v>5</v>
      </c>
      <c r="U306" s="56">
        <v>1</v>
      </c>
      <c r="V306" s="56">
        <v>1</v>
      </c>
      <c r="W306" s="56">
        <v>0</v>
      </c>
      <c r="X306" s="56">
        <v>1</v>
      </c>
      <c r="Y306" s="56">
        <v>0</v>
      </c>
      <c r="Z306" s="56">
        <v>1</v>
      </c>
      <c r="AA306" s="56">
        <v>0</v>
      </c>
      <c r="AB306" s="56"/>
      <c r="AC306" s="58">
        <v>45913</v>
      </c>
      <c r="AD306" s="59">
        <v>0.59027777778101154</v>
      </c>
      <c r="AE306" s="56" t="s">
        <v>547</v>
      </c>
      <c r="AF306" s="58">
        <v>45918</v>
      </c>
      <c r="AG306" s="59">
        <v>0.68402777778101154</v>
      </c>
      <c r="AH306" s="56" t="s">
        <v>274</v>
      </c>
      <c r="AI306" s="56" t="s">
        <v>6009</v>
      </c>
      <c r="AJ306" s="56" t="s">
        <v>598</v>
      </c>
      <c r="AK306" s="56" t="s">
        <v>64</v>
      </c>
      <c r="AL306" s="56" t="s">
        <v>5016</v>
      </c>
      <c r="AM306" s="56" t="s">
        <v>65</v>
      </c>
      <c r="AN306" s="53" t="s">
        <v>5017</v>
      </c>
      <c r="AO306" s="275"/>
      <c r="AP306" s="61"/>
    </row>
    <row r="307" spans="3:42" ht="14.25" customHeight="1">
      <c r="C307" s="55" t="str">
        <f>IF($X307=1,COUNTIF($C$10:C306,"&gt;0")+1,"")</f>
        <v/>
      </c>
      <c r="D307" s="56">
        <v>70508911</v>
      </c>
      <c r="E307" s="56" t="s">
        <v>6004</v>
      </c>
      <c r="F307" s="57" t="s">
        <v>6107</v>
      </c>
      <c r="G307" s="56" t="s">
        <v>6103</v>
      </c>
      <c r="H307" s="56" t="s">
        <v>6108</v>
      </c>
      <c r="I307" s="56" t="s">
        <v>6109</v>
      </c>
      <c r="J307" s="56" t="s">
        <v>68</v>
      </c>
      <c r="K307" s="56" t="s">
        <v>59</v>
      </c>
      <c r="L307" s="58">
        <v>37687</v>
      </c>
      <c r="M307" s="56">
        <v>22</v>
      </c>
      <c r="N307" s="56" t="s">
        <v>6110</v>
      </c>
      <c r="O307" s="58">
        <v>47818</v>
      </c>
      <c r="P307" s="56" t="s">
        <v>4</v>
      </c>
      <c r="Q307" s="56"/>
      <c r="R307" s="270">
        <v>45913</v>
      </c>
      <c r="S307" s="270">
        <v>45918</v>
      </c>
      <c r="T307" s="51">
        <f t="shared" si="4"/>
        <v>5</v>
      </c>
      <c r="U307" s="56">
        <v>1</v>
      </c>
      <c r="V307" s="56">
        <v>1</v>
      </c>
      <c r="W307" s="56">
        <v>0</v>
      </c>
      <c r="X307" s="56">
        <v>0</v>
      </c>
      <c r="Y307" s="56">
        <v>0</v>
      </c>
      <c r="Z307" s="56">
        <v>0</v>
      </c>
      <c r="AA307" s="56">
        <v>0</v>
      </c>
      <c r="AB307" s="56"/>
      <c r="AC307" s="58">
        <v>45913</v>
      </c>
      <c r="AD307" s="59">
        <v>0.59027777778101154</v>
      </c>
      <c r="AE307" s="56" t="s">
        <v>547</v>
      </c>
      <c r="AF307" s="58">
        <v>45918</v>
      </c>
      <c r="AG307" s="59">
        <v>0.68402777778101154</v>
      </c>
      <c r="AH307" s="56" t="s">
        <v>274</v>
      </c>
      <c r="AI307" s="56" t="s">
        <v>6009</v>
      </c>
      <c r="AJ307" s="56" t="s">
        <v>64</v>
      </c>
      <c r="AK307" s="56" t="s">
        <v>64</v>
      </c>
      <c r="AL307" s="56" t="s">
        <v>5016</v>
      </c>
      <c r="AM307" s="56" t="s">
        <v>65</v>
      </c>
      <c r="AN307" s="53" t="s">
        <v>5017</v>
      </c>
      <c r="AO307" s="275"/>
      <c r="AP307" s="61"/>
    </row>
    <row r="308" spans="3:42" ht="14.25" customHeight="1">
      <c r="C308" s="55">
        <f>IF($X308=1,COUNTIF($C$10:C307,"&gt;0")+1,"")</f>
        <v>153</v>
      </c>
      <c r="D308" s="56">
        <v>70485557</v>
      </c>
      <c r="E308" s="56" t="s">
        <v>6004</v>
      </c>
      <c r="F308" s="57" t="s">
        <v>6111</v>
      </c>
      <c r="G308" s="56" t="s">
        <v>6111</v>
      </c>
      <c r="H308" s="56" t="s">
        <v>6112</v>
      </c>
      <c r="I308" s="56" t="s">
        <v>6113</v>
      </c>
      <c r="J308" s="56" t="s">
        <v>68</v>
      </c>
      <c r="K308" s="56" t="s">
        <v>59</v>
      </c>
      <c r="L308" s="58">
        <v>22519</v>
      </c>
      <c r="M308" s="56">
        <v>64</v>
      </c>
      <c r="N308" s="56" t="s">
        <v>6114</v>
      </c>
      <c r="O308" s="58">
        <v>47397</v>
      </c>
      <c r="P308" s="56" t="s">
        <v>5</v>
      </c>
      <c r="Q308" s="56"/>
      <c r="R308" s="270">
        <v>45913</v>
      </c>
      <c r="S308" s="270">
        <v>45918</v>
      </c>
      <c r="T308" s="51">
        <f t="shared" si="4"/>
        <v>5</v>
      </c>
      <c r="U308" s="56">
        <v>1</v>
      </c>
      <c r="V308" s="56">
        <v>1</v>
      </c>
      <c r="W308" s="56">
        <v>0</v>
      </c>
      <c r="X308" s="56">
        <v>1</v>
      </c>
      <c r="Y308" s="56">
        <v>0</v>
      </c>
      <c r="Z308" s="56">
        <v>0</v>
      </c>
      <c r="AA308" s="56">
        <v>1</v>
      </c>
      <c r="AB308" s="56"/>
      <c r="AC308" s="58">
        <v>45913</v>
      </c>
      <c r="AD308" s="59">
        <v>0.68402777778101154</v>
      </c>
      <c r="AE308" s="56" t="s">
        <v>688</v>
      </c>
      <c r="AF308" s="58">
        <v>45918</v>
      </c>
      <c r="AG308" s="59">
        <v>0.68402777778101154</v>
      </c>
      <c r="AH308" s="56" t="s">
        <v>274</v>
      </c>
      <c r="AI308" s="56" t="s">
        <v>6009</v>
      </c>
      <c r="AJ308" s="56" t="s">
        <v>64</v>
      </c>
      <c r="AK308" s="56" t="s">
        <v>64</v>
      </c>
      <c r="AL308" s="56" t="s">
        <v>5016</v>
      </c>
      <c r="AM308" s="56" t="s">
        <v>65</v>
      </c>
      <c r="AN308" s="60"/>
      <c r="AO308" s="60"/>
      <c r="AP308" s="61"/>
    </row>
    <row r="309" spans="3:42" ht="14.25" customHeight="1">
      <c r="C309" s="55" t="str">
        <f>IF($X309=1,COUNTIF($C$10:C308,"&gt;0")+1,"")</f>
        <v/>
      </c>
      <c r="D309" s="56">
        <v>70485557</v>
      </c>
      <c r="E309" s="56" t="s">
        <v>6004</v>
      </c>
      <c r="F309" s="57" t="s">
        <v>6115</v>
      </c>
      <c r="G309" s="56" t="s">
        <v>6111</v>
      </c>
      <c r="H309" s="56" t="s">
        <v>6116</v>
      </c>
      <c r="I309" s="56" t="s">
        <v>6117</v>
      </c>
      <c r="J309" s="56" t="s">
        <v>68</v>
      </c>
      <c r="K309" s="56" t="s">
        <v>59</v>
      </c>
      <c r="L309" s="58">
        <v>19777</v>
      </c>
      <c r="M309" s="56">
        <v>71</v>
      </c>
      <c r="N309" s="56" t="s">
        <v>6118</v>
      </c>
      <c r="O309" s="58">
        <v>46770</v>
      </c>
      <c r="P309" s="56" t="s">
        <v>5</v>
      </c>
      <c r="Q309" s="56"/>
      <c r="R309" s="270">
        <v>45913</v>
      </c>
      <c r="S309" s="270">
        <v>45918</v>
      </c>
      <c r="T309" s="51">
        <f t="shared" si="4"/>
        <v>5</v>
      </c>
      <c r="U309" s="56">
        <v>1</v>
      </c>
      <c r="V309" s="56">
        <v>1</v>
      </c>
      <c r="W309" s="56">
        <v>0</v>
      </c>
      <c r="X309" s="56">
        <v>0</v>
      </c>
      <c r="Y309" s="56">
        <v>0</v>
      </c>
      <c r="Z309" s="56">
        <v>0</v>
      </c>
      <c r="AA309" s="56">
        <v>0</v>
      </c>
      <c r="AB309" s="56"/>
      <c r="AC309" s="58">
        <v>45913</v>
      </c>
      <c r="AD309" s="59">
        <v>0.68402777778101154</v>
      </c>
      <c r="AE309" s="56" t="s">
        <v>688</v>
      </c>
      <c r="AF309" s="58">
        <v>45918</v>
      </c>
      <c r="AG309" s="59">
        <v>0.68402777778101154</v>
      </c>
      <c r="AH309" s="56" t="s">
        <v>274</v>
      </c>
      <c r="AI309" s="56" t="s">
        <v>6009</v>
      </c>
      <c r="AJ309" s="56" t="s">
        <v>64</v>
      </c>
      <c r="AK309" s="56" t="s">
        <v>64</v>
      </c>
      <c r="AL309" s="56" t="s">
        <v>5016</v>
      </c>
      <c r="AM309" s="56" t="s">
        <v>65</v>
      </c>
      <c r="AN309" s="60"/>
      <c r="AO309" s="60"/>
      <c r="AP309" s="61"/>
    </row>
    <row r="310" spans="3:42" ht="14.25" customHeight="1">
      <c r="C310" s="55">
        <f>IF($X310=1,COUNTIF($C$10:C309,"&gt;0")+1,"")</f>
        <v>154</v>
      </c>
      <c r="D310" s="56">
        <v>70102093</v>
      </c>
      <c r="E310" s="56" t="s">
        <v>6119</v>
      </c>
      <c r="F310" s="57" t="s">
        <v>6120</v>
      </c>
      <c r="G310" s="56" t="s">
        <v>6120</v>
      </c>
      <c r="H310" s="56" t="s">
        <v>6121</v>
      </c>
      <c r="I310" s="56" t="s">
        <v>6105</v>
      </c>
      <c r="J310" s="56" t="s">
        <v>58</v>
      </c>
      <c r="K310" s="56" t="s">
        <v>59</v>
      </c>
      <c r="L310" s="58">
        <v>21573</v>
      </c>
      <c r="M310" s="56">
        <v>66</v>
      </c>
      <c r="N310" s="56" t="s">
        <v>6122</v>
      </c>
      <c r="O310" s="58">
        <v>46095</v>
      </c>
      <c r="P310" s="56" t="s">
        <v>4</v>
      </c>
      <c r="Q310" s="56"/>
      <c r="R310" s="270">
        <v>45913</v>
      </c>
      <c r="S310" s="270">
        <v>45918</v>
      </c>
      <c r="T310" s="51">
        <f t="shared" si="4"/>
        <v>5</v>
      </c>
      <c r="U310" s="56">
        <v>1</v>
      </c>
      <c r="V310" s="56">
        <v>1</v>
      </c>
      <c r="W310" s="56">
        <v>0</v>
      </c>
      <c r="X310" s="56">
        <v>1</v>
      </c>
      <c r="Y310" s="56">
        <v>0</v>
      </c>
      <c r="Z310" s="56">
        <v>1</v>
      </c>
      <c r="AA310" s="56">
        <v>0</v>
      </c>
      <c r="AB310" s="56"/>
      <c r="AC310" s="58">
        <v>45913</v>
      </c>
      <c r="AD310" s="59">
        <v>0.64583333333575865</v>
      </c>
      <c r="AE310" s="56" t="s">
        <v>312</v>
      </c>
      <c r="AF310" s="58">
        <v>45918</v>
      </c>
      <c r="AG310" s="59">
        <v>0.72569444444525288</v>
      </c>
      <c r="AH310" s="56" t="s">
        <v>313</v>
      </c>
      <c r="AI310" s="56" t="s">
        <v>6123</v>
      </c>
      <c r="AJ310" s="56" t="s">
        <v>64</v>
      </c>
      <c r="AK310" s="56" t="s">
        <v>64</v>
      </c>
      <c r="AL310" s="56" t="s">
        <v>5016</v>
      </c>
      <c r="AM310" s="56" t="s">
        <v>65</v>
      </c>
      <c r="AN310" s="60"/>
      <c r="AO310" s="60"/>
      <c r="AP310" s="61"/>
    </row>
    <row r="311" spans="3:42" ht="14.25" customHeight="1">
      <c r="C311" s="55" t="str">
        <f>IF($X311=1,COUNTIF($C$10:C310,"&gt;0")+1,"")</f>
        <v/>
      </c>
      <c r="D311" s="56">
        <v>70102093</v>
      </c>
      <c r="E311" s="56" t="s">
        <v>6119</v>
      </c>
      <c r="F311" s="57" t="s">
        <v>6124</v>
      </c>
      <c r="G311" s="56" t="s">
        <v>6120</v>
      </c>
      <c r="H311" s="56" t="s">
        <v>6125</v>
      </c>
      <c r="I311" s="56" t="s">
        <v>6126</v>
      </c>
      <c r="J311" s="56" t="s">
        <v>68</v>
      </c>
      <c r="K311" s="56" t="s">
        <v>59</v>
      </c>
      <c r="L311" s="58">
        <v>23471</v>
      </c>
      <c r="M311" s="56">
        <v>61</v>
      </c>
      <c r="N311" s="56" t="s">
        <v>6127</v>
      </c>
      <c r="O311" s="58">
        <v>48257</v>
      </c>
      <c r="P311" s="56" t="s">
        <v>4</v>
      </c>
      <c r="Q311" s="56"/>
      <c r="R311" s="270">
        <v>45913</v>
      </c>
      <c r="S311" s="270">
        <v>45918</v>
      </c>
      <c r="T311" s="51">
        <f t="shared" si="4"/>
        <v>5</v>
      </c>
      <c r="U311" s="56">
        <v>1</v>
      </c>
      <c r="V311" s="56">
        <v>1</v>
      </c>
      <c r="W311" s="56">
        <v>0</v>
      </c>
      <c r="X311" s="56">
        <v>0</v>
      </c>
      <c r="Y311" s="56">
        <v>0</v>
      </c>
      <c r="Z311" s="56">
        <v>0</v>
      </c>
      <c r="AA311" s="56">
        <v>0</v>
      </c>
      <c r="AB311" s="56"/>
      <c r="AC311" s="58">
        <v>45913</v>
      </c>
      <c r="AD311" s="59">
        <v>0.64583333333575865</v>
      </c>
      <c r="AE311" s="56" t="s">
        <v>312</v>
      </c>
      <c r="AF311" s="58">
        <v>45918</v>
      </c>
      <c r="AG311" s="59">
        <v>0.72569444444525288</v>
      </c>
      <c r="AH311" s="56" t="s">
        <v>313</v>
      </c>
      <c r="AI311" s="56" t="s">
        <v>6123</v>
      </c>
      <c r="AJ311" s="56" t="s">
        <v>64</v>
      </c>
      <c r="AK311" s="56" t="s">
        <v>64</v>
      </c>
      <c r="AL311" s="56" t="s">
        <v>5016</v>
      </c>
      <c r="AM311" s="56" t="s">
        <v>65</v>
      </c>
      <c r="AN311" s="60"/>
      <c r="AO311" s="60"/>
      <c r="AP311" s="61"/>
    </row>
    <row r="312" spans="3:42" ht="14.25" customHeight="1">
      <c r="C312" s="55">
        <f>IF($X312=1,COUNTIF($C$10:C311,"&gt;0")+1,"")</f>
        <v>155</v>
      </c>
      <c r="D312" s="56">
        <v>70102109</v>
      </c>
      <c r="E312" s="56" t="s">
        <v>6119</v>
      </c>
      <c r="F312" s="57" t="s">
        <v>6128</v>
      </c>
      <c r="G312" s="56" t="s">
        <v>6128</v>
      </c>
      <c r="H312" s="56" t="s">
        <v>6129</v>
      </c>
      <c r="I312" s="56" t="s">
        <v>6130</v>
      </c>
      <c r="J312" s="56" t="s">
        <v>68</v>
      </c>
      <c r="K312" s="56" t="s">
        <v>59</v>
      </c>
      <c r="L312" s="58">
        <v>23997</v>
      </c>
      <c r="M312" s="56">
        <v>60</v>
      </c>
      <c r="N312" s="56" t="s">
        <v>6131</v>
      </c>
      <c r="O312" s="58">
        <v>46165</v>
      </c>
      <c r="P312" s="56" t="s">
        <v>4</v>
      </c>
      <c r="Q312" s="56"/>
      <c r="R312" s="270">
        <v>45913</v>
      </c>
      <c r="S312" s="270">
        <v>45918</v>
      </c>
      <c r="T312" s="51">
        <f t="shared" si="4"/>
        <v>5</v>
      </c>
      <c r="U312" s="56">
        <v>1</v>
      </c>
      <c r="V312" s="56">
        <v>1</v>
      </c>
      <c r="W312" s="56">
        <v>0</v>
      </c>
      <c r="X312" s="56">
        <v>1</v>
      </c>
      <c r="Y312" s="56">
        <v>0</v>
      </c>
      <c r="Z312" s="56">
        <v>1</v>
      </c>
      <c r="AA312" s="56">
        <v>0</v>
      </c>
      <c r="AB312" s="56"/>
      <c r="AC312" s="58">
        <v>45913</v>
      </c>
      <c r="AD312" s="59">
        <v>0.72916666666424135</v>
      </c>
      <c r="AE312" s="56" t="s">
        <v>575</v>
      </c>
      <c r="AF312" s="58">
        <v>45918</v>
      </c>
      <c r="AG312" s="59">
        <v>0.79513888889050577</v>
      </c>
      <c r="AH312" s="56" t="s">
        <v>359</v>
      </c>
      <c r="AI312" s="56" t="s">
        <v>6123</v>
      </c>
      <c r="AJ312" s="56" t="s">
        <v>64</v>
      </c>
      <c r="AK312" s="56" t="s">
        <v>64</v>
      </c>
      <c r="AL312" s="56" t="s">
        <v>5016</v>
      </c>
      <c r="AM312" s="56" t="s">
        <v>65</v>
      </c>
      <c r="AN312" s="60"/>
      <c r="AO312" s="60"/>
      <c r="AP312" s="61"/>
    </row>
    <row r="313" spans="3:42" ht="14.25" customHeight="1">
      <c r="C313" s="55" t="str">
        <f>IF($X313=1,COUNTIF($C$10:C312,"&gt;0")+1,"")</f>
        <v/>
      </c>
      <c r="D313" s="56">
        <v>70102109</v>
      </c>
      <c r="E313" s="56" t="s">
        <v>6119</v>
      </c>
      <c r="F313" s="57" t="s">
        <v>6132</v>
      </c>
      <c r="G313" s="56" t="s">
        <v>6128</v>
      </c>
      <c r="H313" s="56" t="s">
        <v>6133</v>
      </c>
      <c r="I313" s="56" t="s">
        <v>6134</v>
      </c>
      <c r="J313" s="56" t="s">
        <v>58</v>
      </c>
      <c r="K313" s="56" t="s">
        <v>59</v>
      </c>
      <c r="L313" s="58">
        <v>22445</v>
      </c>
      <c r="M313" s="56">
        <v>64</v>
      </c>
      <c r="N313" s="56" t="s">
        <v>6135</v>
      </c>
      <c r="O313" s="58">
        <v>48568</v>
      </c>
      <c r="P313" s="56" t="s">
        <v>4</v>
      </c>
      <c r="Q313" s="56"/>
      <c r="R313" s="270">
        <v>45913</v>
      </c>
      <c r="S313" s="270">
        <v>45918</v>
      </c>
      <c r="T313" s="51">
        <f t="shared" si="4"/>
        <v>5</v>
      </c>
      <c r="U313" s="56">
        <v>1</v>
      </c>
      <c r="V313" s="56">
        <v>1</v>
      </c>
      <c r="W313" s="56">
        <v>0</v>
      </c>
      <c r="X313" s="56">
        <v>0</v>
      </c>
      <c r="Y313" s="56">
        <v>0</v>
      </c>
      <c r="Z313" s="56">
        <v>0</v>
      </c>
      <c r="AA313" s="56">
        <v>0</v>
      </c>
      <c r="AB313" s="56"/>
      <c r="AC313" s="58">
        <v>45913</v>
      </c>
      <c r="AD313" s="59">
        <v>0.72916666666424135</v>
      </c>
      <c r="AE313" s="56" t="s">
        <v>575</v>
      </c>
      <c r="AF313" s="58">
        <v>45918</v>
      </c>
      <c r="AG313" s="59">
        <v>0.79513888889050577</v>
      </c>
      <c r="AH313" s="56" t="s">
        <v>359</v>
      </c>
      <c r="AI313" s="56" t="s">
        <v>6123</v>
      </c>
      <c r="AJ313" s="56" t="s">
        <v>64</v>
      </c>
      <c r="AK313" s="56" t="s">
        <v>64</v>
      </c>
      <c r="AL313" s="56" t="s">
        <v>5016</v>
      </c>
      <c r="AM313" s="56" t="s">
        <v>65</v>
      </c>
      <c r="AN313" s="60"/>
      <c r="AO313" s="60"/>
      <c r="AP313" s="61"/>
    </row>
    <row r="314" spans="3:42" ht="14.25" customHeight="1">
      <c r="C314" s="55">
        <f>IF($X314=1,COUNTIF($C$10:C313,"&gt;0")+1,"")</f>
        <v>156</v>
      </c>
      <c r="D314" s="56">
        <v>70102111</v>
      </c>
      <c r="E314" s="56" t="s">
        <v>6119</v>
      </c>
      <c r="F314" s="57" t="s">
        <v>6136</v>
      </c>
      <c r="G314" s="56" t="s">
        <v>6136</v>
      </c>
      <c r="H314" s="56" t="s">
        <v>6137</v>
      </c>
      <c r="I314" s="56" t="s">
        <v>6138</v>
      </c>
      <c r="J314" s="56" t="s">
        <v>68</v>
      </c>
      <c r="K314" s="56" t="s">
        <v>59</v>
      </c>
      <c r="L314" s="58">
        <v>27761</v>
      </c>
      <c r="M314" s="56">
        <v>49</v>
      </c>
      <c r="N314" s="56" t="s">
        <v>64</v>
      </c>
      <c r="O314" s="58" t="s">
        <v>64</v>
      </c>
      <c r="P314" s="56" t="s">
        <v>4</v>
      </c>
      <c r="Q314" s="56"/>
      <c r="R314" s="270">
        <v>45913</v>
      </c>
      <c r="S314" s="270">
        <v>45918</v>
      </c>
      <c r="T314" s="51">
        <f t="shared" si="4"/>
        <v>5</v>
      </c>
      <c r="U314" s="56">
        <v>1</v>
      </c>
      <c r="V314" s="56">
        <v>1</v>
      </c>
      <c r="W314" s="56">
        <v>0</v>
      </c>
      <c r="X314" s="56">
        <v>1</v>
      </c>
      <c r="Y314" s="56">
        <v>0</v>
      </c>
      <c r="Z314" s="56">
        <v>1</v>
      </c>
      <c r="AA314" s="56">
        <v>0</v>
      </c>
      <c r="AB314" s="56"/>
      <c r="AC314" s="58">
        <v>45913</v>
      </c>
      <c r="AD314" s="59">
        <v>0.64583333333575865</v>
      </c>
      <c r="AE314" s="56" t="s">
        <v>312</v>
      </c>
      <c r="AF314" s="58">
        <v>45917</v>
      </c>
      <c r="AG314" s="59">
        <v>0.72569444444525288</v>
      </c>
      <c r="AH314" s="56" t="s">
        <v>313</v>
      </c>
      <c r="AI314" s="56" t="s">
        <v>6123</v>
      </c>
      <c r="AJ314" s="56" t="s">
        <v>64</v>
      </c>
      <c r="AK314" s="56" t="s">
        <v>64</v>
      </c>
      <c r="AL314" s="56" t="s">
        <v>5016</v>
      </c>
      <c r="AM314" s="56" t="s">
        <v>65</v>
      </c>
      <c r="AN314" s="60"/>
      <c r="AO314" s="60"/>
      <c r="AP314" s="61"/>
    </row>
    <row r="315" spans="3:42" ht="14.25" customHeight="1">
      <c r="C315" s="55" t="str">
        <f>IF($X315=1,COUNTIF($C$10:C314,"&gt;0")+1,"")</f>
        <v/>
      </c>
      <c r="D315" s="56">
        <v>70102111</v>
      </c>
      <c r="E315" s="56" t="s">
        <v>6119</v>
      </c>
      <c r="F315" s="57" t="s">
        <v>6139</v>
      </c>
      <c r="G315" s="56" t="s">
        <v>6136</v>
      </c>
      <c r="H315" s="56" t="s">
        <v>6140</v>
      </c>
      <c r="I315" s="56" t="s">
        <v>6141</v>
      </c>
      <c r="J315" s="56" t="s">
        <v>58</v>
      </c>
      <c r="K315" s="56" t="s">
        <v>59</v>
      </c>
      <c r="L315" s="58" t="s">
        <v>64</v>
      </c>
      <c r="M315" s="56" t="s">
        <v>64</v>
      </c>
      <c r="N315" s="56" t="s">
        <v>64</v>
      </c>
      <c r="O315" s="58" t="s">
        <v>64</v>
      </c>
      <c r="P315" s="56" t="s">
        <v>4</v>
      </c>
      <c r="Q315" s="56"/>
      <c r="R315" s="270">
        <v>45913</v>
      </c>
      <c r="S315" s="270">
        <v>45918</v>
      </c>
      <c r="T315" s="51">
        <f t="shared" si="4"/>
        <v>5</v>
      </c>
      <c r="U315" s="56">
        <v>1</v>
      </c>
      <c r="V315" s="56">
        <v>1</v>
      </c>
      <c r="W315" s="56">
        <v>0</v>
      </c>
      <c r="X315" s="56">
        <v>0</v>
      </c>
      <c r="Y315" s="56">
        <v>0</v>
      </c>
      <c r="Z315" s="56">
        <v>0</v>
      </c>
      <c r="AA315" s="56">
        <v>0</v>
      </c>
      <c r="AB315" s="56"/>
      <c r="AC315" s="58">
        <v>45913</v>
      </c>
      <c r="AD315" s="59">
        <v>0.64583333333575865</v>
      </c>
      <c r="AE315" s="56" t="s">
        <v>312</v>
      </c>
      <c r="AF315" s="58">
        <v>45917</v>
      </c>
      <c r="AG315" s="59">
        <v>0.72569444444525288</v>
      </c>
      <c r="AH315" s="56" t="s">
        <v>313</v>
      </c>
      <c r="AI315" s="56" t="s">
        <v>6123</v>
      </c>
      <c r="AJ315" s="56" t="s">
        <v>64</v>
      </c>
      <c r="AK315" s="56" t="s">
        <v>64</v>
      </c>
      <c r="AL315" s="56" t="s">
        <v>5016</v>
      </c>
      <c r="AM315" s="56" t="s">
        <v>65</v>
      </c>
      <c r="AN315" s="60"/>
      <c r="AO315" s="60"/>
      <c r="AP315" s="61"/>
    </row>
    <row r="316" spans="3:42" ht="14.25" customHeight="1">
      <c r="C316" s="55">
        <f>IF($X316=1,COUNTIF($C$10:C315,"&gt;0")+1,"")</f>
        <v>157</v>
      </c>
      <c r="D316" s="56">
        <v>70102116</v>
      </c>
      <c r="E316" s="56" t="s">
        <v>6119</v>
      </c>
      <c r="F316" s="57" t="s">
        <v>6142</v>
      </c>
      <c r="G316" s="56" t="s">
        <v>6142</v>
      </c>
      <c r="H316" s="56" t="s">
        <v>6143</v>
      </c>
      <c r="I316" s="56" t="s">
        <v>6144</v>
      </c>
      <c r="J316" s="56" t="s">
        <v>68</v>
      </c>
      <c r="K316" s="56" t="s">
        <v>59</v>
      </c>
      <c r="L316" s="58">
        <v>26666</v>
      </c>
      <c r="M316" s="56">
        <v>52</v>
      </c>
      <c r="N316" s="56" t="s">
        <v>6145</v>
      </c>
      <c r="O316" s="58">
        <v>48070</v>
      </c>
      <c r="P316" s="56" t="s">
        <v>4</v>
      </c>
      <c r="Q316" s="56"/>
      <c r="R316" s="270">
        <v>45913</v>
      </c>
      <c r="S316" s="270">
        <v>45918</v>
      </c>
      <c r="T316" s="51">
        <f t="shared" si="4"/>
        <v>5</v>
      </c>
      <c r="U316" s="56">
        <v>1</v>
      </c>
      <c r="V316" s="56">
        <v>1</v>
      </c>
      <c r="W316" s="56">
        <v>0</v>
      </c>
      <c r="X316" s="56">
        <v>1</v>
      </c>
      <c r="Y316" s="56">
        <v>0</v>
      </c>
      <c r="Z316" s="56">
        <v>1</v>
      </c>
      <c r="AA316" s="56">
        <v>0</v>
      </c>
      <c r="AB316" s="56"/>
      <c r="AC316" s="58">
        <v>45913</v>
      </c>
      <c r="AD316" s="59">
        <v>0.72916666666424135</v>
      </c>
      <c r="AE316" s="56" t="s">
        <v>575</v>
      </c>
      <c r="AF316" s="58">
        <v>45918</v>
      </c>
      <c r="AG316" s="59">
        <v>0.79513888889050577</v>
      </c>
      <c r="AH316" s="56" t="s">
        <v>359</v>
      </c>
      <c r="AI316" s="56" t="s">
        <v>6123</v>
      </c>
      <c r="AJ316" s="56" t="s">
        <v>64</v>
      </c>
      <c r="AK316" s="56" t="s">
        <v>64</v>
      </c>
      <c r="AL316" s="56" t="s">
        <v>5016</v>
      </c>
      <c r="AM316" s="56" t="s">
        <v>65</v>
      </c>
      <c r="AN316" s="60"/>
      <c r="AO316" s="60"/>
      <c r="AP316" s="61"/>
    </row>
    <row r="317" spans="3:42" ht="14.25" customHeight="1">
      <c r="C317" s="55" t="str">
        <f>IF($X317=1,COUNTIF($C$10:C316,"&gt;0")+1,"")</f>
        <v/>
      </c>
      <c r="D317" s="56">
        <v>70102116</v>
      </c>
      <c r="E317" s="56" t="s">
        <v>6119</v>
      </c>
      <c r="F317" s="57" t="s">
        <v>6146</v>
      </c>
      <c r="G317" s="56" t="s">
        <v>6142</v>
      </c>
      <c r="H317" s="56" t="s">
        <v>6147</v>
      </c>
      <c r="I317" s="56" t="s">
        <v>6148</v>
      </c>
      <c r="J317" s="56" t="s">
        <v>58</v>
      </c>
      <c r="K317" s="56" t="s">
        <v>64</v>
      </c>
      <c r="L317" s="58">
        <v>24421</v>
      </c>
      <c r="M317" s="56">
        <v>58</v>
      </c>
      <c r="N317" s="56" t="s">
        <v>64</v>
      </c>
      <c r="O317" s="58" t="s">
        <v>64</v>
      </c>
      <c r="P317" s="56" t="s">
        <v>4</v>
      </c>
      <c r="Q317" s="56"/>
      <c r="R317" s="270">
        <v>45913</v>
      </c>
      <c r="S317" s="270">
        <v>45918</v>
      </c>
      <c r="T317" s="51">
        <f t="shared" si="4"/>
        <v>5</v>
      </c>
      <c r="U317" s="56">
        <v>1</v>
      </c>
      <c r="V317" s="56">
        <v>1</v>
      </c>
      <c r="W317" s="56">
        <v>0</v>
      </c>
      <c r="X317" s="56">
        <v>0</v>
      </c>
      <c r="Y317" s="56">
        <v>0</v>
      </c>
      <c r="Z317" s="56">
        <v>0</v>
      </c>
      <c r="AA317" s="56">
        <v>0</v>
      </c>
      <c r="AB317" s="56"/>
      <c r="AC317" s="58">
        <v>45913</v>
      </c>
      <c r="AD317" s="59">
        <v>0.72916666666424135</v>
      </c>
      <c r="AE317" s="56" t="s">
        <v>575</v>
      </c>
      <c r="AF317" s="58">
        <v>45918</v>
      </c>
      <c r="AG317" s="59">
        <v>0.79513888889050577</v>
      </c>
      <c r="AH317" s="56" t="s">
        <v>359</v>
      </c>
      <c r="AI317" s="56" t="s">
        <v>6123</v>
      </c>
      <c r="AJ317" s="56" t="s">
        <v>64</v>
      </c>
      <c r="AK317" s="56" t="s">
        <v>64</v>
      </c>
      <c r="AL317" s="56" t="s">
        <v>5016</v>
      </c>
      <c r="AM317" s="56" t="s">
        <v>65</v>
      </c>
      <c r="AN317" s="60"/>
      <c r="AO317" s="60"/>
      <c r="AP317" s="61"/>
    </row>
    <row r="318" spans="3:42" ht="14.25" customHeight="1">
      <c r="C318" s="55">
        <f>IF($X318=1,COUNTIF($C$10:C317,"&gt;0")+1,"")</f>
        <v>158</v>
      </c>
      <c r="D318" s="56">
        <v>70102119</v>
      </c>
      <c r="E318" s="56" t="s">
        <v>6119</v>
      </c>
      <c r="F318" s="57" t="s">
        <v>6149</v>
      </c>
      <c r="G318" s="56" t="s">
        <v>6149</v>
      </c>
      <c r="H318" s="56" t="s">
        <v>6150</v>
      </c>
      <c r="I318" s="56" t="s">
        <v>6151</v>
      </c>
      <c r="J318" s="56" t="s">
        <v>68</v>
      </c>
      <c r="K318" s="56" t="s">
        <v>59</v>
      </c>
      <c r="L318" s="58">
        <v>30955</v>
      </c>
      <c r="M318" s="56">
        <v>40</v>
      </c>
      <c r="N318" s="56" t="s">
        <v>6152</v>
      </c>
      <c r="O318" s="58">
        <v>48237</v>
      </c>
      <c r="P318" s="56" t="s">
        <v>4</v>
      </c>
      <c r="Q318" s="56"/>
      <c r="R318" s="270">
        <v>45913</v>
      </c>
      <c r="S318" s="270">
        <v>45918</v>
      </c>
      <c r="T318" s="51">
        <f t="shared" si="4"/>
        <v>5</v>
      </c>
      <c r="U318" s="56">
        <v>1</v>
      </c>
      <c r="V318" s="56">
        <v>1</v>
      </c>
      <c r="W318" s="56">
        <v>0</v>
      </c>
      <c r="X318" s="56">
        <v>1</v>
      </c>
      <c r="Y318" s="56">
        <v>0</v>
      </c>
      <c r="Z318" s="56">
        <v>1</v>
      </c>
      <c r="AA318" s="56">
        <v>0</v>
      </c>
      <c r="AB318" s="56"/>
      <c r="AC318" s="58">
        <v>45913</v>
      </c>
      <c r="AD318" s="59">
        <v>0.72916666666424135</v>
      </c>
      <c r="AE318" s="56" t="s">
        <v>575</v>
      </c>
      <c r="AF318" s="58">
        <v>45918</v>
      </c>
      <c r="AG318" s="59">
        <v>0.79513888889050577</v>
      </c>
      <c r="AH318" s="56" t="s">
        <v>359</v>
      </c>
      <c r="AI318" s="56" t="s">
        <v>6123</v>
      </c>
      <c r="AJ318" s="56" t="s">
        <v>64</v>
      </c>
      <c r="AK318" s="56" t="s">
        <v>64</v>
      </c>
      <c r="AL318" s="56" t="s">
        <v>5016</v>
      </c>
      <c r="AM318" s="56" t="s">
        <v>65</v>
      </c>
      <c r="AN318" s="60"/>
      <c r="AO318" s="60"/>
      <c r="AP318" s="61"/>
    </row>
    <row r="319" spans="3:42" ht="14.25" customHeight="1">
      <c r="C319" s="55" t="str">
        <f>IF($X319=1,COUNTIF($C$10:C318,"&gt;0")+1,"")</f>
        <v/>
      </c>
      <c r="D319" s="56">
        <v>70102119</v>
      </c>
      <c r="E319" s="56" t="s">
        <v>6119</v>
      </c>
      <c r="F319" s="57" t="s">
        <v>6153</v>
      </c>
      <c r="G319" s="56" t="s">
        <v>6149</v>
      </c>
      <c r="H319" s="56" t="s">
        <v>6154</v>
      </c>
      <c r="I319" s="56" t="s">
        <v>6151</v>
      </c>
      <c r="J319" s="56" t="s">
        <v>58</v>
      </c>
      <c r="K319" s="56" t="s">
        <v>64</v>
      </c>
      <c r="L319" s="58" t="s">
        <v>64</v>
      </c>
      <c r="M319" s="56" t="s">
        <v>64</v>
      </c>
      <c r="N319" s="56" t="s">
        <v>64</v>
      </c>
      <c r="O319" s="58" t="s">
        <v>64</v>
      </c>
      <c r="P319" s="56" t="s">
        <v>4</v>
      </c>
      <c r="Q319" s="56"/>
      <c r="R319" s="270">
        <v>45913</v>
      </c>
      <c r="S319" s="270">
        <v>45918</v>
      </c>
      <c r="T319" s="51">
        <f t="shared" si="4"/>
        <v>5</v>
      </c>
      <c r="U319" s="56">
        <v>1</v>
      </c>
      <c r="V319" s="56">
        <v>1</v>
      </c>
      <c r="W319" s="56">
        <v>0</v>
      </c>
      <c r="X319" s="56">
        <v>0</v>
      </c>
      <c r="Y319" s="56">
        <v>0</v>
      </c>
      <c r="Z319" s="56">
        <v>0</v>
      </c>
      <c r="AA319" s="56">
        <v>0</v>
      </c>
      <c r="AB319" s="56"/>
      <c r="AC319" s="58">
        <v>45913</v>
      </c>
      <c r="AD319" s="59">
        <v>0.72916666666424135</v>
      </c>
      <c r="AE319" s="56" t="s">
        <v>575</v>
      </c>
      <c r="AF319" s="58">
        <v>45918</v>
      </c>
      <c r="AG319" s="59">
        <v>0.79513888889050577</v>
      </c>
      <c r="AH319" s="56" t="s">
        <v>359</v>
      </c>
      <c r="AI319" s="56" t="s">
        <v>6123</v>
      </c>
      <c r="AJ319" s="56" t="s">
        <v>64</v>
      </c>
      <c r="AK319" s="56" t="s">
        <v>64</v>
      </c>
      <c r="AL319" s="56" t="s">
        <v>5016</v>
      </c>
      <c r="AM319" s="56" t="s">
        <v>65</v>
      </c>
      <c r="AN319" s="60"/>
      <c r="AO319" s="60"/>
      <c r="AP319" s="61"/>
    </row>
    <row r="320" spans="3:42" ht="14.25" customHeight="1">
      <c r="C320" s="55">
        <f>IF($X320=1,COUNTIF($C$10:C319,"&gt;0")+1,"")</f>
        <v>159</v>
      </c>
      <c r="D320" s="76">
        <v>70065032</v>
      </c>
      <c r="E320" s="56" t="s">
        <v>6119</v>
      </c>
      <c r="F320" s="57" t="s">
        <v>6155</v>
      </c>
      <c r="G320" s="56" t="s">
        <v>6155</v>
      </c>
      <c r="H320" s="56" t="s">
        <v>6156</v>
      </c>
      <c r="I320" s="56" t="s">
        <v>6157</v>
      </c>
      <c r="J320" s="56" t="s">
        <v>68</v>
      </c>
      <c r="K320" s="56" t="s">
        <v>59</v>
      </c>
      <c r="L320" s="58">
        <v>29170</v>
      </c>
      <c r="M320" s="56">
        <v>45</v>
      </c>
      <c r="N320" s="56" t="s">
        <v>6158</v>
      </c>
      <c r="O320" s="58">
        <v>48678</v>
      </c>
      <c r="P320" s="56" t="s">
        <v>3</v>
      </c>
      <c r="Q320" s="56"/>
      <c r="R320" s="270">
        <v>45913</v>
      </c>
      <c r="S320" s="270">
        <v>45918</v>
      </c>
      <c r="T320" s="51">
        <f t="shared" si="4"/>
        <v>5</v>
      </c>
      <c r="U320" s="56">
        <v>1</v>
      </c>
      <c r="V320" s="56">
        <v>1</v>
      </c>
      <c r="W320" s="56">
        <v>0</v>
      </c>
      <c r="X320" s="56">
        <v>1</v>
      </c>
      <c r="Y320" s="56">
        <v>1</v>
      </c>
      <c r="Z320" s="56">
        <v>0</v>
      </c>
      <c r="AA320" s="56">
        <v>0</v>
      </c>
      <c r="AB320" s="56"/>
      <c r="AC320" s="58">
        <v>45913</v>
      </c>
      <c r="AD320" s="59">
        <v>0.625</v>
      </c>
      <c r="AE320" s="56" t="s">
        <v>74</v>
      </c>
      <c r="AF320" s="58">
        <v>45918</v>
      </c>
      <c r="AG320" s="59">
        <v>0.70138888889050577</v>
      </c>
      <c r="AH320" s="56" t="s">
        <v>96</v>
      </c>
      <c r="AI320" s="56" t="s">
        <v>6123</v>
      </c>
      <c r="AJ320" s="56" t="s">
        <v>64</v>
      </c>
      <c r="AK320" s="56" t="s">
        <v>64</v>
      </c>
      <c r="AL320" s="56" t="s">
        <v>5016</v>
      </c>
      <c r="AM320" s="56" t="s">
        <v>65</v>
      </c>
      <c r="AN320" s="60" t="s">
        <v>5040</v>
      </c>
      <c r="AO320" s="60"/>
      <c r="AP320" s="61"/>
    </row>
    <row r="321" spans="3:43" ht="14.25" customHeight="1">
      <c r="C321" s="55">
        <f>IF($X321=1,COUNTIF($C$10:C320,"&gt;0")+1,"")</f>
        <v>160</v>
      </c>
      <c r="D321" s="76">
        <v>70102115</v>
      </c>
      <c r="E321" s="56" t="s">
        <v>6119</v>
      </c>
      <c r="F321" s="57" t="s">
        <v>6159</v>
      </c>
      <c r="G321" s="56" t="s">
        <v>6159</v>
      </c>
      <c r="H321" s="56" t="s">
        <v>6160</v>
      </c>
      <c r="I321" s="56" t="s">
        <v>6161</v>
      </c>
      <c r="J321" s="56" t="s">
        <v>58</v>
      </c>
      <c r="K321" s="56" t="s">
        <v>59</v>
      </c>
      <c r="L321" s="58">
        <v>22863</v>
      </c>
      <c r="M321" s="56">
        <v>63</v>
      </c>
      <c r="N321" s="56" t="s">
        <v>6162</v>
      </c>
      <c r="O321" s="58">
        <v>45983</v>
      </c>
      <c r="P321" s="56" t="s">
        <v>4</v>
      </c>
      <c r="Q321" s="56"/>
      <c r="R321" s="270">
        <v>45913</v>
      </c>
      <c r="S321" s="270">
        <v>45918</v>
      </c>
      <c r="T321" s="51">
        <f t="shared" si="4"/>
        <v>5</v>
      </c>
      <c r="U321" s="56">
        <v>1</v>
      </c>
      <c r="V321" s="56">
        <v>1</v>
      </c>
      <c r="W321" s="56">
        <v>0</v>
      </c>
      <c r="X321" s="56">
        <v>1</v>
      </c>
      <c r="Y321" s="56">
        <v>0</v>
      </c>
      <c r="Z321" s="56">
        <v>1</v>
      </c>
      <c r="AA321" s="56">
        <v>0</v>
      </c>
      <c r="AB321" s="56"/>
      <c r="AC321" s="58">
        <v>45913</v>
      </c>
      <c r="AD321" s="59">
        <v>0.68402777778101154</v>
      </c>
      <c r="AE321" s="56" t="s">
        <v>688</v>
      </c>
      <c r="AF321" s="58">
        <v>45918</v>
      </c>
      <c r="AG321" s="59">
        <v>0.68402777778101154</v>
      </c>
      <c r="AH321" s="56" t="s">
        <v>274</v>
      </c>
      <c r="AI321" s="56" t="s">
        <v>6123</v>
      </c>
      <c r="AJ321" s="56" t="s">
        <v>64</v>
      </c>
      <c r="AK321" s="56" t="s">
        <v>64</v>
      </c>
      <c r="AL321" s="56" t="s">
        <v>5016</v>
      </c>
      <c r="AM321" s="56" t="s">
        <v>65</v>
      </c>
      <c r="AN321" s="60"/>
      <c r="AO321" s="60"/>
      <c r="AP321" s="61"/>
    </row>
    <row r="322" spans="3:43" ht="14.25" customHeight="1">
      <c r="C322" s="55" t="str">
        <f>IF($X322=1,COUNTIF($C$10:C321,"&gt;0")+1,"")</f>
        <v/>
      </c>
      <c r="D322" s="76">
        <v>70102115</v>
      </c>
      <c r="E322" s="56" t="s">
        <v>6119</v>
      </c>
      <c r="F322" s="57" t="s">
        <v>6163</v>
      </c>
      <c r="G322" s="56" t="s">
        <v>6159</v>
      </c>
      <c r="H322" s="56" t="s">
        <v>6164</v>
      </c>
      <c r="I322" s="56" t="s">
        <v>6161</v>
      </c>
      <c r="J322" s="56" t="s">
        <v>68</v>
      </c>
      <c r="K322" s="56" t="s">
        <v>59</v>
      </c>
      <c r="L322" s="58">
        <v>24090</v>
      </c>
      <c r="M322" s="56">
        <v>59</v>
      </c>
      <c r="N322" s="56" t="s">
        <v>6165</v>
      </c>
      <c r="O322" s="58">
        <v>48855</v>
      </c>
      <c r="P322" s="56" t="s">
        <v>4</v>
      </c>
      <c r="Q322" s="56"/>
      <c r="R322" s="270">
        <v>45913</v>
      </c>
      <c r="S322" s="270">
        <v>45918</v>
      </c>
      <c r="T322" s="51">
        <f t="shared" si="4"/>
        <v>5</v>
      </c>
      <c r="U322" s="56">
        <v>1</v>
      </c>
      <c r="V322" s="56">
        <v>1</v>
      </c>
      <c r="W322" s="56">
        <v>0</v>
      </c>
      <c r="X322" s="56">
        <v>0</v>
      </c>
      <c r="Y322" s="56">
        <v>0</v>
      </c>
      <c r="Z322" s="56">
        <v>0</v>
      </c>
      <c r="AA322" s="56">
        <v>0</v>
      </c>
      <c r="AB322" s="56"/>
      <c r="AC322" s="58">
        <v>45913</v>
      </c>
      <c r="AD322" s="59">
        <v>0.68402777778101154</v>
      </c>
      <c r="AE322" s="56" t="s">
        <v>688</v>
      </c>
      <c r="AF322" s="58">
        <v>45918</v>
      </c>
      <c r="AG322" s="59">
        <v>0.68402777778101154</v>
      </c>
      <c r="AH322" s="56" t="s">
        <v>274</v>
      </c>
      <c r="AI322" s="56" t="s">
        <v>6123</v>
      </c>
      <c r="AJ322" s="56" t="s">
        <v>64</v>
      </c>
      <c r="AK322" s="56" t="s">
        <v>64</v>
      </c>
      <c r="AL322" s="56" t="s">
        <v>5016</v>
      </c>
      <c r="AM322" s="56" t="s">
        <v>65</v>
      </c>
      <c r="AN322" s="60"/>
      <c r="AO322" s="60"/>
      <c r="AP322" s="61"/>
    </row>
    <row r="323" spans="3:43" ht="14.25" customHeight="1">
      <c r="C323" s="55">
        <f>IF($X323=1,COUNTIF($C$10:C322,"&gt;0")+1,"")</f>
        <v>161</v>
      </c>
      <c r="D323" s="76">
        <v>70065044</v>
      </c>
      <c r="E323" s="56" t="s">
        <v>6119</v>
      </c>
      <c r="F323" s="57" t="s">
        <v>6166</v>
      </c>
      <c r="G323" s="56" t="s">
        <v>6166</v>
      </c>
      <c r="H323" s="56" t="s">
        <v>6167</v>
      </c>
      <c r="I323" s="56" t="s">
        <v>6168</v>
      </c>
      <c r="J323" s="56" t="s">
        <v>68</v>
      </c>
      <c r="K323" s="56" t="s">
        <v>59</v>
      </c>
      <c r="L323" s="58">
        <v>26844</v>
      </c>
      <c r="M323" s="56">
        <v>52</v>
      </c>
      <c r="N323" s="56" t="s">
        <v>6169</v>
      </c>
      <c r="O323" s="58">
        <v>46641</v>
      </c>
      <c r="P323" s="56" t="s">
        <v>3</v>
      </c>
      <c r="Q323" s="56"/>
      <c r="R323" s="270">
        <v>45913</v>
      </c>
      <c r="S323" s="270">
        <v>45918</v>
      </c>
      <c r="T323" s="51">
        <f t="shared" si="4"/>
        <v>5</v>
      </c>
      <c r="U323" s="56">
        <v>1</v>
      </c>
      <c r="V323" s="56">
        <v>1</v>
      </c>
      <c r="W323" s="56">
        <v>0</v>
      </c>
      <c r="X323" s="56">
        <v>1</v>
      </c>
      <c r="Y323" s="56">
        <v>1</v>
      </c>
      <c r="Z323" s="56">
        <v>0</v>
      </c>
      <c r="AA323" s="56">
        <v>0</v>
      </c>
      <c r="AB323" s="56"/>
      <c r="AC323" s="58">
        <v>45913</v>
      </c>
      <c r="AD323" s="59">
        <v>0.625</v>
      </c>
      <c r="AE323" s="56" t="s">
        <v>74</v>
      </c>
      <c r="AF323" s="58">
        <v>45918</v>
      </c>
      <c r="AG323" s="59">
        <v>0.70138888889050577</v>
      </c>
      <c r="AH323" s="56" t="s">
        <v>96</v>
      </c>
      <c r="AI323" s="56" t="s">
        <v>6123</v>
      </c>
      <c r="AJ323" s="56" t="s">
        <v>64</v>
      </c>
      <c r="AK323" s="56" t="s">
        <v>64</v>
      </c>
      <c r="AL323" s="56" t="s">
        <v>5016</v>
      </c>
      <c r="AM323" s="56" t="s">
        <v>65</v>
      </c>
      <c r="AN323" s="60" t="s">
        <v>5040</v>
      </c>
      <c r="AO323" s="60"/>
      <c r="AP323" s="61"/>
    </row>
    <row r="324" spans="3:43" ht="14.25" customHeight="1">
      <c r="C324" s="55">
        <f>IF($X324=1,COUNTIF($C$10:C323,"&gt;0")+1,"")</f>
        <v>162</v>
      </c>
      <c r="D324" s="76">
        <v>70517322</v>
      </c>
      <c r="E324" s="56" t="s">
        <v>6119</v>
      </c>
      <c r="F324" s="57" t="s">
        <v>6170</v>
      </c>
      <c r="G324" s="56" t="s">
        <v>6170</v>
      </c>
      <c r="H324" s="56" t="s">
        <v>3846</v>
      </c>
      <c r="I324" s="56" t="s">
        <v>6171</v>
      </c>
      <c r="J324" s="56" t="s">
        <v>68</v>
      </c>
      <c r="K324" s="56" t="s">
        <v>59</v>
      </c>
      <c r="L324" s="58">
        <v>23781</v>
      </c>
      <c r="M324" s="56">
        <v>60</v>
      </c>
      <c r="N324" s="56" t="s">
        <v>6172</v>
      </c>
      <c r="O324" s="58">
        <v>46865</v>
      </c>
      <c r="P324" s="56" t="s">
        <v>5</v>
      </c>
      <c r="Q324" s="56"/>
      <c r="R324" s="270">
        <v>45913</v>
      </c>
      <c r="S324" s="270">
        <v>45918</v>
      </c>
      <c r="T324" s="51">
        <f t="shared" si="4"/>
        <v>5</v>
      </c>
      <c r="U324" s="56">
        <v>1</v>
      </c>
      <c r="V324" s="56">
        <v>1</v>
      </c>
      <c r="W324" s="56">
        <v>0</v>
      </c>
      <c r="X324" s="56">
        <v>1</v>
      </c>
      <c r="Y324" s="56">
        <v>0</v>
      </c>
      <c r="Z324" s="56">
        <v>0</v>
      </c>
      <c r="AA324" s="56">
        <v>1</v>
      </c>
      <c r="AB324" s="56"/>
      <c r="AC324" s="58">
        <v>45913</v>
      </c>
      <c r="AD324" s="59">
        <v>0.78125</v>
      </c>
      <c r="AE324" s="56" t="s">
        <v>462</v>
      </c>
      <c r="AF324" s="58">
        <v>45918</v>
      </c>
      <c r="AG324" s="59">
        <v>0.86458333333575865</v>
      </c>
      <c r="AH324" s="56" t="s">
        <v>463</v>
      </c>
      <c r="AI324" s="56" t="s">
        <v>6123</v>
      </c>
      <c r="AJ324" s="56" t="s">
        <v>64</v>
      </c>
      <c r="AK324" s="56" t="s">
        <v>64</v>
      </c>
      <c r="AL324" s="56" t="s">
        <v>5016</v>
      </c>
      <c r="AM324" s="56" t="s">
        <v>65</v>
      </c>
      <c r="AN324" s="60" t="s">
        <v>5857</v>
      </c>
      <c r="AO324" s="60" t="s">
        <v>331</v>
      </c>
      <c r="AP324" s="61"/>
    </row>
    <row r="325" spans="3:43" ht="14.25" customHeight="1">
      <c r="C325" s="55" t="str">
        <f>IF($X325=1,COUNTIF($C$10:C324,"&gt;0")+1,"")</f>
        <v/>
      </c>
      <c r="D325" s="76">
        <v>70517322</v>
      </c>
      <c r="E325" s="56" t="s">
        <v>6119</v>
      </c>
      <c r="F325" s="57" t="s">
        <v>6173</v>
      </c>
      <c r="G325" s="56" t="s">
        <v>6170</v>
      </c>
      <c r="H325" s="56" t="s">
        <v>6174</v>
      </c>
      <c r="I325" s="56" t="s">
        <v>6175</v>
      </c>
      <c r="J325" s="56" t="s">
        <v>68</v>
      </c>
      <c r="K325" s="56" t="s">
        <v>59</v>
      </c>
      <c r="L325" s="58">
        <v>28458</v>
      </c>
      <c r="M325" s="56">
        <v>47</v>
      </c>
      <c r="N325" s="56" t="s">
        <v>6176</v>
      </c>
      <c r="O325" s="58">
        <v>48689</v>
      </c>
      <c r="P325" s="56" t="s">
        <v>5</v>
      </c>
      <c r="Q325" s="56"/>
      <c r="R325" s="270">
        <v>45913</v>
      </c>
      <c r="S325" s="270">
        <v>45918</v>
      </c>
      <c r="T325" s="51">
        <f t="shared" si="4"/>
        <v>5</v>
      </c>
      <c r="U325" s="56">
        <v>1</v>
      </c>
      <c r="V325" s="56">
        <v>1</v>
      </c>
      <c r="W325" s="56">
        <v>0</v>
      </c>
      <c r="X325" s="56">
        <v>0</v>
      </c>
      <c r="Y325" s="56">
        <v>0</v>
      </c>
      <c r="Z325" s="56">
        <v>0</v>
      </c>
      <c r="AA325" s="56">
        <v>0</v>
      </c>
      <c r="AB325" s="56"/>
      <c r="AC325" s="58">
        <v>45913</v>
      </c>
      <c r="AD325" s="59">
        <v>0.78125</v>
      </c>
      <c r="AE325" s="56" t="s">
        <v>462</v>
      </c>
      <c r="AF325" s="58">
        <v>45918</v>
      </c>
      <c r="AG325" s="59">
        <v>0.86458333333575865</v>
      </c>
      <c r="AH325" s="56" t="s">
        <v>463</v>
      </c>
      <c r="AI325" s="56" t="s">
        <v>6123</v>
      </c>
      <c r="AJ325" s="56" t="s">
        <v>64</v>
      </c>
      <c r="AK325" s="56" t="s">
        <v>64</v>
      </c>
      <c r="AL325" s="56" t="s">
        <v>5016</v>
      </c>
      <c r="AM325" s="56" t="s">
        <v>65</v>
      </c>
      <c r="AN325" s="60" t="s">
        <v>5857</v>
      </c>
      <c r="AO325" s="60" t="s">
        <v>331</v>
      </c>
      <c r="AP325" s="61"/>
    </row>
    <row r="326" spans="3:43" ht="14.25" customHeight="1">
      <c r="C326" s="55" t="str">
        <f>IF($X326=1,COUNTIF($C$10:C325,"&gt;0")+1,"")</f>
        <v/>
      </c>
      <c r="D326" s="76">
        <v>70517322</v>
      </c>
      <c r="E326" s="56" t="s">
        <v>6119</v>
      </c>
      <c r="F326" s="57" t="s">
        <v>6177</v>
      </c>
      <c r="G326" s="56" t="s">
        <v>6170</v>
      </c>
      <c r="H326" s="56" t="s">
        <v>6178</v>
      </c>
      <c r="I326" s="56" t="s">
        <v>6179</v>
      </c>
      <c r="J326" s="56" t="s">
        <v>68</v>
      </c>
      <c r="K326" s="56" t="s">
        <v>59</v>
      </c>
      <c r="L326" s="58">
        <v>43965</v>
      </c>
      <c r="M326" s="56">
        <v>5</v>
      </c>
      <c r="N326" s="56" t="s">
        <v>6180</v>
      </c>
      <c r="O326" s="58">
        <v>45994</v>
      </c>
      <c r="P326" s="56" t="s">
        <v>5</v>
      </c>
      <c r="Q326" s="56"/>
      <c r="R326" s="270">
        <v>45913</v>
      </c>
      <c r="S326" s="270">
        <v>45918</v>
      </c>
      <c r="T326" s="51">
        <f t="shared" si="4"/>
        <v>5</v>
      </c>
      <c r="U326" s="56">
        <v>1</v>
      </c>
      <c r="V326" s="56">
        <v>0</v>
      </c>
      <c r="W326" s="56">
        <v>1</v>
      </c>
      <c r="X326" s="56">
        <v>0</v>
      </c>
      <c r="Y326" s="56">
        <v>0</v>
      </c>
      <c r="Z326" s="56">
        <v>0</v>
      </c>
      <c r="AA326" s="56">
        <v>0</v>
      </c>
      <c r="AB326" s="56"/>
      <c r="AC326" s="58">
        <v>45913</v>
      </c>
      <c r="AD326" s="59">
        <v>0.78125</v>
      </c>
      <c r="AE326" s="56" t="s">
        <v>462</v>
      </c>
      <c r="AF326" s="58">
        <v>45918</v>
      </c>
      <c r="AG326" s="59">
        <v>0.86458333333575865</v>
      </c>
      <c r="AH326" s="56" t="s">
        <v>463</v>
      </c>
      <c r="AI326" s="56" t="s">
        <v>6123</v>
      </c>
      <c r="AJ326" s="56" t="s">
        <v>64</v>
      </c>
      <c r="AK326" s="56" t="s">
        <v>64</v>
      </c>
      <c r="AL326" s="56" t="s">
        <v>5016</v>
      </c>
      <c r="AM326" s="56" t="s">
        <v>65</v>
      </c>
      <c r="AN326" s="60" t="s">
        <v>5857</v>
      </c>
      <c r="AO326" s="60" t="s">
        <v>331</v>
      </c>
      <c r="AP326" s="61"/>
    </row>
    <row r="327" spans="3:43" ht="14.25" customHeight="1">
      <c r="C327" s="55">
        <f>IF($X327=1,COUNTIF($C$10:C326,"&gt;0")+1,"")</f>
        <v>163</v>
      </c>
      <c r="D327" s="76">
        <v>70508914</v>
      </c>
      <c r="E327" s="56" t="s">
        <v>6119</v>
      </c>
      <c r="F327" s="57" t="s">
        <v>6181</v>
      </c>
      <c r="G327" s="56" t="s">
        <v>6181</v>
      </c>
      <c r="H327" s="56" t="s">
        <v>6182</v>
      </c>
      <c r="I327" s="56" t="s">
        <v>6183</v>
      </c>
      <c r="J327" s="56" t="s">
        <v>68</v>
      </c>
      <c r="K327" s="56" t="s">
        <v>59</v>
      </c>
      <c r="L327" s="58">
        <v>32804</v>
      </c>
      <c r="M327" s="56">
        <v>35</v>
      </c>
      <c r="N327" s="56" t="s">
        <v>6184</v>
      </c>
      <c r="O327" s="58">
        <v>48332</v>
      </c>
      <c r="P327" s="56" t="s">
        <v>4</v>
      </c>
      <c r="Q327" s="56"/>
      <c r="R327" s="270">
        <v>45913</v>
      </c>
      <c r="S327" s="270">
        <v>45918</v>
      </c>
      <c r="T327" s="51">
        <f t="shared" si="4"/>
        <v>5</v>
      </c>
      <c r="U327" s="56">
        <v>1</v>
      </c>
      <c r="V327" s="56">
        <v>1</v>
      </c>
      <c r="W327" s="56">
        <v>0</v>
      </c>
      <c r="X327" s="56">
        <v>1</v>
      </c>
      <c r="Y327" s="56">
        <v>0</v>
      </c>
      <c r="Z327" s="56">
        <v>1</v>
      </c>
      <c r="AA327" s="56">
        <v>0</v>
      </c>
      <c r="AB327" s="56"/>
      <c r="AC327" s="58">
        <v>45913</v>
      </c>
      <c r="AD327" s="59">
        <v>0.59027777778101154</v>
      </c>
      <c r="AE327" s="56" t="s">
        <v>547</v>
      </c>
      <c r="AF327" s="58">
        <v>45918</v>
      </c>
      <c r="AG327" s="59">
        <v>0.68402777778101154</v>
      </c>
      <c r="AH327" s="56" t="s">
        <v>274</v>
      </c>
      <c r="AI327" s="56" t="s">
        <v>6123</v>
      </c>
      <c r="AJ327" s="56" t="s">
        <v>64</v>
      </c>
      <c r="AK327" s="56" t="s">
        <v>64</v>
      </c>
      <c r="AL327" s="56" t="s">
        <v>5016</v>
      </c>
      <c r="AM327" s="56" t="s">
        <v>65</v>
      </c>
      <c r="AN327" s="60" t="s">
        <v>5017</v>
      </c>
      <c r="AO327" s="60"/>
      <c r="AP327" s="61"/>
      <c r="AQ327" s="271" t="s">
        <v>5064</v>
      </c>
    </row>
    <row r="328" spans="3:43" ht="14.25" customHeight="1">
      <c r="C328" s="55" t="str">
        <f>IF($X328=1,COUNTIF($C$10:C327,"&gt;0")+1,"")</f>
        <v/>
      </c>
      <c r="D328" s="76">
        <v>70508914</v>
      </c>
      <c r="E328" s="56" t="s">
        <v>6119</v>
      </c>
      <c r="F328" s="57" t="s">
        <v>6185</v>
      </c>
      <c r="G328" s="56" t="s">
        <v>6181</v>
      </c>
      <c r="H328" s="56" t="s">
        <v>6186</v>
      </c>
      <c r="I328" s="56" t="s">
        <v>6183</v>
      </c>
      <c r="J328" s="56" t="s">
        <v>68</v>
      </c>
      <c r="K328" s="56" t="s">
        <v>59</v>
      </c>
      <c r="L328" s="58">
        <v>24203</v>
      </c>
      <c r="M328" s="56">
        <v>59</v>
      </c>
      <c r="N328" s="56" t="s">
        <v>6187</v>
      </c>
      <c r="O328" s="58">
        <v>47159</v>
      </c>
      <c r="P328" s="56" t="s">
        <v>4</v>
      </c>
      <c r="Q328" s="56"/>
      <c r="R328" s="270">
        <v>45913</v>
      </c>
      <c r="S328" s="270">
        <v>45918</v>
      </c>
      <c r="T328" s="51">
        <f t="shared" si="4"/>
        <v>5</v>
      </c>
      <c r="U328" s="56">
        <v>1</v>
      </c>
      <c r="V328" s="56">
        <v>1</v>
      </c>
      <c r="W328" s="56">
        <v>0</v>
      </c>
      <c r="X328" s="56">
        <v>0</v>
      </c>
      <c r="Y328" s="56">
        <v>0</v>
      </c>
      <c r="Z328" s="56">
        <v>0</v>
      </c>
      <c r="AA328" s="56">
        <v>0</v>
      </c>
      <c r="AB328" s="56"/>
      <c r="AC328" s="58">
        <v>45913</v>
      </c>
      <c r="AD328" s="59">
        <v>0.59027777778101154</v>
      </c>
      <c r="AE328" s="56" t="s">
        <v>547</v>
      </c>
      <c r="AF328" s="58">
        <v>45918</v>
      </c>
      <c r="AG328" s="59">
        <v>0.68402777778101154</v>
      </c>
      <c r="AH328" s="56" t="s">
        <v>274</v>
      </c>
      <c r="AI328" s="56" t="s">
        <v>6123</v>
      </c>
      <c r="AJ328" s="56" t="s">
        <v>64</v>
      </c>
      <c r="AK328" s="56" t="s">
        <v>64</v>
      </c>
      <c r="AL328" s="56" t="s">
        <v>5016</v>
      </c>
      <c r="AM328" s="56" t="s">
        <v>65</v>
      </c>
      <c r="AN328" s="60" t="s">
        <v>5017</v>
      </c>
      <c r="AO328" s="60"/>
      <c r="AP328" s="61"/>
      <c r="AQ328" s="271" t="s">
        <v>5064</v>
      </c>
    </row>
    <row r="329" spans="3:43" ht="14.25" customHeight="1">
      <c r="C329" s="55">
        <f>IF($X329=1,COUNTIF($C$10:C328,"&gt;0")+1,"")</f>
        <v>164</v>
      </c>
      <c r="D329" s="76">
        <v>70065046</v>
      </c>
      <c r="E329" s="56" t="s">
        <v>6188</v>
      </c>
      <c r="F329" s="57" t="s">
        <v>6189</v>
      </c>
      <c r="G329" s="56" t="s">
        <v>6189</v>
      </c>
      <c r="H329" s="56" t="s">
        <v>6190</v>
      </c>
      <c r="I329" s="56" t="s">
        <v>6191</v>
      </c>
      <c r="J329" s="56" t="s">
        <v>68</v>
      </c>
      <c r="K329" s="56" t="s">
        <v>59</v>
      </c>
      <c r="L329" s="58">
        <v>27601</v>
      </c>
      <c r="M329" s="56">
        <v>50</v>
      </c>
      <c r="N329" s="56" t="s">
        <v>6192</v>
      </c>
      <c r="O329" s="58">
        <v>46291</v>
      </c>
      <c r="P329" s="56" t="s">
        <v>3</v>
      </c>
      <c r="Q329" s="56"/>
      <c r="R329" s="270">
        <v>45913</v>
      </c>
      <c r="S329" s="270">
        <v>45918</v>
      </c>
      <c r="T329" s="51">
        <f t="shared" si="4"/>
        <v>5</v>
      </c>
      <c r="U329" s="56">
        <v>1</v>
      </c>
      <c r="V329" s="56">
        <v>1</v>
      </c>
      <c r="W329" s="56">
        <v>0</v>
      </c>
      <c r="X329" s="56">
        <v>1</v>
      </c>
      <c r="Y329" s="56">
        <v>1</v>
      </c>
      <c r="Z329" s="56">
        <v>0</v>
      </c>
      <c r="AA329" s="56">
        <v>0</v>
      </c>
      <c r="AB329" s="56"/>
      <c r="AC329" s="58">
        <v>45913</v>
      </c>
      <c r="AD329" s="59">
        <v>0.65972222221898846</v>
      </c>
      <c r="AE329" s="56" t="s">
        <v>101</v>
      </c>
      <c r="AF329" s="58">
        <v>45918</v>
      </c>
      <c r="AG329" s="59">
        <v>0.42708333333575865</v>
      </c>
      <c r="AH329" s="56" t="s">
        <v>689</v>
      </c>
      <c r="AI329" s="56" t="s">
        <v>6193</v>
      </c>
      <c r="AJ329" s="56" t="s">
        <v>64</v>
      </c>
      <c r="AK329" s="56" t="s">
        <v>64</v>
      </c>
      <c r="AL329" s="56" t="s">
        <v>5016</v>
      </c>
      <c r="AM329" s="56" t="s">
        <v>65</v>
      </c>
      <c r="AN329" s="60" t="s">
        <v>5040</v>
      </c>
      <c r="AO329" s="60"/>
      <c r="AP329" s="61"/>
    </row>
    <row r="330" spans="3:43" ht="14.25" customHeight="1">
      <c r="C330" s="55">
        <f>IF($X330=1,COUNTIF($C$10:C329,"&gt;0")+1,"")</f>
        <v>165</v>
      </c>
      <c r="D330" s="76">
        <v>70161014</v>
      </c>
      <c r="E330" s="56" t="s">
        <v>6188</v>
      </c>
      <c r="F330" s="57" t="s">
        <v>6194</v>
      </c>
      <c r="G330" s="56" t="s">
        <v>6194</v>
      </c>
      <c r="H330" s="56" t="s">
        <v>6195</v>
      </c>
      <c r="I330" s="56" t="s">
        <v>6196</v>
      </c>
      <c r="J330" s="56" t="s">
        <v>58</v>
      </c>
      <c r="K330" s="56" t="s">
        <v>59</v>
      </c>
      <c r="L330" s="58">
        <v>26800</v>
      </c>
      <c r="M330" s="56">
        <v>52</v>
      </c>
      <c r="N330" s="56" t="s">
        <v>6197</v>
      </c>
      <c r="O330" s="58">
        <v>49351</v>
      </c>
      <c r="P330" s="56" t="s">
        <v>4</v>
      </c>
      <c r="Q330" s="56"/>
      <c r="R330" s="270">
        <v>45913</v>
      </c>
      <c r="S330" s="270">
        <v>45918</v>
      </c>
      <c r="T330" s="51">
        <f t="shared" si="4"/>
        <v>5</v>
      </c>
      <c r="U330" s="56">
        <v>1</v>
      </c>
      <c r="V330" s="56">
        <v>1</v>
      </c>
      <c r="W330" s="56">
        <v>0</v>
      </c>
      <c r="X330" s="56">
        <v>1</v>
      </c>
      <c r="Y330" s="56">
        <v>0</v>
      </c>
      <c r="Z330" s="56">
        <v>1</v>
      </c>
      <c r="AA330" s="56">
        <v>0</v>
      </c>
      <c r="AB330" s="56"/>
      <c r="AC330" s="58">
        <v>45913</v>
      </c>
      <c r="AD330" s="59">
        <v>0.18055555555474712</v>
      </c>
      <c r="AE330" s="56" t="s">
        <v>95</v>
      </c>
      <c r="AF330" s="58">
        <v>45918</v>
      </c>
      <c r="AG330" s="59">
        <v>0.70138888889050577</v>
      </c>
      <c r="AH330" s="56" t="s">
        <v>96</v>
      </c>
      <c r="AI330" s="56" t="s">
        <v>6193</v>
      </c>
      <c r="AJ330" s="56" t="s">
        <v>64</v>
      </c>
      <c r="AK330" s="56" t="s">
        <v>64</v>
      </c>
      <c r="AL330" s="56" t="s">
        <v>5016</v>
      </c>
      <c r="AM330" s="56" t="s">
        <v>65</v>
      </c>
      <c r="AN330" s="60"/>
      <c r="AO330" s="60"/>
      <c r="AP330" s="61"/>
    </row>
    <row r="331" spans="3:43" ht="14.25" customHeight="1">
      <c r="C331" s="55" t="str">
        <f>IF($X331=1,COUNTIF($C$10:C330,"&gt;0")+1,"")</f>
        <v/>
      </c>
      <c r="D331" s="76">
        <v>70161014</v>
      </c>
      <c r="E331" s="56" t="s">
        <v>6188</v>
      </c>
      <c r="F331" s="57" t="s">
        <v>6198</v>
      </c>
      <c r="G331" s="56" t="s">
        <v>6194</v>
      </c>
      <c r="H331" s="56" t="s">
        <v>6199</v>
      </c>
      <c r="I331" s="56" t="s">
        <v>6200</v>
      </c>
      <c r="J331" s="56" t="s">
        <v>68</v>
      </c>
      <c r="K331" s="56" t="s">
        <v>59</v>
      </c>
      <c r="L331" s="58">
        <v>27527</v>
      </c>
      <c r="M331" s="56">
        <v>50</v>
      </c>
      <c r="N331" s="56" t="s">
        <v>6201</v>
      </c>
      <c r="O331" s="58">
        <v>49351</v>
      </c>
      <c r="P331" s="56" t="s">
        <v>4</v>
      </c>
      <c r="Q331" s="56"/>
      <c r="R331" s="270">
        <v>45913</v>
      </c>
      <c r="S331" s="270">
        <v>45918</v>
      </c>
      <c r="T331" s="51">
        <f t="shared" ref="T331:T396" si="5">S331-R331</f>
        <v>5</v>
      </c>
      <c r="U331" s="56">
        <v>1</v>
      </c>
      <c r="V331" s="56">
        <v>1</v>
      </c>
      <c r="W331" s="56">
        <v>0</v>
      </c>
      <c r="X331" s="56">
        <v>0</v>
      </c>
      <c r="Y331" s="56">
        <v>0</v>
      </c>
      <c r="Z331" s="56">
        <v>0</v>
      </c>
      <c r="AA331" s="56">
        <v>0</v>
      </c>
      <c r="AB331" s="56"/>
      <c r="AC331" s="58">
        <v>45913</v>
      </c>
      <c r="AD331" s="59">
        <v>0.18055555555474712</v>
      </c>
      <c r="AE331" s="56" t="s">
        <v>95</v>
      </c>
      <c r="AF331" s="58">
        <v>45918</v>
      </c>
      <c r="AG331" s="59">
        <v>0.70138888889050577</v>
      </c>
      <c r="AH331" s="56" t="s">
        <v>96</v>
      </c>
      <c r="AI331" s="56" t="s">
        <v>6193</v>
      </c>
      <c r="AJ331" s="56" t="s">
        <v>64</v>
      </c>
      <c r="AK331" s="56" t="s">
        <v>64</v>
      </c>
      <c r="AL331" s="56" t="s">
        <v>5016</v>
      </c>
      <c r="AM331" s="56" t="s">
        <v>65</v>
      </c>
      <c r="AN331" s="60"/>
      <c r="AO331" s="60"/>
      <c r="AP331" s="61"/>
    </row>
    <row r="332" spans="3:43" ht="14.25" customHeight="1">
      <c r="C332" s="55">
        <f>IF($X332=1,COUNTIF($C$10:C331,"&gt;0")+1,"")</f>
        <v>166</v>
      </c>
      <c r="D332" s="76">
        <v>70161026</v>
      </c>
      <c r="E332" s="56" t="s">
        <v>6188</v>
      </c>
      <c r="F332" s="57" t="s">
        <v>6202</v>
      </c>
      <c r="G332" s="56" t="s">
        <v>6202</v>
      </c>
      <c r="H332" s="56" t="s">
        <v>6203</v>
      </c>
      <c r="I332" s="56" t="s">
        <v>6204</v>
      </c>
      <c r="J332" s="56" t="s">
        <v>68</v>
      </c>
      <c r="K332" s="56" t="s">
        <v>59</v>
      </c>
      <c r="L332" s="58">
        <v>20427</v>
      </c>
      <c r="M332" s="56">
        <v>69</v>
      </c>
      <c r="N332" s="56" t="s">
        <v>6205</v>
      </c>
      <c r="O332" s="58">
        <v>46087</v>
      </c>
      <c r="P332" s="56" t="s">
        <v>4</v>
      </c>
      <c r="Q332" s="56"/>
      <c r="R332" s="270">
        <v>45913</v>
      </c>
      <c r="S332" s="270">
        <v>45918</v>
      </c>
      <c r="T332" s="51">
        <f t="shared" si="5"/>
        <v>5</v>
      </c>
      <c r="U332" s="56">
        <v>1</v>
      </c>
      <c r="V332" s="56">
        <v>1</v>
      </c>
      <c r="W332" s="56">
        <v>0</v>
      </c>
      <c r="X332" s="56">
        <v>1</v>
      </c>
      <c r="Y332" s="56">
        <v>0</v>
      </c>
      <c r="Z332" s="56">
        <v>1</v>
      </c>
      <c r="AA332" s="56">
        <v>0</v>
      </c>
      <c r="AB332" s="56"/>
      <c r="AC332" s="58">
        <v>45913</v>
      </c>
      <c r="AD332" s="59">
        <v>0.27777777778101154</v>
      </c>
      <c r="AE332" s="56" t="s">
        <v>5714</v>
      </c>
      <c r="AF332" s="58">
        <v>45918</v>
      </c>
      <c r="AG332" s="59">
        <v>0.44097222221898846</v>
      </c>
      <c r="AH332" s="56" t="s">
        <v>1846</v>
      </c>
      <c r="AI332" s="56" t="s">
        <v>6193</v>
      </c>
      <c r="AJ332" s="56" t="s">
        <v>64</v>
      </c>
      <c r="AK332" s="56" t="s">
        <v>64</v>
      </c>
      <c r="AL332" s="56" t="s">
        <v>5016</v>
      </c>
      <c r="AM332" s="56" t="s">
        <v>65</v>
      </c>
      <c r="AN332" s="60"/>
      <c r="AO332" s="60"/>
      <c r="AP332" s="61"/>
    </row>
    <row r="333" spans="3:43" ht="14.25" customHeight="1">
      <c r="C333" s="55" t="str">
        <f>IF($X333=1,COUNTIF($C$10:C332,"&gt;0")+1,"")</f>
        <v/>
      </c>
      <c r="D333" s="76">
        <v>70161026</v>
      </c>
      <c r="E333" s="56" t="s">
        <v>6188</v>
      </c>
      <c r="F333" s="57" t="s">
        <v>6206</v>
      </c>
      <c r="G333" s="56" t="s">
        <v>6202</v>
      </c>
      <c r="H333" s="56" t="s">
        <v>6207</v>
      </c>
      <c r="I333" s="56" t="s">
        <v>6208</v>
      </c>
      <c r="J333" s="56" t="s">
        <v>68</v>
      </c>
      <c r="K333" s="56" t="s">
        <v>59</v>
      </c>
      <c r="L333" s="58">
        <v>23786</v>
      </c>
      <c r="M333" s="56">
        <v>60</v>
      </c>
      <c r="N333" s="56" t="s">
        <v>6209</v>
      </c>
      <c r="O333" s="58">
        <v>46259</v>
      </c>
      <c r="P333" s="56" t="s">
        <v>4</v>
      </c>
      <c r="Q333" s="56"/>
      <c r="R333" s="270">
        <v>45913</v>
      </c>
      <c r="S333" s="270">
        <v>45918</v>
      </c>
      <c r="T333" s="51">
        <f t="shared" si="5"/>
        <v>5</v>
      </c>
      <c r="U333" s="56">
        <v>1</v>
      </c>
      <c r="V333" s="56">
        <v>1</v>
      </c>
      <c r="W333" s="56">
        <v>0</v>
      </c>
      <c r="X333" s="56">
        <v>0</v>
      </c>
      <c r="Y333" s="56">
        <v>0</v>
      </c>
      <c r="Z333" s="56">
        <v>0</v>
      </c>
      <c r="AA333" s="56">
        <v>0</v>
      </c>
      <c r="AB333" s="56"/>
      <c r="AC333" s="58">
        <v>45913</v>
      </c>
      <c r="AD333" s="59">
        <v>0.625</v>
      </c>
      <c r="AE333" s="56" t="s">
        <v>74</v>
      </c>
      <c r="AF333" s="58">
        <v>45918</v>
      </c>
      <c r="AG333" s="59">
        <v>0.47916666666424135</v>
      </c>
      <c r="AH333" s="56" t="s">
        <v>189</v>
      </c>
      <c r="AI333" s="56" t="s">
        <v>6193</v>
      </c>
      <c r="AJ333" s="56" t="s">
        <v>64</v>
      </c>
      <c r="AK333" s="56" t="s">
        <v>64</v>
      </c>
      <c r="AL333" s="56" t="s">
        <v>5016</v>
      </c>
      <c r="AM333" s="56" t="s">
        <v>65</v>
      </c>
      <c r="AN333" s="60"/>
      <c r="AO333" s="60"/>
      <c r="AP333" s="61"/>
    </row>
    <row r="334" spans="3:43" ht="14.25" customHeight="1">
      <c r="C334" s="55">
        <f>IF($X334=1,COUNTIF($C$10:C333,"&gt;0")+1,"")</f>
        <v>167</v>
      </c>
      <c r="D334" s="76">
        <v>70491534</v>
      </c>
      <c r="E334" s="56" t="s">
        <v>6188</v>
      </c>
      <c r="F334" s="57" t="s">
        <v>6210</v>
      </c>
      <c r="G334" s="56" t="s">
        <v>6210</v>
      </c>
      <c r="H334" s="56" t="s">
        <v>6211</v>
      </c>
      <c r="I334" s="56" t="s">
        <v>6212</v>
      </c>
      <c r="J334" s="56" t="s">
        <v>58</v>
      </c>
      <c r="K334" s="56" t="s">
        <v>59</v>
      </c>
      <c r="L334" s="58">
        <v>26842</v>
      </c>
      <c r="M334" s="56">
        <v>52</v>
      </c>
      <c r="N334" s="56" t="s">
        <v>6213</v>
      </c>
      <c r="O334" s="58">
        <v>46835</v>
      </c>
      <c r="P334" s="56" t="s">
        <v>5</v>
      </c>
      <c r="Q334" s="56"/>
      <c r="R334" s="270">
        <v>45913</v>
      </c>
      <c r="S334" s="270">
        <v>45918</v>
      </c>
      <c r="T334" s="51">
        <f t="shared" si="5"/>
        <v>5</v>
      </c>
      <c r="U334" s="56">
        <v>1</v>
      </c>
      <c r="V334" s="56">
        <v>1</v>
      </c>
      <c r="W334" s="56">
        <v>0</v>
      </c>
      <c r="X334" s="56">
        <v>1</v>
      </c>
      <c r="Y334" s="56">
        <v>0</v>
      </c>
      <c r="Z334" s="56">
        <v>0</v>
      </c>
      <c r="AA334" s="56">
        <v>1</v>
      </c>
      <c r="AB334" s="56"/>
      <c r="AC334" s="58">
        <v>45913</v>
      </c>
      <c r="AD334" s="59">
        <v>0.625</v>
      </c>
      <c r="AE334" s="56" t="s">
        <v>74</v>
      </c>
      <c r="AF334" s="58">
        <v>45918</v>
      </c>
      <c r="AG334" s="59">
        <v>0.70138888889050577</v>
      </c>
      <c r="AH334" s="56" t="s">
        <v>96</v>
      </c>
      <c r="AI334" s="56" t="s">
        <v>6193</v>
      </c>
      <c r="AJ334" s="56" t="s">
        <v>64</v>
      </c>
      <c r="AK334" s="56" t="s">
        <v>64</v>
      </c>
      <c r="AL334" s="56" t="s">
        <v>5016</v>
      </c>
      <c r="AM334" s="56" t="s">
        <v>65</v>
      </c>
      <c r="AN334" s="60"/>
      <c r="AO334" s="60"/>
      <c r="AP334" s="61"/>
    </row>
    <row r="335" spans="3:43" ht="14.25" customHeight="1">
      <c r="C335" s="55" t="str">
        <f>IF($X335=1,COUNTIF($C$10:C334,"&gt;0")+1,"")</f>
        <v/>
      </c>
      <c r="D335" s="76">
        <v>70491534</v>
      </c>
      <c r="E335" s="56" t="s">
        <v>6188</v>
      </c>
      <c r="F335" s="57" t="s">
        <v>6214</v>
      </c>
      <c r="G335" s="56" t="s">
        <v>6210</v>
      </c>
      <c r="H335" s="56" t="s">
        <v>6215</v>
      </c>
      <c r="I335" s="56" t="s">
        <v>6216</v>
      </c>
      <c r="J335" s="56" t="s">
        <v>68</v>
      </c>
      <c r="K335" s="56" t="s">
        <v>59</v>
      </c>
      <c r="L335" s="58">
        <v>27008</v>
      </c>
      <c r="M335" s="56">
        <v>51</v>
      </c>
      <c r="N335" s="56" t="s">
        <v>6217</v>
      </c>
      <c r="O335" s="58">
        <v>46835</v>
      </c>
      <c r="P335" s="56" t="s">
        <v>5</v>
      </c>
      <c r="Q335" s="56"/>
      <c r="R335" s="270">
        <v>45913</v>
      </c>
      <c r="S335" s="270">
        <v>45918</v>
      </c>
      <c r="T335" s="51">
        <f t="shared" si="5"/>
        <v>5</v>
      </c>
      <c r="U335" s="56">
        <v>1</v>
      </c>
      <c r="V335" s="56">
        <v>1</v>
      </c>
      <c r="W335" s="56">
        <v>0</v>
      </c>
      <c r="X335" s="56">
        <v>0</v>
      </c>
      <c r="Y335" s="56">
        <v>0</v>
      </c>
      <c r="Z335" s="56">
        <v>0</v>
      </c>
      <c r="AA335" s="56">
        <v>0</v>
      </c>
      <c r="AB335" s="56"/>
      <c r="AC335" s="58">
        <v>45913</v>
      </c>
      <c r="AD335" s="59">
        <v>0.625</v>
      </c>
      <c r="AE335" s="56" t="s">
        <v>74</v>
      </c>
      <c r="AF335" s="58">
        <v>45918</v>
      </c>
      <c r="AG335" s="59">
        <v>0.70138888889050577</v>
      </c>
      <c r="AH335" s="56" t="s">
        <v>96</v>
      </c>
      <c r="AI335" s="56" t="s">
        <v>6193</v>
      </c>
      <c r="AJ335" s="56" t="s">
        <v>64</v>
      </c>
      <c r="AK335" s="56" t="s">
        <v>64</v>
      </c>
      <c r="AL335" s="56" t="s">
        <v>5016</v>
      </c>
      <c r="AM335" s="56" t="s">
        <v>65</v>
      </c>
      <c r="AN335" s="60"/>
      <c r="AO335" s="60"/>
      <c r="AP335" s="61"/>
    </row>
    <row r="336" spans="3:43" ht="14.25" customHeight="1">
      <c r="C336" s="55">
        <f>IF($X336=1,COUNTIF($C$10:C335,"&gt;0")+1,"")</f>
        <v>168</v>
      </c>
      <c r="D336" s="76">
        <v>70491544</v>
      </c>
      <c r="E336" s="56" t="s">
        <v>6188</v>
      </c>
      <c r="F336" s="57" t="s">
        <v>6218</v>
      </c>
      <c r="G336" s="56" t="s">
        <v>6218</v>
      </c>
      <c r="H336" s="56" t="s">
        <v>6219</v>
      </c>
      <c r="I336" s="56" t="s">
        <v>6220</v>
      </c>
      <c r="J336" s="56" t="s">
        <v>58</v>
      </c>
      <c r="K336" s="56" t="s">
        <v>59</v>
      </c>
      <c r="L336" s="58">
        <v>20073</v>
      </c>
      <c r="M336" s="56">
        <v>70</v>
      </c>
      <c r="N336" s="56" t="s">
        <v>6221</v>
      </c>
      <c r="O336" s="58">
        <v>47616</v>
      </c>
      <c r="P336" s="56" t="s">
        <v>5</v>
      </c>
      <c r="Q336" s="56"/>
      <c r="R336" s="270">
        <v>45913</v>
      </c>
      <c r="S336" s="270">
        <v>45918</v>
      </c>
      <c r="T336" s="51">
        <f t="shared" si="5"/>
        <v>5</v>
      </c>
      <c r="U336" s="56">
        <v>1</v>
      </c>
      <c r="V336" s="56">
        <v>1</v>
      </c>
      <c r="W336" s="56">
        <v>0</v>
      </c>
      <c r="X336" s="56">
        <v>1</v>
      </c>
      <c r="Y336" s="56">
        <v>0</v>
      </c>
      <c r="Z336" s="56">
        <v>0</v>
      </c>
      <c r="AA336" s="56">
        <v>1</v>
      </c>
      <c r="AB336" s="56"/>
      <c r="AC336" s="58">
        <v>45913</v>
      </c>
      <c r="AD336" s="59">
        <v>0.625</v>
      </c>
      <c r="AE336" s="56" t="s">
        <v>74</v>
      </c>
      <c r="AF336" s="58">
        <v>45918</v>
      </c>
      <c r="AG336" s="59">
        <v>0.70138888889050577</v>
      </c>
      <c r="AH336" s="56" t="s">
        <v>96</v>
      </c>
      <c r="AI336" s="56" t="s">
        <v>6193</v>
      </c>
      <c r="AJ336" s="56" t="s">
        <v>64</v>
      </c>
      <c r="AK336" s="56" t="s">
        <v>64</v>
      </c>
      <c r="AL336" s="56" t="s">
        <v>5016</v>
      </c>
      <c r="AM336" s="56" t="s">
        <v>65</v>
      </c>
      <c r="AN336" s="60"/>
      <c r="AO336" s="60"/>
      <c r="AP336" s="61"/>
    </row>
    <row r="337" spans="3:42" ht="14.25" customHeight="1">
      <c r="C337" s="55" t="str">
        <f>IF($X337=1,COUNTIF($C$10:C336,"&gt;0")+1,"")</f>
        <v/>
      </c>
      <c r="D337" s="76">
        <v>70491544</v>
      </c>
      <c r="E337" s="56" t="s">
        <v>6188</v>
      </c>
      <c r="F337" s="57" t="s">
        <v>6222</v>
      </c>
      <c r="G337" s="56" t="s">
        <v>6218</v>
      </c>
      <c r="H337" s="56" t="s">
        <v>6223</v>
      </c>
      <c r="I337" s="56" t="s">
        <v>6224</v>
      </c>
      <c r="J337" s="56" t="s">
        <v>58</v>
      </c>
      <c r="K337" s="56" t="s">
        <v>59</v>
      </c>
      <c r="L337" s="58">
        <v>19873</v>
      </c>
      <c r="M337" s="56">
        <v>71</v>
      </c>
      <c r="N337" s="56" t="s">
        <v>6225</v>
      </c>
      <c r="O337" s="58">
        <v>48225</v>
      </c>
      <c r="P337" s="56" t="s">
        <v>5</v>
      </c>
      <c r="Q337" s="56"/>
      <c r="R337" s="270">
        <v>45913</v>
      </c>
      <c r="S337" s="270">
        <v>45918</v>
      </c>
      <c r="T337" s="51">
        <f t="shared" si="5"/>
        <v>5</v>
      </c>
      <c r="U337" s="56">
        <v>1</v>
      </c>
      <c r="V337" s="56">
        <v>1</v>
      </c>
      <c r="W337" s="56">
        <v>0</v>
      </c>
      <c r="X337" s="56">
        <v>0</v>
      </c>
      <c r="Y337" s="56">
        <v>0</v>
      </c>
      <c r="Z337" s="56">
        <v>0</v>
      </c>
      <c r="AA337" s="56">
        <v>0</v>
      </c>
      <c r="AB337" s="56"/>
      <c r="AC337" s="58">
        <v>45913</v>
      </c>
      <c r="AD337" s="59">
        <v>0.625</v>
      </c>
      <c r="AE337" s="56" t="s">
        <v>74</v>
      </c>
      <c r="AF337" s="58">
        <v>45918</v>
      </c>
      <c r="AG337" s="59">
        <v>0.70138888889050577</v>
      </c>
      <c r="AH337" s="56" t="s">
        <v>96</v>
      </c>
      <c r="AI337" s="56" t="s">
        <v>6193</v>
      </c>
      <c r="AJ337" s="56" t="s">
        <v>64</v>
      </c>
      <c r="AK337" s="56" t="s">
        <v>64</v>
      </c>
      <c r="AL337" s="56" t="s">
        <v>5016</v>
      </c>
      <c r="AM337" s="56" t="s">
        <v>65</v>
      </c>
      <c r="AN337" s="60"/>
      <c r="AO337" s="60"/>
      <c r="AP337" s="61"/>
    </row>
    <row r="338" spans="3:42" ht="14.25" customHeight="1">
      <c r="C338" s="55">
        <f>IF($X338=1,COUNTIF($C$10:C337,"&gt;0")+1,"")</f>
        <v>169</v>
      </c>
      <c r="D338" s="76">
        <v>70491560</v>
      </c>
      <c r="E338" s="56" t="s">
        <v>6188</v>
      </c>
      <c r="F338" s="57" t="s">
        <v>6226</v>
      </c>
      <c r="G338" s="56" t="s">
        <v>6218</v>
      </c>
      <c r="H338" s="56" t="s">
        <v>6227</v>
      </c>
      <c r="I338" s="56" t="s">
        <v>6228</v>
      </c>
      <c r="J338" s="56" t="s">
        <v>58</v>
      </c>
      <c r="K338" s="56" t="s">
        <v>59</v>
      </c>
      <c r="L338" s="58">
        <v>16332</v>
      </c>
      <c r="M338" s="56">
        <v>81</v>
      </c>
      <c r="N338" s="56" t="s">
        <v>6229</v>
      </c>
      <c r="O338" s="58">
        <v>48827</v>
      </c>
      <c r="P338" s="56" t="s">
        <v>5</v>
      </c>
      <c r="Q338" s="56"/>
      <c r="R338" s="270">
        <v>45913</v>
      </c>
      <c r="S338" s="270">
        <v>45918</v>
      </c>
      <c r="T338" s="51">
        <f t="shared" si="5"/>
        <v>5</v>
      </c>
      <c r="U338" s="56">
        <v>1</v>
      </c>
      <c r="V338" s="56">
        <v>1</v>
      </c>
      <c r="W338" s="56">
        <v>0</v>
      </c>
      <c r="X338" s="56">
        <v>1</v>
      </c>
      <c r="Y338" s="56">
        <v>0</v>
      </c>
      <c r="Z338" s="56">
        <v>0</v>
      </c>
      <c r="AA338" s="56">
        <v>1</v>
      </c>
      <c r="AB338" s="56"/>
      <c r="AC338" s="58">
        <v>45913</v>
      </c>
      <c r="AD338" s="59">
        <v>0.625</v>
      </c>
      <c r="AE338" s="56" t="s">
        <v>74</v>
      </c>
      <c r="AF338" s="58">
        <v>45918</v>
      </c>
      <c r="AG338" s="59">
        <v>0.70138888889050577</v>
      </c>
      <c r="AH338" s="56" t="s">
        <v>96</v>
      </c>
      <c r="AI338" s="56" t="s">
        <v>6193</v>
      </c>
      <c r="AJ338" s="56" t="s">
        <v>64</v>
      </c>
      <c r="AK338" s="56" t="s">
        <v>64</v>
      </c>
      <c r="AL338" s="56" t="s">
        <v>5016</v>
      </c>
      <c r="AM338" s="56" t="s">
        <v>65</v>
      </c>
      <c r="AN338" s="60"/>
      <c r="AO338" s="60"/>
      <c r="AP338" s="61"/>
    </row>
    <row r="339" spans="3:42" ht="14.25" customHeight="1">
      <c r="C339" s="55" t="str">
        <f>IF($X339=1,COUNTIF($C$10:C338,"&gt;0")+1,"")</f>
        <v/>
      </c>
      <c r="D339" s="76">
        <v>70491560</v>
      </c>
      <c r="E339" s="56" t="s">
        <v>6188</v>
      </c>
      <c r="F339" s="57" t="s">
        <v>6230</v>
      </c>
      <c r="G339" s="56" t="s">
        <v>6218</v>
      </c>
      <c r="H339" s="56" t="s">
        <v>6231</v>
      </c>
      <c r="I339" s="56" t="s">
        <v>6232</v>
      </c>
      <c r="J339" s="56" t="s">
        <v>58</v>
      </c>
      <c r="K339" s="56" t="s">
        <v>59</v>
      </c>
      <c r="L339" s="58">
        <v>37906</v>
      </c>
      <c r="M339" s="56">
        <v>21</v>
      </c>
      <c r="N339" s="56" t="s">
        <v>6233</v>
      </c>
      <c r="O339" s="58">
        <v>48558</v>
      </c>
      <c r="P339" s="56" t="s">
        <v>5</v>
      </c>
      <c r="Q339" s="56"/>
      <c r="R339" s="270">
        <v>45913</v>
      </c>
      <c r="S339" s="270">
        <v>45918</v>
      </c>
      <c r="T339" s="51">
        <f t="shared" si="5"/>
        <v>5</v>
      </c>
      <c r="U339" s="56">
        <v>1</v>
      </c>
      <c r="V339" s="56">
        <v>1</v>
      </c>
      <c r="W339" s="56">
        <v>0</v>
      </c>
      <c r="X339" s="56">
        <v>0</v>
      </c>
      <c r="Y339" s="56">
        <v>0</v>
      </c>
      <c r="Z339" s="56">
        <v>0</v>
      </c>
      <c r="AA339" s="56">
        <v>0</v>
      </c>
      <c r="AB339" s="56"/>
      <c r="AC339" s="58">
        <v>45913</v>
      </c>
      <c r="AD339" s="59">
        <v>0.625</v>
      </c>
      <c r="AE339" s="56" t="s">
        <v>74</v>
      </c>
      <c r="AF339" s="58">
        <v>45918</v>
      </c>
      <c r="AG339" s="59">
        <v>0.70138888889050577</v>
      </c>
      <c r="AH339" s="56" t="s">
        <v>96</v>
      </c>
      <c r="AI339" s="56" t="s">
        <v>6193</v>
      </c>
      <c r="AJ339" s="56" t="s">
        <v>64</v>
      </c>
      <c r="AK339" s="56" t="s">
        <v>64</v>
      </c>
      <c r="AL339" s="56" t="s">
        <v>5016</v>
      </c>
      <c r="AM339" s="56" t="s">
        <v>65</v>
      </c>
      <c r="AN339" s="60"/>
      <c r="AO339" s="60"/>
      <c r="AP339" s="61"/>
    </row>
    <row r="340" spans="3:42" ht="14.25" customHeight="1">
      <c r="C340" s="55">
        <f>IF($X340=1,COUNTIF($C$10:C339,"&gt;0")+1,"")</f>
        <v>170</v>
      </c>
      <c r="D340" s="76">
        <v>70209866</v>
      </c>
      <c r="E340" s="56" t="s">
        <v>6188</v>
      </c>
      <c r="F340" s="57" t="s">
        <v>6234</v>
      </c>
      <c r="G340" s="56" t="s">
        <v>6234</v>
      </c>
      <c r="H340" s="56" t="s">
        <v>6235</v>
      </c>
      <c r="I340" s="56" t="s">
        <v>6236</v>
      </c>
      <c r="J340" s="56" t="s">
        <v>68</v>
      </c>
      <c r="K340" s="56" t="s">
        <v>59</v>
      </c>
      <c r="L340" s="58">
        <v>21425</v>
      </c>
      <c r="M340" s="56">
        <v>67</v>
      </c>
      <c r="N340" s="56" t="s">
        <v>6237</v>
      </c>
      <c r="O340" s="58">
        <v>46495</v>
      </c>
      <c r="P340" s="56" t="s">
        <v>4</v>
      </c>
      <c r="Q340" s="56"/>
      <c r="R340" s="270">
        <v>45913</v>
      </c>
      <c r="S340" s="270">
        <v>45918</v>
      </c>
      <c r="T340" s="51">
        <f t="shared" si="5"/>
        <v>5</v>
      </c>
      <c r="U340" s="56">
        <v>1</v>
      </c>
      <c r="V340" s="56">
        <v>1</v>
      </c>
      <c r="W340" s="56">
        <v>0</v>
      </c>
      <c r="X340" s="56">
        <v>1</v>
      </c>
      <c r="Y340" s="56">
        <v>0</v>
      </c>
      <c r="Z340" s="56">
        <v>1</v>
      </c>
      <c r="AA340" s="56">
        <v>0</v>
      </c>
      <c r="AB340" s="56"/>
      <c r="AC340" s="58">
        <v>45912</v>
      </c>
      <c r="AD340" s="59">
        <v>0.625</v>
      </c>
      <c r="AE340" s="56" t="s">
        <v>74</v>
      </c>
      <c r="AF340" s="58">
        <v>45918</v>
      </c>
      <c r="AG340" s="59">
        <v>0.88194444444525288</v>
      </c>
      <c r="AH340" s="56" t="s">
        <v>5025</v>
      </c>
      <c r="AI340" s="56" t="s">
        <v>6193</v>
      </c>
      <c r="AJ340" s="56" t="s">
        <v>64</v>
      </c>
      <c r="AK340" s="56" t="s">
        <v>64</v>
      </c>
      <c r="AL340" s="56" t="s">
        <v>5016</v>
      </c>
      <c r="AM340" s="56" t="s">
        <v>65</v>
      </c>
      <c r="AN340" s="60"/>
      <c r="AO340" s="60"/>
      <c r="AP340" s="61"/>
    </row>
    <row r="341" spans="3:42" ht="14.25" customHeight="1">
      <c r="C341" s="55" t="str">
        <f>IF($X341=1,COUNTIF($C$10:C340,"&gt;0")+1,"")</f>
        <v/>
      </c>
      <c r="D341" s="76">
        <v>70209866</v>
      </c>
      <c r="E341" s="56" t="s">
        <v>6188</v>
      </c>
      <c r="F341" s="57" t="s">
        <v>6238</v>
      </c>
      <c r="G341" s="56" t="s">
        <v>6234</v>
      </c>
      <c r="H341" s="56" t="s">
        <v>6239</v>
      </c>
      <c r="I341" s="56" t="s">
        <v>6236</v>
      </c>
      <c r="J341" s="56" t="s">
        <v>58</v>
      </c>
      <c r="K341" s="56" t="s">
        <v>59</v>
      </c>
      <c r="L341" s="58">
        <v>20374</v>
      </c>
      <c r="M341" s="56">
        <v>69</v>
      </c>
      <c r="N341" s="56" t="s">
        <v>6240</v>
      </c>
      <c r="O341" s="58">
        <v>46495</v>
      </c>
      <c r="P341" s="56" t="s">
        <v>4</v>
      </c>
      <c r="Q341" s="56"/>
      <c r="R341" s="270">
        <v>45913</v>
      </c>
      <c r="S341" s="270">
        <v>45918</v>
      </c>
      <c r="T341" s="51">
        <f t="shared" si="5"/>
        <v>5</v>
      </c>
      <c r="U341" s="56">
        <v>1</v>
      </c>
      <c r="V341" s="56">
        <v>1</v>
      </c>
      <c r="W341" s="56">
        <v>0</v>
      </c>
      <c r="X341" s="56">
        <v>0</v>
      </c>
      <c r="Y341" s="56">
        <v>0</v>
      </c>
      <c r="Z341" s="56">
        <v>0</v>
      </c>
      <c r="AA341" s="56">
        <v>0</v>
      </c>
      <c r="AB341" s="56"/>
      <c r="AC341" s="58">
        <v>45912</v>
      </c>
      <c r="AD341" s="59">
        <v>0.625</v>
      </c>
      <c r="AE341" s="56" t="s">
        <v>74</v>
      </c>
      <c r="AF341" s="58">
        <v>45918</v>
      </c>
      <c r="AG341" s="59">
        <v>0.88194444444525288</v>
      </c>
      <c r="AH341" s="56" t="s">
        <v>5025</v>
      </c>
      <c r="AI341" s="56" t="s">
        <v>6193</v>
      </c>
      <c r="AJ341" s="56" t="s">
        <v>64</v>
      </c>
      <c r="AK341" s="56" t="s">
        <v>64</v>
      </c>
      <c r="AL341" s="56" t="s">
        <v>5016</v>
      </c>
      <c r="AM341" s="56" t="s">
        <v>65</v>
      </c>
      <c r="AN341" s="60"/>
      <c r="AO341" s="60"/>
      <c r="AP341" s="61"/>
    </row>
    <row r="342" spans="3:42" ht="14.25" customHeight="1">
      <c r="C342" s="55">
        <f>IF($X342=1,COUNTIF($C$10:C341,"&gt;0")+1,"")</f>
        <v>171</v>
      </c>
      <c r="D342" s="76">
        <v>70209892</v>
      </c>
      <c r="E342" s="56" t="s">
        <v>6188</v>
      </c>
      <c r="F342" s="57" t="s">
        <v>6241</v>
      </c>
      <c r="G342" s="56" t="s">
        <v>6241</v>
      </c>
      <c r="H342" s="56" t="s">
        <v>6242</v>
      </c>
      <c r="I342" s="56" t="s">
        <v>6243</v>
      </c>
      <c r="J342" s="56" t="s">
        <v>68</v>
      </c>
      <c r="K342" s="56" t="s">
        <v>59</v>
      </c>
      <c r="L342" s="58">
        <v>25511</v>
      </c>
      <c r="M342" s="56">
        <v>55</v>
      </c>
      <c r="N342" s="56" t="s">
        <v>6244</v>
      </c>
      <c r="O342" s="58">
        <v>49094</v>
      </c>
      <c r="P342" s="56" t="s">
        <v>4</v>
      </c>
      <c r="Q342" s="56"/>
      <c r="R342" s="270">
        <v>45913</v>
      </c>
      <c r="S342" s="270">
        <v>45918</v>
      </c>
      <c r="T342" s="51">
        <f t="shared" si="5"/>
        <v>5</v>
      </c>
      <c r="U342" s="56">
        <v>1</v>
      </c>
      <c r="V342" s="56">
        <v>1</v>
      </c>
      <c r="W342" s="56">
        <v>0</v>
      </c>
      <c r="X342" s="56">
        <v>1</v>
      </c>
      <c r="Y342" s="56">
        <v>0</v>
      </c>
      <c r="Z342" s="56">
        <v>1</v>
      </c>
      <c r="AA342" s="56">
        <v>0</v>
      </c>
      <c r="AB342" s="56"/>
      <c r="AC342" s="58">
        <v>45913</v>
      </c>
      <c r="AD342" s="59">
        <v>0.65972222221898846</v>
      </c>
      <c r="AE342" s="56" t="s">
        <v>101</v>
      </c>
      <c r="AF342" s="58">
        <v>45918</v>
      </c>
      <c r="AG342" s="59">
        <v>0.72569444444525288</v>
      </c>
      <c r="AH342" s="56" t="s">
        <v>313</v>
      </c>
      <c r="AI342" s="56" t="s">
        <v>6193</v>
      </c>
      <c r="AJ342" s="56" t="s">
        <v>64</v>
      </c>
      <c r="AK342" s="56" t="s">
        <v>64</v>
      </c>
      <c r="AL342" s="56" t="s">
        <v>5016</v>
      </c>
      <c r="AM342" s="56" t="s">
        <v>65</v>
      </c>
      <c r="AN342" s="60"/>
      <c r="AO342" s="60"/>
      <c r="AP342" s="61"/>
    </row>
    <row r="343" spans="3:42" ht="14.25" customHeight="1">
      <c r="C343" s="55" t="str">
        <f>IF($X343=1,COUNTIF($C$10:C342,"&gt;0")+1,"")</f>
        <v/>
      </c>
      <c r="D343" s="76">
        <v>70209892</v>
      </c>
      <c r="E343" s="56" t="s">
        <v>6188</v>
      </c>
      <c r="F343" s="57" t="s">
        <v>6245</v>
      </c>
      <c r="G343" s="56" t="s">
        <v>6241</v>
      </c>
      <c r="H343" s="56" t="s">
        <v>6246</v>
      </c>
      <c r="I343" s="56" t="s">
        <v>6247</v>
      </c>
      <c r="J343" s="56" t="s">
        <v>68</v>
      </c>
      <c r="K343" s="56" t="s">
        <v>59</v>
      </c>
      <c r="L343" s="58">
        <v>24106</v>
      </c>
      <c r="M343" s="56">
        <v>59</v>
      </c>
      <c r="N343" s="56" t="s">
        <v>6248</v>
      </c>
      <c r="O343" s="58">
        <v>47071</v>
      </c>
      <c r="P343" s="56" t="s">
        <v>4</v>
      </c>
      <c r="Q343" s="56"/>
      <c r="R343" s="270">
        <v>45913</v>
      </c>
      <c r="S343" s="270">
        <v>45918</v>
      </c>
      <c r="T343" s="51">
        <f t="shared" si="5"/>
        <v>5</v>
      </c>
      <c r="U343" s="56">
        <v>1</v>
      </c>
      <c r="V343" s="56">
        <v>1</v>
      </c>
      <c r="W343" s="56">
        <v>0</v>
      </c>
      <c r="X343" s="56">
        <v>0</v>
      </c>
      <c r="Y343" s="56">
        <v>0</v>
      </c>
      <c r="Z343" s="56">
        <v>0</v>
      </c>
      <c r="AA343" s="56">
        <v>0</v>
      </c>
      <c r="AB343" s="56"/>
      <c r="AC343" s="58">
        <v>45913</v>
      </c>
      <c r="AD343" s="59">
        <v>0.65972222221898846</v>
      </c>
      <c r="AE343" s="56" t="s">
        <v>101</v>
      </c>
      <c r="AF343" s="58">
        <v>45918</v>
      </c>
      <c r="AG343" s="59">
        <v>0.72569444444525288</v>
      </c>
      <c r="AH343" s="56" t="s">
        <v>313</v>
      </c>
      <c r="AI343" s="56" t="s">
        <v>6193</v>
      </c>
      <c r="AJ343" s="56" t="s">
        <v>64</v>
      </c>
      <c r="AK343" s="56" t="s">
        <v>64</v>
      </c>
      <c r="AL343" s="56" t="s">
        <v>5016</v>
      </c>
      <c r="AM343" s="56" t="s">
        <v>65</v>
      </c>
      <c r="AN343" s="60"/>
      <c r="AO343" s="60"/>
      <c r="AP343" s="61"/>
    </row>
    <row r="344" spans="3:42" ht="14.25" customHeight="1">
      <c r="C344" s="55">
        <f>IF($X344=1,COUNTIF($C$10:C343,"&gt;0")+1,"")</f>
        <v>172</v>
      </c>
      <c r="D344" s="76">
        <v>70491573</v>
      </c>
      <c r="E344" s="56" t="s">
        <v>6188</v>
      </c>
      <c r="F344" s="57" t="s">
        <v>6249</v>
      </c>
      <c r="G344" s="56" t="s">
        <v>6249</v>
      </c>
      <c r="H344" s="56" t="s">
        <v>6250</v>
      </c>
      <c r="I344" s="56" t="s">
        <v>208</v>
      </c>
      <c r="J344" s="56" t="s">
        <v>58</v>
      </c>
      <c r="K344" s="56" t="s">
        <v>59</v>
      </c>
      <c r="L344" s="58">
        <v>35089</v>
      </c>
      <c r="M344" s="56">
        <v>29</v>
      </c>
      <c r="N344" s="56" t="s">
        <v>6251</v>
      </c>
      <c r="O344" s="58">
        <v>48480</v>
      </c>
      <c r="P344" s="56" t="s">
        <v>5</v>
      </c>
      <c r="Q344" s="56"/>
      <c r="R344" s="270">
        <v>45913</v>
      </c>
      <c r="S344" s="270">
        <v>45918</v>
      </c>
      <c r="T344" s="51">
        <f t="shared" si="5"/>
        <v>5</v>
      </c>
      <c r="U344" s="56">
        <v>1</v>
      </c>
      <c r="V344" s="56">
        <v>1</v>
      </c>
      <c r="W344" s="56">
        <v>0</v>
      </c>
      <c r="X344" s="56">
        <v>1</v>
      </c>
      <c r="Y344" s="56">
        <v>0</v>
      </c>
      <c r="Z344" s="56">
        <v>0</v>
      </c>
      <c r="AA344" s="56">
        <v>1</v>
      </c>
      <c r="AB344" s="56"/>
      <c r="AC344" s="58">
        <v>45913</v>
      </c>
      <c r="AD344" s="59">
        <v>0.80555555555474712</v>
      </c>
      <c r="AE344" s="56" t="s">
        <v>808</v>
      </c>
      <c r="AF344" s="58">
        <v>45918</v>
      </c>
      <c r="AG344" s="59">
        <v>0.85416666666424135</v>
      </c>
      <c r="AH344" s="56" t="s">
        <v>183</v>
      </c>
      <c r="AI344" s="56" t="s">
        <v>6193</v>
      </c>
      <c r="AJ344" s="56" t="s">
        <v>64</v>
      </c>
      <c r="AK344" s="56" t="s">
        <v>64</v>
      </c>
      <c r="AL344" s="56" t="s">
        <v>5016</v>
      </c>
      <c r="AM344" s="56" t="s">
        <v>65</v>
      </c>
      <c r="AN344" s="60"/>
      <c r="AO344" s="60" t="s">
        <v>331</v>
      </c>
      <c r="AP344" s="61"/>
    </row>
    <row r="345" spans="3:42" ht="14.25" customHeight="1">
      <c r="C345" s="55" t="str">
        <f>IF($X345=1,COUNTIF($C$10:C344,"&gt;0")+1,"")</f>
        <v/>
      </c>
      <c r="D345" s="76">
        <v>70491573</v>
      </c>
      <c r="E345" s="56" t="s">
        <v>6188</v>
      </c>
      <c r="F345" s="57" t="s">
        <v>6252</v>
      </c>
      <c r="G345" s="56" t="s">
        <v>6249</v>
      </c>
      <c r="H345" s="56" t="s">
        <v>3312</v>
      </c>
      <c r="I345" s="56" t="s">
        <v>6253</v>
      </c>
      <c r="J345" s="56" t="s">
        <v>58</v>
      </c>
      <c r="K345" s="56" t="s">
        <v>59</v>
      </c>
      <c r="L345" s="58">
        <v>34852</v>
      </c>
      <c r="M345" s="56">
        <v>30</v>
      </c>
      <c r="N345" s="56" t="s">
        <v>6254</v>
      </c>
      <c r="O345" s="58">
        <v>46146</v>
      </c>
      <c r="P345" s="56" t="s">
        <v>5</v>
      </c>
      <c r="Q345" s="56"/>
      <c r="R345" s="270">
        <v>45913</v>
      </c>
      <c r="S345" s="270">
        <v>45918</v>
      </c>
      <c r="T345" s="51">
        <f t="shared" si="5"/>
        <v>5</v>
      </c>
      <c r="U345" s="56">
        <v>1</v>
      </c>
      <c r="V345" s="56">
        <v>1</v>
      </c>
      <c r="W345" s="56">
        <v>0</v>
      </c>
      <c r="X345" s="56">
        <v>0</v>
      </c>
      <c r="Y345" s="56">
        <v>0</v>
      </c>
      <c r="Z345" s="56">
        <v>0</v>
      </c>
      <c r="AA345" s="56">
        <v>0</v>
      </c>
      <c r="AB345" s="56"/>
      <c r="AC345" s="58">
        <v>45913</v>
      </c>
      <c r="AD345" s="59">
        <v>0.27777777778101154</v>
      </c>
      <c r="AE345" s="56" t="s">
        <v>5714</v>
      </c>
      <c r="AF345" s="58">
        <v>45918</v>
      </c>
      <c r="AG345" s="59">
        <v>0.44097222221898846</v>
      </c>
      <c r="AH345" s="56" t="s">
        <v>1846</v>
      </c>
      <c r="AI345" s="56" t="s">
        <v>6193</v>
      </c>
      <c r="AJ345" s="56" t="s">
        <v>64</v>
      </c>
      <c r="AK345" s="56" t="s">
        <v>64</v>
      </c>
      <c r="AL345" s="56" t="s">
        <v>5016</v>
      </c>
      <c r="AM345" s="56" t="s">
        <v>65</v>
      </c>
      <c r="AN345" s="60"/>
      <c r="AO345" s="60"/>
      <c r="AP345" s="61"/>
    </row>
    <row r="346" spans="3:42" ht="14.25" customHeight="1">
      <c r="C346" s="55">
        <f>IF($X346=1,COUNTIF($C$10:C345,"&gt;0")+1,"")</f>
        <v>173</v>
      </c>
      <c r="D346" s="76">
        <v>70209901</v>
      </c>
      <c r="E346" s="56" t="s">
        <v>6188</v>
      </c>
      <c r="F346" s="57" t="s">
        <v>6255</v>
      </c>
      <c r="G346" s="56" t="s">
        <v>6255</v>
      </c>
      <c r="H346" s="56" t="s">
        <v>6256</v>
      </c>
      <c r="I346" s="56" t="s">
        <v>6257</v>
      </c>
      <c r="J346" s="56" t="s">
        <v>58</v>
      </c>
      <c r="K346" s="56" t="s">
        <v>59</v>
      </c>
      <c r="L346" s="58">
        <v>22999</v>
      </c>
      <c r="M346" s="56">
        <v>62</v>
      </c>
      <c r="N346" s="56" t="s">
        <v>6258</v>
      </c>
      <c r="O346" s="58">
        <v>46421</v>
      </c>
      <c r="P346" s="56" t="s">
        <v>4</v>
      </c>
      <c r="Q346" s="56"/>
      <c r="R346" s="270">
        <v>45913</v>
      </c>
      <c r="S346" s="270">
        <v>45918</v>
      </c>
      <c r="T346" s="51">
        <f t="shared" si="5"/>
        <v>5</v>
      </c>
      <c r="U346" s="56">
        <v>1</v>
      </c>
      <c r="V346" s="56">
        <v>1</v>
      </c>
      <c r="W346" s="56">
        <v>0</v>
      </c>
      <c r="X346" s="56">
        <v>1</v>
      </c>
      <c r="Y346" s="56">
        <v>0</v>
      </c>
      <c r="Z346" s="56">
        <v>1</v>
      </c>
      <c r="AA346" s="56">
        <v>0</v>
      </c>
      <c r="AB346" s="56"/>
      <c r="AC346" s="58">
        <v>45913</v>
      </c>
      <c r="AD346" s="59">
        <v>0.6875</v>
      </c>
      <c r="AE346" s="56" t="s">
        <v>116</v>
      </c>
      <c r="AF346" s="58">
        <v>45924</v>
      </c>
      <c r="AG346" s="59">
        <v>0.80555555555474712</v>
      </c>
      <c r="AH346" s="56" t="s">
        <v>117</v>
      </c>
      <c r="AI346" s="56" t="s">
        <v>6193</v>
      </c>
      <c r="AJ346" s="56" t="s">
        <v>64</v>
      </c>
      <c r="AK346" s="56" t="s">
        <v>64</v>
      </c>
      <c r="AL346" s="56" t="s">
        <v>5016</v>
      </c>
      <c r="AM346" s="56" t="s">
        <v>65</v>
      </c>
      <c r="AN346" s="60"/>
      <c r="AO346" s="60"/>
      <c r="AP346" s="61"/>
    </row>
    <row r="347" spans="3:42" ht="14.25" customHeight="1">
      <c r="C347" s="55" t="str">
        <f>IF($X347=1,COUNTIF($C$10:C346,"&gt;0")+1,"")</f>
        <v/>
      </c>
      <c r="D347" s="76">
        <v>70209901</v>
      </c>
      <c r="E347" s="56" t="s">
        <v>6188</v>
      </c>
      <c r="F347" s="57" t="s">
        <v>6259</v>
      </c>
      <c r="G347" s="56" t="s">
        <v>6255</v>
      </c>
      <c r="H347" s="56" t="s">
        <v>6260</v>
      </c>
      <c r="I347" s="56" t="s">
        <v>6261</v>
      </c>
      <c r="J347" s="56" t="s">
        <v>68</v>
      </c>
      <c r="K347" s="56" t="s">
        <v>59</v>
      </c>
      <c r="L347" s="58">
        <v>24187</v>
      </c>
      <c r="M347" s="56">
        <v>59</v>
      </c>
      <c r="N347" s="56" t="s">
        <v>6262</v>
      </c>
      <c r="O347" s="58">
        <v>46421</v>
      </c>
      <c r="P347" s="56" t="s">
        <v>4</v>
      </c>
      <c r="Q347" s="56"/>
      <c r="R347" s="270">
        <v>45913</v>
      </c>
      <c r="S347" s="270">
        <v>45918</v>
      </c>
      <c r="T347" s="51">
        <f t="shared" si="5"/>
        <v>5</v>
      </c>
      <c r="U347" s="56">
        <v>1</v>
      </c>
      <c r="V347" s="56">
        <v>1</v>
      </c>
      <c r="W347" s="56">
        <v>0</v>
      </c>
      <c r="X347" s="56">
        <v>0</v>
      </c>
      <c r="Y347" s="56">
        <v>0</v>
      </c>
      <c r="Z347" s="56">
        <v>0</v>
      </c>
      <c r="AA347" s="56">
        <v>0</v>
      </c>
      <c r="AB347" s="56"/>
      <c r="AC347" s="58">
        <v>45913</v>
      </c>
      <c r="AD347" s="59">
        <v>0.6875</v>
      </c>
      <c r="AE347" s="56" t="s">
        <v>116</v>
      </c>
      <c r="AF347" s="58">
        <v>45924</v>
      </c>
      <c r="AG347" s="59">
        <v>0.80555555555474712</v>
      </c>
      <c r="AH347" s="56" t="s">
        <v>117</v>
      </c>
      <c r="AI347" s="56" t="s">
        <v>6193</v>
      </c>
      <c r="AJ347" s="56" t="s">
        <v>64</v>
      </c>
      <c r="AK347" s="56" t="s">
        <v>64</v>
      </c>
      <c r="AL347" s="56" t="s">
        <v>5016</v>
      </c>
      <c r="AM347" s="56" t="s">
        <v>65</v>
      </c>
      <c r="AN347" s="60"/>
      <c r="AO347" s="60"/>
      <c r="AP347" s="61"/>
    </row>
    <row r="348" spans="3:42" ht="14.25" customHeight="1">
      <c r="C348" s="55">
        <f>IF($X348=1,COUNTIF($C$10:C347,"&gt;0")+1,"")</f>
        <v>174</v>
      </c>
      <c r="D348" s="76">
        <v>70491581</v>
      </c>
      <c r="E348" s="56" t="s">
        <v>6188</v>
      </c>
      <c r="F348" s="57" t="s">
        <v>6263</v>
      </c>
      <c r="G348" s="56" t="s">
        <v>6263</v>
      </c>
      <c r="H348" s="56" t="s">
        <v>6264</v>
      </c>
      <c r="I348" s="56" t="s">
        <v>6243</v>
      </c>
      <c r="J348" s="56" t="s">
        <v>68</v>
      </c>
      <c r="K348" s="56" t="s">
        <v>59</v>
      </c>
      <c r="L348" s="58">
        <v>39127</v>
      </c>
      <c r="M348" s="56">
        <v>18</v>
      </c>
      <c r="N348" s="56" t="s">
        <v>6265</v>
      </c>
      <c r="O348" s="58">
        <v>49094</v>
      </c>
      <c r="P348" s="56" t="s">
        <v>5</v>
      </c>
      <c r="Q348" s="56"/>
      <c r="R348" s="270">
        <v>45913</v>
      </c>
      <c r="S348" s="270">
        <v>45918</v>
      </c>
      <c r="T348" s="51">
        <f t="shared" si="5"/>
        <v>5</v>
      </c>
      <c r="U348" s="56">
        <v>1</v>
      </c>
      <c r="V348" s="56">
        <v>1</v>
      </c>
      <c r="W348" s="56">
        <v>0</v>
      </c>
      <c r="X348" s="56">
        <v>1</v>
      </c>
      <c r="Y348" s="56">
        <v>0</v>
      </c>
      <c r="Z348" s="56">
        <v>0</v>
      </c>
      <c r="AA348" s="56">
        <v>1</v>
      </c>
      <c r="AB348" s="56"/>
      <c r="AC348" s="58">
        <v>45913</v>
      </c>
      <c r="AD348" s="59">
        <v>0.65972222221898846</v>
      </c>
      <c r="AE348" s="56" t="s">
        <v>101</v>
      </c>
      <c r="AF348" s="58">
        <v>45918</v>
      </c>
      <c r="AG348" s="59">
        <v>0.72569444444525288</v>
      </c>
      <c r="AH348" s="56" t="s">
        <v>313</v>
      </c>
      <c r="AI348" s="56" t="s">
        <v>6193</v>
      </c>
      <c r="AJ348" s="56" t="s">
        <v>64</v>
      </c>
      <c r="AK348" s="56" t="s">
        <v>64</v>
      </c>
      <c r="AL348" s="56" t="s">
        <v>5016</v>
      </c>
      <c r="AM348" s="56" t="s">
        <v>65</v>
      </c>
      <c r="AN348" s="60"/>
      <c r="AO348" s="60"/>
      <c r="AP348" s="61"/>
    </row>
    <row r="349" spans="3:42" ht="14.25" customHeight="1">
      <c r="C349" s="55" t="str">
        <f>IF($X349=1,COUNTIF($C$10:C348,"&gt;0")+1,"")</f>
        <v/>
      </c>
      <c r="D349" s="76">
        <v>70491581</v>
      </c>
      <c r="E349" s="56" t="s">
        <v>6188</v>
      </c>
      <c r="F349" s="57" t="s">
        <v>6266</v>
      </c>
      <c r="G349" s="56" t="s">
        <v>6263</v>
      </c>
      <c r="H349" s="56" t="s">
        <v>6267</v>
      </c>
      <c r="I349" s="56" t="s">
        <v>6243</v>
      </c>
      <c r="J349" s="56" t="s">
        <v>58</v>
      </c>
      <c r="K349" s="56" t="s">
        <v>59</v>
      </c>
      <c r="L349" s="58">
        <v>38218</v>
      </c>
      <c r="M349" s="56">
        <v>21</v>
      </c>
      <c r="N349" s="56" t="s">
        <v>6268</v>
      </c>
      <c r="O349" s="58">
        <v>45800</v>
      </c>
      <c r="P349" s="56" t="s">
        <v>5</v>
      </c>
      <c r="Q349" s="56"/>
      <c r="R349" s="270">
        <v>45913</v>
      </c>
      <c r="S349" s="270">
        <v>45918</v>
      </c>
      <c r="T349" s="51">
        <f t="shared" si="5"/>
        <v>5</v>
      </c>
      <c r="U349" s="56">
        <v>1</v>
      </c>
      <c r="V349" s="56">
        <v>1</v>
      </c>
      <c r="W349" s="56">
        <v>0</v>
      </c>
      <c r="X349" s="56">
        <v>0</v>
      </c>
      <c r="Y349" s="56">
        <v>0</v>
      </c>
      <c r="Z349" s="56">
        <v>0</v>
      </c>
      <c r="AA349" s="56">
        <v>0</v>
      </c>
      <c r="AB349" s="56"/>
      <c r="AC349" s="58">
        <v>45913</v>
      </c>
      <c r="AD349" s="59">
        <v>0.65972222221898846</v>
      </c>
      <c r="AE349" s="56" t="s">
        <v>101</v>
      </c>
      <c r="AF349" s="58">
        <v>45918</v>
      </c>
      <c r="AG349" s="59">
        <v>0.72569444444525288</v>
      </c>
      <c r="AH349" s="56" t="s">
        <v>313</v>
      </c>
      <c r="AI349" s="56" t="s">
        <v>6193</v>
      </c>
      <c r="AJ349" s="56" t="s">
        <v>64</v>
      </c>
      <c r="AK349" s="56" t="s">
        <v>64</v>
      </c>
      <c r="AL349" s="56" t="s">
        <v>5016</v>
      </c>
      <c r="AM349" s="56" t="s">
        <v>65</v>
      </c>
      <c r="AN349" s="60"/>
      <c r="AO349" s="60"/>
      <c r="AP349" s="61"/>
    </row>
    <row r="350" spans="3:42" ht="14.25" customHeight="1">
      <c r="C350" s="55">
        <f>IF($X350=1,COUNTIF($C$10:C349,"&gt;0")+1,"")</f>
        <v>175</v>
      </c>
      <c r="D350" s="76">
        <v>70209905</v>
      </c>
      <c r="E350" s="56" t="s">
        <v>6188</v>
      </c>
      <c r="F350" s="57" t="s">
        <v>6269</v>
      </c>
      <c r="G350" s="56" t="s">
        <v>6269</v>
      </c>
      <c r="H350" s="56" t="s">
        <v>6270</v>
      </c>
      <c r="I350" s="56" t="s">
        <v>6271</v>
      </c>
      <c r="J350" s="56" t="s">
        <v>68</v>
      </c>
      <c r="K350" s="56" t="s">
        <v>59</v>
      </c>
      <c r="L350" s="58">
        <v>20569</v>
      </c>
      <c r="M350" s="56">
        <v>69</v>
      </c>
      <c r="N350" s="56" t="s">
        <v>6272</v>
      </c>
      <c r="O350" s="58">
        <v>46815</v>
      </c>
      <c r="P350" s="56" t="s">
        <v>4</v>
      </c>
      <c r="Q350" s="56"/>
      <c r="R350" s="270">
        <v>45913</v>
      </c>
      <c r="S350" s="270">
        <v>45918</v>
      </c>
      <c r="T350" s="51">
        <f t="shared" si="5"/>
        <v>5</v>
      </c>
      <c r="U350" s="56">
        <v>1</v>
      </c>
      <c r="V350" s="56">
        <v>1</v>
      </c>
      <c r="W350" s="56">
        <v>0</v>
      </c>
      <c r="X350" s="56">
        <v>1</v>
      </c>
      <c r="Y350" s="56">
        <v>0</v>
      </c>
      <c r="Z350" s="56">
        <v>1</v>
      </c>
      <c r="AA350" s="56">
        <v>0</v>
      </c>
      <c r="AB350" s="56"/>
      <c r="AC350" s="58">
        <v>45913</v>
      </c>
      <c r="AD350" s="59">
        <v>0.80555555555474712</v>
      </c>
      <c r="AE350" s="56" t="s">
        <v>808</v>
      </c>
      <c r="AF350" s="58">
        <v>45918</v>
      </c>
      <c r="AG350" s="59">
        <v>0.85416666666424135</v>
      </c>
      <c r="AH350" s="56" t="s">
        <v>183</v>
      </c>
      <c r="AI350" s="56" t="s">
        <v>6193</v>
      </c>
      <c r="AJ350" s="56" t="s">
        <v>64</v>
      </c>
      <c r="AK350" s="56" t="s">
        <v>64</v>
      </c>
      <c r="AL350" s="56" t="s">
        <v>5016</v>
      </c>
      <c r="AM350" s="56" t="s">
        <v>65</v>
      </c>
      <c r="AN350" s="60" t="s">
        <v>5017</v>
      </c>
      <c r="AO350" s="60" t="s">
        <v>331</v>
      </c>
      <c r="AP350" s="61"/>
    </row>
    <row r="351" spans="3:42" ht="14.25" customHeight="1">
      <c r="C351" s="55" t="str">
        <f>IF($X351=1,COUNTIF($C$10:C350,"&gt;0")+1,"")</f>
        <v/>
      </c>
      <c r="D351" s="76">
        <v>70209905</v>
      </c>
      <c r="E351" s="56" t="s">
        <v>6188</v>
      </c>
      <c r="F351" s="57" t="s">
        <v>6273</v>
      </c>
      <c r="G351" s="56" t="s">
        <v>6269</v>
      </c>
      <c r="H351" s="56" t="s">
        <v>6274</v>
      </c>
      <c r="I351" s="56" t="s">
        <v>208</v>
      </c>
      <c r="J351" s="56" t="s">
        <v>58</v>
      </c>
      <c r="K351" s="56" t="s">
        <v>59</v>
      </c>
      <c r="L351" s="58">
        <v>19344</v>
      </c>
      <c r="M351" s="56">
        <v>72</v>
      </c>
      <c r="N351" s="56" t="s">
        <v>6275</v>
      </c>
      <c r="O351" s="58">
        <v>45884</v>
      </c>
      <c r="P351" s="56" t="s">
        <v>4</v>
      </c>
      <c r="Q351" s="56"/>
      <c r="R351" s="270">
        <v>45913</v>
      </c>
      <c r="S351" s="270">
        <v>45918</v>
      </c>
      <c r="T351" s="51">
        <f t="shared" si="5"/>
        <v>5</v>
      </c>
      <c r="U351" s="56">
        <v>1</v>
      </c>
      <c r="V351" s="56">
        <v>1</v>
      </c>
      <c r="W351" s="56">
        <v>0</v>
      </c>
      <c r="X351" s="56">
        <v>0</v>
      </c>
      <c r="Y351" s="56">
        <v>0</v>
      </c>
      <c r="Z351" s="56">
        <v>0</v>
      </c>
      <c r="AA351" s="56">
        <v>0</v>
      </c>
      <c r="AB351" s="56"/>
      <c r="AC351" s="58">
        <v>45913</v>
      </c>
      <c r="AD351" s="59">
        <v>0.80555555555474712</v>
      </c>
      <c r="AE351" s="56" t="s">
        <v>808</v>
      </c>
      <c r="AF351" s="58">
        <v>45918</v>
      </c>
      <c r="AG351" s="59">
        <v>0.85416666666424135</v>
      </c>
      <c r="AH351" s="56" t="s">
        <v>183</v>
      </c>
      <c r="AI351" s="56" t="s">
        <v>6193</v>
      </c>
      <c r="AJ351" s="56" t="s">
        <v>64</v>
      </c>
      <c r="AK351" s="56" t="s">
        <v>64</v>
      </c>
      <c r="AL351" s="56" t="s">
        <v>5016</v>
      </c>
      <c r="AM351" s="56" t="s">
        <v>65</v>
      </c>
      <c r="AN351" s="60" t="s">
        <v>5017</v>
      </c>
      <c r="AO351" s="60" t="s">
        <v>331</v>
      </c>
      <c r="AP351" s="61"/>
    </row>
    <row r="352" spans="3:42" ht="14.25" customHeight="1">
      <c r="C352" s="55">
        <f>IF($X352=1,COUNTIF($C$10:C351,"&gt;0")+1,"")</f>
        <v>176</v>
      </c>
      <c r="D352" s="76">
        <v>70065047</v>
      </c>
      <c r="E352" s="56" t="s">
        <v>6188</v>
      </c>
      <c r="F352" s="57" t="s">
        <v>6276</v>
      </c>
      <c r="G352" s="56" t="s">
        <v>6276</v>
      </c>
      <c r="H352" s="56" t="s">
        <v>6277</v>
      </c>
      <c r="I352" s="56" t="s">
        <v>6278</v>
      </c>
      <c r="J352" s="56" t="s">
        <v>68</v>
      </c>
      <c r="K352" s="56" t="s">
        <v>59</v>
      </c>
      <c r="L352" s="58">
        <v>37364</v>
      </c>
      <c r="M352" s="56">
        <v>23</v>
      </c>
      <c r="N352" s="56" t="s">
        <v>6279</v>
      </c>
      <c r="O352" s="58">
        <v>46886</v>
      </c>
      <c r="P352" s="56" t="s">
        <v>4</v>
      </c>
      <c r="Q352" s="56"/>
      <c r="R352" s="270">
        <v>45913</v>
      </c>
      <c r="S352" s="270">
        <v>45918</v>
      </c>
      <c r="T352" s="51">
        <f t="shared" si="5"/>
        <v>5</v>
      </c>
      <c r="U352" s="56">
        <v>1</v>
      </c>
      <c r="V352" s="56">
        <v>1</v>
      </c>
      <c r="W352" s="56">
        <v>0</v>
      </c>
      <c r="X352" s="56">
        <v>1</v>
      </c>
      <c r="Y352" s="56">
        <v>0</v>
      </c>
      <c r="Z352" s="56">
        <v>1</v>
      </c>
      <c r="AA352" s="56">
        <v>0</v>
      </c>
      <c r="AB352" s="56"/>
      <c r="AC352" s="58">
        <v>45913</v>
      </c>
      <c r="AD352" s="59">
        <v>0.72222222221898846</v>
      </c>
      <c r="AE352" s="56" t="s">
        <v>164</v>
      </c>
      <c r="AF352" s="58">
        <v>45918</v>
      </c>
      <c r="AG352" s="59">
        <v>0.50347222221898846</v>
      </c>
      <c r="AH352" s="56" t="s">
        <v>900</v>
      </c>
      <c r="AI352" s="56" t="s">
        <v>6193</v>
      </c>
      <c r="AJ352" s="56" t="s">
        <v>64</v>
      </c>
      <c r="AK352" s="74" t="s">
        <v>6280</v>
      </c>
      <c r="AL352" s="56" t="s">
        <v>5016</v>
      </c>
      <c r="AM352" s="56" t="s">
        <v>65</v>
      </c>
      <c r="AN352" s="60" t="s">
        <v>5040</v>
      </c>
      <c r="AO352" s="60"/>
      <c r="AP352" s="61"/>
    </row>
    <row r="353" spans="3:43" ht="14.25" customHeight="1">
      <c r="C353" s="55" t="str">
        <f>IF($X353=1,COUNTIF($C$10:C352,"&gt;0")+1,"")</f>
        <v/>
      </c>
      <c r="D353" s="76">
        <v>70065047</v>
      </c>
      <c r="E353" s="56" t="s">
        <v>6188</v>
      </c>
      <c r="F353" s="57" t="s">
        <v>6281</v>
      </c>
      <c r="G353" s="56" t="s">
        <v>6276</v>
      </c>
      <c r="H353" s="56" t="s">
        <v>6282</v>
      </c>
      <c r="I353" s="56" t="s">
        <v>6278</v>
      </c>
      <c r="J353" s="56" t="s">
        <v>68</v>
      </c>
      <c r="K353" s="56" t="s">
        <v>59</v>
      </c>
      <c r="L353" s="58">
        <v>38570</v>
      </c>
      <c r="M353" s="56">
        <v>20</v>
      </c>
      <c r="N353" s="56" t="s">
        <v>6283</v>
      </c>
      <c r="O353" s="58">
        <v>48758</v>
      </c>
      <c r="P353" s="56" t="s">
        <v>4</v>
      </c>
      <c r="Q353" s="56"/>
      <c r="R353" s="270">
        <v>45913</v>
      </c>
      <c r="S353" s="270">
        <v>45918</v>
      </c>
      <c r="T353" s="51">
        <f t="shared" si="5"/>
        <v>5</v>
      </c>
      <c r="U353" s="56">
        <v>1</v>
      </c>
      <c r="V353" s="56">
        <v>1</v>
      </c>
      <c r="W353" s="56">
        <v>0</v>
      </c>
      <c r="X353" s="56">
        <v>0</v>
      </c>
      <c r="Y353" s="56">
        <v>0</v>
      </c>
      <c r="Z353" s="56">
        <v>0</v>
      </c>
      <c r="AA353" s="56">
        <v>0</v>
      </c>
      <c r="AB353" s="56"/>
      <c r="AC353" s="58">
        <v>45913</v>
      </c>
      <c r="AD353" s="59">
        <v>0.72222222221898846</v>
      </c>
      <c r="AE353" s="56" t="s">
        <v>164</v>
      </c>
      <c r="AF353" s="58">
        <v>45918</v>
      </c>
      <c r="AG353" s="59">
        <v>0.50347222221898846</v>
      </c>
      <c r="AH353" s="56" t="s">
        <v>900</v>
      </c>
      <c r="AI353" s="56" t="s">
        <v>6193</v>
      </c>
      <c r="AJ353" s="56" t="s">
        <v>64</v>
      </c>
      <c r="AK353" s="74" t="s">
        <v>64</v>
      </c>
      <c r="AL353" s="56" t="s">
        <v>5016</v>
      </c>
      <c r="AM353" s="56" t="s">
        <v>65</v>
      </c>
      <c r="AN353" s="60" t="s">
        <v>5040</v>
      </c>
      <c r="AO353" s="60"/>
      <c r="AP353" s="61"/>
    </row>
    <row r="354" spans="3:43" ht="14.25" customHeight="1">
      <c r="C354" s="55">
        <f>IF($X354=1,COUNTIF($C$10:C353,"&gt;0")+1,"")</f>
        <v>177</v>
      </c>
      <c r="D354" s="76">
        <v>70065063</v>
      </c>
      <c r="E354" s="56" t="s">
        <v>6188</v>
      </c>
      <c r="F354" s="57" t="s">
        <v>6284</v>
      </c>
      <c r="G354" s="56" t="s">
        <v>6276</v>
      </c>
      <c r="H354" s="56" t="s">
        <v>6285</v>
      </c>
      <c r="I354" s="56" t="s">
        <v>6286</v>
      </c>
      <c r="J354" s="56" t="s">
        <v>68</v>
      </c>
      <c r="K354" s="56" t="s">
        <v>59</v>
      </c>
      <c r="L354" s="58">
        <v>36646</v>
      </c>
      <c r="M354" s="56">
        <v>25</v>
      </c>
      <c r="N354" s="56" t="s">
        <v>6287</v>
      </c>
      <c r="O354" s="58">
        <v>46277</v>
      </c>
      <c r="P354" s="56" t="s">
        <v>4</v>
      </c>
      <c r="Q354" s="56"/>
      <c r="R354" s="270">
        <v>45913</v>
      </c>
      <c r="S354" s="270">
        <v>45918</v>
      </c>
      <c r="T354" s="51">
        <f t="shared" si="5"/>
        <v>5</v>
      </c>
      <c r="U354" s="56">
        <v>1</v>
      </c>
      <c r="V354" s="56">
        <v>1</v>
      </c>
      <c r="W354" s="56">
        <v>0</v>
      </c>
      <c r="X354" s="56">
        <v>1</v>
      </c>
      <c r="Y354" s="56">
        <v>0</v>
      </c>
      <c r="Z354" s="56">
        <v>1</v>
      </c>
      <c r="AA354" s="56">
        <v>0</v>
      </c>
      <c r="AB354" s="56"/>
      <c r="AC354" s="58">
        <v>45913</v>
      </c>
      <c r="AD354" s="59">
        <v>0.72222222221898846</v>
      </c>
      <c r="AE354" s="56" t="s">
        <v>164</v>
      </c>
      <c r="AF354" s="58">
        <v>45918</v>
      </c>
      <c r="AG354" s="59">
        <v>0.50347222221898846</v>
      </c>
      <c r="AH354" s="56" t="s">
        <v>900</v>
      </c>
      <c r="AI354" s="56" t="s">
        <v>6193</v>
      </c>
      <c r="AJ354" s="56" t="s">
        <v>64</v>
      </c>
      <c r="AK354" s="74" t="s">
        <v>6288</v>
      </c>
      <c r="AL354" s="56" t="s">
        <v>5016</v>
      </c>
      <c r="AM354" s="56" t="s">
        <v>65</v>
      </c>
      <c r="AN354" s="60" t="s">
        <v>5040</v>
      </c>
      <c r="AO354" s="60"/>
      <c r="AP354" s="61"/>
    </row>
    <row r="355" spans="3:43" ht="14.25" customHeight="1">
      <c r="C355" s="55" t="str">
        <f>IF($X355=1,COUNTIF($C$10:C354,"&gt;0")+1,"")</f>
        <v/>
      </c>
      <c r="D355" s="76">
        <v>70065063</v>
      </c>
      <c r="E355" s="56" t="s">
        <v>6188</v>
      </c>
      <c r="F355" s="57" t="s">
        <v>6289</v>
      </c>
      <c r="G355" s="56" t="s">
        <v>6276</v>
      </c>
      <c r="H355" s="56" t="s">
        <v>6290</v>
      </c>
      <c r="I355" s="56" t="s">
        <v>5202</v>
      </c>
      <c r="J355" s="56" t="s">
        <v>68</v>
      </c>
      <c r="K355" s="56" t="s">
        <v>59</v>
      </c>
      <c r="L355" s="58">
        <v>38917</v>
      </c>
      <c r="M355" s="56">
        <v>19</v>
      </c>
      <c r="N355" s="56" t="s">
        <v>6291</v>
      </c>
      <c r="O355" s="58">
        <v>48612</v>
      </c>
      <c r="P355" s="56" t="s">
        <v>4</v>
      </c>
      <c r="Q355" s="56"/>
      <c r="R355" s="270">
        <v>45913</v>
      </c>
      <c r="S355" s="270">
        <v>45918</v>
      </c>
      <c r="T355" s="51">
        <f t="shared" si="5"/>
        <v>5</v>
      </c>
      <c r="U355" s="56">
        <v>1</v>
      </c>
      <c r="V355" s="56">
        <v>1</v>
      </c>
      <c r="W355" s="56">
        <v>0</v>
      </c>
      <c r="X355" s="56">
        <v>0</v>
      </c>
      <c r="Y355" s="56">
        <v>0</v>
      </c>
      <c r="Z355" s="56">
        <v>0</v>
      </c>
      <c r="AA355" s="56">
        <v>0</v>
      </c>
      <c r="AB355" s="56"/>
      <c r="AC355" s="58">
        <v>45913</v>
      </c>
      <c r="AD355" s="59">
        <v>0.78819444444525288</v>
      </c>
      <c r="AE355" s="56" t="s">
        <v>6292</v>
      </c>
      <c r="AF355" s="58">
        <v>45918</v>
      </c>
      <c r="AG355" s="59">
        <v>0.5625</v>
      </c>
      <c r="AH355" s="56" t="s">
        <v>6293</v>
      </c>
      <c r="AI355" s="56" t="s">
        <v>6193</v>
      </c>
      <c r="AJ355" s="56" t="s">
        <v>64</v>
      </c>
      <c r="AK355" s="74" t="s">
        <v>64</v>
      </c>
      <c r="AL355" s="56" t="s">
        <v>5016</v>
      </c>
      <c r="AM355" s="56" t="s">
        <v>65</v>
      </c>
      <c r="AN355" s="60" t="s">
        <v>5040</v>
      </c>
      <c r="AO355" s="60" t="s">
        <v>331</v>
      </c>
      <c r="AP355" s="61"/>
    </row>
    <row r="356" spans="3:43" ht="14.25" customHeight="1">
      <c r="C356" s="55">
        <f>IF($X356=1,COUNTIF($C$10:C355,"&gt;0")+1,"")</f>
        <v>178</v>
      </c>
      <c r="D356" s="76">
        <v>70209907</v>
      </c>
      <c r="E356" s="56" t="s">
        <v>6188</v>
      </c>
      <c r="F356" s="57" t="s">
        <v>6294</v>
      </c>
      <c r="G356" s="56" t="s">
        <v>6294</v>
      </c>
      <c r="H356" s="56" t="s">
        <v>6295</v>
      </c>
      <c r="I356" s="56" t="s">
        <v>6296</v>
      </c>
      <c r="J356" s="56" t="s">
        <v>68</v>
      </c>
      <c r="K356" s="56" t="s">
        <v>59</v>
      </c>
      <c r="L356" s="58">
        <v>28923</v>
      </c>
      <c r="M356" s="56">
        <v>46</v>
      </c>
      <c r="N356" s="56" t="s">
        <v>6297</v>
      </c>
      <c r="O356" s="58">
        <v>47387</v>
      </c>
      <c r="P356" s="56" t="s">
        <v>4</v>
      </c>
      <c r="Q356" s="56"/>
      <c r="R356" s="270">
        <v>45913</v>
      </c>
      <c r="S356" s="270">
        <v>45918</v>
      </c>
      <c r="T356" s="51">
        <f t="shared" si="5"/>
        <v>5</v>
      </c>
      <c r="U356" s="56">
        <v>1</v>
      </c>
      <c r="V356" s="56">
        <v>1</v>
      </c>
      <c r="W356" s="56">
        <v>0</v>
      </c>
      <c r="X356" s="56">
        <v>1</v>
      </c>
      <c r="Y356" s="56">
        <v>0</v>
      </c>
      <c r="Z356" s="56">
        <v>1</v>
      </c>
      <c r="AA356" s="56">
        <v>0</v>
      </c>
      <c r="AB356" s="56"/>
      <c r="AC356" s="58">
        <v>45913</v>
      </c>
      <c r="AD356" s="59">
        <v>0.62152777778101154</v>
      </c>
      <c r="AE356" s="56" t="s">
        <v>268</v>
      </c>
      <c r="AF356" s="58">
        <v>45918</v>
      </c>
      <c r="AG356" s="59">
        <v>0.53819444444525288</v>
      </c>
      <c r="AH356" s="56" t="s">
        <v>738</v>
      </c>
      <c r="AI356" s="56" t="s">
        <v>6193</v>
      </c>
      <c r="AJ356" s="56" t="s">
        <v>64</v>
      </c>
      <c r="AK356" s="56" t="s">
        <v>64</v>
      </c>
      <c r="AL356" s="56" t="s">
        <v>5016</v>
      </c>
      <c r="AM356" s="56" t="s">
        <v>65</v>
      </c>
      <c r="AN356" s="60"/>
      <c r="AO356" s="60"/>
      <c r="AP356" s="61"/>
    </row>
    <row r="357" spans="3:43" ht="14.25" customHeight="1">
      <c r="C357" s="55" t="str">
        <f>IF($X357=1,COUNTIF($C$10:C356,"&gt;0")+1,"")</f>
        <v/>
      </c>
      <c r="D357" s="76">
        <v>70209907</v>
      </c>
      <c r="E357" s="56" t="s">
        <v>6188</v>
      </c>
      <c r="F357" s="57" t="s">
        <v>6298</v>
      </c>
      <c r="G357" s="56" t="s">
        <v>6294</v>
      </c>
      <c r="H357" s="56" t="s">
        <v>6299</v>
      </c>
      <c r="I357" s="56" t="s">
        <v>6300</v>
      </c>
      <c r="J357" s="56" t="s">
        <v>58</v>
      </c>
      <c r="K357" s="56" t="s">
        <v>59</v>
      </c>
      <c r="L357" s="58">
        <v>28812</v>
      </c>
      <c r="M357" s="56">
        <v>46</v>
      </c>
      <c r="N357" s="56" t="s">
        <v>6301</v>
      </c>
      <c r="O357" s="58">
        <v>46546</v>
      </c>
      <c r="P357" s="56" t="s">
        <v>4</v>
      </c>
      <c r="Q357" s="56"/>
      <c r="R357" s="270">
        <v>45913</v>
      </c>
      <c r="S357" s="270">
        <v>45918</v>
      </c>
      <c r="T357" s="51">
        <f t="shared" si="5"/>
        <v>5</v>
      </c>
      <c r="U357" s="56">
        <v>1</v>
      </c>
      <c r="V357" s="56">
        <v>1</v>
      </c>
      <c r="W357" s="56">
        <v>0</v>
      </c>
      <c r="X357" s="56">
        <v>0</v>
      </c>
      <c r="Y357" s="56">
        <v>0</v>
      </c>
      <c r="Z357" s="56">
        <v>0</v>
      </c>
      <c r="AA357" s="56">
        <v>0</v>
      </c>
      <c r="AB357" s="56"/>
      <c r="AC357" s="58">
        <v>45914</v>
      </c>
      <c r="AD357" s="59">
        <v>0.46875</v>
      </c>
      <c r="AE357" s="56" t="s">
        <v>254</v>
      </c>
      <c r="AF357" s="58">
        <v>45918</v>
      </c>
      <c r="AG357" s="59">
        <v>0.53819444444525288</v>
      </c>
      <c r="AH357" s="56" t="s">
        <v>738</v>
      </c>
      <c r="AI357" s="56" t="s">
        <v>6193</v>
      </c>
      <c r="AJ357" s="56" t="s">
        <v>64</v>
      </c>
      <c r="AK357" s="56" t="s">
        <v>64</v>
      </c>
      <c r="AL357" s="56" t="s">
        <v>5016</v>
      </c>
      <c r="AM357" s="56" t="s">
        <v>65</v>
      </c>
      <c r="AN357" s="60"/>
      <c r="AO357" s="60"/>
      <c r="AP357" s="61"/>
    </row>
    <row r="358" spans="3:43" ht="14.25" customHeight="1">
      <c r="C358" s="55">
        <f>IF($X358=1,COUNTIF($C$10:C357,"&gt;0")+1,"")</f>
        <v>179</v>
      </c>
      <c r="D358" s="76">
        <v>70491586</v>
      </c>
      <c r="E358" s="56" t="s">
        <v>6188</v>
      </c>
      <c r="F358" s="57" t="s">
        <v>6302</v>
      </c>
      <c r="G358" s="56" t="s">
        <v>6294</v>
      </c>
      <c r="H358" s="56" t="s">
        <v>6303</v>
      </c>
      <c r="I358" s="56" t="s">
        <v>1905</v>
      </c>
      <c r="J358" s="56" t="s">
        <v>68</v>
      </c>
      <c r="K358" s="56" t="s">
        <v>59</v>
      </c>
      <c r="L358" s="58">
        <v>22185</v>
      </c>
      <c r="M358" s="56">
        <v>64</v>
      </c>
      <c r="N358" s="56" t="s">
        <v>6304</v>
      </c>
      <c r="O358" s="58">
        <v>48615</v>
      </c>
      <c r="P358" s="56" t="s">
        <v>5</v>
      </c>
      <c r="Q358" s="56"/>
      <c r="R358" s="270">
        <v>45913</v>
      </c>
      <c r="S358" s="270">
        <v>45918</v>
      </c>
      <c r="T358" s="51">
        <f t="shared" si="5"/>
        <v>5</v>
      </c>
      <c r="U358" s="56">
        <v>1</v>
      </c>
      <c r="V358" s="56">
        <v>1</v>
      </c>
      <c r="W358" s="56">
        <v>0</v>
      </c>
      <c r="X358" s="56">
        <v>1</v>
      </c>
      <c r="Y358" s="56">
        <v>0</v>
      </c>
      <c r="Z358" s="56">
        <v>0</v>
      </c>
      <c r="AA358" s="56">
        <v>1</v>
      </c>
      <c r="AB358" s="56"/>
      <c r="AC358" s="58">
        <v>45913</v>
      </c>
      <c r="AD358" s="59">
        <v>0.62152777778101154</v>
      </c>
      <c r="AE358" s="56" t="s">
        <v>268</v>
      </c>
      <c r="AF358" s="58">
        <v>45918</v>
      </c>
      <c r="AG358" s="59">
        <v>0.53819444444525288</v>
      </c>
      <c r="AH358" s="56" t="s">
        <v>738</v>
      </c>
      <c r="AI358" s="56" t="s">
        <v>6193</v>
      </c>
      <c r="AJ358" s="56" t="s">
        <v>64</v>
      </c>
      <c r="AK358" s="56" t="s">
        <v>64</v>
      </c>
      <c r="AL358" s="56" t="s">
        <v>5016</v>
      </c>
      <c r="AM358" s="56" t="s">
        <v>65</v>
      </c>
      <c r="AN358" s="60"/>
      <c r="AO358" s="60"/>
      <c r="AP358" s="61"/>
    </row>
    <row r="359" spans="3:43" ht="14.25" customHeight="1">
      <c r="C359" s="55" t="str">
        <f>IF($X359=1,COUNTIF($C$10:C358,"&gt;0")+1,"")</f>
        <v/>
      </c>
      <c r="D359" s="76">
        <v>70491586</v>
      </c>
      <c r="E359" s="56" t="s">
        <v>6188</v>
      </c>
      <c r="F359" s="57" t="s">
        <v>6305</v>
      </c>
      <c r="G359" s="56" t="s">
        <v>6294</v>
      </c>
      <c r="H359" s="56" t="s">
        <v>174</v>
      </c>
      <c r="I359" s="56" t="s">
        <v>3556</v>
      </c>
      <c r="J359" s="56" t="s">
        <v>68</v>
      </c>
      <c r="K359" s="56" t="s">
        <v>59</v>
      </c>
      <c r="L359" s="58">
        <v>23829</v>
      </c>
      <c r="M359" s="56">
        <v>60</v>
      </c>
      <c r="N359" s="56" t="s">
        <v>6306</v>
      </c>
      <c r="O359" s="58">
        <v>46431</v>
      </c>
      <c r="P359" s="56" t="s">
        <v>5</v>
      </c>
      <c r="Q359" s="56"/>
      <c r="R359" s="270">
        <v>45913</v>
      </c>
      <c r="S359" s="270">
        <v>45918</v>
      </c>
      <c r="T359" s="51">
        <f t="shared" si="5"/>
        <v>5</v>
      </c>
      <c r="U359" s="56">
        <v>1</v>
      </c>
      <c r="V359" s="56">
        <v>1</v>
      </c>
      <c r="W359" s="56">
        <v>0</v>
      </c>
      <c r="X359" s="56">
        <v>0</v>
      </c>
      <c r="Y359" s="56">
        <v>0</v>
      </c>
      <c r="Z359" s="56">
        <v>0</v>
      </c>
      <c r="AA359" s="56">
        <v>0</v>
      </c>
      <c r="AB359" s="56"/>
      <c r="AC359" s="58">
        <v>45914</v>
      </c>
      <c r="AD359" s="59">
        <v>0.46875</v>
      </c>
      <c r="AE359" s="56" t="s">
        <v>254</v>
      </c>
      <c r="AF359" s="58">
        <v>45918</v>
      </c>
      <c r="AG359" s="59">
        <v>0.53819444444525288</v>
      </c>
      <c r="AH359" s="56" t="s">
        <v>738</v>
      </c>
      <c r="AI359" s="56" t="s">
        <v>6193</v>
      </c>
      <c r="AJ359" s="56" t="s">
        <v>64</v>
      </c>
      <c r="AK359" s="56" t="s">
        <v>64</v>
      </c>
      <c r="AL359" s="56" t="s">
        <v>5016</v>
      </c>
      <c r="AM359" s="56" t="s">
        <v>65</v>
      </c>
      <c r="AN359" s="60"/>
      <c r="AO359" s="60"/>
      <c r="AP359" s="61"/>
    </row>
    <row r="360" spans="3:43" ht="14.25" customHeight="1">
      <c r="C360" s="55">
        <f>IF($X360=1,COUNTIF($C$10:C359,"&gt;0")+1,"")</f>
        <v>180</v>
      </c>
      <c r="D360" s="76">
        <v>70517334</v>
      </c>
      <c r="E360" s="56" t="s">
        <v>6188</v>
      </c>
      <c r="F360" s="57" t="s">
        <v>6307</v>
      </c>
      <c r="G360" s="56" t="s">
        <v>6307</v>
      </c>
      <c r="H360" s="56" t="s">
        <v>6308</v>
      </c>
      <c r="I360" s="56" t="s">
        <v>6309</v>
      </c>
      <c r="J360" s="56" t="s">
        <v>68</v>
      </c>
      <c r="K360" s="56" t="s">
        <v>59</v>
      </c>
      <c r="L360" s="58">
        <v>31563</v>
      </c>
      <c r="M360" s="56">
        <v>39</v>
      </c>
      <c r="N360" s="56" t="s">
        <v>6310</v>
      </c>
      <c r="O360" s="58">
        <v>48238</v>
      </c>
      <c r="P360" s="56" t="s">
        <v>5</v>
      </c>
      <c r="Q360" s="56"/>
      <c r="R360" s="270">
        <v>45913</v>
      </c>
      <c r="S360" s="270">
        <v>45918</v>
      </c>
      <c r="T360" s="51">
        <f t="shared" si="5"/>
        <v>5</v>
      </c>
      <c r="U360" s="56">
        <v>1</v>
      </c>
      <c r="V360" s="56">
        <v>1</v>
      </c>
      <c r="W360" s="56">
        <v>0</v>
      </c>
      <c r="X360" s="56">
        <v>1</v>
      </c>
      <c r="Y360" s="56">
        <v>0</v>
      </c>
      <c r="Z360" s="56">
        <v>0</v>
      </c>
      <c r="AA360" s="56">
        <v>1</v>
      </c>
      <c r="AB360" s="56"/>
      <c r="AC360" s="58">
        <v>45913</v>
      </c>
      <c r="AD360" s="59">
        <v>0.62152777778101154</v>
      </c>
      <c r="AE360" s="56" t="s">
        <v>268</v>
      </c>
      <c r="AF360" s="58">
        <v>45918</v>
      </c>
      <c r="AG360" s="59">
        <v>0.53819444444525288</v>
      </c>
      <c r="AH360" s="56" t="s">
        <v>738</v>
      </c>
      <c r="AI360" s="56" t="s">
        <v>6193</v>
      </c>
      <c r="AJ360" s="56" t="s">
        <v>64</v>
      </c>
      <c r="AK360" s="56" t="s">
        <v>64</v>
      </c>
      <c r="AL360" s="56" t="s">
        <v>5016</v>
      </c>
      <c r="AM360" s="56" t="s">
        <v>65</v>
      </c>
      <c r="AN360" s="60" t="s">
        <v>5857</v>
      </c>
      <c r="AO360" s="60"/>
      <c r="AP360" s="61"/>
    </row>
    <row r="361" spans="3:43" ht="14.25" customHeight="1">
      <c r="C361" s="55" t="str">
        <f>IF($X361=1,COUNTIF($C$10:C360,"&gt;0")+1,"")</f>
        <v/>
      </c>
      <c r="D361" s="76">
        <v>70517334</v>
      </c>
      <c r="E361" s="56" t="s">
        <v>6188</v>
      </c>
      <c r="F361" s="57" t="s">
        <v>6311</v>
      </c>
      <c r="G361" s="56" t="s">
        <v>6307</v>
      </c>
      <c r="H361" s="56" t="s">
        <v>1105</v>
      </c>
      <c r="I361" s="56" t="s">
        <v>6309</v>
      </c>
      <c r="J361" s="56" t="s">
        <v>68</v>
      </c>
      <c r="K361" s="56" t="s">
        <v>6312</v>
      </c>
      <c r="L361" s="58">
        <v>18998</v>
      </c>
      <c r="M361" s="56">
        <v>73</v>
      </c>
      <c r="N361" s="56" t="s">
        <v>6313</v>
      </c>
      <c r="O361" s="58">
        <v>47276</v>
      </c>
      <c r="P361" s="56" t="s">
        <v>5</v>
      </c>
      <c r="Q361" s="56"/>
      <c r="R361" s="270">
        <v>45913</v>
      </c>
      <c r="S361" s="270">
        <v>45918</v>
      </c>
      <c r="T361" s="51">
        <f t="shared" si="5"/>
        <v>5</v>
      </c>
      <c r="U361" s="56">
        <v>1</v>
      </c>
      <c r="V361" s="56">
        <v>1</v>
      </c>
      <c r="W361" s="56">
        <v>0</v>
      </c>
      <c r="X361" s="56">
        <v>0</v>
      </c>
      <c r="Y361" s="56">
        <v>0</v>
      </c>
      <c r="Z361" s="56">
        <v>0</v>
      </c>
      <c r="AA361" s="56">
        <v>0</v>
      </c>
      <c r="AB361" s="56"/>
      <c r="AC361" s="58">
        <v>45913</v>
      </c>
      <c r="AD361" s="59">
        <v>0.62152777778101154</v>
      </c>
      <c r="AE361" s="56" t="s">
        <v>268</v>
      </c>
      <c r="AF361" s="58">
        <v>45918</v>
      </c>
      <c r="AG361" s="59">
        <v>0.53819444444525288</v>
      </c>
      <c r="AH361" s="56" t="s">
        <v>738</v>
      </c>
      <c r="AI361" s="56" t="s">
        <v>6193</v>
      </c>
      <c r="AJ361" s="56" t="s">
        <v>64</v>
      </c>
      <c r="AK361" s="56" t="s">
        <v>64</v>
      </c>
      <c r="AL361" s="56" t="s">
        <v>5016</v>
      </c>
      <c r="AM361" s="56" t="s">
        <v>65</v>
      </c>
      <c r="AN361" s="60"/>
      <c r="AO361" s="60"/>
      <c r="AP361" s="61"/>
    </row>
    <row r="362" spans="3:43" ht="14.25" customHeight="1">
      <c r="C362" s="55" t="str">
        <f>IF($X362=1,COUNTIF($C$10:C361,"&gt;0")+1,"")</f>
        <v/>
      </c>
      <c r="D362" s="76">
        <v>70517334</v>
      </c>
      <c r="E362" s="56" t="s">
        <v>6188</v>
      </c>
      <c r="F362" s="57" t="s">
        <v>6314</v>
      </c>
      <c r="G362" s="56" t="s">
        <v>6307</v>
      </c>
      <c r="H362" s="56" t="s">
        <v>6315</v>
      </c>
      <c r="I362" s="56" t="s">
        <v>6316</v>
      </c>
      <c r="J362" s="56" t="s">
        <v>58</v>
      </c>
      <c r="K362" s="56" t="s">
        <v>59</v>
      </c>
      <c r="L362" s="58">
        <v>41916</v>
      </c>
      <c r="M362" s="56">
        <v>10</v>
      </c>
      <c r="N362" s="56" t="s">
        <v>6317</v>
      </c>
      <c r="O362" s="58">
        <v>47616</v>
      </c>
      <c r="P362" s="56" t="s">
        <v>5</v>
      </c>
      <c r="Q362" s="56"/>
      <c r="R362" s="270">
        <v>45913</v>
      </c>
      <c r="S362" s="270">
        <v>45918</v>
      </c>
      <c r="T362" s="51">
        <f t="shared" si="5"/>
        <v>5</v>
      </c>
      <c r="U362" s="56">
        <v>1</v>
      </c>
      <c r="V362" s="56">
        <v>0</v>
      </c>
      <c r="W362" s="56">
        <v>1</v>
      </c>
      <c r="X362" s="56">
        <v>0</v>
      </c>
      <c r="Y362" s="56">
        <v>0</v>
      </c>
      <c r="Z362" s="56">
        <v>0</v>
      </c>
      <c r="AA362" s="56">
        <v>0</v>
      </c>
      <c r="AB362" s="56"/>
      <c r="AC362" s="58">
        <v>45913</v>
      </c>
      <c r="AD362" s="59">
        <v>0.62152777778101154</v>
      </c>
      <c r="AE362" s="56" t="s">
        <v>268</v>
      </c>
      <c r="AF362" s="58">
        <v>45918</v>
      </c>
      <c r="AG362" s="59">
        <v>0.53819444444525288</v>
      </c>
      <c r="AH362" s="56" t="s">
        <v>738</v>
      </c>
      <c r="AI362" s="56" t="s">
        <v>6193</v>
      </c>
      <c r="AJ362" s="56" t="s">
        <v>64</v>
      </c>
      <c r="AK362" s="56" t="s">
        <v>64</v>
      </c>
      <c r="AL362" s="56" t="s">
        <v>5016</v>
      </c>
      <c r="AM362" s="56" t="s">
        <v>65</v>
      </c>
      <c r="AN362" s="60"/>
      <c r="AO362" s="60"/>
      <c r="AP362" s="61"/>
    </row>
    <row r="363" spans="3:43" ht="14.25" customHeight="1">
      <c r="C363" s="55">
        <f>IF($X363=1,COUNTIF($C$10:C362,"&gt;0")+1,"")</f>
        <v>181</v>
      </c>
      <c r="D363" s="76">
        <v>70065065</v>
      </c>
      <c r="E363" s="56" t="s">
        <v>6188</v>
      </c>
      <c r="F363" s="57" t="s">
        <v>6318</v>
      </c>
      <c r="G363" s="56" t="s">
        <v>6318</v>
      </c>
      <c r="H363" s="56" t="s">
        <v>1006</v>
      </c>
      <c r="I363" s="56" t="s">
        <v>5888</v>
      </c>
      <c r="J363" s="56" t="s">
        <v>68</v>
      </c>
      <c r="K363" s="56" t="s">
        <v>59</v>
      </c>
      <c r="L363" s="58">
        <v>29016</v>
      </c>
      <c r="M363" s="56">
        <v>46</v>
      </c>
      <c r="N363" s="56">
        <v>586354687</v>
      </c>
      <c r="O363" s="58">
        <v>46813</v>
      </c>
      <c r="P363" s="56" t="s">
        <v>4</v>
      </c>
      <c r="Q363" s="56"/>
      <c r="R363" s="270">
        <v>45913</v>
      </c>
      <c r="S363" s="270">
        <v>45918</v>
      </c>
      <c r="T363" s="51">
        <f t="shared" si="5"/>
        <v>5</v>
      </c>
      <c r="U363" s="56">
        <v>1</v>
      </c>
      <c r="V363" s="56">
        <v>1</v>
      </c>
      <c r="W363" s="56">
        <v>0</v>
      </c>
      <c r="X363" s="56">
        <v>1</v>
      </c>
      <c r="Y363" s="56">
        <v>0</v>
      </c>
      <c r="Z363" s="56">
        <v>1</v>
      </c>
      <c r="AA363" s="56">
        <v>0</v>
      </c>
      <c r="AB363" s="56"/>
      <c r="AC363" s="58">
        <v>45911</v>
      </c>
      <c r="AD363" s="59">
        <v>0.64583333333333337</v>
      </c>
      <c r="AE363" s="56" t="s">
        <v>312</v>
      </c>
      <c r="AF363" s="58" t="s">
        <v>64</v>
      </c>
      <c r="AG363" s="59" t="s">
        <v>64</v>
      </c>
      <c r="AH363" s="56" t="s">
        <v>64</v>
      </c>
      <c r="AI363" s="56" t="s">
        <v>6193</v>
      </c>
      <c r="AJ363" s="56" t="s">
        <v>64</v>
      </c>
      <c r="AK363" s="56" t="s">
        <v>64</v>
      </c>
      <c r="AL363" s="56" t="s">
        <v>5016</v>
      </c>
      <c r="AM363" s="56" t="s">
        <v>65</v>
      </c>
      <c r="AN363" s="60" t="s">
        <v>5040</v>
      </c>
      <c r="AO363" s="60"/>
      <c r="AP363" s="61"/>
    </row>
    <row r="364" spans="3:43" ht="14.25" customHeight="1">
      <c r="C364" s="55" t="str">
        <f>IF($X364=1,COUNTIF($C$10:C363,"&gt;0")+1,"")</f>
        <v/>
      </c>
      <c r="D364" s="76">
        <v>70065065</v>
      </c>
      <c r="E364" s="56" t="s">
        <v>6188</v>
      </c>
      <c r="F364" s="57" t="s">
        <v>6319</v>
      </c>
      <c r="G364" s="56" t="s">
        <v>6318</v>
      </c>
      <c r="H364" s="56" t="s">
        <v>6320</v>
      </c>
      <c r="I364" s="56" t="s">
        <v>736</v>
      </c>
      <c r="J364" s="56" t="s">
        <v>58</v>
      </c>
      <c r="K364" s="56" t="s">
        <v>59</v>
      </c>
      <c r="L364" s="58">
        <v>29917</v>
      </c>
      <c r="M364" s="56">
        <v>43</v>
      </c>
      <c r="N364" s="56">
        <v>567440730</v>
      </c>
      <c r="O364" s="58">
        <v>47349</v>
      </c>
      <c r="P364" s="56" t="s">
        <v>4</v>
      </c>
      <c r="Q364" s="56"/>
      <c r="R364" s="270">
        <v>45913</v>
      </c>
      <c r="S364" s="270">
        <v>45918</v>
      </c>
      <c r="T364" s="51">
        <f t="shared" si="5"/>
        <v>5</v>
      </c>
      <c r="U364" s="56">
        <v>1</v>
      </c>
      <c r="V364" s="56">
        <v>1</v>
      </c>
      <c r="W364" s="56">
        <v>0</v>
      </c>
      <c r="X364" s="56">
        <v>0</v>
      </c>
      <c r="Y364" s="56">
        <v>0</v>
      </c>
      <c r="Z364" s="56">
        <v>0</v>
      </c>
      <c r="AA364" s="56">
        <v>0</v>
      </c>
      <c r="AB364" s="56"/>
      <c r="AC364" s="58">
        <v>45911</v>
      </c>
      <c r="AD364" s="59">
        <v>0.64583333333333337</v>
      </c>
      <c r="AE364" s="56" t="s">
        <v>312</v>
      </c>
      <c r="AF364" s="58" t="s">
        <v>64</v>
      </c>
      <c r="AG364" s="59" t="s">
        <v>64</v>
      </c>
      <c r="AH364" s="56" t="s">
        <v>64</v>
      </c>
      <c r="AI364" s="56" t="s">
        <v>6193</v>
      </c>
      <c r="AJ364" s="56" t="s">
        <v>64</v>
      </c>
      <c r="AK364" s="56" t="s">
        <v>64</v>
      </c>
      <c r="AL364" s="56" t="s">
        <v>5016</v>
      </c>
      <c r="AM364" s="56" t="s">
        <v>65</v>
      </c>
      <c r="AN364" s="60" t="s">
        <v>5040</v>
      </c>
      <c r="AO364" s="60"/>
      <c r="AP364" s="61"/>
    </row>
    <row r="365" spans="3:43" ht="14.25" customHeight="1">
      <c r="C365" s="55">
        <f>IF($X365=1,COUNTIF($C$10:C364,"&gt;0")+1,"")</f>
        <v>182</v>
      </c>
      <c r="D365" s="76">
        <v>70209922</v>
      </c>
      <c r="E365" s="56" t="s">
        <v>6188</v>
      </c>
      <c r="F365" s="57" t="s">
        <v>6321</v>
      </c>
      <c r="G365" s="56" t="s">
        <v>6321</v>
      </c>
      <c r="H365" s="56" t="s">
        <v>6322</v>
      </c>
      <c r="I365" s="56" t="s">
        <v>6323</v>
      </c>
      <c r="J365" s="56" t="s">
        <v>58</v>
      </c>
      <c r="K365" s="56" t="s">
        <v>59</v>
      </c>
      <c r="L365" s="58">
        <v>27302</v>
      </c>
      <c r="M365" s="56">
        <v>50</v>
      </c>
      <c r="N365" s="56" t="s">
        <v>6324</v>
      </c>
      <c r="O365" s="58">
        <v>48085</v>
      </c>
      <c r="P365" s="56" t="s">
        <v>4</v>
      </c>
      <c r="Q365" s="56"/>
      <c r="R365" s="270">
        <v>45913</v>
      </c>
      <c r="S365" s="270">
        <v>45918</v>
      </c>
      <c r="T365" s="51">
        <f t="shared" si="5"/>
        <v>5</v>
      </c>
      <c r="U365" s="56">
        <v>1</v>
      </c>
      <c r="V365" s="56">
        <v>1</v>
      </c>
      <c r="W365" s="56">
        <v>0</v>
      </c>
      <c r="X365" s="56">
        <v>1</v>
      </c>
      <c r="Y365" s="56">
        <v>0</v>
      </c>
      <c r="Z365" s="56">
        <v>1</v>
      </c>
      <c r="AA365" s="56">
        <v>0</v>
      </c>
      <c r="AB365" s="56"/>
      <c r="AC365" s="58">
        <v>45913</v>
      </c>
      <c r="AD365" s="59">
        <v>0.48263888889050577</v>
      </c>
      <c r="AE365" s="56" t="s">
        <v>4432</v>
      </c>
      <c r="AF365" s="58">
        <v>45918</v>
      </c>
      <c r="AG365" s="59">
        <v>0.72569444444525288</v>
      </c>
      <c r="AH365" s="56" t="s">
        <v>313</v>
      </c>
      <c r="AI365" s="56" t="s">
        <v>6193</v>
      </c>
      <c r="AJ365" s="56" t="s">
        <v>64</v>
      </c>
      <c r="AK365" s="74" t="s">
        <v>6325</v>
      </c>
      <c r="AL365" s="56" t="s">
        <v>5016</v>
      </c>
      <c r="AM365" s="56" t="s">
        <v>65</v>
      </c>
      <c r="AN365" s="60"/>
      <c r="AO365" s="60"/>
      <c r="AP365" s="61"/>
    </row>
    <row r="366" spans="3:43" ht="14.25" customHeight="1">
      <c r="C366" s="55" t="str">
        <f>IF($X366=1,COUNTIF($C$10:C365,"&gt;0")+1,"")</f>
        <v/>
      </c>
      <c r="D366" s="76">
        <v>70209922</v>
      </c>
      <c r="E366" s="56" t="s">
        <v>6188</v>
      </c>
      <c r="F366" s="57" t="s">
        <v>6326</v>
      </c>
      <c r="G366" s="56" t="s">
        <v>6321</v>
      </c>
      <c r="H366" s="56" t="s">
        <v>6327</v>
      </c>
      <c r="I366" s="56" t="s">
        <v>6323</v>
      </c>
      <c r="J366" s="56" t="s">
        <v>68</v>
      </c>
      <c r="K366" s="56" t="s">
        <v>59</v>
      </c>
      <c r="L366" s="58">
        <v>28827</v>
      </c>
      <c r="M366" s="56">
        <v>46</v>
      </c>
      <c r="N366" s="56" t="s">
        <v>6328</v>
      </c>
      <c r="O366" s="58">
        <v>48085</v>
      </c>
      <c r="P366" s="56" t="s">
        <v>4</v>
      </c>
      <c r="Q366" s="56"/>
      <c r="R366" s="270">
        <v>45913</v>
      </c>
      <c r="S366" s="270">
        <v>45918</v>
      </c>
      <c r="T366" s="51">
        <f t="shared" si="5"/>
        <v>5</v>
      </c>
      <c r="U366" s="56">
        <v>1</v>
      </c>
      <c r="V366" s="56">
        <v>1</v>
      </c>
      <c r="W366" s="56">
        <v>0</v>
      </c>
      <c r="X366" s="56">
        <v>0</v>
      </c>
      <c r="Y366" s="56">
        <v>0</v>
      </c>
      <c r="Z366" s="56">
        <v>0</v>
      </c>
      <c r="AA366" s="56">
        <v>0</v>
      </c>
      <c r="AB366" s="56"/>
      <c r="AC366" s="58">
        <v>45913</v>
      </c>
      <c r="AD366" s="59">
        <v>0.48263888889050577</v>
      </c>
      <c r="AE366" s="56" t="s">
        <v>4432</v>
      </c>
      <c r="AF366" s="58">
        <v>45918</v>
      </c>
      <c r="AG366" s="59">
        <v>0.72569444444525288</v>
      </c>
      <c r="AH366" s="56" t="s">
        <v>313</v>
      </c>
      <c r="AI366" s="56" t="s">
        <v>6193</v>
      </c>
      <c r="AJ366" s="56" t="s">
        <v>64</v>
      </c>
      <c r="AK366" s="74" t="s">
        <v>64</v>
      </c>
      <c r="AL366" s="56" t="s">
        <v>5016</v>
      </c>
      <c r="AM366" s="56" t="s">
        <v>65</v>
      </c>
      <c r="AN366" s="60"/>
      <c r="AO366" s="60"/>
      <c r="AP366" s="61"/>
    </row>
    <row r="367" spans="3:43" ht="14.25" customHeight="1">
      <c r="C367" s="55">
        <f>IF($X367=1,COUNTIF($C$10:C366,"&gt;0")+1,"")</f>
        <v>183</v>
      </c>
      <c r="D367" s="76">
        <v>70508918</v>
      </c>
      <c r="E367" s="56" t="s">
        <v>6188</v>
      </c>
      <c r="F367" s="57" t="s">
        <v>6329</v>
      </c>
      <c r="G367" s="56" t="s">
        <v>6329</v>
      </c>
      <c r="H367" s="56" t="s">
        <v>6330</v>
      </c>
      <c r="I367" s="56" t="s">
        <v>6331</v>
      </c>
      <c r="J367" s="56" t="s">
        <v>68</v>
      </c>
      <c r="K367" s="56" t="s">
        <v>59</v>
      </c>
      <c r="L367" s="58">
        <v>30194</v>
      </c>
      <c r="M367" s="56">
        <v>43</v>
      </c>
      <c r="N367" s="56" t="s">
        <v>6332</v>
      </c>
      <c r="O367" s="58">
        <v>46923</v>
      </c>
      <c r="P367" s="56" t="s">
        <v>4</v>
      </c>
      <c r="Q367" s="56"/>
      <c r="R367" s="270">
        <v>45913</v>
      </c>
      <c r="S367" s="270">
        <v>45918</v>
      </c>
      <c r="T367" s="51">
        <f t="shared" si="5"/>
        <v>5</v>
      </c>
      <c r="U367" s="56">
        <v>1</v>
      </c>
      <c r="V367" s="56">
        <v>1</v>
      </c>
      <c r="W367" s="56">
        <v>0</v>
      </c>
      <c r="X367" s="56">
        <v>1</v>
      </c>
      <c r="Y367" s="56">
        <v>0</v>
      </c>
      <c r="Z367" s="56">
        <v>1</v>
      </c>
      <c r="AA367" s="56">
        <v>0</v>
      </c>
      <c r="AB367" s="56"/>
      <c r="AC367" s="58">
        <v>45913</v>
      </c>
      <c r="AD367" s="59">
        <v>0.62152777778101154</v>
      </c>
      <c r="AE367" s="56" t="s">
        <v>268</v>
      </c>
      <c r="AF367" s="58">
        <v>45921</v>
      </c>
      <c r="AG367" s="59">
        <v>0.82291666666424135</v>
      </c>
      <c r="AH367" s="56" t="s">
        <v>6333</v>
      </c>
      <c r="AI367" s="56" t="s">
        <v>6193</v>
      </c>
      <c r="AJ367" s="56" t="s">
        <v>64</v>
      </c>
      <c r="AK367" s="74" t="s">
        <v>6334</v>
      </c>
      <c r="AL367" s="56" t="s">
        <v>5016</v>
      </c>
      <c r="AM367" s="56" t="s">
        <v>65</v>
      </c>
      <c r="AN367" s="60" t="s">
        <v>5017</v>
      </c>
      <c r="AO367" s="60"/>
      <c r="AP367" s="61"/>
      <c r="AQ367" s="271" t="s">
        <v>5064</v>
      </c>
    </row>
    <row r="368" spans="3:43" ht="14.25" customHeight="1">
      <c r="C368" s="55" t="str">
        <f>IF($X368=1,COUNTIF($C$10:C367,"&gt;0")+1,"")</f>
        <v/>
      </c>
      <c r="D368" s="76">
        <v>70508918</v>
      </c>
      <c r="E368" s="56" t="s">
        <v>6188</v>
      </c>
      <c r="F368" s="57" t="s">
        <v>6335</v>
      </c>
      <c r="G368" s="56" t="s">
        <v>6329</v>
      </c>
      <c r="H368" s="56" t="s">
        <v>6336</v>
      </c>
      <c r="I368" s="56" t="s">
        <v>736</v>
      </c>
      <c r="J368" s="56" t="s">
        <v>68</v>
      </c>
      <c r="K368" s="56" t="s">
        <v>59</v>
      </c>
      <c r="L368" s="58">
        <v>42265</v>
      </c>
      <c r="M368" s="56">
        <v>10</v>
      </c>
      <c r="N368" s="56" t="s">
        <v>6337</v>
      </c>
      <c r="O368" s="58">
        <v>47258</v>
      </c>
      <c r="P368" s="56" t="s">
        <v>4</v>
      </c>
      <c r="Q368" s="56"/>
      <c r="R368" s="270">
        <v>45913</v>
      </c>
      <c r="S368" s="270">
        <v>45918</v>
      </c>
      <c r="T368" s="51">
        <f t="shared" si="5"/>
        <v>5</v>
      </c>
      <c r="U368" s="56">
        <v>1</v>
      </c>
      <c r="V368" s="56">
        <v>1</v>
      </c>
      <c r="W368" s="56">
        <v>0</v>
      </c>
      <c r="X368" s="56">
        <v>0</v>
      </c>
      <c r="Y368" s="56">
        <v>0</v>
      </c>
      <c r="Z368" s="56">
        <v>0</v>
      </c>
      <c r="AA368" s="56">
        <v>0</v>
      </c>
      <c r="AB368" s="56"/>
      <c r="AC368" s="58">
        <v>45913</v>
      </c>
      <c r="AD368" s="59">
        <v>0.62152777778101154</v>
      </c>
      <c r="AE368" s="56" t="s">
        <v>268</v>
      </c>
      <c r="AF368" s="58">
        <v>45921</v>
      </c>
      <c r="AG368" s="59">
        <v>0.82291666666424135</v>
      </c>
      <c r="AH368" s="56" t="s">
        <v>6333</v>
      </c>
      <c r="AI368" s="56" t="s">
        <v>6193</v>
      </c>
      <c r="AJ368" s="56" t="s">
        <v>64</v>
      </c>
      <c r="AK368" s="74"/>
      <c r="AL368" s="56" t="s">
        <v>5016</v>
      </c>
      <c r="AM368" s="56" t="s">
        <v>65</v>
      </c>
      <c r="AN368" s="60" t="s">
        <v>5017</v>
      </c>
      <c r="AO368" s="60"/>
      <c r="AP368" s="61"/>
      <c r="AQ368" s="271" t="s">
        <v>5064</v>
      </c>
    </row>
    <row r="369" spans="3:42" ht="14.25" customHeight="1">
      <c r="C369" s="55">
        <f>IF($X369=1,COUNTIF($C$10:C368,"&gt;0")+1,"")</f>
        <v>184</v>
      </c>
      <c r="D369" s="76">
        <v>70209920</v>
      </c>
      <c r="E369" s="56" t="s">
        <v>6188</v>
      </c>
      <c r="F369" s="57" t="s">
        <v>6338</v>
      </c>
      <c r="G369" s="56" t="s">
        <v>6329</v>
      </c>
      <c r="H369" s="56" t="s">
        <v>6339</v>
      </c>
      <c r="I369" s="56" t="s">
        <v>736</v>
      </c>
      <c r="J369" s="56" t="s">
        <v>68</v>
      </c>
      <c r="K369" s="56" t="s">
        <v>59</v>
      </c>
      <c r="L369" s="58">
        <v>40479</v>
      </c>
      <c r="M369" s="56">
        <v>14</v>
      </c>
      <c r="N369" s="56" t="s">
        <v>6340</v>
      </c>
      <c r="O369" s="58">
        <v>47258</v>
      </c>
      <c r="P369" s="56" t="s">
        <v>4</v>
      </c>
      <c r="Q369" s="56"/>
      <c r="R369" s="270">
        <v>45913</v>
      </c>
      <c r="S369" s="270">
        <v>45918</v>
      </c>
      <c r="T369" s="51">
        <f t="shared" si="5"/>
        <v>5</v>
      </c>
      <c r="U369" s="56">
        <v>1</v>
      </c>
      <c r="V369" s="56">
        <v>1</v>
      </c>
      <c r="W369" s="56">
        <v>0</v>
      </c>
      <c r="X369" s="56">
        <v>1</v>
      </c>
      <c r="Y369" s="56">
        <v>0</v>
      </c>
      <c r="Z369" s="56">
        <v>1</v>
      </c>
      <c r="AA369" s="56">
        <v>0</v>
      </c>
      <c r="AB369" s="56"/>
      <c r="AC369" s="58">
        <v>45913</v>
      </c>
      <c r="AD369" s="59">
        <v>0.62152777778101154</v>
      </c>
      <c r="AE369" s="56" t="s">
        <v>268</v>
      </c>
      <c r="AF369" s="58">
        <v>45921</v>
      </c>
      <c r="AG369" s="59">
        <v>0.82291666666424135</v>
      </c>
      <c r="AH369" s="56" t="s">
        <v>6333</v>
      </c>
      <c r="AI369" s="56" t="s">
        <v>6193</v>
      </c>
      <c r="AJ369" s="56" t="s">
        <v>64</v>
      </c>
      <c r="AK369" s="74" t="s">
        <v>6341</v>
      </c>
      <c r="AL369" s="56" t="s">
        <v>5016</v>
      </c>
      <c r="AM369" s="56" t="s">
        <v>65</v>
      </c>
      <c r="AN369" s="60"/>
      <c r="AO369" s="60"/>
      <c r="AP369" s="61"/>
    </row>
    <row r="370" spans="3:42" ht="14.25" customHeight="1">
      <c r="C370" s="55" t="str">
        <f>IF($X370=1,COUNTIF($C$10:C369,"&gt;0")+1,"")</f>
        <v/>
      </c>
      <c r="D370" s="76">
        <v>70209920</v>
      </c>
      <c r="E370" s="56" t="s">
        <v>6188</v>
      </c>
      <c r="F370" s="57" t="s">
        <v>6342</v>
      </c>
      <c r="G370" s="56" t="s">
        <v>6329</v>
      </c>
      <c r="H370" s="56" t="s">
        <v>6343</v>
      </c>
      <c r="I370" s="56" t="s">
        <v>736</v>
      </c>
      <c r="J370" s="56" t="s">
        <v>68</v>
      </c>
      <c r="K370" s="56" t="s">
        <v>59</v>
      </c>
      <c r="L370" s="58">
        <v>41058</v>
      </c>
      <c r="M370" s="56">
        <v>13</v>
      </c>
      <c r="N370" s="56" t="s">
        <v>6344</v>
      </c>
      <c r="O370" s="58">
        <v>46181</v>
      </c>
      <c r="P370" s="56" t="s">
        <v>4</v>
      </c>
      <c r="Q370" s="56"/>
      <c r="R370" s="270">
        <v>45913</v>
      </c>
      <c r="S370" s="270">
        <v>45918</v>
      </c>
      <c r="T370" s="51">
        <f t="shared" si="5"/>
        <v>5</v>
      </c>
      <c r="U370" s="56">
        <v>1</v>
      </c>
      <c r="V370" s="56">
        <v>1</v>
      </c>
      <c r="W370" s="56">
        <v>0</v>
      </c>
      <c r="X370" s="56">
        <v>0</v>
      </c>
      <c r="Y370" s="56">
        <v>0</v>
      </c>
      <c r="Z370" s="56">
        <v>0</v>
      </c>
      <c r="AA370" s="56">
        <v>0</v>
      </c>
      <c r="AB370" s="56"/>
      <c r="AC370" s="58">
        <v>45913</v>
      </c>
      <c r="AD370" s="59">
        <v>0.62152777778101154</v>
      </c>
      <c r="AE370" s="56" t="s">
        <v>268</v>
      </c>
      <c r="AF370" s="58">
        <v>45921</v>
      </c>
      <c r="AG370" s="59">
        <v>0.82291666666424135</v>
      </c>
      <c r="AH370" s="56" t="s">
        <v>6333</v>
      </c>
      <c r="AI370" s="56" t="s">
        <v>6193</v>
      </c>
      <c r="AJ370" s="56" t="s">
        <v>64</v>
      </c>
      <c r="AK370" s="74"/>
      <c r="AL370" s="56" t="s">
        <v>5016</v>
      </c>
      <c r="AM370" s="56" t="s">
        <v>65</v>
      </c>
      <c r="AN370" s="60"/>
      <c r="AO370" s="60"/>
      <c r="AP370" s="61"/>
    </row>
    <row r="371" spans="3:42" ht="14.25" customHeight="1">
      <c r="C371" s="55">
        <f>IF($X371=1,COUNTIF($C$10:C370,"&gt;0")+1,"")</f>
        <v>185</v>
      </c>
      <c r="D371" s="76">
        <v>70491600</v>
      </c>
      <c r="E371" s="56" t="s">
        <v>6188</v>
      </c>
      <c r="F371" s="57" t="s">
        <v>6345</v>
      </c>
      <c r="G371" s="56" t="s">
        <v>6329</v>
      </c>
      <c r="H371" s="56" t="s">
        <v>6346</v>
      </c>
      <c r="I371" s="56" t="s">
        <v>6331</v>
      </c>
      <c r="J371" s="56" t="s">
        <v>68</v>
      </c>
      <c r="K371" s="56" t="s">
        <v>59</v>
      </c>
      <c r="L371" s="58">
        <v>21989</v>
      </c>
      <c r="M371" s="56">
        <v>65</v>
      </c>
      <c r="N371" s="56" t="s">
        <v>6347</v>
      </c>
      <c r="O371" s="58">
        <v>47253</v>
      </c>
      <c r="P371" s="56" t="s">
        <v>5</v>
      </c>
      <c r="Q371" s="56"/>
      <c r="R371" s="270">
        <v>45913</v>
      </c>
      <c r="S371" s="270">
        <v>45918</v>
      </c>
      <c r="T371" s="51">
        <f t="shared" si="5"/>
        <v>5</v>
      </c>
      <c r="U371" s="56">
        <v>1</v>
      </c>
      <c r="V371" s="56">
        <v>1</v>
      </c>
      <c r="W371" s="56">
        <v>0</v>
      </c>
      <c r="X371" s="56">
        <v>1</v>
      </c>
      <c r="Y371" s="56">
        <v>0</v>
      </c>
      <c r="Z371" s="56">
        <v>0</v>
      </c>
      <c r="AA371" s="56">
        <v>1</v>
      </c>
      <c r="AB371" s="56"/>
      <c r="AC371" s="58">
        <v>45913</v>
      </c>
      <c r="AD371" s="59">
        <v>0.62152777778101154</v>
      </c>
      <c r="AE371" s="56" t="s">
        <v>268</v>
      </c>
      <c r="AF371" s="58">
        <v>45921</v>
      </c>
      <c r="AG371" s="59">
        <v>0.82291666666424135</v>
      </c>
      <c r="AH371" s="56" t="s">
        <v>6333</v>
      </c>
      <c r="AI371" s="56" t="s">
        <v>6193</v>
      </c>
      <c r="AJ371" s="56" t="s">
        <v>64</v>
      </c>
      <c r="AK371" s="74" t="s">
        <v>6341</v>
      </c>
      <c r="AL371" s="56" t="s">
        <v>5016</v>
      </c>
      <c r="AM371" s="56" t="s">
        <v>65</v>
      </c>
      <c r="AN371" s="60"/>
      <c r="AO371" s="60"/>
      <c r="AP371" s="61"/>
    </row>
    <row r="372" spans="3:42" ht="14.25" customHeight="1">
      <c r="C372" s="55" t="str">
        <f>IF($X372=1,COUNTIF($C$10:C371,"&gt;0")+1,"")</f>
        <v/>
      </c>
      <c r="D372" s="76">
        <v>70491600</v>
      </c>
      <c r="E372" s="56" t="s">
        <v>6188</v>
      </c>
      <c r="F372" s="57" t="s">
        <v>6348</v>
      </c>
      <c r="G372" s="56" t="s">
        <v>6329</v>
      </c>
      <c r="H372" s="56" t="s">
        <v>6349</v>
      </c>
      <c r="I372" s="56" t="s">
        <v>6350</v>
      </c>
      <c r="J372" s="56" t="s">
        <v>68</v>
      </c>
      <c r="K372" s="56" t="s">
        <v>59</v>
      </c>
      <c r="L372" s="58">
        <v>37773</v>
      </c>
      <c r="M372" s="56">
        <v>22</v>
      </c>
      <c r="N372" s="56" t="s">
        <v>6351</v>
      </c>
      <c r="O372" s="58">
        <v>48335</v>
      </c>
      <c r="P372" s="56" t="s">
        <v>5</v>
      </c>
      <c r="Q372" s="56"/>
      <c r="R372" s="270">
        <v>45913</v>
      </c>
      <c r="S372" s="270">
        <v>45918</v>
      </c>
      <c r="T372" s="51">
        <f t="shared" si="5"/>
        <v>5</v>
      </c>
      <c r="U372" s="56">
        <v>1</v>
      </c>
      <c r="V372" s="56">
        <v>1</v>
      </c>
      <c r="W372" s="56">
        <v>0</v>
      </c>
      <c r="X372" s="56">
        <v>0</v>
      </c>
      <c r="Y372" s="56">
        <v>0</v>
      </c>
      <c r="Z372" s="56">
        <v>0</v>
      </c>
      <c r="AA372" s="56">
        <v>0</v>
      </c>
      <c r="AB372" s="56"/>
      <c r="AC372" s="58">
        <v>45913</v>
      </c>
      <c r="AD372" s="59">
        <v>0.62152777778101154</v>
      </c>
      <c r="AE372" s="56" t="s">
        <v>268</v>
      </c>
      <c r="AF372" s="58">
        <v>45921</v>
      </c>
      <c r="AG372" s="59">
        <v>0.82291666666424135</v>
      </c>
      <c r="AH372" s="56" t="s">
        <v>6333</v>
      </c>
      <c r="AI372" s="56" t="s">
        <v>6193</v>
      </c>
      <c r="AJ372" s="56" t="s">
        <v>64</v>
      </c>
      <c r="AK372" s="74"/>
      <c r="AL372" s="56" t="s">
        <v>5016</v>
      </c>
      <c r="AM372" s="56" t="s">
        <v>65</v>
      </c>
      <c r="AN372" s="60"/>
      <c r="AO372" s="60"/>
      <c r="AP372" s="61"/>
    </row>
    <row r="373" spans="3:42" ht="14.25" customHeight="1">
      <c r="C373" s="55">
        <f>IF($X373=1,COUNTIF($C$10:C372,"&gt;0")+1,"")</f>
        <v>186</v>
      </c>
      <c r="D373" s="76">
        <v>70491599</v>
      </c>
      <c r="E373" s="56" t="s">
        <v>6188</v>
      </c>
      <c r="F373" s="57" t="s">
        <v>6352</v>
      </c>
      <c r="G373" s="56" t="s">
        <v>6352</v>
      </c>
      <c r="H373" s="56" t="s">
        <v>494</v>
      </c>
      <c r="I373" s="56" t="s">
        <v>6353</v>
      </c>
      <c r="J373" s="56" t="s">
        <v>68</v>
      </c>
      <c r="K373" s="56" t="s">
        <v>59</v>
      </c>
      <c r="L373" s="58">
        <v>28767</v>
      </c>
      <c r="M373" s="56">
        <v>46</v>
      </c>
      <c r="N373" s="56" t="s">
        <v>6354</v>
      </c>
      <c r="O373" s="58">
        <v>47854</v>
      </c>
      <c r="P373" s="56" t="s">
        <v>5</v>
      </c>
      <c r="Q373" s="56"/>
      <c r="R373" s="270">
        <v>45913</v>
      </c>
      <c r="S373" s="270">
        <v>45918</v>
      </c>
      <c r="T373" s="51">
        <f t="shared" si="5"/>
        <v>5</v>
      </c>
      <c r="U373" s="56">
        <v>1</v>
      </c>
      <c r="V373" s="56">
        <v>1</v>
      </c>
      <c r="W373" s="56">
        <v>0</v>
      </c>
      <c r="X373" s="56">
        <v>1</v>
      </c>
      <c r="Y373" s="56">
        <v>0</v>
      </c>
      <c r="Z373" s="56">
        <v>0</v>
      </c>
      <c r="AA373" s="56">
        <v>1</v>
      </c>
      <c r="AB373" s="56"/>
      <c r="AC373" s="58">
        <v>45913</v>
      </c>
      <c r="AD373" s="59">
        <v>0.62152777778101154</v>
      </c>
      <c r="AE373" s="56" t="s">
        <v>268</v>
      </c>
      <c r="AF373" s="58">
        <v>45921</v>
      </c>
      <c r="AG373" s="59">
        <v>0.82291666666424135</v>
      </c>
      <c r="AH373" s="56" t="s">
        <v>6333</v>
      </c>
      <c r="AI373" s="56" t="s">
        <v>6193</v>
      </c>
      <c r="AJ373" s="56" t="s">
        <v>64</v>
      </c>
      <c r="AK373" s="74" t="s">
        <v>6355</v>
      </c>
      <c r="AL373" s="56" t="s">
        <v>5016</v>
      </c>
      <c r="AM373" s="56" t="s">
        <v>65</v>
      </c>
      <c r="AN373" s="60"/>
      <c r="AO373" s="60"/>
      <c r="AP373" s="61"/>
    </row>
    <row r="374" spans="3:42" ht="14.25" customHeight="1">
      <c r="C374" s="55" t="str">
        <f>IF($X374=1,COUNTIF($C$10:C373,"&gt;0")+1,"")</f>
        <v/>
      </c>
      <c r="D374" s="76">
        <v>70491599</v>
      </c>
      <c r="E374" s="56" t="s">
        <v>6188</v>
      </c>
      <c r="F374" s="57" t="s">
        <v>6356</v>
      </c>
      <c r="G374" s="56" t="s">
        <v>6352</v>
      </c>
      <c r="H374" s="56" t="s">
        <v>6357</v>
      </c>
      <c r="I374" s="56" t="s">
        <v>208</v>
      </c>
      <c r="J374" s="56" t="s">
        <v>68</v>
      </c>
      <c r="K374" s="56" t="s">
        <v>59</v>
      </c>
      <c r="L374" s="58">
        <v>28090</v>
      </c>
      <c r="M374" s="56">
        <v>48</v>
      </c>
      <c r="N374" s="56" t="s">
        <v>6358</v>
      </c>
      <c r="O374" s="58">
        <v>46804</v>
      </c>
      <c r="P374" s="56" t="s">
        <v>5</v>
      </c>
      <c r="Q374" s="56"/>
      <c r="R374" s="270">
        <v>45913</v>
      </c>
      <c r="S374" s="270">
        <v>45918</v>
      </c>
      <c r="T374" s="51">
        <f t="shared" si="5"/>
        <v>5</v>
      </c>
      <c r="U374" s="56">
        <v>1</v>
      </c>
      <c r="V374" s="56">
        <v>1</v>
      </c>
      <c r="W374" s="56">
        <v>0</v>
      </c>
      <c r="X374" s="56">
        <v>0</v>
      </c>
      <c r="Y374" s="56">
        <v>0</v>
      </c>
      <c r="Z374" s="56">
        <v>0</v>
      </c>
      <c r="AA374" s="56">
        <v>0</v>
      </c>
      <c r="AB374" s="56"/>
      <c r="AC374" s="58">
        <v>45913</v>
      </c>
      <c r="AD374" s="59">
        <v>0.65625</v>
      </c>
      <c r="AE374" s="56" t="s">
        <v>1385</v>
      </c>
      <c r="AF374" s="58">
        <v>45921</v>
      </c>
      <c r="AG374" s="59">
        <v>0.82291666666424135</v>
      </c>
      <c r="AH374" s="56" t="s">
        <v>6359</v>
      </c>
      <c r="AI374" s="56" t="s">
        <v>6193</v>
      </c>
      <c r="AJ374" s="56" t="s">
        <v>64</v>
      </c>
      <c r="AK374" s="74"/>
      <c r="AL374" s="56" t="s">
        <v>5016</v>
      </c>
      <c r="AM374" s="56" t="s">
        <v>65</v>
      </c>
      <c r="AN374" s="60"/>
      <c r="AO374" s="60"/>
      <c r="AP374" s="61"/>
    </row>
    <row r="375" spans="3:42" ht="14.25" customHeight="1">
      <c r="C375" s="55">
        <f>IF($X375=1,COUNTIF($C$10:C374,"&gt;0")+1,"")</f>
        <v>187</v>
      </c>
      <c r="D375" s="76">
        <v>70508927</v>
      </c>
      <c r="E375" s="56" t="s">
        <v>6188</v>
      </c>
      <c r="F375" s="57" t="s">
        <v>6360</v>
      </c>
      <c r="G375" s="56" t="s">
        <v>6352</v>
      </c>
      <c r="H375" s="56" t="s">
        <v>6361</v>
      </c>
      <c r="I375" s="56" t="s">
        <v>6362</v>
      </c>
      <c r="J375" s="56" t="s">
        <v>68</v>
      </c>
      <c r="K375" s="56" t="s">
        <v>59</v>
      </c>
      <c r="L375" s="58">
        <v>41116</v>
      </c>
      <c r="M375" s="56">
        <v>13</v>
      </c>
      <c r="N375" s="56" t="s">
        <v>6363</v>
      </c>
      <c r="O375" s="58">
        <v>47477</v>
      </c>
      <c r="P375" s="56" t="s">
        <v>4</v>
      </c>
      <c r="Q375" s="56"/>
      <c r="R375" s="270">
        <v>45913</v>
      </c>
      <c r="S375" s="270">
        <v>45918</v>
      </c>
      <c r="T375" s="51">
        <f t="shared" si="5"/>
        <v>5</v>
      </c>
      <c r="U375" s="56">
        <v>1</v>
      </c>
      <c r="V375" s="56">
        <v>1</v>
      </c>
      <c r="W375" s="56">
        <v>0</v>
      </c>
      <c r="X375" s="56">
        <v>1</v>
      </c>
      <c r="Y375" s="56">
        <v>0</v>
      </c>
      <c r="Z375" s="56">
        <v>1</v>
      </c>
      <c r="AA375" s="56">
        <v>0</v>
      </c>
      <c r="AB375" s="56"/>
      <c r="AC375" s="58">
        <v>45913</v>
      </c>
      <c r="AD375" s="59">
        <v>0.62152777778101154</v>
      </c>
      <c r="AE375" s="56" t="s">
        <v>268</v>
      </c>
      <c r="AF375" s="58">
        <v>45921</v>
      </c>
      <c r="AG375" s="59">
        <v>0.82291666666424135</v>
      </c>
      <c r="AH375" s="56" t="s">
        <v>6333</v>
      </c>
      <c r="AI375" s="56" t="s">
        <v>6193</v>
      </c>
      <c r="AJ375" s="56" t="s">
        <v>64</v>
      </c>
      <c r="AK375" s="74" t="s">
        <v>6364</v>
      </c>
      <c r="AL375" s="56" t="s">
        <v>5016</v>
      </c>
      <c r="AM375" s="56" t="s">
        <v>65</v>
      </c>
      <c r="AN375" s="60"/>
      <c r="AO375" s="60"/>
      <c r="AP375" s="61"/>
    </row>
    <row r="376" spans="3:42" ht="14.25" customHeight="1">
      <c r="C376" s="55" t="str">
        <f>IF($X376=1,COUNTIF($C$10:C375,"&gt;0")+1,"")</f>
        <v/>
      </c>
      <c r="D376" s="76">
        <v>70508927</v>
      </c>
      <c r="E376" s="56" t="s">
        <v>6188</v>
      </c>
      <c r="F376" s="57" t="s">
        <v>6365</v>
      </c>
      <c r="G376" s="56" t="s">
        <v>6352</v>
      </c>
      <c r="H376" s="56" t="s">
        <v>6366</v>
      </c>
      <c r="I376" s="56" t="s">
        <v>6362</v>
      </c>
      <c r="J376" s="56" t="s">
        <v>68</v>
      </c>
      <c r="K376" s="56" t="s">
        <v>59</v>
      </c>
      <c r="L376" s="58">
        <v>40279</v>
      </c>
      <c r="M376" s="56">
        <v>15</v>
      </c>
      <c r="N376" s="56" t="s">
        <v>6367</v>
      </c>
      <c r="O376" s="58">
        <v>47477</v>
      </c>
      <c r="P376" s="56" t="s">
        <v>4</v>
      </c>
      <c r="Q376" s="56"/>
      <c r="R376" s="270">
        <v>45913</v>
      </c>
      <c r="S376" s="270">
        <v>45918</v>
      </c>
      <c r="T376" s="51">
        <f t="shared" si="5"/>
        <v>5</v>
      </c>
      <c r="U376" s="56">
        <v>1</v>
      </c>
      <c r="V376" s="56">
        <v>1</v>
      </c>
      <c r="W376" s="56">
        <v>0</v>
      </c>
      <c r="X376" s="56">
        <v>0</v>
      </c>
      <c r="Y376" s="56">
        <v>0</v>
      </c>
      <c r="Z376" s="56">
        <v>0</v>
      </c>
      <c r="AA376" s="56">
        <v>0</v>
      </c>
      <c r="AB376" s="56"/>
      <c r="AC376" s="58">
        <v>45913</v>
      </c>
      <c r="AD376" s="59">
        <v>0.62152777778101154</v>
      </c>
      <c r="AE376" s="56" t="s">
        <v>268</v>
      </c>
      <c r="AF376" s="58">
        <v>45921</v>
      </c>
      <c r="AG376" s="59">
        <v>0.82291666666424135</v>
      </c>
      <c r="AH376" s="56" t="s">
        <v>6333</v>
      </c>
      <c r="AI376" s="56" t="s">
        <v>6193</v>
      </c>
      <c r="AJ376" s="56" t="s">
        <v>64</v>
      </c>
      <c r="AK376" s="74"/>
      <c r="AL376" s="56" t="s">
        <v>5016</v>
      </c>
      <c r="AM376" s="56" t="s">
        <v>65</v>
      </c>
      <c r="AN376" s="60"/>
      <c r="AO376" s="60"/>
      <c r="AP376" s="61"/>
    </row>
    <row r="377" spans="3:42" ht="14.25" customHeight="1">
      <c r="C377" s="55">
        <f>IF($X377=1,COUNTIF($C$10:C376,"&gt;0")+1,"")</f>
        <v>188</v>
      </c>
      <c r="D377" s="76">
        <v>70508940</v>
      </c>
      <c r="E377" s="56" t="s">
        <v>6188</v>
      </c>
      <c r="F377" s="57" t="s">
        <v>6368</v>
      </c>
      <c r="G377" s="56" t="s">
        <v>6368</v>
      </c>
      <c r="H377" s="56" t="s">
        <v>6369</v>
      </c>
      <c r="I377" s="56" t="s">
        <v>5202</v>
      </c>
      <c r="J377" s="56" t="s">
        <v>68</v>
      </c>
      <c r="K377" s="56" t="s">
        <v>59</v>
      </c>
      <c r="L377" s="58">
        <v>30401</v>
      </c>
      <c r="M377" s="56">
        <v>42</v>
      </c>
      <c r="N377" s="56" t="s">
        <v>6370</v>
      </c>
      <c r="O377" s="58">
        <v>48581</v>
      </c>
      <c r="P377" s="56" t="s">
        <v>4</v>
      </c>
      <c r="Q377" s="56"/>
      <c r="R377" s="270">
        <v>45913</v>
      </c>
      <c r="S377" s="270">
        <v>45918</v>
      </c>
      <c r="T377" s="51">
        <f t="shared" si="5"/>
        <v>5</v>
      </c>
      <c r="U377" s="56">
        <v>1</v>
      </c>
      <c r="V377" s="56">
        <v>1</v>
      </c>
      <c r="W377" s="56">
        <v>0</v>
      </c>
      <c r="X377" s="56">
        <v>1</v>
      </c>
      <c r="Y377" s="56">
        <v>0</v>
      </c>
      <c r="Z377" s="56">
        <v>1</v>
      </c>
      <c r="AA377" s="56">
        <v>0</v>
      </c>
      <c r="AB377" s="56"/>
      <c r="AC377" s="58">
        <v>45913</v>
      </c>
      <c r="AD377" s="59">
        <v>0.72222222221898846</v>
      </c>
      <c r="AE377" s="56" t="s">
        <v>164</v>
      </c>
      <c r="AF377" s="58">
        <v>45918</v>
      </c>
      <c r="AG377" s="59">
        <v>0.5625</v>
      </c>
      <c r="AH377" s="56" t="s">
        <v>6293</v>
      </c>
      <c r="AI377" s="56" t="s">
        <v>6193</v>
      </c>
      <c r="AJ377" s="56" t="s">
        <v>64</v>
      </c>
      <c r="AK377" s="56" t="s">
        <v>64</v>
      </c>
      <c r="AL377" s="56" t="s">
        <v>5016</v>
      </c>
      <c r="AM377" s="56" t="s">
        <v>65</v>
      </c>
      <c r="AN377" s="60"/>
      <c r="AO377" s="60"/>
      <c r="AP377" s="61"/>
    </row>
    <row r="378" spans="3:42" ht="14.25" customHeight="1">
      <c r="C378" s="55" t="str">
        <f>IF($X378=1,COUNTIF($C$10:C377,"&gt;0")+1,"")</f>
        <v/>
      </c>
      <c r="D378" s="76">
        <v>70508940</v>
      </c>
      <c r="E378" s="56" t="s">
        <v>6188</v>
      </c>
      <c r="F378" s="57" t="s">
        <v>6371</v>
      </c>
      <c r="G378" s="56" t="s">
        <v>6368</v>
      </c>
      <c r="H378" s="56" t="s">
        <v>6372</v>
      </c>
      <c r="I378" s="56" t="s">
        <v>5202</v>
      </c>
      <c r="J378" s="56" t="s">
        <v>58</v>
      </c>
      <c r="K378" s="56" t="s">
        <v>59</v>
      </c>
      <c r="L378" s="58">
        <v>29438</v>
      </c>
      <c r="M378" s="56">
        <v>45</v>
      </c>
      <c r="N378" s="56" t="s">
        <v>6373</v>
      </c>
      <c r="O378" s="58">
        <v>48581</v>
      </c>
      <c r="P378" s="56" t="s">
        <v>4</v>
      </c>
      <c r="Q378" s="56"/>
      <c r="R378" s="270">
        <v>45913</v>
      </c>
      <c r="S378" s="270">
        <v>45918</v>
      </c>
      <c r="T378" s="51">
        <f t="shared" si="5"/>
        <v>5</v>
      </c>
      <c r="U378" s="56">
        <v>1</v>
      </c>
      <c r="V378" s="56">
        <v>1</v>
      </c>
      <c r="W378" s="56">
        <v>0</v>
      </c>
      <c r="X378" s="56">
        <v>0</v>
      </c>
      <c r="Y378" s="56">
        <v>0</v>
      </c>
      <c r="Z378" s="56">
        <v>0</v>
      </c>
      <c r="AA378" s="56">
        <v>0</v>
      </c>
      <c r="AB378" s="56"/>
      <c r="AC378" s="58">
        <v>45913</v>
      </c>
      <c r="AD378" s="59">
        <v>0.72222222221898846</v>
      </c>
      <c r="AE378" s="56" t="s">
        <v>164</v>
      </c>
      <c r="AF378" s="58">
        <v>45918</v>
      </c>
      <c r="AG378" s="59">
        <v>0.5625</v>
      </c>
      <c r="AH378" s="56" t="s">
        <v>6293</v>
      </c>
      <c r="AI378" s="56" t="s">
        <v>6193</v>
      </c>
      <c r="AJ378" s="56" t="s">
        <v>64</v>
      </c>
      <c r="AK378" s="56" t="s">
        <v>64</v>
      </c>
      <c r="AL378" s="56" t="s">
        <v>5016</v>
      </c>
      <c r="AM378" s="56" t="s">
        <v>65</v>
      </c>
      <c r="AN378" s="60"/>
      <c r="AO378" s="60"/>
      <c r="AP378" s="61"/>
    </row>
    <row r="379" spans="3:42" ht="14.25" customHeight="1">
      <c r="C379" s="55">
        <f>IF($X379=1,COUNTIF($C$10:C378,"&gt;0")+1,"")</f>
        <v>189</v>
      </c>
      <c r="D379" s="76">
        <v>70513292</v>
      </c>
      <c r="E379" s="56" t="s">
        <v>6188</v>
      </c>
      <c r="F379" s="57" t="s">
        <v>6374</v>
      </c>
      <c r="G379" s="56" t="s">
        <v>6368</v>
      </c>
      <c r="H379" s="56" t="s">
        <v>6375</v>
      </c>
      <c r="I379" s="56" t="s">
        <v>5202</v>
      </c>
      <c r="J379" s="56" t="s">
        <v>68</v>
      </c>
      <c r="K379" s="56" t="s">
        <v>59</v>
      </c>
      <c r="L379" s="58">
        <v>38223</v>
      </c>
      <c r="M379" s="56">
        <v>21</v>
      </c>
      <c r="N379" s="56" t="s">
        <v>6376</v>
      </c>
      <c r="O379" s="58">
        <v>48612</v>
      </c>
      <c r="P379" s="56" t="s">
        <v>5</v>
      </c>
      <c r="Q379" s="56"/>
      <c r="R379" s="270">
        <v>45913</v>
      </c>
      <c r="S379" s="270">
        <v>45918</v>
      </c>
      <c r="T379" s="51">
        <f t="shared" si="5"/>
        <v>5</v>
      </c>
      <c r="U379" s="56">
        <v>1</v>
      </c>
      <c r="V379" s="56">
        <v>1</v>
      </c>
      <c r="W379" s="56">
        <v>0</v>
      </c>
      <c r="X379" s="56">
        <v>1</v>
      </c>
      <c r="Y379" s="56">
        <v>0</v>
      </c>
      <c r="Z379" s="56">
        <v>0</v>
      </c>
      <c r="AA379" s="56">
        <v>1</v>
      </c>
      <c r="AB379" s="56"/>
      <c r="AC379" s="58">
        <v>45913</v>
      </c>
      <c r="AD379" s="59">
        <v>0.72222222221898846</v>
      </c>
      <c r="AE379" s="56" t="s">
        <v>164</v>
      </c>
      <c r="AF379" s="58">
        <v>45918</v>
      </c>
      <c r="AG379" s="59">
        <v>0.5625</v>
      </c>
      <c r="AH379" s="56" t="s">
        <v>6293</v>
      </c>
      <c r="AI379" s="56" t="s">
        <v>6193</v>
      </c>
      <c r="AJ379" s="56" t="s">
        <v>64</v>
      </c>
      <c r="AK379" s="56" t="s">
        <v>64</v>
      </c>
      <c r="AL379" s="56" t="s">
        <v>5016</v>
      </c>
      <c r="AM379" s="56" t="s">
        <v>65</v>
      </c>
      <c r="AN379" s="60"/>
      <c r="AO379" s="60"/>
      <c r="AP379" s="61"/>
    </row>
    <row r="380" spans="3:42" ht="14.25" customHeight="1">
      <c r="C380" s="55" t="str">
        <f>IF($X380=1,COUNTIF($C$10:C379,"&gt;0")+1,"")</f>
        <v/>
      </c>
      <c r="D380" s="76">
        <v>70513292</v>
      </c>
      <c r="E380" s="56" t="s">
        <v>6188</v>
      </c>
      <c r="F380" s="57" t="s">
        <v>6377</v>
      </c>
      <c r="G380" s="56" t="s">
        <v>6368</v>
      </c>
      <c r="H380" s="56" t="s">
        <v>6378</v>
      </c>
      <c r="I380" s="56" t="s">
        <v>5202</v>
      </c>
      <c r="J380" s="56" t="s">
        <v>58</v>
      </c>
      <c r="K380" s="56" t="s">
        <v>59</v>
      </c>
      <c r="L380" s="58">
        <v>41305</v>
      </c>
      <c r="M380" s="56">
        <v>12</v>
      </c>
      <c r="N380" s="56" t="s">
        <v>6379</v>
      </c>
      <c r="O380" s="58">
        <v>46785</v>
      </c>
      <c r="P380" s="56" t="s">
        <v>5</v>
      </c>
      <c r="Q380" s="56"/>
      <c r="R380" s="270">
        <v>45913</v>
      </c>
      <c r="S380" s="270">
        <v>45918</v>
      </c>
      <c r="T380" s="51">
        <f t="shared" si="5"/>
        <v>5</v>
      </c>
      <c r="U380" s="56">
        <v>1</v>
      </c>
      <c r="V380" s="56">
        <v>1</v>
      </c>
      <c r="W380" s="56">
        <v>0</v>
      </c>
      <c r="X380" s="56">
        <v>0</v>
      </c>
      <c r="Y380" s="56">
        <v>0</v>
      </c>
      <c r="Z380" s="56">
        <v>0</v>
      </c>
      <c r="AA380" s="56">
        <v>0</v>
      </c>
      <c r="AB380" s="56"/>
      <c r="AC380" s="58">
        <v>45913</v>
      </c>
      <c r="AD380" s="59">
        <v>0.72222222221898846</v>
      </c>
      <c r="AE380" s="56" t="s">
        <v>164</v>
      </c>
      <c r="AF380" s="58">
        <v>45918</v>
      </c>
      <c r="AG380" s="59">
        <v>0.5625</v>
      </c>
      <c r="AH380" s="56" t="s">
        <v>6293</v>
      </c>
      <c r="AI380" s="56" t="s">
        <v>6193</v>
      </c>
      <c r="AJ380" s="56" t="s">
        <v>64</v>
      </c>
      <c r="AK380" s="56" t="s">
        <v>64</v>
      </c>
      <c r="AL380" s="56" t="s">
        <v>5016</v>
      </c>
      <c r="AM380" s="56" t="s">
        <v>65</v>
      </c>
      <c r="AN380" s="60"/>
      <c r="AO380" s="60"/>
      <c r="AP380" s="61"/>
    </row>
    <row r="381" spans="3:42" ht="14.25" customHeight="1">
      <c r="C381" s="55">
        <f>IF($X381=1,COUNTIF($C$10:C380,"&gt;0")+1,"")</f>
        <v>190</v>
      </c>
      <c r="D381" s="76">
        <v>70522154</v>
      </c>
      <c r="E381" s="56" t="s">
        <v>6188</v>
      </c>
      <c r="F381" s="57" t="s">
        <v>6380</v>
      </c>
      <c r="G381" s="56" t="s">
        <v>6380</v>
      </c>
      <c r="H381" s="56" t="s">
        <v>6381</v>
      </c>
      <c r="I381" s="56" t="s">
        <v>759</v>
      </c>
      <c r="J381" s="56" t="s">
        <v>68</v>
      </c>
      <c r="K381" s="56" t="s">
        <v>59</v>
      </c>
      <c r="L381" s="58">
        <v>25837</v>
      </c>
      <c r="M381" s="56">
        <v>54</v>
      </c>
      <c r="N381" s="56" t="s">
        <v>6382</v>
      </c>
      <c r="O381" s="58">
        <v>48062</v>
      </c>
      <c r="P381" s="56" t="s">
        <v>4</v>
      </c>
      <c r="Q381" s="56"/>
      <c r="R381" s="270">
        <v>45913</v>
      </c>
      <c r="S381" s="270">
        <v>45918</v>
      </c>
      <c r="T381" s="51">
        <f t="shared" si="5"/>
        <v>5</v>
      </c>
      <c r="U381" s="56">
        <v>1</v>
      </c>
      <c r="V381" s="56">
        <v>1</v>
      </c>
      <c r="W381" s="56">
        <v>0</v>
      </c>
      <c r="X381" s="56">
        <v>1</v>
      </c>
      <c r="Y381" s="56">
        <v>0</v>
      </c>
      <c r="Z381" s="56">
        <v>1</v>
      </c>
      <c r="AA381" s="56">
        <v>0</v>
      </c>
      <c r="AB381" s="56"/>
      <c r="AC381" s="58">
        <v>45913</v>
      </c>
      <c r="AD381" s="59">
        <v>0.5625</v>
      </c>
      <c r="AE381" s="56" t="s">
        <v>6383</v>
      </c>
      <c r="AF381" s="58">
        <v>45918</v>
      </c>
      <c r="AG381" s="59">
        <v>0.88194444444525288</v>
      </c>
      <c r="AH381" s="56" t="s">
        <v>5025</v>
      </c>
      <c r="AI381" s="56" t="s">
        <v>6193</v>
      </c>
      <c r="AJ381" s="56" t="s">
        <v>598</v>
      </c>
      <c r="AK381" s="56" t="s">
        <v>5233</v>
      </c>
      <c r="AL381" s="56" t="s">
        <v>5016</v>
      </c>
      <c r="AM381" s="56" t="s">
        <v>65</v>
      </c>
      <c r="AN381" s="60" t="s">
        <v>5234</v>
      </c>
      <c r="AO381" s="60"/>
      <c r="AP381" s="61"/>
    </row>
    <row r="382" spans="3:42" ht="14.25" customHeight="1">
      <c r="C382" s="55" t="str">
        <f>IF($X382=1,COUNTIF($C$10:C381,"&gt;0")+1,"")</f>
        <v/>
      </c>
      <c r="D382" s="76">
        <v>70522154</v>
      </c>
      <c r="E382" s="56" t="s">
        <v>6188</v>
      </c>
      <c r="F382" s="57" t="s">
        <v>6384</v>
      </c>
      <c r="G382" s="56" t="s">
        <v>6380</v>
      </c>
      <c r="H382" s="56" t="s">
        <v>6385</v>
      </c>
      <c r="I382" s="56" t="s">
        <v>759</v>
      </c>
      <c r="J382" s="56" t="s">
        <v>58</v>
      </c>
      <c r="K382" s="56" t="s">
        <v>59</v>
      </c>
      <c r="L382" s="58">
        <v>27692</v>
      </c>
      <c r="M382" s="56">
        <v>49</v>
      </c>
      <c r="N382" s="56" t="s">
        <v>6386</v>
      </c>
      <c r="O382" s="58">
        <v>48639</v>
      </c>
      <c r="P382" s="56" t="s">
        <v>4</v>
      </c>
      <c r="Q382" s="56"/>
      <c r="R382" s="270">
        <v>45913</v>
      </c>
      <c r="S382" s="270">
        <v>45918</v>
      </c>
      <c r="T382" s="51">
        <f t="shared" si="5"/>
        <v>5</v>
      </c>
      <c r="U382" s="56">
        <v>1</v>
      </c>
      <c r="V382" s="56">
        <v>1</v>
      </c>
      <c r="W382" s="56">
        <v>0</v>
      </c>
      <c r="X382" s="56">
        <v>0</v>
      </c>
      <c r="Y382" s="56">
        <v>0</v>
      </c>
      <c r="Z382" s="56">
        <v>0</v>
      </c>
      <c r="AA382" s="56">
        <v>0</v>
      </c>
      <c r="AB382" s="56"/>
      <c r="AC382" s="58">
        <v>45913</v>
      </c>
      <c r="AD382" s="59">
        <v>0.5625</v>
      </c>
      <c r="AE382" s="56" t="s">
        <v>6383</v>
      </c>
      <c r="AF382" s="58">
        <v>45918</v>
      </c>
      <c r="AG382" s="59">
        <v>0.88194444444525288</v>
      </c>
      <c r="AH382" s="56" t="s">
        <v>5025</v>
      </c>
      <c r="AI382" s="56" t="s">
        <v>6193</v>
      </c>
      <c r="AJ382" s="56" t="s">
        <v>64</v>
      </c>
      <c r="AK382" s="56"/>
      <c r="AL382" s="56" t="s">
        <v>5016</v>
      </c>
      <c r="AM382" s="56" t="s">
        <v>65</v>
      </c>
      <c r="AN382" s="60" t="s">
        <v>5234</v>
      </c>
      <c r="AO382" s="60"/>
      <c r="AP382" s="61"/>
    </row>
    <row r="383" spans="3:42" ht="14.25" customHeight="1">
      <c r="C383" s="55">
        <f>IF($X383=1,COUNTIF($C$10:C382,"&gt;0")+1,"")</f>
        <v>191</v>
      </c>
      <c r="D383" s="76">
        <v>70513264</v>
      </c>
      <c r="E383" s="56" t="s">
        <v>6188</v>
      </c>
      <c r="F383" s="57" t="s">
        <v>6387</v>
      </c>
      <c r="G383" s="56" t="s">
        <v>6387</v>
      </c>
      <c r="H383" s="56" t="s">
        <v>6388</v>
      </c>
      <c r="I383" s="56" t="s">
        <v>6389</v>
      </c>
      <c r="J383" s="56" t="s">
        <v>68</v>
      </c>
      <c r="K383" s="56" t="s">
        <v>59</v>
      </c>
      <c r="L383" s="58">
        <v>25359</v>
      </c>
      <c r="M383" s="56">
        <v>56</v>
      </c>
      <c r="N383" s="56" t="s">
        <v>6390</v>
      </c>
      <c r="O383" s="58">
        <v>48203</v>
      </c>
      <c r="P383" s="56" t="s">
        <v>4</v>
      </c>
      <c r="Q383" s="56"/>
      <c r="R383" s="270">
        <v>45913</v>
      </c>
      <c r="S383" s="270">
        <v>45918</v>
      </c>
      <c r="T383" s="51">
        <f t="shared" si="5"/>
        <v>5</v>
      </c>
      <c r="U383" s="56">
        <v>1</v>
      </c>
      <c r="V383" s="56">
        <v>1</v>
      </c>
      <c r="W383" s="56">
        <v>0</v>
      </c>
      <c r="X383" s="56">
        <v>1</v>
      </c>
      <c r="Y383" s="56">
        <v>0</v>
      </c>
      <c r="Z383" s="56">
        <v>1</v>
      </c>
      <c r="AA383" s="56">
        <v>0</v>
      </c>
      <c r="AB383" s="56"/>
      <c r="AC383" s="58">
        <v>45913</v>
      </c>
      <c r="AD383" s="59">
        <v>0.1875</v>
      </c>
      <c r="AE383" s="56" t="s">
        <v>220</v>
      </c>
      <c r="AF383" s="58">
        <v>45918</v>
      </c>
      <c r="AG383" s="59">
        <v>0.88194444444525288</v>
      </c>
      <c r="AH383" s="56" t="s">
        <v>5025</v>
      </c>
      <c r="AI383" s="56" t="s">
        <v>6193</v>
      </c>
      <c r="AJ383" s="56" t="s">
        <v>64</v>
      </c>
      <c r="AK383" s="56" t="s">
        <v>64</v>
      </c>
      <c r="AL383" s="56" t="s">
        <v>5016</v>
      </c>
      <c r="AM383" s="56" t="s">
        <v>65</v>
      </c>
      <c r="AN383" s="60"/>
      <c r="AO383" s="60"/>
      <c r="AP383" s="61"/>
    </row>
    <row r="384" spans="3:42" ht="14.25" customHeight="1">
      <c r="C384" s="55" t="str">
        <f>IF($X384=1,COUNTIF($C$10:C383,"&gt;0")+1,"")</f>
        <v/>
      </c>
      <c r="D384" s="76">
        <v>70513264</v>
      </c>
      <c r="E384" s="56" t="s">
        <v>6188</v>
      </c>
      <c r="F384" s="57" t="s">
        <v>6391</v>
      </c>
      <c r="G384" s="56" t="s">
        <v>6387</v>
      </c>
      <c r="H384" s="56" t="s">
        <v>6392</v>
      </c>
      <c r="I384" s="56" t="s">
        <v>6389</v>
      </c>
      <c r="J384" s="56" t="s">
        <v>58</v>
      </c>
      <c r="K384" s="56" t="s">
        <v>59</v>
      </c>
      <c r="L384" s="58">
        <v>25767</v>
      </c>
      <c r="M384" s="56">
        <v>55</v>
      </c>
      <c r="N384" s="56" t="s">
        <v>6393</v>
      </c>
      <c r="O384" s="58">
        <v>48203</v>
      </c>
      <c r="P384" s="56" t="s">
        <v>4</v>
      </c>
      <c r="Q384" s="56"/>
      <c r="R384" s="270">
        <v>45913</v>
      </c>
      <c r="S384" s="270">
        <v>45918</v>
      </c>
      <c r="T384" s="51">
        <f t="shared" si="5"/>
        <v>5</v>
      </c>
      <c r="U384" s="56">
        <v>1</v>
      </c>
      <c r="V384" s="56">
        <v>1</v>
      </c>
      <c r="W384" s="56">
        <v>0</v>
      </c>
      <c r="X384" s="56">
        <v>0</v>
      </c>
      <c r="Y384" s="56">
        <v>0</v>
      </c>
      <c r="Z384" s="56">
        <v>0</v>
      </c>
      <c r="AA384" s="56">
        <v>0</v>
      </c>
      <c r="AB384" s="56"/>
      <c r="AC384" s="58">
        <v>45913</v>
      </c>
      <c r="AD384" s="59">
        <v>0.1875</v>
      </c>
      <c r="AE384" s="56" t="s">
        <v>220</v>
      </c>
      <c r="AF384" s="58">
        <v>45918</v>
      </c>
      <c r="AG384" s="59">
        <v>0.88194444444525288</v>
      </c>
      <c r="AH384" s="56" t="s">
        <v>5025</v>
      </c>
      <c r="AI384" s="56" t="s">
        <v>6193</v>
      </c>
      <c r="AJ384" s="56" t="s">
        <v>64</v>
      </c>
      <c r="AK384" s="56" t="s">
        <v>64</v>
      </c>
      <c r="AL384" s="56" t="s">
        <v>5016</v>
      </c>
      <c r="AM384" s="56" t="s">
        <v>65</v>
      </c>
      <c r="AN384" s="60"/>
      <c r="AO384" s="60"/>
      <c r="AP384" s="61"/>
    </row>
    <row r="385" spans="3:42" ht="14.25" customHeight="1">
      <c r="C385" s="55">
        <f>IF($X385=1,COUNTIF($C$10:C384,"&gt;0")+1,"")</f>
        <v>192</v>
      </c>
      <c r="D385" s="76">
        <v>70065077</v>
      </c>
      <c r="E385" s="56" t="s">
        <v>6188</v>
      </c>
      <c r="F385" s="57" t="s">
        <v>6394</v>
      </c>
      <c r="G385" s="56" t="s">
        <v>6394</v>
      </c>
      <c r="H385" s="56" t="s">
        <v>556</v>
      </c>
      <c r="I385" s="56" t="s">
        <v>6395</v>
      </c>
      <c r="J385" s="56" t="s">
        <v>68</v>
      </c>
      <c r="K385" s="56" t="s">
        <v>59</v>
      </c>
      <c r="L385" s="58">
        <v>24431</v>
      </c>
      <c r="M385" s="56">
        <v>58</v>
      </c>
      <c r="N385" s="56" t="s">
        <v>6396</v>
      </c>
      <c r="O385" s="58">
        <v>49190</v>
      </c>
      <c r="P385" s="56" t="s">
        <v>3</v>
      </c>
      <c r="Q385" s="56"/>
      <c r="R385" s="270">
        <v>45913</v>
      </c>
      <c r="S385" s="270">
        <v>45918</v>
      </c>
      <c r="T385" s="51">
        <f t="shared" si="5"/>
        <v>5</v>
      </c>
      <c r="U385" s="56">
        <v>1</v>
      </c>
      <c r="V385" s="56">
        <v>1</v>
      </c>
      <c r="W385" s="56">
        <v>0</v>
      </c>
      <c r="X385" s="56">
        <v>1</v>
      </c>
      <c r="Y385" s="56">
        <v>1</v>
      </c>
      <c r="Z385" s="56">
        <v>0</v>
      </c>
      <c r="AA385" s="56">
        <v>0</v>
      </c>
      <c r="AB385" s="56"/>
      <c r="AC385" s="58" t="s">
        <v>64</v>
      </c>
      <c r="AD385" s="59" t="s">
        <v>64</v>
      </c>
      <c r="AE385" s="56" t="s">
        <v>64</v>
      </c>
      <c r="AF385" s="58" t="s">
        <v>64</v>
      </c>
      <c r="AG385" s="59" t="s">
        <v>64</v>
      </c>
      <c r="AH385" s="56" t="s">
        <v>64</v>
      </c>
      <c r="AI385" s="56" t="s">
        <v>6193</v>
      </c>
      <c r="AJ385" s="56" t="s">
        <v>64</v>
      </c>
      <c r="AK385" s="56" t="s">
        <v>64</v>
      </c>
      <c r="AL385" s="56" t="s">
        <v>5016</v>
      </c>
      <c r="AM385" s="56" t="s">
        <v>65</v>
      </c>
      <c r="AN385" s="60" t="s">
        <v>5040</v>
      </c>
      <c r="AO385" s="60"/>
      <c r="AP385" s="61"/>
    </row>
    <row r="386" spans="3:42" ht="14.25" customHeight="1">
      <c r="C386" s="55">
        <f>IF($X386=1,COUNTIF($C$10:C385,"&gt;0")+1,"")</f>
        <v>193</v>
      </c>
      <c r="D386" s="76">
        <v>70513265</v>
      </c>
      <c r="E386" s="56" t="s">
        <v>6188</v>
      </c>
      <c r="F386" s="57" t="s">
        <v>6397</v>
      </c>
      <c r="G386" s="56" t="s">
        <v>6397</v>
      </c>
      <c r="H386" s="56" t="s">
        <v>6398</v>
      </c>
      <c r="I386" s="56" t="s">
        <v>6323</v>
      </c>
      <c r="J386" s="56" t="s">
        <v>58</v>
      </c>
      <c r="K386" s="56" t="s">
        <v>59</v>
      </c>
      <c r="L386" s="58">
        <v>38036</v>
      </c>
      <c r="M386" s="56">
        <v>21</v>
      </c>
      <c r="N386" s="56" t="s">
        <v>6399</v>
      </c>
      <c r="O386" s="58">
        <v>48085</v>
      </c>
      <c r="P386" s="56" t="s">
        <v>4</v>
      </c>
      <c r="Q386" s="56"/>
      <c r="R386" s="270">
        <v>45913</v>
      </c>
      <c r="S386" s="270">
        <v>45918</v>
      </c>
      <c r="T386" s="51">
        <f t="shared" si="5"/>
        <v>5</v>
      </c>
      <c r="U386" s="56">
        <v>1</v>
      </c>
      <c r="V386" s="56">
        <v>1</v>
      </c>
      <c r="W386" s="56">
        <v>0</v>
      </c>
      <c r="X386" s="56">
        <v>1</v>
      </c>
      <c r="Y386" s="56">
        <v>0</v>
      </c>
      <c r="Z386" s="56">
        <v>1</v>
      </c>
      <c r="AA386" s="56">
        <v>0</v>
      </c>
      <c r="AB386" s="56"/>
      <c r="AC386" s="58">
        <v>45913</v>
      </c>
      <c r="AD386" s="59">
        <v>0.48263888889050577</v>
      </c>
      <c r="AE386" s="56" t="s">
        <v>4432</v>
      </c>
      <c r="AF386" s="58">
        <v>45918</v>
      </c>
      <c r="AG386" s="59">
        <v>0.72569444444525288</v>
      </c>
      <c r="AH386" s="56" t="s">
        <v>313</v>
      </c>
      <c r="AI386" s="56" t="s">
        <v>6193</v>
      </c>
      <c r="AJ386" s="56" t="s">
        <v>64</v>
      </c>
      <c r="AK386" s="74" t="s">
        <v>6400</v>
      </c>
      <c r="AL386" s="56" t="s">
        <v>5016</v>
      </c>
      <c r="AM386" s="56" t="s">
        <v>65</v>
      </c>
      <c r="AN386" s="60"/>
      <c r="AO386" s="60"/>
      <c r="AP386" s="61"/>
    </row>
    <row r="387" spans="3:42" ht="14.25" customHeight="1">
      <c r="C387" s="55" t="str">
        <f>IF($X387=1,COUNTIF($C$10:C386,"&gt;0")+1,"")</f>
        <v/>
      </c>
      <c r="D387" s="76">
        <v>70513265</v>
      </c>
      <c r="E387" s="56" t="s">
        <v>6188</v>
      </c>
      <c r="F387" s="57" t="s">
        <v>6401</v>
      </c>
      <c r="G387" s="56" t="s">
        <v>6397</v>
      </c>
      <c r="H387" s="56" t="s">
        <v>6402</v>
      </c>
      <c r="I387" s="56" t="s">
        <v>6323</v>
      </c>
      <c r="J387" s="56" t="s">
        <v>68</v>
      </c>
      <c r="K387" s="56" t="s">
        <v>59</v>
      </c>
      <c r="L387" s="58">
        <v>38584</v>
      </c>
      <c r="M387" s="56">
        <v>20</v>
      </c>
      <c r="N387" s="56" t="s">
        <v>6403</v>
      </c>
      <c r="O387" s="58">
        <v>46252</v>
      </c>
      <c r="P387" s="56" t="s">
        <v>4</v>
      </c>
      <c r="Q387" s="56"/>
      <c r="R387" s="270">
        <v>45913</v>
      </c>
      <c r="S387" s="270">
        <v>45918</v>
      </c>
      <c r="T387" s="51">
        <f t="shared" si="5"/>
        <v>5</v>
      </c>
      <c r="U387" s="56">
        <v>1</v>
      </c>
      <c r="V387" s="56">
        <v>1</v>
      </c>
      <c r="W387" s="56">
        <v>0</v>
      </c>
      <c r="X387" s="56">
        <v>0</v>
      </c>
      <c r="Y387" s="56">
        <v>0</v>
      </c>
      <c r="Z387" s="56">
        <v>0</v>
      </c>
      <c r="AA387" s="56">
        <v>0</v>
      </c>
      <c r="AB387" s="56"/>
      <c r="AC387" s="58">
        <v>45913</v>
      </c>
      <c r="AD387" s="59">
        <v>0.48263888889050577</v>
      </c>
      <c r="AE387" s="56" t="s">
        <v>4432</v>
      </c>
      <c r="AF387" s="58">
        <v>45918</v>
      </c>
      <c r="AG387" s="59">
        <v>0.72569444444525288</v>
      </c>
      <c r="AH387" s="56" t="s">
        <v>313</v>
      </c>
      <c r="AI387" s="56" t="s">
        <v>6193</v>
      </c>
      <c r="AJ387" s="56" t="s">
        <v>64</v>
      </c>
      <c r="AK387" s="74" t="s">
        <v>64</v>
      </c>
      <c r="AL387" s="56" t="s">
        <v>5016</v>
      </c>
      <c r="AM387" s="56" t="s">
        <v>65</v>
      </c>
      <c r="AN387" s="60"/>
      <c r="AO387" s="60"/>
      <c r="AP387" s="61"/>
    </row>
    <row r="388" spans="3:42" ht="14.25" customHeight="1">
      <c r="C388" s="55">
        <f>IF($X388=1,COUNTIF($C$10:C387,"&gt;0")+1,"")</f>
        <v>194</v>
      </c>
      <c r="D388" s="76">
        <v>70065083</v>
      </c>
      <c r="E388" s="56" t="s">
        <v>6188</v>
      </c>
      <c r="F388" s="57" t="s">
        <v>6404</v>
      </c>
      <c r="G388" s="56" t="s">
        <v>6404</v>
      </c>
      <c r="H388" s="56" t="s">
        <v>6405</v>
      </c>
      <c r="I388" s="56" t="s">
        <v>6406</v>
      </c>
      <c r="J388" s="56" t="s">
        <v>68</v>
      </c>
      <c r="K388" s="56" t="s">
        <v>59</v>
      </c>
      <c r="L388" s="58">
        <v>21746</v>
      </c>
      <c r="M388" s="56">
        <v>66</v>
      </c>
      <c r="N388" s="56" t="s">
        <v>6407</v>
      </c>
      <c r="O388" s="58">
        <v>48360</v>
      </c>
      <c r="P388" s="56" t="s">
        <v>3</v>
      </c>
      <c r="Q388" s="56"/>
      <c r="R388" s="270">
        <v>45913</v>
      </c>
      <c r="S388" s="270">
        <v>45918</v>
      </c>
      <c r="T388" s="51">
        <f t="shared" si="5"/>
        <v>5</v>
      </c>
      <c r="U388" s="56">
        <v>1</v>
      </c>
      <c r="V388" s="56">
        <v>1</v>
      </c>
      <c r="W388" s="56">
        <v>0</v>
      </c>
      <c r="X388" s="56">
        <v>1</v>
      </c>
      <c r="Y388" s="56">
        <v>1</v>
      </c>
      <c r="Z388" s="56">
        <v>0</v>
      </c>
      <c r="AA388" s="56">
        <v>0</v>
      </c>
      <c r="AB388" s="56"/>
      <c r="AC388" s="58">
        <v>45913</v>
      </c>
      <c r="AD388" s="59">
        <v>0.5625</v>
      </c>
      <c r="AE388" s="56" t="s">
        <v>6383</v>
      </c>
      <c r="AF388" s="58">
        <v>45918</v>
      </c>
      <c r="AG388" s="59">
        <v>0.88194444444525288</v>
      </c>
      <c r="AH388" s="56" t="s">
        <v>5025</v>
      </c>
      <c r="AI388" s="56" t="s">
        <v>6193</v>
      </c>
      <c r="AJ388" s="56" t="s">
        <v>64</v>
      </c>
      <c r="AK388" s="56"/>
      <c r="AL388" s="56" t="s">
        <v>5016</v>
      </c>
      <c r="AM388" s="56" t="s">
        <v>65</v>
      </c>
      <c r="AN388" s="60" t="s">
        <v>5040</v>
      </c>
      <c r="AO388" s="60"/>
      <c r="AP388" s="61"/>
    </row>
    <row r="389" spans="3:42" ht="14.25" customHeight="1">
      <c r="C389" s="55">
        <f>IF($X389=1,COUNTIF($C$10:C388,"&gt;0")+1,"")</f>
        <v>195</v>
      </c>
      <c r="D389" s="76">
        <v>70065078</v>
      </c>
      <c r="E389" s="56" t="s">
        <v>6188</v>
      </c>
      <c r="F389" s="57" t="s">
        <v>6408</v>
      </c>
      <c r="G389" s="56" t="s">
        <v>6408</v>
      </c>
      <c r="H389" s="56" t="s">
        <v>6409</v>
      </c>
      <c r="I389" s="56" t="s">
        <v>6410</v>
      </c>
      <c r="J389" s="56" t="s">
        <v>58</v>
      </c>
      <c r="K389" s="56" t="s">
        <v>59</v>
      </c>
      <c r="L389" s="58">
        <v>32052</v>
      </c>
      <c r="M389" s="56">
        <v>37</v>
      </c>
      <c r="N389" s="56" t="s">
        <v>6411</v>
      </c>
      <c r="O389" s="58">
        <v>49378</v>
      </c>
      <c r="P389" s="56" t="s">
        <v>4</v>
      </c>
      <c r="Q389" s="56"/>
      <c r="R389" s="270">
        <v>45913</v>
      </c>
      <c r="S389" s="270">
        <v>45918</v>
      </c>
      <c r="T389" s="51">
        <f t="shared" si="5"/>
        <v>5</v>
      </c>
      <c r="U389" s="56">
        <v>1</v>
      </c>
      <c r="V389" s="56">
        <v>1</v>
      </c>
      <c r="W389" s="56">
        <v>0</v>
      </c>
      <c r="X389" s="56">
        <v>1</v>
      </c>
      <c r="Y389" s="56">
        <v>0</v>
      </c>
      <c r="Z389" s="56">
        <v>1</v>
      </c>
      <c r="AA389" s="56">
        <v>0</v>
      </c>
      <c r="AB389" s="56"/>
      <c r="AC389" s="58">
        <v>45913</v>
      </c>
      <c r="AD389" s="59">
        <v>0.5625</v>
      </c>
      <c r="AE389" s="56" t="s">
        <v>6383</v>
      </c>
      <c r="AF389" s="58">
        <v>45918</v>
      </c>
      <c r="AG389" s="59">
        <v>0.70138888889050577</v>
      </c>
      <c r="AH389" s="56" t="s">
        <v>96</v>
      </c>
      <c r="AI389" s="56" t="s">
        <v>6193</v>
      </c>
      <c r="AJ389" s="56" t="s">
        <v>64</v>
      </c>
      <c r="AK389" s="56"/>
      <c r="AL389" s="56" t="s">
        <v>5016</v>
      </c>
      <c r="AM389" s="56" t="s">
        <v>65</v>
      </c>
      <c r="AN389" s="60" t="s">
        <v>5040</v>
      </c>
      <c r="AO389" s="60"/>
      <c r="AP389" s="61"/>
    </row>
    <row r="390" spans="3:42" ht="14.25" customHeight="1">
      <c r="C390" s="55" t="str">
        <f>IF($X390=1,COUNTIF($C$10:C389,"&gt;0")+1,"")</f>
        <v/>
      </c>
      <c r="D390" s="76">
        <v>70065078</v>
      </c>
      <c r="E390" s="56" t="s">
        <v>6188</v>
      </c>
      <c r="F390" s="57" t="s">
        <v>6412</v>
      </c>
      <c r="G390" s="56" t="s">
        <v>6408</v>
      </c>
      <c r="H390" s="56" t="s">
        <v>6413</v>
      </c>
      <c r="I390" s="56" t="s">
        <v>6414</v>
      </c>
      <c r="J390" s="56" t="s">
        <v>68</v>
      </c>
      <c r="K390" s="56" t="s">
        <v>59</v>
      </c>
      <c r="L390" s="58">
        <v>33470</v>
      </c>
      <c r="M390" s="56">
        <v>34</v>
      </c>
      <c r="N390" s="56" t="s">
        <v>6415</v>
      </c>
      <c r="O390" s="58">
        <v>46063</v>
      </c>
      <c r="P390" s="56" t="s">
        <v>4</v>
      </c>
      <c r="Q390" s="56"/>
      <c r="R390" s="270">
        <v>45913</v>
      </c>
      <c r="S390" s="270">
        <v>45918</v>
      </c>
      <c r="T390" s="51">
        <f t="shared" si="5"/>
        <v>5</v>
      </c>
      <c r="U390" s="56">
        <v>1</v>
      </c>
      <c r="V390" s="56">
        <v>1</v>
      </c>
      <c r="W390" s="56">
        <v>0</v>
      </c>
      <c r="X390" s="56">
        <v>0</v>
      </c>
      <c r="Y390" s="56">
        <v>0</v>
      </c>
      <c r="Z390" s="56">
        <v>0</v>
      </c>
      <c r="AA390" s="56">
        <v>0</v>
      </c>
      <c r="AB390" s="56"/>
      <c r="AC390" s="58">
        <v>45913</v>
      </c>
      <c r="AD390" s="59">
        <v>0.5625</v>
      </c>
      <c r="AE390" s="56" t="s">
        <v>6383</v>
      </c>
      <c r="AF390" s="58">
        <v>45918</v>
      </c>
      <c r="AG390" s="59">
        <v>0.70138888889050577</v>
      </c>
      <c r="AH390" s="56" t="s">
        <v>96</v>
      </c>
      <c r="AI390" s="56" t="s">
        <v>6193</v>
      </c>
      <c r="AJ390" s="56" t="s">
        <v>64</v>
      </c>
      <c r="AK390" s="56"/>
      <c r="AL390" s="56" t="s">
        <v>5016</v>
      </c>
      <c r="AM390" s="56" t="s">
        <v>65</v>
      </c>
      <c r="AN390" s="60" t="s">
        <v>5040</v>
      </c>
      <c r="AO390" s="60"/>
      <c r="AP390" s="61"/>
    </row>
    <row r="391" spans="3:42" ht="14.25" customHeight="1">
      <c r="C391" s="55">
        <f>IF($X391=1,COUNTIF($C$10:C390,"&gt;0")+1,"")</f>
        <v>196</v>
      </c>
      <c r="D391" s="76">
        <v>70491588</v>
      </c>
      <c r="E391" s="56" t="s">
        <v>6188</v>
      </c>
      <c r="F391" s="57" t="s">
        <v>6416</v>
      </c>
      <c r="G391" s="56" t="s">
        <v>6408</v>
      </c>
      <c r="H391" s="56" t="s">
        <v>6417</v>
      </c>
      <c r="I391" s="56" t="s">
        <v>6418</v>
      </c>
      <c r="J391" s="56" t="s">
        <v>58</v>
      </c>
      <c r="K391" s="56" t="s">
        <v>59</v>
      </c>
      <c r="L391" s="58">
        <v>36710</v>
      </c>
      <c r="M391" s="56">
        <v>25</v>
      </c>
      <c r="N391" s="56" t="s">
        <v>6419</v>
      </c>
      <c r="O391" s="58">
        <v>48083</v>
      </c>
      <c r="P391" s="56" t="s">
        <v>5</v>
      </c>
      <c r="Q391" s="56"/>
      <c r="R391" s="270">
        <v>45913</v>
      </c>
      <c r="S391" s="270">
        <v>45918</v>
      </c>
      <c r="T391" s="51">
        <f t="shared" si="5"/>
        <v>5</v>
      </c>
      <c r="U391" s="56">
        <v>1</v>
      </c>
      <c r="V391" s="56">
        <v>1</v>
      </c>
      <c r="W391" s="56">
        <v>0</v>
      </c>
      <c r="X391" s="56">
        <v>1</v>
      </c>
      <c r="Y391" s="56">
        <v>0</v>
      </c>
      <c r="Z391" s="56">
        <v>0</v>
      </c>
      <c r="AA391" s="56">
        <v>1</v>
      </c>
      <c r="AB391" s="56"/>
      <c r="AC391" s="58">
        <v>45913</v>
      </c>
      <c r="AD391" s="59">
        <v>0.5625</v>
      </c>
      <c r="AE391" s="56" t="s">
        <v>6383</v>
      </c>
      <c r="AF391" s="58">
        <v>45918</v>
      </c>
      <c r="AG391" s="59">
        <v>0.70138888889050577</v>
      </c>
      <c r="AH391" s="56" t="s">
        <v>96</v>
      </c>
      <c r="AI391" s="56" t="s">
        <v>6193</v>
      </c>
      <c r="AJ391" s="56" t="s">
        <v>64</v>
      </c>
      <c r="AK391" s="56"/>
      <c r="AL391" s="56" t="s">
        <v>5016</v>
      </c>
      <c r="AM391" s="56" t="s">
        <v>65</v>
      </c>
      <c r="AN391" s="60"/>
      <c r="AO391" s="60"/>
      <c r="AP391" s="61"/>
    </row>
    <row r="392" spans="3:42" ht="14.25" customHeight="1">
      <c r="C392" s="55" t="str">
        <f>IF($X392=1,COUNTIF($C$10:C391,"&gt;0")+1,"")</f>
        <v/>
      </c>
      <c r="D392" s="76">
        <v>70491588</v>
      </c>
      <c r="E392" s="56" t="s">
        <v>6188</v>
      </c>
      <c r="F392" s="57" t="s">
        <v>6420</v>
      </c>
      <c r="G392" s="56" t="s">
        <v>6408</v>
      </c>
      <c r="H392" s="56" t="s">
        <v>6421</v>
      </c>
      <c r="I392" s="56" t="s">
        <v>6422</v>
      </c>
      <c r="J392" s="56" t="s">
        <v>58</v>
      </c>
      <c r="K392" s="56" t="s">
        <v>59</v>
      </c>
      <c r="L392" s="58">
        <v>41509</v>
      </c>
      <c r="M392" s="56">
        <v>12</v>
      </c>
      <c r="N392" s="56" t="s">
        <v>6423</v>
      </c>
      <c r="O392" s="58">
        <v>47612</v>
      </c>
      <c r="P392" s="56" t="s">
        <v>5</v>
      </c>
      <c r="Q392" s="56"/>
      <c r="R392" s="270">
        <v>45913</v>
      </c>
      <c r="S392" s="270">
        <v>45918</v>
      </c>
      <c r="T392" s="51">
        <f t="shared" si="5"/>
        <v>5</v>
      </c>
      <c r="U392" s="56">
        <v>1</v>
      </c>
      <c r="V392" s="56">
        <v>1</v>
      </c>
      <c r="W392" s="56">
        <v>0</v>
      </c>
      <c r="X392" s="56">
        <v>0</v>
      </c>
      <c r="Y392" s="56">
        <v>0</v>
      </c>
      <c r="Z392" s="56">
        <v>0</v>
      </c>
      <c r="AA392" s="56">
        <v>0</v>
      </c>
      <c r="AB392" s="56"/>
      <c r="AC392" s="58">
        <v>45913</v>
      </c>
      <c r="AD392" s="59">
        <v>0.5625</v>
      </c>
      <c r="AE392" s="56" t="s">
        <v>6383</v>
      </c>
      <c r="AF392" s="58">
        <v>45918</v>
      </c>
      <c r="AG392" s="59">
        <v>0.70138888889050577</v>
      </c>
      <c r="AH392" s="56" t="s">
        <v>96</v>
      </c>
      <c r="AI392" s="56" t="s">
        <v>6193</v>
      </c>
      <c r="AJ392" s="56" t="s">
        <v>64</v>
      </c>
      <c r="AK392" s="56"/>
      <c r="AL392" s="56" t="s">
        <v>5016</v>
      </c>
      <c r="AM392" s="56" t="s">
        <v>65</v>
      </c>
      <c r="AN392" s="60"/>
      <c r="AO392" s="60"/>
      <c r="AP392" s="61"/>
    </row>
    <row r="393" spans="3:42" ht="14.25" customHeight="1">
      <c r="C393" s="55">
        <f>IF($X393=1,COUNTIF($C$10:C392,"&gt;0")+1,"")</f>
        <v>197</v>
      </c>
      <c r="D393" s="76">
        <v>70513270</v>
      </c>
      <c r="E393" s="56"/>
      <c r="F393" s="57"/>
      <c r="G393" s="56"/>
      <c r="H393" s="77" t="s">
        <v>6424</v>
      </c>
      <c r="I393" s="77" t="s">
        <v>5279</v>
      </c>
      <c r="J393" s="77" t="s">
        <v>58</v>
      </c>
      <c r="K393" s="77" t="s">
        <v>89</v>
      </c>
      <c r="L393" s="58"/>
      <c r="M393" s="56"/>
      <c r="N393" s="56"/>
      <c r="O393" s="58"/>
      <c r="P393" s="277" t="s">
        <v>4</v>
      </c>
      <c r="Q393" s="57"/>
      <c r="R393" s="278">
        <v>45913</v>
      </c>
      <c r="S393" s="278">
        <v>45918</v>
      </c>
      <c r="T393" s="279">
        <f t="shared" si="5"/>
        <v>5</v>
      </c>
      <c r="U393" s="77">
        <v>1</v>
      </c>
      <c r="V393" s="77">
        <v>1</v>
      </c>
      <c r="W393" s="77">
        <v>0</v>
      </c>
      <c r="X393" s="77">
        <v>1</v>
      </c>
      <c r="Y393" s="77">
        <v>0</v>
      </c>
      <c r="Z393" s="77">
        <v>1</v>
      </c>
      <c r="AA393" s="77">
        <v>0</v>
      </c>
      <c r="AB393" s="56"/>
      <c r="AC393" s="58"/>
      <c r="AD393" s="59"/>
      <c r="AE393" s="56"/>
      <c r="AF393" s="58"/>
      <c r="AG393" s="59"/>
      <c r="AH393" s="56"/>
      <c r="AI393" s="56"/>
      <c r="AJ393" s="56"/>
      <c r="AK393" s="280" t="s">
        <v>6425</v>
      </c>
      <c r="AL393" s="77" t="s">
        <v>5016</v>
      </c>
      <c r="AM393" s="280" t="s">
        <v>65</v>
      </c>
      <c r="AN393" s="281"/>
      <c r="AO393" s="281"/>
      <c r="AP393" s="61"/>
    </row>
    <row r="394" spans="3:42" ht="14.25" customHeight="1">
      <c r="C394" s="55"/>
      <c r="D394" s="76">
        <v>70513270</v>
      </c>
      <c r="E394" s="56"/>
      <c r="F394" s="57"/>
      <c r="G394" s="56"/>
      <c r="H394" s="77" t="s">
        <v>6426</v>
      </c>
      <c r="I394" s="77" t="s">
        <v>82</v>
      </c>
      <c r="J394" s="77" t="s">
        <v>58</v>
      </c>
      <c r="K394" s="282" t="s">
        <v>748</v>
      </c>
      <c r="L394" s="58"/>
      <c r="M394" s="56"/>
      <c r="N394" s="56"/>
      <c r="O394" s="58"/>
      <c r="P394" s="282" t="s">
        <v>4</v>
      </c>
      <c r="Q394" s="57"/>
      <c r="R394" s="278">
        <v>45913</v>
      </c>
      <c r="S394" s="278">
        <v>45918</v>
      </c>
      <c r="T394" s="279">
        <f t="shared" si="5"/>
        <v>5</v>
      </c>
      <c r="U394" s="77">
        <v>1</v>
      </c>
      <c r="V394" s="77">
        <v>1</v>
      </c>
      <c r="W394" s="77">
        <v>0</v>
      </c>
      <c r="X394" s="77">
        <v>0</v>
      </c>
      <c r="Y394" s="77">
        <v>0</v>
      </c>
      <c r="Z394" s="77">
        <v>0</v>
      </c>
      <c r="AA394" s="77">
        <v>0</v>
      </c>
      <c r="AB394" s="56"/>
      <c r="AC394" s="58"/>
      <c r="AD394" s="59"/>
      <c r="AE394" s="56"/>
      <c r="AF394" s="58"/>
      <c r="AG394" s="59"/>
      <c r="AH394" s="56"/>
      <c r="AI394" s="56"/>
      <c r="AJ394" s="56"/>
      <c r="AK394" s="280" t="s">
        <v>6425</v>
      </c>
      <c r="AL394" s="77" t="s">
        <v>5016</v>
      </c>
      <c r="AM394" s="283" t="s">
        <v>65</v>
      </c>
      <c r="AN394" s="284"/>
      <c r="AO394" s="284"/>
      <c r="AP394" s="61"/>
    </row>
    <row r="395" spans="3:42" ht="14.25" customHeight="1">
      <c r="C395" s="55">
        <f>IF($X395=1,COUNTIF($C$10:C394,"&gt;0")+1,"")</f>
        <v>198</v>
      </c>
      <c r="D395" s="76">
        <v>70513273</v>
      </c>
      <c r="E395" s="76"/>
      <c r="F395" s="127"/>
      <c r="G395" s="128"/>
      <c r="H395" s="280" t="s">
        <v>6427</v>
      </c>
      <c r="I395" s="280" t="s">
        <v>1376</v>
      </c>
      <c r="J395" s="77" t="s">
        <v>58</v>
      </c>
      <c r="K395" s="280" t="s">
        <v>748</v>
      </c>
      <c r="L395" s="285"/>
      <c r="M395" s="285"/>
      <c r="N395" s="285"/>
      <c r="O395" s="285"/>
      <c r="P395" s="280" t="s">
        <v>4</v>
      </c>
      <c r="Q395" s="130"/>
      <c r="R395" s="278">
        <v>45913</v>
      </c>
      <c r="S395" s="278">
        <v>45918</v>
      </c>
      <c r="T395" s="286">
        <f t="shared" si="5"/>
        <v>5</v>
      </c>
      <c r="U395" s="77">
        <v>1</v>
      </c>
      <c r="V395" s="77">
        <v>1</v>
      </c>
      <c r="W395" s="77">
        <v>0</v>
      </c>
      <c r="X395" s="77">
        <v>1</v>
      </c>
      <c r="Y395" s="77">
        <v>0</v>
      </c>
      <c r="Z395" s="77">
        <v>1</v>
      </c>
      <c r="AA395" s="77">
        <v>0</v>
      </c>
      <c r="AB395" s="130"/>
      <c r="AC395" s="130"/>
      <c r="AD395" s="129"/>
      <c r="AE395" s="129"/>
      <c r="AF395" s="130"/>
      <c r="AG395" s="130"/>
      <c r="AH395" s="131"/>
      <c r="AI395" s="129"/>
      <c r="AJ395" s="129"/>
      <c r="AK395" s="280" t="s">
        <v>6425</v>
      </c>
      <c r="AL395" s="77" t="s">
        <v>5016</v>
      </c>
      <c r="AM395" s="280" t="s">
        <v>65</v>
      </c>
      <c r="AN395" s="281" t="s">
        <v>5017</v>
      </c>
      <c r="AO395" s="281"/>
      <c r="AP395" s="61"/>
    </row>
    <row r="396" spans="3:42" ht="14.25" customHeight="1">
      <c r="C396" s="84" t="str">
        <f>IF($X396=1,COUNTIF($C$10:C395,"&gt;0")+1,"")</f>
        <v/>
      </c>
      <c r="D396" s="85">
        <v>70513273</v>
      </c>
      <c r="E396" s="85"/>
      <c r="F396" s="133"/>
      <c r="G396" s="134"/>
      <c r="H396" s="283" t="s">
        <v>6428</v>
      </c>
      <c r="I396" s="283" t="s">
        <v>390</v>
      </c>
      <c r="J396" s="77" t="s">
        <v>58</v>
      </c>
      <c r="K396" s="283" t="s">
        <v>748</v>
      </c>
      <c r="L396" s="287"/>
      <c r="M396" s="287"/>
      <c r="N396" s="287"/>
      <c r="O396" s="287"/>
      <c r="P396" s="280" t="s">
        <v>4</v>
      </c>
      <c r="Q396" s="136"/>
      <c r="R396" s="278">
        <v>45913</v>
      </c>
      <c r="S396" s="278">
        <v>45918</v>
      </c>
      <c r="T396" s="286">
        <f t="shared" si="5"/>
        <v>5</v>
      </c>
      <c r="U396" s="77">
        <v>1</v>
      </c>
      <c r="V396" s="77">
        <v>1</v>
      </c>
      <c r="W396" s="77">
        <v>0</v>
      </c>
      <c r="X396" s="77">
        <v>0</v>
      </c>
      <c r="Y396" s="77">
        <v>0</v>
      </c>
      <c r="Z396" s="77">
        <v>0</v>
      </c>
      <c r="AA396" s="77">
        <v>0</v>
      </c>
      <c r="AB396" s="136"/>
      <c r="AC396" s="136"/>
      <c r="AD396" s="135"/>
      <c r="AE396" s="135"/>
      <c r="AF396" s="136"/>
      <c r="AG396" s="136"/>
      <c r="AH396" s="137"/>
      <c r="AI396" s="135"/>
      <c r="AJ396" s="135"/>
      <c r="AK396" s="280" t="s">
        <v>6425</v>
      </c>
      <c r="AL396" s="77" t="s">
        <v>5016</v>
      </c>
      <c r="AM396" s="283" t="s">
        <v>65</v>
      </c>
      <c r="AN396" s="288" t="s">
        <v>5017</v>
      </c>
      <c r="AO396" s="288"/>
      <c r="AP396" s="138"/>
    </row>
  </sheetData>
  <autoFilter ref="C8:AQ396" xr:uid="{00000000-0001-0000-0100-000000000000}">
    <filterColumn colId="11" showButton="0"/>
    <filterColumn colId="26" showButton="0"/>
    <filterColumn colId="27" showButton="0"/>
    <filterColumn colId="29" showButton="0"/>
    <filterColumn colId="30" showButton="0"/>
  </autoFilter>
  <mergeCells count="32">
    <mergeCell ref="P8:P9"/>
    <mergeCell ref="D2:S2"/>
    <mergeCell ref="AC6:AE6"/>
    <mergeCell ref="AF6:AH6"/>
    <mergeCell ref="C8:C9"/>
    <mergeCell ref="D8:D9"/>
    <mergeCell ref="E8:E9"/>
    <mergeCell ref="F8:F9"/>
    <mergeCell ref="G8:G9"/>
    <mergeCell ref="H8:H9"/>
    <mergeCell ref="I8:I9"/>
    <mergeCell ref="J8:J9"/>
    <mergeCell ref="K8:K9"/>
    <mergeCell ref="L8:L9"/>
    <mergeCell ref="M8:M9"/>
    <mergeCell ref="N8:O8"/>
    <mergeCell ref="AO8:AO9"/>
    <mergeCell ref="AP8:AP9"/>
    <mergeCell ref="AQ8:AQ9"/>
    <mergeCell ref="D68:D69"/>
    <mergeCell ref="AI8:AI9"/>
    <mergeCell ref="AJ8:AJ9"/>
    <mergeCell ref="AK8:AK9"/>
    <mergeCell ref="AL8:AL9"/>
    <mergeCell ref="AM8:AM9"/>
    <mergeCell ref="AN8:AN9"/>
    <mergeCell ref="Q8:Q9"/>
    <mergeCell ref="R8:R9"/>
    <mergeCell ref="S8:S9"/>
    <mergeCell ref="T8:T9"/>
    <mergeCell ref="AC8:AE8"/>
    <mergeCell ref="AF8:AH8"/>
  </mergeCells>
  <conditionalFormatting sqref="C10:AO68 C69 E69:AO69 C70:AO220 C221:AM222 C223:AO392 C393:G394 C395:AO402">
    <cfRule type="expression" dxfId="5" priority="3">
      <formula>$C10&lt;&gt;""</formula>
    </cfRule>
  </conditionalFormatting>
  <conditionalFormatting sqref="H393:O393 H394:J394 L394:O394">
    <cfRule type="expression" dxfId="4" priority="2">
      <formula>$C393&lt;&gt;""</formula>
    </cfRule>
  </conditionalFormatting>
  <conditionalFormatting sqref="Q393:AO394">
    <cfRule type="expression" dxfId="3" priority="1">
      <formula>$C393&lt;&gt;""</formula>
    </cfRule>
  </conditionalFormatting>
  <pageMargins left="0.25" right="0.25" top="0.75" bottom="0.75" header="0.3" footer="0.3"/>
  <pageSetup scale="6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Fairmont A</vt:lpstr>
      <vt:lpstr>Group A_Grand Inter Parnas</vt:lpstr>
      <vt:lpstr>Group A_Marriott</vt:lpstr>
      <vt:lpstr>Group A_Lotte</vt:lpstr>
      <vt:lpstr>Group A_The Plaza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Jasmine Thai - Journey Beyond Asia</dc:creator>
  <cp:lastModifiedBy>Jasmine Thai - Journey Beyond Asia</cp:lastModifiedBy>
  <dcterms:created xsi:type="dcterms:W3CDTF">2025-09-11T12:16:38Z</dcterms:created>
  <dcterms:modified xsi:type="dcterms:W3CDTF">2025-09-11T12:44:20Z</dcterms:modified>
</cp:coreProperties>
</file>