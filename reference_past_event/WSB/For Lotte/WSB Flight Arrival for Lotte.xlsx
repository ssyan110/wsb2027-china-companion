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yan110/Desktop/"/>
    </mc:Choice>
  </mc:AlternateContent>
  <xr:revisionPtr revIDLastSave="0" documentId="13_ncr:1_{C2B2B621-04C6-DB4B-8FFC-6E2F8DA518D0}" xr6:coauthVersionLast="47" xr6:coauthVersionMax="47" xr10:uidLastSave="{00000000-0000-0000-0000-000000000000}"/>
  <bookViews>
    <workbookView xWindow="0" yWindow="0" windowWidth="28800" windowHeight="18000" xr2:uid="{F2EAEBA2-B623-834F-8566-BB08401B23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7" i="1" l="1"/>
  <c r="O157" i="1"/>
  <c r="N157" i="1"/>
  <c r="M157" i="1"/>
  <c r="K157" i="1"/>
  <c r="J157" i="1"/>
  <c r="I157" i="1"/>
  <c r="H157" i="1"/>
  <c r="G157" i="1"/>
  <c r="C156" i="1"/>
  <c r="L155" i="1"/>
  <c r="C155" i="1"/>
  <c r="L154" i="1"/>
  <c r="C154" i="1"/>
  <c r="C153" i="1"/>
  <c r="L152" i="1"/>
  <c r="C152" i="1"/>
  <c r="C151" i="1"/>
  <c r="C150" i="1"/>
  <c r="L149" i="1"/>
  <c r="C149" i="1"/>
  <c r="L148" i="1"/>
  <c r="C148" i="1"/>
  <c r="L146" i="1"/>
  <c r="D146" i="1"/>
  <c r="C146" i="1"/>
  <c r="L145" i="1"/>
  <c r="C145" i="1"/>
  <c r="L144" i="1"/>
  <c r="L157" i="1" s="1"/>
  <c r="C144" i="1"/>
  <c r="O135" i="1"/>
  <c r="N135" i="1"/>
  <c r="M135" i="1"/>
  <c r="L135" i="1"/>
  <c r="K135" i="1"/>
  <c r="I135" i="1"/>
  <c r="H135" i="1"/>
  <c r="J134" i="1"/>
  <c r="C134" i="1"/>
  <c r="C133" i="1"/>
  <c r="C132" i="1"/>
  <c r="C131" i="1"/>
  <c r="C130" i="1"/>
  <c r="C129" i="1"/>
  <c r="C128" i="1"/>
  <c r="C127" i="1"/>
  <c r="J126" i="1"/>
  <c r="C126" i="1"/>
  <c r="C125" i="1"/>
  <c r="C124" i="1"/>
  <c r="C123" i="1"/>
  <c r="C122" i="1"/>
  <c r="C121" i="1"/>
  <c r="C120" i="1"/>
  <c r="C119" i="1"/>
  <c r="C118" i="1"/>
  <c r="C117" i="1"/>
  <c r="J116" i="1"/>
  <c r="C116" i="1"/>
  <c r="C115" i="1"/>
  <c r="C114" i="1"/>
  <c r="C113" i="1"/>
  <c r="J112" i="1"/>
  <c r="C112" i="1"/>
  <c r="C111" i="1"/>
  <c r="C110" i="1"/>
  <c r="C109" i="1"/>
  <c r="C107" i="1"/>
  <c r="C106" i="1"/>
  <c r="J105" i="1"/>
  <c r="C105" i="1"/>
  <c r="C104" i="1"/>
  <c r="C103" i="1"/>
  <c r="J102" i="1"/>
  <c r="C102" i="1"/>
  <c r="G101" i="1"/>
  <c r="J100" i="1" s="1"/>
  <c r="C101" i="1"/>
  <c r="C100" i="1"/>
  <c r="J99" i="1"/>
  <c r="C99" i="1"/>
  <c r="C98" i="1"/>
  <c r="C97" i="1"/>
  <c r="J96" i="1"/>
  <c r="C96" i="1"/>
  <c r="C95" i="1"/>
  <c r="C94" i="1"/>
  <c r="C93" i="1"/>
  <c r="C92" i="1"/>
  <c r="C91" i="1"/>
  <c r="J90" i="1"/>
  <c r="C90" i="1"/>
  <c r="O83" i="1"/>
  <c r="N83" i="1"/>
  <c r="M83" i="1"/>
  <c r="L83" i="1"/>
  <c r="K83" i="1"/>
  <c r="I83" i="1"/>
  <c r="H83" i="1"/>
  <c r="G83" i="1"/>
  <c r="C82" i="1"/>
  <c r="J81" i="1"/>
  <c r="C81" i="1"/>
  <c r="C80" i="1"/>
  <c r="J79" i="1"/>
  <c r="C79" i="1"/>
  <c r="C78" i="1"/>
  <c r="C77" i="1"/>
  <c r="C76" i="1"/>
  <c r="C75" i="1"/>
  <c r="C74" i="1"/>
  <c r="J73" i="1"/>
  <c r="C73" i="1"/>
  <c r="C72" i="1"/>
  <c r="C71" i="1"/>
  <c r="C70" i="1"/>
  <c r="J69" i="1"/>
  <c r="C69" i="1"/>
  <c r="C68" i="1"/>
  <c r="C67" i="1"/>
  <c r="C66" i="1"/>
  <c r="C65" i="1"/>
  <c r="J64" i="1"/>
  <c r="C64" i="1"/>
  <c r="C62" i="1"/>
  <c r="C61" i="1"/>
  <c r="C60" i="1"/>
  <c r="C59" i="1"/>
  <c r="C58" i="1"/>
  <c r="C57" i="1"/>
  <c r="C56" i="1"/>
  <c r="C55" i="1"/>
  <c r="C54" i="1"/>
  <c r="J53" i="1"/>
  <c r="C53" i="1"/>
  <c r="C52" i="1"/>
  <c r="C51" i="1"/>
  <c r="C50" i="1"/>
  <c r="C49" i="1"/>
  <c r="C48" i="1"/>
  <c r="C47" i="1"/>
  <c r="J46" i="1"/>
  <c r="C46" i="1"/>
  <c r="C45" i="1"/>
  <c r="C44" i="1"/>
  <c r="C43" i="1"/>
  <c r="J42" i="1"/>
  <c r="C42" i="1"/>
  <c r="C37" i="1"/>
  <c r="C36" i="1"/>
  <c r="C35" i="1"/>
  <c r="C34" i="1"/>
  <c r="J33" i="1"/>
  <c r="C33" i="1"/>
  <c r="C32" i="1"/>
  <c r="C31" i="1"/>
  <c r="C30" i="1"/>
  <c r="C29" i="1"/>
  <c r="C28" i="1"/>
  <c r="C27" i="1"/>
  <c r="C26" i="1"/>
  <c r="J25" i="1"/>
  <c r="C25" i="1"/>
  <c r="J24" i="1"/>
  <c r="C24" i="1"/>
  <c r="C22" i="1"/>
  <c r="C21" i="1"/>
  <c r="J20" i="1"/>
  <c r="C20" i="1"/>
  <c r="C19" i="1"/>
  <c r="C18" i="1"/>
  <c r="J17" i="1"/>
  <c r="C17" i="1"/>
  <c r="C16" i="1"/>
  <c r="C15" i="1"/>
  <c r="C14" i="1"/>
  <c r="C13" i="1"/>
  <c r="C12" i="1"/>
  <c r="C10" i="1"/>
  <c r="J9" i="1"/>
  <c r="C8" i="1"/>
  <c r="C6" i="1"/>
  <c r="C5" i="1"/>
  <c r="J4" i="1"/>
  <c r="J83" i="1" s="1"/>
  <c r="C4" i="1"/>
  <c r="G135" i="1" l="1"/>
  <c r="J1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" authorId="0" shapeId="0" xr:uid="{1930130F-4166-154D-8D67-0912B21F2D42}">
      <text>
        <r>
          <rPr>
            <sz val="12"/>
            <color theme="1"/>
            <rFont val="Calibri"/>
            <family val="1"/>
            <scheme val="minor"/>
          </rPr>
          <t>P +1
======</t>
        </r>
      </text>
    </comment>
    <comment ref="H31" authorId="0" shapeId="0" xr:uid="{10A68B84-08D4-7E4E-924D-0EAF9A0AA20E}">
      <text>
        <r>
          <rPr>
            <sz val="12"/>
            <color theme="1"/>
            <rFont val="Calibri"/>
            <family val="1"/>
            <scheme val="minor"/>
          </rPr>
          <t>L -2
======</t>
        </r>
      </text>
    </comment>
    <comment ref="H47" authorId="0" shapeId="0" xr:uid="{8391852E-BBA0-2F4C-915A-64F2AA66E740}">
      <text>
        <r>
          <rPr>
            <sz val="12"/>
            <color theme="1"/>
            <rFont val="Calibri"/>
            <family val="1"/>
            <scheme val="minor"/>
          </rPr>
          <t>L +2
======</t>
        </r>
      </text>
    </comment>
    <comment ref="I65" authorId="0" shapeId="0" xr:uid="{ED390D9E-77A6-364D-9E27-694CEFA2B8A5}">
      <text>
        <r>
          <rPr>
            <sz val="12"/>
            <color theme="1"/>
            <rFont val="Calibri"/>
            <family val="1"/>
            <scheme val="minor"/>
          </rPr>
          <t>P +2
======</t>
        </r>
      </text>
    </comment>
    <comment ref="E75" authorId="0" shapeId="0" xr:uid="{CD43F04B-B9C5-C44E-A04A-469AA5ACF5C5}">
      <text>
        <r>
          <rPr>
            <sz val="12"/>
            <color theme="1"/>
            <rFont val="Calibri"/>
            <family val="1"/>
            <scheme val="minor"/>
          </rPr>
          <t>NEW FLIGHT
======</t>
        </r>
      </text>
    </comment>
    <comment ref="G101" authorId="0" shapeId="0" xr:uid="{5CC8C258-6DBF-C648-BDF8-2BD28BE835A7}">
      <text>
        <r>
          <rPr>
            <sz val="12"/>
            <color theme="1"/>
            <rFont val="Calibri"/>
            <family val="1"/>
            <scheme val="minor"/>
          </rPr>
          <t>F-3 no need airport transfer
======</t>
        </r>
      </text>
    </comment>
  </commentList>
</comments>
</file>

<file path=xl/sharedStrings.xml><?xml version="1.0" encoding="utf-8"?>
<sst xmlns="http://schemas.openxmlformats.org/spreadsheetml/2006/main" count="240" uniqueCount="173">
  <si>
    <t>ICN TERMINAL 1</t>
  </si>
  <si>
    <t>DATE</t>
  </si>
  <si>
    <t>L.TIME</t>
  </si>
  <si>
    <t>EXIT.T</t>
  </si>
  <si>
    <t>SHUTTLE</t>
  </si>
  <si>
    <t>FLIGHT</t>
  </si>
  <si>
    <t>GATE</t>
  </si>
  <si>
    <t>MYEONGDONG</t>
  </si>
  <si>
    <t>TOTAL PAX</t>
  </si>
  <si>
    <t>Max 4 pax</t>
  </si>
  <si>
    <t>Max 8 pax</t>
  </si>
  <si>
    <t>Max 10 pax</t>
  </si>
  <si>
    <t>Max 25-30px</t>
  </si>
  <si>
    <t>Max 100 pcs</t>
  </si>
  <si>
    <t>F</t>
  </si>
  <si>
    <t>L</t>
  </si>
  <si>
    <t>P</t>
  </si>
  <si>
    <t>VAN</t>
  </si>
  <si>
    <t>SOLATI</t>
  </si>
  <si>
    <t>SPRINTER</t>
  </si>
  <si>
    <t>BUS</t>
  </si>
  <si>
    <t>TRUCK</t>
  </si>
  <si>
    <t>UA 805</t>
  </si>
  <si>
    <t>OZ 211</t>
  </si>
  <si>
    <t>MM 809</t>
  </si>
  <si>
    <t>YP 132</t>
  </si>
  <si>
    <t>HA 459 on 17 Sep</t>
  </si>
  <si>
    <t>INFO DESK</t>
  </si>
  <si>
    <t>These clients want to go to hotel early</t>
  </si>
  <si>
    <t>PR 484</t>
  </si>
  <si>
    <t>VN 416</t>
  </si>
  <si>
    <t>PR 466</t>
  </si>
  <si>
    <t>VJ 878</t>
  </si>
  <si>
    <t>VN 430</t>
  </si>
  <si>
    <t>OZ 223</t>
  </si>
  <si>
    <t>5J 186</t>
  </si>
  <si>
    <t>TW 102</t>
  </si>
  <si>
    <t>OZ 710</t>
  </si>
  <si>
    <t>7C 2218</t>
  </si>
  <si>
    <t>TW 176</t>
  </si>
  <si>
    <t>OZ 742</t>
  </si>
  <si>
    <t>AC 61 on 17 Sep</t>
  </si>
  <si>
    <t>VJ 862</t>
  </si>
  <si>
    <t>EY 822</t>
  </si>
  <si>
    <t>BR 170</t>
  </si>
  <si>
    <t>OZ 115</t>
  </si>
  <si>
    <t>7C 2622</t>
  </si>
  <si>
    <t>RF 315</t>
  </si>
  <si>
    <t>ZG 41</t>
  </si>
  <si>
    <t>OZ 107</t>
  </si>
  <si>
    <t>OZ 368</t>
  </si>
  <si>
    <t>7C 1302</t>
  </si>
  <si>
    <t>Z2 884</t>
  </si>
  <si>
    <t>NQ 121</t>
  </si>
  <si>
    <t>CX 434</t>
  </si>
  <si>
    <t>OZ 111</t>
  </si>
  <si>
    <t>KE 32 on 17 Sep</t>
  </si>
  <si>
    <t>UA 893 on 17 Sep</t>
  </si>
  <si>
    <t>OZ 131</t>
  </si>
  <si>
    <t>TW 302</t>
  </si>
  <si>
    <t>HX 628</t>
  </si>
  <si>
    <t>CZ 337</t>
  </si>
  <si>
    <t>CX 410</t>
  </si>
  <si>
    <t>7C 1102</t>
  </si>
  <si>
    <t>OZ 362</t>
  </si>
  <si>
    <t>SC 4613</t>
  </si>
  <si>
    <t>MU 5011</t>
  </si>
  <si>
    <t>OZ 201</t>
  </si>
  <si>
    <t>TW 242</t>
  </si>
  <si>
    <t>OZ 6615</t>
  </si>
  <si>
    <t>UA 893</t>
  </si>
  <si>
    <t>YP 732</t>
  </si>
  <si>
    <t>7C 6102</t>
  </si>
  <si>
    <t>UO 630</t>
  </si>
  <si>
    <t>CZ 3061</t>
  </si>
  <si>
    <t>TG 652</t>
  </si>
  <si>
    <t>AA 281</t>
  </si>
  <si>
    <t>YP 102</t>
  </si>
  <si>
    <t>OZ 101</t>
  </si>
  <si>
    <t>Car From Busan</t>
  </si>
  <si>
    <t>GMP INTL GATE</t>
  </si>
  <si>
    <t>Change to Gimpo airport, show up at 14:00</t>
  </si>
  <si>
    <t>OZ 173</t>
  </si>
  <si>
    <t>AC 63</t>
  </si>
  <si>
    <t>TW 304</t>
  </si>
  <si>
    <t>VN 414</t>
  </si>
  <si>
    <t>OZ 221</t>
  </si>
  <si>
    <t>OZ 712</t>
  </si>
  <si>
    <t>AC 61</t>
  </si>
  <si>
    <t>TW 264</t>
  </si>
  <si>
    <t>OZ 271</t>
  </si>
  <si>
    <t>HA 871</t>
  </si>
  <si>
    <t>WS 86</t>
  </si>
  <si>
    <t>HA 459</t>
  </si>
  <si>
    <t>CX 418</t>
  </si>
  <si>
    <t>YP 152</t>
  </si>
  <si>
    <t>PR 468</t>
  </si>
  <si>
    <t>7C 1106</t>
  </si>
  <si>
    <t>YP 112</t>
  </si>
  <si>
    <t>7C 2212</t>
  </si>
  <si>
    <t>TR 896</t>
  </si>
  <si>
    <t>Total Number</t>
  </si>
  <si>
    <t>van</t>
  </si>
  <si>
    <t>solati</t>
  </si>
  <si>
    <t>sprinter</t>
  </si>
  <si>
    <t>bus</t>
  </si>
  <si>
    <t>truck</t>
  </si>
  <si>
    <t>ICN TERMINAL 2</t>
  </si>
  <si>
    <t>45mins</t>
  </si>
  <si>
    <t>KE 624</t>
  </si>
  <si>
    <t>KE 720</t>
  </si>
  <si>
    <t>KE 12</t>
  </si>
  <si>
    <t>KE 6</t>
  </si>
  <si>
    <t>KE 86</t>
  </si>
  <si>
    <t>KE 178</t>
  </si>
  <si>
    <t>KE 626</t>
  </si>
  <si>
    <t>AF 264</t>
  </si>
  <si>
    <t>KE 672</t>
  </si>
  <si>
    <t>KE 620</t>
  </si>
  <si>
    <t>CI 160</t>
  </si>
  <si>
    <t>KE 706</t>
  </si>
  <si>
    <t>KE 832</t>
  </si>
  <si>
    <t>BX 163</t>
  </si>
  <si>
    <t>LJ 732</t>
  </si>
  <si>
    <t>DL 189</t>
  </si>
  <si>
    <t>KE 5040</t>
  </si>
  <si>
    <t>KE 806</t>
  </si>
  <si>
    <t>KE 894</t>
  </si>
  <si>
    <t>KE 724</t>
  </si>
  <si>
    <t>BX 171</t>
  </si>
  <si>
    <t>DL 173</t>
  </si>
  <si>
    <t>KE 756</t>
  </si>
  <si>
    <t>KE 128</t>
  </si>
  <si>
    <t>LJ 206</t>
  </si>
  <si>
    <t>DL 159</t>
  </si>
  <si>
    <t>DL 197</t>
  </si>
  <si>
    <t>DL 7868</t>
  </si>
  <si>
    <t>KE 32</t>
  </si>
  <si>
    <t>KE 42</t>
  </si>
  <si>
    <t>DL 7850</t>
  </si>
  <si>
    <t>KE 36</t>
  </si>
  <si>
    <t>KE 38</t>
  </si>
  <si>
    <t>KE 174</t>
  </si>
  <si>
    <t>KE 766</t>
  </si>
  <si>
    <t>KE 24</t>
  </si>
  <si>
    <t>DL 171</t>
  </si>
  <si>
    <t>KE 660</t>
  </si>
  <si>
    <t>KE 92</t>
  </si>
  <si>
    <t>DL 7840</t>
  </si>
  <si>
    <t>DL 7938</t>
  </si>
  <si>
    <t>DL 7842</t>
  </si>
  <si>
    <t>KE 82</t>
  </si>
  <si>
    <t>KE 458</t>
  </si>
  <si>
    <t>GIMPO</t>
  </si>
  <si>
    <t>TERMINAL</t>
  </si>
  <si>
    <t>GANGNAM</t>
  </si>
  <si>
    <t>JW</t>
  </si>
  <si>
    <t>IN</t>
  </si>
  <si>
    <t>JL 91</t>
  </si>
  <si>
    <t>GMP-I</t>
  </si>
  <si>
    <t>KE 2106</t>
  </si>
  <si>
    <t>CI 260</t>
  </si>
  <si>
    <t>Car from Busan</t>
  </si>
  <si>
    <t>KE 1814</t>
  </si>
  <si>
    <t>GMP-D</t>
  </si>
  <si>
    <t>KE 2102</t>
  </si>
  <si>
    <t>KE 1820</t>
  </si>
  <si>
    <t>KE 1348</t>
  </si>
  <si>
    <t>JL 93</t>
  </si>
  <si>
    <t>NH 865</t>
  </si>
  <si>
    <t>JL 95</t>
  </si>
  <si>
    <t>KE 2104</t>
  </si>
  <si>
    <t>OZ 1035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</si>
</sst>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5" formatCode="h&quot;:&quot;mm"/>
    <numFmt numFmtId="166" formatCode="d\ mmm\ yy"/>
  </numFmts>
  <fonts count="14">
    <font>
      <sz val="12"/>
      <color theme="1"/>
      <name val="Calibri"/>
      <family val="2"/>
      <scheme val="minor"/>
    </font>
    <font>
      <b/>
      <sz val="12"/>
      <color rgb="FFFFFFFF"/>
      <name val="Noto Sans KR"/>
    </font>
    <font>
      <sz val="12"/>
      <name val="Times New Roman"/>
      <family val="1"/>
    </font>
    <font>
      <b/>
      <sz val="10"/>
      <color theme="1"/>
      <name val="Noto Sans KR"/>
    </font>
    <font>
      <b/>
      <sz val="10"/>
      <color rgb="FF000000"/>
      <name val="Noto Sans KR"/>
    </font>
    <font>
      <sz val="10"/>
      <color theme="1"/>
      <name val="Noto Sans KR"/>
    </font>
    <font>
      <sz val="8"/>
      <color theme="1"/>
      <name val="Noto Sans KR"/>
    </font>
    <font>
      <b/>
      <sz val="10"/>
      <color rgb="FFFF0000"/>
      <name val="Noto Sans KR"/>
    </font>
    <font>
      <b/>
      <sz val="9"/>
      <color theme="1"/>
      <name val="Noto Sans KR"/>
    </font>
    <font>
      <b/>
      <sz val="9"/>
      <color rgb="FF000000"/>
      <name val="Noto Sans KR"/>
    </font>
    <font>
      <b/>
      <sz val="12"/>
      <color rgb="FF000000"/>
      <name val="Noto Sans KR"/>
    </font>
    <font>
      <b/>
      <sz val="12"/>
      <color theme="1"/>
      <name val="Noto Sans KR"/>
    </font>
    <font>
      <sz val="8"/>
      <color rgb="FFFF0000"/>
      <name val="Noto Sans KR"/>
    </font>
    <font>
      <sz val="12"/>
      <color theme="1"/>
      <name val="Calibri"/>
      <family val="1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F7CAAC"/>
        <bgColor rgb="FFF7CAAC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C5E0B3"/>
        <bgColor rgb="FFC5E0B3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41" fontId="3" fillId="4" borderId="2" xfId="0" applyNumberFormat="1" applyFont="1" applyFill="1" applyBorder="1" applyAlignment="1">
      <alignment horizontal="center" vertical="center"/>
    </xf>
    <xf numFmtId="41" fontId="4" fillId="5" borderId="5" xfId="0" applyNumberFormat="1" applyFont="1" applyFill="1" applyBorder="1" applyAlignment="1">
      <alignment horizontal="center" vertical="center"/>
    </xf>
    <xf numFmtId="41" fontId="5" fillId="5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2" fillId="0" borderId="7" xfId="0" applyFont="1" applyBorder="1"/>
    <xf numFmtId="41" fontId="3" fillId="6" borderId="6" xfId="0" applyNumberFormat="1" applyFont="1" applyFill="1" applyBorder="1" applyAlignment="1">
      <alignment horizontal="center" vertical="center"/>
    </xf>
    <xf numFmtId="41" fontId="3" fillId="5" borderId="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6" fillId="0" borderId="5" xfId="0" applyNumberFormat="1" applyFont="1" applyBorder="1" applyAlignment="1">
      <alignment horizontal="center" vertical="center"/>
    </xf>
    <xf numFmtId="20" fontId="6" fillId="0" borderId="6" xfId="0" applyNumberFormat="1" applyFont="1" applyBorder="1" applyAlignment="1">
      <alignment horizontal="center" vertical="center"/>
    </xf>
    <xf numFmtId="20" fontId="7" fillId="0" borderId="5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8" xfId="0" applyFont="1" applyBorder="1"/>
    <xf numFmtId="0" fontId="6" fillId="0" borderId="0" xfId="0" applyFont="1" applyAlignment="1">
      <alignment horizontal="center" vertical="center"/>
    </xf>
    <xf numFmtId="20" fontId="6" fillId="0" borderId="9" xfId="0" applyNumberFormat="1" applyFont="1" applyBorder="1" applyAlignment="1">
      <alignment horizontal="center" vertical="center"/>
    </xf>
    <xf numFmtId="0" fontId="2" fillId="0" borderId="10" xfId="0" applyFont="1" applyBorder="1"/>
    <xf numFmtId="0" fontId="6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20" fontId="6" fillId="7" borderId="7" xfId="0" applyNumberFormat="1" applyFont="1" applyFill="1" applyBorder="1" applyAlignment="1">
      <alignment horizontal="center" vertical="center"/>
    </xf>
    <xf numFmtId="20" fontId="6" fillId="0" borderId="7" xfId="0" applyNumberFormat="1" applyFont="1" applyBorder="1" applyAlignment="1">
      <alignment horizontal="center" vertical="center"/>
    </xf>
    <xf numFmtId="20" fontId="7" fillId="0" borderId="8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20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20" fontId="6" fillId="7" borderId="9" xfId="0" applyNumberFormat="1" applyFont="1" applyFill="1" applyBorder="1" applyAlignment="1">
      <alignment horizontal="center" vertical="center"/>
    </xf>
    <xf numFmtId="20" fontId="6" fillId="0" borderId="10" xfId="0" applyNumberFormat="1" applyFont="1" applyBorder="1" applyAlignment="1">
      <alignment horizontal="center" vertical="center"/>
    </xf>
    <xf numFmtId="20" fontId="7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20" fontId="6" fillId="7" borderId="6" xfId="0" applyNumberFormat="1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20" fontId="7" fillId="0" borderId="7" xfId="0" applyNumberFormat="1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3" fillId="0" borderId="14" xfId="0" applyFont="1" applyBorder="1" applyAlignment="1">
      <alignment horizontal="center" vertical="center"/>
    </xf>
    <xf numFmtId="41" fontId="3" fillId="11" borderId="2" xfId="0" applyNumberFormat="1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2" fillId="0" borderId="16" xfId="0" applyFont="1" applyBorder="1"/>
    <xf numFmtId="41" fontId="3" fillId="12" borderId="6" xfId="0" applyNumberFormat="1" applyFont="1" applyFill="1" applyBorder="1" applyAlignment="1">
      <alignment horizontal="center" vertical="center"/>
    </xf>
    <xf numFmtId="41" fontId="3" fillId="5" borderId="15" xfId="0" applyNumberFormat="1" applyFont="1" applyFill="1" applyBorder="1" applyAlignment="1">
      <alignment horizontal="center" vertical="center"/>
    </xf>
    <xf numFmtId="166" fontId="6" fillId="0" borderId="14" xfId="0" applyNumberFormat="1" applyFont="1" applyBorder="1" applyAlignment="1">
      <alignment horizontal="center" vertical="center"/>
    </xf>
    <xf numFmtId="20" fontId="6" fillId="0" borderId="5" xfId="0" applyNumberFormat="1" applyFont="1" applyBorder="1" applyAlignment="1">
      <alignment horizontal="center" vertical="center"/>
    </xf>
    <xf numFmtId="20" fontId="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" fillId="0" borderId="18" xfId="0" applyFont="1" applyBorder="1"/>
    <xf numFmtId="20" fontId="6" fillId="0" borderId="19" xfId="0" applyNumberFormat="1" applyFont="1" applyBorder="1" applyAlignment="1">
      <alignment horizontal="center" vertical="center"/>
    </xf>
    <xf numFmtId="20" fontId="7" fillId="0" borderId="19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20" fontId="7" fillId="0" borderId="8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20" fontId="6" fillId="0" borderId="25" xfId="0" applyNumberFormat="1" applyFont="1" applyBorder="1" applyAlignment="1">
      <alignment horizontal="center" vertical="center"/>
    </xf>
    <xf numFmtId="20" fontId="7" fillId="0" borderId="26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2" fillId="0" borderId="28" xfId="0" applyFont="1" applyBorder="1"/>
    <xf numFmtId="0" fontId="9" fillId="7" borderId="29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30" xfId="0" applyFont="1" applyBorder="1"/>
    <xf numFmtId="0" fontId="9" fillId="7" borderId="10" xfId="0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31DF-9E89-1F46-9974-ECE553762B4E}">
  <sheetPr>
    <pageSetUpPr fitToPage="1"/>
  </sheetPr>
  <dimension ref="A1:P158"/>
  <sheetViews>
    <sheetView tabSelected="1" topLeftCell="A142" workbookViewId="0">
      <selection activeCell="M164" sqref="M164"/>
    </sheetView>
  </sheetViews>
  <sheetFormatPr baseColWidth="10" defaultRowHeight="16"/>
  <sheetData>
    <row r="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</row>
    <row r="2" spans="1:16">
      <c r="A2" s="5" t="s">
        <v>1</v>
      </c>
      <c r="B2" s="6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7" t="s">
        <v>7</v>
      </c>
      <c r="H2" s="2"/>
      <c r="I2" s="3"/>
      <c r="J2" s="8" t="s">
        <v>8</v>
      </c>
      <c r="K2" s="9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1"/>
    </row>
    <row r="3" spans="1:16">
      <c r="A3" s="12"/>
      <c r="B3" s="12"/>
      <c r="C3" s="12"/>
      <c r="D3" s="12"/>
      <c r="E3" s="12"/>
      <c r="F3" s="12"/>
      <c r="G3" s="13" t="s">
        <v>14</v>
      </c>
      <c r="H3" s="13" t="s">
        <v>15</v>
      </c>
      <c r="I3" s="13" t="s">
        <v>16</v>
      </c>
      <c r="J3" s="12"/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5"/>
    </row>
    <row r="4" spans="1:16">
      <c r="A4" s="16">
        <v>45918</v>
      </c>
      <c r="B4" s="17">
        <v>0.18055555555555555</v>
      </c>
      <c r="C4" s="17">
        <f t="shared" ref="C4:C6" si="0">B4+TIME(1,30,0)</f>
        <v>0.24305555555555555</v>
      </c>
      <c r="D4" s="18">
        <v>0.27430555555555558</v>
      </c>
      <c r="E4" s="19" t="s">
        <v>22</v>
      </c>
      <c r="F4" s="19"/>
      <c r="G4" s="19"/>
      <c r="H4" s="19">
        <v>21</v>
      </c>
      <c r="I4" s="19">
        <v>9</v>
      </c>
      <c r="J4" s="20">
        <f>SUM(G4:I8)</f>
        <v>41</v>
      </c>
      <c r="K4" s="19"/>
      <c r="L4" s="19"/>
      <c r="M4" s="19"/>
      <c r="N4" s="19">
        <v>2</v>
      </c>
      <c r="O4" s="19"/>
      <c r="P4" s="21"/>
    </row>
    <row r="5" spans="1:16">
      <c r="A5" s="22"/>
      <c r="B5" s="17">
        <v>0.1875</v>
      </c>
      <c r="C5" s="17">
        <f t="shared" si="0"/>
        <v>0.25</v>
      </c>
      <c r="D5" s="22"/>
      <c r="E5" s="19" t="s">
        <v>23</v>
      </c>
      <c r="F5" s="19"/>
      <c r="G5" s="19">
        <v>2</v>
      </c>
      <c r="H5" s="19"/>
      <c r="I5" s="19">
        <v>1</v>
      </c>
      <c r="J5" s="20"/>
      <c r="K5" s="19"/>
      <c r="L5" s="19"/>
      <c r="M5" s="19"/>
      <c r="N5" s="19"/>
      <c r="O5" s="19"/>
      <c r="P5" s="23"/>
    </row>
    <row r="6" spans="1:16">
      <c r="A6" s="22"/>
      <c r="B6" s="17">
        <v>0.19444444444444445</v>
      </c>
      <c r="C6" s="17">
        <f t="shared" si="0"/>
        <v>0.25694444444444442</v>
      </c>
      <c r="D6" s="22"/>
      <c r="E6" s="19" t="s">
        <v>24</v>
      </c>
      <c r="F6" s="19"/>
      <c r="G6" s="19">
        <v>2</v>
      </c>
      <c r="H6" s="19">
        <v>5</v>
      </c>
      <c r="I6" s="19"/>
      <c r="J6" s="20"/>
      <c r="K6" s="19"/>
      <c r="L6" s="19"/>
      <c r="M6" s="19"/>
      <c r="N6" s="19"/>
      <c r="O6" s="19"/>
      <c r="P6" s="21"/>
    </row>
    <row r="7" spans="1:16">
      <c r="A7" s="22"/>
      <c r="B7" s="17"/>
      <c r="C7" s="17"/>
      <c r="D7" s="22"/>
      <c r="E7" s="19"/>
      <c r="F7" s="19"/>
      <c r="G7" s="19"/>
      <c r="H7" s="19"/>
      <c r="I7" s="19"/>
      <c r="J7" s="20"/>
      <c r="K7" s="19"/>
      <c r="L7" s="19"/>
      <c r="M7" s="19"/>
      <c r="N7" s="19"/>
      <c r="O7" s="19"/>
      <c r="P7" s="23"/>
    </row>
    <row r="8" spans="1:16">
      <c r="A8" s="22"/>
      <c r="B8" s="24">
        <v>0.2048611111111111</v>
      </c>
      <c r="C8" s="24">
        <f>B8+TIME(1,30,0)</f>
        <v>0.2673611111111111</v>
      </c>
      <c r="D8" s="25"/>
      <c r="E8" s="26" t="s">
        <v>25</v>
      </c>
      <c r="F8" s="26"/>
      <c r="G8" s="26"/>
      <c r="H8" s="26">
        <v>1</v>
      </c>
      <c r="I8" s="26"/>
      <c r="J8" s="27"/>
      <c r="K8" s="26"/>
      <c r="L8" s="26"/>
      <c r="M8" s="26"/>
      <c r="N8" s="26"/>
      <c r="O8" s="26"/>
      <c r="P8" s="23"/>
    </row>
    <row r="9" spans="1:16">
      <c r="A9" s="22"/>
      <c r="B9" s="28"/>
      <c r="C9" s="29">
        <v>0.29166666666666669</v>
      </c>
      <c r="D9" s="30">
        <v>0.3263888888888889</v>
      </c>
      <c r="E9" s="31" t="s">
        <v>26</v>
      </c>
      <c r="F9" s="31" t="s">
        <v>27</v>
      </c>
      <c r="G9" s="31"/>
      <c r="H9" s="31"/>
      <c r="I9" s="31">
        <v>2</v>
      </c>
      <c r="J9" s="32">
        <f>SUM(G9:I16)</f>
        <v>14</v>
      </c>
      <c r="K9" s="31"/>
      <c r="L9" s="31"/>
      <c r="M9" s="31"/>
      <c r="N9" s="31">
        <v>1</v>
      </c>
      <c r="O9" s="31"/>
      <c r="P9" s="21" t="s">
        <v>28</v>
      </c>
    </row>
    <row r="10" spans="1:16">
      <c r="A10" s="22"/>
      <c r="B10" s="17">
        <v>0.24305555555555555</v>
      </c>
      <c r="C10" s="17">
        <f>B10+TIME(1,30,0)</f>
        <v>0.30555555555555558</v>
      </c>
      <c r="D10" s="22"/>
      <c r="E10" s="19" t="s">
        <v>29</v>
      </c>
      <c r="F10" s="19"/>
      <c r="G10" s="19">
        <v>4</v>
      </c>
      <c r="H10" s="19"/>
      <c r="I10" s="19"/>
      <c r="J10" s="20"/>
      <c r="K10" s="19"/>
      <c r="L10" s="19"/>
      <c r="M10" s="19"/>
      <c r="N10" s="19"/>
      <c r="O10" s="19"/>
      <c r="P10" s="23"/>
    </row>
    <row r="11" spans="1:16">
      <c r="A11" s="22"/>
      <c r="B11" s="17"/>
      <c r="C11" s="17"/>
      <c r="D11" s="22"/>
      <c r="E11" s="19"/>
      <c r="F11" s="19"/>
      <c r="G11" s="19"/>
      <c r="H11" s="19"/>
      <c r="I11" s="19"/>
      <c r="J11" s="20"/>
      <c r="K11" s="19"/>
      <c r="L11" s="19"/>
      <c r="M11" s="19"/>
      <c r="N11" s="19"/>
      <c r="O11" s="19"/>
      <c r="P11" s="23"/>
    </row>
    <row r="12" spans="1:16">
      <c r="A12" s="22"/>
      <c r="B12" s="17">
        <v>0.24305555555555555</v>
      </c>
      <c r="C12" s="17">
        <f t="shared" ref="C12:C19" si="1">B12+TIME(1,30,0)</f>
        <v>0.30555555555555558</v>
      </c>
      <c r="D12" s="22"/>
      <c r="E12" s="19" t="s">
        <v>30</v>
      </c>
      <c r="F12" s="19"/>
      <c r="G12" s="19"/>
      <c r="H12" s="19"/>
      <c r="I12" s="19">
        <v>1</v>
      </c>
      <c r="J12" s="20"/>
      <c r="K12" s="19"/>
      <c r="L12" s="19"/>
      <c r="M12" s="19"/>
      <c r="N12" s="19"/>
      <c r="O12" s="19"/>
      <c r="P12" s="23"/>
    </row>
    <row r="13" spans="1:16">
      <c r="A13" s="22"/>
      <c r="B13" s="17">
        <v>0.25</v>
      </c>
      <c r="C13" s="17">
        <f t="shared" si="1"/>
        <v>0.3125</v>
      </c>
      <c r="D13" s="22"/>
      <c r="E13" s="19" t="s">
        <v>31</v>
      </c>
      <c r="F13" s="19"/>
      <c r="G13" s="19"/>
      <c r="H13" s="19">
        <v>2</v>
      </c>
      <c r="I13" s="19"/>
      <c r="J13" s="20"/>
      <c r="K13" s="19"/>
      <c r="L13" s="19"/>
      <c r="M13" s="19"/>
      <c r="N13" s="19"/>
      <c r="O13" s="19"/>
      <c r="P13" s="23"/>
    </row>
    <row r="14" spans="1:16">
      <c r="A14" s="22"/>
      <c r="B14" s="17">
        <v>0.25</v>
      </c>
      <c r="C14" s="17">
        <f t="shared" si="1"/>
        <v>0.3125</v>
      </c>
      <c r="D14" s="22"/>
      <c r="E14" s="19" t="s">
        <v>32</v>
      </c>
      <c r="F14" s="19"/>
      <c r="G14" s="19"/>
      <c r="H14" s="19"/>
      <c r="I14" s="19">
        <v>2</v>
      </c>
      <c r="J14" s="20"/>
      <c r="K14" s="19"/>
      <c r="L14" s="19"/>
      <c r="M14" s="19"/>
      <c r="N14" s="19"/>
      <c r="O14" s="19"/>
      <c r="P14" s="23"/>
    </row>
    <row r="15" spans="1:16">
      <c r="A15" s="22"/>
      <c r="B15" s="17">
        <v>0.25</v>
      </c>
      <c r="C15" s="17">
        <f t="shared" si="1"/>
        <v>0.3125</v>
      </c>
      <c r="D15" s="22"/>
      <c r="E15" s="19" t="s">
        <v>33</v>
      </c>
      <c r="F15" s="19"/>
      <c r="G15" s="19"/>
      <c r="H15" s="19"/>
      <c r="I15" s="19">
        <v>2</v>
      </c>
      <c r="J15" s="20"/>
      <c r="K15" s="19"/>
      <c r="L15" s="19"/>
      <c r="M15" s="19"/>
      <c r="N15" s="19"/>
      <c r="O15" s="19"/>
      <c r="P15" s="23"/>
    </row>
    <row r="16" spans="1:16">
      <c r="A16" s="22"/>
      <c r="B16" s="24">
        <v>0.25694444444444442</v>
      </c>
      <c r="C16" s="24">
        <f t="shared" si="1"/>
        <v>0.31944444444444442</v>
      </c>
      <c r="D16" s="25"/>
      <c r="E16" s="26" t="s">
        <v>34</v>
      </c>
      <c r="F16" s="26"/>
      <c r="G16" s="26"/>
      <c r="H16" s="26">
        <v>1</v>
      </c>
      <c r="I16" s="26"/>
      <c r="J16" s="27"/>
      <c r="K16" s="26"/>
      <c r="L16" s="26"/>
      <c r="M16" s="26"/>
      <c r="N16" s="26"/>
      <c r="O16" s="26"/>
      <c r="P16" s="23"/>
    </row>
    <row r="17" spans="1:16">
      <c r="A17" s="22"/>
      <c r="B17" s="29">
        <v>0.30555555555555558</v>
      </c>
      <c r="C17" s="29">
        <f t="shared" si="1"/>
        <v>0.36805555555555558</v>
      </c>
      <c r="D17" s="30">
        <v>0.3923611111111111</v>
      </c>
      <c r="E17" s="31" t="s">
        <v>35</v>
      </c>
      <c r="F17" s="31"/>
      <c r="G17" s="31"/>
      <c r="H17" s="31">
        <v>2</v>
      </c>
      <c r="I17" s="31"/>
      <c r="J17" s="32">
        <f>SUM(G17:I19)</f>
        <v>10</v>
      </c>
      <c r="K17" s="31"/>
      <c r="L17" s="31"/>
      <c r="M17" s="31">
        <v>1</v>
      </c>
      <c r="N17" s="31"/>
      <c r="O17" s="31"/>
      <c r="P17" s="23"/>
    </row>
    <row r="18" spans="1:16">
      <c r="A18" s="22"/>
      <c r="B18" s="17">
        <v>0.31944444444444442</v>
      </c>
      <c r="C18" s="17">
        <f t="shared" si="1"/>
        <v>0.38194444444444442</v>
      </c>
      <c r="D18" s="22"/>
      <c r="E18" s="19" t="s">
        <v>36</v>
      </c>
      <c r="F18" s="19"/>
      <c r="G18" s="19"/>
      <c r="H18" s="19">
        <v>5</v>
      </c>
      <c r="I18" s="19"/>
      <c r="J18" s="20"/>
      <c r="K18" s="19"/>
      <c r="L18" s="19"/>
      <c r="M18" s="19"/>
      <c r="N18" s="19"/>
      <c r="O18" s="19"/>
      <c r="P18" s="23"/>
    </row>
    <row r="19" spans="1:16">
      <c r="A19" s="22"/>
      <c r="B19" s="24">
        <v>0.32291666666666669</v>
      </c>
      <c r="C19" s="24">
        <f t="shared" si="1"/>
        <v>0.38541666666666669</v>
      </c>
      <c r="D19" s="25"/>
      <c r="E19" s="26" t="s">
        <v>37</v>
      </c>
      <c r="F19" s="26"/>
      <c r="G19" s="26">
        <v>3</v>
      </c>
      <c r="H19" s="26"/>
      <c r="I19" s="26"/>
      <c r="J19" s="27"/>
      <c r="K19" s="26"/>
      <c r="L19" s="26"/>
      <c r="M19" s="26"/>
      <c r="N19" s="26"/>
      <c r="O19" s="26"/>
      <c r="P19" s="23"/>
    </row>
    <row r="20" spans="1:16">
      <c r="A20" s="22"/>
      <c r="B20" s="33">
        <v>0.33680555555555558</v>
      </c>
      <c r="C20" s="33">
        <f>B20+TIME(1,30,0)</f>
        <v>0.39930555555555558</v>
      </c>
      <c r="D20" s="30">
        <v>0.43402777777777779</v>
      </c>
      <c r="E20" s="34" t="s">
        <v>38</v>
      </c>
      <c r="F20" s="34"/>
      <c r="G20" s="34"/>
      <c r="H20" s="34"/>
      <c r="I20" s="34">
        <v>4</v>
      </c>
      <c r="J20" s="35">
        <f>SUM(G20:I23)</f>
        <v>12</v>
      </c>
      <c r="K20" s="34"/>
      <c r="L20" s="34"/>
      <c r="M20" s="34"/>
      <c r="N20" s="34">
        <v>1</v>
      </c>
      <c r="O20" s="34"/>
      <c r="P20" s="23"/>
    </row>
    <row r="21" spans="1:16">
      <c r="A21" s="22"/>
      <c r="B21" s="29">
        <v>0.34375</v>
      </c>
      <c r="C21" s="29">
        <f t="shared" ref="C21:C22" si="2">B21+TIME(1,30,0)</f>
        <v>0.40625</v>
      </c>
      <c r="D21" s="22"/>
      <c r="E21" s="31" t="s">
        <v>39</v>
      </c>
      <c r="F21" s="31"/>
      <c r="G21" s="31"/>
      <c r="H21" s="31"/>
      <c r="I21" s="31">
        <v>4</v>
      </c>
      <c r="J21" s="32"/>
      <c r="K21" s="31"/>
      <c r="L21" s="31"/>
      <c r="M21" s="31"/>
      <c r="N21" s="31"/>
      <c r="O21" s="31"/>
      <c r="P21" s="23"/>
    </row>
    <row r="22" spans="1:16">
      <c r="A22" s="22"/>
      <c r="B22" s="17">
        <v>0.36458333333333331</v>
      </c>
      <c r="C22" s="17">
        <f t="shared" si="2"/>
        <v>0.42708333333333331</v>
      </c>
      <c r="D22" s="22"/>
      <c r="E22" s="19" t="s">
        <v>40</v>
      </c>
      <c r="F22" s="19"/>
      <c r="G22" s="19"/>
      <c r="H22" s="19">
        <v>2</v>
      </c>
      <c r="I22" s="19"/>
      <c r="J22" s="20"/>
      <c r="K22" s="19"/>
      <c r="L22" s="19"/>
      <c r="M22" s="19"/>
      <c r="N22" s="19"/>
      <c r="O22" s="19"/>
      <c r="P22" s="23"/>
    </row>
    <row r="23" spans="1:16">
      <c r="A23" s="22"/>
      <c r="B23" s="36"/>
      <c r="C23" s="24">
        <v>0.39583333333333331</v>
      </c>
      <c r="D23" s="25"/>
      <c r="E23" s="26" t="s">
        <v>41</v>
      </c>
      <c r="F23" s="26" t="s">
        <v>27</v>
      </c>
      <c r="G23" s="26"/>
      <c r="H23" s="26">
        <v>2</v>
      </c>
      <c r="I23" s="26"/>
      <c r="J23" s="27"/>
      <c r="K23" s="26"/>
      <c r="L23" s="26"/>
      <c r="M23" s="26"/>
      <c r="N23" s="26"/>
      <c r="O23" s="26"/>
      <c r="P23" s="23"/>
    </row>
    <row r="24" spans="1:16">
      <c r="A24" s="22"/>
      <c r="B24" s="37">
        <v>0.40277777777777779</v>
      </c>
      <c r="C24" s="37">
        <f t="shared" ref="C24:C26" si="3">B24+TIME(1,30,0)</f>
        <v>0.46527777777777779</v>
      </c>
      <c r="D24" s="38">
        <v>0.47222222222222221</v>
      </c>
      <c r="E24" s="39" t="s">
        <v>42</v>
      </c>
      <c r="F24" s="39"/>
      <c r="G24" s="39"/>
      <c r="H24" s="39"/>
      <c r="I24" s="39">
        <v>10</v>
      </c>
      <c r="J24" s="40">
        <f>SUM(G24:I24)</f>
        <v>10</v>
      </c>
      <c r="K24" s="39"/>
      <c r="L24" s="39"/>
      <c r="M24" s="39">
        <v>1</v>
      </c>
      <c r="N24" s="39"/>
      <c r="O24" s="39"/>
      <c r="P24" s="23"/>
    </row>
    <row r="25" spans="1:16">
      <c r="A25" s="22"/>
      <c r="B25" s="29">
        <v>0.44791666666666669</v>
      </c>
      <c r="C25" s="29">
        <f t="shared" si="3"/>
        <v>0.51041666666666674</v>
      </c>
      <c r="D25" s="30">
        <v>0.54861111111111116</v>
      </c>
      <c r="E25" s="31" t="s">
        <v>43</v>
      </c>
      <c r="F25" s="31"/>
      <c r="G25" s="31"/>
      <c r="H25" s="31">
        <v>1</v>
      </c>
      <c r="I25" s="31"/>
      <c r="J25" s="32">
        <f>SUM(G25:I32)</f>
        <v>56</v>
      </c>
      <c r="K25" s="31"/>
      <c r="L25" s="31"/>
      <c r="M25" s="31"/>
      <c r="N25" s="31">
        <v>2</v>
      </c>
      <c r="O25" s="31">
        <v>1</v>
      </c>
      <c r="P25" s="23"/>
    </row>
    <row r="26" spans="1:16">
      <c r="A26" s="22"/>
      <c r="B26" s="17">
        <v>0.45833333333333331</v>
      </c>
      <c r="C26" s="17">
        <f t="shared" si="3"/>
        <v>0.52083333333333326</v>
      </c>
      <c r="D26" s="22"/>
      <c r="E26" s="19" t="s">
        <v>44</v>
      </c>
      <c r="F26" s="19"/>
      <c r="G26" s="19">
        <v>20</v>
      </c>
      <c r="H26" s="19">
        <v>4</v>
      </c>
      <c r="I26" s="19">
        <v>4</v>
      </c>
      <c r="J26" s="20"/>
      <c r="K26" s="19"/>
      <c r="L26" s="19"/>
      <c r="M26" s="19"/>
      <c r="N26" s="19"/>
      <c r="O26" s="19"/>
      <c r="P26" s="23"/>
    </row>
    <row r="27" spans="1:16">
      <c r="A27" s="22"/>
      <c r="B27" s="17">
        <v>0.45833333333333331</v>
      </c>
      <c r="C27" s="17">
        <f>B27+TIME(1,30,0)</f>
        <v>0.52083333333333326</v>
      </c>
      <c r="D27" s="22"/>
      <c r="E27" s="19" t="s">
        <v>45</v>
      </c>
      <c r="F27" s="19"/>
      <c r="G27" s="19"/>
      <c r="H27" s="19">
        <v>1</v>
      </c>
      <c r="I27" s="19"/>
      <c r="J27" s="20"/>
      <c r="K27" s="19"/>
      <c r="L27" s="19"/>
      <c r="M27" s="19"/>
      <c r="N27" s="19"/>
      <c r="O27" s="19"/>
      <c r="P27" s="23"/>
    </row>
    <row r="28" spans="1:16">
      <c r="A28" s="22"/>
      <c r="B28" s="17">
        <v>0.46527777777777779</v>
      </c>
      <c r="C28" s="17">
        <f t="shared" ref="C28:C37" si="4">B28+TIME(1,30,0)</f>
        <v>0.52777777777777779</v>
      </c>
      <c r="D28" s="22"/>
      <c r="E28" s="19" t="s">
        <v>46</v>
      </c>
      <c r="F28" s="19"/>
      <c r="G28" s="19"/>
      <c r="H28" s="19">
        <v>2</v>
      </c>
      <c r="I28" s="19"/>
      <c r="J28" s="20"/>
      <c r="K28" s="19"/>
      <c r="L28" s="19"/>
      <c r="M28" s="19"/>
      <c r="N28" s="19"/>
      <c r="O28" s="19"/>
      <c r="P28" s="23"/>
    </row>
    <row r="29" spans="1:16">
      <c r="A29" s="22"/>
      <c r="B29" s="17">
        <v>0.47569444444444442</v>
      </c>
      <c r="C29" s="17">
        <f t="shared" si="4"/>
        <v>0.53819444444444442</v>
      </c>
      <c r="D29" s="22"/>
      <c r="E29" s="19" t="s">
        <v>47</v>
      </c>
      <c r="F29" s="19"/>
      <c r="G29" s="19"/>
      <c r="H29" s="19">
        <v>4</v>
      </c>
      <c r="I29" s="19"/>
      <c r="J29" s="20"/>
      <c r="K29" s="19"/>
      <c r="L29" s="19"/>
      <c r="M29" s="19"/>
      <c r="N29" s="19"/>
      <c r="O29" s="19"/>
      <c r="P29" s="23"/>
    </row>
    <row r="30" spans="1:16">
      <c r="A30" s="22"/>
      <c r="B30" s="17">
        <v>0.47569444444444442</v>
      </c>
      <c r="C30" s="17">
        <f t="shared" si="4"/>
        <v>0.53819444444444442</v>
      </c>
      <c r="D30" s="22"/>
      <c r="E30" s="19" t="s">
        <v>48</v>
      </c>
      <c r="F30" s="19"/>
      <c r="G30" s="19">
        <v>2</v>
      </c>
      <c r="H30" s="19"/>
      <c r="I30" s="19">
        <v>7</v>
      </c>
      <c r="J30" s="20"/>
      <c r="K30" s="19"/>
      <c r="L30" s="19"/>
      <c r="M30" s="19"/>
      <c r="N30" s="19"/>
      <c r="O30" s="19"/>
      <c r="P30" s="23"/>
    </row>
    <row r="31" spans="1:16">
      <c r="A31" s="22"/>
      <c r="B31" s="17">
        <v>0.47916666666666669</v>
      </c>
      <c r="C31" s="17">
        <f t="shared" si="4"/>
        <v>0.54166666666666674</v>
      </c>
      <c r="D31" s="22"/>
      <c r="E31" s="19" t="s">
        <v>49</v>
      </c>
      <c r="F31" s="19"/>
      <c r="G31" s="19"/>
      <c r="H31" s="19">
        <v>10</v>
      </c>
      <c r="I31" s="19"/>
      <c r="J31" s="20"/>
      <c r="K31" s="19"/>
      <c r="L31" s="19"/>
      <c r="M31" s="19"/>
      <c r="N31" s="19"/>
      <c r="O31" s="19"/>
      <c r="P31" s="23"/>
    </row>
    <row r="32" spans="1:16">
      <c r="A32" s="22"/>
      <c r="B32" s="24">
        <v>0.47916666666666669</v>
      </c>
      <c r="C32" s="24">
        <f t="shared" si="4"/>
        <v>0.54166666666666674</v>
      </c>
      <c r="D32" s="25"/>
      <c r="E32" s="26" t="s">
        <v>50</v>
      </c>
      <c r="F32" s="26"/>
      <c r="G32" s="26"/>
      <c r="H32" s="26"/>
      <c r="I32" s="26">
        <v>1</v>
      </c>
      <c r="J32" s="27"/>
      <c r="K32" s="26"/>
      <c r="L32" s="26"/>
      <c r="M32" s="26"/>
      <c r="N32" s="26"/>
      <c r="O32" s="26"/>
      <c r="P32" s="23"/>
    </row>
    <row r="33" spans="1:16">
      <c r="A33" s="22"/>
      <c r="B33" s="29">
        <v>0.49305555555555558</v>
      </c>
      <c r="C33" s="29">
        <f t="shared" si="4"/>
        <v>0.55555555555555558</v>
      </c>
      <c r="D33" s="30">
        <v>0.59722222222222221</v>
      </c>
      <c r="E33" s="31" t="s">
        <v>51</v>
      </c>
      <c r="F33" s="31"/>
      <c r="G33" s="31">
        <v>2</v>
      </c>
      <c r="H33" s="31"/>
      <c r="I33" s="31"/>
      <c r="J33" s="32">
        <f>SUM(G33:I40)</f>
        <v>83</v>
      </c>
      <c r="K33" s="31"/>
      <c r="L33" s="31"/>
      <c r="M33" s="31"/>
      <c r="N33" s="31">
        <v>3</v>
      </c>
      <c r="O33" s="31">
        <v>1</v>
      </c>
      <c r="P33" s="23"/>
    </row>
    <row r="34" spans="1:16">
      <c r="A34" s="22"/>
      <c r="B34" s="17">
        <v>0.50694444444444442</v>
      </c>
      <c r="C34" s="17">
        <f t="shared" si="4"/>
        <v>0.56944444444444442</v>
      </c>
      <c r="D34" s="22"/>
      <c r="E34" s="19" t="s">
        <v>52</v>
      </c>
      <c r="F34" s="19"/>
      <c r="G34" s="19">
        <v>5</v>
      </c>
      <c r="H34" s="19">
        <v>2</v>
      </c>
      <c r="I34" s="19"/>
      <c r="J34" s="20"/>
      <c r="K34" s="19"/>
      <c r="L34" s="19"/>
      <c r="M34" s="19"/>
      <c r="N34" s="19"/>
      <c r="O34" s="19"/>
      <c r="P34" s="23"/>
    </row>
    <row r="35" spans="1:16">
      <c r="A35" s="22"/>
      <c r="B35" s="17">
        <v>0.51736111111111116</v>
      </c>
      <c r="C35" s="17">
        <f t="shared" si="4"/>
        <v>0.57986111111111116</v>
      </c>
      <c r="D35" s="22"/>
      <c r="E35" s="19" t="s">
        <v>53</v>
      </c>
      <c r="F35" s="19"/>
      <c r="G35" s="19">
        <v>4</v>
      </c>
      <c r="H35" s="19">
        <v>8</v>
      </c>
      <c r="I35" s="19">
        <v>1</v>
      </c>
      <c r="J35" s="20"/>
      <c r="K35" s="19"/>
      <c r="L35" s="19"/>
      <c r="M35" s="19"/>
      <c r="N35" s="19"/>
      <c r="O35" s="19"/>
      <c r="P35" s="23"/>
    </row>
    <row r="36" spans="1:16">
      <c r="A36" s="22"/>
      <c r="B36" s="17">
        <v>0.52777777777777779</v>
      </c>
      <c r="C36" s="17">
        <f t="shared" si="4"/>
        <v>0.59027777777777779</v>
      </c>
      <c r="D36" s="22"/>
      <c r="E36" s="19" t="s">
        <v>54</v>
      </c>
      <c r="F36" s="19"/>
      <c r="G36" s="19">
        <v>21</v>
      </c>
      <c r="H36" s="19">
        <v>8</v>
      </c>
      <c r="I36" s="19">
        <v>22</v>
      </c>
      <c r="J36" s="20"/>
      <c r="K36" s="19"/>
      <c r="L36" s="19"/>
      <c r="M36" s="19"/>
      <c r="N36" s="19"/>
      <c r="O36" s="19"/>
      <c r="P36" s="23"/>
    </row>
    <row r="37" spans="1:16">
      <c r="A37" s="22"/>
      <c r="B37" s="17">
        <v>0.52777777777777779</v>
      </c>
      <c r="C37" s="17">
        <f t="shared" si="4"/>
        <v>0.59027777777777779</v>
      </c>
      <c r="D37" s="22"/>
      <c r="E37" s="19" t="s">
        <v>55</v>
      </c>
      <c r="F37" s="19"/>
      <c r="G37" s="19">
        <v>5</v>
      </c>
      <c r="H37" s="19"/>
      <c r="I37" s="19">
        <v>2</v>
      </c>
      <c r="J37" s="20"/>
      <c r="K37" s="19"/>
      <c r="L37" s="19"/>
      <c r="M37" s="19"/>
      <c r="N37" s="19"/>
      <c r="O37" s="19"/>
      <c r="P37" s="23"/>
    </row>
    <row r="38" spans="1:16">
      <c r="A38" s="22"/>
      <c r="B38" s="41"/>
      <c r="C38" s="17">
        <v>0.5625</v>
      </c>
      <c r="D38" s="22"/>
      <c r="E38" s="19" t="s">
        <v>26</v>
      </c>
      <c r="F38" s="19" t="s">
        <v>27</v>
      </c>
      <c r="G38" s="19"/>
      <c r="H38" s="19"/>
      <c r="I38" s="19">
        <v>2</v>
      </c>
      <c r="J38" s="20"/>
      <c r="K38" s="19"/>
      <c r="L38" s="19"/>
      <c r="M38" s="19"/>
      <c r="N38" s="19"/>
      <c r="O38" s="19"/>
      <c r="P38" s="23"/>
    </row>
    <row r="39" spans="1:16">
      <c r="A39" s="22"/>
      <c r="B39" s="41"/>
      <c r="C39" s="17">
        <v>0.5625</v>
      </c>
      <c r="D39" s="22"/>
      <c r="E39" s="19" t="s">
        <v>56</v>
      </c>
      <c r="F39" s="19" t="s">
        <v>27</v>
      </c>
      <c r="G39" s="19"/>
      <c r="H39" s="19"/>
      <c r="I39" s="19"/>
      <c r="J39" s="20"/>
      <c r="K39" s="19"/>
      <c r="L39" s="19"/>
      <c r="M39" s="19"/>
      <c r="N39" s="19"/>
      <c r="O39" s="19"/>
      <c r="P39" s="23"/>
    </row>
    <row r="40" spans="1:16">
      <c r="A40" s="22"/>
      <c r="B40" s="36"/>
      <c r="C40" s="24">
        <v>0.5625</v>
      </c>
      <c r="D40" s="25"/>
      <c r="E40" s="26" t="s">
        <v>57</v>
      </c>
      <c r="F40" s="26" t="s">
        <v>27</v>
      </c>
      <c r="G40" s="26"/>
      <c r="H40" s="26"/>
      <c r="I40" s="26">
        <v>1</v>
      </c>
      <c r="J40" s="27"/>
      <c r="K40" s="26"/>
      <c r="L40" s="26"/>
      <c r="M40" s="26"/>
      <c r="N40" s="26"/>
      <c r="O40" s="26"/>
      <c r="P40" s="23"/>
    </row>
    <row r="41" spans="1:16">
      <c r="A41" s="22"/>
      <c r="B41" s="29"/>
      <c r="C41" s="29"/>
      <c r="D41" s="18">
        <v>0.64930555555555558</v>
      </c>
      <c r="E41" s="31"/>
      <c r="F41" s="31"/>
      <c r="G41" s="31"/>
      <c r="H41" s="31"/>
      <c r="I41" s="31"/>
      <c r="J41" s="32"/>
      <c r="K41" s="31"/>
      <c r="L41" s="31"/>
      <c r="M41" s="31"/>
      <c r="N41" s="31"/>
      <c r="O41" s="31"/>
      <c r="P41" s="23"/>
    </row>
    <row r="42" spans="1:16">
      <c r="A42" s="22"/>
      <c r="B42" s="17">
        <v>0.54166666666666663</v>
      </c>
      <c r="C42" s="17">
        <f t="shared" ref="C42:C49" si="5">B42+TIME(1,30,0)</f>
        <v>0.60416666666666663</v>
      </c>
      <c r="D42" s="22"/>
      <c r="E42" s="19" t="s">
        <v>58</v>
      </c>
      <c r="F42" s="19"/>
      <c r="G42" s="19"/>
      <c r="H42" s="19">
        <v>4</v>
      </c>
      <c r="I42" s="19"/>
      <c r="J42" s="20">
        <f>SUM(G42:I45)</f>
        <v>28</v>
      </c>
      <c r="K42" s="19"/>
      <c r="L42" s="19"/>
      <c r="M42" s="19"/>
      <c r="N42" s="19">
        <v>1</v>
      </c>
      <c r="O42" s="19"/>
      <c r="P42" s="23"/>
    </row>
    <row r="43" spans="1:16">
      <c r="A43" s="22"/>
      <c r="B43" s="17">
        <v>0.5625</v>
      </c>
      <c r="C43" s="17">
        <f t="shared" si="5"/>
        <v>0.625</v>
      </c>
      <c r="D43" s="22"/>
      <c r="E43" s="19" t="s">
        <v>59</v>
      </c>
      <c r="F43" s="19"/>
      <c r="G43" s="19"/>
      <c r="H43" s="19"/>
      <c r="I43" s="19">
        <v>17</v>
      </c>
      <c r="J43" s="20"/>
      <c r="K43" s="19"/>
      <c r="L43" s="19"/>
      <c r="M43" s="19"/>
      <c r="N43" s="19"/>
      <c r="O43" s="19"/>
      <c r="P43" s="23"/>
    </row>
    <row r="44" spans="1:16">
      <c r="A44" s="22"/>
      <c r="B44" s="17">
        <v>0.57638888888888884</v>
      </c>
      <c r="C44" s="17">
        <f t="shared" si="5"/>
        <v>0.63888888888888884</v>
      </c>
      <c r="D44" s="22"/>
      <c r="E44" s="19" t="s">
        <v>60</v>
      </c>
      <c r="F44" s="19"/>
      <c r="G44" s="19"/>
      <c r="H44" s="19"/>
      <c r="I44" s="19">
        <v>4</v>
      </c>
      <c r="J44" s="20"/>
      <c r="K44" s="19"/>
      <c r="L44" s="19"/>
      <c r="M44" s="19"/>
      <c r="N44" s="19"/>
      <c r="O44" s="19"/>
      <c r="P44" s="23"/>
    </row>
    <row r="45" spans="1:16">
      <c r="A45" s="22"/>
      <c r="B45" s="24">
        <v>0.57986111111111116</v>
      </c>
      <c r="C45" s="24">
        <f t="shared" si="5"/>
        <v>0.64236111111111116</v>
      </c>
      <c r="D45" s="25"/>
      <c r="E45" s="26" t="s">
        <v>61</v>
      </c>
      <c r="F45" s="26"/>
      <c r="G45" s="26"/>
      <c r="H45" s="26">
        <v>2</v>
      </c>
      <c r="I45" s="26">
        <v>1</v>
      </c>
      <c r="J45" s="27"/>
      <c r="K45" s="26"/>
      <c r="L45" s="26"/>
      <c r="M45" s="26"/>
      <c r="N45" s="26"/>
      <c r="O45" s="26"/>
      <c r="P45" s="23"/>
    </row>
    <row r="46" spans="1:16">
      <c r="A46" s="22"/>
      <c r="B46" s="29">
        <v>0.58680555555555558</v>
      </c>
      <c r="C46" s="29">
        <f t="shared" si="5"/>
        <v>0.64930555555555558</v>
      </c>
      <c r="D46" s="30">
        <v>0.69097222222222221</v>
      </c>
      <c r="E46" s="31" t="s">
        <v>62</v>
      </c>
      <c r="F46" s="31"/>
      <c r="G46" s="31">
        <v>1</v>
      </c>
      <c r="H46" s="31">
        <v>13</v>
      </c>
      <c r="I46" s="31">
        <v>2</v>
      </c>
      <c r="J46" s="32">
        <f>SUM(G46:I52)</f>
        <v>45</v>
      </c>
      <c r="K46" s="31"/>
      <c r="L46" s="31"/>
      <c r="M46" s="31"/>
      <c r="N46" s="31">
        <v>2</v>
      </c>
      <c r="O46" s="31"/>
      <c r="P46" s="23"/>
    </row>
    <row r="47" spans="1:16">
      <c r="A47" s="22"/>
      <c r="B47" s="17">
        <v>0.60416666666666663</v>
      </c>
      <c r="C47" s="17">
        <f t="shared" si="5"/>
        <v>0.66666666666666663</v>
      </c>
      <c r="D47" s="22"/>
      <c r="E47" s="19" t="s">
        <v>63</v>
      </c>
      <c r="F47" s="19"/>
      <c r="G47" s="19"/>
      <c r="H47" s="19">
        <v>2</v>
      </c>
      <c r="I47" s="19">
        <v>3</v>
      </c>
      <c r="J47" s="20"/>
      <c r="K47" s="19"/>
      <c r="L47" s="19"/>
      <c r="M47" s="19"/>
      <c r="N47" s="19"/>
      <c r="O47" s="19"/>
      <c r="P47" s="23"/>
    </row>
    <row r="48" spans="1:16">
      <c r="A48" s="22"/>
      <c r="B48" s="17">
        <v>0.60416666666666663</v>
      </c>
      <c r="C48" s="17">
        <f t="shared" si="5"/>
        <v>0.66666666666666663</v>
      </c>
      <c r="D48" s="22"/>
      <c r="E48" s="19" t="s">
        <v>64</v>
      </c>
      <c r="F48" s="19"/>
      <c r="G48" s="19"/>
      <c r="H48" s="19"/>
      <c r="I48" s="19">
        <v>1</v>
      </c>
      <c r="J48" s="20"/>
      <c r="K48" s="19"/>
      <c r="L48" s="19"/>
      <c r="M48" s="19"/>
      <c r="N48" s="19"/>
      <c r="O48" s="19"/>
      <c r="P48" s="23"/>
    </row>
    <row r="49" spans="1:16">
      <c r="A49" s="22"/>
      <c r="B49" s="17">
        <v>0.60416666666666663</v>
      </c>
      <c r="C49" s="17">
        <f t="shared" si="5"/>
        <v>0.66666666666666663</v>
      </c>
      <c r="D49" s="22"/>
      <c r="E49" s="19" t="s">
        <v>65</v>
      </c>
      <c r="F49" s="19"/>
      <c r="G49" s="19"/>
      <c r="H49" s="19"/>
      <c r="I49" s="19">
        <v>1</v>
      </c>
      <c r="J49" s="20"/>
      <c r="K49" s="19"/>
      <c r="L49" s="19"/>
      <c r="M49" s="19"/>
      <c r="N49" s="19"/>
      <c r="O49" s="19"/>
      <c r="P49" s="23"/>
    </row>
    <row r="50" spans="1:16">
      <c r="A50" s="22"/>
      <c r="B50" s="17">
        <v>0.61805555555555558</v>
      </c>
      <c r="C50" s="17">
        <f>B50+TIME(1,30,0)</f>
        <v>0.68055555555555558</v>
      </c>
      <c r="D50" s="22"/>
      <c r="E50" s="19" t="s">
        <v>66</v>
      </c>
      <c r="F50" s="19"/>
      <c r="G50" s="19"/>
      <c r="H50" s="19"/>
      <c r="I50" s="19">
        <v>2</v>
      </c>
      <c r="J50" s="20"/>
      <c r="K50" s="19"/>
      <c r="L50" s="19"/>
      <c r="M50" s="19"/>
      <c r="N50" s="19"/>
      <c r="O50" s="19"/>
      <c r="P50" s="23"/>
    </row>
    <row r="51" spans="1:16">
      <c r="A51" s="22"/>
      <c r="B51" s="17">
        <v>0.62152777777777779</v>
      </c>
      <c r="C51" s="17">
        <f t="shared" ref="C51:C62" si="6">B51+TIME(1,30,0)</f>
        <v>0.68402777777777779</v>
      </c>
      <c r="D51" s="22"/>
      <c r="E51" s="19" t="s">
        <v>67</v>
      </c>
      <c r="F51" s="19"/>
      <c r="G51" s="19">
        <v>3</v>
      </c>
      <c r="H51" s="19">
        <v>6</v>
      </c>
      <c r="I51" s="19"/>
      <c r="J51" s="20"/>
      <c r="K51" s="19"/>
      <c r="L51" s="19"/>
      <c r="M51" s="19"/>
      <c r="N51" s="19"/>
      <c r="O51" s="19"/>
      <c r="P51" s="23"/>
    </row>
    <row r="52" spans="1:16">
      <c r="A52" s="22"/>
      <c r="B52" s="24">
        <v>0.62152777777777779</v>
      </c>
      <c r="C52" s="24">
        <f t="shared" si="6"/>
        <v>0.68402777777777779</v>
      </c>
      <c r="D52" s="25"/>
      <c r="E52" s="26" t="s">
        <v>68</v>
      </c>
      <c r="F52" s="26"/>
      <c r="G52" s="26">
        <v>3</v>
      </c>
      <c r="H52" s="26"/>
      <c r="I52" s="26">
        <v>8</v>
      </c>
      <c r="J52" s="27"/>
      <c r="K52" s="26"/>
      <c r="L52" s="26"/>
      <c r="M52" s="26"/>
      <c r="N52" s="26"/>
      <c r="O52" s="26"/>
      <c r="P52" s="23"/>
    </row>
    <row r="53" spans="1:16">
      <c r="A53" s="22"/>
      <c r="B53" s="29">
        <v>0.625</v>
      </c>
      <c r="C53" s="29">
        <f t="shared" si="6"/>
        <v>0.6875</v>
      </c>
      <c r="D53" s="30">
        <v>0.72916666666666663</v>
      </c>
      <c r="E53" s="31" t="s">
        <v>69</v>
      </c>
      <c r="F53" s="31"/>
      <c r="G53" s="31">
        <v>2</v>
      </c>
      <c r="H53" s="31"/>
      <c r="I53" s="31"/>
      <c r="J53" s="32">
        <f>SUM(G53:I63)</f>
        <v>93</v>
      </c>
      <c r="K53" s="31"/>
      <c r="L53" s="31"/>
      <c r="M53" s="31"/>
      <c r="N53" s="31">
        <v>3</v>
      </c>
      <c r="O53" s="31">
        <v>2</v>
      </c>
    </row>
    <row r="54" spans="1:16">
      <c r="A54" s="22"/>
      <c r="B54" s="17">
        <v>0.625</v>
      </c>
      <c r="C54" s="17">
        <f t="shared" si="6"/>
        <v>0.6875</v>
      </c>
      <c r="D54" s="22"/>
      <c r="E54" s="19" t="s">
        <v>70</v>
      </c>
      <c r="F54" s="19"/>
      <c r="G54" s="19">
        <v>8</v>
      </c>
      <c r="H54" s="19">
        <v>1</v>
      </c>
      <c r="I54" s="19">
        <v>7</v>
      </c>
      <c r="J54" s="20"/>
      <c r="K54" s="19"/>
      <c r="L54" s="19"/>
      <c r="M54" s="19"/>
      <c r="N54" s="19"/>
      <c r="O54" s="19"/>
    </row>
    <row r="55" spans="1:16">
      <c r="A55" s="22"/>
      <c r="B55" s="17">
        <v>0.62847222222222221</v>
      </c>
      <c r="C55" s="17">
        <f t="shared" si="6"/>
        <v>0.69097222222222221</v>
      </c>
      <c r="D55" s="22"/>
      <c r="E55" s="19" t="s">
        <v>71</v>
      </c>
      <c r="F55" s="19"/>
      <c r="G55" s="19">
        <v>6</v>
      </c>
      <c r="H55" s="19">
        <v>1</v>
      </c>
      <c r="I55" s="19">
        <v>5</v>
      </c>
      <c r="J55" s="20"/>
      <c r="K55" s="19"/>
      <c r="L55" s="19"/>
      <c r="M55" s="19"/>
      <c r="N55" s="19"/>
      <c r="O55" s="19"/>
      <c r="P55" s="23"/>
    </row>
    <row r="56" spans="1:16">
      <c r="A56" s="22"/>
      <c r="B56" s="17">
        <v>0.63541666666666663</v>
      </c>
      <c r="C56" s="17">
        <f t="shared" si="6"/>
        <v>0.69791666666666663</v>
      </c>
      <c r="D56" s="22"/>
      <c r="E56" s="19" t="s">
        <v>72</v>
      </c>
      <c r="F56" s="19"/>
      <c r="G56" s="19"/>
      <c r="H56" s="19">
        <v>2</v>
      </c>
      <c r="I56" s="19">
        <v>3</v>
      </c>
      <c r="J56" s="20"/>
      <c r="K56" s="19"/>
      <c r="L56" s="19"/>
      <c r="M56" s="19"/>
      <c r="N56" s="19"/>
      <c r="O56" s="19"/>
      <c r="P56" s="23"/>
    </row>
    <row r="57" spans="1:16">
      <c r="A57" s="22"/>
      <c r="B57" s="17">
        <v>0.63541666666666663</v>
      </c>
      <c r="C57" s="17">
        <f t="shared" si="6"/>
        <v>0.69791666666666663</v>
      </c>
      <c r="D57" s="22"/>
      <c r="E57" s="19" t="s">
        <v>73</v>
      </c>
      <c r="F57" s="19"/>
      <c r="G57" s="19"/>
      <c r="H57" s="19">
        <v>1</v>
      </c>
      <c r="I57" s="19">
        <v>4</v>
      </c>
      <c r="J57" s="20"/>
      <c r="K57" s="19"/>
      <c r="L57" s="19"/>
      <c r="M57" s="19"/>
      <c r="N57" s="19"/>
      <c r="O57" s="19"/>
      <c r="P57" s="23"/>
    </row>
    <row r="58" spans="1:16">
      <c r="A58" s="22"/>
      <c r="B58" s="17">
        <v>0.64236111111111116</v>
      </c>
      <c r="C58" s="17">
        <f t="shared" si="6"/>
        <v>0.70486111111111116</v>
      </c>
      <c r="D58" s="22"/>
      <c r="E58" s="19" t="s">
        <v>74</v>
      </c>
      <c r="F58" s="19"/>
      <c r="G58" s="19"/>
      <c r="H58" s="19">
        <v>2</v>
      </c>
      <c r="I58" s="19"/>
      <c r="J58" s="20"/>
      <c r="K58" s="19"/>
      <c r="L58" s="19"/>
      <c r="M58" s="19"/>
      <c r="N58" s="19"/>
      <c r="O58" s="19"/>
      <c r="P58" s="23"/>
    </row>
    <row r="59" spans="1:16">
      <c r="A59" s="22"/>
      <c r="B59" s="17">
        <v>0.64236111111111116</v>
      </c>
      <c r="C59" s="17">
        <f t="shared" si="6"/>
        <v>0.70486111111111116</v>
      </c>
      <c r="D59" s="22"/>
      <c r="E59" s="19" t="s">
        <v>75</v>
      </c>
      <c r="F59" s="19"/>
      <c r="G59" s="19"/>
      <c r="H59" s="19"/>
      <c r="I59" s="19">
        <v>1</v>
      </c>
      <c r="J59" s="20"/>
      <c r="K59" s="19"/>
      <c r="L59" s="19"/>
      <c r="M59" s="19"/>
      <c r="N59" s="19"/>
      <c r="O59" s="19"/>
      <c r="P59" s="23"/>
    </row>
    <row r="60" spans="1:16">
      <c r="A60" s="22"/>
      <c r="B60" s="17">
        <v>0.64583333333333337</v>
      </c>
      <c r="C60" s="17">
        <f t="shared" si="6"/>
        <v>0.70833333333333337</v>
      </c>
      <c r="D60" s="22"/>
      <c r="E60" s="19" t="s">
        <v>76</v>
      </c>
      <c r="F60" s="19"/>
      <c r="G60" s="19">
        <v>33</v>
      </c>
      <c r="H60" s="19">
        <v>11</v>
      </c>
      <c r="I60" s="19">
        <v>1</v>
      </c>
      <c r="J60" s="20"/>
      <c r="K60" s="19"/>
      <c r="L60" s="19"/>
      <c r="M60" s="19"/>
      <c r="N60" s="19"/>
      <c r="O60" s="19"/>
      <c r="P60" s="23"/>
    </row>
    <row r="61" spans="1:16">
      <c r="A61" s="22"/>
      <c r="B61" s="17">
        <v>0.65625</v>
      </c>
      <c r="C61" s="17">
        <f t="shared" si="6"/>
        <v>0.71875</v>
      </c>
      <c r="D61" s="22"/>
      <c r="E61" s="19" t="s">
        <v>77</v>
      </c>
      <c r="F61" s="19"/>
      <c r="G61" s="19"/>
      <c r="H61" s="19">
        <v>3</v>
      </c>
      <c r="I61" s="19"/>
      <c r="J61" s="20"/>
      <c r="K61" s="19"/>
      <c r="L61" s="19"/>
      <c r="M61" s="19"/>
      <c r="N61" s="19"/>
      <c r="O61" s="19"/>
      <c r="P61" s="23"/>
    </row>
    <row r="62" spans="1:16">
      <c r="A62" s="22"/>
      <c r="B62" s="17">
        <v>0.65972222222222221</v>
      </c>
      <c r="C62" s="17">
        <f t="shared" si="6"/>
        <v>0.72222222222222221</v>
      </c>
      <c r="D62" s="22"/>
      <c r="E62" s="19" t="s">
        <v>78</v>
      </c>
      <c r="F62" s="19"/>
      <c r="G62" s="19">
        <v>2</v>
      </c>
      <c r="H62" s="19"/>
      <c r="I62" s="19"/>
      <c r="J62" s="20"/>
      <c r="K62" s="19"/>
      <c r="L62" s="19"/>
      <c r="M62" s="19"/>
      <c r="N62" s="19"/>
      <c r="O62" s="19"/>
      <c r="P62" s="23"/>
    </row>
    <row r="63" spans="1:16">
      <c r="A63" s="22"/>
      <c r="B63" s="24">
        <v>0.70833333333333337</v>
      </c>
      <c r="C63" s="36"/>
      <c r="D63" s="25"/>
      <c r="E63" s="26" t="s">
        <v>79</v>
      </c>
      <c r="F63" s="42" t="s">
        <v>80</v>
      </c>
      <c r="G63" s="26">
        <v>0</v>
      </c>
      <c r="H63" s="26"/>
      <c r="I63" s="26"/>
      <c r="J63" s="27"/>
      <c r="K63" s="26"/>
      <c r="L63" s="26"/>
      <c r="M63" s="26"/>
      <c r="N63" s="26"/>
      <c r="O63" s="26"/>
      <c r="P63" s="43" t="s">
        <v>81</v>
      </c>
    </row>
    <row r="64" spans="1:16">
      <c r="A64" s="22"/>
      <c r="B64" s="29">
        <v>0.66666666666666663</v>
      </c>
      <c r="C64" s="29">
        <f t="shared" ref="C64:C70" si="7">B64+TIME(1,30,0)</f>
        <v>0.72916666666666663</v>
      </c>
      <c r="D64" s="30">
        <v>0.77083333333333337</v>
      </c>
      <c r="E64" s="31" t="s">
        <v>82</v>
      </c>
      <c r="F64" s="31"/>
      <c r="G64" s="31"/>
      <c r="H64" s="31"/>
      <c r="I64" s="31">
        <v>2</v>
      </c>
      <c r="J64" s="32">
        <f>SUM(G64:I68)</f>
        <v>68</v>
      </c>
      <c r="K64" s="31"/>
      <c r="L64" s="31"/>
      <c r="M64" s="31"/>
      <c r="N64" s="31">
        <v>2</v>
      </c>
      <c r="O64" s="31">
        <v>1</v>
      </c>
      <c r="P64" s="23"/>
    </row>
    <row r="65" spans="1:16">
      <c r="A65" s="22"/>
      <c r="B65" s="17">
        <v>0.67013888888888884</v>
      </c>
      <c r="C65" s="17">
        <f t="shared" si="7"/>
        <v>0.73263888888888884</v>
      </c>
      <c r="D65" s="22"/>
      <c r="E65" s="19" t="s">
        <v>83</v>
      </c>
      <c r="F65" s="19"/>
      <c r="G65" s="19">
        <v>11</v>
      </c>
      <c r="H65" s="19">
        <v>2</v>
      </c>
      <c r="I65" s="44">
        <v>29</v>
      </c>
      <c r="J65" s="20"/>
      <c r="K65" s="19"/>
      <c r="L65" s="19"/>
      <c r="M65" s="19"/>
      <c r="N65" s="19"/>
      <c r="O65" s="19"/>
      <c r="P65" s="23"/>
    </row>
    <row r="66" spans="1:16">
      <c r="A66" s="22"/>
      <c r="B66" s="17">
        <v>0.69097222222222221</v>
      </c>
      <c r="C66" s="17">
        <f t="shared" si="7"/>
        <v>0.75347222222222221</v>
      </c>
      <c r="D66" s="22"/>
      <c r="E66" s="19" t="s">
        <v>84</v>
      </c>
      <c r="F66" s="19"/>
      <c r="G66" s="19"/>
      <c r="H66" s="19"/>
      <c r="I66" s="19">
        <v>13</v>
      </c>
      <c r="J66" s="20"/>
      <c r="K66" s="19"/>
      <c r="L66" s="19"/>
      <c r="M66" s="19"/>
      <c r="N66" s="19"/>
      <c r="O66" s="19"/>
      <c r="P66" s="23"/>
    </row>
    <row r="67" spans="1:16">
      <c r="A67" s="22"/>
      <c r="B67" s="17">
        <v>0.69097222222222221</v>
      </c>
      <c r="C67" s="17">
        <f t="shared" si="7"/>
        <v>0.75347222222222221</v>
      </c>
      <c r="D67" s="22"/>
      <c r="E67" s="19" t="s">
        <v>85</v>
      </c>
      <c r="F67" s="19"/>
      <c r="G67" s="19">
        <v>4</v>
      </c>
      <c r="H67" s="19"/>
      <c r="I67" s="19">
        <v>2</v>
      </c>
      <c r="J67" s="20"/>
      <c r="K67" s="19"/>
      <c r="L67" s="19"/>
      <c r="M67" s="19"/>
      <c r="N67" s="19"/>
      <c r="O67" s="19"/>
      <c r="P67" s="23"/>
    </row>
    <row r="68" spans="1:16">
      <c r="A68" s="22"/>
      <c r="B68" s="24">
        <v>0.70138888888888884</v>
      </c>
      <c r="C68" s="24">
        <f t="shared" si="7"/>
        <v>0.76388888888888884</v>
      </c>
      <c r="D68" s="25"/>
      <c r="E68" s="26" t="s">
        <v>86</v>
      </c>
      <c r="F68" s="26"/>
      <c r="G68" s="26"/>
      <c r="H68" s="26">
        <v>5</v>
      </c>
      <c r="I68" s="26"/>
      <c r="J68" s="27"/>
      <c r="K68" s="26"/>
      <c r="L68" s="26"/>
      <c r="M68" s="26"/>
      <c r="N68" s="26"/>
      <c r="O68" s="26"/>
      <c r="P68" s="23"/>
    </row>
    <row r="69" spans="1:16">
      <c r="A69" s="22"/>
      <c r="B69" s="29">
        <v>0.72569444444444442</v>
      </c>
      <c r="C69" s="29">
        <f t="shared" si="7"/>
        <v>0.78819444444444442</v>
      </c>
      <c r="D69" s="30">
        <v>0.81597222222222221</v>
      </c>
      <c r="E69" s="31" t="s">
        <v>87</v>
      </c>
      <c r="F69" s="31"/>
      <c r="G69" s="31"/>
      <c r="H69" s="31"/>
      <c r="I69" s="31">
        <v>10</v>
      </c>
      <c r="J69" s="32">
        <f>SUM(G69:I72)</f>
        <v>22</v>
      </c>
      <c r="K69" s="31"/>
      <c r="L69" s="31"/>
      <c r="M69" s="31"/>
      <c r="N69" s="31">
        <v>1</v>
      </c>
      <c r="O69" s="31"/>
      <c r="P69" s="23"/>
    </row>
    <row r="70" spans="1:16">
      <c r="A70" s="22"/>
      <c r="B70" s="17">
        <v>0.72916666666666663</v>
      </c>
      <c r="C70" s="17">
        <f t="shared" si="7"/>
        <v>0.79166666666666663</v>
      </c>
      <c r="D70" s="22"/>
      <c r="E70" s="19" t="s">
        <v>88</v>
      </c>
      <c r="F70" s="19"/>
      <c r="G70" s="19">
        <v>4</v>
      </c>
      <c r="H70" s="19">
        <v>6</v>
      </c>
      <c r="I70" s="19">
        <v>1</v>
      </c>
      <c r="J70" s="20"/>
      <c r="K70" s="19"/>
      <c r="L70" s="19"/>
      <c r="M70" s="19"/>
      <c r="N70" s="19"/>
      <c r="O70" s="19"/>
      <c r="P70" s="23"/>
    </row>
    <row r="71" spans="1:16">
      <c r="A71" s="22"/>
      <c r="B71" s="17">
        <v>0.73611111111111116</v>
      </c>
      <c r="C71" s="17">
        <f>B71+TIME(1,30,0)</f>
        <v>0.79861111111111116</v>
      </c>
      <c r="D71" s="22"/>
      <c r="E71" s="19" t="s">
        <v>89</v>
      </c>
      <c r="F71" s="19"/>
      <c r="G71" s="19"/>
      <c r="H71" s="19"/>
      <c r="I71" s="19">
        <v>1</v>
      </c>
      <c r="J71" s="20"/>
      <c r="K71" s="19"/>
      <c r="L71" s="19"/>
      <c r="M71" s="19"/>
      <c r="N71" s="19"/>
      <c r="O71" s="19"/>
      <c r="P71" s="23"/>
    </row>
    <row r="72" spans="1:16">
      <c r="A72" s="22"/>
      <c r="B72" s="24">
        <v>0.74652777777777779</v>
      </c>
      <c r="C72" s="24">
        <f t="shared" ref="C72:C82" si="8">B72+TIME(1,30,0)</f>
        <v>0.80902777777777779</v>
      </c>
      <c r="D72" s="25"/>
      <c r="E72" s="26" t="s">
        <v>90</v>
      </c>
      <c r="F72" s="26"/>
      <c r="G72" s="26"/>
      <c r="H72" s="26"/>
      <c r="I72" s="26">
        <v>0</v>
      </c>
      <c r="J72" s="27"/>
      <c r="K72" s="26"/>
      <c r="L72" s="26"/>
      <c r="M72" s="26"/>
      <c r="N72" s="26"/>
      <c r="O72" s="26"/>
      <c r="P72" s="23"/>
    </row>
    <row r="73" spans="1:16">
      <c r="A73" s="22"/>
      <c r="B73" s="29">
        <v>0.77430555555555558</v>
      </c>
      <c r="C73" s="29">
        <f t="shared" si="8"/>
        <v>0.83680555555555558</v>
      </c>
      <c r="D73" s="30">
        <v>0.875</v>
      </c>
      <c r="E73" s="31" t="s">
        <v>91</v>
      </c>
      <c r="F73" s="31"/>
      <c r="G73" s="31"/>
      <c r="H73" s="31"/>
      <c r="I73" s="31">
        <v>1</v>
      </c>
      <c r="J73" s="32">
        <f>SUM(G73:I78)</f>
        <v>43</v>
      </c>
      <c r="K73" s="31"/>
      <c r="L73" s="31"/>
      <c r="M73" s="31"/>
      <c r="N73" s="31">
        <v>2</v>
      </c>
      <c r="O73" s="31"/>
      <c r="P73" s="23"/>
    </row>
    <row r="74" spans="1:16">
      <c r="A74" s="22"/>
      <c r="B74" s="17">
        <v>0.78125</v>
      </c>
      <c r="C74" s="17">
        <f t="shared" si="8"/>
        <v>0.84375</v>
      </c>
      <c r="D74" s="22"/>
      <c r="E74" s="19" t="s">
        <v>92</v>
      </c>
      <c r="F74" s="19"/>
      <c r="G74" s="19">
        <v>17</v>
      </c>
      <c r="H74" s="19">
        <v>1</v>
      </c>
      <c r="I74" s="19">
        <v>11</v>
      </c>
      <c r="J74" s="20"/>
      <c r="K74" s="19"/>
      <c r="L74" s="19"/>
      <c r="M74" s="19"/>
      <c r="N74" s="19"/>
      <c r="O74" s="19"/>
      <c r="P74" s="21"/>
    </row>
    <row r="75" spans="1:16">
      <c r="A75" s="22"/>
      <c r="B75" s="17">
        <v>0.79166666666666663</v>
      </c>
      <c r="C75" s="17">
        <f t="shared" si="8"/>
        <v>0.85416666666666663</v>
      </c>
      <c r="D75" s="22"/>
      <c r="E75" s="19" t="s">
        <v>93</v>
      </c>
      <c r="F75" s="19"/>
      <c r="G75" s="19"/>
      <c r="H75" s="19"/>
      <c r="I75" s="19">
        <v>2</v>
      </c>
      <c r="J75" s="20"/>
      <c r="K75" s="19"/>
      <c r="L75" s="19"/>
      <c r="M75" s="19"/>
      <c r="N75" s="19"/>
      <c r="O75" s="19"/>
      <c r="P75" s="21"/>
    </row>
    <row r="76" spans="1:16">
      <c r="A76" s="22"/>
      <c r="B76" s="17">
        <v>0.79513888888888884</v>
      </c>
      <c r="C76" s="17">
        <f t="shared" si="8"/>
        <v>0.85763888888888884</v>
      </c>
      <c r="D76" s="22"/>
      <c r="E76" s="19" t="s">
        <v>94</v>
      </c>
      <c r="F76" s="19"/>
      <c r="G76" s="19"/>
      <c r="H76" s="19">
        <v>1</v>
      </c>
      <c r="I76" s="19"/>
      <c r="J76" s="20"/>
      <c r="K76" s="19"/>
      <c r="L76" s="19"/>
      <c r="M76" s="19"/>
      <c r="N76" s="19"/>
      <c r="O76" s="19"/>
      <c r="P76" s="21"/>
    </row>
    <row r="77" spans="1:16">
      <c r="A77" s="22"/>
      <c r="B77" s="17">
        <v>0.79861111111111116</v>
      </c>
      <c r="C77" s="17">
        <f t="shared" si="8"/>
        <v>0.86111111111111116</v>
      </c>
      <c r="D77" s="22"/>
      <c r="E77" s="19" t="s">
        <v>95</v>
      </c>
      <c r="F77" s="19"/>
      <c r="G77" s="19"/>
      <c r="H77" s="19"/>
      <c r="I77" s="19">
        <v>4</v>
      </c>
      <c r="J77" s="20"/>
      <c r="K77" s="19"/>
      <c r="L77" s="19"/>
      <c r="M77" s="19"/>
      <c r="N77" s="19"/>
      <c r="O77" s="19"/>
      <c r="P77" s="23"/>
    </row>
    <row r="78" spans="1:16">
      <c r="A78" s="22"/>
      <c r="B78" s="24">
        <v>0.80555555555555558</v>
      </c>
      <c r="C78" s="24">
        <f t="shared" si="8"/>
        <v>0.86805555555555558</v>
      </c>
      <c r="D78" s="25"/>
      <c r="E78" s="26" t="s">
        <v>96</v>
      </c>
      <c r="F78" s="26"/>
      <c r="G78" s="26">
        <v>1</v>
      </c>
      <c r="H78" s="26">
        <v>3</v>
      </c>
      <c r="I78" s="26">
        <v>2</v>
      </c>
      <c r="J78" s="27"/>
      <c r="K78" s="26"/>
      <c r="L78" s="26"/>
      <c r="M78" s="26"/>
      <c r="N78" s="26"/>
      <c r="O78" s="26"/>
      <c r="P78" s="23"/>
    </row>
    <row r="79" spans="1:16">
      <c r="A79" s="22"/>
      <c r="B79" s="29">
        <v>0.81944444444444442</v>
      </c>
      <c r="C79" s="29">
        <f t="shared" si="8"/>
        <v>0.88194444444444442</v>
      </c>
      <c r="D79" s="30">
        <v>0.92361111111111116</v>
      </c>
      <c r="E79" s="31" t="s">
        <v>97</v>
      </c>
      <c r="F79" s="31"/>
      <c r="G79" s="31"/>
      <c r="H79" s="31"/>
      <c r="I79" s="31">
        <v>1</v>
      </c>
      <c r="J79" s="32">
        <f>SUM(I79:I80)</f>
        <v>5</v>
      </c>
      <c r="K79" s="31"/>
      <c r="L79" s="31">
        <v>1</v>
      </c>
      <c r="M79" s="31"/>
      <c r="N79" s="31"/>
      <c r="O79" s="31"/>
      <c r="P79" s="23"/>
    </row>
    <row r="80" spans="1:16">
      <c r="A80" s="22"/>
      <c r="B80" s="24">
        <v>0.85416666666666663</v>
      </c>
      <c r="C80" s="24">
        <f t="shared" si="8"/>
        <v>0.91666666666666663</v>
      </c>
      <c r="D80" s="25"/>
      <c r="E80" s="26" t="s">
        <v>98</v>
      </c>
      <c r="F80" s="26"/>
      <c r="G80" s="26"/>
      <c r="H80" s="26"/>
      <c r="I80" s="26">
        <v>4</v>
      </c>
      <c r="J80" s="27"/>
      <c r="K80" s="26"/>
      <c r="L80" s="26"/>
      <c r="M80" s="26"/>
      <c r="N80" s="26"/>
      <c r="O80" s="26"/>
      <c r="P80" s="23"/>
    </row>
    <row r="81" spans="1:16">
      <c r="A81" s="22"/>
      <c r="B81" s="29">
        <v>0.86805555555555558</v>
      </c>
      <c r="C81" s="29">
        <f t="shared" si="8"/>
        <v>0.93055555555555558</v>
      </c>
      <c r="D81" s="30">
        <v>0.95833333333333337</v>
      </c>
      <c r="E81" s="31" t="s">
        <v>99</v>
      </c>
      <c r="F81" s="31"/>
      <c r="G81" s="31"/>
      <c r="H81" s="31"/>
      <c r="I81" s="31">
        <v>2</v>
      </c>
      <c r="J81" s="32">
        <f>SUM(G81:I82)</f>
        <v>6</v>
      </c>
      <c r="K81" s="31"/>
      <c r="L81" s="31">
        <v>1</v>
      </c>
      <c r="M81" s="31"/>
      <c r="N81" s="31"/>
      <c r="O81" s="31"/>
      <c r="P81" s="23"/>
    </row>
    <row r="82" spans="1:16">
      <c r="A82" s="12"/>
      <c r="B82" s="17">
        <v>0.88888888888888884</v>
      </c>
      <c r="C82" s="17">
        <f t="shared" si="8"/>
        <v>0.95138888888888884</v>
      </c>
      <c r="D82" s="12"/>
      <c r="E82" s="19" t="s">
        <v>100</v>
      </c>
      <c r="F82" s="19"/>
      <c r="G82" s="19"/>
      <c r="H82" s="19">
        <v>4</v>
      </c>
      <c r="I82" s="19"/>
      <c r="J82" s="20"/>
      <c r="K82" s="19"/>
      <c r="L82" s="19"/>
      <c r="M82" s="19"/>
      <c r="N82" s="19"/>
      <c r="O82" s="19"/>
      <c r="P82" s="23"/>
    </row>
    <row r="83" spans="1:16">
      <c r="A83" s="45" t="s">
        <v>101</v>
      </c>
      <c r="B83" s="2"/>
      <c r="C83" s="2"/>
      <c r="D83" s="2"/>
      <c r="E83" s="2"/>
      <c r="F83" s="3"/>
      <c r="G83" s="46">
        <f t="shared" ref="G83:O83" si="9">SUM(G4:G82)</f>
        <v>165</v>
      </c>
      <c r="H83" s="46">
        <f t="shared" si="9"/>
        <v>151</v>
      </c>
      <c r="I83" s="46">
        <f t="shared" si="9"/>
        <v>220</v>
      </c>
      <c r="J83" s="47">
        <f t="shared" si="9"/>
        <v>536</v>
      </c>
      <c r="K83" s="47">
        <f t="shared" si="9"/>
        <v>0</v>
      </c>
      <c r="L83" s="47">
        <f t="shared" si="9"/>
        <v>2</v>
      </c>
      <c r="M83" s="47">
        <f t="shared" si="9"/>
        <v>2</v>
      </c>
      <c r="N83" s="47">
        <f t="shared" si="9"/>
        <v>20</v>
      </c>
      <c r="O83" s="47">
        <f t="shared" si="9"/>
        <v>5</v>
      </c>
      <c r="P83" s="23"/>
    </row>
    <row r="84" spans="1:16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 t="s">
        <v>102</v>
      </c>
      <c r="L84" s="23" t="s">
        <v>103</v>
      </c>
      <c r="M84" s="23" t="s">
        <v>104</v>
      </c>
      <c r="N84" s="23" t="s">
        <v>105</v>
      </c>
      <c r="O84" s="23" t="s">
        <v>106</v>
      </c>
      <c r="P84" s="23"/>
    </row>
    <row r="85" spans="1:16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9"/>
      <c r="P85" s="48"/>
    </row>
    <row r="86" spans="1:1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9"/>
      <c r="P86" s="48"/>
    </row>
    <row r="87" spans="1:16">
      <c r="A87" s="50" t="s">
        <v>107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"/>
      <c r="O87" s="49"/>
      <c r="P87" s="48"/>
    </row>
    <row r="88" spans="1:16">
      <c r="A88" s="5" t="s">
        <v>1</v>
      </c>
      <c r="B88" s="6" t="s">
        <v>2</v>
      </c>
      <c r="C88" s="6" t="s">
        <v>3</v>
      </c>
      <c r="D88" s="51" t="s">
        <v>4</v>
      </c>
      <c r="E88" s="5" t="s">
        <v>5</v>
      </c>
      <c r="F88" s="5" t="s">
        <v>6</v>
      </c>
      <c r="G88" s="7" t="s">
        <v>7</v>
      </c>
      <c r="H88" s="2"/>
      <c r="I88" s="3"/>
      <c r="J88" s="8" t="s">
        <v>8</v>
      </c>
      <c r="K88" s="9" t="s">
        <v>9</v>
      </c>
      <c r="L88" s="10" t="s">
        <v>10</v>
      </c>
      <c r="M88" s="10" t="s">
        <v>11</v>
      </c>
      <c r="N88" s="10" t="s">
        <v>12</v>
      </c>
      <c r="O88" s="10" t="s">
        <v>13</v>
      </c>
      <c r="P88" s="11"/>
    </row>
    <row r="89" spans="1:16">
      <c r="A89" s="12"/>
      <c r="B89" s="12"/>
      <c r="C89" s="12"/>
      <c r="D89" s="51" t="s">
        <v>108</v>
      </c>
      <c r="E89" s="12"/>
      <c r="F89" s="12"/>
      <c r="G89" s="13" t="s">
        <v>14</v>
      </c>
      <c r="H89" s="13" t="s">
        <v>15</v>
      </c>
      <c r="I89" s="13" t="s">
        <v>16</v>
      </c>
      <c r="J89" s="12"/>
      <c r="K89" s="14" t="s">
        <v>17</v>
      </c>
      <c r="L89" s="14" t="s">
        <v>18</v>
      </c>
      <c r="M89" s="14" t="s">
        <v>19</v>
      </c>
      <c r="N89" s="14" t="s">
        <v>20</v>
      </c>
      <c r="O89" s="14" t="s">
        <v>21</v>
      </c>
      <c r="P89" s="15"/>
    </row>
    <row r="90" spans="1:16">
      <c r="A90" s="16">
        <v>45918</v>
      </c>
      <c r="B90" s="17">
        <v>0.19097222222222221</v>
      </c>
      <c r="C90" s="17">
        <f t="shared" ref="C90:C107" si="10">B90+TIME(1,30,0)</f>
        <v>0.25347222222222221</v>
      </c>
      <c r="D90" s="18">
        <v>0.2951388888888889</v>
      </c>
      <c r="E90" s="19" t="s">
        <v>109</v>
      </c>
      <c r="F90" s="19"/>
      <c r="G90" s="19"/>
      <c r="H90" s="19"/>
      <c r="I90" s="19"/>
      <c r="J90" s="20">
        <f>SUM(G90:I95)</f>
        <v>23</v>
      </c>
      <c r="K90" s="19"/>
      <c r="L90" s="19"/>
      <c r="M90" s="19"/>
      <c r="N90" s="19">
        <v>1</v>
      </c>
      <c r="O90" s="19"/>
      <c r="P90" s="52"/>
    </row>
    <row r="91" spans="1:16">
      <c r="A91" s="22"/>
      <c r="B91" s="17">
        <v>0.19097222222222221</v>
      </c>
      <c r="C91" s="17">
        <f t="shared" si="10"/>
        <v>0.25347222222222221</v>
      </c>
      <c r="D91" s="22"/>
      <c r="E91" s="19" t="s">
        <v>110</v>
      </c>
      <c r="F91" s="19"/>
      <c r="G91" s="19"/>
      <c r="H91" s="19">
        <v>11</v>
      </c>
      <c r="I91" s="19">
        <v>2</v>
      </c>
      <c r="J91" s="20"/>
      <c r="K91" s="19"/>
      <c r="L91" s="19"/>
      <c r="M91" s="19"/>
      <c r="N91" s="19"/>
      <c r="O91" s="19"/>
      <c r="P91" s="52"/>
    </row>
    <row r="92" spans="1:16">
      <c r="A92" s="22"/>
      <c r="B92" s="17">
        <v>0.20833333333333334</v>
      </c>
      <c r="C92" s="17">
        <f t="shared" si="10"/>
        <v>0.27083333333333337</v>
      </c>
      <c r="D92" s="22"/>
      <c r="E92" s="19" t="s">
        <v>111</v>
      </c>
      <c r="F92" s="19"/>
      <c r="G92" s="19"/>
      <c r="H92" s="19">
        <v>3</v>
      </c>
      <c r="I92" s="19"/>
      <c r="J92" s="20"/>
      <c r="K92" s="19"/>
      <c r="L92" s="19"/>
      <c r="M92" s="19"/>
      <c r="N92" s="19"/>
      <c r="O92" s="19"/>
      <c r="P92" s="52"/>
    </row>
    <row r="93" spans="1:16">
      <c r="A93" s="22"/>
      <c r="B93" s="17">
        <v>0.20833333333333334</v>
      </c>
      <c r="C93" s="17">
        <f t="shared" si="10"/>
        <v>0.27083333333333337</v>
      </c>
      <c r="D93" s="22"/>
      <c r="E93" s="19" t="s">
        <v>112</v>
      </c>
      <c r="F93" s="19"/>
      <c r="G93" s="19">
        <v>3</v>
      </c>
      <c r="H93" s="19"/>
      <c r="I93" s="19">
        <v>1</v>
      </c>
      <c r="J93" s="20"/>
      <c r="K93" s="19"/>
      <c r="L93" s="19"/>
      <c r="M93" s="19"/>
      <c r="N93" s="19"/>
      <c r="O93" s="19"/>
      <c r="P93" s="52"/>
    </row>
    <row r="94" spans="1:16">
      <c r="A94" s="22"/>
      <c r="B94" s="17">
        <v>0.22222222222222221</v>
      </c>
      <c r="C94" s="17">
        <f t="shared" si="10"/>
        <v>0.28472222222222221</v>
      </c>
      <c r="D94" s="22"/>
      <c r="E94" s="19" t="s">
        <v>113</v>
      </c>
      <c r="F94" s="19"/>
      <c r="G94" s="19"/>
      <c r="H94" s="19"/>
      <c r="I94" s="19">
        <v>2</v>
      </c>
      <c r="J94" s="20"/>
      <c r="K94" s="19"/>
      <c r="L94" s="19"/>
      <c r="M94" s="19"/>
      <c r="N94" s="19"/>
      <c r="O94" s="19"/>
      <c r="P94" s="52"/>
    </row>
    <row r="95" spans="1:16">
      <c r="A95" s="22"/>
      <c r="B95" s="24">
        <v>0.22569444444444445</v>
      </c>
      <c r="C95" s="24">
        <f t="shared" si="10"/>
        <v>0.28819444444444442</v>
      </c>
      <c r="D95" s="25"/>
      <c r="E95" s="26" t="s">
        <v>114</v>
      </c>
      <c r="F95" s="26"/>
      <c r="G95" s="26"/>
      <c r="H95" s="26">
        <v>1</v>
      </c>
      <c r="I95" s="26"/>
      <c r="J95" s="27"/>
      <c r="K95" s="26"/>
      <c r="L95" s="26"/>
      <c r="M95" s="26"/>
      <c r="N95" s="26"/>
      <c r="O95" s="26"/>
      <c r="P95" s="52"/>
    </row>
    <row r="96" spans="1:16">
      <c r="A96" s="22"/>
      <c r="B96" s="29">
        <v>0.26041666666666669</v>
      </c>
      <c r="C96" s="29">
        <f t="shared" si="10"/>
        <v>0.32291666666666669</v>
      </c>
      <c r="D96" s="30">
        <v>0.35416666666666669</v>
      </c>
      <c r="E96" s="31" t="s">
        <v>115</v>
      </c>
      <c r="F96" s="31"/>
      <c r="G96" s="31">
        <v>3</v>
      </c>
      <c r="H96" s="31"/>
      <c r="I96" s="31"/>
      <c r="J96" s="32">
        <f>SUM(G96:I98)</f>
        <v>5</v>
      </c>
      <c r="K96" s="31"/>
      <c r="L96" s="31">
        <v>1</v>
      </c>
      <c r="M96" s="31"/>
      <c r="N96" s="31"/>
      <c r="O96" s="31"/>
      <c r="P96" s="52"/>
    </row>
    <row r="97" spans="1:16">
      <c r="A97" s="22"/>
      <c r="B97" s="17">
        <v>0.27083333333333331</v>
      </c>
      <c r="C97" s="17">
        <f t="shared" si="10"/>
        <v>0.33333333333333331</v>
      </c>
      <c r="D97" s="22"/>
      <c r="E97" s="19" t="s">
        <v>116</v>
      </c>
      <c r="F97" s="19"/>
      <c r="G97" s="19">
        <v>1</v>
      </c>
      <c r="H97" s="19"/>
      <c r="I97" s="19"/>
      <c r="J97" s="20"/>
      <c r="K97" s="19"/>
      <c r="L97" s="19"/>
      <c r="M97" s="19"/>
      <c r="N97" s="19"/>
      <c r="O97" s="19"/>
      <c r="P97" s="52"/>
    </row>
    <row r="98" spans="1:16">
      <c r="A98" s="22"/>
      <c r="B98" s="24">
        <v>0.28472222222222221</v>
      </c>
      <c r="C98" s="24">
        <f t="shared" si="10"/>
        <v>0.34722222222222221</v>
      </c>
      <c r="D98" s="25"/>
      <c r="E98" s="26" t="s">
        <v>117</v>
      </c>
      <c r="F98" s="26"/>
      <c r="G98" s="26"/>
      <c r="H98" s="26">
        <v>1</v>
      </c>
      <c r="I98" s="26"/>
      <c r="J98" s="27"/>
      <c r="K98" s="26"/>
      <c r="L98" s="26"/>
      <c r="M98" s="26"/>
      <c r="N98" s="26"/>
      <c r="O98" s="26"/>
      <c r="P98" s="52"/>
    </row>
    <row r="99" spans="1:16">
      <c r="A99" s="22"/>
      <c r="B99" s="37">
        <v>0.34375</v>
      </c>
      <c r="C99" s="37">
        <f t="shared" si="10"/>
        <v>0.40625</v>
      </c>
      <c r="D99" s="38">
        <v>0.41319444444444442</v>
      </c>
      <c r="E99" s="39" t="s">
        <v>118</v>
      </c>
      <c r="F99" s="39"/>
      <c r="G99" s="39">
        <v>6</v>
      </c>
      <c r="H99" s="39"/>
      <c r="I99" s="39"/>
      <c r="J99" s="40">
        <f>SUM(G99:I99)</f>
        <v>6</v>
      </c>
      <c r="K99" s="39"/>
      <c r="L99" s="39">
        <v>1</v>
      </c>
      <c r="M99" s="39"/>
      <c r="N99" s="39"/>
      <c r="O99" s="39"/>
      <c r="P99" s="52"/>
    </row>
    <row r="100" spans="1:16">
      <c r="A100" s="22"/>
      <c r="B100" s="29">
        <v>0.46875</v>
      </c>
      <c r="C100" s="29">
        <f t="shared" si="10"/>
        <v>0.53125</v>
      </c>
      <c r="D100" s="30">
        <v>0.55902777777777779</v>
      </c>
      <c r="E100" s="31" t="s">
        <v>119</v>
      </c>
      <c r="F100" s="31"/>
      <c r="G100" s="31"/>
      <c r="H100" s="31">
        <v>3</v>
      </c>
      <c r="I100" s="31">
        <v>5</v>
      </c>
      <c r="J100" s="53">
        <f>SUM(G100:I101)</f>
        <v>19</v>
      </c>
      <c r="K100" s="31"/>
      <c r="L100" s="31"/>
      <c r="M100" s="31"/>
      <c r="N100" s="31">
        <v>1</v>
      </c>
      <c r="O100" s="31"/>
      <c r="P100" s="52"/>
    </row>
    <row r="101" spans="1:16">
      <c r="A101" s="22"/>
      <c r="B101" s="24">
        <v>0.48958333333333331</v>
      </c>
      <c r="C101" s="24">
        <f t="shared" si="10"/>
        <v>0.55208333333333326</v>
      </c>
      <c r="D101" s="25"/>
      <c r="E101" s="26" t="s">
        <v>120</v>
      </c>
      <c r="F101" s="26"/>
      <c r="G101" s="54">
        <f>11-3</f>
        <v>8</v>
      </c>
      <c r="H101" s="26">
        <v>3</v>
      </c>
      <c r="I101" s="26"/>
      <c r="J101" s="27"/>
      <c r="K101" s="26"/>
      <c r="L101" s="26"/>
      <c r="M101" s="26"/>
      <c r="N101" s="26"/>
      <c r="O101" s="26"/>
      <c r="P101" s="52"/>
    </row>
    <row r="102" spans="1:16">
      <c r="A102" s="22"/>
      <c r="B102" s="29">
        <v>0.55208333333333337</v>
      </c>
      <c r="C102" s="29">
        <f t="shared" si="10"/>
        <v>0.61458333333333337</v>
      </c>
      <c r="D102" s="30">
        <v>0.65625</v>
      </c>
      <c r="E102" s="31" t="s">
        <v>121</v>
      </c>
      <c r="F102" s="31"/>
      <c r="G102" s="31"/>
      <c r="H102" s="31">
        <v>3</v>
      </c>
      <c r="I102" s="31"/>
      <c r="J102" s="32">
        <f>SUM(G102:I104)</f>
        <v>31</v>
      </c>
      <c r="K102" s="31"/>
      <c r="L102" s="31"/>
      <c r="M102" s="31"/>
      <c r="N102" s="31">
        <v>1</v>
      </c>
      <c r="O102" s="55">
        <v>1</v>
      </c>
      <c r="P102" s="52"/>
    </row>
    <row r="103" spans="1:16">
      <c r="A103" s="22"/>
      <c r="B103" s="17">
        <v>0.57986111111111116</v>
      </c>
      <c r="C103" s="17">
        <f t="shared" si="10"/>
        <v>0.64236111111111116</v>
      </c>
      <c r="D103" s="22"/>
      <c r="E103" s="19" t="s">
        <v>122</v>
      </c>
      <c r="F103" s="19"/>
      <c r="G103" s="19"/>
      <c r="H103" s="19"/>
      <c r="I103" s="19">
        <v>27</v>
      </c>
      <c r="J103" s="20"/>
      <c r="K103" s="19"/>
      <c r="L103" s="19"/>
      <c r="M103" s="19"/>
      <c r="N103" s="19"/>
      <c r="O103" s="19"/>
      <c r="P103" s="52"/>
    </row>
    <row r="104" spans="1:16">
      <c r="A104" s="22"/>
      <c r="B104" s="24">
        <v>0.58680555555555558</v>
      </c>
      <c r="C104" s="24">
        <f t="shared" si="10"/>
        <v>0.64930555555555558</v>
      </c>
      <c r="D104" s="25"/>
      <c r="E104" s="26" t="s">
        <v>123</v>
      </c>
      <c r="F104" s="26"/>
      <c r="G104" s="26"/>
      <c r="H104" s="26"/>
      <c r="I104" s="26">
        <v>1</v>
      </c>
      <c r="J104" s="27"/>
      <c r="K104" s="26"/>
      <c r="L104" s="26"/>
      <c r="M104" s="26"/>
      <c r="N104" s="26"/>
      <c r="O104" s="26"/>
      <c r="P104" s="52"/>
    </row>
    <row r="105" spans="1:16">
      <c r="A105" s="22"/>
      <c r="B105" s="29">
        <v>0.59027777777777779</v>
      </c>
      <c r="C105" s="29">
        <f t="shared" si="10"/>
        <v>0.65277777777777779</v>
      </c>
      <c r="D105" s="30">
        <v>0.67708333333333337</v>
      </c>
      <c r="E105" s="31" t="s">
        <v>124</v>
      </c>
      <c r="F105" s="31"/>
      <c r="G105" s="31">
        <v>6</v>
      </c>
      <c r="H105" s="31">
        <v>4</v>
      </c>
      <c r="I105" s="31"/>
      <c r="J105" s="32">
        <f>SUM(G105:I111)</f>
        <v>24</v>
      </c>
      <c r="K105" s="31"/>
      <c r="L105" s="31"/>
      <c r="M105" s="31"/>
      <c r="N105" s="31">
        <v>1</v>
      </c>
      <c r="O105" s="31"/>
      <c r="P105" s="52"/>
    </row>
    <row r="106" spans="1:16">
      <c r="A106" s="22"/>
      <c r="B106" s="17">
        <v>0.59027777777777779</v>
      </c>
      <c r="C106" s="17">
        <f t="shared" si="10"/>
        <v>0.65277777777777779</v>
      </c>
      <c r="D106" s="22"/>
      <c r="E106" s="19" t="s">
        <v>125</v>
      </c>
      <c r="F106" s="19"/>
      <c r="G106" s="19">
        <v>1</v>
      </c>
      <c r="H106" s="19">
        <v>1</v>
      </c>
      <c r="I106" s="19"/>
      <c r="J106" s="20"/>
      <c r="K106" s="19"/>
      <c r="L106" s="19"/>
      <c r="M106" s="19"/>
      <c r="N106" s="19"/>
      <c r="O106" s="19"/>
      <c r="P106" s="52"/>
    </row>
    <row r="107" spans="1:16">
      <c r="A107" s="22"/>
      <c r="B107" s="17">
        <v>0.59722222222222221</v>
      </c>
      <c r="C107" s="17">
        <f t="shared" si="10"/>
        <v>0.65972222222222221</v>
      </c>
      <c r="D107" s="22"/>
      <c r="E107" s="19" t="s">
        <v>126</v>
      </c>
      <c r="F107" s="19"/>
      <c r="G107" s="19"/>
      <c r="H107" s="19"/>
      <c r="I107" s="19">
        <v>2</v>
      </c>
      <c r="J107" s="20"/>
      <c r="K107" s="19"/>
      <c r="L107" s="19"/>
      <c r="M107" s="19"/>
      <c r="N107" s="19"/>
      <c r="O107" s="19"/>
      <c r="P107" s="52"/>
    </row>
    <row r="108" spans="1:16">
      <c r="A108" s="22"/>
      <c r="B108" s="17"/>
      <c r="C108" s="17"/>
      <c r="D108" s="22"/>
      <c r="E108" s="19"/>
      <c r="F108" s="19"/>
      <c r="G108" s="19"/>
      <c r="H108" s="19"/>
      <c r="I108" s="19"/>
      <c r="J108" s="20"/>
      <c r="K108" s="19"/>
      <c r="L108" s="19"/>
      <c r="M108" s="19"/>
      <c r="N108" s="19"/>
      <c r="O108" s="19"/>
      <c r="P108" s="52"/>
    </row>
    <row r="109" spans="1:16">
      <c r="A109" s="22"/>
      <c r="B109" s="17">
        <v>0.59722222222222221</v>
      </c>
      <c r="C109" s="17">
        <f t="shared" ref="C109:C112" si="11">B109+TIME(1,30,0)</f>
        <v>0.65972222222222221</v>
      </c>
      <c r="D109" s="22"/>
      <c r="E109" s="19" t="s">
        <v>127</v>
      </c>
      <c r="F109" s="19"/>
      <c r="G109" s="19"/>
      <c r="H109" s="19">
        <v>1</v>
      </c>
      <c r="I109" s="19"/>
      <c r="J109" s="20"/>
      <c r="K109" s="19"/>
      <c r="L109" s="19"/>
      <c r="M109" s="19"/>
      <c r="N109" s="19"/>
      <c r="O109" s="19"/>
      <c r="P109" s="52"/>
    </row>
    <row r="110" spans="1:16">
      <c r="A110" s="22"/>
      <c r="B110" s="17">
        <v>0.60069444444444442</v>
      </c>
      <c r="C110" s="17">
        <f t="shared" si="11"/>
        <v>0.66319444444444442</v>
      </c>
      <c r="D110" s="22"/>
      <c r="E110" s="19" t="s">
        <v>128</v>
      </c>
      <c r="F110" s="19"/>
      <c r="G110" s="19"/>
      <c r="H110" s="19">
        <v>4</v>
      </c>
      <c r="I110" s="19"/>
      <c r="J110" s="20"/>
      <c r="K110" s="19"/>
      <c r="L110" s="19"/>
      <c r="M110" s="19"/>
      <c r="N110" s="19"/>
      <c r="O110" s="19"/>
      <c r="P110" s="52"/>
    </row>
    <row r="111" spans="1:16">
      <c r="A111" s="22"/>
      <c r="B111" s="24">
        <v>0.60763888888888884</v>
      </c>
      <c r="C111" s="24">
        <f t="shared" si="11"/>
        <v>0.67013888888888884</v>
      </c>
      <c r="D111" s="25"/>
      <c r="E111" s="26" t="s">
        <v>129</v>
      </c>
      <c r="F111" s="26"/>
      <c r="G111" s="26"/>
      <c r="H111" s="26">
        <v>3</v>
      </c>
      <c r="I111" s="26">
        <v>2</v>
      </c>
      <c r="J111" s="27"/>
      <c r="K111" s="26"/>
      <c r="L111" s="26"/>
      <c r="M111" s="26"/>
      <c r="N111" s="26"/>
      <c r="O111" s="26"/>
      <c r="P111" s="52"/>
    </row>
    <row r="112" spans="1:16">
      <c r="A112" s="22"/>
      <c r="B112" s="29">
        <v>0.63888888888888884</v>
      </c>
      <c r="C112" s="29">
        <f t="shared" si="11"/>
        <v>0.70138888888888884</v>
      </c>
      <c r="D112" s="30">
        <v>0.73263888888888884</v>
      </c>
      <c r="E112" s="31" t="s">
        <v>130</v>
      </c>
      <c r="F112" s="31"/>
      <c r="G112" s="31">
        <v>15</v>
      </c>
      <c r="H112" s="31"/>
      <c r="I112" s="31"/>
      <c r="J112" s="32">
        <f>SUM(G112:I115)</f>
        <v>29</v>
      </c>
      <c r="K112" s="31"/>
      <c r="L112" s="31"/>
      <c r="M112" s="31"/>
      <c r="N112" s="31">
        <v>1</v>
      </c>
      <c r="O112" s="31">
        <v>1</v>
      </c>
      <c r="P112" s="52"/>
    </row>
    <row r="113" spans="1:16">
      <c r="A113" s="22"/>
      <c r="B113" s="17">
        <v>0.64236111111111116</v>
      </c>
      <c r="C113" s="17">
        <f>B113+TIME(1,30,0)</f>
        <v>0.70486111111111116</v>
      </c>
      <c r="D113" s="22"/>
      <c r="E113" s="19" t="s">
        <v>131</v>
      </c>
      <c r="F113" s="19"/>
      <c r="G113" s="19"/>
      <c r="H113" s="19">
        <v>1</v>
      </c>
      <c r="I113" s="19"/>
      <c r="J113" s="20"/>
      <c r="K113" s="19"/>
      <c r="L113" s="19"/>
      <c r="M113" s="19"/>
      <c r="N113" s="19"/>
      <c r="O113" s="19"/>
      <c r="P113" s="52"/>
    </row>
    <row r="114" spans="1:16">
      <c r="A114" s="22"/>
      <c r="B114" s="17">
        <v>0.65277777777777779</v>
      </c>
      <c r="C114" s="17">
        <f t="shared" ref="C114:C128" si="12">B114+TIME(1,30,0)</f>
        <v>0.71527777777777779</v>
      </c>
      <c r="D114" s="22"/>
      <c r="E114" s="19" t="s">
        <v>132</v>
      </c>
      <c r="F114" s="19"/>
      <c r="G114" s="19"/>
      <c r="H114" s="19">
        <v>8</v>
      </c>
      <c r="I114" s="19"/>
      <c r="J114" s="20"/>
      <c r="K114" s="19"/>
      <c r="L114" s="19"/>
      <c r="M114" s="19"/>
      <c r="N114" s="19"/>
      <c r="O114" s="19"/>
      <c r="P114" s="52"/>
    </row>
    <row r="115" spans="1:16">
      <c r="A115" s="22"/>
      <c r="B115" s="24">
        <v>0.66319444444444442</v>
      </c>
      <c r="C115" s="24">
        <f t="shared" si="12"/>
        <v>0.72569444444444442</v>
      </c>
      <c r="D115" s="25"/>
      <c r="E115" s="26" t="s">
        <v>133</v>
      </c>
      <c r="F115" s="26"/>
      <c r="G115" s="26"/>
      <c r="H115" s="26"/>
      <c r="I115" s="26">
        <v>5</v>
      </c>
      <c r="J115" s="27"/>
      <c r="K115" s="26"/>
      <c r="L115" s="26"/>
      <c r="M115" s="26"/>
      <c r="N115" s="26"/>
      <c r="O115" s="26"/>
      <c r="P115" s="52"/>
    </row>
    <row r="116" spans="1:16">
      <c r="A116" s="22"/>
      <c r="B116" s="29">
        <v>0.68402777777777779</v>
      </c>
      <c r="C116" s="29">
        <f t="shared" si="12"/>
        <v>0.74652777777777779</v>
      </c>
      <c r="D116" s="30">
        <v>0.78125</v>
      </c>
      <c r="E116" s="31" t="s">
        <v>134</v>
      </c>
      <c r="F116" s="31"/>
      <c r="G116" s="31">
        <v>2</v>
      </c>
      <c r="H116" s="31">
        <v>1</v>
      </c>
      <c r="I116" s="31">
        <v>2</v>
      </c>
      <c r="J116" s="32">
        <f>SUM(G116:I125)</f>
        <v>66</v>
      </c>
      <c r="K116" s="31"/>
      <c r="L116" s="31"/>
      <c r="M116" s="31"/>
      <c r="N116" s="31">
        <v>2</v>
      </c>
      <c r="O116" s="31">
        <v>1</v>
      </c>
      <c r="P116" s="52"/>
    </row>
    <row r="117" spans="1:16">
      <c r="A117" s="22"/>
      <c r="B117" s="17">
        <v>0.6875</v>
      </c>
      <c r="C117" s="17">
        <f t="shared" si="12"/>
        <v>0.75</v>
      </c>
      <c r="D117" s="22"/>
      <c r="E117" s="19" t="s">
        <v>135</v>
      </c>
      <c r="F117" s="19"/>
      <c r="G117" s="19"/>
      <c r="H117" s="19">
        <v>2</v>
      </c>
      <c r="I117" s="19"/>
      <c r="J117" s="20"/>
      <c r="K117" s="19"/>
      <c r="L117" s="19"/>
      <c r="M117" s="19"/>
      <c r="N117" s="19"/>
      <c r="O117" s="19"/>
      <c r="P117" s="52"/>
    </row>
    <row r="118" spans="1:16">
      <c r="A118" s="22"/>
      <c r="B118" s="17">
        <v>0.69444444444444442</v>
      </c>
      <c r="C118" s="17">
        <f t="shared" si="12"/>
        <v>0.75694444444444442</v>
      </c>
      <c r="D118" s="22"/>
      <c r="E118" s="19" t="s">
        <v>136</v>
      </c>
      <c r="F118" s="19"/>
      <c r="G118" s="19">
        <v>2</v>
      </c>
      <c r="H118" s="19">
        <v>1</v>
      </c>
      <c r="I118" s="19"/>
      <c r="J118" s="20"/>
      <c r="K118" s="19"/>
      <c r="L118" s="19"/>
      <c r="M118" s="19"/>
      <c r="N118" s="19"/>
      <c r="O118" s="19"/>
      <c r="P118" s="52"/>
    </row>
    <row r="119" spans="1:16">
      <c r="A119" s="22"/>
      <c r="B119" s="17">
        <v>0.69444444444444442</v>
      </c>
      <c r="C119" s="17">
        <f t="shared" si="12"/>
        <v>0.75694444444444442</v>
      </c>
      <c r="D119" s="22"/>
      <c r="E119" s="19" t="s">
        <v>137</v>
      </c>
      <c r="F119" s="19"/>
      <c r="G119" s="19">
        <v>8</v>
      </c>
      <c r="H119" s="19"/>
      <c r="I119" s="19"/>
      <c r="J119" s="20"/>
      <c r="K119" s="19"/>
      <c r="L119" s="19"/>
      <c r="M119" s="19"/>
      <c r="N119" s="19"/>
      <c r="O119" s="19"/>
      <c r="P119" s="52"/>
    </row>
    <row r="120" spans="1:16">
      <c r="A120" s="22"/>
      <c r="B120" s="17">
        <v>0.69444444444444442</v>
      </c>
      <c r="C120" s="17">
        <f t="shared" si="12"/>
        <v>0.75694444444444442</v>
      </c>
      <c r="D120" s="22"/>
      <c r="E120" s="19" t="s">
        <v>138</v>
      </c>
      <c r="F120" s="19"/>
      <c r="G120" s="19">
        <v>3</v>
      </c>
      <c r="H120" s="19"/>
      <c r="I120" s="19">
        <v>3</v>
      </c>
      <c r="J120" s="20"/>
      <c r="K120" s="19"/>
      <c r="L120" s="19"/>
      <c r="M120" s="19"/>
      <c r="N120" s="19"/>
      <c r="O120" s="19"/>
      <c r="P120" s="52"/>
    </row>
    <row r="121" spans="1:16">
      <c r="A121" s="22"/>
      <c r="B121" s="17">
        <v>0.70138888888888884</v>
      </c>
      <c r="C121" s="17">
        <f t="shared" si="12"/>
        <v>0.76388888888888884</v>
      </c>
      <c r="D121" s="22"/>
      <c r="E121" s="19" t="s">
        <v>139</v>
      </c>
      <c r="F121" s="19"/>
      <c r="G121" s="19"/>
      <c r="H121" s="19">
        <v>2</v>
      </c>
      <c r="I121" s="19"/>
      <c r="J121" s="20"/>
      <c r="K121" s="19"/>
      <c r="L121" s="19"/>
      <c r="M121" s="19"/>
      <c r="N121" s="19"/>
      <c r="O121" s="19"/>
      <c r="P121" s="52"/>
    </row>
    <row r="122" spans="1:16">
      <c r="A122" s="22"/>
      <c r="B122" s="17">
        <v>0.70138888888888884</v>
      </c>
      <c r="C122" s="17">
        <f t="shared" si="12"/>
        <v>0.76388888888888884</v>
      </c>
      <c r="D122" s="22"/>
      <c r="E122" s="19" t="s">
        <v>140</v>
      </c>
      <c r="F122" s="19"/>
      <c r="G122" s="19"/>
      <c r="H122" s="19">
        <v>4</v>
      </c>
      <c r="I122" s="19"/>
      <c r="J122" s="20"/>
      <c r="K122" s="19"/>
      <c r="L122" s="19"/>
      <c r="M122" s="19"/>
      <c r="N122" s="19"/>
      <c r="O122" s="19"/>
      <c r="P122" s="52"/>
    </row>
    <row r="123" spans="1:16">
      <c r="A123" s="22"/>
      <c r="B123" s="17">
        <v>0.70138888888888884</v>
      </c>
      <c r="C123" s="17">
        <f t="shared" si="12"/>
        <v>0.76388888888888884</v>
      </c>
      <c r="D123" s="22"/>
      <c r="E123" s="19" t="s">
        <v>141</v>
      </c>
      <c r="F123" s="19"/>
      <c r="G123" s="19"/>
      <c r="H123" s="19">
        <v>4</v>
      </c>
      <c r="I123" s="19"/>
      <c r="J123" s="20"/>
      <c r="K123" s="19"/>
      <c r="L123" s="19"/>
      <c r="M123" s="19"/>
      <c r="N123" s="19"/>
      <c r="O123" s="19"/>
      <c r="P123" s="52"/>
    </row>
    <row r="124" spans="1:16">
      <c r="A124" s="22"/>
      <c r="B124" s="17">
        <v>0.70833333333333337</v>
      </c>
      <c r="C124" s="17">
        <f t="shared" si="12"/>
        <v>0.77083333333333337</v>
      </c>
      <c r="D124" s="22"/>
      <c r="E124" s="19" t="s">
        <v>142</v>
      </c>
      <c r="F124" s="19"/>
      <c r="G124" s="19"/>
      <c r="H124" s="19">
        <v>1</v>
      </c>
      <c r="I124" s="19"/>
      <c r="J124" s="20"/>
      <c r="K124" s="19"/>
      <c r="L124" s="19"/>
      <c r="M124" s="19"/>
      <c r="N124" s="19"/>
      <c r="O124" s="19"/>
      <c r="P124" s="52"/>
    </row>
    <row r="125" spans="1:16">
      <c r="A125" s="22"/>
      <c r="B125" s="24">
        <v>0.71180555555555558</v>
      </c>
      <c r="C125" s="24">
        <f t="shared" si="12"/>
        <v>0.77430555555555558</v>
      </c>
      <c r="D125" s="25"/>
      <c r="E125" s="26" t="s">
        <v>143</v>
      </c>
      <c r="F125" s="26"/>
      <c r="G125" s="26"/>
      <c r="H125" s="26"/>
      <c r="I125" s="26">
        <v>31</v>
      </c>
      <c r="J125" s="27"/>
      <c r="K125" s="26"/>
      <c r="L125" s="26"/>
      <c r="M125" s="26"/>
      <c r="N125" s="26"/>
      <c r="O125" s="26"/>
      <c r="P125" s="52"/>
    </row>
    <row r="126" spans="1:16">
      <c r="A126" s="22"/>
      <c r="B126" s="29">
        <v>0.72222222222222221</v>
      </c>
      <c r="C126" s="29">
        <f t="shared" si="12"/>
        <v>0.78472222222222221</v>
      </c>
      <c r="D126" s="30">
        <v>0.8125</v>
      </c>
      <c r="E126" s="31" t="s">
        <v>144</v>
      </c>
      <c r="F126" s="31"/>
      <c r="G126" s="31"/>
      <c r="H126" s="31">
        <v>2</v>
      </c>
      <c r="I126" s="31">
        <v>4</v>
      </c>
      <c r="J126" s="32">
        <f>SUM(G126:I133)</f>
        <v>42</v>
      </c>
      <c r="K126" s="31"/>
      <c r="L126" s="31"/>
      <c r="M126" s="31"/>
      <c r="N126" s="31">
        <v>2</v>
      </c>
      <c r="O126" s="31"/>
      <c r="P126" s="52"/>
    </row>
    <row r="127" spans="1:16">
      <c r="A127" s="22"/>
      <c r="B127" s="17">
        <v>0.72222222222222221</v>
      </c>
      <c r="C127" s="17">
        <f t="shared" si="12"/>
        <v>0.78472222222222221</v>
      </c>
      <c r="D127" s="22"/>
      <c r="E127" s="19" t="s">
        <v>145</v>
      </c>
      <c r="F127" s="19"/>
      <c r="G127" s="19"/>
      <c r="H127" s="19">
        <v>2</v>
      </c>
      <c r="I127" s="19"/>
      <c r="J127" s="20"/>
      <c r="K127" s="19"/>
      <c r="L127" s="19"/>
      <c r="M127" s="19"/>
      <c r="N127" s="19"/>
      <c r="O127" s="19"/>
      <c r="P127" s="52"/>
    </row>
    <row r="128" spans="1:16">
      <c r="A128" s="22"/>
      <c r="B128" s="17">
        <v>0.72222222222222221</v>
      </c>
      <c r="C128" s="17">
        <f t="shared" si="12"/>
        <v>0.78472222222222221</v>
      </c>
      <c r="D128" s="22"/>
      <c r="E128" s="19" t="s">
        <v>146</v>
      </c>
      <c r="F128" s="19"/>
      <c r="G128" s="19">
        <v>2</v>
      </c>
      <c r="H128" s="19"/>
      <c r="I128" s="19"/>
      <c r="J128" s="20"/>
      <c r="K128" s="19"/>
      <c r="L128" s="19"/>
      <c r="M128" s="19"/>
      <c r="N128" s="19"/>
      <c r="O128" s="19"/>
      <c r="P128" s="52"/>
    </row>
    <row r="129" spans="1:16">
      <c r="A129" s="22"/>
      <c r="B129" s="17">
        <v>0.72569444444444442</v>
      </c>
      <c r="C129" s="17">
        <f>B129+TIME(1,30,0)</f>
        <v>0.78819444444444442</v>
      </c>
      <c r="D129" s="22"/>
      <c r="E129" s="19" t="s">
        <v>147</v>
      </c>
      <c r="F129" s="19"/>
      <c r="G129" s="19">
        <v>4</v>
      </c>
      <c r="H129" s="19">
        <v>4</v>
      </c>
      <c r="I129" s="19"/>
      <c r="J129" s="20"/>
      <c r="K129" s="19"/>
      <c r="L129" s="19"/>
      <c r="M129" s="19"/>
      <c r="N129" s="19"/>
      <c r="O129" s="19"/>
      <c r="P129" s="52"/>
    </row>
    <row r="130" spans="1:16">
      <c r="A130" s="22"/>
      <c r="B130" s="17">
        <v>0.72569444444444442</v>
      </c>
      <c r="C130" s="17">
        <f>B130+TIME(1,30,0)</f>
        <v>0.78819444444444442</v>
      </c>
      <c r="D130" s="22"/>
      <c r="E130" s="19" t="s">
        <v>148</v>
      </c>
      <c r="F130" s="19"/>
      <c r="G130" s="19"/>
      <c r="H130" s="19">
        <v>1</v>
      </c>
      <c r="I130" s="19"/>
      <c r="J130" s="20"/>
      <c r="K130" s="19"/>
      <c r="L130" s="19"/>
      <c r="M130" s="19"/>
      <c r="N130" s="19"/>
      <c r="O130" s="19"/>
      <c r="P130" s="52"/>
    </row>
    <row r="131" spans="1:16">
      <c r="A131" s="22"/>
      <c r="B131" s="17">
        <v>0.73958333333333337</v>
      </c>
      <c r="C131" s="17">
        <f t="shared" ref="C131:C134" si="13">B131+TIME(1,30,0)</f>
        <v>0.80208333333333337</v>
      </c>
      <c r="D131" s="22"/>
      <c r="E131" s="19" t="s">
        <v>149</v>
      </c>
      <c r="F131" s="19"/>
      <c r="G131" s="19"/>
      <c r="H131" s="19"/>
      <c r="I131" s="19">
        <v>2</v>
      </c>
      <c r="J131" s="20"/>
      <c r="K131" s="19"/>
      <c r="L131" s="19"/>
      <c r="M131" s="19"/>
      <c r="N131" s="19"/>
      <c r="O131" s="19"/>
      <c r="P131" s="52"/>
    </row>
    <row r="132" spans="1:16">
      <c r="A132" s="22"/>
      <c r="B132" s="17">
        <v>0.74305555555555558</v>
      </c>
      <c r="C132" s="17">
        <f t="shared" si="13"/>
        <v>0.80555555555555558</v>
      </c>
      <c r="D132" s="22"/>
      <c r="E132" s="19" t="s">
        <v>150</v>
      </c>
      <c r="F132" s="19"/>
      <c r="G132" s="19"/>
      <c r="H132" s="19">
        <v>4</v>
      </c>
      <c r="I132" s="19"/>
      <c r="J132" s="20"/>
      <c r="K132" s="19"/>
      <c r="L132" s="19"/>
      <c r="M132" s="19"/>
      <c r="N132" s="19"/>
      <c r="O132" s="19"/>
      <c r="P132" s="52"/>
    </row>
    <row r="133" spans="1:16">
      <c r="A133" s="22"/>
      <c r="B133" s="24">
        <v>0.74305555555555558</v>
      </c>
      <c r="C133" s="24">
        <f t="shared" si="13"/>
        <v>0.80555555555555558</v>
      </c>
      <c r="D133" s="25"/>
      <c r="E133" s="26" t="s">
        <v>151</v>
      </c>
      <c r="F133" s="26"/>
      <c r="G133" s="26"/>
      <c r="H133" s="26">
        <v>17</v>
      </c>
      <c r="I133" s="26"/>
      <c r="J133" s="27"/>
      <c r="K133" s="26"/>
      <c r="L133" s="26"/>
      <c r="M133" s="26"/>
      <c r="N133" s="26"/>
      <c r="O133" s="26"/>
      <c r="P133" s="52"/>
    </row>
    <row r="134" spans="1:16">
      <c r="A134" s="22"/>
      <c r="B134" s="29">
        <v>0.92708333333333337</v>
      </c>
      <c r="C134" s="29">
        <f t="shared" si="13"/>
        <v>0.98958333333333337</v>
      </c>
      <c r="D134" s="56">
        <v>0.99652777777777779</v>
      </c>
      <c r="E134" s="31" t="s">
        <v>152</v>
      </c>
      <c r="F134" s="31"/>
      <c r="G134" s="31">
        <v>6</v>
      </c>
      <c r="H134" s="31">
        <v>2</v>
      </c>
      <c r="I134" s="31"/>
      <c r="J134" s="32">
        <f t="shared" ref="J134:J135" si="14">SUM(G134:I134)</f>
        <v>8</v>
      </c>
      <c r="K134" s="31"/>
      <c r="L134" s="31">
        <v>1</v>
      </c>
      <c r="M134" s="31"/>
      <c r="N134" s="31"/>
      <c r="O134" s="31"/>
      <c r="P134" s="52"/>
    </row>
    <row r="135" spans="1:16">
      <c r="A135" s="57" t="s">
        <v>101</v>
      </c>
      <c r="B135" s="2"/>
      <c r="C135" s="2"/>
      <c r="D135" s="2"/>
      <c r="E135" s="2"/>
      <c r="F135" s="3"/>
      <c r="G135" s="46">
        <f t="shared" ref="G135:I135" si="15">SUM(G90:G134)</f>
        <v>70</v>
      </c>
      <c r="H135" s="46">
        <f t="shared" si="15"/>
        <v>94</v>
      </c>
      <c r="I135" s="46">
        <f t="shared" si="15"/>
        <v>89</v>
      </c>
      <c r="J135" s="46">
        <f t="shared" si="14"/>
        <v>253</v>
      </c>
      <c r="K135" s="46">
        <f t="shared" ref="K135:O135" si="16">SUM(K90:K134)</f>
        <v>0</v>
      </c>
      <c r="L135" s="46">
        <f t="shared" si="16"/>
        <v>3</v>
      </c>
      <c r="M135" s="46">
        <f t="shared" si="16"/>
        <v>0</v>
      </c>
      <c r="N135" s="46">
        <f t="shared" si="16"/>
        <v>9</v>
      </c>
      <c r="O135" s="46">
        <f t="shared" si="16"/>
        <v>3</v>
      </c>
      <c r="P135" s="52"/>
    </row>
    <row r="136" spans="1:16">
      <c r="A136" s="52"/>
      <c r="B136" s="52"/>
      <c r="C136" s="52"/>
      <c r="D136" s="52"/>
      <c r="E136" s="23"/>
      <c r="F136" s="23"/>
      <c r="G136" s="23"/>
      <c r="H136" s="23"/>
      <c r="I136" s="23"/>
      <c r="J136" s="23"/>
      <c r="K136" s="23" t="s">
        <v>102</v>
      </c>
      <c r="L136" s="23" t="s">
        <v>103</v>
      </c>
      <c r="M136" s="23" t="s">
        <v>104</v>
      </c>
      <c r="N136" s="23" t="s">
        <v>105</v>
      </c>
      <c r="O136" s="23" t="s">
        <v>106</v>
      </c>
      <c r="P136" s="52"/>
    </row>
    <row r="137" spans="1:16">
      <c r="O137" s="23"/>
      <c r="P137" s="52"/>
    </row>
    <row r="138" spans="1:16">
      <c r="O138" s="52"/>
      <c r="P138" s="52"/>
    </row>
    <row r="139" spans="1:16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</row>
    <row r="140" spans="1:16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</row>
    <row r="141" spans="1:16">
      <c r="A141" s="58" t="s">
        <v>153</v>
      </c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60"/>
    </row>
    <row r="142" spans="1:16">
      <c r="A142" s="61" t="s">
        <v>1</v>
      </c>
      <c r="B142" s="6" t="s">
        <v>2</v>
      </c>
      <c r="C142" s="6" t="s">
        <v>3</v>
      </c>
      <c r="D142" s="51" t="s">
        <v>4</v>
      </c>
      <c r="E142" s="5" t="s">
        <v>5</v>
      </c>
      <c r="F142" s="5" t="s">
        <v>154</v>
      </c>
      <c r="G142" s="7" t="s">
        <v>7</v>
      </c>
      <c r="H142" s="2"/>
      <c r="I142" s="3"/>
      <c r="J142" s="62" t="s">
        <v>155</v>
      </c>
      <c r="K142" s="3"/>
      <c r="L142" s="8" t="s">
        <v>8</v>
      </c>
      <c r="M142" s="9" t="s">
        <v>9</v>
      </c>
      <c r="N142" s="10" t="s">
        <v>10</v>
      </c>
      <c r="O142" s="10" t="s">
        <v>11</v>
      </c>
      <c r="P142" s="63" t="s">
        <v>12</v>
      </c>
    </row>
    <row r="143" spans="1:16">
      <c r="A143" s="64"/>
      <c r="B143" s="12"/>
      <c r="C143" s="12"/>
      <c r="D143" s="51" t="s">
        <v>108</v>
      </c>
      <c r="E143" s="12"/>
      <c r="F143" s="12"/>
      <c r="G143" s="13" t="s">
        <v>14</v>
      </c>
      <c r="H143" s="13" t="s">
        <v>15</v>
      </c>
      <c r="I143" s="13" t="s">
        <v>16</v>
      </c>
      <c r="J143" s="65" t="s">
        <v>156</v>
      </c>
      <c r="K143" s="65" t="s">
        <v>157</v>
      </c>
      <c r="L143" s="12"/>
      <c r="M143" s="14" t="s">
        <v>17</v>
      </c>
      <c r="N143" s="14" t="s">
        <v>18</v>
      </c>
      <c r="O143" s="14" t="s">
        <v>19</v>
      </c>
      <c r="P143" s="66" t="s">
        <v>20</v>
      </c>
    </row>
    <row r="144" spans="1:16">
      <c r="A144" s="67">
        <v>45918</v>
      </c>
      <c r="B144" s="68">
        <v>0.44791666666666669</v>
      </c>
      <c r="C144" s="68">
        <f t="shared" ref="C144:C146" si="17">B144+TIME(1,0,0)</f>
        <v>0.48958333333333337</v>
      </c>
      <c r="D144" s="69">
        <v>0.49652777777777779</v>
      </c>
      <c r="E144" s="70" t="s">
        <v>158</v>
      </c>
      <c r="F144" s="70" t="s">
        <v>159</v>
      </c>
      <c r="G144" s="70"/>
      <c r="H144" s="70"/>
      <c r="I144" s="70"/>
      <c r="J144" s="70"/>
      <c r="K144" s="70">
        <v>1</v>
      </c>
      <c r="L144" s="71">
        <f t="shared" ref="L144:L145" si="18">SUM(G144:K144)</f>
        <v>1</v>
      </c>
      <c r="M144" s="70">
        <v>1</v>
      </c>
      <c r="N144" s="70"/>
      <c r="O144" s="70"/>
      <c r="P144" s="72"/>
    </row>
    <row r="145" spans="1:16">
      <c r="A145" s="73"/>
      <c r="B145" s="74">
        <v>0.48958333333333331</v>
      </c>
      <c r="C145" s="74">
        <f t="shared" si="17"/>
        <v>0.53125</v>
      </c>
      <c r="D145" s="75">
        <v>0.53819444444444442</v>
      </c>
      <c r="E145" s="76" t="s">
        <v>160</v>
      </c>
      <c r="F145" s="76" t="s">
        <v>159</v>
      </c>
      <c r="G145" s="76"/>
      <c r="H145" s="76"/>
      <c r="I145" s="76"/>
      <c r="J145" s="76">
        <v>3</v>
      </c>
      <c r="K145" s="76"/>
      <c r="L145" s="77">
        <f t="shared" si="18"/>
        <v>3</v>
      </c>
      <c r="M145" s="76">
        <v>1</v>
      </c>
      <c r="N145" s="76"/>
      <c r="O145" s="76"/>
      <c r="P145" s="78"/>
    </row>
    <row r="146" spans="1:16">
      <c r="A146" s="73"/>
      <c r="B146" s="29">
        <v>0.53819444444444442</v>
      </c>
      <c r="C146" s="29">
        <f t="shared" si="17"/>
        <v>0.57986111111111105</v>
      </c>
      <c r="D146" s="30">
        <f>C146+TIME(0,20,0)</f>
        <v>0.59374999999999989</v>
      </c>
      <c r="E146" s="31" t="s">
        <v>161</v>
      </c>
      <c r="F146" s="31" t="s">
        <v>159</v>
      </c>
      <c r="G146" s="31"/>
      <c r="H146" s="31">
        <v>2</v>
      </c>
      <c r="I146" s="31">
        <v>1</v>
      </c>
      <c r="J146" s="31"/>
      <c r="K146" s="31"/>
      <c r="L146" s="32">
        <f>SUM(G146:I147)</f>
        <v>5</v>
      </c>
      <c r="M146" s="31"/>
      <c r="N146" s="31">
        <v>1</v>
      </c>
      <c r="O146" s="31"/>
      <c r="P146" s="79"/>
    </row>
    <row r="147" spans="1:16">
      <c r="A147" s="73"/>
      <c r="B147" s="24"/>
      <c r="C147" s="24">
        <v>0.58333333333333337</v>
      </c>
      <c r="D147" s="25"/>
      <c r="E147" s="26" t="s">
        <v>162</v>
      </c>
      <c r="F147" s="26" t="s">
        <v>159</v>
      </c>
      <c r="G147" s="26">
        <v>2</v>
      </c>
      <c r="H147" s="26"/>
      <c r="I147" s="26"/>
      <c r="J147" s="26"/>
      <c r="K147" s="26"/>
      <c r="L147" s="27"/>
      <c r="M147" s="26"/>
      <c r="N147" s="26"/>
      <c r="O147" s="26"/>
      <c r="P147" s="80"/>
    </row>
    <row r="148" spans="1:16">
      <c r="A148" s="73"/>
      <c r="B148" s="37">
        <v>0.55555555555555558</v>
      </c>
      <c r="C148" s="37">
        <f>B148+TIME(0,40,0)</f>
        <v>0.58333333333333337</v>
      </c>
      <c r="D148" s="38">
        <v>0.59722222222222221</v>
      </c>
      <c r="E148" s="39" t="s">
        <v>163</v>
      </c>
      <c r="F148" s="39" t="s">
        <v>164</v>
      </c>
      <c r="G148" s="39"/>
      <c r="H148" s="39"/>
      <c r="I148" s="39"/>
      <c r="J148" s="39">
        <v>1</v>
      </c>
      <c r="K148" s="39"/>
      <c r="L148" s="40">
        <f>SUM(J148:K148)</f>
        <v>1</v>
      </c>
      <c r="M148" s="39">
        <v>1</v>
      </c>
      <c r="N148" s="39"/>
      <c r="O148" s="39"/>
      <c r="P148" s="81"/>
    </row>
    <row r="149" spans="1:16">
      <c r="A149" s="73"/>
      <c r="B149" s="29">
        <v>0.62152777777777779</v>
      </c>
      <c r="C149" s="29">
        <f>B149+TIME(1,0,0)</f>
        <v>0.66319444444444442</v>
      </c>
      <c r="D149" s="30">
        <v>0.69444444444444442</v>
      </c>
      <c r="E149" s="31" t="s">
        <v>165</v>
      </c>
      <c r="F149" s="31" t="s">
        <v>159</v>
      </c>
      <c r="G149" s="31"/>
      <c r="H149" s="31"/>
      <c r="I149" s="31"/>
      <c r="J149" s="31"/>
      <c r="K149" s="31">
        <v>1</v>
      </c>
      <c r="L149" s="32">
        <f>SUM(G149:K151)</f>
        <v>7</v>
      </c>
      <c r="M149" s="31"/>
      <c r="N149" s="31">
        <v>1</v>
      </c>
      <c r="O149" s="31"/>
      <c r="P149" s="79"/>
    </row>
    <row r="150" spans="1:16">
      <c r="A150" s="73"/>
      <c r="B150" s="17">
        <v>0.63888888888888884</v>
      </c>
      <c r="C150" s="17">
        <f t="shared" ref="C150:C151" si="19">B150+TIME(0,40,0)</f>
        <v>0.66666666666666663</v>
      </c>
      <c r="D150" s="22"/>
      <c r="E150" s="19" t="s">
        <v>166</v>
      </c>
      <c r="F150" s="19" t="s">
        <v>164</v>
      </c>
      <c r="G150" s="19"/>
      <c r="H150" s="19"/>
      <c r="I150" s="19"/>
      <c r="J150" s="19">
        <v>2</v>
      </c>
      <c r="K150" s="19"/>
      <c r="L150" s="20"/>
      <c r="M150" s="19"/>
      <c r="N150" s="19"/>
      <c r="O150" s="19"/>
      <c r="P150" s="82"/>
    </row>
    <row r="151" spans="1:16">
      <c r="A151" s="73"/>
      <c r="B151" s="24">
        <v>0.65277777777777779</v>
      </c>
      <c r="C151" s="24">
        <f t="shared" si="19"/>
        <v>0.68055555555555558</v>
      </c>
      <c r="D151" s="25"/>
      <c r="E151" s="26" t="s">
        <v>167</v>
      </c>
      <c r="F151" s="26" t="s">
        <v>164</v>
      </c>
      <c r="G151" s="26"/>
      <c r="H151" s="26"/>
      <c r="I151" s="26"/>
      <c r="J151" s="26">
        <v>4</v>
      </c>
      <c r="K151" s="26"/>
      <c r="L151" s="27"/>
      <c r="M151" s="26"/>
      <c r="N151" s="26"/>
      <c r="O151" s="26"/>
      <c r="P151" s="80"/>
    </row>
    <row r="152" spans="1:16">
      <c r="A152" s="73"/>
      <c r="B152" s="29">
        <v>0.75</v>
      </c>
      <c r="C152" s="29">
        <f t="shared" ref="C152:C156" si="20">B152+TIME(1,0,0)</f>
        <v>0.79166666666666663</v>
      </c>
      <c r="D152" s="30">
        <v>0.82291666666666663</v>
      </c>
      <c r="E152" s="31" t="s">
        <v>168</v>
      </c>
      <c r="F152" s="31" t="s">
        <v>159</v>
      </c>
      <c r="G152" s="31">
        <v>1</v>
      </c>
      <c r="H152" s="31"/>
      <c r="I152" s="31">
        <v>2</v>
      </c>
      <c r="J152" s="83">
        <v>2</v>
      </c>
      <c r="K152" s="31"/>
      <c r="L152" s="32">
        <f>SUM(G152:K153)</f>
        <v>7</v>
      </c>
      <c r="M152" s="31">
        <v>1</v>
      </c>
      <c r="N152" s="31"/>
      <c r="O152" s="31"/>
      <c r="P152" s="79"/>
    </row>
    <row r="153" spans="1:16">
      <c r="A153" s="73"/>
      <c r="B153" s="24">
        <v>0.77430555555555558</v>
      </c>
      <c r="C153" s="24">
        <f t="shared" si="20"/>
        <v>0.81597222222222221</v>
      </c>
      <c r="D153" s="25"/>
      <c r="E153" s="26" t="s">
        <v>169</v>
      </c>
      <c r="F153" s="26" t="s">
        <v>159</v>
      </c>
      <c r="G153" s="26"/>
      <c r="H153" s="26"/>
      <c r="I153" s="26"/>
      <c r="J153" s="84">
        <v>2</v>
      </c>
      <c r="K153" s="26"/>
      <c r="L153" s="27"/>
      <c r="M153" s="84">
        <v>1</v>
      </c>
      <c r="N153" s="26"/>
      <c r="O153" s="26"/>
      <c r="P153" s="80"/>
    </row>
    <row r="154" spans="1:16">
      <c r="A154" s="73"/>
      <c r="B154" s="33">
        <v>0.90972222222222221</v>
      </c>
      <c r="C154" s="33">
        <f t="shared" si="20"/>
        <v>0.95138888888888884</v>
      </c>
      <c r="D154" s="85">
        <v>0.95833333333333337</v>
      </c>
      <c r="E154" s="34" t="s">
        <v>170</v>
      </c>
      <c r="F154" s="34" t="s">
        <v>159</v>
      </c>
      <c r="G154" s="34"/>
      <c r="H154" s="34">
        <v>1</v>
      </c>
      <c r="I154" s="34"/>
      <c r="J154" s="34"/>
      <c r="K154" s="34"/>
      <c r="L154" s="35">
        <f>SUM(G154:K154)</f>
        <v>1</v>
      </c>
      <c r="M154" s="34">
        <v>1</v>
      </c>
      <c r="N154" s="34"/>
      <c r="O154" s="34"/>
      <c r="P154" s="86"/>
    </row>
    <row r="155" spans="1:16">
      <c r="A155" s="73"/>
      <c r="B155" s="87">
        <v>0.92013888888888884</v>
      </c>
      <c r="C155" s="87">
        <f t="shared" si="20"/>
        <v>0.96180555555555547</v>
      </c>
      <c r="D155" s="88">
        <v>0.98263888888888884</v>
      </c>
      <c r="E155" s="89" t="s">
        <v>171</v>
      </c>
      <c r="F155" s="89" t="s">
        <v>159</v>
      </c>
      <c r="G155" s="89"/>
      <c r="H155" s="89"/>
      <c r="I155" s="89"/>
      <c r="J155" s="89"/>
      <c r="K155" s="89">
        <v>6</v>
      </c>
      <c r="L155" s="90">
        <f>SUM(G155:K156)</f>
        <v>8</v>
      </c>
      <c r="M155" s="89"/>
      <c r="N155" s="89">
        <v>1</v>
      </c>
      <c r="O155" s="89">
        <v>0</v>
      </c>
      <c r="P155" s="91"/>
    </row>
    <row r="156" spans="1:16">
      <c r="A156" s="92"/>
      <c r="B156" s="24">
        <v>0.93402777777777779</v>
      </c>
      <c r="C156" s="24">
        <f t="shared" si="20"/>
        <v>0.97569444444444442</v>
      </c>
      <c r="D156" s="25"/>
      <c r="E156" s="26" t="s">
        <v>172</v>
      </c>
      <c r="F156" s="26" t="s">
        <v>159</v>
      </c>
      <c r="G156" s="26"/>
      <c r="H156" s="26"/>
      <c r="I156" s="26"/>
      <c r="J156" s="26">
        <v>2</v>
      </c>
      <c r="K156" s="26"/>
      <c r="L156" s="27"/>
      <c r="M156" s="26"/>
      <c r="N156" s="26"/>
      <c r="O156" s="26"/>
      <c r="P156" s="80"/>
    </row>
    <row r="157" spans="1:16">
      <c r="A157" s="93" t="s">
        <v>101</v>
      </c>
      <c r="B157" s="94"/>
      <c r="C157" s="94"/>
      <c r="D157" s="94"/>
      <c r="E157" s="94"/>
      <c r="F157" s="95"/>
      <c r="G157" s="96">
        <f t="shared" ref="G157:P157" si="21">SUM(G144:G156)</f>
        <v>3</v>
      </c>
      <c r="H157" s="96">
        <f t="shared" si="21"/>
        <v>3</v>
      </c>
      <c r="I157" s="96">
        <f t="shared" si="21"/>
        <v>3</v>
      </c>
      <c r="J157" s="96">
        <f t="shared" si="21"/>
        <v>16</v>
      </c>
      <c r="K157" s="96">
        <f t="shared" si="21"/>
        <v>8</v>
      </c>
      <c r="L157" s="96">
        <f t="shared" si="21"/>
        <v>33</v>
      </c>
      <c r="M157" s="96">
        <f t="shared" si="21"/>
        <v>6</v>
      </c>
      <c r="N157" s="96">
        <f t="shared" si="21"/>
        <v>3</v>
      </c>
      <c r="O157" s="96">
        <f t="shared" si="21"/>
        <v>0</v>
      </c>
      <c r="P157" s="97">
        <f t="shared" si="21"/>
        <v>0</v>
      </c>
    </row>
    <row r="158" spans="1:16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 t="s">
        <v>102</v>
      </c>
      <c r="N158" s="23" t="s">
        <v>103</v>
      </c>
      <c r="O158" s="23" t="s">
        <v>104</v>
      </c>
      <c r="P158" s="23" t="s">
        <v>105</v>
      </c>
    </row>
  </sheetData>
  <mergeCells count="58">
    <mergeCell ref="A144:A156"/>
    <mergeCell ref="D146:D147"/>
    <mergeCell ref="D149:D151"/>
    <mergeCell ref="D152:D153"/>
    <mergeCell ref="D155:D156"/>
    <mergeCell ref="A157:F157"/>
    <mergeCell ref="A135:F135"/>
    <mergeCell ref="A141:P141"/>
    <mergeCell ref="A142:A143"/>
    <mergeCell ref="B142:B143"/>
    <mergeCell ref="C142:C143"/>
    <mergeCell ref="E142:E143"/>
    <mergeCell ref="F142:F143"/>
    <mergeCell ref="G142:I142"/>
    <mergeCell ref="J142:K142"/>
    <mergeCell ref="L142:L143"/>
    <mergeCell ref="A90:A134"/>
    <mergeCell ref="D90:D95"/>
    <mergeCell ref="D96:D98"/>
    <mergeCell ref="D100:D101"/>
    <mergeCell ref="D102:D104"/>
    <mergeCell ref="D105:D111"/>
    <mergeCell ref="D112:D115"/>
    <mergeCell ref="D116:D125"/>
    <mergeCell ref="D126:D133"/>
    <mergeCell ref="A87:N87"/>
    <mergeCell ref="A88:A89"/>
    <mergeCell ref="B88:B89"/>
    <mergeCell ref="C88:C89"/>
    <mergeCell ref="E88:E89"/>
    <mergeCell ref="F88:F89"/>
    <mergeCell ref="G88:I88"/>
    <mergeCell ref="J88:J89"/>
    <mergeCell ref="D64:D68"/>
    <mergeCell ref="D69:D72"/>
    <mergeCell ref="D73:D78"/>
    <mergeCell ref="D79:D80"/>
    <mergeCell ref="D81:D82"/>
    <mergeCell ref="A83:F83"/>
    <mergeCell ref="A4:A82"/>
    <mergeCell ref="D4:D8"/>
    <mergeCell ref="D9:D16"/>
    <mergeCell ref="D17:D19"/>
    <mergeCell ref="D20:D23"/>
    <mergeCell ref="D25:D32"/>
    <mergeCell ref="D33:D40"/>
    <mergeCell ref="D41:D45"/>
    <mergeCell ref="D46:D52"/>
    <mergeCell ref="D53:D63"/>
    <mergeCell ref="A1:N1"/>
    <mergeCell ref="A2:A3"/>
    <mergeCell ref="B2:B3"/>
    <mergeCell ref="C2:C3"/>
    <mergeCell ref="D2:D3"/>
    <mergeCell ref="E2:E3"/>
    <mergeCell ref="F2:F3"/>
    <mergeCell ref="G2:I2"/>
    <mergeCell ref="J2:J3"/>
  </mergeCells>
  <pageMargins left="0.7" right="0.7" top="0.75" bottom="0.75" header="0.3" footer="0.3"/>
  <pageSetup paperSize="9" scale="20" orientation="landscape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Yan - Journey Beyond Asia</dc:creator>
  <cp:lastModifiedBy>Adam Yan - Journey Beyond Asia</cp:lastModifiedBy>
  <cp:lastPrinted>2025-09-13T22:13:49Z</cp:lastPrinted>
  <dcterms:created xsi:type="dcterms:W3CDTF">2025-09-13T22:10:37Z</dcterms:created>
  <dcterms:modified xsi:type="dcterms:W3CDTF">2025-09-13T22:50:28Z</dcterms:modified>
</cp:coreProperties>
</file>